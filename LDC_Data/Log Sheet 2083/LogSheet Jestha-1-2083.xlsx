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0" i="72" l="1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D124" i="72" l="1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AI120" i="72" s="1"/>
  <c r="B119" i="72"/>
  <c r="B118" i="72"/>
  <c r="AI118" i="72" s="1"/>
  <c r="B117" i="72"/>
  <c r="B108" i="72"/>
  <c r="B96" i="72"/>
  <c r="B92" i="72"/>
  <c r="B78" i="72"/>
  <c r="AM17" i="72" s="1"/>
  <c r="B71" i="72"/>
  <c r="AM16" i="72" s="1"/>
  <c r="B70" i="72"/>
  <c r="AG274" i="72"/>
  <c r="B274" i="72"/>
  <c r="E273" i="72"/>
  <c r="F273" i="72" s="1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E272" i="72"/>
  <c r="F272" i="72" s="1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E271" i="72"/>
  <c r="F271" i="72" s="1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E270" i="72"/>
  <c r="F270" i="72" s="1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E269" i="72"/>
  <c r="F269" i="72" s="1"/>
  <c r="G269" i="72" s="1"/>
  <c r="H269" i="72" s="1"/>
  <c r="I269" i="72" s="1"/>
  <c r="J269" i="72" s="1"/>
  <c r="K269" i="72" s="1"/>
  <c r="L269" i="72" s="1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E268" i="72"/>
  <c r="F268" i="72" s="1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E267" i="72"/>
  <c r="F267" i="72" s="1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E266" i="72"/>
  <c r="F266" i="72" s="1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E265" i="72"/>
  <c r="F265" i="72" s="1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E264" i="72"/>
  <c r="F264" i="72" s="1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E263" i="72"/>
  <c r="F263" i="72" s="1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E262" i="72"/>
  <c r="F262" i="72" s="1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Q261" i="72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E261" i="72"/>
  <c r="F261" i="72" s="1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E260" i="72"/>
  <c r="F260" i="72" s="1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H259" i="72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E259" i="72"/>
  <c r="F259" i="72" s="1"/>
  <c r="G259" i="72" s="1"/>
  <c r="E258" i="72"/>
  <c r="F258" i="72" s="1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E257" i="72"/>
  <c r="F257" i="72" s="1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E256" i="72"/>
  <c r="F256" i="72" s="1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E255" i="72"/>
  <c r="F255" i="72" s="1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E254" i="72"/>
  <c r="F254" i="72" s="1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E253" i="72"/>
  <c r="F253" i="72" s="1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E252" i="72"/>
  <c r="F252" i="72" s="1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E251" i="72"/>
  <c r="F251" i="72" s="1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E250" i="72"/>
  <c r="F250" i="72" s="1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E249" i="72"/>
  <c r="F249" i="72" s="1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E248" i="72"/>
  <c r="F248" i="72" s="1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E247" i="72"/>
  <c r="F247" i="72" s="1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E246" i="72"/>
  <c r="F246" i="72" s="1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E245" i="72"/>
  <c r="F245" i="72" s="1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G244" i="72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E244" i="72"/>
  <c r="F244" i="72" s="1"/>
  <c r="E243" i="72"/>
  <c r="F243" i="72" s="1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E242" i="72"/>
  <c r="F242" i="72" s="1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E241" i="72"/>
  <c r="F241" i="72" s="1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E240" i="72"/>
  <c r="F240" i="72" s="1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E239" i="72"/>
  <c r="F239" i="72" s="1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E238" i="72"/>
  <c r="F238" i="72" s="1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E237" i="72"/>
  <c r="F237" i="72" s="1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G236" i="72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E236" i="72"/>
  <c r="F236" i="72" s="1"/>
  <c r="E235" i="72"/>
  <c r="F235" i="72" s="1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E234" i="72"/>
  <c r="F234" i="72" s="1"/>
  <c r="G234" i="72" s="1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E233" i="72"/>
  <c r="F233" i="72" s="1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E232" i="72"/>
  <c r="F232" i="72" s="1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E231" i="72"/>
  <c r="F231" i="72" s="1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E230" i="72"/>
  <c r="F230" i="72" s="1"/>
  <c r="E229" i="72"/>
  <c r="F229" i="72" s="1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E228" i="72"/>
  <c r="F228" i="72" s="1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E227" i="72"/>
  <c r="F227" i="72" s="1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E226" i="72"/>
  <c r="F226" i="72" s="1"/>
  <c r="G226" i="72" s="1"/>
  <c r="H226" i="72" s="1"/>
  <c r="I226" i="72" s="1"/>
  <c r="J226" i="72" s="1"/>
  <c r="K226" i="72" s="1"/>
  <c r="L226" i="72" s="1"/>
  <c r="M226" i="72" s="1"/>
  <c r="N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E225" i="72"/>
  <c r="F225" i="72" s="1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E224" i="72"/>
  <c r="F224" i="72" s="1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E223" i="72"/>
  <c r="F223" i="72" s="1"/>
  <c r="G223" i="72" s="1"/>
  <c r="H223" i="72" s="1"/>
  <c r="I223" i="72" s="1"/>
  <c r="J223" i="72" s="1"/>
  <c r="K223" i="72" s="1"/>
  <c r="E222" i="72"/>
  <c r="F222" i="72" s="1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E221" i="72"/>
  <c r="F221" i="72" s="1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E220" i="72"/>
  <c r="F220" i="72" s="1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E219" i="72"/>
  <c r="F219" i="72" s="1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E218" i="72"/>
  <c r="F218" i="72" s="1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E217" i="72"/>
  <c r="F217" i="72" s="1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E216" i="72"/>
  <c r="F216" i="72" s="1"/>
  <c r="G216" i="72" s="1"/>
  <c r="H216" i="72" s="1"/>
  <c r="I216" i="72" s="1"/>
  <c r="J216" i="72" s="1"/>
  <c r="K216" i="72" s="1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E215" i="72"/>
  <c r="F215" i="72" s="1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E214" i="72"/>
  <c r="F214" i="72" s="1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E213" i="72"/>
  <c r="F213" i="72" s="1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E212" i="72"/>
  <c r="F212" i="72" s="1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E211" i="72"/>
  <c r="F211" i="72" s="1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E210" i="72"/>
  <c r="F210" i="72" s="1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E209" i="72"/>
  <c r="F209" i="72" s="1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E208" i="72"/>
  <c r="F208" i="72" s="1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E207" i="72"/>
  <c r="F207" i="72" s="1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E206" i="72"/>
  <c r="F206" i="72" s="1"/>
  <c r="G206" i="72" s="1"/>
  <c r="H206" i="72" s="1"/>
  <c r="I206" i="72" s="1"/>
  <c r="J206" i="72" s="1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E205" i="72"/>
  <c r="F205" i="72" s="1"/>
  <c r="G205" i="72" s="1"/>
  <c r="H205" i="72" s="1"/>
  <c r="I205" i="72" s="1"/>
  <c r="J205" i="72" s="1"/>
  <c r="K205" i="72" s="1"/>
  <c r="L205" i="72" s="1"/>
  <c r="M205" i="72" s="1"/>
  <c r="N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E204" i="72"/>
  <c r="F204" i="72" s="1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E203" i="72"/>
  <c r="F203" i="72" s="1"/>
  <c r="G203" i="72" s="1"/>
  <c r="H203" i="72" s="1"/>
  <c r="I203" i="72" s="1"/>
  <c r="J203" i="72" s="1"/>
  <c r="K203" i="72" s="1"/>
  <c r="L203" i="72" s="1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E202" i="72"/>
  <c r="F202" i="72" s="1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E201" i="72"/>
  <c r="F201" i="72" s="1"/>
  <c r="G201" i="72" s="1"/>
  <c r="H201" i="72" s="1"/>
  <c r="I201" i="72" s="1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E200" i="72"/>
  <c r="F200" i="72" s="1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E199" i="72"/>
  <c r="F199" i="72" s="1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E198" i="72"/>
  <c r="F198" i="72" s="1"/>
  <c r="G198" i="72" s="1"/>
  <c r="H198" i="72" s="1"/>
  <c r="I198" i="72" s="1"/>
  <c r="J198" i="72" s="1"/>
  <c r="E197" i="72"/>
  <c r="F197" i="72" s="1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W196" i="72"/>
  <c r="X196" i="72" s="1"/>
  <c r="Y196" i="72" s="1"/>
  <c r="Z196" i="72" s="1"/>
  <c r="AA196" i="72" s="1"/>
  <c r="AB196" i="72" s="1"/>
  <c r="AC196" i="72" s="1"/>
  <c r="AD196" i="72" s="1"/>
  <c r="AE196" i="72" s="1"/>
  <c r="AF196" i="72" s="1"/>
  <c r="E196" i="72"/>
  <c r="F196" i="72" s="1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E195" i="72"/>
  <c r="F195" i="72" s="1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E194" i="72"/>
  <c r="F194" i="72" s="1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E193" i="72"/>
  <c r="F193" i="72" s="1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E192" i="72"/>
  <c r="F192" i="72" s="1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E191" i="72"/>
  <c r="F191" i="72" s="1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E190" i="72"/>
  <c r="F190" i="72" s="1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E189" i="72"/>
  <c r="F189" i="72" s="1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E188" i="72"/>
  <c r="F188" i="72" s="1"/>
  <c r="G188" i="72" s="1"/>
  <c r="E187" i="72"/>
  <c r="F187" i="72" s="1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E186" i="72"/>
  <c r="F186" i="72" s="1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E185" i="72"/>
  <c r="F185" i="72" s="1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E184" i="72"/>
  <c r="F184" i="72" s="1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E183" i="72"/>
  <c r="F183" i="72" s="1"/>
  <c r="G183" i="72" s="1"/>
  <c r="H183" i="72" s="1"/>
  <c r="I183" i="72" s="1"/>
  <c r="J183" i="72" s="1"/>
  <c r="K183" i="72" s="1"/>
  <c r="L183" i="72" s="1"/>
  <c r="M183" i="72" s="1"/>
  <c r="N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E182" i="72"/>
  <c r="F182" i="72" s="1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E181" i="72"/>
  <c r="E180" i="72"/>
  <c r="F180" i="72" s="1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E179" i="72"/>
  <c r="F179" i="72" s="1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E178" i="72"/>
  <c r="F178" i="72" s="1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E176" i="72"/>
  <c r="F176" i="72" s="1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E175" i="72"/>
  <c r="F175" i="72" s="1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E174" i="72"/>
  <c r="F174" i="72" s="1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E173" i="72"/>
  <c r="F173" i="72" s="1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E172" i="72"/>
  <c r="F172" i="72" s="1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E171" i="72"/>
  <c r="F171" i="72" s="1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E170" i="72"/>
  <c r="F170" i="72" s="1"/>
  <c r="G170" i="72" s="1"/>
  <c r="H170" i="72" s="1"/>
  <c r="I170" i="72" s="1"/>
  <c r="J170" i="72" s="1"/>
  <c r="K170" i="72" s="1"/>
  <c r="L170" i="72" s="1"/>
  <c r="M170" i="72" s="1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E166" i="72"/>
  <c r="F166" i="72" s="1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K165" i="72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E165" i="72"/>
  <c r="F165" i="72" s="1"/>
  <c r="G165" i="72" s="1"/>
  <c r="H165" i="72" s="1"/>
  <c r="I165" i="72" s="1"/>
  <c r="J165" i="72" s="1"/>
  <c r="E164" i="72"/>
  <c r="F164" i="72" s="1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E163" i="72"/>
  <c r="F163" i="72" s="1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E162" i="72"/>
  <c r="F162" i="72" s="1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E161" i="72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E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E122" i="72"/>
  <c r="AI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AH121" i="72" s="1"/>
  <c r="F121" i="72"/>
  <c r="E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E120" i="72"/>
  <c r="AH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E119" i="72"/>
  <c r="AH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E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L123" i="72" s="1"/>
  <c r="L124" i="72" s="1"/>
  <c r="K117" i="72"/>
  <c r="J117" i="72"/>
  <c r="J123" i="72" s="1"/>
  <c r="J124" i="72" s="1"/>
  <c r="I117" i="72"/>
  <c r="H117" i="72"/>
  <c r="H123" i="72" s="1"/>
  <c r="G117" i="72"/>
  <c r="F117" i="72"/>
  <c r="F123" i="72" s="1"/>
  <c r="E117" i="72"/>
  <c r="AI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108" i="72"/>
  <c r="J108" i="72"/>
  <c r="I108" i="72"/>
  <c r="H108" i="72"/>
  <c r="H124" i="72" s="1"/>
  <c r="G108" i="72"/>
  <c r="F108" i="72"/>
  <c r="F124" i="72" s="1"/>
  <c r="E108" i="72"/>
  <c r="E124" i="72" s="1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E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E92" i="72"/>
  <c r="AI92" i="72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BB90" i="72"/>
  <c r="AI90" i="72"/>
  <c r="AH90" i="72"/>
  <c r="BT89" i="72"/>
  <c r="BQ89" i="72"/>
  <c r="BL89" i="72"/>
  <c r="BI89" i="72"/>
  <c r="BD89" i="72"/>
  <c r="AI89" i="72"/>
  <c r="AH89" i="72"/>
  <c r="BV88" i="72"/>
  <c r="BS88" i="72"/>
  <c r="BN88" i="72"/>
  <c r="BK88" i="72"/>
  <c r="BF88" i="72"/>
  <c r="BC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BB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F78" i="72"/>
  <c r="E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L113" i="72" s="1"/>
  <c r="L115" i="72" s="1"/>
  <c r="L116" i="72" s="1"/>
  <c r="L7" i="72" s="1"/>
  <c r="K71" i="72"/>
  <c r="J71" i="72"/>
  <c r="J113" i="72" s="1"/>
  <c r="J115" i="72" s="1"/>
  <c r="J116" i="72" s="1"/>
  <c r="J7" i="72" s="1"/>
  <c r="I71" i="72"/>
  <c r="I113" i="72" s="1"/>
  <c r="I115" i="72" s="1"/>
  <c r="H71" i="72"/>
  <c r="G71" i="72"/>
  <c r="G113" i="72" s="1"/>
  <c r="G115" i="72" s="1"/>
  <c r="F71" i="72"/>
  <c r="E71" i="72"/>
  <c r="E113" i="72" s="1"/>
  <c r="E115" i="72" s="1"/>
  <c r="E116" i="72" s="1"/>
  <c r="E7" i="72" s="1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Q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T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S19" i="72"/>
  <c r="AR19" i="72"/>
  <c r="AQ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Q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T22" i="72" s="1"/>
  <c r="AS17" i="72"/>
  <c r="AR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R22" i="72" s="1"/>
  <c r="AQ16" i="72"/>
  <c r="AQ22" i="72" s="1"/>
  <c r="AQ25" i="72" s="1"/>
  <c r="AP16" i="72"/>
  <c r="AP22" i="72" s="1"/>
  <c r="AP25" i="72" s="1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G5" i="72"/>
  <c r="F5" i="72"/>
  <c r="E5" i="72"/>
  <c r="D5" i="72"/>
  <c r="C5" i="72"/>
  <c r="B5" i="72"/>
  <c r="AG4" i="72"/>
  <c r="K4" i="72"/>
  <c r="E4" i="72"/>
  <c r="H4" i="72" s="1"/>
  <c r="B4" i="72"/>
  <c r="AL13" i="72" s="1"/>
  <c r="AG3" i="72"/>
  <c r="AO22" i="72" l="1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AR25" i="72" s="1"/>
  <c r="E167" i="72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G124" i="72"/>
  <c r="O124" i="72"/>
  <c r="W124" i="72"/>
  <c r="AE124" i="72"/>
  <c r="AN23" i="72"/>
  <c r="AH117" i="72"/>
  <c r="K123" i="72"/>
  <c r="AT23" i="72" s="1"/>
  <c r="AT25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I116" i="72"/>
  <c r="I7" i="72" s="1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K116" i="72" s="1"/>
  <c r="K7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N25" i="72" l="1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E169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E177" i="72"/>
  <c r="AI115" i="72"/>
  <c r="AH115" i="72"/>
  <c r="AI116" i="72" l="1"/>
  <c r="AH116" i="72"/>
  <c r="B7" i="72"/>
  <c r="A7" i="72" s="1"/>
  <c r="H161" i="72"/>
  <c r="G167" i="72"/>
  <c r="AT9" i="72"/>
  <c r="F177" i="72"/>
  <c r="E135" i="72"/>
  <c r="AH124" i="72"/>
  <c r="AI124" i="72"/>
  <c r="E27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<sst xmlns="http://schemas.openxmlformats.org/spreadsheetml/2006/main" count="952" uniqueCount="413">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</sst>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1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52" sqref="D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1857.77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1587.77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D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141.19999999999999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" si="22">SUM(D11:D69)</f>
        <v>996.27</v>
      </c>
      <c r="E71" s="70">
        <f t="shared" ref="D71:AG71" si="23">SUM(E11:E69)</f>
        <v>150</v>
      </c>
      <c r="F71" s="70">
        <f t="shared" si="23"/>
        <v>150</v>
      </c>
      <c r="G71" s="70">
        <f t="shared" si="23"/>
        <v>150</v>
      </c>
      <c r="H71" s="70">
        <f t="shared" si="23"/>
        <v>150</v>
      </c>
      <c r="I71" s="70">
        <f t="shared" si="23"/>
        <v>150</v>
      </c>
      <c r="J71" s="70">
        <f t="shared" si="23"/>
        <v>150</v>
      </c>
      <c r="K71" s="70">
        <f t="shared" si="23"/>
        <v>150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240</v>
      </c>
      <c r="AI72" s="47">
        <f t="shared" si="3"/>
        <v>80.7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41.1</v>
      </c>
      <c r="AI75" s="47">
        <f t="shared" ref="AI75:AI138" si="25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7.7</v>
      </c>
      <c r="AI77" s="47">
        <f t="shared" si="25"/>
        <v>7.5</v>
      </c>
      <c r="AK77" s="49"/>
    </row>
    <row r="78" spans="1:88" ht="15.75" thickBot="1">
      <c r="A78" s="79" t="s">
        <v>97</v>
      </c>
      <c r="B78" s="70">
        <f t="shared" ref="B78:C78" si="26">SUM(B72:B77)</f>
        <v>421.4</v>
      </c>
      <c r="C78" s="70">
        <f t="shared" si="26"/>
        <v>372.1</v>
      </c>
      <c r="D78" s="70">
        <f t="shared" ref="D78" si="27">SUM(D72:D77)</f>
        <v>260</v>
      </c>
      <c r="E78" s="70">
        <f t="shared" ref="D78:AG78" si="28">SUM(E72:E77)</f>
        <v>0</v>
      </c>
      <c r="F78" s="70">
        <f t="shared" si="28"/>
        <v>0</v>
      </c>
      <c r="G78" s="70">
        <f t="shared" si="28"/>
        <v>0</v>
      </c>
      <c r="H78" s="70">
        <f t="shared" si="28"/>
        <v>0</v>
      </c>
      <c r="I78" s="70">
        <f t="shared" si="28"/>
        <v>0</v>
      </c>
      <c r="J78" s="70">
        <f t="shared" si="28"/>
        <v>0</v>
      </c>
      <c r="K78" s="70">
        <f t="shared" si="28"/>
        <v>0</v>
      </c>
      <c r="L78" s="70">
        <f t="shared" si="28"/>
        <v>0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421.4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</v>
      </c>
      <c r="AI79" s="47">
        <f t="shared" si="25"/>
        <v>96</v>
      </c>
      <c r="AK79" s="49"/>
      <c r="AY79" s="1" t="s">
        <v>99</v>
      </c>
      <c r="AZ79" s="82">
        <f>ROUND(C97,0)</f>
        <v>-233</v>
      </c>
      <c r="BA79" s="81">
        <f t="shared" ref="BA79:BD83" si="29">D97</f>
        <v>-135.19999999999999</v>
      </c>
      <c r="BB79" s="81">
        <f t="shared" si="29"/>
        <v>0</v>
      </c>
      <c r="BC79" s="81">
        <f t="shared" si="29"/>
        <v>0</v>
      </c>
      <c r="BD79" s="81">
        <f t="shared" si="29"/>
        <v>0</v>
      </c>
      <c r="BE79" s="82">
        <f>I97</f>
        <v>0</v>
      </c>
      <c r="BF79" s="82">
        <f>K97</f>
        <v>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55.6</v>
      </c>
      <c r="AI80" s="47">
        <f t="shared" si="25"/>
        <v>35.1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0</v>
      </c>
      <c r="BF80" s="82">
        <f>K98</f>
        <v>0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59.9</v>
      </c>
      <c r="AI81" s="47">
        <f t="shared" si="25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46.6</v>
      </c>
      <c r="BB81" s="81">
        <f t="shared" si="29"/>
        <v>0</v>
      </c>
      <c r="BC81" s="81">
        <f t="shared" si="29"/>
        <v>0</v>
      </c>
      <c r="BD81" s="81">
        <f t="shared" si="29"/>
        <v>0</v>
      </c>
      <c r="BE81" s="82">
        <f>I99</f>
        <v>0</v>
      </c>
      <c r="BF81" s="82">
        <f>K99</f>
        <v>0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9"/>
        <v>19.100000000000001</v>
      </c>
      <c r="BB82" s="81">
        <f t="shared" si="29"/>
        <v>0</v>
      </c>
      <c r="BC82" s="81">
        <f t="shared" si="29"/>
        <v>0</v>
      </c>
      <c r="BD82" s="81">
        <f t="shared" si="29"/>
        <v>0</v>
      </c>
      <c r="BE82" s="82">
        <f>I100</f>
        <v>0</v>
      </c>
      <c r="BF82" s="82">
        <f>K100</f>
        <v>0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</v>
      </c>
      <c r="AI83" s="47">
        <f t="shared" si="25"/>
        <v>9.8000000000000007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0</v>
      </c>
      <c r="BE83" s="82">
        <f>I101</f>
        <v>0</v>
      </c>
      <c r="BF83" s="82">
        <f>K101</f>
        <v>0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11.3</v>
      </c>
      <c r="AI85" s="47">
        <f t="shared" si="25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-233</v>
      </c>
      <c r="BA86" s="82">
        <f t="shared" si="33"/>
        <v>-135.19999999999999</v>
      </c>
      <c r="BB86" s="82">
        <f t="shared" si="33"/>
        <v>0</v>
      </c>
      <c r="BC86" s="82">
        <f t="shared" si="33"/>
        <v>0</v>
      </c>
      <c r="BD86" s="82">
        <f t="shared" si="33"/>
        <v>0</v>
      </c>
      <c r="BE86" s="82">
        <f t="shared" si="33"/>
        <v>0</v>
      </c>
      <c r="BF86" s="82">
        <f t="shared" si="33"/>
        <v>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8.5</v>
      </c>
      <c r="AI87" s="47">
        <f t="shared" si="25"/>
        <v>7.6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0</v>
      </c>
      <c r="BF87" s="82">
        <f t="shared" si="33"/>
        <v>0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8.8000000000000007</v>
      </c>
      <c r="AI88" s="47">
        <f t="shared" si="25"/>
        <v>8</v>
      </c>
      <c r="AK88" s="49"/>
      <c r="AZ88" s="82">
        <f t="shared" si="33"/>
        <v>47</v>
      </c>
      <c r="BA88" s="82">
        <f t="shared" si="33"/>
        <v>46.6</v>
      </c>
      <c r="BB88" s="82">
        <f t="shared" si="33"/>
        <v>0</v>
      </c>
      <c r="BC88" s="82">
        <f t="shared" si="33"/>
        <v>0</v>
      </c>
      <c r="BD88" s="82">
        <f t="shared" si="33"/>
        <v>0</v>
      </c>
      <c r="BE88" s="82">
        <f t="shared" si="33"/>
        <v>0</v>
      </c>
      <c r="BF88" s="82">
        <f t="shared" si="33"/>
        <v>0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8.5</v>
      </c>
      <c r="AI89" s="47">
        <f t="shared" si="25"/>
        <v>8.3000000000000007</v>
      </c>
      <c r="AK89" s="49"/>
      <c r="AZ89" s="82">
        <f t="shared" si="33"/>
        <v>18</v>
      </c>
      <c r="BA89" s="82">
        <f t="shared" si="33"/>
        <v>19.100000000000001</v>
      </c>
      <c r="BB89" s="82">
        <f t="shared" si="33"/>
        <v>0</v>
      </c>
      <c r="BC89" s="82">
        <f t="shared" si="33"/>
        <v>0</v>
      </c>
      <c r="BD89" s="82">
        <f t="shared" si="33"/>
        <v>0</v>
      </c>
      <c r="BE89" s="82">
        <f t="shared" si="33"/>
        <v>0</v>
      </c>
      <c r="BF89" s="82">
        <f t="shared" si="33"/>
        <v>0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3.1</v>
      </c>
      <c r="AI90" s="47">
        <f t="shared" si="25"/>
        <v>3.1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0</v>
      </c>
      <c r="BE90" s="82">
        <f t="shared" si="33"/>
        <v>0</v>
      </c>
      <c r="BF90" s="82">
        <f t="shared" si="33"/>
        <v>0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>
      <c r="A92" s="87" t="s">
        <v>117</v>
      </c>
      <c r="B92" s="70">
        <f t="shared" ref="B92:C92" si="34">SUM(B79:B91)</f>
        <v>317.10000000000008</v>
      </c>
      <c r="C92" s="70">
        <f t="shared" si="34"/>
        <v>298.60000000000008</v>
      </c>
      <c r="D92" s="70">
        <f t="shared" ref="D92" si="35">SUM(D79:D91)</f>
        <v>300.90000000000003</v>
      </c>
      <c r="E92" s="70">
        <f t="shared" ref="C92:AG92" si="36">SUM(E79:E91)</f>
        <v>2</v>
      </c>
      <c r="F92" s="70">
        <f t="shared" si="36"/>
        <v>2</v>
      </c>
      <c r="G92" s="70">
        <f t="shared" si="36"/>
        <v>2</v>
      </c>
      <c r="H92" s="70">
        <f t="shared" si="36"/>
        <v>2</v>
      </c>
      <c r="I92" s="70">
        <f t="shared" si="36"/>
        <v>2</v>
      </c>
      <c r="J92" s="70">
        <f t="shared" si="36"/>
        <v>2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317.10000000000008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" si="38">D93+D94+D95</f>
        <v>0</v>
      </c>
      <c r="E96" s="70">
        <f t="shared" ref="C96:AF96" si="39">E93+E94+E95</f>
        <v>0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-135.19999999999999</v>
      </c>
      <c r="AI97" s="47">
        <f t="shared" si="25"/>
        <v>-270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0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50</v>
      </c>
      <c r="AI99" s="47">
        <f t="shared" si="25"/>
        <v>46.6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19.100000000000001</v>
      </c>
      <c r="AI100" s="47">
        <f t="shared" si="25"/>
        <v>17.8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62.2</v>
      </c>
      <c r="AI102" s="47">
        <f t="shared" si="25"/>
        <v>55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0">SUMIF(B97:B107,"&gt;0")</f>
        <v>123</v>
      </c>
      <c r="C108" s="70">
        <f t="shared" si="40"/>
        <v>127.2</v>
      </c>
      <c r="D108" s="70">
        <f t="shared" ref="D108" si="41">SUMIF(D97:D107,"&gt;0")</f>
        <v>126.2</v>
      </c>
      <c r="E108" s="70">
        <f t="shared" ref="C108:AF108" si="42">SUMIF(E97:E107,"&gt;0")</f>
        <v>0</v>
      </c>
      <c r="F108" s="70">
        <f t="shared" si="42"/>
        <v>0</v>
      </c>
      <c r="G108" s="70">
        <f t="shared" si="42"/>
        <v>0</v>
      </c>
      <c r="H108" s="70">
        <f t="shared" si="42"/>
        <v>0</v>
      </c>
      <c r="I108" s="70">
        <f t="shared" si="42"/>
        <v>0</v>
      </c>
      <c r="J108" s="70">
        <f t="shared" si="42"/>
        <v>0</v>
      </c>
      <c r="K108" s="70">
        <f t="shared" si="42"/>
        <v>0</v>
      </c>
      <c r="L108" s="70">
        <f t="shared" si="42"/>
        <v>0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127.2</v>
      </c>
      <c r="AI108" s="47">
        <f t="shared" si="25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3">B71+B78+B96+B92+B108+B112</f>
        <v>1857.7700000000002</v>
      </c>
      <c r="C113" s="108">
        <f t="shared" si="43"/>
        <v>1794.17</v>
      </c>
      <c r="D113" s="108">
        <f t="shared" ref="D113" si="44">D71+D78+D96+D92+D108+D112</f>
        <v>1683.3700000000001</v>
      </c>
      <c r="E113" s="108">
        <f t="shared" ref="C113:AG113" si="45">E71+E78+E96+E92+E108+E112</f>
        <v>152</v>
      </c>
      <c r="F113" s="108">
        <f t="shared" si="45"/>
        <v>152</v>
      </c>
      <c r="G113" s="108">
        <f t="shared" si="45"/>
        <v>152</v>
      </c>
      <c r="H113" s="108">
        <f t="shared" si="45"/>
        <v>152</v>
      </c>
      <c r="I113" s="108">
        <f t="shared" si="45"/>
        <v>152</v>
      </c>
      <c r="J113" s="108">
        <f t="shared" si="45"/>
        <v>152</v>
      </c>
      <c r="K113" s="108">
        <f t="shared" si="45"/>
        <v>152</v>
      </c>
      <c r="L113" s="108">
        <f t="shared" si="45"/>
        <v>152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1857.7700000000002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6">B113+B114</f>
        <v>1857.7700000000002</v>
      </c>
      <c r="C115" s="108">
        <f t="shared" si="46"/>
        <v>1794.17</v>
      </c>
      <c r="D115" s="108">
        <f t="shared" ref="D115" si="47">D113+D114</f>
        <v>1683.3700000000001</v>
      </c>
      <c r="E115" s="108">
        <f t="shared" ref="C115:AF115" si="48">E113+E114</f>
        <v>152</v>
      </c>
      <c r="F115" s="108">
        <f t="shared" si="48"/>
        <v>152</v>
      </c>
      <c r="G115" s="108">
        <f t="shared" si="48"/>
        <v>152</v>
      </c>
      <c r="H115" s="108">
        <f t="shared" si="48"/>
        <v>152</v>
      </c>
      <c r="I115" s="108">
        <f t="shared" si="48"/>
        <v>152</v>
      </c>
      <c r="J115" s="108">
        <f t="shared" si="48"/>
        <v>152</v>
      </c>
      <c r="K115" s="108">
        <f t="shared" si="48"/>
        <v>152</v>
      </c>
      <c r="L115" s="108">
        <f t="shared" si="48"/>
        <v>152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1857.7700000000002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9">B115-(B123)</f>
        <v>1587.7700000000002</v>
      </c>
      <c r="C116" s="108">
        <f t="shared" si="49"/>
        <v>1561.67</v>
      </c>
      <c r="D116" s="108">
        <f t="shared" ref="D116" si="50">D115-(D123)</f>
        <v>1548.17</v>
      </c>
      <c r="E116" s="108">
        <f t="shared" ref="C116:AF116" si="51">E115-(E123)</f>
        <v>152</v>
      </c>
      <c r="F116" s="108">
        <f t="shared" si="51"/>
        <v>152</v>
      </c>
      <c r="G116" s="108">
        <f t="shared" si="51"/>
        <v>152</v>
      </c>
      <c r="H116" s="108">
        <f t="shared" si="51"/>
        <v>152</v>
      </c>
      <c r="I116" s="108">
        <f t="shared" si="51"/>
        <v>152</v>
      </c>
      <c r="J116" s="108">
        <f t="shared" si="51"/>
        <v>152</v>
      </c>
      <c r="K116" s="108">
        <f t="shared" si="51"/>
        <v>152</v>
      </c>
      <c r="L116" s="108">
        <f t="shared" si="51"/>
        <v>152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1587.7700000000002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2">IF(B97&lt;0,B97*-1,0)</f>
        <v>270</v>
      </c>
      <c r="C117" s="93">
        <f t="shared" si="52"/>
        <v>232.5</v>
      </c>
      <c r="D117" s="93">
        <f t="shared" ref="D117" si="53">IF(D97&lt;0,D97*-1,0)</f>
        <v>135.19999999999999</v>
      </c>
      <c r="E117" s="93">
        <f t="shared" ref="C117:AF122" si="54">IF(E97&lt;0,E97*-1,0)</f>
        <v>0</v>
      </c>
      <c r="F117" s="93">
        <f t="shared" si="54"/>
        <v>0</v>
      </c>
      <c r="G117" s="93">
        <f t="shared" si="54"/>
        <v>0</v>
      </c>
      <c r="H117" s="93">
        <f t="shared" si="54"/>
        <v>0</v>
      </c>
      <c r="I117" s="93">
        <f t="shared" si="54"/>
        <v>0</v>
      </c>
      <c r="J117" s="93">
        <f t="shared" si="54"/>
        <v>0</v>
      </c>
      <c r="K117" s="93">
        <f t="shared" si="54"/>
        <v>0</v>
      </c>
      <c r="L117" s="93">
        <f t="shared" si="54"/>
        <v>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270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" si="55">IF(D98&lt;0,D98*-1,0)</f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" si="56">IF(D99&lt;0,D99*-1,0)</f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" si="57">IF(D100&lt;0,D100*-1,0)</f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" si="58">IF(D101&lt;0,D101*-1,0)</f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" si="59">IF(D102&lt;0,D102*-1,0)</f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60">SUM(B117:B122)</f>
        <v>270</v>
      </c>
      <c r="C123" s="70">
        <f t="shared" si="60"/>
        <v>232.5</v>
      </c>
      <c r="D123" s="70">
        <f t="shared" ref="D123" si="61">SUM(D117:D122)</f>
        <v>135.19999999999999</v>
      </c>
      <c r="E123" s="70">
        <f t="shared" ref="C123:AF123" si="62">SUM(E117:E122)</f>
        <v>0</v>
      </c>
      <c r="F123" s="70">
        <f t="shared" si="62"/>
        <v>0</v>
      </c>
      <c r="G123" s="70">
        <f t="shared" si="62"/>
        <v>0</v>
      </c>
      <c r="H123" s="70">
        <f t="shared" si="62"/>
        <v>0</v>
      </c>
      <c r="I123" s="70">
        <f t="shared" si="62"/>
        <v>0</v>
      </c>
      <c r="J123" s="70">
        <f t="shared" si="62"/>
        <v>0</v>
      </c>
      <c r="K123" s="70">
        <f t="shared" si="62"/>
        <v>0</v>
      </c>
      <c r="L123" s="70">
        <f t="shared" si="62"/>
        <v>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270</v>
      </c>
      <c r="AI123" s="47">
        <f t="shared" si="25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63">B108-B123</f>
        <v>-147</v>
      </c>
      <c r="C124" s="70">
        <f t="shared" si="63"/>
        <v>-105.3</v>
      </c>
      <c r="D124" s="70">
        <f t="shared" ref="D124" si="64">D108-D123</f>
        <v>-8.9999999999999858</v>
      </c>
      <c r="E124" s="70">
        <f t="shared" ref="C124:AF124" si="65">E108-E123</f>
        <v>0</v>
      </c>
      <c r="F124" s="70">
        <f t="shared" si="65"/>
        <v>0</v>
      </c>
      <c r="G124" s="70">
        <f t="shared" si="65"/>
        <v>0</v>
      </c>
      <c r="H124" s="70">
        <f t="shared" si="65"/>
        <v>0</v>
      </c>
      <c r="I124" s="70">
        <f t="shared" si="65"/>
        <v>0</v>
      </c>
      <c r="J124" s="70">
        <f t="shared" si="65"/>
        <v>0</v>
      </c>
      <c r="K124" s="70">
        <f t="shared" si="65"/>
        <v>0</v>
      </c>
      <c r="L124" s="70">
        <f t="shared" si="65"/>
        <v>0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50.055999999999997</v>
      </c>
      <c r="AI126" s="47">
        <f t="shared" si="25"/>
        <v>50.037999999999997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134.4</v>
      </c>
      <c r="AI127" s="47">
        <f t="shared" si="25"/>
        <v>132.6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133.30000000000001</v>
      </c>
      <c r="AI128" s="47">
        <f t="shared" si="25"/>
        <v>131.4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135.5</v>
      </c>
      <c r="AI130" s="47">
        <f t="shared" si="25"/>
        <v>134.80000000000001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134.6</v>
      </c>
      <c r="AI131" s="47">
        <f t="shared" si="25"/>
        <v>132.80000000000001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0</v>
      </c>
      <c r="AI132" s="47">
        <f t="shared" si="25"/>
        <v>0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319.04000000000002</v>
      </c>
      <c r="C135" s="114">
        <f t="shared" si="66"/>
        <v>114.24000000000004</v>
      </c>
      <c r="D135" s="114">
        <f t="shared" ref="D135" si="67">SUM(D26,D32,D45:D46,D82,D84:D85,D87,D89,D137:D142,D177,D183,D189,D198,D200,D212,D219,D222:D223,D230,D232,D234,D238:D240,D242:D244,D249,D255:D256,D258:D260,D161,D166)</f>
        <v>122.44</v>
      </c>
      <c r="E135" s="114">
        <f t="shared" ref="C135:O135" si="68">SUM(E26,E32,E45:E46,E82,E84:E85,E87,E89,E137:E142,E177,E183,E189,E198,E200,E212,E219,E222:E223,E230,E232,E234,E238:E240,E242:E244,E249,E255:E256,E258:E260,E161,E166)</f>
        <v>0.94</v>
      </c>
      <c r="F135" s="114">
        <f t="shared" si="68"/>
        <v>0.94</v>
      </c>
      <c r="G135" s="114">
        <f t="shared" si="68"/>
        <v>0.94</v>
      </c>
      <c r="H135" s="114">
        <f t="shared" si="68"/>
        <v>0.94</v>
      </c>
      <c r="I135" s="114">
        <f t="shared" si="68"/>
        <v>0.94</v>
      </c>
      <c r="J135" s="114">
        <f t="shared" si="68"/>
        <v>0.94</v>
      </c>
      <c r="K135" s="114">
        <f t="shared" si="68"/>
        <v>0.94</v>
      </c>
      <c r="L135" s="114">
        <f t="shared" si="68"/>
        <v>0.94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319.04000000000002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58.1</v>
      </c>
      <c r="AI137" s="47">
        <f t="shared" si="25"/>
        <v>50.4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19.2</v>
      </c>
      <c r="AI138" s="47">
        <f t="shared" si="25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-58.2</v>
      </c>
      <c r="AI139" s="47">
        <f>MIN(B139:AF139)</f>
        <v>-73.7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65.7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-0.7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-178.4</v>
      </c>
      <c r="AI146" s="47">
        <f t="shared" ref="AI146:AI158" si="72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46.8</v>
      </c>
      <c r="AI147" s="47">
        <f t="shared" si="72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-7.1</v>
      </c>
      <c r="AI148" s="47">
        <f t="shared" si="72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209.5</v>
      </c>
      <c r="AI149" s="47">
        <f t="shared" si="72"/>
        <v>107.7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30.6</v>
      </c>
      <c r="AI150" s="47">
        <f t="shared" si="72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12.8</v>
      </c>
      <c r="AI151" s="47">
        <f t="shared" si="72"/>
        <v>9.1</v>
      </c>
    </row>
    <row r="152" spans="1:38" ht="15.75" thickBot="1">
      <c r="A152" s="140" t="s">
        <v>174</v>
      </c>
      <c r="B152" s="141"/>
      <c r="C152" s="141"/>
      <c r="D152" s="141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90"/>
    </row>
    <row r="156" spans="1:38">
      <c r="A156" s="135" t="s">
        <v>177</v>
      </c>
      <c r="B156" s="147"/>
      <c r="C156" s="147"/>
      <c r="D156" s="147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90"/>
    </row>
    <row r="157" spans="1:38">
      <c r="A157" s="135" t="s">
        <v>178</v>
      </c>
      <c r="B157" s="147"/>
      <c r="C157" s="147"/>
      <c r="D157" s="147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f t="shared" ref="C161:R166" si="73">D161</f>
        <v>0.3</v>
      </c>
      <c r="F161" s="159">
        <f t="shared" si="73"/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f t="shared" si="73"/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f t="shared" si="73"/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f t="shared" si="73"/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f t="shared" si="73"/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f t="shared" si="73"/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f t="shared" ref="C167:AG167" si="75">SUM(E161:E166)</f>
        <v>3.54</v>
      </c>
      <c r="F167" s="167">
        <f t="shared" si="75"/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f t="shared" ref="C169:R184" si="76">D169</f>
        <v>0</v>
      </c>
      <c r="F169" s="159">
        <f t="shared" si="76"/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f t="shared" si="76"/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f t="shared" si="76"/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f t="shared" si="76"/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f t="shared" si="76"/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f t="shared" si="76"/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f t="shared" si="76"/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f t="shared" si="76"/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f t="shared" si="76"/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f t="shared" si="76"/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f t="shared" si="76"/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f t="shared" si="76"/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f t="shared" si="76"/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f t="shared" si="76"/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f t="shared" si="76"/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f t="shared" si="76"/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f t="shared" ref="C185:R200" si="79">D185</f>
        <v>0</v>
      </c>
      <c r="F185" s="161">
        <f t="shared" si="79"/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f t="shared" si="79"/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f t="shared" si="79"/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f t="shared" si="79"/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f t="shared" si="79"/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f t="shared" si="79"/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f t="shared" si="79"/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f t="shared" si="79"/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f t="shared" si="79"/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f t="shared" si="79"/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f t="shared" si="79"/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f t="shared" si="79"/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f t="shared" si="79"/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f t="shared" si="79"/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f t="shared" si="79"/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f t="shared" si="79"/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f t="shared" ref="C201:R216" si="81">D201</f>
        <v>0</v>
      </c>
      <c r="F201" s="161">
        <f t="shared" si="81"/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f t="shared" si="81"/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f t="shared" si="81"/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f t="shared" si="81"/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f t="shared" si="81"/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f t="shared" si="81"/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f t="shared" si="81"/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f t="shared" si="81"/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f t="shared" si="81"/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f t="shared" si="81"/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f t="shared" si="81"/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f t="shared" si="81"/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f t="shared" si="81"/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f t="shared" si="81"/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f t="shared" si="81"/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f t="shared" si="81"/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f t="shared" ref="C217:R232" si="83">D217</f>
        <v>0</v>
      </c>
      <c r="F217" s="161">
        <f t="shared" si="83"/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f t="shared" si="83"/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f t="shared" si="83"/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f t="shared" si="83"/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f t="shared" si="83"/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f t="shared" si="83"/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f t="shared" si="83"/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f t="shared" si="83"/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f t="shared" si="83"/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f t="shared" si="83"/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f t="shared" si="83"/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f t="shared" si="83"/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f t="shared" si="83"/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f t="shared" si="83"/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f t="shared" si="83"/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f t="shared" si="83"/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f t="shared" ref="C233:R248" si="85">D233</f>
        <v>0</v>
      </c>
      <c r="F233" s="161">
        <f t="shared" si="85"/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f t="shared" si="85"/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f t="shared" si="85"/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f t="shared" si="85"/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f t="shared" si="85"/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f t="shared" si="85"/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f t="shared" si="85"/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f t="shared" si="85"/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f t="shared" si="85"/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f t="shared" si="85"/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f t="shared" si="85"/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f t="shared" si="85"/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f t="shared" si="85"/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f t="shared" si="85"/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f t="shared" si="85"/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f t="shared" si="85"/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f t="shared" ref="C249:R264" si="87">D249</f>
        <v>0</v>
      </c>
      <c r="F249" s="161">
        <f t="shared" si="87"/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f t="shared" si="87"/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f t="shared" si="87"/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f t="shared" si="87"/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f t="shared" si="87"/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f t="shared" si="87"/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f t="shared" si="87"/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f t="shared" si="87"/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f t="shared" si="87"/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f t="shared" si="87"/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f t="shared" si="87"/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f t="shared" si="87"/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f t="shared" si="87"/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f t="shared" si="87"/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f t="shared" si="87"/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f t="shared" si="87"/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f t="shared" ref="C265:R273" si="89">D265</f>
        <v>0</v>
      </c>
      <c r="F265" s="161">
        <f t="shared" si="89"/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f t="shared" si="89"/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f t="shared" si="89"/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f t="shared" si="89"/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f t="shared" si="89"/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f t="shared" si="89"/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f t="shared" si="89"/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f t="shared" si="89"/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f t="shared" si="89"/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si="90"/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E11:AA13 AB12:AF13 E76:AF77 E80:E90 F82:G90 H84:J90 K85:AF90 B9:AF10 E117:AF134 E137:AF159 E93:AF115 B76:D90 B113:D115 B108:D108 B117:D124 B72:L72 B153:D153 B93:D96">
    <cfRule type="expression" dxfId="354" priority="106">
      <formula>B$9&gt;=20/24</formula>
    </cfRule>
  </conditionalFormatting>
  <conditionalFormatting sqref="B9:AF10 E11:AA13 AB12:AF13 E76:AF77 E80:E90 F82:G90 H84:J90 K85:AF90 E117:AF134 E137:AF159 E93:AF115 B76:D90 B113:D115 B108:D108 B117:D124 B72:L72 B153:D153 B93:D96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E14:AF53 B29:D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E161:AF167">
    <cfRule type="expression" dxfId="334" priority="65">
      <formula>E$9&gt;=20/24</formula>
    </cfRule>
    <cfRule type="expression" dxfId="333" priority="66">
      <formula>AND(E$9&gt;=14/24,E$9&lt;20/24)</formula>
    </cfRule>
    <cfRule type="expression" dxfId="332" priority="67">
      <formula>AND(E$9&gt;=8/24,E$9&lt;14/24)</formula>
    </cfRule>
    <cfRule type="expression" dxfId="331" priority="68">
      <formula>E$9&lt;8/24</formula>
    </cfRule>
  </conditionalFormatting>
  <conditionalFormatting sqref="E169:AF274">
    <cfRule type="expression" dxfId="330" priority="26">
      <formula>E$9&gt;=20/24</formula>
    </cfRule>
    <cfRule type="expression" dxfId="329" priority="27">
      <formula>AND(E$9&gt;=14/24,E$9&lt;20/24)</formula>
    </cfRule>
    <cfRule type="expression" dxfId="328" priority="28">
      <formula>AND(E$9&gt;=8/24,E$9&lt;14/24)</formula>
    </cfRule>
    <cfRule type="expression" dxfId="327" priority="29">
      <formula>E$9&lt;8/24</formula>
    </cfRule>
  </conditionalFormatting>
  <conditionalFormatting sqref="AD80:AF90 AB69:AF70 AA70 E11:AA13 AB12:AF13 AG78 AF92:AF95 AF96:AG96 E92:AE96 E91:AF91 E76:AF78 E79:AC90 B71:AG71 B76:D96 B69:AA69">
    <cfRule type="expression" dxfId="326" priority="105">
      <formula>B11&gt;$AG11*1</formula>
    </cfRule>
  </conditionalFormatting>
  <conditionalFormatting sqref="E79:I83 J80:J83 K83:O83">
    <cfRule type="expression" dxfId="325" priority="115">
      <formula>E$9&gt;=20/24</formula>
    </cfRule>
    <cfRule type="expression" dxfId="324" priority="116">
      <formula>AND(E$9&gt;=14/24,E$9&lt;20/24)</formula>
    </cfRule>
    <cfRule type="expression" dxfId="323" priority="117">
      <formula>AND(E$9&gt;=8/24,E$9&lt;14/24)</formula>
    </cfRule>
    <cfRule type="expression" dxfId="322" priority="118">
      <formula>E$9&lt;8/24</formula>
    </cfRule>
  </conditionalFormatting>
  <conditionalFormatting sqref="E84:O84">
    <cfRule type="expression" dxfId="321" priority="110">
      <formula>E$9&gt;=20/24</formula>
    </cfRule>
    <cfRule type="expression" dxfId="320" priority="111">
      <formula>AND(E$9&gt;=14/24,E$9&lt;20/24)</formula>
    </cfRule>
    <cfRule type="expression" dxfId="319" priority="112">
      <formula>AND(E$9&gt;=8/24,E$9&lt;14/24)</formula>
    </cfRule>
    <cfRule type="expression" dxfId="318" priority="113">
      <formula>E$9&lt;8/24</formula>
    </cfRule>
  </conditionalFormatting>
  <conditionalFormatting sqref="E76:AF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E73:AF75">
    <cfRule type="expression" dxfId="313" priority="35">
      <formula>E$9&gt;=20/24</formula>
    </cfRule>
    <cfRule type="expression" dxfId="312" priority="36">
      <formula>AND(E$9&gt;=14/24,E$9&lt;20/24)</formula>
    </cfRule>
    <cfRule type="expression" dxfId="311" priority="37">
      <formula>AND(E$9&gt;=8/24,E$9&lt;14/24)</formula>
    </cfRule>
    <cfRule type="expression" dxfId="310" priority="38">
      <formula>E$9&lt;8/24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D107 B137:D152 B109:D112 B125:D134 B154:D159 B11:D13">
    <cfRule type="expression" dxfId="204" priority="20">
      <formula>B$9&gt;=20/24</formula>
    </cfRule>
  </conditionalFormatting>
  <conditionalFormatting sqref="B97:D107 B137:D152 B109:D112 B125:D134 B154:D159 B11:D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D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D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D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D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A42" sqref="A42:XFD42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2026-05-14T20:29:58Z</dcterms:modified>
</cp:coreProperties>
</file>