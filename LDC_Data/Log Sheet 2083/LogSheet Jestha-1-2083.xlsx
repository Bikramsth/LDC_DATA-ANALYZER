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4"/>
  </bookViews>
  <sheets>
    <sheet name="01" sheetId="72" r:id="rId1"/>
    <sheet name="Sample" sheetId="1" r:id="rId2"/>
    <sheet name="Calc" sheetId="3" r:id="rId3"/>
    <sheet name="Sheet6" sheetId="36" r:id="rId4"/>
    <sheet name="Schedule daily update" sheetId="63" r:id="rId5"/>
    <sheet name="Schedule 2026.5.11 BG" sheetId="67" state="hidden" r:id="rId6"/>
    <sheet name="Schedule 2026.5.11" sheetId="64" state="hidden" r:id="rId7"/>
  </sheets>
  <definedNames>
    <definedName name="a" localSheetId="0">#REF!</definedName>
    <definedName name="a" localSheetId="1">#REF!</definedName>
    <definedName name="a" localSheetId="6">#REF!</definedName>
    <definedName name="a" localSheetId="5">#REF!</definedName>
    <definedName name="a">#REF!</definedName>
    <definedName name="IPP" localSheetId="0">#REF!</definedName>
    <definedName name="IPP" localSheetId="1">#REF!</definedName>
    <definedName name="IPP" localSheetId="6">#REF!</definedName>
    <definedName name="IPP" localSheetId="5">#REF!</definedName>
    <definedName name="IPP">#REF!</definedName>
    <definedName name="ippp" localSheetId="0">#REF!</definedName>
    <definedName name="ippp" localSheetId="1">#REF!</definedName>
    <definedName name="ippp" localSheetId="6">#REF!</definedName>
    <definedName name="ippp" localSheetId="5">#REF!</definedName>
    <definedName name="ippp">#REF!</definedName>
    <definedName name="samolea" localSheetId="0">#REF!</definedName>
    <definedName name="samolea" localSheetId="1">#REF!</definedName>
    <definedName name="samolea" localSheetId="6">#REF!</definedName>
    <definedName name="samolea" localSheetId="5">#REF!</definedName>
    <definedName name="samolea">#REF!</definedName>
    <definedName name="sampke1" localSheetId="0">#REF!</definedName>
    <definedName name="sampke1" localSheetId="1">#REF!</definedName>
    <definedName name="sampke1" localSheetId="6">#REF!</definedName>
    <definedName name="sampke1" localSheetId="5">#REF!</definedName>
    <definedName name="sampke1">#REF!</definedName>
    <definedName name="sample" localSheetId="0">#REF!</definedName>
    <definedName name="sample" localSheetId="1">#REF!</definedName>
    <definedName name="sample" localSheetId="6">#REF!</definedName>
    <definedName name="sample" localSheetId="5">#REF!</definedName>
    <definedName name="sample">#REF!</definedName>
    <definedName name="SAMPLE1" localSheetId="0">#REF!</definedName>
    <definedName name="SAMPLE1" localSheetId="1">#REF!</definedName>
    <definedName name="SAMPLE1" localSheetId="6">#REF!</definedName>
    <definedName name="SAMPLE1" localSheetId="5">#REF!</definedName>
    <definedName name="SAMPLE1">#REF!</definedName>
    <definedName name="sdasdf" localSheetId="0">#REF!</definedName>
    <definedName name="sdasdf" localSheetId="1">#REF!</definedName>
    <definedName name="sdasdf" localSheetId="6">#REF!</definedName>
    <definedName name="sdasdf" localSheetId="5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C138" i="72" l="1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X78" i="72" l="1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E123" i="72" s="1"/>
  <c r="BI23" i="72" s="1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F123" i="72" s="1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F124" i="72" s="1"/>
  <c r="AE108" i="72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V88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E113" i="72" s="1"/>
  <c r="AE115" i="72" s="1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BJ23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J20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J19" i="72"/>
  <c r="BI19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I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J22" i="72" s="1"/>
  <c r="BJ25" i="72" s="1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E5" i="72"/>
  <c r="AD5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D123" i="72" l="1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BI25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E116" i="72"/>
  <c r="AE7" i="72" s="1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AB116" i="72" l="1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D274" i="72"/>
  <c r="AE169" i="72"/>
  <c r="AI135" i="72"/>
  <c r="AH135" i="72"/>
  <c r="AE274" i="72" l="1"/>
  <c r="AF169" i="72"/>
  <c r="AF274" i="72" s="1"/>
  <c r="Q20" i="63" l="1"/>
  <c r="W98" i="67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50" i="63" l="1"/>
  <c r="U50" i="63" s="1"/>
  <c r="Q4" i="63"/>
  <c r="U4" i="63" s="1"/>
  <c r="Q5" i="63"/>
  <c r="U5" i="63" s="1"/>
  <c r="Q6" i="63"/>
  <c r="U6" i="63" s="1"/>
  <c r="Q7" i="63"/>
  <c r="U7" i="63" s="1"/>
  <c r="Q8" i="63"/>
  <c r="U8" i="63" s="1"/>
  <c r="Q9" i="63"/>
  <c r="U9" i="63" s="1"/>
  <c r="Q10" i="63"/>
  <c r="U10" i="63" s="1"/>
  <c r="Q11" i="63"/>
  <c r="U11" i="63" s="1"/>
  <c r="Q12" i="63"/>
  <c r="U12" i="63" s="1"/>
  <c r="Q13" i="63"/>
  <c r="U13" i="63" s="1"/>
  <c r="Q14" i="63"/>
  <c r="U14" i="63" s="1"/>
  <c r="Q15" i="63"/>
  <c r="U15" i="63" s="1"/>
  <c r="Q16" i="63"/>
  <c r="U16" i="63" s="1"/>
  <c r="Q17" i="63"/>
  <c r="U17" i="63" s="1"/>
  <c r="Q18" i="63"/>
  <c r="U18" i="63" s="1"/>
  <c r="Q19" i="63"/>
  <c r="U19" i="63" s="1"/>
  <c r="U20" i="63"/>
  <c r="Q21" i="63"/>
  <c r="U21" i="63" s="1"/>
  <c r="Q22" i="63"/>
  <c r="U22" i="63" s="1"/>
  <c r="Q23" i="63"/>
  <c r="U23" i="63" s="1"/>
  <c r="Q24" i="63"/>
  <c r="U24" i="63" s="1"/>
  <c r="Q25" i="63"/>
  <c r="U25" i="63" s="1"/>
  <c r="Q26" i="63"/>
  <c r="U26" i="63" s="1"/>
  <c r="Q27" i="63"/>
  <c r="U27" i="63" s="1"/>
  <c r="Q28" i="63"/>
  <c r="U28" i="63" s="1"/>
  <c r="Q29" i="63"/>
  <c r="U29" i="63" s="1"/>
  <c r="Q30" i="63"/>
  <c r="U30" i="63" s="1"/>
  <c r="Q31" i="63"/>
  <c r="U31" i="63" s="1"/>
  <c r="Q32" i="63"/>
  <c r="U32" i="63" s="1"/>
  <c r="Q33" i="63"/>
  <c r="U33" i="63" s="1"/>
  <c r="Q34" i="63"/>
  <c r="U34" i="63" s="1"/>
  <c r="Q35" i="63"/>
  <c r="U35" i="63" s="1"/>
  <c r="Q36" i="63"/>
  <c r="U36" i="63" s="1"/>
  <c r="Q37" i="63"/>
  <c r="U37" i="63" s="1"/>
  <c r="Q38" i="63"/>
  <c r="U38" i="63" s="1"/>
  <c r="Q39" i="63"/>
  <c r="U39" i="63" s="1"/>
  <c r="Q40" i="63"/>
  <c r="U40" i="63" s="1"/>
  <c r="Q41" i="63"/>
  <c r="U41" i="63" s="1"/>
  <c r="Q42" i="63"/>
  <c r="U42" i="63" s="1"/>
  <c r="Q43" i="63"/>
  <c r="U43" i="63" s="1"/>
  <c r="Q44" i="63"/>
  <c r="U44" i="63" s="1"/>
  <c r="Q45" i="63"/>
  <c r="U45" i="63" s="1"/>
  <c r="Q46" i="63"/>
  <c r="U46" i="63" s="1"/>
  <c r="Q47" i="63"/>
  <c r="U47" i="63" s="1"/>
  <c r="Q48" i="63"/>
  <c r="U48" i="63" s="1"/>
  <c r="Q49" i="63"/>
  <c r="U49" i="63" s="1"/>
  <c r="Q51" i="63"/>
  <c r="U51" i="63" s="1"/>
  <c r="Q52" i="63"/>
  <c r="U52" i="63" s="1"/>
  <c r="Q53" i="63"/>
  <c r="U53" i="63" s="1"/>
  <c r="Q54" i="63"/>
  <c r="U54" i="63" s="1"/>
  <c r="Q55" i="63"/>
  <c r="U55" i="63" s="1"/>
  <c r="Q56" i="63"/>
  <c r="U56" i="63" s="1"/>
  <c r="Q57" i="63"/>
  <c r="U57" i="63" s="1"/>
  <c r="Q58" i="63"/>
  <c r="U58" i="63" s="1"/>
  <c r="Q59" i="63"/>
  <c r="U59" i="63" s="1"/>
  <c r="Q60" i="63"/>
  <c r="U60" i="63" s="1"/>
  <c r="Q61" i="63"/>
  <c r="U61" i="63" s="1"/>
  <c r="Q62" i="63"/>
  <c r="U62" i="63" s="1"/>
  <c r="Q63" i="63"/>
  <c r="U63" i="63" s="1"/>
  <c r="Q64" i="63"/>
  <c r="U64" i="63" s="1"/>
  <c r="Q65" i="63"/>
  <c r="U65" i="63" s="1"/>
  <c r="Q66" i="63"/>
  <c r="U66" i="63" s="1"/>
  <c r="Q67" i="63"/>
  <c r="U67" i="63" s="1"/>
  <c r="Q68" i="63"/>
  <c r="U68" i="63" s="1"/>
  <c r="Q69" i="63"/>
  <c r="U69" i="63" s="1"/>
  <c r="Q70" i="63"/>
  <c r="U70" i="63" s="1"/>
  <c r="Q71" i="63"/>
  <c r="U71" i="63" s="1"/>
  <c r="Q72" i="63"/>
  <c r="U72" i="63" s="1"/>
  <c r="Q73" i="63"/>
  <c r="U73" i="63" s="1"/>
  <c r="Q74" i="63"/>
  <c r="U74" i="63" s="1"/>
  <c r="Q75" i="63"/>
  <c r="U75" i="63" s="1"/>
  <c r="Q76" i="63"/>
  <c r="U76" i="63" s="1"/>
  <c r="Q77" i="63"/>
  <c r="U77" i="63" s="1"/>
  <c r="Q78" i="63"/>
  <c r="U78" i="63" s="1"/>
  <c r="Q79" i="63"/>
  <c r="U79" i="63" s="1"/>
  <c r="Q80" i="63"/>
  <c r="U80" i="63" s="1"/>
  <c r="Q81" i="63"/>
  <c r="U81" i="63" s="1"/>
  <c r="Q82" i="63"/>
  <c r="U82" i="63" s="1"/>
  <c r="Q83" i="63"/>
  <c r="U83" i="63" s="1"/>
  <c r="Q84" i="63"/>
  <c r="U84" i="63" s="1"/>
  <c r="Q85" i="63"/>
  <c r="U85" i="63" s="1"/>
  <c r="Q86" i="63"/>
  <c r="U86" i="63" s="1"/>
  <c r="Q87" i="63"/>
  <c r="U87" i="63" s="1"/>
  <c r="Q88" i="63"/>
  <c r="U88" i="63" s="1"/>
  <c r="Q89" i="63"/>
  <c r="U89" i="63" s="1"/>
  <c r="Q90" i="63"/>
  <c r="U90" i="63" s="1"/>
  <c r="Q91" i="63"/>
  <c r="U91" i="63" s="1"/>
  <c r="Q92" i="63"/>
  <c r="U92" i="63" s="1"/>
  <c r="Q93" i="63"/>
  <c r="U93" i="63" s="1"/>
  <c r="Q94" i="63"/>
  <c r="U94" i="63" s="1"/>
  <c r="Q95" i="63"/>
  <c r="U95" i="63" s="1"/>
  <c r="Q96" i="63"/>
  <c r="U96" i="63" s="1"/>
  <c r="Q97" i="63"/>
  <c r="U97" i="63" s="1"/>
  <c r="Q98" i="63"/>
  <c r="U98" i="63" s="1"/>
  <c r="Q3" i="63"/>
  <c r="U3" i="63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<sst xmlns="http://schemas.openxmlformats.org/spreadsheetml/2006/main" count="954" uniqueCount="415">
  <si>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</si>
  <si>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</si>
  <si>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</si>
  <si>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</si>
  <si>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</si>
  <si>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</si>
  <si>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</si>
  <si>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</si>
  <si>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</si>
  <si>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</si>
  <si>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</si>
  <si>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</si>
  <si>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</si>
  <si>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</si>
  <si>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</si>
  <si>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</si>
  <si>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</si>
  <si>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</si>
  <si>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</si>
  <si>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</si>
  <si>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</si>
  <si>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</si>
  <si>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</si>
  <si>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</si>
  <si>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</si>
  <si>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</si>
  <si>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</si>
  <si>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</si>
  <si>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</si>
  <si>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</si>
  <si>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</si>
  <si>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</si>
  <si>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</si>
  <si>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</si>
  <si>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</si>
  <si>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</si>
  <si>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</si>
  <si>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</si>
  <si>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</si>
  <si>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</si>
  <si>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</si>
  <si>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</si>
  <si>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</si>
  <si>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</si>
  <si>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</si>
  <si>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</si>
  <si>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</si>
  <si>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</si>
  <si>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</si>
  <si>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</si>
  <si>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</si>
  <si>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</si>
  <si>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</si>
  <si>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</si>
  <si>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</si>
  <si>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</si>
  <si>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</si>
  <si>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</si>
  <si>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</si>
  <si>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</si>
  <si>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</si>
  <si>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</si>
  <si>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</si>
  <si>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</si>
  <si>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</si>
  <si>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</si>
  <si>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</si>
  <si>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</si>
  <si>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</si>
  <si>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</si>
  <si>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</si>
  <si>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</si>
  <si>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</si>
  <si>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</si>
  <si>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</si>
  <si>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</si>
  <si>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</si>
  <si>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</si>
  <si>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</si>
  <si>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</si>
  <si>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</si>
  <si>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</si>
  <si>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</si>
  <si>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</si>
  <si>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</si>
  <si>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</si>
  <si>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</si>
  <si>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</si>
  <si>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</si>
  <si>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</si>
  <si>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</si>
  <si>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</si>
  <si>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</si>
  <si>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</si>
  <si>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</si>
  <si>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</si>
  <si>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</si>
  <si>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</si>
  <si>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</si>
  <si>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</si>
  <si>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</si>
  <si>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</si>
  <si>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</si>
  <si>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</si>
  <si>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</si>
  <si>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</si>
  <si>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</si>
  <si>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</si>
  <si>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</si>
  <si>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</si>
  <si>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</si>
  <si>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</si>
  <si>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</si>
  <si>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</si>
  <si>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</si>
  <si>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</si>
  <si>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</si>
  <si>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</si>
  <si>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</si>
  <si>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</si>
  <si>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</si>
  <si>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</si>
  <si>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</si>
  <si>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</si>
  <si>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</si>
  <si>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</si>
  <si>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</si>
  <si>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</si>
  <si>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</si>
  <si>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</si>
  <si>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</si>
  <si>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</si>
  <si>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</si>
  <si>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</si>
  <si>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</si>
  <si>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</si>
  <si>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</si>
  <si>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</si>
  <si>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</si>
  <si>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</si>
  <si>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</si>
  <si>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</si>
  <si>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</si>
  <si>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</si>
  <si>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</si>
  <si>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</si>
  <si>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</si>
  <si>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</si>
  <si>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</si>
  <si>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</si>
  <si>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</si>
  <si>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</si>
  <si>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</si>
  <si>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</si>
  <si>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</si>
  <si>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</si>
  <si>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</si>
  <si>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</si>
  <si>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</si>
  <si>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</si>
  <si>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</si>
  <si>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</si>
  <si>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</si>
  <si>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</si>
  <si>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</si>
  <si>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</si>
  <si>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</si>
  <si>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</si>
  <si>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</si>
  <si>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</si>
  <si>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</si>
  <si>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</si>
  <si>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</si>
  <si>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</si>
  <si>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</si>
  <si>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</si>
  <si>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</si>
  <si>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</si>
  <si>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</si>
  <si>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</si>
  <si>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</si>
  <si>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</si>
  <si>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</si>
  <si>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</si>
  <si>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</si>
  <si>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</si>
  <si>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</si>
  <si>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</si>
  <si>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</si>
  <si>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</si>
  <si>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</si>
  <si>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</si>
  <si>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</si>
  <si>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</si>
  <si>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</si>
  <si>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</si>
  <si>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</si>
  <si>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</si>
  <si>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</si>
  <si>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</si>
  <si>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</si>
  <si>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</si>
  <si>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</si>
  <si>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</si>
  <si>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</si>
  <si>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</si>
  <si>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</si>
  <si>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</si>
  <si>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</si>
  <si>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</si>
  <si>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</si>
  <si>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</si>
  <si>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</si>
  <si>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</si>
  <si>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</si>
  <si>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</si>
  <si>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</si>
  <si>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</si>
  <si>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</si>
  <si>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</si>
  <si>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</si>
  <si>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</si>
  <si>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</si>
  <si>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</si>
  <si>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</si>
  <si>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</si>
  <si>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</si>
  <si>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</si>
  <si>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</si>
  <si>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</si>
  <si>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</si>
  <si>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</si>
  <si>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</si>
  <si>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</si>
  <si>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</si>
  <si>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</si>
  <si>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</si>
  <si>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</si>
  <si>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</si>
  <si>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</si>
  <si>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</si>
  <si>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</si>
  <si>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</si>
  <si>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</si>
  <si>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</si>
  <si>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</si>
  <si>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</si>
  <si>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</si>
  <si>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</si>
  <si>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</si>
  <si>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</si>
  <si>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</si>
  <si>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</si>
  <si>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</si>
  <si>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</si>
  <si>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</si>
  <si>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</si>
  <si>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</si>
  <si>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</si>
  <si>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</si>
  <si>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</si>
  <si>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</si>
  <si>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</si>
  <si>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</si>
  <si>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</si>
  <si>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</si>
  <si>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</si>
  <si>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</si>
  <si>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</si>
  <si>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</si>
  <si>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</si>
  <si>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</si>
  <si>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</si>
  <si>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</si>
  <si>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</si>
  <si>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</si>
  <si>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</si>
  <si>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</si>
  <si>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</si>
  <si>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</si>
  <si>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</si>
  <si>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</si>
  <si>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</si>
  <si>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</si>
  <si>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</si>
  <si>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</si>
  <si>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</si>
  <si>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</si>
  <si>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</si>
  <si>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</si>
  <si>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</si>
  <si>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</si>
  <si>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</si>
  <si>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</si>
  <si>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</si>
  <si>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</si>
  <si>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</si>
  <si>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</si>
  <si>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</si>
  <si>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</si>
  <si>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</si>
  <si>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</si>
  <si>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</si>
  <si>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</si>
  <si>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</si>
  <si>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</si>
  <si>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</si>
  <si>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</si>
  <si>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</si>
  <si>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</si>
  <si>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</si>
  <si>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</si>
  <si>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</si>
  <si>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</si>
  <si>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</si>
  <si>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</si>
  <si>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</si>
  <si>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</si>
  <si>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</si>
  <si>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</si>
  <si>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</si>
  <si>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</si>
  <si>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</si>
  <si>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</si>
  <si>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</si>
  <si>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</si>
  <si>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</si>
  <si>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</si>
  <si>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</si>
  <si>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</si>
  <si>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</si>
  <si>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</si>
  <si>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</si>
  <si>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</si>
  <si>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</si>
  <si>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</si>
  <si>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</si>
  <si>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</si>
  <si>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</si>
  <si>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</si>
  <si>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</si>
  <si>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</si>
  <si>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</si>
  <si>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</si>
  <si>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</si>
  <si>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</si>
  <si>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</si>
  <si>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</si>
  <si>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</si>
  <si>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</si>
  <si>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</si>
  <si>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</si>
  <si>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</si>
  <si>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</si>
  <si>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</si>
  <si>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</si>
  <si>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</si>
  <si>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</si>
  <si>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</si>
  <si>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</si>
  <si>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</si>
  <si>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</si>
  <si>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</si>
  <si>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</si>
  <si>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</si>
  <si>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</si>
  <si>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</si>
  <si>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</si>
  <si>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</si>
  <si>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</si>
  <si>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</si>
  <si>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</si>
  <si>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</si>
  <si>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</si>
  <si>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</si>
  <si>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</si>
  <si>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</si>
  <si>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</si>
  <si>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</si>
  <si>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</si>
  <si>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</si>
  <si>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</si>
  <si>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</si>
  <si>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</si>
  <si>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</si>
  <si>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</si>
  <si>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</si>
  <si>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</si>
  <si>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</si>
  <si>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</si>
  <si>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</si>
  <si>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</si>
  <si>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</si>
  <si>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</si>
  <si>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</si>
  <si>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</si>
  <si>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</si>
  <si>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</si>
  <si>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</si>
  <si>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</si>
  <si>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</si>
  <si>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</si>
  <si>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</si>
  <si>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</si>
  <si>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</si>
  <si>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</si>
  <si>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</si>
  <si>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</si>
  <si>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</si>
  <si>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</si>
  <si>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Date: 2083-02-01</t>
  </si>
  <si>
    <t>UP(RTM)</t>
  </si>
  <si>
    <t>Tanakpur(RTM)</t>
  </si>
  <si>
    <t>624.72.</t>
  </si>
  <si>
    <t>total sale  RTM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</si>
</sst>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sz val="10"/>
      <name val="Verdana"/>
      <family val="2"/>
    </font>
  </fonts>
  <fills count="15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9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43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0" fontId="0" fillId="0" borderId="0" xfId="0" applyAlignment="1">
      <alignment vertical="center" wrapText="1"/>
    </xf>
    <xf numFmtId="0" fontId="3" fillId="0" borderId="6" xfId="0" applyFont="1" applyBorder="1" applyAlignment="1">
      <alignment wrapText="1"/>
    </xf>
    <xf numFmtId="0" fontId="0" fillId="0" borderId="0" xfId="0" applyBorder="1"/>
    <xf numFmtId="167" fontId="13" fillId="0" borderId="17" xfId="1" applyNumberFormat="1" applyFont="1" applyBorder="1" applyAlignment="1">
      <alignment horizontal="center" vertical="center"/>
    </xf>
    <xf numFmtId="0" fontId="0" fillId="0" borderId="19" xfId="0" applyFill="1" applyBorder="1"/>
    <xf numFmtId="2" fontId="37" fillId="14" borderId="6" xfId="0" applyNumberFormat="1" applyFont="1" applyFill="1" applyBorder="1" applyAlignment="1">
      <alignment horizontal="center" vertical="center" wrapText="1"/>
    </xf>
    <xf numFmtId="0" fontId="3" fillId="0" borderId="0" xfId="0" applyFont="1"/>
    <xf numFmtId="0" fontId="19" fillId="0" borderId="6" xfId="0" applyFont="1" applyBorder="1"/>
    <xf numFmtId="0" fontId="0" fillId="5" borderId="6" xfId="0" applyFill="1" applyBorder="1" applyAlignment="1">
      <alignment vertical="center" wrapText="1"/>
    </xf>
    <xf numFmtId="0" fontId="19" fillId="5" borderId="6" xfId="0" applyFont="1" applyFill="1" applyBorder="1"/>
    <xf numFmtId="2" fontId="37" fillId="5" borderId="6" xfId="0" applyNumberFormat="1" applyFont="1" applyFill="1" applyBorder="1" applyAlignment="1">
      <alignment horizontal="center" vertical="center" wrapText="1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408"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mailto:Spectrum@2" TargetMode="External"/><Relationship Id="rId1" Type="http://schemas.openxmlformats.org/officeDocument/2006/relationships/hyperlink" Target="mailto:Spectrum@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L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F146" sqref="AF146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36" t="s">
        <v>0</v>
      </c>
      <c r="B1" s="236"/>
      <c r="C1" s="236"/>
      <c r="D1" s="236"/>
      <c r="E1" s="236"/>
      <c r="F1" s="236"/>
      <c r="G1" s="236"/>
      <c r="H1" s="236"/>
      <c r="I1" s="236"/>
      <c r="J1" s="236"/>
      <c r="K1" s="236"/>
      <c r="L1" s="236"/>
      <c r="M1" s="236"/>
      <c r="N1" s="236"/>
      <c r="O1" s="236"/>
      <c r="P1" s="236"/>
      <c r="Q1" s="236"/>
      <c r="R1" s="236"/>
      <c r="S1" s="236"/>
      <c r="T1" s="236"/>
      <c r="U1" s="236"/>
      <c r="V1" s="236"/>
      <c r="W1" s="236"/>
      <c r="X1" s="236"/>
      <c r="Y1" s="236"/>
      <c r="Z1" s="236"/>
      <c r="AA1" s="236"/>
      <c r="AB1" s="236"/>
      <c r="AC1" s="236"/>
      <c r="AD1" s="236"/>
      <c r="AE1" s="236"/>
      <c r="AF1" s="236"/>
      <c r="AG1" s="237" t="s">
        <v>1</v>
      </c>
      <c r="AH1" s="237"/>
      <c r="AI1" s="237"/>
      <c r="AL1" s="2"/>
    </row>
    <row r="2" spans="1:88" ht="20.25" hidden="1">
      <c r="A2" s="3"/>
      <c r="B2" s="238" t="s">
        <v>2</v>
      </c>
      <c r="C2" s="4"/>
      <c r="D2" s="240" t="s">
        <v>3</v>
      </c>
      <c r="E2" s="4"/>
      <c r="F2" s="240" t="s">
        <v>4</v>
      </c>
      <c r="G2" s="4"/>
      <c r="H2" s="240" t="s">
        <v>5</v>
      </c>
      <c r="I2" s="5"/>
      <c r="J2" s="242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39"/>
      <c r="C3" s="16"/>
      <c r="D3" s="241"/>
      <c r="E3" s="16"/>
      <c r="F3" s="241"/>
      <c r="G3" s="16"/>
      <c r="H3" s="241"/>
      <c r="I3" s="17"/>
      <c r="J3" s="24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1" t="str">
        <f ca="1">"2080/"&amp;"10/"&amp;INT(MID(CELL("filename",D6),FIND("]",CELL("filename",D6))+1,200))</f>
        <v>2080/10/1</v>
      </c>
      <c r="C4" s="231"/>
      <c r="D4" s="231"/>
      <c r="E4" s="232" t="str">
        <f ca="1">"2080/"&amp;"10/"&amp;INT(MID(CELL("filename",G6),FIND("]",CELL("filename",G6))+1,200))</f>
        <v>2080/10/1</v>
      </c>
      <c r="F4" s="232"/>
      <c r="G4" s="232"/>
      <c r="H4" s="232" t="str">
        <f ca="1">TEXT(E4,"dddd")</f>
        <v>Tuesday</v>
      </c>
      <c r="I4" s="232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0</v>
      </c>
      <c r="AE5" s="30">
        <f t="shared" si="0"/>
        <v>0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3" t="s">
        <v>14</v>
      </c>
      <c r="C8" s="234"/>
      <c r="D8" s="234"/>
      <c r="E8" s="234"/>
      <c r="F8" s="234"/>
      <c r="G8" s="234"/>
      <c r="H8" s="234"/>
      <c r="I8" s="234"/>
      <c r="J8" s="234"/>
      <c r="K8" s="234"/>
      <c r="L8" s="235"/>
      <c r="M8" s="226" t="s">
        <v>15</v>
      </c>
      <c r="N8" s="227"/>
      <c r="O8" s="227"/>
      <c r="P8" s="227"/>
      <c r="Q8" s="227"/>
      <c r="R8" s="228"/>
      <c r="S8" s="226" t="s">
        <v>16</v>
      </c>
      <c r="T8" s="227"/>
      <c r="U8" s="227"/>
      <c r="V8" s="227"/>
      <c r="W8" s="227"/>
      <c r="X8" s="227"/>
      <c r="Y8" s="227"/>
      <c r="Z8" s="227"/>
      <c r="AA8" s="228"/>
      <c r="AB8" s="226" t="s">
        <v>17</v>
      </c>
      <c r="AC8" s="227"/>
      <c r="AD8" s="227"/>
      <c r="AE8" s="227"/>
      <c r="AF8" s="228"/>
      <c r="AG8" s="39"/>
      <c r="AH8" s="217"/>
      <c r="AI8" s="21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23">
        <v>0</v>
      </c>
      <c r="C9" s="223">
        <v>4.1666666666666664E-2</v>
      </c>
      <c r="D9" s="223">
        <v>8.3333333333333301E-2</v>
      </c>
      <c r="E9" s="223">
        <v>0.125</v>
      </c>
      <c r="F9" s="223">
        <v>0.16666666666666699</v>
      </c>
      <c r="G9" s="223">
        <v>0.20833333333333301</v>
      </c>
      <c r="H9" s="223">
        <v>0.22916666666666699</v>
      </c>
      <c r="I9" s="223">
        <v>0.25</v>
      </c>
      <c r="J9" s="223">
        <v>0.27083333333333298</v>
      </c>
      <c r="K9" s="223">
        <v>0.29166666666666702</v>
      </c>
      <c r="L9" s="223">
        <v>0.3125</v>
      </c>
      <c r="M9" s="224">
        <v>0.33333333333333298</v>
      </c>
      <c r="N9" s="224">
        <v>0.375</v>
      </c>
      <c r="O9" s="224">
        <v>0.41666666666666702</v>
      </c>
      <c r="P9" s="224">
        <v>0.45833333333333298</v>
      </c>
      <c r="Q9" s="224">
        <v>0.5</v>
      </c>
      <c r="R9" s="224">
        <v>0.54166666666666696</v>
      </c>
      <c r="S9" s="217">
        <v>0.58333333333333304</v>
      </c>
      <c r="T9" s="217">
        <v>0.625</v>
      </c>
      <c r="U9" s="217">
        <v>0.66666666666666696</v>
      </c>
      <c r="V9" s="217">
        <v>0.70833333333333304</v>
      </c>
      <c r="W9" s="217">
        <v>0.72916666666666696</v>
      </c>
      <c r="X9" s="217">
        <v>0.75</v>
      </c>
      <c r="Y9" s="217">
        <v>0.77083333333333304</v>
      </c>
      <c r="Z9" s="217">
        <v>0.79166666666666696</v>
      </c>
      <c r="AA9" s="217">
        <v>0.8125</v>
      </c>
      <c r="AB9" s="217">
        <v>0.83333333333333304</v>
      </c>
      <c r="AC9" s="217">
        <v>0.85416666666666696</v>
      </c>
      <c r="AD9" s="217">
        <v>0.875</v>
      </c>
      <c r="AE9" s="217">
        <v>0.91666666666666696</v>
      </c>
      <c r="AF9" s="217">
        <v>0.95833333333333304</v>
      </c>
      <c r="AG9" s="219" t="s">
        <v>1</v>
      </c>
      <c r="AH9" s="218"/>
      <c r="AI9" s="21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23"/>
      <c r="C10" s="223"/>
      <c r="D10" s="223"/>
      <c r="E10" s="223"/>
      <c r="F10" s="223"/>
      <c r="G10" s="223"/>
      <c r="H10" s="218"/>
      <c r="I10" s="218"/>
      <c r="J10" s="218"/>
      <c r="K10" s="218"/>
      <c r="L10" s="218"/>
      <c r="M10" s="225"/>
      <c r="N10" s="225"/>
      <c r="O10" s="225"/>
      <c r="P10" s="225"/>
      <c r="Q10" s="225"/>
      <c r="R10" s="225"/>
      <c r="S10" s="218"/>
      <c r="T10" s="218"/>
      <c r="U10" s="218"/>
      <c r="V10" s="218"/>
      <c r="W10" s="218"/>
      <c r="X10" s="218"/>
      <c r="Y10" s="218"/>
      <c r="Z10" s="218"/>
      <c r="AA10" s="218"/>
      <c r="AB10" s="218"/>
      <c r="AC10" s="218"/>
      <c r="AD10" s="218"/>
      <c r="AE10" s="218"/>
      <c r="AF10" s="218"/>
      <c r="AG10" s="220"/>
      <c r="AH10" s="209" t="s">
        <v>19</v>
      </c>
      <c r="AI10" s="209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4"/>
      <c r="AF11" s="44"/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4"/>
      <c r="AF12" s="44"/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4"/>
      <c r="AF13" s="44"/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4"/>
      <c r="AF14" s="44"/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4"/>
      <c r="AF15" s="44"/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4"/>
      <c r="AF16" s="44"/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/>
      <c r="AF17" s="44"/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/>
      <c r="AF18" s="44"/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/>
      <c r="AF22" s="44"/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/>
      <c r="AF23" s="44"/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/>
      <c r="AF24" s="44"/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/>
      <c r="AF25" s="44"/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/>
      <c r="AF26" s="44"/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/>
      <c r="AF27" s="44"/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/>
      <c r="AF28" s="44"/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/>
      <c r="AF29" s="44"/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/>
      <c r="AF31" s="44"/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/>
      <c r="AF32" s="44"/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/>
      <c r="AF33" s="44"/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/>
      <c r="AF34" s="44"/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/>
      <c r="AF36" s="44"/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/>
      <c r="AF37" s="44"/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/>
      <c r="AF38" s="44"/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/>
      <c r="AF42" s="44"/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/>
      <c r="AF44" s="44"/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/>
      <c r="AF45" s="44"/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/>
      <c r="AF46" s="44"/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/>
      <c r="AF47" s="44"/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/>
      <c r="AF48" s="44"/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/>
      <c r="AF49" s="44"/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/>
      <c r="AF51" s="44"/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/>
      <c r="AF52" s="44"/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/>
      <c r="AF53" s="44"/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/>
      <c r="AF55" s="44"/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/>
      <c r="AF57" s="44"/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/>
      <c r="AF58" s="44"/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/>
      <c r="AF59" s="44"/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/>
      <c r="AF60" s="44"/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/>
      <c r="AF61" s="44"/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/>
      <c r="AF63" s="44"/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/>
      <c r="AF65" s="44"/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/>
      <c r="AF66" s="44"/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/>
      <c r="AF67" s="44"/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/>
      <c r="AF68" s="44"/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D70" si="21">58+70</f>
        <v>128</v>
      </c>
      <c r="AD70" s="68">
        <f t="shared" si="21"/>
        <v>128</v>
      </c>
      <c r="AE70" s="66"/>
      <c r="AF70" s="66"/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150</v>
      </c>
      <c r="AF71" s="70">
        <f t="shared" si="24"/>
        <v>150</v>
      </c>
      <c r="AG71" s="70">
        <f t="shared" si="24"/>
        <v>1812.2049999999999</v>
      </c>
      <c r="AH71" s="46">
        <f t="shared" si="2"/>
        <v>996.27</v>
      </c>
      <c r="AI71" s="47">
        <f t="shared" si="3"/>
        <v>150</v>
      </c>
      <c r="AK71" s="49"/>
    </row>
    <row r="72" spans="1:88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/>
      <c r="AF72" s="44"/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/>
      <c r="AF73" s="43"/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/>
      <c r="AF74" s="43"/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/>
      <c r="AF75" s="43"/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/>
      <c r="AF76" s="43"/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/>
      <c r="AF77" s="77"/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0</v>
      </c>
      <c r="AF78" s="70">
        <f t="shared" si="32"/>
        <v>0</v>
      </c>
      <c r="AG78" s="80">
        <f t="shared" si="32"/>
        <v>706.4</v>
      </c>
      <c r="AH78" s="46">
        <f t="shared" si="28"/>
        <v>612</v>
      </c>
      <c r="AI78" s="47">
        <f t="shared" si="29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/>
      <c r="AF79" s="44"/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0</v>
      </c>
      <c r="BV79" s="81">
        <f t="shared" si="42"/>
        <v>0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4"/>
      <c r="AF80" s="44"/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0</v>
      </c>
      <c r="BV80" s="81">
        <f t="shared" si="42"/>
        <v>0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4"/>
      <c r="AF81" s="44"/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0</v>
      </c>
      <c r="BV81" s="81">
        <f t="shared" si="42"/>
        <v>0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4"/>
      <c r="AF82" s="44"/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0</v>
      </c>
      <c r="BV82" s="81">
        <f t="shared" si="42"/>
        <v>0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4"/>
      <c r="AF83" s="44"/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/>
      <c r="AF84" s="43"/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/>
      <c r="AF85" s="43"/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/>
      <c r="AF86" s="43"/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0</v>
      </c>
      <c r="BV86" s="82">
        <f t="shared" si="44"/>
        <v>0</v>
      </c>
      <c r="BW86" s="82">
        <f t="shared" si="44"/>
        <v>-270</v>
      </c>
    </row>
    <row r="87" spans="1:7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/>
      <c r="AF87" s="43"/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0</v>
      </c>
      <c r="BV87" s="82">
        <f t="shared" si="44"/>
        <v>0</v>
      </c>
      <c r="BW87" s="82">
        <f t="shared" si="44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/>
      <c r="AF88" s="43"/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0</v>
      </c>
      <c r="BV88" s="82">
        <f t="shared" si="44"/>
        <v>0</v>
      </c>
      <c r="BW88" s="82">
        <f t="shared" si="44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/>
      <c r="AF89" s="43"/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0</v>
      </c>
      <c r="BV89" s="82">
        <f t="shared" si="44"/>
        <v>0</v>
      </c>
      <c r="BW89" s="82">
        <f t="shared" si="44"/>
        <v>18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/>
      <c r="AF90" s="43"/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2</v>
      </c>
      <c r="AF92" s="70">
        <f t="shared" si="47"/>
        <v>2</v>
      </c>
      <c r="AG92" s="80">
        <f t="shared" si="47"/>
        <v>489.91</v>
      </c>
      <c r="AH92" s="46">
        <f t="shared" si="28"/>
        <v>354.37</v>
      </c>
      <c r="AI92" s="47">
        <f t="shared" si="29"/>
        <v>2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/>
      <c r="AF93" s="44"/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/>
      <c r="AF94" s="43"/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/>
      <c r="AF95" s="77"/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0</v>
      </c>
      <c r="AF96" s="70">
        <f t="shared" si="54"/>
        <v>0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/>
      <c r="AF97" s="44"/>
      <c r="AG97" s="61"/>
      <c r="AH97" s="46">
        <f t="shared" si="28"/>
        <v>228.5</v>
      </c>
      <c r="AI97" s="47">
        <f t="shared" si="29"/>
        <v>-293.60000000000002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/>
      <c r="AF98" s="43"/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/>
      <c r="AF99" s="43"/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/>
      <c r="AF100" s="93"/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/>
      <c r="AF102" s="97"/>
      <c r="AG102" s="89"/>
      <c r="AH102" s="46">
        <f t="shared" si="28"/>
        <v>66.900000000000006</v>
      </c>
      <c r="AI102" s="47">
        <f t="shared" si="29"/>
        <v>47.9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21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22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0</v>
      </c>
      <c r="AF108" s="70">
        <f t="shared" si="62"/>
        <v>0</v>
      </c>
      <c r="AG108" s="104">
        <f>SUM(AG97:AG107)</f>
        <v>0</v>
      </c>
      <c r="AH108" s="46">
        <f t="shared" si="28"/>
        <v>420.19999999999993</v>
      </c>
      <c r="AI108" s="47">
        <f t="shared" si="29"/>
        <v>0</v>
      </c>
      <c r="AJ108" s="105">
        <f t="array" ref="AJ108">MIN(IF(B108:AF108&lt;&gt;0,B108:AF108))</f>
        <v>123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152</v>
      </c>
      <c r="AF113" s="108">
        <f t="shared" si="68"/>
        <v>152</v>
      </c>
      <c r="AG113" s="80">
        <f t="shared" si="68"/>
        <v>3169.915</v>
      </c>
      <c r="AH113" s="46">
        <f t="shared" si="28"/>
        <v>2054.1</v>
      </c>
      <c r="AI113" s="47">
        <f t="shared" si="29"/>
        <v>152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152</v>
      </c>
      <c r="AF115" s="108">
        <f t="shared" si="74"/>
        <v>152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152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</v>
      </c>
      <c r="AF116" s="108">
        <f t="shared" si="80"/>
        <v>152</v>
      </c>
      <c r="AG116" s="104"/>
      <c r="AH116" s="46">
        <f t="shared" si="28"/>
        <v>1789.8000000000002</v>
      </c>
      <c r="AI116" s="47">
        <f t="shared" si="29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0</v>
      </c>
      <c r="AF117" s="93">
        <f t="shared" si="86"/>
        <v>0</v>
      </c>
      <c r="AG117" s="61"/>
      <c r="AH117" s="46">
        <f t="shared" si="28"/>
        <v>293.60000000000002</v>
      </c>
      <c r="AI117" s="47">
        <f t="shared" si="29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0</v>
      </c>
      <c r="AF123" s="70">
        <f t="shared" si="112"/>
        <v>0</v>
      </c>
      <c r="AG123" s="104"/>
      <c r="AH123" s="46">
        <f t="shared" si="28"/>
        <v>293.60000000000002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0</v>
      </c>
      <c r="AF124" s="70">
        <f t="shared" si="118"/>
        <v>0</v>
      </c>
      <c r="AG124" s="104"/>
      <c r="AH124" s="46">
        <f t="shared" si="28"/>
        <v>420.19999999999993</v>
      </c>
      <c r="AI124" s="47">
        <f t="shared" si="29"/>
        <v>-147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/>
      <c r="AF126" s="117"/>
      <c r="AG126" s="118"/>
      <c r="AH126" s="46">
        <f t="shared" si="28"/>
        <v>50.15</v>
      </c>
      <c r="AI126" s="47">
        <f t="shared" si="29"/>
        <v>49.915999999999997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/>
      <c r="AF127" s="43"/>
      <c r="AG127" s="120"/>
      <c r="AH127" s="46">
        <f t="shared" si="28"/>
        <v>134.4</v>
      </c>
      <c r="AI127" s="47">
        <f t="shared" si="29"/>
        <v>128.5</v>
      </c>
    </row>
    <row r="128" spans="1:64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/>
      <c r="AF128" s="43"/>
      <c r="AG128" s="120"/>
      <c r="AH128" s="46">
        <f t="shared" si="28"/>
        <v>133.30000000000001</v>
      </c>
      <c r="AI128" s="47">
        <f t="shared" si="29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/>
      <c r="AF130" s="43"/>
      <c r="AG130" s="120"/>
      <c r="AH130" s="46">
        <f t="shared" si="28"/>
        <v>135.5</v>
      </c>
      <c r="AI130" s="47">
        <f t="shared" si="29"/>
        <v>131.4</v>
      </c>
    </row>
    <row r="131" spans="1:3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/>
      <c r="AF131" s="122"/>
      <c r="AG131" s="123"/>
      <c r="AH131" s="46">
        <f t="shared" si="28"/>
        <v>137.30000000000001</v>
      </c>
      <c r="AI131" s="47">
        <f t="shared" si="29"/>
        <v>130.88</v>
      </c>
    </row>
    <row r="132" spans="1:3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/>
      <c r="AF132" s="43"/>
      <c r="AG132" s="120"/>
      <c r="AH132" s="46">
        <f t="shared" si="28"/>
        <v>136.6</v>
      </c>
      <c r="AI132" s="47">
        <f t="shared" si="29"/>
        <v>124.4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/>
      <c r="AF133" s="101"/>
      <c r="AG133" s="124"/>
      <c r="AH133" s="46">
        <f t="shared" si="28"/>
        <v>67.2</v>
      </c>
      <c r="AI133" s="47">
        <f t="shared" si="29"/>
        <v>65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O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Q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0.94</v>
      </c>
      <c r="AF135" s="114">
        <f t="shared" si="130"/>
        <v>0.94</v>
      </c>
      <c r="AG135" s="127"/>
      <c r="AH135" s="46">
        <f t="shared" si="28"/>
        <v>409.94</v>
      </c>
      <c r="AI135" s="47">
        <f t="shared" si="29"/>
        <v>0.94</v>
      </c>
    </row>
    <row r="136" spans="1:35" ht="15.75" thickBot="1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/>
      <c r="AF137" s="133"/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D138" si="131">20.4*2</f>
        <v>40.799999999999997</v>
      </c>
      <c r="AD138" s="136">
        <f t="shared" si="131"/>
        <v>40.799999999999997</v>
      </c>
      <c r="AE138" s="136"/>
      <c r="AF138" s="136"/>
      <c r="AG138" s="134">
        <v>240</v>
      </c>
      <c r="AH138" s="46">
        <f t="shared" si="28"/>
        <v>90.1</v>
      </c>
      <c r="AI138" s="47">
        <f t="shared" si="29"/>
        <v>4</v>
      </c>
    </row>
    <row r="139" spans="1:3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/>
      <c r="AF139" s="136"/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/>
      <c r="AF140" s="137"/>
      <c r="AG140" s="134"/>
      <c r="AH140" s="46">
        <f t="shared" si="132"/>
        <v>88</v>
      </c>
      <c r="AI140" s="47">
        <f t="shared" si="133"/>
        <v>41.6</v>
      </c>
    </row>
    <row r="141" spans="1:3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/>
      <c r="AF141" s="136"/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/>
      <c r="AF142" s="137"/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D143" si="134">105.2*2</f>
        <v>210.4</v>
      </c>
      <c r="AD143" s="137">
        <f t="shared" si="134"/>
        <v>210.4</v>
      </c>
      <c r="AE143" s="137"/>
      <c r="AF143" s="137"/>
      <c r="AG143" s="138"/>
      <c r="AH143" s="46">
        <f t="shared" si="132"/>
        <v>777</v>
      </c>
      <c r="AI143" s="47">
        <f t="shared" si="133"/>
        <v>0</v>
      </c>
    </row>
    <row r="144" spans="1:3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/>
      <c r="AF144" s="137"/>
      <c r="AG144" s="138"/>
      <c r="AH144" s="46">
        <f t="shared" si="132"/>
        <v>20.7</v>
      </c>
      <c r="AI144" s="47">
        <f t="shared" si="133"/>
        <v>-50</v>
      </c>
    </row>
    <row r="145" spans="1:38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/>
      <c r="AF145" s="137"/>
      <c r="AG145" s="138"/>
      <c r="AH145" s="46">
        <f t="shared" si="132"/>
        <v>66</v>
      </c>
      <c r="AI145" s="47">
        <f t="shared" si="133"/>
        <v>-95</v>
      </c>
    </row>
    <row r="146" spans="1:38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/>
      <c r="AF146" s="137"/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/>
      <c r="AF147" s="137"/>
      <c r="AG147" s="138"/>
      <c r="AH147" s="46">
        <f t="shared" si="135"/>
        <v>49.2</v>
      </c>
      <c r="AI147" s="47">
        <f t="shared" si="136"/>
        <v>-42</v>
      </c>
    </row>
    <row r="148" spans="1:38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/>
      <c r="AF148" s="137"/>
      <c r="AG148" s="134"/>
      <c r="AH148" s="46">
        <f t="shared" si="135"/>
        <v>8.3000000000000007</v>
      </c>
      <c r="AI148" s="47">
        <f t="shared" si="136"/>
        <v>-15</v>
      </c>
    </row>
    <row r="149" spans="1:38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D149" si="137">110.6*2</f>
        <v>221.2</v>
      </c>
      <c r="AD149" s="122">
        <f t="shared" si="137"/>
        <v>221.2</v>
      </c>
      <c r="AE149" s="122"/>
      <c r="AF149" s="122"/>
      <c r="AG149" s="134"/>
      <c r="AH149" s="46">
        <f t="shared" si="135"/>
        <v>221.2</v>
      </c>
      <c r="AI149" s="47">
        <f t="shared" si="136"/>
        <v>29</v>
      </c>
    </row>
    <row r="150" spans="1:38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/>
      <c r="AF150" s="122"/>
      <c r="AG150" s="134"/>
      <c r="AH150" s="46">
        <f t="shared" si="135"/>
        <v>30.8</v>
      </c>
      <c r="AI150" s="47">
        <f t="shared" si="136"/>
        <v>14.2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/>
      <c r="AF151" s="122"/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90">
        <v>23.77</v>
      </c>
    </row>
    <row r="155" spans="1:38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413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90"/>
    </row>
    <row r="156" spans="1:38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90"/>
    </row>
    <row r="157" spans="1:38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407" priority="47">
      <formula>$AH11=0</formula>
    </cfRule>
  </conditionalFormatting>
  <conditionalFormatting sqref="A101:A102">
    <cfRule type="expression" dxfId="406" priority="215">
      <formula>$AH106=0</formula>
    </cfRule>
  </conditionalFormatting>
  <conditionalFormatting sqref="A103:A107">
    <cfRule type="expression" dxfId="405" priority="163">
      <formula>$AH102=0</formula>
    </cfRule>
  </conditionalFormatting>
  <conditionalFormatting sqref="A160:A167">
    <cfRule type="expression" dxfId="404" priority="216">
      <formula>$AH267=0</formula>
    </cfRule>
  </conditionalFormatting>
  <conditionalFormatting sqref="A168:A275">
    <cfRule type="expression" dxfId="403" priority="86">
      <formula>$AH168=0</formula>
    </cfRule>
  </conditionalFormatting>
  <conditionalFormatting sqref="B8">
    <cfRule type="expression" dxfId="402" priority="211">
      <formula>AND(C$9&gt;=14/24,C$9&lt;20/24)</formula>
    </cfRule>
    <cfRule type="expression" dxfId="401" priority="212">
      <formula>AND(C$9&gt;=8/24,C$9&lt;14/24)</formula>
    </cfRule>
    <cfRule type="expression" dxfId="400" priority="213">
      <formula>C$9&lt;8/24</formula>
    </cfRule>
    <cfRule type="expression" dxfId="399" priority="214">
      <formula>C$9&gt;=20/24</formula>
    </cfRule>
  </conditionalFormatting>
  <conditionalFormatting sqref="AE12:AF13 B9:AF10 F152:AF159 B76:E90 B113:E115 B108:E108 B117:E124 B153:E153 G97:L97 F134:L134 H126:L133 B93:L96 H98:L102 F103:AF115 F117:AF125 B72:X72 F79:Y90 F76:AF77 Z85:AF90 M93:AF102 M126:AF134 H137:AF151">
    <cfRule type="expression" dxfId="398" priority="128">
      <formula>B$9&gt;=20/24</formula>
    </cfRule>
  </conditionalFormatting>
  <conditionalFormatting sqref="B9:AF10 AE12:AF13 F152:AF159 B76:E90 B113:E115 B108:E108 B117:E124 B153:E153 G97:L97 F134:L134 H126:L133 B93:L96 H98:L102 F103:AF115 F117:AF125 B72:X72 F79:Y90 F76:AF77 Z85:AF90 M93:AF102 M126:AF134 H137:AF151">
    <cfRule type="expression" dxfId="397" priority="129">
      <formula>AND(B$9&gt;=14/24,B$9&lt;20/24)</formula>
    </cfRule>
    <cfRule type="expression" dxfId="396" priority="130">
      <formula>AND(B$9&gt;=8/24,B$9&lt;14/24)</formula>
    </cfRule>
    <cfRule type="expression" dxfId="395" priority="131">
      <formula>B$9&lt;8/24</formula>
    </cfRule>
  </conditionalFormatting>
  <conditionalFormatting sqref="AE14:AF53 B29:Y53">
    <cfRule type="expression" dxfId="394" priority="71">
      <formula>B14&gt;$AG14*1</formula>
    </cfRule>
    <cfRule type="expression" dxfId="393" priority="72">
      <formula>B$9&gt;=20/24</formula>
    </cfRule>
    <cfRule type="expression" dxfId="392" priority="73">
      <formula>AND(B$9&gt;=14/24,B$9&lt;20/24)</formula>
    </cfRule>
    <cfRule type="expression" dxfId="391" priority="74">
      <formula>AND(B$9&gt;=8/24,B$9&lt;14/24)</formula>
    </cfRule>
    <cfRule type="expression" dxfId="390" priority="75">
      <formula>B$9&lt;8/24</formula>
    </cfRule>
  </conditionalFormatting>
  <conditionalFormatting sqref="B54:Y68 AE54:AF68">
    <cfRule type="expression" dxfId="389" priority="64">
      <formula>B$9&lt;8/24</formula>
    </cfRule>
  </conditionalFormatting>
  <conditionalFormatting sqref="B54:Y70 AE54:AF70">
    <cfRule type="expression" dxfId="388" priority="61">
      <formula>B$9&gt;=20/24</formula>
    </cfRule>
    <cfRule type="expression" dxfId="387" priority="62">
      <formula>AND(B$9&gt;=14/24,B$9&lt;20/24)</formula>
    </cfRule>
    <cfRule type="expression" dxfId="386" priority="63">
      <formula>AND(B$9&gt;=8/24,B$9&lt;14/24)</formula>
    </cfRule>
  </conditionalFormatting>
  <conditionalFormatting sqref="B63:Y65 AE63:AF65">
    <cfRule type="expression" dxfId="385" priority="65">
      <formula>B63&gt;$AG63</formula>
    </cfRule>
  </conditionalFormatting>
  <conditionalFormatting sqref="B69:Y70 AE69:AF70">
    <cfRule type="expression" dxfId="384" priority="136">
      <formula>B$9&lt;8/24</formula>
    </cfRule>
  </conditionalFormatting>
  <conditionalFormatting sqref="B72:AF75">
    <cfRule type="expression" dxfId="383" priority="52">
      <formula>B72&gt;$AG72*1</formula>
    </cfRule>
  </conditionalFormatting>
  <conditionalFormatting sqref="B73:AF75">
    <cfRule type="expression" dxfId="382" priority="53">
      <formula>B$9&gt;=20/24</formula>
    </cfRule>
    <cfRule type="expression" dxfId="381" priority="54">
      <formula>AND(B$9&gt;=14/24,B$9&lt;20/24)</formula>
    </cfRule>
    <cfRule type="expression" dxfId="380" priority="55">
      <formula>AND(B$9&gt;=8/24,B$9&lt;14/24)</formula>
    </cfRule>
    <cfRule type="expression" dxfId="379" priority="56">
      <formula>B$9&lt;8/24</formula>
    </cfRule>
  </conditionalFormatting>
  <conditionalFormatting sqref="F161:AF167">
    <cfRule type="expression" dxfId="378" priority="87">
      <formula>F$9&gt;=20/24</formula>
    </cfRule>
    <cfRule type="expression" dxfId="377" priority="88">
      <formula>AND(F$9&gt;=14/24,F$9&lt;20/24)</formula>
    </cfRule>
    <cfRule type="expression" dxfId="376" priority="89">
      <formula>AND(F$9&gt;=8/24,F$9&lt;14/24)</formula>
    </cfRule>
    <cfRule type="expression" dxfId="375" priority="90">
      <formula>F$9&lt;8/24</formula>
    </cfRule>
  </conditionalFormatting>
  <conditionalFormatting sqref="F169:AF274">
    <cfRule type="expression" dxfId="374" priority="48">
      <formula>F$9&gt;=20/24</formula>
    </cfRule>
    <cfRule type="expression" dxfId="373" priority="49">
      <formula>AND(F$9&gt;=14/24,F$9&lt;20/24)</formula>
    </cfRule>
    <cfRule type="expression" dxfId="372" priority="50">
      <formula>AND(F$9&gt;=8/24,F$9&lt;14/24)</formula>
    </cfRule>
    <cfRule type="expression" dxfId="371" priority="51">
      <formula>F$9&lt;8/24</formula>
    </cfRule>
  </conditionalFormatting>
  <conditionalFormatting sqref="AE80:AF90 AE69:AF70 AE12:AF13 AF92:AF95 AF96:AG96 B71:AG71 Z78:AG78 X91:AF91 B76:W96 B69:Y69 X76:Y90 Z76:AF77 Z79:AD90 X92:AE96">
    <cfRule type="expression" dxfId="370" priority="127">
      <formula>B12&gt;$AG12*1</formula>
    </cfRule>
  </conditionalFormatting>
  <conditionalFormatting sqref="F79:Y83">
    <cfRule type="expression" dxfId="369" priority="137">
      <formula>F$9&gt;=20/24</formula>
    </cfRule>
    <cfRule type="expression" dxfId="368" priority="138">
      <formula>AND(F$9&gt;=14/24,F$9&lt;20/24)</formula>
    </cfRule>
    <cfRule type="expression" dxfId="367" priority="139">
      <formula>AND(F$9&gt;=8/24,F$9&lt;14/24)</formula>
    </cfRule>
    <cfRule type="expression" dxfId="366" priority="140">
      <formula>F$9&lt;8/24</formula>
    </cfRule>
  </conditionalFormatting>
  <conditionalFormatting sqref="F84:Y84">
    <cfRule type="expression" dxfId="365" priority="132">
      <formula>F$9&gt;=20/24</formula>
    </cfRule>
    <cfRule type="expression" dxfId="364" priority="133">
      <formula>AND(F$9&gt;=14/24,F$9&lt;20/24)</formula>
    </cfRule>
    <cfRule type="expression" dxfId="363" priority="134">
      <formula>AND(F$9&gt;=8/24,F$9&lt;14/24)</formula>
    </cfRule>
    <cfRule type="expression" dxfId="362" priority="135">
      <formula>F$9&lt;8/24</formula>
    </cfRule>
  </conditionalFormatting>
  <conditionalFormatting sqref="F78:AF78 AE76:AF77 B72:AF72">
    <cfRule type="expression" dxfId="361" priority="147">
      <formula>B$9&gt;=20/24</formula>
    </cfRule>
    <cfRule type="expression" dxfId="360" priority="148">
      <formula>AND(B$9&gt;=14/24,B$9&lt;20/24)</formula>
    </cfRule>
    <cfRule type="expression" dxfId="359" priority="149">
      <formula>AND(B$9&gt;=8/24,B$9&lt;14/24)</formula>
    </cfRule>
    <cfRule type="expression" dxfId="358" priority="150">
      <formula>B$9&lt;8/24</formula>
    </cfRule>
  </conditionalFormatting>
  <conditionalFormatting sqref="AE73:AF75">
    <cfRule type="expression" dxfId="357" priority="57">
      <formula>AE$9&gt;=20/24</formula>
    </cfRule>
    <cfRule type="expression" dxfId="356" priority="58">
      <formula>AND(AE$9&gt;=14/24,AE$9&lt;20/24)</formula>
    </cfRule>
    <cfRule type="expression" dxfId="355" priority="59">
      <formula>AND(AE$9&gt;=8/24,AE$9&lt;14/24)</formula>
    </cfRule>
    <cfRule type="expression" dxfId="354" priority="60">
      <formula>AE$9&lt;8/24</formula>
    </cfRule>
  </conditionalFormatting>
  <conditionalFormatting sqref="F79:Y81">
    <cfRule type="expression" dxfId="353" priority="155">
      <formula>F$9&gt;=20/24</formula>
    </cfRule>
    <cfRule type="expression" dxfId="352" priority="156">
      <formula>AND(F$9&gt;=14/24,F$9&lt;20/24)</formula>
    </cfRule>
    <cfRule type="expression" dxfId="351" priority="157">
      <formula>AND(F$9&gt;=8/24,F$9&lt;14/24)</formula>
    </cfRule>
    <cfRule type="expression" dxfId="350" priority="158">
      <formula>F$9&lt;8/24</formula>
    </cfRule>
  </conditionalFormatting>
  <conditionalFormatting sqref="L84:AF84">
    <cfRule type="expression" dxfId="349" priority="151">
      <formula>L$9&gt;=20/24</formula>
    </cfRule>
    <cfRule type="expression" dxfId="348" priority="152">
      <formula>AND(L$9&gt;=14/24,L$9&lt;20/24)</formula>
    </cfRule>
    <cfRule type="expression" dxfId="347" priority="153">
      <formula>AND(L$9&gt;=8/24,L$9&lt;14/24)</formula>
    </cfRule>
    <cfRule type="expression" dxfId="346" priority="154">
      <formula>L$9&lt;8/24</formula>
    </cfRule>
  </conditionalFormatting>
  <conditionalFormatting sqref="M8 S8 AB8">
    <cfRule type="expression" dxfId="345" priority="204">
      <formula>AND(N$9&gt;=14/24,N$9&lt;20/24)</formula>
    </cfRule>
    <cfRule type="expression" dxfId="344" priority="205">
      <formula>AND(N$9&gt;=8/24,N$9&lt;14/24)</formula>
    </cfRule>
    <cfRule type="expression" dxfId="343" priority="206">
      <formula>N$9&lt;8/24</formula>
    </cfRule>
  </conditionalFormatting>
  <conditionalFormatting sqref="T79:Y83 Z80:AD83">
    <cfRule type="expression" dxfId="342" priority="159">
      <formula>T$9&gt;=20/24</formula>
    </cfRule>
    <cfRule type="expression" dxfId="341" priority="160">
      <formula>AND(T$9&gt;=14/24,T$9&lt;20/24)</formula>
    </cfRule>
    <cfRule type="expression" dxfId="340" priority="161">
      <formula>AND(T$9&gt;=8/24,T$9&lt;14/24)</formula>
    </cfRule>
    <cfRule type="expression" dxfId="339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338" priority="203">
      <formula>N$9&gt;=20/24</formula>
    </cfRule>
  </conditionalFormatting>
  <conditionalFormatting sqref="S8">
    <cfRule type="expression" dxfId="337" priority="194">
      <formula>U$9&gt;=20/24</formula>
    </cfRule>
    <cfRule type="expression" dxfId="336" priority="195">
      <formula>AND(U$9&gt;=14/24,U$9&lt;20/24)</formula>
    </cfRule>
    <cfRule type="expression" dxfId="335" priority="196">
      <formula>AND(U$9&gt;=8/24,U$9&lt;14/24)</formula>
    </cfRule>
    <cfRule type="expression" dxfId="334" priority="197">
      <formula>U$9&lt;8/24</formula>
    </cfRule>
  </conditionalFormatting>
  <conditionalFormatting sqref="T79:AF84">
    <cfRule type="expression" dxfId="333" priority="81">
      <formula>T$9&gt;=20/24</formula>
    </cfRule>
    <cfRule type="expression" dxfId="332" priority="82">
      <formula>AND(T$9&gt;=14/24,T$9&lt;20/24)</formula>
    </cfRule>
    <cfRule type="expression" dxfId="331" priority="83">
      <formula>AND(T$9&gt;=8/24,T$9&lt;14/24)</formula>
    </cfRule>
    <cfRule type="expression" dxfId="330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AE65:AF65">
    <cfRule type="expression" dxfId="329" priority="66">
      <formula>AE$9&gt;=20/24</formula>
    </cfRule>
    <cfRule type="expression" dxfId="328" priority="67">
      <formula>AND(AE$9&gt;=14/24,AE$9&lt;20/24)</formula>
    </cfRule>
    <cfRule type="expression" dxfId="327" priority="68">
      <formula>AND(AE$9&gt;=8/24,AE$9&lt;14/24)</formula>
    </cfRule>
    <cfRule type="expression" dxfId="326" priority="69">
      <formula>AE$9&lt;8/24</formula>
    </cfRule>
  </conditionalFormatting>
  <conditionalFormatting sqref="AE66:AF69 AE11:AF11 B54:Y62 B66:Y70 AE54:AF62">
    <cfRule type="expression" dxfId="324" priority="141">
      <formula>B11&gt;$AG11</formula>
    </cfRule>
  </conditionalFormatting>
  <conditionalFormatting sqref="AB8">
    <cfRule type="expression" dxfId="323" priority="190">
      <formula>AD$9&gt;=20/24</formula>
    </cfRule>
    <cfRule type="expression" dxfId="322" priority="191">
      <formula>AND(AD$9&gt;=14/24,AD$9&lt;20/24)</formula>
    </cfRule>
    <cfRule type="expression" dxfId="321" priority="192">
      <formula>AND(AD$9&gt;=8/24,AD$9&lt;14/24)</formula>
    </cfRule>
    <cfRule type="expression" dxfId="320" priority="193">
      <formula>AD$9&lt;8/24</formula>
    </cfRule>
  </conditionalFormatting>
  <conditionalFormatting sqref="AE11:AF11">
    <cfRule type="expression" dxfId="319" priority="142">
      <formula>AE$9&gt;=20/24</formula>
    </cfRule>
    <cfRule type="expression" dxfId="318" priority="143">
      <formula>AND(AE$9&gt;=14/24,AE$9&lt;20/24)</formula>
    </cfRule>
    <cfRule type="expression" dxfId="317" priority="144">
      <formula>AND(AE$9&gt;=8/24,AE$9&lt;14/24)</formula>
    </cfRule>
    <cfRule type="expression" dxfId="316" priority="145">
      <formula>AE$9&lt;8/24</formula>
    </cfRule>
  </conditionalFormatting>
  <conditionalFormatting sqref="AE79:AF79">
    <cfRule type="expression" dxfId="315" priority="217">
      <formula>AE79&gt;$AG80*1</formula>
    </cfRule>
  </conditionalFormatting>
  <conditionalFormatting sqref="AG78">
    <cfRule type="expression" dxfId="314" priority="169">
      <formula>AG$9&gt;=20/24</formula>
    </cfRule>
    <cfRule type="expression" dxfId="313" priority="170">
      <formula>AND(AG$9&gt;=14/24,AG$9&lt;20/24)</formula>
    </cfRule>
    <cfRule type="expression" dxfId="312" priority="171">
      <formula>AND(AG$9&gt;=8/24,AG$9&lt;14/24)</formula>
    </cfRule>
    <cfRule type="expression" dxfId="311" priority="172">
      <formula>AG$9&lt;8/24</formula>
    </cfRule>
  </conditionalFormatting>
  <conditionalFormatting sqref="AG91:AG92">
    <cfRule type="expression" dxfId="310" priority="164">
      <formula>AG91&gt;$AG91</formula>
    </cfRule>
  </conditionalFormatting>
  <conditionalFormatting sqref="AG96">
    <cfRule type="expression" dxfId="309" priority="165">
      <formula>AG$9&gt;=20/24</formula>
    </cfRule>
    <cfRule type="expression" dxfId="308" priority="166">
      <formula>AND(AG$9&gt;=14/24,AG$9&lt;20/24)</formula>
    </cfRule>
    <cfRule type="expression" dxfId="307" priority="167">
      <formula>AND(AG$9&gt;=8/24,AG$9&lt;14/24)</formula>
    </cfRule>
    <cfRule type="expression" dxfId="306" priority="168">
      <formula>AG$9&lt;8/24</formula>
    </cfRule>
  </conditionalFormatting>
  <conditionalFormatting sqref="AG113">
    <cfRule type="expression" dxfId="305" priority="186">
      <formula>AG$9&gt;=20/24</formula>
    </cfRule>
    <cfRule type="expression" dxfId="304" priority="187">
      <formula>AND(AG$9&gt;=14/24,AG$9&lt;20/24)</formula>
    </cfRule>
    <cfRule type="expression" dxfId="303" priority="188">
      <formula>AND(AG$9&gt;=8/24,AG$9&lt;14/24)</formula>
    </cfRule>
    <cfRule type="expression" dxfId="302" priority="189">
      <formula>AG$9&lt;8/24</formula>
    </cfRule>
  </conditionalFormatting>
  <conditionalFormatting sqref="AH8:AI10">
    <cfRule type="expression" dxfId="301" priority="77">
      <formula>AH$9&gt;=20/24</formula>
    </cfRule>
    <cfRule type="expression" dxfId="300" priority="78">
      <formula>AND(AH$9&gt;=14/24,AH$9&lt;20/24)</formula>
    </cfRule>
    <cfRule type="expression" dxfId="299" priority="79">
      <formula>AND(AH$9&gt;=8/24,AH$9&lt;14/24)</formula>
    </cfRule>
    <cfRule type="expression" dxfId="298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97" priority="207">
      <formula>AJ$9&gt;=20/24</formula>
    </cfRule>
    <cfRule type="expression" dxfId="296" priority="208">
      <formula>AND(AJ$9&gt;=14/24,AJ$9&lt;20/24)</formula>
    </cfRule>
    <cfRule type="expression" dxfId="295" priority="209">
      <formula>AND(AJ$9&gt;=8/24,AJ$9&lt;14/24)</formula>
    </cfRule>
    <cfRule type="expression" dxfId="294" priority="210">
      <formula>AJ$9&lt;8/24</formula>
    </cfRule>
  </conditionalFormatting>
  <conditionalFormatting sqref="AL99:AN99 AL105:AN105">
    <cfRule type="expression" dxfId="293" priority="179">
      <formula>AL$9&gt;=20/24</formula>
    </cfRule>
    <cfRule type="expression" dxfId="292" priority="180">
      <formula>AND(AL$9&gt;=14/24,AL$9&lt;20/24)</formula>
    </cfRule>
    <cfRule type="expression" dxfId="291" priority="181">
      <formula>AND(AL$9&gt;=8/24,AL$9&lt;14/24)</formula>
    </cfRule>
    <cfRule type="expression" dxfId="290" priority="182">
      <formula>AL$9&lt;8/24</formula>
    </cfRule>
  </conditionalFormatting>
  <conditionalFormatting sqref="AM15:AM21 AN16:AR21">
    <cfRule type="expression" dxfId="289" priority="103">
      <formula>AX$9&gt;=20/24</formula>
    </cfRule>
    <cfRule type="expression" dxfId="288" priority="104">
      <formula>AND(AX$9&gt;=14/24,AX$9&lt;20/24)</formula>
    </cfRule>
    <cfRule type="expression" dxfId="287" priority="105">
      <formula>AND(AX$9&gt;=8/24,AX$9&lt;14/24)</formula>
    </cfRule>
    <cfRule type="expression" dxfId="286" priority="106">
      <formula>AX$9&lt;8/24</formula>
    </cfRule>
  </conditionalFormatting>
  <conditionalFormatting sqref="AN100:AN103">
    <cfRule type="expression" dxfId="285" priority="175">
      <formula>AN$9&gt;=20/24</formula>
    </cfRule>
    <cfRule type="expression" dxfId="284" priority="176">
      <formula>AND(AN$9&gt;=14/24,AN$9&lt;20/24)</formula>
    </cfRule>
    <cfRule type="expression" dxfId="283" priority="177">
      <formula>AND(AN$9&gt;=8/24,AN$9&lt;14/24)</formula>
    </cfRule>
    <cfRule type="expression" dxfId="282" priority="178">
      <formula>AN$9&lt;8/24</formula>
    </cfRule>
  </conditionalFormatting>
  <conditionalFormatting sqref="AN15:AR15">
    <cfRule type="expression" dxfId="281" priority="91">
      <formula>U$9&gt;=20/24</formula>
    </cfRule>
    <cfRule type="expression" dxfId="280" priority="92">
      <formula>AND(U$9&gt;=14/24,U$9&lt;20/24)</formula>
    </cfRule>
    <cfRule type="expression" dxfId="279" priority="93">
      <formula>AND(U$9&gt;=8/24,U$9&lt;14/24)</formula>
    </cfRule>
    <cfRule type="expression" dxfId="278" priority="94">
      <formula>U$9&lt;8/24</formula>
    </cfRule>
  </conditionalFormatting>
  <conditionalFormatting sqref="AS15">
    <cfRule type="expression" dxfId="277" priority="99">
      <formula>AA$9&gt;=20/24</formula>
    </cfRule>
    <cfRule type="expression" dxfId="276" priority="100">
      <formula>AND(AA$9&gt;=14/24,AA$9&lt;20/24)</formula>
    </cfRule>
    <cfRule type="expression" dxfId="275" priority="101">
      <formula>AND(AA$9&gt;=8/24,AA$9&lt;14/24)</formula>
    </cfRule>
    <cfRule type="expression" dxfId="274" priority="102">
      <formula>AA$9&lt;8/24</formula>
    </cfRule>
  </conditionalFormatting>
  <conditionalFormatting sqref="AS16:AS21">
    <cfRule type="expression" dxfId="273" priority="107">
      <formula>BE$9&gt;=20/24</formula>
    </cfRule>
    <cfRule type="expression" dxfId="272" priority="108">
      <formula>AND(BE$9&gt;=14/24,BE$9&lt;20/24)</formula>
    </cfRule>
    <cfRule type="expression" dxfId="271" priority="109">
      <formula>AND(BE$9&gt;=8/24,BE$9&lt;14/24)</formula>
    </cfRule>
    <cfRule type="expression" dxfId="270" priority="110">
      <formula>BE$9&lt;8/24</formula>
    </cfRule>
  </conditionalFormatting>
  <conditionalFormatting sqref="AT15 AX15:BJ15">
    <cfRule type="expression" dxfId="269" priority="111">
      <formula>AC$9&gt;=20/24</formula>
    </cfRule>
    <cfRule type="expression" dxfId="268" priority="112">
      <formula>AND(AC$9&gt;=14/24,AC$9&lt;20/24)</formula>
    </cfRule>
    <cfRule type="expression" dxfId="267" priority="113">
      <formula>AND(AC$9&gt;=8/24,AC$9&lt;14/24)</formula>
    </cfRule>
    <cfRule type="expression" dxfId="266" priority="114">
      <formula>AC$9&lt;8/24</formula>
    </cfRule>
  </conditionalFormatting>
  <conditionalFormatting sqref="AT16:AT21">
    <cfRule type="expression" dxfId="265" priority="115">
      <formula>BG$9&gt;=20/24</formula>
    </cfRule>
    <cfRule type="expression" dxfId="264" priority="116">
      <formula>AND(BG$9&gt;=14/24,BG$9&lt;20/24)</formula>
    </cfRule>
    <cfRule type="expression" dxfId="263" priority="117">
      <formula>AND(BG$9&gt;=8/24,BG$9&lt;14/24)</formula>
    </cfRule>
    <cfRule type="expression" dxfId="262" priority="118">
      <formula>BG$9&lt;8/24</formula>
    </cfRule>
  </conditionalFormatting>
  <conditionalFormatting sqref="AU15:AV15">
    <cfRule type="expression" dxfId="261" priority="119">
      <formula>AE$9&gt;=20/24</formula>
    </cfRule>
    <cfRule type="expression" dxfId="260" priority="120">
      <formula>AND(AE$9&gt;=14/24,AE$9&lt;20/24)</formula>
    </cfRule>
    <cfRule type="expression" dxfId="259" priority="121">
      <formula>AND(AE$9&gt;=8/24,AE$9&lt;14/24)</formula>
    </cfRule>
    <cfRule type="expression" dxfId="258" priority="122">
      <formula>AE$9&lt;8/24</formula>
    </cfRule>
  </conditionalFormatting>
  <conditionalFormatting sqref="AU16:BJ21">
    <cfRule type="expression" dxfId="257" priority="123">
      <formula>BI$9&gt;=20/24</formula>
    </cfRule>
    <cfRule type="expression" dxfId="256" priority="124">
      <formula>AND(BI$9&gt;=14/24,BI$9&lt;20/24)</formula>
    </cfRule>
    <cfRule type="expression" dxfId="255" priority="125">
      <formula>AND(BI$9&gt;=8/24,BI$9&lt;14/24)</formula>
    </cfRule>
    <cfRule type="expression" dxfId="254" priority="126">
      <formula>BI$9&lt;8/24</formula>
    </cfRule>
  </conditionalFormatting>
  <conditionalFormatting sqref="AW15">
    <cfRule type="expression" dxfId="253" priority="95">
      <formula>B$9&gt;=20/24</formula>
    </cfRule>
    <cfRule type="expression" dxfId="252" priority="96">
      <formula>AND(B$9&gt;=14/24,B$9&lt;20/24)</formula>
    </cfRule>
    <cfRule type="expression" dxfId="251" priority="97">
      <formula>AND(B$9&gt;=8/24,B$9&lt;14/24)</formula>
    </cfRule>
    <cfRule type="expression" dxfId="250" priority="98">
      <formula>B$9&lt;8/24</formula>
    </cfRule>
  </conditionalFormatting>
  <conditionalFormatting sqref="A73">
    <cfRule type="expression" dxfId="249" priority="46">
      <formula>$AH73=0</formula>
    </cfRule>
  </conditionalFormatting>
  <conditionalFormatting sqref="B97:E107 B137:E152 B109:E112 B125:E134 B154:E159 F97:F102 G98:G102 F126:G133 F137:G151 B11:Y13 AA11:AD13">
    <cfRule type="expression" dxfId="248" priority="42">
      <formula>B$9&gt;=20/24</formula>
    </cfRule>
  </conditionalFormatting>
  <conditionalFormatting sqref="B97:E107 B137:E152 B109:E112 B125:E134 B154:E159 F97:F102 G98:G102 F126:G133 F137:G151 B11:Y13 AA11:AD13">
    <cfRule type="expression" dxfId="247" priority="43">
      <formula>AND(B$9&gt;=14/24,B$9&lt;20/24)</formula>
    </cfRule>
    <cfRule type="expression" dxfId="246" priority="44">
      <formula>AND(B$9&gt;=8/24,B$9&lt;14/24)</formula>
    </cfRule>
    <cfRule type="expression" dxfId="245" priority="45">
      <formula>B$9&lt;8/24</formula>
    </cfRule>
  </conditionalFormatting>
  <conditionalFormatting sqref="B14:Y28 AA14:AD16">
    <cfRule type="expression" dxfId="244" priority="32">
      <formula>B14&gt;$AG14*1</formula>
    </cfRule>
    <cfRule type="expression" dxfId="243" priority="33">
      <formula>B$9&gt;=20/24</formula>
    </cfRule>
    <cfRule type="expression" dxfId="242" priority="34">
      <formula>AND(B$9&gt;=14/24,B$9&lt;20/24)</formula>
    </cfRule>
    <cfRule type="expression" dxfId="241" priority="35">
      <formula>AND(B$9&gt;=8/24,B$9&lt;14/24)</formula>
    </cfRule>
    <cfRule type="expression" dxfId="240" priority="36">
      <formula>B$9&lt;8/24</formula>
    </cfRule>
  </conditionalFormatting>
  <conditionalFormatting sqref="B161:E167">
    <cfRule type="expression" dxfId="239" priority="37">
      <formula>B$9&gt;=20/24</formula>
    </cfRule>
    <cfRule type="expression" dxfId="238" priority="38">
      <formula>AND(B$9&gt;=14/24,B$9&lt;20/24)</formula>
    </cfRule>
    <cfRule type="expression" dxfId="237" priority="39">
      <formula>AND(B$9&gt;=8/24,B$9&lt;14/24)</formula>
    </cfRule>
    <cfRule type="expression" dxfId="236" priority="40">
      <formula>B$9&lt;8/24</formula>
    </cfRule>
  </conditionalFormatting>
  <conditionalFormatting sqref="B169:E274">
    <cfRule type="expression" dxfId="235" priority="28">
      <formula>B$9&gt;=20/24</formula>
    </cfRule>
    <cfRule type="expression" dxfId="234" priority="29">
      <formula>AND(B$9&gt;=14/24,B$9&lt;20/24)</formula>
    </cfRule>
    <cfRule type="expression" dxfId="233" priority="30">
      <formula>AND(B$9&gt;=8/24,B$9&lt;14/24)</formula>
    </cfRule>
    <cfRule type="expression" dxfId="232" priority="31">
      <formula>B$9&lt;8/24</formula>
    </cfRule>
  </conditionalFormatting>
  <conditionalFormatting sqref="B11:Y13 AA11:AD13">
    <cfRule type="expression" dxfId="231" priority="41">
      <formula>B11&gt;$AG11*1</formula>
    </cfRule>
  </conditionalFormatting>
  <conditionalFormatting sqref="A153">
    <cfRule type="expression" dxfId="230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229" priority="23">
      <formula>AL$9&gt;=20/24</formula>
    </cfRule>
  </conditionalFormatting>
  <conditionalFormatting sqref="AL153">
    <cfRule type="expression" dxfId="228" priority="24">
      <formula>AND(AL$9&gt;=14/24,AL$9&lt;20/24)</formula>
    </cfRule>
    <cfRule type="expression" dxfId="227" priority="25">
      <formula>AND(AL$9&gt;=8/24,AL$9&lt;14/24)</formula>
    </cfRule>
    <cfRule type="expression" dxfId="226" priority="26">
      <formula>AL$9&lt;8/24</formula>
    </cfRule>
  </conditionalFormatting>
  <conditionalFormatting sqref="Z11:Z13">
    <cfRule type="expression" dxfId="21" priority="17">
      <formula>Z$9&gt;=20/24</formula>
    </cfRule>
  </conditionalFormatting>
  <conditionalFormatting sqref="Z11:Z13">
    <cfRule type="expression" dxfId="20" priority="18">
      <formula>AND(Z$9&gt;=14/24,Z$9&lt;20/24)</formula>
    </cfRule>
    <cfRule type="expression" dxfId="19" priority="19">
      <formula>AND(Z$9&gt;=8/24,Z$9&lt;14/24)</formula>
    </cfRule>
    <cfRule type="expression" dxfId="18" priority="20">
      <formula>Z$9&lt;8/24</formula>
    </cfRule>
  </conditionalFormatting>
  <conditionalFormatting sqref="Z14:Z53 AA17:AD53">
    <cfRule type="expression" dxfId="17" priority="11">
      <formula>Z14&gt;$AG14*1</formula>
    </cfRule>
    <cfRule type="expression" dxfId="16" priority="12">
      <formula>Z$9&gt;=20/24</formula>
    </cfRule>
    <cfRule type="expression" dxfId="15" priority="13">
      <formula>AND(Z$9&gt;=14/24,Z$9&lt;20/24)</formula>
    </cfRule>
    <cfRule type="expression" dxfId="14" priority="14">
      <formula>AND(Z$9&gt;=8/24,Z$9&lt;14/24)</formula>
    </cfRule>
    <cfRule type="expression" dxfId="13" priority="15">
      <formula>Z$9&lt;8/24</formula>
    </cfRule>
  </conditionalFormatting>
  <conditionalFormatting sqref="Z54:AD55">
    <cfRule type="expression" dxfId="12" priority="10">
      <formula>Z$9&lt;8/24</formula>
    </cfRule>
  </conditionalFormatting>
  <conditionalFormatting sqref="Z54:AD55 Z69:AD70">
    <cfRule type="expression" dxfId="11" priority="7">
      <formula>Z$9&gt;=20/24</formula>
    </cfRule>
    <cfRule type="expression" dxfId="10" priority="8">
      <formula>AND(Z$9&gt;=14/24,Z$9&lt;20/24)</formula>
    </cfRule>
    <cfRule type="expression" dxfId="9" priority="9">
      <formula>AND(Z$9&gt;=8/24,Z$9&lt;14/24)</formula>
    </cfRule>
  </conditionalFormatting>
  <conditionalFormatting sqref="Z69:AD70">
    <cfRule type="expression" dxfId="8" priority="21">
      <formula>Z$9&lt;8/24</formula>
    </cfRule>
  </conditionalFormatting>
  <conditionalFormatting sqref="Z11:Z13 Z69:AD69">
    <cfRule type="expression" dxfId="7" priority="16">
      <formula>Z11&gt;$AG11*1</formula>
    </cfRule>
  </conditionalFormatting>
  <conditionalFormatting sqref="Z54:AD55 Z69:AD70">
    <cfRule type="expression" dxfId="6" priority="22">
      <formula>Z54&gt;$AG54</formula>
    </cfRule>
  </conditionalFormatting>
  <conditionalFormatting sqref="Z56:AD68">
    <cfRule type="expression" dxfId="5" priority="4">
      <formula>Z$9&lt;8/24</formula>
    </cfRule>
  </conditionalFormatting>
  <conditionalFormatting sqref="Z56:AD68">
    <cfRule type="expression" dxfId="4" priority="1">
      <formula>Z$9&gt;=20/24</formula>
    </cfRule>
    <cfRule type="expression" dxfId="3" priority="2">
      <formula>AND(Z$9&gt;=14/24,Z$9&lt;20/24)</formula>
    </cfRule>
    <cfRule type="expression" dxfId="2" priority="3">
      <formula>AND(Z$9&gt;=8/24,Z$9&lt;14/24)</formula>
    </cfRule>
  </conditionalFormatting>
  <conditionalFormatting sqref="Z63:AD65">
    <cfRule type="expression" dxfId="1" priority="5">
      <formula>Z63&gt;$AG63</formula>
    </cfRule>
  </conditionalFormatting>
  <conditionalFormatting sqref="Z66:AD68 Z56:AD62">
    <cfRule type="expression" dxfId="0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36" t="s">
        <v>0</v>
      </c>
      <c r="B1" s="236"/>
      <c r="C1" s="236"/>
      <c r="D1" s="236"/>
      <c r="E1" s="236"/>
      <c r="F1" s="236"/>
      <c r="G1" s="236"/>
      <c r="H1" s="236"/>
      <c r="I1" s="236"/>
      <c r="J1" s="236"/>
      <c r="K1" s="236"/>
      <c r="L1" s="236"/>
      <c r="M1" s="236"/>
      <c r="N1" s="236"/>
      <c r="O1" s="236"/>
      <c r="P1" s="236"/>
      <c r="Q1" s="236"/>
      <c r="R1" s="236"/>
      <c r="S1" s="236"/>
      <c r="T1" s="236"/>
      <c r="U1" s="236"/>
      <c r="V1" s="236"/>
      <c r="W1" s="236"/>
      <c r="X1" s="236"/>
      <c r="Y1" s="236"/>
      <c r="Z1" s="236"/>
      <c r="AA1" s="236"/>
      <c r="AB1" s="236"/>
      <c r="AC1" s="236"/>
      <c r="AD1" s="236"/>
      <c r="AE1" s="236"/>
      <c r="AF1" s="236"/>
      <c r="AG1" s="237" t="s">
        <v>1</v>
      </c>
      <c r="AH1" s="237"/>
      <c r="AI1" s="237"/>
      <c r="AL1" s="2"/>
    </row>
    <row r="2" spans="1:88" ht="20.25" hidden="1">
      <c r="A2" s="3"/>
      <c r="B2" s="238" t="s">
        <v>2</v>
      </c>
      <c r="C2" s="4"/>
      <c r="D2" s="240" t="s">
        <v>3</v>
      </c>
      <c r="E2" s="4"/>
      <c r="F2" s="240" t="s">
        <v>4</v>
      </c>
      <c r="G2" s="4"/>
      <c r="H2" s="240" t="s">
        <v>5</v>
      </c>
      <c r="I2" s="5"/>
      <c r="J2" s="24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39"/>
      <c r="C3" s="16"/>
      <c r="D3" s="241"/>
      <c r="E3" s="16"/>
      <c r="F3" s="241"/>
      <c r="G3" s="16"/>
      <c r="H3" s="241"/>
      <c r="I3" s="17"/>
      <c r="J3" s="24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1" t="e">
        <f ca="1">"2080/"&amp;"10/"&amp;INT(MID(CELL("filename",D6),FIND("]",CELL("filename",D6))+1,200))</f>
        <v>#VALUE!</v>
      </c>
      <c r="C4" s="231"/>
      <c r="D4" s="231"/>
      <c r="E4" s="232" t="e">
        <f ca="1">"2080/"&amp;"10/"&amp;INT(MID(CELL("filename",G6),FIND("]",CELL("filename",G6))+1,200))</f>
        <v>#VALUE!</v>
      </c>
      <c r="F4" s="232"/>
      <c r="G4" s="232"/>
      <c r="H4" s="232" t="e">
        <f ca="1">TEXT(E4,"dddd")</f>
        <v>#VALUE!</v>
      </c>
      <c r="I4" s="232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3" t="s">
        <v>14</v>
      </c>
      <c r="C8" s="234"/>
      <c r="D8" s="234"/>
      <c r="E8" s="234"/>
      <c r="F8" s="234"/>
      <c r="G8" s="234"/>
      <c r="H8" s="234"/>
      <c r="I8" s="234"/>
      <c r="J8" s="234"/>
      <c r="K8" s="234"/>
      <c r="L8" s="235"/>
      <c r="M8" s="226" t="s">
        <v>15</v>
      </c>
      <c r="N8" s="227"/>
      <c r="O8" s="227"/>
      <c r="P8" s="227"/>
      <c r="Q8" s="227"/>
      <c r="R8" s="228"/>
      <c r="S8" s="226" t="s">
        <v>16</v>
      </c>
      <c r="T8" s="227"/>
      <c r="U8" s="227"/>
      <c r="V8" s="227"/>
      <c r="W8" s="227"/>
      <c r="X8" s="227"/>
      <c r="Y8" s="227"/>
      <c r="Z8" s="227"/>
      <c r="AA8" s="228"/>
      <c r="AB8" s="226" t="s">
        <v>17</v>
      </c>
      <c r="AC8" s="227"/>
      <c r="AD8" s="227"/>
      <c r="AE8" s="227"/>
      <c r="AF8" s="228"/>
      <c r="AG8" s="39"/>
      <c r="AH8" s="217"/>
      <c r="AI8" s="21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23">
        <v>0</v>
      </c>
      <c r="C9" s="223">
        <v>4.1666666666666664E-2</v>
      </c>
      <c r="D9" s="223">
        <v>8.3333333333333301E-2</v>
      </c>
      <c r="E9" s="223">
        <v>0.125</v>
      </c>
      <c r="F9" s="223">
        <v>0.16666666666666699</v>
      </c>
      <c r="G9" s="223">
        <v>0.20833333333333301</v>
      </c>
      <c r="H9" s="223">
        <v>0.22916666666666699</v>
      </c>
      <c r="I9" s="223">
        <v>0.25</v>
      </c>
      <c r="J9" s="223">
        <v>0.27083333333333298</v>
      </c>
      <c r="K9" s="223">
        <v>0.29166666666666702</v>
      </c>
      <c r="L9" s="223">
        <v>0.3125</v>
      </c>
      <c r="M9" s="224">
        <v>0.33333333333333298</v>
      </c>
      <c r="N9" s="224">
        <v>0.375</v>
      </c>
      <c r="O9" s="224">
        <v>0.41666666666666702</v>
      </c>
      <c r="P9" s="224">
        <v>0.45833333333333298</v>
      </c>
      <c r="Q9" s="224">
        <v>0.5</v>
      </c>
      <c r="R9" s="224">
        <v>0.54166666666666696</v>
      </c>
      <c r="S9" s="217">
        <v>0.58333333333333304</v>
      </c>
      <c r="T9" s="217">
        <v>0.625</v>
      </c>
      <c r="U9" s="217">
        <v>0.66666666666666696</v>
      </c>
      <c r="V9" s="217">
        <v>0.70833333333333304</v>
      </c>
      <c r="W9" s="217">
        <v>0.72916666666666696</v>
      </c>
      <c r="X9" s="217">
        <v>0.75</v>
      </c>
      <c r="Y9" s="217">
        <v>0.77083333333333304</v>
      </c>
      <c r="Z9" s="217">
        <v>0.79166666666666696</v>
      </c>
      <c r="AA9" s="217">
        <v>0.8125</v>
      </c>
      <c r="AB9" s="217">
        <v>0.83333333333333304</v>
      </c>
      <c r="AC9" s="217">
        <v>0.85416666666666696</v>
      </c>
      <c r="AD9" s="217">
        <v>0.875</v>
      </c>
      <c r="AE9" s="217">
        <v>0.91666666666666696</v>
      </c>
      <c r="AF9" s="217">
        <v>0.95833333333333304</v>
      </c>
      <c r="AG9" s="219" t="s">
        <v>1</v>
      </c>
      <c r="AH9" s="218"/>
      <c r="AI9" s="21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23"/>
      <c r="C10" s="223"/>
      <c r="D10" s="223"/>
      <c r="E10" s="223"/>
      <c r="F10" s="223"/>
      <c r="G10" s="223"/>
      <c r="H10" s="218"/>
      <c r="I10" s="218"/>
      <c r="J10" s="218"/>
      <c r="K10" s="218"/>
      <c r="L10" s="218"/>
      <c r="M10" s="225"/>
      <c r="N10" s="225"/>
      <c r="O10" s="225"/>
      <c r="P10" s="225"/>
      <c r="Q10" s="225"/>
      <c r="R10" s="225"/>
      <c r="S10" s="218"/>
      <c r="T10" s="218"/>
      <c r="U10" s="218"/>
      <c r="V10" s="218"/>
      <c r="W10" s="218"/>
      <c r="X10" s="218"/>
      <c r="Y10" s="218"/>
      <c r="Z10" s="218"/>
      <c r="AA10" s="218"/>
      <c r="AB10" s="218"/>
      <c r="AC10" s="218"/>
      <c r="AD10" s="218"/>
      <c r="AE10" s="218"/>
      <c r="AF10" s="218"/>
      <c r="AG10" s="220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21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22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225" priority="37">
      <formula>$AH11=0</formula>
    </cfRule>
  </conditionalFormatting>
  <conditionalFormatting sqref="A101:A102">
    <cfRule type="expression" dxfId="224" priority="205">
      <formula>$AH106=0</formula>
    </cfRule>
  </conditionalFormatting>
  <conditionalFormatting sqref="A103:A107">
    <cfRule type="expression" dxfId="223" priority="153">
      <formula>$AH102=0</formula>
    </cfRule>
  </conditionalFormatting>
  <conditionalFormatting sqref="A160:A167">
    <cfRule type="expression" dxfId="222" priority="206">
      <formula>$AH267=0</formula>
    </cfRule>
  </conditionalFormatting>
  <conditionalFormatting sqref="A168:A275">
    <cfRule type="expression" dxfId="221" priority="76">
      <formula>$AH168=0</formula>
    </cfRule>
  </conditionalFormatting>
  <conditionalFormatting sqref="B8">
    <cfRule type="expression" dxfId="220" priority="201">
      <formula>AND(C$9&gt;=14/24,C$9&lt;20/24)</formula>
    </cfRule>
    <cfRule type="expression" dxfId="219" priority="202">
      <formula>AND(C$9&gt;=8/24,C$9&lt;14/24)</formula>
    </cfRule>
    <cfRule type="expression" dxfId="218" priority="203">
      <formula>C$9&lt;8/24</formula>
    </cfRule>
    <cfRule type="expression" dxfId="217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216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215" priority="119">
      <formula>AND(B$9&gt;=14/24,B$9&lt;20/24)</formula>
    </cfRule>
    <cfRule type="expression" dxfId="214" priority="120">
      <formula>AND(B$9&gt;=8/24,B$9&lt;14/24)</formula>
    </cfRule>
    <cfRule type="expression" dxfId="213" priority="121">
      <formula>B$9&lt;8/24</formula>
    </cfRule>
  </conditionalFormatting>
  <conditionalFormatting sqref="C14:AF28 B29:AF53">
    <cfRule type="expression" dxfId="212" priority="61">
      <formula>B14&gt;$AG14*1</formula>
    </cfRule>
    <cfRule type="expression" dxfId="211" priority="62">
      <formula>B$9&gt;=20/24</formula>
    </cfRule>
    <cfRule type="expression" dxfId="210" priority="63">
      <formula>AND(B$9&gt;=14/24,B$9&lt;20/24)</formula>
    </cfRule>
    <cfRule type="expression" dxfId="209" priority="64">
      <formula>AND(B$9&gt;=8/24,B$9&lt;14/24)</formula>
    </cfRule>
    <cfRule type="expression" dxfId="208" priority="65">
      <formula>B$9&lt;8/24</formula>
    </cfRule>
  </conditionalFormatting>
  <conditionalFormatting sqref="B54:AF68">
    <cfRule type="expression" dxfId="207" priority="54">
      <formula>B$9&lt;8/24</formula>
    </cfRule>
  </conditionalFormatting>
  <conditionalFormatting sqref="B54:AF70">
    <cfRule type="expression" dxfId="206" priority="51">
      <formula>B$9&gt;=20/24</formula>
    </cfRule>
    <cfRule type="expression" dxfId="205" priority="52">
      <formula>AND(B$9&gt;=14/24,B$9&lt;20/24)</formula>
    </cfRule>
    <cfRule type="expression" dxfId="204" priority="53">
      <formula>AND(B$9&gt;=8/24,B$9&lt;14/24)</formula>
    </cfRule>
  </conditionalFormatting>
  <conditionalFormatting sqref="B63:AF65">
    <cfRule type="expression" dxfId="203" priority="55">
      <formula>B63&gt;$AG63</formula>
    </cfRule>
  </conditionalFormatting>
  <conditionalFormatting sqref="B69:AF70">
    <cfRule type="expression" dxfId="202" priority="126">
      <formula>B$9&lt;8/24</formula>
    </cfRule>
  </conditionalFormatting>
  <conditionalFormatting sqref="B72:AF75">
    <cfRule type="expression" dxfId="201" priority="42">
      <formula>B72&gt;$AG72*1</formula>
    </cfRule>
  </conditionalFormatting>
  <conditionalFormatting sqref="B73:AF75">
    <cfRule type="expression" dxfId="200" priority="43">
      <formula>B$9&gt;=20/24</formula>
    </cfRule>
    <cfRule type="expression" dxfId="199" priority="44">
      <formula>AND(B$9&gt;=14/24,B$9&lt;20/24)</formula>
    </cfRule>
    <cfRule type="expression" dxfId="198" priority="45">
      <formula>AND(B$9&gt;=8/24,B$9&lt;14/24)</formula>
    </cfRule>
    <cfRule type="expression" dxfId="197" priority="46">
      <formula>B$9&lt;8/24</formula>
    </cfRule>
  </conditionalFormatting>
  <conditionalFormatting sqref="C161:AF167">
    <cfRule type="expression" dxfId="196" priority="77">
      <formula>C$9&gt;=20/24</formula>
    </cfRule>
    <cfRule type="expression" dxfId="195" priority="78">
      <formula>AND(C$9&gt;=14/24,C$9&lt;20/24)</formula>
    </cfRule>
    <cfRule type="expression" dxfId="194" priority="79">
      <formula>AND(C$9&gt;=8/24,C$9&lt;14/24)</formula>
    </cfRule>
    <cfRule type="expression" dxfId="193" priority="80">
      <formula>C$9&lt;8/24</formula>
    </cfRule>
  </conditionalFormatting>
  <conditionalFormatting sqref="C169:AF274">
    <cfRule type="expression" dxfId="192" priority="38">
      <formula>C$9&gt;=20/24</formula>
    </cfRule>
    <cfRule type="expression" dxfId="191" priority="39">
      <formula>AND(C$9&gt;=14/24,C$9&lt;20/24)</formula>
    </cfRule>
    <cfRule type="expression" dxfId="190" priority="40">
      <formula>AND(C$9&gt;=8/24,C$9&lt;14/24)</formula>
    </cfRule>
    <cfRule type="expression" dxfId="189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188" priority="117">
      <formula>B11&gt;$AG11*1</formula>
    </cfRule>
  </conditionalFormatting>
  <conditionalFormatting sqref="E79:I83 J80:J83 K83:O83">
    <cfRule type="expression" dxfId="187" priority="127">
      <formula>E$9&gt;=20/24</formula>
    </cfRule>
    <cfRule type="expression" dxfId="186" priority="128">
      <formula>AND(E$9&gt;=14/24,E$9&lt;20/24)</formula>
    </cfRule>
    <cfRule type="expression" dxfId="185" priority="129">
      <formula>AND(E$9&gt;=8/24,E$9&lt;14/24)</formula>
    </cfRule>
    <cfRule type="expression" dxfId="184" priority="130">
      <formula>E$9&lt;8/24</formula>
    </cfRule>
  </conditionalFormatting>
  <conditionalFormatting sqref="E84:O84">
    <cfRule type="expression" dxfId="183" priority="122">
      <formula>E$9&gt;=20/24</formula>
    </cfRule>
    <cfRule type="expression" dxfId="182" priority="123">
      <formula>AND(E$9&gt;=14/24,E$9&lt;20/24)</formula>
    </cfRule>
    <cfRule type="expression" dxfId="181" priority="124">
      <formula>AND(E$9&gt;=8/24,E$9&lt;14/24)</formula>
    </cfRule>
    <cfRule type="expression" dxfId="180" priority="125">
      <formula>E$9&lt;8/24</formula>
    </cfRule>
  </conditionalFormatting>
  <conditionalFormatting sqref="E76:AF78 B72:AF72">
    <cfRule type="expression" dxfId="179" priority="137">
      <formula>B$9&gt;=20/24</formula>
    </cfRule>
    <cfRule type="expression" dxfId="178" priority="138">
      <formula>AND(B$9&gt;=14/24,B$9&lt;20/24)</formula>
    </cfRule>
    <cfRule type="expression" dxfId="177" priority="139">
      <formula>AND(B$9&gt;=8/24,B$9&lt;14/24)</formula>
    </cfRule>
    <cfRule type="expression" dxfId="176" priority="140">
      <formula>B$9&lt;8/24</formula>
    </cfRule>
  </conditionalFormatting>
  <conditionalFormatting sqref="E73:AF75">
    <cfRule type="expression" dxfId="175" priority="47">
      <formula>E$9&gt;=20/24</formula>
    </cfRule>
    <cfRule type="expression" dxfId="174" priority="48">
      <formula>AND(E$9&gt;=14/24,E$9&lt;20/24)</formula>
    </cfRule>
    <cfRule type="expression" dxfId="173" priority="49">
      <formula>AND(E$9&gt;=8/24,E$9&lt;14/24)</formula>
    </cfRule>
    <cfRule type="expression" dxfId="172" priority="50">
      <formula>E$9&lt;8/24</formula>
    </cfRule>
  </conditionalFormatting>
  <conditionalFormatting sqref="F79:O81">
    <cfRule type="expression" dxfId="171" priority="145">
      <formula>F$9&gt;=20/24</formula>
    </cfRule>
    <cfRule type="expression" dxfId="170" priority="146">
      <formula>AND(F$9&gt;=14/24,F$9&lt;20/24)</formula>
    </cfRule>
    <cfRule type="expression" dxfId="169" priority="147">
      <formula>AND(F$9&gt;=8/24,F$9&lt;14/24)</formula>
    </cfRule>
    <cfRule type="expression" dxfId="168" priority="148">
      <formula>F$9&lt;8/24</formula>
    </cfRule>
  </conditionalFormatting>
  <conditionalFormatting sqref="L84:AF84">
    <cfRule type="expression" dxfId="167" priority="141">
      <formula>L$9&gt;=20/24</formula>
    </cfRule>
    <cfRule type="expression" dxfId="166" priority="142">
      <formula>AND(L$9&gt;=14/24,L$9&lt;20/24)</formula>
    </cfRule>
    <cfRule type="expression" dxfId="165" priority="143">
      <formula>AND(L$9&gt;=8/24,L$9&lt;14/24)</formula>
    </cfRule>
    <cfRule type="expression" dxfId="164" priority="144">
      <formula>L$9&lt;8/24</formula>
    </cfRule>
  </conditionalFormatting>
  <conditionalFormatting sqref="M8 S8 AB8">
    <cfRule type="expression" dxfId="163" priority="194">
      <formula>AND(N$9&gt;=14/24,N$9&lt;20/24)</formula>
    </cfRule>
    <cfRule type="expression" dxfId="162" priority="195">
      <formula>AND(N$9&gt;=8/24,N$9&lt;14/24)</formula>
    </cfRule>
    <cfRule type="expression" dxfId="161" priority="196">
      <formula>N$9&lt;8/24</formula>
    </cfRule>
  </conditionalFormatting>
  <conditionalFormatting sqref="M79:Y83 Z80:AA83">
    <cfRule type="expression" dxfId="160" priority="149">
      <formula>M$9&gt;=20/24</formula>
    </cfRule>
    <cfRule type="expression" dxfId="159" priority="150">
      <formula>AND(M$9&gt;=14/24,M$9&lt;20/24)</formula>
    </cfRule>
    <cfRule type="expression" dxfId="158" priority="151">
      <formula>AND(M$9&gt;=8/24,M$9&lt;14/24)</formula>
    </cfRule>
    <cfRule type="expression" dxfId="157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56" priority="193">
      <formula>N$9&gt;=20/24</formula>
    </cfRule>
  </conditionalFormatting>
  <conditionalFormatting sqref="S8">
    <cfRule type="expression" dxfId="155" priority="184">
      <formula>U$9&gt;=20/24</formula>
    </cfRule>
    <cfRule type="expression" dxfId="154" priority="185">
      <formula>AND(U$9&gt;=14/24,U$9&lt;20/24)</formula>
    </cfRule>
    <cfRule type="expression" dxfId="153" priority="186">
      <formula>AND(U$9&gt;=8/24,U$9&lt;14/24)</formula>
    </cfRule>
    <cfRule type="expression" dxfId="152" priority="187">
      <formula>U$9&lt;8/24</formula>
    </cfRule>
  </conditionalFormatting>
  <conditionalFormatting sqref="T79:AF84">
    <cfRule type="expression" dxfId="151" priority="71">
      <formula>T$9&gt;=20/24</formula>
    </cfRule>
    <cfRule type="expression" dxfId="150" priority="72">
      <formula>AND(T$9&gt;=14/24,T$9&lt;20/24)</formula>
    </cfRule>
    <cfRule type="expression" dxfId="149" priority="73">
      <formula>AND(T$9&gt;=8/24,T$9&lt;14/24)</formula>
    </cfRule>
    <cfRule type="expression" dxfId="148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47" priority="56">
      <formula>Y$9&gt;=20/24</formula>
    </cfRule>
    <cfRule type="expression" dxfId="146" priority="57">
      <formula>AND(Y$9&gt;=14/24,Y$9&lt;20/24)</formula>
    </cfRule>
    <cfRule type="expression" dxfId="145" priority="58">
      <formula>AND(Y$9&gt;=8/24,Y$9&lt;14/24)</formula>
    </cfRule>
    <cfRule type="expression" dxfId="144" priority="59">
      <formula>Y$9&lt;8/24</formula>
    </cfRule>
  </conditionalFormatting>
  <conditionalFormatting sqref="Z69:Z70">
    <cfRule type="expression" dxfId="143" priority="136">
      <formula>Z69&gt;$AG69</formula>
    </cfRule>
  </conditionalFormatting>
  <conditionalFormatting sqref="Z66:AF69 AB11:AF11 B54:AF62 B66:Y70">
    <cfRule type="expression" dxfId="142" priority="131">
      <formula>B11&gt;$AG11</formula>
    </cfRule>
  </conditionalFormatting>
  <conditionalFormatting sqref="AB8">
    <cfRule type="expression" dxfId="141" priority="180">
      <formula>AD$9&gt;=20/24</formula>
    </cfRule>
    <cfRule type="expression" dxfId="140" priority="181">
      <formula>AND(AD$9&gt;=14/24,AD$9&lt;20/24)</formula>
    </cfRule>
    <cfRule type="expression" dxfId="139" priority="182">
      <formula>AND(AD$9&gt;=8/24,AD$9&lt;14/24)</formula>
    </cfRule>
    <cfRule type="expression" dxfId="138" priority="183">
      <formula>AD$9&lt;8/24</formula>
    </cfRule>
  </conditionalFormatting>
  <conditionalFormatting sqref="AB11:AF11">
    <cfRule type="expression" dxfId="137" priority="132">
      <formula>AB$9&gt;=20/24</formula>
    </cfRule>
    <cfRule type="expression" dxfId="136" priority="133">
      <formula>AND(AB$9&gt;=14/24,AB$9&lt;20/24)</formula>
    </cfRule>
    <cfRule type="expression" dxfId="135" priority="134">
      <formula>AND(AB$9&gt;=8/24,AB$9&lt;14/24)</formula>
    </cfRule>
    <cfRule type="expression" dxfId="134" priority="135">
      <formula>AB$9&lt;8/24</formula>
    </cfRule>
  </conditionalFormatting>
  <conditionalFormatting sqref="AD79:AF79">
    <cfRule type="expression" dxfId="133" priority="207">
      <formula>AD79&gt;$AG80*1</formula>
    </cfRule>
  </conditionalFormatting>
  <conditionalFormatting sqref="AG78">
    <cfRule type="expression" dxfId="132" priority="159">
      <formula>AG$9&gt;=20/24</formula>
    </cfRule>
    <cfRule type="expression" dxfId="131" priority="160">
      <formula>AND(AG$9&gt;=14/24,AG$9&lt;20/24)</formula>
    </cfRule>
    <cfRule type="expression" dxfId="130" priority="161">
      <formula>AND(AG$9&gt;=8/24,AG$9&lt;14/24)</formula>
    </cfRule>
    <cfRule type="expression" dxfId="129" priority="162">
      <formula>AG$9&lt;8/24</formula>
    </cfRule>
  </conditionalFormatting>
  <conditionalFormatting sqref="AG91:AG92">
    <cfRule type="expression" dxfId="128" priority="154">
      <formula>AG91&gt;$AG91</formula>
    </cfRule>
  </conditionalFormatting>
  <conditionalFormatting sqref="AG96">
    <cfRule type="expression" dxfId="127" priority="155">
      <formula>AG$9&gt;=20/24</formula>
    </cfRule>
    <cfRule type="expression" dxfId="126" priority="156">
      <formula>AND(AG$9&gt;=14/24,AG$9&lt;20/24)</formula>
    </cfRule>
    <cfRule type="expression" dxfId="125" priority="157">
      <formula>AND(AG$9&gt;=8/24,AG$9&lt;14/24)</formula>
    </cfRule>
    <cfRule type="expression" dxfId="124" priority="158">
      <formula>AG$9&lt;8/24</formula>
    </cfRule>
  </conditionalFormatting>
  <conditionalFormatting sqref="AG113">
    <cfRule type="expression" dxfId="123" priority="176">
      <formula>AG$9&gt;=20/24</formula>
    </cfRule>
    <cfRule type="expression" dxfId="122" priority="177">
      <formula>AND(AG$9&gt;=14/24,AG$9&lt;20/24)</formula>
    </cfRule>
    <cfRule type="expression" dxfId="121" priority="178">
      <formula>AND(AG$9&gt;=8/24,AG$9&lt;14/24)</formula>
    </cfRule>
    <cfRule type="expression" dxfId="120" priority="179">
      <formula>AG$9&lt;8/24</formula>
    </cfRule>
  </conditionalFormatting>
  <conditionalFormatting sqref="AH8:AI10">
    <cfRule type="expression" dxfId="119" priority="67">
      <formula>AH$9&gt;=20/24</formula>
    </cfRule>
    <cfRule type="expression" dxfId="118" priority="68">
      <formula>AND(AH$9&gt;=14/24,AH$9&lt;20/24)</formula>
    </cfRule>
    <cfRule type="expression" dxfId="117" priority="69">
      <formula>AND(AH$9&gt;=8/24,AH$9&lt;14/24)</formula>
    </cfRule>
    <cfRule type="expression" dxfId="116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15" priority="197">
      <formula>AJ$9&gt;=20/24</formula>
    </cfRule>
    <cfRule type="expression" dxfId="114" priority="198">
      <formula>AND(AJ$9&gt;=14/24,AJ$9&lt;20/24)</formula>
    </cfRule>
    <cfRule type="expression" dxfId="113" priority="199">
      <formula>AND(AJ$9&gt;=8/24,AJ$9&lt;14/24)</formula>
    </cfRule>
    <cfRule type="expression" dxfId="112" priority="200">
      <formula>AJ$9&lt;8/24</formula>
    </cfRule>
  </conditionalFormatting>
  <conditionalFormatting sqref="AL99:AN99 AL105:AN105">
    <cfRule type="expression" dxfId="111" priority="169">
      <formula>AL$9&gt;=20/24</formula>
    </cfRule>
    <cfRule type="expression" dxfId="110" priority="170">
      <formula>AND(AL$9&gt;=14/24,AL$9&lt;20/24)</formula>
    </cfRule>
    <cfRule type="expression" dxfId="109" priority="171">
      <formula>AND(AL$9&gt;=8/24,AL$9&lt;14/24)</formula>
    </cfRule>
    <cfRule type="expression" dxfId="108" priority="172">
      <formula>AL$9&lt;8/24</formula>
    </cfRule>
  </conditionalFormatting>
  <conditionalFormatting sqref="AM15:AM21 AN16:AR21">
    <cfRule type="expression" dxfId="107" priority="93">
      <formula>AX$9&gt;=20/24</formula>
    </cfRule>
    <cfRule type="expression" dxfId="106" priority="94">
      <formula>AND(AX$9&gt;=14/24,AX$9&lt;20/24)</formula>
    </cfRule>
    <cfRule type="expression" dxfId="105" priority="95">
      <formula>AND(AX$9&gt;=8/24,AX$9&lt;14/24)</formula>
    </cfRule>
    <cfRule type="expression" dxfId="104" priority="96">
      <formula>AX$9&lt;8/24</formula>
    </cfRule>
  </conditionalFormatting>
  <conditionalFormatting sqref="AN100:AN103">
    <cfRule type="expression" dxfId="103" priority="165">
      <formula>AN$9&gt;=20/24</formula>
    </cfRule>
    <cfRule type="expression" dxfId="102" priority="166">
      <formula>AND(AN$9&gt;=14/24,AN$9&lt;20/24)</formula>
    </cfRule>
    <cfRule type="expression" dxfId="101" priority="167">
      <formula>AND(AN$9&gt;=8/24,AN$9&lt;14/24)</formula>
    </cfRule>
    <cfRule type="expression" dxfId="100" priority="168">
      <formula>AN$9&lt;8/24</formula>
    </cfRule>
  </conditionalFormatting>
  <conditionalFormatting sqref="AN15:AR15">
    <cfRule type="expression" dxfId="99" priority="81">
      <formula>U$9&gt;=20/24</formula>
    </cfRule>
    <cfRule type="expression" dxfId="98" priority="82">
      <formula>AND(U$9&gt;=14/24,U$9&lt;20/24)</formula>
    </cfRule>
    <cfRule type="expression" dxfId="97" priority="83">
      <formula>AND(U$9&gt;=8/24,U$9&lt;14/24)</formula>
    </cfRule>
    <cfRule type="expression" dxfId="96" priority="84">
      <formula>U$9&lt;8/24</formula>
    </cfRule>
  </conditionalFormatting>
  <conditionalFormatting sqref="AS15">
    <cfRule type="expression" dxfId="95" priority="89">
      <formula>AA$9&gt;=20/24</formula>
    </cfRule>
    <cfRule type="expression" dxfId="94" priority="90">
      <formula>AND(AA$9&gt;=14/24,AA$9&lt;20/24)</formula>
    </cfRule>
    <cfRule type="expression" dxfId="93" priority="91">
      <formula>AND(AA$9&gt;=8/24,AA$9&lt;14/24)</formula>
    </cfRule>
    <cfRule type="expression" dxfId="92" priority="92">
      <formula>AA$9&lt;8/24</formula>
    </cfRule>
  </conditionalFormatting>
  <conditionalFormatting sqref="AS16:AS21">
    <cfRule type="expression" dxfId="91" priority="97">
      <formula>BE$9&gt;=20/24</formula>
    </cfRule>
    <cfRule type="expression" dxfId="90" priority="98">
      <formula>AND(BE$9&gt;=14/24,BE$9&lt;20/24)</formula>
    </cfRule>
    <cfRule type="expression" dxfId="89" priority="99">
      <formula>AND(BE$9&gt;=8/24,BE$9&lt;14/24)</formula>
    </cfRule>
    <cfRule type="expression" dxfId="88" priority="100">
      <formula>BE$9&lt;8/24</formula>
    </cfRule>
  </conditionalFormatting>
  <conditionalFormatting sqref="AT15 AX15:BJ15">
    <cfRule type="expression" dxfId="87" priority="101">
      <formula>AC$9&gt;=20/24</formula>
    </cfRule>
    <cfRule type="expression" dxfId="86" priority="102">
      <formula>AND(AC$9&gt;=14/24,AC$9&lt;20/24)</formula>
    </cfRule>
    <cfRule type="expression" dxfId="85" priority="103">
      <formula>AND(AC$9&gt;=8/24,AC$9&lt;14/24)</formula>
    </cfRule>
    <cfRule type="expression" dxfId="84" priority="104">
      <formula>AC$9&lt;8/24</formula>
    </cfRule>
  </conditionalFormatting>
  <conditionalFormatting sqref="AT16:AT21">
    <cfRule type="expression" dxfId="83" priority="105">
      <formula>BG$9&gt;=20/24</formula>
    </cfRule>
    <cfRule type="expression" dxfId="82" priority="106">
      <formula>AND(BG$9&gt;=14/24,BG$9&lt;20/24)</formula>
    </cfRule>
    <cfRule type="expression" dxfId="81" priority="107">
      <formula>AND(BG$9&gt;=8/24,BG$9&lt;14/24)</formula>
    </cfRule>
    <cfRule type="expression" dxfId="80" priority="108">
      <formula>BG$9&lt;8/24</formula>
    </cfRule>
  </conditionalFormatting>
  <conditionalFormatting sqref="AU15:AV15">
    <cfRule type="expression" dxfId="79" priority="109">
      <formula>AE$9&gt;=20/24</formula>
    </cfRule>
    <cfRule type="expression" dxfId="78" priority="110">
      <formula>AND(AE$9&gt;=14/24,AE$9&lt;20/24)</formula>
    </cfRule>
    <cfRule type="expression" dxfId="77" priority="111">
      <formula>AND(AE$9&gt;=8/24,AE$9&lt;14/24)</formula>
    </cfRule>
    <cfRule type="expression" dxfId="76" priority="112">
      <formula>AE$9&lt;8/24</formula>
    </cfRule>
  </conditionalFormatting>
  <conditionalFormatting sqref="AU16:BJ21">
    <cfRule type="expression" dxfId="75" priority="113">
      <formula>BI$9&gt;=20/24</formula>
    </cfRule>
    <cfRule type="expression" dxfId="74" priority="114">
      <formula>AND(BI$9&gt;=14/24,BI$9&lt;20/24)</formula>
    </cfRule>
    <cfRule type="expression" dxfId="73" priority="115">
      <formula>AND(BI$9&gt;=8/24,BI$9&lt;14/24)</formula>
    </cfRule>
    <cfRule type="expression" dxfId="72" priority="116">
      <formula>BI$9&lt;8/24</formula>
    </cfRule>
  </conditionalFormatting>
  <conditionalFormatting sqref="AW15">
    <cfRule type="expression" dxfId="71" priority="85">
      <formula>B$9&gt;=20/24</formula>
    </cfRule>
    <cfRule type="expression" dxfId="70" priority="86">
      <formula>AND(B$9&gt;=14/24,B$9&lt;20/24)</formula>
    </cfRule>
    <cfRule type="expression" dxfId="69" priority="87">
      <formula>AND(B$9&gt;=8/24,B$9&lt;14/24)</formula>
    </cfRule>
    <cfRule type="expression" dxfId="68" priority="88">
      <formula>B$9&lt;8/24</formula>
    </cfRule>
  </conditionalFormatting>
  <conditionalFormatting sqref="A73">
    <cfRule type="expression" dxfId="67" priority="36">
      <formula>$AH73=0</formula>
    </cfRule>
  </conditionalFormatting>
  <conditionalFormatting sqref="B11:B13 B97:B107 B137:B152 B109:B112 B125:B134 B154:B159">
    <cfRule type="expression" dxfId="66" priority="30">
      <formula>B$9&gt;=20/24</formula>
    </cfRule>
  </conditionalFormatting>
  <conditionalFormatting sqref="B11:B13 B97:B107 B137:B152 B109:B112 B125:B134 B154:B159">
    <cfRule type="expression" dxfId="65" priority="31">
      <formula>AND(B$9&gt;=14/24,B$9&lt;20/24)</formula>
    </cfRule>
    <cfRule type="expression" dxfId="64" priority="32">
      <formula>AND(B$9&gt;=8/24,B$9&lt;14/24)</formula>
    </cfRule>
    <cfRule type="expression" dxfId="63" priority="33">
      <formula>B$9&lt;8/24</formula>
    </cfRule>
  </conditionalFormatting>
  <conditionalFormatting sqref="B14:B28">
    <cfRule type="expression" dxfId="62" priority="20">
      <formula>B14&gt;$AG14*1</formula>
    </cfRule>
    <cfRule type="expression" dxfId="61" priority="21">
      <formula>B$9&gt;=20/24</formula>
    </cfRule>
    <cfRule type="expression" dxfId="60" priority="22">
      <formula>AND(B$9&gt;=14/24,B$9&lt;20/24)</formula>
    </cfRule>
    <cfRule type="expression" dxfId="59" priority="23">
      <formula>AND(B$9&gt;=8/24,B$9&lt;14/24)</formula>
    </cfRule>
    <cfRule type="expression" dxfId="58" priority="24">
      <formula>B$9&lt;8/24</formula>
    </cfRule>
  </conditionalFormatting>
  <conditionalFormatting sqref="B161:B167">
    <cfRule type="expression" dxfId="57" priority="25">
      <formula>B$9&gt;=20/24</formula>
    </cfRule>
    <cfRule type="expression" dxfId="56" priority="26">
      <formula>AND(B$9&gt;=14/24,B$9&lt;20/24)</formula>
    </cfRule>
    <cfRule type="expression" dxfId="55" priority="27">
      <formula>AND(B$9&gt;=8/24,B$9&lt;14/24)</formula>
    </cfRule>
    <cfRule type="expression" dxfId="54" priority="28">
      <formula>B$9&lt;8/24</formula>
    </cfRule>
  </conditionalFormatting>
  <conditionalFormatting sqref="B169:B274">
    <cfRule type="expression" dxfId="53" priority="6">
      <formula>B$9&gt;=20/24</formula>
    </cfRule>
    <cfRule type="expression" dxfId="52" priority="7">
      <formula>AND(B$9&gt;=14/24,B$9&lt;20/24)</formula>
    </cfRule>
    <cfRule type="expression" dxfId="51" priority="8">
      <formula>AND(B$9&gt;=8/24,B$9&lt;14/24)</formula>
    </cfRule>
    <cfRule type="expression" dxfId="50" priority="9">
      <formula>B$9&lt;8/24</formula>
    </cfRule>
  </conditionalFormatting>
  <conditionalFormatting sqref="B11:B13">
    <cfRule type="expression" dxfId="49" priority="29">
      <formula>B11&gt;$AG11*1</formula>
    </cfRule>
  </conditionalFormatting>
  <conditionalFormatting sqref="A153">
    <cfRule type="expression" dxfId="4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7" priority="1">
      <formula>AL$9&gt;=20/24</formula>
    </cfRule>
  </conditionalFormatting>
  <conditionalFormatting sqref="AL153">
    <cfRule type="expression" dxfId="46" priority="2">
      <formula>AND(AL$9&gt;=14/24,AL$9&lt;20/24)</formula>
    </cfRule>
    <cfRule type="expression" dxfId="45" priority="3">
      <formula>AND(AL$9&gt;=8/24,AL$9&lt;14/24)</formula>
    </cfRule>
    <cfRule type="expression" dxfId="4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AO100" sqref="AO100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15"/>
  <sheetViews>
    <sheetView tabSelected="1" workbookViewId="0">
      <pane ySplit="1" topLeftCell="A2" activePane="bottomLeft" state="frozen"/>
      <selection activeCell="AO100" sqref="AO100"/>
      <selection pane="bottomLeft" activeCell="K91" sqref="K91"/>
    </sheetView>
  </sheetViews>
  <sheetFormatPr defaultRowHeight="15"/>
  <cols>
    <col min="1" max="1" width="16" customWidth="1"/>
    <col min="19" max="19" width="8.85546875" customWidth="1"/>
    <col min="21" max="21" width="12.7109375" bestFit="1" customWidth="1"/>
    <col min="24" max="24" width="12.28515625" bestFit="1" customWidth="1"/>
    <col min="26" max="26" width="14.5703125" customWidth="1"/>
  </cols>
  <sheetData>
    <row r="1" spans="1:26" ht="26.25" customHeight="1">
      <c r="A1" s="196" t="s">
        <v>410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207" t="s">
        <v>414</v>
      </c>
      <c r="R1" s="194" t="s">
        <v>407</v>
      </c>
      <c r="S1" s="207" t="s">
        <v>408</v>
      </c>
      <c r="T1" s="194" t="s">
        <v>409</v>
      </c>
      <c r="U1" s="194" t="s">
        <v>397</v>
      </c>
      <c r="X1" s="212" t="s">
        <v>411</v>
      </c>
      <c r="Z1" s="212" t="s">
        <v>412</v>
      </c>
    </row>
    <row r="2" spans="1:26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193"/>
      <c r="R2" s="193"/>
      <c r="S2" s="193"/>
      <c r="T2" s="193"/>
      <c r="U2" s="193"/>
    </row>
    <row r="3" spans="1:26" ht="15.75">
      <c r="A3" s="195" t="s">
        <v>301</v>
      </c>
      <c r="B3" s="193"/>
      <c r="C3" s="193">
        <v>-65</v>
      </c>
      <c r="D3" s="193">
        <v>0</v>
      </c>
      <c r="E3" s="193"/>
      <c r="F3" s="193"/>
      <c r="G3" s="193"/>
      <c r="H3" s="193"/>
      <c r="I3" s="193"/>
      <c r="J3" s="193"/>
      <c r="K3" s="193">
        <v>-80</v>
      </c>
      <c r="L3" s="193"/>
      <c r="M3" s="193"/>
      <c r="N3" s="193"/>
      <c r="O3" s="193"/>
      <c r="P3" s="193"/>
      <c r="Q3" s="193">
        <f>SUM(B3:P3)</f>
        <v>-145</v>
      </c>
      <c r="R3" s="193"/>
      <c r="S3" s="206">
        <v>38.21</v>
      </c>
      <c r="T3" s="206">
        <v>-140</v>
      </c>
      <c r="U3" s="213">
        <f>SUM(Q3:T3)</f>
        <v>-246.79</v>
      </c>
      <c r="X3" s="211">
        <v>0</v>
      </c>
      <c r="Z3">
        <v>0</v>
      </c>
    </row>
    <row r="4" spans="1:26" ht="15.75">
      <c r="A4" s="195" t="s">
        <v>302</v>
      </c>
      <c r="B4" s="193"/>
      <c r="C4" s="193">
        <v>-65</v>
      </c>
      <c r="D4" s="193">
        <v>0</v>
      </c>
      <c r="E4" s="193"/>
      <c r="F4" s="193"/>
      <c r="G4" s="193"/>
      <c r="H4" s="193"/>
      <c r="I4" s="193"/>
      <c r="J4" s="193"/>
      <c r="K4" s="193">
        <v>-80</v>
      </c>
      <c r="L4" s="193"/>
      <c r="M4" s="193"/>
      <c r="N4" s="193"/>
      <c r="O4" s="193"/>
      <c r="P4" s="193"/>
      <c r="Q4" s="193">
        <f t="shared" ref="Q4:Q67" si="0">SUM(B4:P4)</f>
        <v>-145</v>
      </c>
      <c r="R4" s="193"/>
      <c r="S4" s="206">
        <v>38.15</v>
      </c>
      <c r="T4" s="206">
        <v>-140</v>
      </c>
      <c r="U4" s="213">
        <f t="shared" ref="U4:U67" si="1">SUM(Q4:T4)</f>
        <v>-246.85</v>
      </c>
      <c r="X4" s="211">
        <v>0</v>
      </c>
      <c r="Z4">
        <v>0</v>
      </c>
    </row>
    <row r="5" spans="1:26" ht="15.75">
      <c r="A5" s="195" t="s">
        <v>303</v>
      </c>
      <c r="B5" s="193"/>
      <c r="C5" s="193">
        <v>-65</v>
      </c>
      <c r="D5" s="193">
        <v>0</v>
      </c>
      <c r="E5" s="193"/>
      <c r="F5" s="193"/>
      <c r="G5" s="193"/>
      <c r="H5" s="193"/>
      <c r="I5" s="193"/>
      <c r="J5" s="193"/>
      <c r="K5" s="193">
        <v>-80</v>
      </c>
      <c r="L5" s="193"/>
      <c r="M5" s="193"/>
      <c r="N5" s="193"/>
      <c r="O5" s="193"/>
      <c r="P5" s="193"/>
      <c r="Q5" s="193">
        <f t="shared" si="0"/>
        <v>-145</v>
      </c>
      <c r="R5" s="193"/>
      <c r="S5" s="206">
        <v>37.99</v>
      </c>
      <c r="T5" s="206">
        <v>-140</v>
      </c>
      <c r="U5" s="213">
        <f t="shared" si="1"/>
        <v>-247.01</v>
      </c>
      <c r="X5" s="211">
        <v>0</v>
      </c>
      <c r="Z5">
        <v>0</v>
      </c>
    </row>
    <row r="6" spans="1:26" ht="15.75">
      <c r="A6" s="195" t="s">
        <v>304</v>
      </c>
      <c r="B6" s="193"/>
      <c r="C6" s="193">
        <v>-65</v>
      </c>
      <c r="D6" s="193">
        <v>0</v>
      </c>
      <c r="E6" s="193"/>
      <c r="F6" s="193"/>
      <c r="G6" s="193"/>
      <c r="H6" s="193"/>
      <c r="I6" s="193"/>
      <c r="J6" s="193"/>
      <c r="K6" s="193">
        <v>-80</v>
      </c>
      <c r="L6" s="193"/>
      <c r="M6" s="193"/>
      <c r="N6" s="193"/>
      <c r="O6" s="193"/>
      <c r="P6" s="193"/>
      <c r="Q6" s="193">
        <f t="shared" si="0"/>
        <v>-145</v>
      </c>
      <c r="R6" s="193"/>
      <c r="S6" s="206">
        <v>38.11</v>
      </c>
      <c r="T6" s="206">
        <v>-140</v>
      </c>
      <c r="U6" s="213">
        <f t="shared" si="1"/>
        <v>-246.89</v>
      </c>
      <c r="X6" s="211">
        <v>0</v>
      </c>
      <c r="Z6">
        <v>0</v>
      </c>
    </row>
    <row r="7" spans="1:26" ht="15.75">
      <c r="A7" s="195" t="s">
        <v>305</v>
      </c>
      <c r="B7" s="193"/>
      <c r="C7" s="193">
        <v>-65</v>
      </c>
      <c r="D7" s="193">
        <v>0</v>
      </c>
      <c r="E7" s="193"/>
      <c r="F7" s="193"/>
      <c r="G7" s="193"/>
      <c r="H7" s="193"/>
      <c r="I7" s="193"/>
      <c r="J7" s="193"/>
      <c r="K7" s="193">
        <v>-80</v>
      </c>
      <c r="L7" s="193"/>
      <c r="M7" s="193"/>
      <c r="N7" s="193"/>
      <c r="O7" s="193"/>
      <c r="P7" s="193"/>
      <c r="Q7" s="193">
        <f t="shared" si="0"/>
        <v>-145</v>
      </c>
      <c r="R7" s="193"/>
      <c r="S7" s="206">
        <v>38.26</v>
      </c>
      <c r="T7" s="206">
        <v>-140</v>
      </c>
      <c r="U7" s="213">
        <f t="shared" si="1"/>
        <v>-246.74</v>
      </c>
      <c r="X7" s="211">
        <v>0</v>
      </c>
      <c r="Z7">
        <v>0</v>
      </c>
    </row>
    <row r="8" spans="1:26" ht="15.75">
      <c r="A8" s="195" t="s">
        <v>306</v>
      </c>
      <c r="B8" s="193"/>
      <c r="C8" s="193">
        <v>-65</v>
      </c>
      <c r="D8" s="193">
        <v>0</v>
      </c>
      <c r="E8" s="193"/>
      <c r="F8" s="193"/>
      <c r="G8" s="193"/>
      <c r="H8" s="193"/>
      <c r="I8" s="193"/>
      <c r="J8" s="193"/>
      <c r="K8" s="193">
        <v>-80</v>
      </c>
      <c r="L8" s="193"/>
      <c r="M8" s="193"/>
      <c r="N8" s="193"/>
      <c r="O8" s="193"/>
      <c r="P8" s="193"/>
      <c r="Q8" s="193">
        <f t="shared" si="0"/>
        <v>-145</v>
      </c>
      <c r="R8" s="193"/>
      <c r="S8" s="206">
        <v>38.5</v>
      </c>
      <c r="T8" s="206">
        <v>-140</v>
      </c>
      <c r="U8" s="213">
        <f t="shared" si="1"/>
        <v>-246.5</v>
      </c>
      <c r="X8" s="211">
        <v>0</v>
      </c>
      <c r="Z8">
        <v>0</v>
      </c>
    </row>
    <row r="9" spans="1:26" ht="15.75">
      <c r="A9" s="195" t="s">
        <v>307</v>
      </c>
      <c r="B9" s="193"/>
      <c r="C9" s="193">
        <v>-65</v>
      </c>
      <c r="D9" s="193">
        <v>0</v>
      </c>
      <c r="E9" s="193"/>
      <c r="F9" s="193"/>
      <c r="G9" s="193"/>
      <c r="H9" s="193"/>
      <c r="I9" s="193"/>
      <c r="J9" s="193"/>
      <c r="K9" s="193">
        <v>-80</v>
      </c>
      <c r="L9" s="193"/>
      <c r="M9" s="193"/>
      <c r="N9" s="193"/>
      <c r="O9" s="193"/>
      <c r="P9" s="193"/>
      <c r="Q9" s="193">
        <f t="shared" si="0"/>
        <v>-145</v>
      </c>
      <c r="R9" s="193"/>
      <c r="S9" s="206">
        <v>38.99</v>
      </c>
      <c r="T9" s="206">
        <v>-140</v>
      </c>
      <c r="U9" s="213">
        <f t="shared" si="1"/>
        <v>-246.01</v>
      </c>
      <c r="X9" s="211">
        <v>0</v>
      </c>
      <c r="Z9">
        <v>0</v>
      </c>
    </row>
    <row r="10" spans="1:26" ht="15.75">
      <c r="A10" s="195" t="s">
        <v>308</v>
      </c>
      <c r="B10" s="193"/>
      <c r="C10" s="193">
        <v>-65</v>
      </c>
      <c r="D10" s="193">
        <v>0</v>
      </c>
      <c r="E10" s="193"/>
      <c r="F10" s="193"/>
      <c r="G10" s="193"/>
      <c r="H10" s="193"/>
      <c r="I10" s="193"/>
      <c r="J10" s="193"/>
      <c r="K10" s="193">
        <v>-80</v>
      </c>
      <c r="L10" s="193"/>
      <c r="M10" s="193"/>
      <c r="N10" s="193"/>
      <c r="O10" s="193"/>
      <c r="P10" s="193"/>
      <c r="Q10" s="193">
        <f t="shared" si="0"/>
        <v>-145</v>
      </c>
      <c r="R10" s="193"/>
      <c r="S10" s="206">
        <v>39.69</v>
      </c>
      <c r="T10" s="206">
        <v>-140</v>
      </c>
      <c r="U10" s="213">
        <f t="shared" si="1"/>
        <v>-245.31</v>
      </c>
      <c r="X10" s="211">
        <v>0</v>
      </c>
      <c r="Z10">
        <v>0</v>
      </c>
    </row>
    <row r="11" spans="1:26" ht="15.75">
      <c r="A11" s="195" t="s">
        <v>309</v>
      </c>
      <c r="B11" s="193"/>
      <c r="C11" s="193">
        <v>-65</v>
      </c>
      <c r="D11" s="193">
        <v>0</v>
      </c>
      <c r="E11" s="193"/>
      <c r="F11" s="193"/>
      <c r="G11" s="193"/>
      <c r="H11" s="193"/>
      <c r="I11" s="193"/>
      <c r="J11" s="193"/>
      <c r="K11" s="193">
        <v>-80</v>
      </c>
      <c r="L11" s="193"/>
      <c r="M11" s="193"/>
      <c r="N11" s="193"/>
      <c r="O11" s="193"/>
      <c r="P11" s="193"/>
      <c r="Q11" s="193">
        <f t="shared" si="0"/>
        <v>-145</v>
      </c>
      <c r="R11" s="193"/>
      <c r="S11" s="206">
        <v>40.72</v>
      </c>
      <c r="T11" s="206">
        <v>-140</v>
      </c>
      <c r="U11" s="213">
        <f t="shared" si="1"/>
        <v>-244.28</v>
      </c>
      <c r="X11" s="211">
        <v>0</v>
      </c>
      <c r="Z11">
        <v>0</v>
      </c>
    </row>
    <row r="12" spans="1:26" ht="15.75">
      <c r="A12" s="195" t="s">
        <v>310</v>
      </c>
      <c r="B12" s="193"/>
      <c r="C12" s="193">
        <v>-65</v>
      </c>
      <c r="D12" s="193">
        <v>0</v>
      </c>
      <c r="E12" s="193"/>
      <c r="F12" s="193"/>
      <c r="G12" s="193"/>
      <c r="H12" s="193"/>
      <c r="I12" s="193"/>
      <c r="J12" s="193"/>
      <c r="K12" s="193">
        <v>-80</v>
      </c>
      <c r="L12" s="193"/>
      <c r="M12" s="193"/>
      <c r="N12" s="193"/>
      <c r="O12" s="193"/>
      <c r="P12" s="193"/>
      <c r="Q12" s="193">
        <f t="shared" si="0"/>
        <v>-145</v>
      </c>
      <c r="R12" s="193"/>
      <c r="S12" s="206">
        <v>41.69</v>
      </c>
      <c r="T12" s="206">
        <v>-140</v>
      </c>
      <c r="U12" s="213">
        <f t="shared" si="1"/>
        <v>-243.31</v>
      </c>
      <c r="X12" s="211">
        <v>0</v>
      </c>
      <c r="Z12">
        <v>0</v>
      </c>
    </row>
    <row r="13" spans="1:26" ht="15.75">
      <c r="A13" s="195" t="s">
        <v>311</v>
      </c>
      <c r="B13" s="193"/>
      <c r="C13" s="193">
        <v>-65</v>
      </c>
      <c r="D13" s="193">
        <v>0</v>
      </c>
      <c r="E13" s="193"/>
      <c r="F13" s="193"/>
      <c r="G13" s="193"/>
      <c r="H13" s="193"/>
      <c r="I13" s="193"/>
      <c r="J13" s="193"/>
      <c r="K13" s="193">
        <v>-80</v>
      </c>
      <c r="L13" s="193"/>
      <c r="M13" s="193"/>
      <c r="N13" s="193"/>
      <c r="O13" s="193"/>
      <c r="P13" s="193"/>
      <c r="Q13" s="193">
        <f t="shared" si="0"/>
        <v>-145</v>
      </c>
      <c r="R13" s="193"/>
      <c r="S13" s="206">
        <v>43.09</v>
      </c>
      <c r="T13" s="206">
        <v>-140</v>
      </c>
      <c r="U13" s="213">
        <f t="shared" si="1"/>
        <v>-241.91</v>
      </c>
      <c r="X13" s="211">
        <v>0</v>
      </c>
      <c r="Z13">
        <v>0</v>
      </c>
    </row>
    <row r="14" spans="1:26" ht="15.75">
      <c r="A14" s="195" t="s">
        <v>312</v>
      </c>
      <c r="B14" s="193"/>
      <c r="C14" s="193">
        <v>-65</v>
      </c>
      <c r="D14" s="193">
        <v>0</v>
      </c>
      <c r="E14" s="193"/>
      <c r="F14" s="193"/>
      <c r="G14" s="193"/>
      <c r="H14" s="193"/>
      <c r="I14" s="193"/>
      <c r="J14" s="193"/>
      <c r="K14" s="193">
        <v>-80</v>
      </c>
      <c r="L14" s="193"/>
      <c r="M14" s="193"/>
      <c r="N14" s="193"/>
      <c r="O14" s="193"/>
      <c r="P14" s="193"/>
      <c r="Q14" s="193">
        <f t="shared" si="0"/>
        <v>-145</v>
      </c>
      <c r="R14" s="193"/>
      <c r="S14" s="206">
        <v>44.07</v>
      </c>
      <c r="T14" s="206">
        <v>-140</v>
      </c>
      <c r="U14" s="213">
        <f t="shared" si="1"/>
        <v>-240.93</v>
      </c>
      <c r="X14" s="211">
        <v>0</v>
      </c>
      <c r="Z14">
        <v>0</v>
      </c>
    </row>
    <row r="15" spans="1:26" s="198" customFormat="1" ht="15.75">
      <c r="A15" s="214" t="s">
        <v>313</v>
      </c>
      <c r="B15" s="197">
        <v>-140</v>
      </c>
      <c r="C15" s="197">
        <v>-65</v>
      </c>
      <c r="D15" s="197">
        <v>0</v>
      </c>
      <c r="E15" s="197"/>
      <c r="F15" s="197"/>
      <c r="G15" s="197"/>
      <c r="H15" s="197"/>
      <c r="I15" s="197"/>
      <c r="J15" s="197"/>
      <c r="K15" s="197">
        <v>-80</v>
      </c>
      <c r="L15" s="197"/>
      <c r="M15" s="197"/>
      <c r="N15" s="197"/>
      <c r="O15" s="197"/>
      <c r="P15" s="197"/>
      <c r="Q15" s="197">
        <f t="shared" si="0"/>
        <v>-285</v>
      </c>
      <c r="R15" s="197"/>
      <c r="S15" s="206">
        <v>44.09</v>
      </c>
      <c r="T15" s="206">
        <v>0</v>
      </c>
      <c r="U15" s="215">
        <f t="shared" si="1"/>
        <v>-240.91</v>
      </c>
      <c r="X15" s="216">
        <v>0</v>
      </c>
      <c r="Z15" s="198">
        <v>0</v>
      </c>
    </row>
    <row r="16" spans="1:26" ht="15.75">
      <c r="A16" s="195" t="s">
        <v>314</v>
      </c>
      <c r="B16" s="193">
        <v>-140</v>
      </c>
      <c r="C16" s="193">
        <v>-65</v>
      </c>
      <c r="D16" s="193">
        <v>0</v>
      </c>
      <c r="E16" s="193"/>
      <c r="F16" s="193"/>
      <c r="G16" s="193"/>
      <c r="H16" s="193"/>
      <c r="I16" s="193"/>
      <c r="J16" s="193"/>
      <c r="K16" s="193">
        <v>-80</v>
      </c>
      <c r="L16" s="193"/>
      <c r="M16" s="193"/>
      <c r="N16" s="193"/>
      <c r="O16" s="193"/>
      <c r="P16" s="193"/>
      <c r="Q16" s="193">
        <f t="shared" si="0"/>
        <v>-285</v>
      </c>
      <c r="R16" s="193"/>
      <c r="S16" s="206">
        <v>44.09</v>
      </c>
      <c r="T16" s="206">
        <v>0</v>
      </c>
      <c r="U16" s="213">
        <f t="shared" si="1"/>
        <v>-240.91</v>
      </c>
      <c r="X16" s="211">
        <v>0</v>
      </c>
      <c r="Z16">
        <v>0</v>
      </c>
    </row>
    <row r="17" spans="1:26" ht="15.75">
      <c r="A17" s="195" t="s">
        <v>315</v>
      </c>
      <c r="B17" s="193">
        <v>-140</v>
      </c>
      <c r="C17" s="193">
        <v>-65</v>
      </c>
      <c r="D17" s="193">
        <v>0</v>
      </c>
      <c r="E17" s="193"/>
      <c r="F17" s="193"/>
      <c r="G17" s="193"/>
      <c r="H17" s="193"/>
      <c r="I17" s="193"/>
      <c r="J17" s="193"/>
      <c r="K17" s="193">
        <v>-80</v>
      </c>
      <c r="L17" s="193"/>
      <c r="M17" s="193"/>
      <c r="N17" s="193"/>
      <c r="O17" s="193"/>
      <c r="P17" s="193"/>
      <c r="Q17" s="193">
        <f t="shared" si="0"/>
        <v>-285</v>
      </c>
      <c r="R17" s="193"/>
      <c r="S17" s="206">
        <v>44.09</v>
      </c>
      <c r="T17" s="206">
        <v>0</v>
      </c>
      <c r="U17" s="213">
        <f t="shared" si="1"/>
        <v>-240.91</v>
      </c>
      <c r="X17" s="211">
        <v>0</v>
      </c>
      <c r="Z17">
        <v>0</v>
      </c>
    </row>
    <row r="18" spans="1:26" ht="15.75">
      <c r="A18" s="195" t="s">
        <v>316</v>
      </c>
      <c r="B18" s="193">
        <v>-140</v>
      </c>
      <c r="C18" s="193">
        <v>-65</v>
      </c>
      <c r="D18" s="193">
        <v>0</v>
      </c>
      <c r="E18" s="193"/>
      <c r="F18" s="193"/>
      <c r="G18" s="193"/>
      <c r="H18" s="193"/>
      <c r="I18" s="193"/>
      <c r="J18" s="193"/>
      <c r="K18" s="193">
        <v>-80</v>
      </c>
      <c r="L18" s="193"/>
      <c r="M18" s="193"/>
      <c r="N18" s="193"/>
      <c r="O18" s="193"/>
      <c r="P18" s="193"/>
      <c r="Q18" s="193">
        <f t="shared" si="0"/>
        <v>-285</v>
      </c>
      <c r="R18" s="193"/>
      <c r="S18" s="206">
        <v>44.09</v>
      </c>
      <c r="T18" s="206">
        <v>0</v>
      </c>
      <c r="U18" s="213">
        <f t="shared" si="1"/>
        <v>-240.91</v>
      </c>
      <c r="X18" s="211">
        <v>0</v>
      </c>
      <c r="Z18">
        <v>0</v>
      </c>
    </row>
    <row r="19" spans="1:26" ht="15.75">
      <c r="A19" s="214" t="s">
        <v>317</v>
      </c>
      <c r="B19" s="197">
        <v>-140</v>
      </c>
      <c r="C19" s="197">
        <v>-65</v>
      </c>
      <c r="D19" s="197">
        <v>0</v>
      </c>
      <c r="E19" s="197"/>
      <c r="F19" s="197"/>
      <c r="G19" s="197">
        <v>0</v>
      </c>
      <c r="H19" s="197"/>
      <c r="I19" s="197"/>
      <c r="J19" s="197"/>
      <c r="K19" s="197">
        <v>-80</v>
      </c>
      <c r="L19" s="197"/>
      <c r="M19" s="197"/>
      <c r="N19" s="197"/>
      <c r="O19" s="197"/>
      <c r="P19" s="197"/>
      <c r="Q19" s="197">
        <f t="shared" si="0"/>
        <v>-285</v>
      </c>
      <c r="R19" s="197"/>
      <c r="S19" s="206">
        <v>44.09</v>
      </c>
      <c r="T19" s="206">
        <v>0</v>
      </c>
      <c r="U19" s="215">
        <f t="shared" si="1"/>
        <v>-240.91</v>
      </c>
      <c r="V19" s="198"/>
      <c r="W19" s="198"/>
      <c r="X19" s="216">
        <v>50</v>
      </c>
      <c r="Y19" s="198"/>
      <c r="Z19" s="198">
        <v>30</v>
      </c>
    </row>
    <row r="20" spans="1:26" ht="15.75">
      <c r="A20" s="195" t="s">
        <v>318</v>
      </c>
      <c r="B20" s="193">
        <v>-140</v>
      </c>
      <c r="C20" s="193">
        <v>-65</v>
      </c>
      <c r="D20" s="193">
        <v>0</v>
      </c>
      <c r="E20" s="193"/>
      <c r="F20" s="193"/>
      <c r="G20" s="193">
        <v>0</v>
      </c>
      <c r="H20" s="193"/>
      <c r="I20" s="193"/>
      <c r="J20" s="193"/>
      <c r="K20" s="193">
        <v>-80</v>
      </c>
      <c r="L20" s="193"/>
      <c r="M20" s="193"/>
      <c r="N20" s="193"/>
      <c r="O20" s="193"/>
      <c r="P20" s="193"/>
      <c r="Q20" s="193">
        <f>SUM(B20:P20)</f>
        <v>-285</v>
      </c>
      <c r="R20" s="193"/>
      <c r="S20" s="206">
        <v>44.09</v>
      </c>
      <c r="T20" s="206">
        <v>0</v>
      </c>
      <c r="U20" s="213">
        <f t="shared" si="1"/>
        <v>-240.91</v>
      </c>
      <c r="X20" s="211">
        <v>50</v>
      </c>
      <c r="Z20">
        <v>30</v>
      </c>
    </row>
    <row r="21" spans="1:26" ht="15.75">
      <c r="A21" s="195" t="s">
        <v>319</v>
      </c>
      <c r="B21" s="193">
        <v>-140</v>
      </c>
      <c r="C21" s="193">
        <v>-65</v>
      </c>
      <c r="D21" s="193">
        <v>0</v>
      </c>
      <c r="E21" s="193"/>
      <c r="F21" s="193"/>
      <c r="G21" s="193">
        <v>0</v>
      </c>
      <c r="H21" s="193"/>
      <c r="I21" s="193"/>
      <c r="J21" s="193"/>
      <c r="K21" s="193">
        <v>-80</v>
      </c>
      <c r="L21" s="193"/>
      <c r="M21" s="193"/>
      <c r="N21" s="193"/>
      <c r="O21" s="193"/>
      <c r="P21" s="193"/>
      <c r="Q21" s="193">
        <f t="shared" si="0"/>
        <v>-285</v>
      </c>
      <c r="R21" s="193"/>
      <c r="S21" s="206">
        <v>44.09</v>
      </c>
      <c r="T21" s="206">
        <v>0</v>
      </c>
      <c r="U21" s="213">
        <f t="shared" si="1"/>
        <v>-240.91</v>
      </c>
      <c r="X21" s="211">
        <v>50</v>
      </c>
      <c r="Z21">
        <v>30</v>
      </c>
    </row>
    <row r="22" spans="1:26" ht="15.75">
      <c r="A22" s="195" t="s">
        <v>320</v>
      </c>
      <c r="B22" s="193">
        <v>-140</v>
      </c>
      <c r="C22" s="193">
        <v>-65</v>
      </c>
      <c r="D22" s="193">
        <v>0</v>
      </c>
      <c r="E22" s="193"/>
      <c r="F22" s="193"/>
      <c r="G22" s="193">
        <v>0</v>
      </c>
      <c r="H22" s="193"/>
      <c r="I22" s="193"/>
      <c r="J22" s="193"/>
      <c r="K22" s="193">
        <v>-80</v>
      </c>
      <c r="L22" s="193"/>
      <c r="M22" s="193"/>
      <c r="N22" s="193"/>
      <c r="O22" s="193"/>
      <c r="P22" s="193"/>
      <c r="Q22" s="193">
        <f t="shared" si="0"/>
        <v>-285</v>
      </c>
      <c r="R22" s="193"/>
      <c r="S22" s="206">
        <v>44.09</v>
      </c>
      <c r="T22" s="206">
        <v>0</v>
      </c>
      <c r="U22" s="213">
        <f t="shared" si="1"/>
        <v>-240.91</v>
      </c>
      <c r="X22" s="211">
        <v>50</v>
      </c>
      <c r="Z22">
        <v>32</v>
      </c>
    </row>
    <row r="23" spans="1:26" ht="15.75">
      <c r="A23" s="195" t="s">
        <v>321</v>
      </c>
      <c r="B23" s="193">
        <v>-140</v>
      </c>
      <c r="C23" s="193">
        <v>-65</v>
      </c>
      <c r="D23" s="193">
        <v>0</v>
      </c>
      <c r="E23" s="193"/>
      <c r="F23" s="193"/>
      <c r="G23" s="193">
        <v>0</v>
      </c>
      <c r="H23" s="193"/>
      <c r="I23" s="193"/>
      <c r="J23" s="193"/>
      <c r="K23" s="193">
        <v>-80</v>
      </c>
      <c r="L23" s="193"/>
      <c r="M23" s="193"/>
      <c r="N23" s="193"/>
      <c r="O23" s="193"/>
      <c r="P23" s="193"/>
      <c r="Q23" s="193">
        <f t="shared" si="0"/>
        <v>-285</v>
      </c>
      <c r="R23" s="193"/>
      <c r="S23" s="206">
        <v>70.16</v>
      </c>
      <c r="T23" s="206">
        <v>0</v>
      </c>
      <c r="U23" s="213">
        <f>SUM(Q23:T23)</f>
        <v>-214.84</v>
      </c>
      <c r="X23" s="211">
        <v>50</v>
      </c>
      <c r="Z23">
        <v>33</v>
      </c>
    </row>
    <row r="24" spans="1:26" ht="15.75">
      <c r="A24" s="195" t="s">
        <v>322</v>
      </c>
      <c r="B24" s="193">
        <v>-140</v>
      </c>
      <c r="C24" s="193">
        <v>-65</v>
      </c>
      <c r="D24" s="193">
        <v>0</v>
      </c>
      <c r="E24" s="193"/>
      <c r="F24" s="193"/>
      <c r="G24" s="193">
        <v>0</v>
      </c>
      <c r="H24" s="193"/>
      <c r="I24" s="193"/>
      <c r="J24" s="193"/>
      <c r="K24" s="193">
        <v>-80</v>
      </c>
      <c r="L24" s="193"/>
      <c r="M24" s="193"/>
      <c r="N24" s="193"/>
      <c r="O24" s="193"/>
      <c r="P24" s="193"/>
      <c r="Q24" s="193">
        <f t="shared" si="0"/>
        <v>-285</v>
      </c>
      <c r="R24" s="193"/>
      <c r="S24" s="206">
        <v>70.16</v>
      </c>
      <c r="T24" s="206">
        <v>0</v>
      </c>
      <c r="U24" s="213">
        <f t="shared" si="1"/>
        <v>-214.84</v>
      </c>
      <c r="X24" s="211">
        <v>50</v>
      </c>
      <c r="Z24">
        <v>35</v>
      </c>
    </row>
    <row r="25" spans="1:26" ht="15.75">
      <c r="A25" s="195" t="s">
        <v>323</v>
      </c>
      <c r="B25" s="193">
        <v>-140</v>
      </c>
      <c r="C25" s="193">
        <v>-65</v>
      </c>
      <c r="D25" s="193">
        <v>0</v>
      </c>
      <c r="E25" s="193"/>
      <c r="F25" s="193"/>
      <c r="G25" s="193">
        <v>0</v>
      </c>
      <c r="H25" s="193"/>
      <c r="I25" s="193"/>
      <c r="J25" s="193"/>
      <c r="K25" s="193">
        <v>-80</v>
      </c>
      <c r="L25" s="193"/>
      <c r="M25" s="193"/>
      <c r="N25" s="193"/>
      <c r="O25" s="193"/>
      <c r="P25" s="193"/>
      <c r="Q25" s="193">
        <f t="shared" si="0"/>
        <v>-285</v>
      </c>
      <c r="R25" s="193"/>
      <c r="S25" s="206">
        <v>70.16</v>
      </c>
      <c r="T25" s="206">
        <v>0</v>
      </c>
      <c r="U25" s="213">
        <f t="shared" si="1"/>
        <v>-214.84</v>
      </c>
      <c r="X25" s="211">
        <v>50</v>
      </c>
      <c r="Z25">
        <v>35</v>
      </c>
    </row>
    <row r="26" spans="1:26" ht="15.75">
      <c r="A26" s="195" t="s">
        <v>324</v>
      </c>
      <c r="B26" s="193">
        <v>-140</v>
      </c>
      <c r="C26" s="193">
        <v>-65</v>
      </c>
      <c r="D26" s="193">
        <v>0</v>
      </c>
      <c r="E26" s="193"/>
      <c r="F26" s="193"/>
      <c r="G26" s="193">
        <v>0</v>
      </c>
      <c r="H26" s="193"/>
      <c r="I26" s="193"/>
      <c r="J26" s="193"/>
      <c r="K26" s="193">
        <v>-80</v>
      </c>
      <c r="L26" s="193"/>
      <c r="M26" s="193"/>
      <c r="N26" s="193"/>
      <c r="O26" s="193"/>
      <c r="P26" s="193"/>
      <c r="Q26" s="193">
        <f t="shared" si="0"/>
        <v>-285</v>
      </c>
      <c r="R26" s="193"/>
      <c r="S26" s="206">
        <v>70.16</v>
      </c>
      <c r="T26" s="206">
        <v>0</v>
      </c>
      <c r="U26" s="213">
        <f t="shared" si="1"/>
        <v>-214.84</v>
      </c>
      <c r="X26" s="211">
        <v>50</v>
      </c>
      <c r="Z26">
        <v>35</v>
      </c>
    </row>
    <row r="27" spans="1:26" ht="15.75">
      <c r="A27" s="195" t="s">
        <v>325</v>
      </c>
      <c r="B27" s="193">
        <v>-140</v>
      </c>
      <c r="C27" s="193">
        <v>-65</v>
      </c>
      <c r="D27" s="193">
        <v>0</v>
      </c>
      <c r="E27" s="193"/>
      <c r="F27" s="193"/>
      <c r="G27" s="193">
        <v>0</v>
      </c>
      <c r="H27" s="193"/>
      <c r="I27" s="193"/>
      <c r="J27" s="193"/>
      <c r="K27" s="193">
        <v>-80</v>
      </c>
      <c r="L27" s="193"/>
      <c r="M27" s="193"/>
      <c r="N27" s="193"/>
      <c r="O27" s="193"/>
      <c r="P27" s="193"/>
      <c r="Q27" s="193">
        <f t="shared" si="0"/>
        <v>-285</v>
      </c>
      <c r="R27" s="193"/>
      <c r="S27" s="206">
        <v>70.16</v>
      </c>
      <c r="T27" s="206">
        <v>0</v>
      </c>
      <c r="U27" s="213">
        <f t="shared" si="1"/>
        <v>-214.84</v>
      </c>
      <c r="X27" s="211">
        <v>50</v>
      </c>
      <c r="Z27">
        <v>35</v>
      </c>
    </row>
    <row r="28" spans="1:26" ht="15.75">
      <c r="A28" s="195" t="s">
        <v>326</v>
      </c>
      <c r="B28" s="193">
        <v>-140</v>
      </c>
      <c r="C28" s="193">
        <v>-65</v>
      </c>
      <c r="D28" s="193">
        <v>0</v>
      </c>
      <c r="E28" s="193"/>
      <c r="F28" s="193"/>
      <c r="G28" s="193">
        <v>0</v>
      </c>
      <c r="H28" s="193"/>
      <c r="I28" s="193"/>
      <c r="J28" s="193"/>
      <c r="K28" s="193">
        <v>-80</v>
      </c>
      <c r="L28" s="193"/>
      <c r="M28" s="193"/>
      <c r="N28" s="193"/>
      <c r="O28" s="193"/>
      <c r="P28" s="193"/>
      <c r="Q28" s="193">
        <f t="shared" si="0"/>
        <v>-285</v>
      </c>
      <c r="R28" s="193"/>
      <c r="S28" s="206">
        <v>70.16</v>
      </c>
      <c r="T28" s="206">
        <v>0</v>
      </c>
      <c r="U28" s="213">
        <f t="shared" si="1"/>
        <v>-214.84</v>
      </c>
      <c r="X28" s="211">
        <v>50</v>
      </c>
      <c r="Z28">
        <v>35</v>
      </c>
    </row>
    <row r="29" spans="1:26" ht="15.75">
      <c r="A29" s="195" t="s">
        <v>327</v>
      </c>
      <c r="B29" s="193">
        <v>-140</v>
      </c>
      <c r="C29" s="193">
        <v>-65</v>
      </c>
      <c r="D29" s="193">
        <v>0</v>
      </c>
      <c r="E29" s="193"/>
      <c r="F29" s="193"/>
      <c r="G29" s="193"/>
      <c r="H29" s="193"/>
      <c r="I29" s="193"/>
      <c r="J29" s="193"/>
      <c r="K29" s="193">
        <v>-80</v>
      </c>
      <c r="L29" s="193"/>
      <c r="M29" s="193"/>
      <c r="N29" s="193"/>
      <c r="O29" s="193"/>
      <c r="P29" s="193"/>
      <c r="Q29" s="193">
        <f t="shared" si="0"/>
        <v>-285</v>
      </c>
      <c r="R29" s="193"/>
      <c r="S29" s="206">
        <v>70.16</v>
      </c>
      <c r="T29" s="206">
        <v>0</v>
      </c>
      <c r="U29" s="213">
        <f t="shared" si="1"/>
        <v>-214.84</v>
      </c>
      <c r="X29" s="211">
        <v>50</v>
      </c>
      <c r="Z29">
        <v>35</v>
      </c>
    </row>
    <row r="30" spans="1:26" ht="15.75">
      <c r="A30" s="195" t="s">
        <v>328</v>
      </c>
      <c r="B30" s="193">
        <v>-140</v>
      </c>
      <c r="C30" s="193">
        <v>-65</v>
      </c>
      <c r="D30" s="193">
        <v>0</v>
      </c>
      <c r="E30" s="193"/>
      <c r="F30" s="193"/>
      <c r="G30" s="193"/>
      <c r="H30" s="193"/>
      <c r="I30" s="193"/>
      <c r="J30" s="193"/>
      <c r="K30" s="193">
        <v>-80</v>
      </c>
      <c r="L30" s="193"/>
      <c r="M30" s="193"/>
      <c r="N30" s="193"/>
      <c r="O30" s="193"/>
      <c r="P30" s="193"/>
      <c r="Q30" s="193">
        <f t="shared" si="0"/>
        <v>-285</v>
      </c>
      <c r="R30" s="193"/>
      <c r="S30" s="206">
        <v>70.16</v>
      </c>
      <c r="T30" s="206">
        <v>0</v>
      </c>
      <c r="U30" s="213">
        <f t="shared" si="1"/>
        <v>-214.84</v>
      </c>
      <c r="X30" s="211">
        <v>50</v>
      </c>
      <c r="Z30">
        <v>35</v>
      </c>
    </row>
    <row r="31" spans="1:26" ht="15.75">
      <c r="A31" s="195" t="s">
        <v>329</v>
      </c>
      <c r="B31" s="193">
        <v>-140</v>
      </c>
      <c r="C31" s="193">
        <v>-65</v>
      </c>
      <c r="D31" s="193">
        <v>0</v>
      </c>
      <c r="E31" s="193"/>
      <c r="F31" s="193"/>
      <c r="G31" s="193"/>
      <c r="H31" s="193"/>
      <c r="I31" s="193"/>
      <c r="J31" s="193"/>
      <c r="K31" s="193">
        <v>-80</v>
      </c>
      <c r="L31" s="193">
        <v>-50</v>
      </c>
      <c r="M31" s="193"/>
      <c r="N31" s="193"/>
      <c r="O31" s="193"/>
      <c r="P31" s="193"/>
      <c r="Q31" s="193">
        <f t="shared" si="0"/>
        <v>-335</v>
      </c>
      <c r="R31" s="193"/>
      <c r="S31" s="206">
        <v>70.16</v>
      </c>
      <c r="T31" s="206">
        <v>0</v>
      </c>
      <c r="U31" s="213">
        <f t="shared" si="1"/>
        <v>-264.84000000000003</v>
      </c>
      <c r="X31" s="211">
        <v>50</v>
      </c>
      <c r="Z31">
        <v>40</v>
      </c>
    </row>
    <row r="32" spans="1:26" ht="15.75">
      <c r="A32" s="195" t="s">
        <v>330</v>
      </c>
      <c r="B32" s="193">
        <v>-140</v>
      </c>
      <c r="C32" s="193">
        <v>-65</v>
      </c>
      <c r="D32" s="193">
        <v>0</v>
      </c>
      <c r="E32" s="193"/>
      <c r="F32" s="193"/>
      <c r="G32" s="193"/>
      <c r="H32" s="193"/>
      <c r="I32" s="193"/>
      <c r="J32" s="193"/>
      <c r="K32" s="193">
        <v>-80</v>
      </c>
      <c r="L32" s="193">
        <v>-50</v>
      </c>
      <c r="M32" s="193"/>
      <c r="N32" s="193"/>
      <c r="O32" s="193"/>
      <c r="P32" s="193"/>
      <c r="Q32" s="193">
        <f t="shared" si="0"/>
        <v>-335</v>
      </c>
      <c r="R32" s="193"/>
      <c r="S32" s="206">
        <v>70.16</v>
      </c>
      <c r="T32" s="206">
        <v>0</v>
      </c>
      <c r="U32" s="213">
        <f t="shared" si="1"/>
        <v>-264.84000000000003</v>
      </c>
      <c r="X32" s="211">
        <v>50</v>
      </c>
      <c r="Z32">
        <v>40</v>
      </c>
    </row>
    <row r="33" spans="1:26" ht="15.75">
      <c r="A33" s="195" t="s">
        <v>331</v>
      </c>
      <c r="B33" s="193">
        <v>-140</v>
      </c>
      <c r="C33" s="193">
        <v>-65</v>
      </c>
      <c r="D33" s="193">
        <v>0</v>
      </c>
      <c r="E33" s="193"/>
      <c r="F33" s="193"/>
      <c r="G33" s="193"/>
      <c r="H33" s="193"/>
      <c r="I33" s="193"/>
      <c r="J33" s="193"/>
      <c r="K33" s="193">
        <v>-80</v>
      </c>
      <c r="L33" s="193">
        <v>-50</v>
      </c>
      <c r="M33" s="193"/>
      <c r="N33" s="193"/>
      <c r="O33" s="193"/>
      <c r="P33" s="193"/>
      <c r="Q33" s="193">
        <f t="shared" si="0"/>
        <v>-335</v>
      </c>
      <c r="R33" s="193"/>
      <c r="S33" s="206">
        <v>70.16</v>
      </c>
      <c r="T33" s="206">
        <v>0</v>
      </c>
      <c r="U33" s="213">
        <f t="shared" si="1"/>
        <v>-264.84000000000003</v>
      </c>
      <c r="X33" s="211">
        <v>50</v>
      </c>
      <c r="Z33">
        <v>40</v>
      </c>
    </row>
    <row r="34" spans="1:26" ht="15.75">
      <c r="A34" s="195" t="s">
        <v>332</v>
      </c>
      <c r="B34" s="193">
        <v>-140</v>
      </c>
      <c r="C34" s="193">
        <v>-65</v>
      </c>
      <c r="D34" s="193">
        <v>0</v>
      </c>
      <c r="E34" s="193"/>
      <c r="F34" s="193"/>
      <c r="G34" s="193"/>
      <c r="H34" s="193"/>
      <c r="I34" s="193"/>
      <c r="J34" s="193"/>
      <c r="K34" s="193">
        <v>-80</v>
      </c>
      <c r="L34" s="193">
        <v>-50</v>
      </c>
      <c r="M34" s="193"/>
      <c r="N34" s="193"/>
      <c r="O34" s="193"/>
      <c r="P34" s="193"/>
      <c r="Q34" s="193">
        <f t="shared" si="0"/>
        <v>-335</v>
      </c>
      <c r="R34" s="193"/>
      <c r="S34" s="206">
        <v>70.16</v>
      </c>
      <c r="T34" s="206">
        <v>0</v>
      </c>
      <c r="U34" s="213">
        <f t="shared" si="1"/>
        <v>-264.84000000000003</v>
      </c>
      <c r="X34" s="211">
        <v>50</v>
      </c>
      <c r="Z34">
        <v>40</v>
      </c>
    </row>
    <row r="35" spans="1:26" ht="15.75">
      <c r="A35" s="195" t="s">
        <v>333</v>
      </c>
      <c r="B35" s="193">
        <v>-140</v>
      </c>
      <c r="C35" s="193">
        <v>-65</v>
      </c>
      <c r="D35" s="193">
        <v>0</v>
      </c>
      <c r="E35" s="193"/>
      <c r="F35" s="193"/>
      <c r="G35" s="193"/>
      <c r="H35" s="193"/>
      <c r="I35" s="193"/>
      <c r="J35" s="193"/>
      <c r="K35" s="193">
        <v>-80</v>
      </c>
      <c r="L35" s="193">
        <v>-50</v>
      </c>
      <c r="M35" s="193"/>
      <c r="N35" s="193"/>
      <c r="O35" s="193"/>
      <c r="P35" s="193"/>
      <c r="Q35" s="193">
        <f t="shared" si="0"/>
        <v>-335</v>
      </c>
      <c r="R35" s="193"/>
      <c r="S35" s="206">
        <v>70.16</v>
      </c>
      <c r="T35" s="206">
        <v>0</v>
      </c>
      <c r="U35" s="213">
        <f t="shared" si="1"/>
        <v>-264.84000000000003</v>
      </c>
      <c r="X35" s="211">
        <v>50</v>
      </c>
      <c r="Z35">
        <v>40</v>
      </c>
    </row>
    <row r="36" spans="1:26" ht="15.75">
      <c r="A36" s="195" t="s">
        <v>334</v>
      </c>
      <c r="B36" s="193">
        <v>-140</v>
      </c>
      <c r="C36" s="193">
        <v>-65</v>
      </c>
      <c r="D36" s="193">
        <v>-68</v>
      </c>
      <c r="E36" s="193"/>
      <c r="F36" s="193"/>
      <c r="G36" s="193"/>
      <c r="H36" s="193"/>
      <c r="I36" s="193"/>
      <c r="J36" s="193"/>
      <c r="K36" s="193">
        <v>-80</v>
      </c>
      <c r="L36" s="193">
        <v>-50</v>
      </c>
      <c r="M36" s="193"/>
      <c r="N36" s="193"/>
      <c r="O36" s="193"/>
      <c r="P36" s="193"/>
      <c r="Q36" s="193">
        <f t="shared" si="0"/>
        <v>-403</v>
      </c>
      <c r="R36" s="193"/>
      <c r="S36" s="206">
        <v>70.16</v>
      </c>
      <c r="T36" s="206">
        <v>0</v>
      </c>
      <c r="U36" s="213">
        <f t="shared" si="1"/>
        <v>-332.84000000000003</v>
      </c>
      <c r="X36" s="211">
        <v>50</v>
      </c>
      <c r="Z36">
        <v>40</v>
      </c>
    </row>
    <row r="37" spans="1:26" ht="15.75">
      <c r="A37" s="195" t="s">
        <v>335</v>
      </c>
      <c r="B37" s="193">
        <v>-140</v>
      </c>
      <c r="C37" s="193">
        <v>-65</v>
      </c>
      <c r="D37" s="193">
        <v>-68</v>
      </c>
      <c r="E37" s="193"/>
      <c r="F37" s="193"/>
      <c r="G37" s="193"/>
      <c r="H37" s="193"/>
      <c r="I37" s="193"/>
      <c r="J37" s="193"/>
      <c r="K37" s="193">
        <v>-80</v>
      </c>
      <c r="L37" s="193">
        <v>-50</v>
      </c>
      <c r="M37" s="193"/>
      <c r="N37" s="193"/>
      <c r="O37" s="193"/>
      <c r="P37" s="193"/>
      <c r="Q37" s="193">
        <f t="shared" si="0"/>
        <v>-403</v>
      </c>
      <c r="R37" s="193"/>
      <c r="S37" s="206">
        <v>70.16</v>
      </c>
      <c r="T37" s="206">
        <v>0</v>
      </c>
      <c r="U37" s="213">
        <f t="shared" si="1"/>
        <v>-332.84000000000003</v>
      </c>
      <c r="X37" s="211">
        <v>50</v>
      </c>
      <c r="Z37">
        <v>40</v>
      </c>
    </row>
    <row r="38" spans="1:26" ht="15.75">
      <c r="A38" s="195" t="s">
        <v>336</v>
      </c>
      <c r="B38" s="193">
        <v>-140</v>
      </c>
      <c r="C38" s="193">
        <v>-65</v>
      </c>
      <c r="D38" s="193">
        <v>-68</v>
      </c>
      <c r="E38" s="193"/>
      <c r="F38" s="193"/>
      <c r="G38" s="193"/>
      <c r="H38" s="193"/>
      <c r="I38" s="193"/>
      <c r="J38" s="193"/>
      <c r="K38" s="193">
        <v>-80</v>
      </c>
      <c r="L38" s="193">
        <v>-50</v>
      </c>
      <c r="M38" s="193"/>
      <c r="N38" s="193"/>
      <c r="O38" s="193"/>
      <c r="P38" s="193"/>
      <c r="Q38" s="193">
        <f t="shared" si="0"/>
        <v>-403</v>
      </c>
      <c r="R38" s="193"/>
      <c r="S38" s="206">
        <v>70.16</v>
      </c>
      <c r="T38" s="206">
        <v>0</v>
      </c>
      <c r="U38" s="213">
        <f t="shared" si="1"/>
        <v>-332.84000000000003</v>
      </c>
      <c r="X38" s="211">
        <v>50</v>
      </c>
      <c r="Z38">
        <v>45</v>
      </c>
    </row>
    <row r="39" spans="1:26" ht="15.75">
      <c r="A39" s="195" t="s">
        <v>337</v>
      </c>
      <c r="B39" s="193">
        <v>-140</v>
      </c>
      <c r="C39" s="193">
        <v>-65</v>
      </c>
      <c r="D39" s="193">
        <v>-68</v>
      </c>
      <c r="E39" s="193"/>
      <c r="F39" s="193"/>
      <c r="G39" s="193"/>
      <c r="H39" s="193"/>
      <c r="I39" s="193"/>
      <c r="J39" s="193"/>
      <c r="K39" s="193">
        <v>-80</v>
      </c>
      <c r="L39" s="193">
        <v>-50</v>
      </c>
      <c r="M39" s="193"/>
      <c r="N39" s="193"/>
      <c r="O39" s="193"/>
      <c r="P39" s="193"/>
      <c r="Q39" s="193">
        <f t="shared" si="0"/>
        <v>-403</v>
      </c>
      <c r="R39" s="193"/>
      <c r="S39" s="206">
        <v>70.16</v>
      </c>
      <c r="T39" s="206">
        <v>0</v>
      </c>
      <c r="U39" s="213">
        <f t="shared" si="1"/>
        <v>-332.84000000000003</v>
      </c>
      <c r="X39" s="211">
        <v>50</v>
      </c>
      <c r="Z39">
        <v>45</v>
      </c>
    </row>
    <row r="40" spans="1:26" ht="15.75">
      <c r="A40" s="195" t="s">
        <v>338</v>
      </c>
      <c r="B40" s="193">
        <v>-140</v>
      </c>
      <c r="C40" s="193">
        <v>-65</v>
      </c>
      <c r="D40" s="193">
        <v>-68</v>
      </c>
      <c r="E40" s="193"/>
      <c r="F40" s="193"/>
      <c r="G40" s="193"/>
      <c r="H40" s="193"/>
      <c r="I40" s="193"/>
      <c r="J40" s="193"/>
      <c r="K40" s="193">
        <v>-80</v>
      </c>
      <c r="L40" s="193">
        <v>-50</v>
      </c>
      <c r="M40" s="193"/>
      <c r="N40" s="193"/>
      <c r="O40" s="193"/>
      <c r="P40" s="193"/>
      <c r="Q40" s="193">
        <f t="shared" si="0"/>
        <v>-403</v>
      </c>
      <c r="R40" s="193"/>
      <c r="S40" s="206">
        <v>70.16</v>
      </c>
      <c r="T40" s="206">
        <v>0</v>
      </c>
      <c r="U40" s="213">
        <f t="shared" si="1"/>
        <v>-332.84000000000003</v>
      </c>
      <c r="X40" s="211">
        <v>50</v>
      </c>
      <c r="Z40">
        <v>45</v>
      </c>
    </row>
    <row r="41" spans="1:26" ht="15.75">
      <c r="A41" s="195" t="s">
        <v>339</v>
      </c>
      <c r="B41" s="193">
        <v>-140</v>
      </c>
      <c r="C41" s="193">
        <v>-65</v>
      </c>
      <c r="D41" s="193">
        <v>-68</v>
      </c>
      <c r="E41" s="193"/>
      <c r="F41" s="193"/>
      <c r="G41" s="193"/>
      <c r="H41" s="193"/>
      <c r="I41" s="193"/>
      <c r="J41" s="193"/>
      <c r="K41" s="193">
        <v>-80</v>
      </c>
      <c r="L41" s="193">
        <v>-50</v>
      </c>
      <c r="M41" s="193"/>
      <c r="N41" s="193"/>
      <c r="O41" s="193"/>
      <c r="P41" s="193"/>
      <c r="Q41" s="193">
        <f t="shared" si="0"/>
        <v>-403</v>
      </c>
      <c r="R41" s="193"/>
      <c r="S41" s="206">
        <v>70.16</v>
      </c>
      <c r="T41" s="206">
        <v>0</v>
      </c>
      <c r="U41" s="213">
        <f t="shared" si="1"/>
        <v>-332.84000000000003</v>
      </c>
      <c r="X41" s="211">
        <v>50</v>
      </c>
      <c r="Z41">
        <v>45</v>
      </c>
    </row>
    <row r="42" spans="1:26" ht="15.75">
      <c r="A42" s="195" t="s">
        <v>340</v>
      </c>
      <c r="B42" s="193">
        <v>-140</v>
      </c>
      <c r="C42" s="193">
        <v>-65</v>
      </c>
      <c r="D42" s="193">
        <v>-68</v>
      </c>
      <c r="E42" s="193"/>
      <c r="F42" s="193"/>
      <c r="G42" s="193"/>
      <c r="H42" s="193"/>
      <c r="I42" s="193"/>
      <c r="J42" s="193"/>
      <c r="K42" s="193">
        <v>-80</v>
      </c>
      <c r="L42" s="193">
        <v>-50</v>
      </c>
      <c r="M42" s="193"/>
      <c r="N42" s="193"/>
      <c r="O42" s="193"/>
      <c r="P42" s="193"/>
      <c r="Q42" s="193">
        <f t="shared" si="0"/>
        <v>-403</v>
      </c>
      <c r="R42" s="193"/>
      <c r="S42" s="206">
        <v>70.16</v>
      </c>
      <c r="T42" s="206">
        <v>0</v>
      </c>
      <c r="U42" s="213">
        <f t="shared" si="1"/>
        <v>-332.84000000000003</v>
      </c>
      <c r="X42" s="211">
        <v>50</v>
      </c>
      <c r="Z42">
        <v>45</v>
      </c>
    </row>
    <row r="43" spans="1:26" ht="15.75">
      <c r="A43" s="195" t="s">
        <v>341</v>
      </c>
      <c r="B43" s="193">
        <v>-140</v>
      </c>
      <c r="C43" s="193">
        <v>-65</v>
      </c>
      <c r="D43" s="193">
        <v>-68</v>
      </c>
      <c r="E43" s="193"/>
      <c r="F43" s="193"/>
      <c r="G43" s="193"/>
      <c r="H43" s="193"/>
      <c r="I43" s="193"/>
      <c r="J43" s="193"/>
      <c r="K43" s="193">
        <v>-80</v>
      </c>
      <c r="L43" s="193">
        <v>-50</v>
      </c>
      <c r="M43" s="193"/>
      <c r="N43" s="193"/>
      <c r="O43" s="193"/>
      <c r="P43" s="193"/>
      <c r="Q43" s="193">
        <f t="shared" si="0"/>
        <v>-403</v>
      </c>
      <c r="R43" s="193"/>
      <c r="S43" s="206">
        <v>70.16</v>
      </c>
      <c r="T43" s="206">
        <v>0</v>
      </c>
      <c r="U43" s="213">
        <f t="shared" si="1"/>
        <v>-332.84000000000003</v>
      </c>
      <c r="X43" s="211">
        <v>50</v>
      </c>
      <c r="Z43">
        <v>45</v>
      </c>
    </row>
    <row r="44" spans="1:26" ht="15.75">
      <c r="A44" s="195" t="s">
        <v>342</v>
      </c>
      <c r="B44" s="193">
        <v>-140</v>
      </c>
      <c r="C44" s="193">
        <v>-65</v>
      </c>
      <c r="D44" s="193">
        <v>-68</v>
      </c>
      <c r="E44" s="193"/>
      <c r="F44" s="193"/>
      <c r="G44" s="193"/>
      <c r="H44" s="193"/>
      <c r="I44" s="193"/>
      <c r="J44" s="193"/>
      <c r="K44" s="193">
        <v>-80</v>
      </c>
      <c r="L44" s="193">
        <v>-50</v>
      </c>
      <c r="M44" s="193"/>
      <c r="N44" s="193"/>
      <c r="O44" s="193"/>
      <c r="P44" s="193"/>
      <c r="Q44" s="193">
        <f t="shared" si="0"/>
        <v>-403</v>
      </c>
      <c r="R44" s="193"/>
      <c r="S44" s="206">
        <v>70.16</v>
      </c>
      <c r="T44" s="206">
        <v>0</v>
      </c>
      <c r="U44" s="213">
        <f t="shared" si="1"/>
        <v>-332.84000000000003</v>
      </c>
      <c r="X44" s="211">
        <v>50</v>
      </c>
      <c r="Z44">
        <v>45</v>
      </c>
    </row>
    <row r="45" spans="1:26" ht="15.75">
      <c r="A45" s="195" t="s">
        <v>343</v>
      </c>
      <c r="B45" s="193">
        <v>-140</v>
      </c>
      <c r="C45" s="193">
        <v>-65</v>
      </c>
      <c r="D45" s="193">
        <v>-68</v>
      </c>
      <c r="E45" s="193"/>
      <c r="F45" s="193"/>
      <c r="G45" s="193"/>
      <c r="H45" s="193"/>
      <c r="I45" s="193"/>
      <c r="J45" s="193"/>
      <c r="K45" s="193">
        <v>-80</v>
      </c>
      <c r="L45" s="193">
        <v>-50</v>
      </c>
      <c r="M45" s="193"/>
      <c r="N45" s="193"/>
      <c r="O45" s="193"/>
      <c r="P45" s="193"/>
      <c r="Q45" s="193">
        <f t="shared" si="0"/>
        <v>-403</v>
      </c>
      <c r="R45" s="193"/>
      <c r="S45" s="206">
        <v>70.16</v>
      </c>
      <c r="T45" s="206">
        <v>0</v>
      </c>
      <c r="U45" s="213">
        <f t="shared" si="1"/>
        <v>-332.84000000000003</v>
      </c>
      <c r="X45" s="211">
        <v>50</v>
      </c>
      <c r="Z45">
        <v>45</v>
      </c>
    </row>
    <row r="46" spans="1:26" ht="15.75">
      <c r="A46" s="195" t="s">
        <v>344</v>
      </c>
      <c r="B46" s="193">
        <v>-140</v>
      </c>
      <c r="C46" s="193">
        <v>-65</v>
      </c>
      <c r="D46" s="193">
        <v>-68</v>
      </c>
      <c r="E46" s="193"/>
      <c r="F46" s="193"/>
      <c r="G46" s="193"/>
      <c r="H46" s="193"/>
      <c r="I46" s="193"/>
      <c r="J46" s="193"/>
      <c r="K46" s="193">
        <v>-80</v>
      </c>
      <c r="L46" s="193">
        <v>-50</v>
      </c>
      <c r="M46" s="193"/>
      <c r="N46" s="193"/>
      <c r="O46" s="193"/>
      <c r="P46" s="193"/>
      <c r="Q46" s="193">
        <f t="shared" si="0"/>
        <v>-403</v>
      </c>
      <c r="R46" s="193"/>
      <c r="S46" s="206">
        <v>70.16</v>
      </c>
      <c r="T46" s="206">
        <v>0</v>
      </c>
      <c r="U46" s="213">
        <f t="shared" si="1"/>
        <v>-332.84000000000003</v>
      </c>
      <c r="X46" s="211">
        <v>50</v>
      </c>
      <c r="Z46">
        <v>45</v>
      </c>
    </row>
    <row r="47" spans="1:26" ht="15.75">
      <c r="A47" s="195" t="s">
        <v>345</v>
      </c>
      <c r="B47" s="193">
        <v>-140</v>
      </c>
      <c r="C47" s="193">
        <v>-65</v>
      </c>
      <c r="D47" s="193">
        <v>-68</v>
      </c>
      <c r="E47" s="193"/>
      <c r="F47" s="193"/>
      <c r="G47" s="193"/>
      <c r="H47" s="193"/>
      <c r="I47" s="193"/>
      <c r="J47" s="193"/>
      <c r="K47" s="193">
        <v>-80</v>
      </c>
      <c r="L47" s="193">
        <v>-50</v>
      </c>
      <c r="M47" s="193"/>
      <c r="N47" s="193"/>
      <c r="O47" s="193"/>
      <c r="P47" s="193"/>
      <c r="Q47" s="193">
        <f t="shared" si="0"/>
        <v>-403</v>
      </c>
      <c r="R47" s="193"/>
      <c r="S47" s="206">
        <v>70.16</v>
      </c>
      <c r="T47" s="206">
        <v>0</v>
      </c>
      <c r="U47" s="213">
        <f t="shared" si="1"/>
        <v>-332.84000000000003</v>
      </c>
      <c r="X47" s="211">
        <v>50</v>
      </c>
      <c r="Z47">
        <v>45</v>
      </c>
    </row>
    <row r="48" spans="1:26" ht="15.75">
      <c r="A48" s="195" t="s">
        <v>346</v>
      </c>
      <c r="B48" s="193">
        <v>-140</v>
      </c>
      <c r="C48" s="193">
        <v>-65</v>
      </c>
      <c r="D48" s="193">
        <v>-68</v>
      </c>
      <c r="E48" s="193"/>
      <c r="F48" s="193"/>
      <c r="G48" s="193"/>
      <c r="H48" s="193"/>
      <c r="I48" s="193"/>
      <c r="J48" s="193"/>
      <c r="K48" s="193">
        <v>-80</v>
      </c>
      <c r="L48" s="193">
        <v>-50</v>
      </c>
      <c r="M48" s="193"/>
      <c r="N48" s="193"/>
      <c r="O48" s="193"/>
      <c r="P48" s="193"/>
      <c r="Q48" s="193">
        <f t="shared" si="0"/>
        <v>-403</v>
      </c>
      <c r="R48" s="193"/>
      <c r="S48" s="206">
        <v>70.16</v>
      </c>
      <c r="T48" s="206">
        <v>0</v>
      </c>
      <c r="U48" s="213">
        <f t="shared" si="1"/>
        <v>-332.84000000000003</v>
      </c>
      <c r="X48" s="211">
        <v>50</v>
      </c>
      <c r="Z48">
        <v>45</v>
      </c>
    </row>
    <row r="49" spans="1:26" ht="15.75">
      <c r="A49" s="195" t="s">
        <v>347</v>
      </c>
      <c r="B49" s="193">
        <v>-140</v>
      </c>
      <c r="C49" s="193">
        <v>0</v>
      </c>
      <c r="D49" s="193">
        <v>0</v>
      </c>
      <c r="E49" s="193"/>
      <c r="F49" s="193"/>
      <c r="G49" s="193"/>
      <c r="H49" s="193"/>
      <c r="I49" s="193"/>
      <c r="J49" s="193"/>
      <c r="K49" s="193"/>
      <c r="L49" s="193"/>
      <c r="M49" s="193"/>
      <c r="N49" s="193"/>
      <c r="O49" s="193"/>
      <c r="P49" s="193"/>
      <c r="Q49" s="193">
        <f t="shared" si="0"/>
        <v>-140</v>
      </c>
      <c r="R49" s="193"/>
      <c r="S49" s="206">
        <v>70.16</v>
      </c>
      <c r="T49" s="206">
        <v>0</v>
      </c>
      <c r="U49" s="213">
        <f t="shared" si="1"/>
        <v>-69.84</v>
      </c>
      <c r="X49" s="211">
        <v>50</v>
      </c>
      <c r="Z49">
        <v>45</v>
      </c>
    </row>
    <row r="50" spans="1:26" ht="15.75">
      <c r="A50" s="195" t="s">
        <v>348</v>
      </c>
      <c r="B50" s="193">
        <v>-140</v>
      </c>
      <c r="C50" s="193">
        <v>0</v>
      </c>
      <c r="D50" s="193">
        <v>0</v>
      </c>
      <c r="E50" s="193"/>
      <c r="F50" s="193"/>
      <c r="G50" s="193"/>
      <c r="H50" s="193"/>
      <c r="I50" s="193"/>
      <c r="J50" s="193"/>
      <c r="K50" s="193"/>
      <c r="L50" s="193"/>
      <c r="M50" s="193"/>
      <c r="N50" s="193"/>
      <c r="O50" s="193"/>
      <c r="P50" s="193"/>
      <c r="Q50" s="193">
        <f>SUM(B50:P50)</f>
        <v>-140</v>
      </c>
      <c r="R50" s="193"/>
      <c r="S50" s="206">
        <v>70.16</v>
      </c>
      <c r="T50" s="206">
        <v>0</v>
      </c>
      <c r="U50" s="213">
        <f t="shared" si="1"/>
        <v>-69.84</v>
      </c>
      <c r="X50" s="211">
        <v>50</v>
      </c>
      <c r="Z50">
        <v>45</v>
      </c>
    </row>
    <row r="51" spans="1:26" ht="15.75">
      <c r="A51" s="195" t="s">
        <v>349</v>
      </c>
      <c r="B51" s="193">
        <v>-140</v>
      </c>
      <c r="C51" s="193">
        <v>0</v>
      </c>
      <c r="D51" s="193">
        <v>0</v>
      </c>
      <c r="E51" s="193"/>
      <c r="F51" s="193"/>
      <c r="G51" s="193"/>
      <c r="H51" s="193"/>
      <c r="I51" s="193"/>
      <c r="J51" s="193"/>
      <c r="K51" s="193"/>
      <c r="L51" s="193"/>
      <c r="M51" s="193"/>
      <c r="N51" s="193"/>
      <c r="O51" s="193"/>
      <c r="P51" s="193"/>
      <c r="Q51" s="193">
        <f t="shared" si="0"/>
        <v>-140</v>
      </c>
      <c r="R51" s="193"/>
      <c r="S51" s="206">
        <v>70.16</v>
      </c>
      <c r="T51" s="206">
        <v>0</v>
      </c>
      <c r="U51" s="213">
        <f t="shared" si="1"/>
        <v>-69.84</v>
      </c>
      <c r="X51" s="211">
        <v>50</v>
      </c>
      <c r="Z51">
        <v>45</v>
      </c>
    </row>
    <row r="52" spans="1:26" ht="15.75">
      <c r="A52" s="195" t="s">
        <v>350</v>
      </c>
      <c r="B52" s="193">
        <v>-140</v>
      </c>
      <c r="C52" s="193">
        <v>0</v>
      </c>
      <c r="D52" s="193">
        <v>0</v>
      </c>
      <c r="E52" s="193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193">
        <f t="shared" si="0"/>
        <v>-140</v>
      </c>
      <c r="R52" s="193"/>
      <c r="S52" s="206">
        <v>70.16</v>
      </c>
      <c r="T52" s="206">
        <v>0</v>
      </c>
      <c r="U52" s="213">
        <f t="shared" si="1"/>
        <v>-69.84</v>
      </c>
      <c r="X52" s="211">
        <v>50</v>
      </c>
      <c r="Z52">
        <v>45</v>
      </c>
    </row>
    <row r="53" spans="1:26" ht="15.75">
      <c r="A53" s="195" t="s">
        <v>351</v>
      </c>
      <c r="B53" s="193">
        <v>-140</v>
      </c>
      <c r="C53" s="193">
        <v>0</v>
      </c>
      <c r="D53" s="193">
        <v>0</v>
      </c>
      <c r="E53" s="193"/>
      <c r="F53" s="193"/>
      <c r="G53" s="193"/>
      <c r="H53" s="193"/>
      <c r="I53" s="193"/>
      <c r="J53" s="193"/>
      <c r="K53" s="193"/>
      <c r="L53" s="193"/>
      <c r="M53" s="193"/>
      <c r="N53" s="193"/>
      <c r="O53" s="193"/>
      <c r="P53" s="193"/>
      <c r="Q53" s="193">
        <f t="shared" si="0"/>
        <v>-140</v>
      </c>
      <c r="R53" s="193"/>
      <c r="S53" s="206">
        <v>70.16</v>
      </c>
      <c r="T53" s="206">
        <v>0</v>
      </c>
      <c r="U53" s="213">
        <f t="shared" si="1"/>
        <v>-69.84</v>
      </c>
      <c r="X53" s="211">
        <v>50</v>
      </c>
      <c r="Z53">
        <v>45</v>
      </c>
    </row>
    <row r="54" spans="1:26" ht="15.75">
      <c r="A54" s="195" t="s">
        <v>352</v>
      </c>
      <c r="B54" s="193">
        <v>-140</v>
      </c>
      <c r="C54" s="193">
        <v>0</v>
      </c>
      <c r="D54" s="193">
        <v>0</v>
      </c>
      <c r="E54" s="193"/>
      <c r="F54" s="193"/>
      <c r="G54" s="193"/>
      <c r="H54" s="193"/>
      <c r="I54" s="193"/>
      <c r="J54" s="193"/>
      <c r="K54" s="193"/>
      <c r="L54" s="193"/>
      <c r="M54" s="193"/>
      <c r="N54" s="193"/>
      <c r="O54" s="193"/>
      <c r="P54" s="193"/>
      <c r="Q54" s="193">
        <f t="shared" si="0"/>
        <v>-140</v>
      </c>
      <c r="R54" s="193"/>
      <c r="S54" s="206">
        <v>70.16</v>
      </c>
      <c r="T54" s="206">
        <v>0</v>
      </c>
      <c r="U54" s="213">
        <f t="shared" si="1"/>
        <v>-69.84</v>
      </c>
      <c r="X54" s="211">
        <v>50</v>
      </c>
      <c r="Z54">
        <v>45</v>
      </c>
    </row>
    <row r="55" spans="1:26" ht="15.75">
      <c r="A55" s="195" t="s">
        <v>353</v>
      </c>
      <c r="B55" s="193">
        <v>-140</v>
      </c>
      <c r="C55" s="193">
        <v>0</v>
      </c>
      <c r="D55" s="193">
        <v>0</v>
      </c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193">
        <f t="shared" si="0"/>
        <v>-140</v>
      </c>
      <c r="R55" s="193"/>
      <c r="S55" s="206">
        <v>70.16</v>
      </c>
      <c r="T55" s="206">
        <v>0</v>
      </c>
      <c r="U55" s="213">
        <f t="shared" si="1"/>
        <v>-69.84</v>
      </c>
      <c r="X55" s="211">
        <v>50</v>
      </c>
      <c r="Z55">
        <v>45</v>
      </c>
    </row>
    <row r="56" spans="1:26" ht="15.75">
      <c r="A56" s="195" t="s">
        <v>354</v>
      </c>
      <c r="B56" s="193">
        <v>-140</v>
      </c>
      <c r="C56" s="193">
        <v>0</v>
      </c>
      <c r="D56" s="193">
        <v>0</v>
      </c>
      <c r="E56" s="193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193">
        <f t="shared" si="0"/>
        <v>-140</v>
      </c>
      <c r="R56" s="193"/>
      <c r="S56" s="206">
        <v>70.16</v>
      </c>
      <c r="T56" s="206">
        <v>0</v>
      </c>
      <c r="U56" s="213">
        <f t="shared" si="1"/>
        <v>-69.84</v>
      </c>
      <c r="X56" s="211">
        <v>50</v>
      </c>
      <c r="Z56">
        <v>45</v>
      </c>
    </row>
    <row r="57" spans="1:26" ht="15.75">
      <c r="A57" s="195" t="s">
        <v>355</v>
      </c>
      <c r="B57" s="193">
        <v>-140</v>
      </c>
      <c r="C57" s="193">
        <v>0</v>
      </c>
      <c r="D57" s="193">
        <v>0</v>
      </c>
      <c r="E57" s="193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193">
        <f t="shared" si="0"/>
        <v>-140</v>
      </c>
      <c r="R57" s="193"/>
      <c r="S57" s="206">
        <v>70.16</v>
      </c>
      <c r="T57" s="206">
        <v>0</v>
      </c>
      <c r="U57" s="213">
        <f t="shared" si="1"/>
        <v>-69.84</v>
      </c>
      <c r="X57" s="211">
        <v>50</v>
      </c>
      <c r="Z57">
        <v>45</v>
      </c>
    </row>
    <row r="58" spans="1:26" ht="15.75">
      <c r="A58" s="195" t="s">
        <v>356</v>
      </c>
      <c r="B58" s="193">
        <v>0</v>
      </c>
      <c r="C58" s="193">
        <v>0</v>
      </c>
      <c r="D58" s="193">
        <v>0</v>
      </c>
      <c r="E58" s="193"/>
      <c r="F58" s="193"/>
      <c r="G58" s="193"/>
      <c r="H58" s="193"/>
      <c r="I58" s="193"/>
      <c r="J58" s="193"/>
      <c r="K58" s="193"/>
      <c r="L58" s="193"/>
      <c r="M58" s="193"/>
      <c r="N58" s="193"/>
      <c r="O58" s="193"/>
      <c r="P58" s="193"/>
      <c r="Q58" s="193">
        <f t="shared" si="0"/>
        <v>0</v>
      </c>
      <c r="R58" s="193"/>
      <c r="S58" s="206">
        <v>70.16</v>
      </c>
      <c r="T58" s="206">
        <v>0</v>
      </c>
      <c r="U58" s="213">
        <f t="shared" si="1"/>
        <v>70.16</v>
      </c>
      <c r="X58" s="211">
        <v>50</v>
      </c>
      <c r="Z58">
        <v>45</v>
      </c>
    </row>
    <row r="59" spans="1:26" ht="15.75">
      <c r="A59" s="195" t="s">
        <v>357</v>
      </c>
      <c r="B59" s="193">
        <v>0</v>
      </c>
      <c r="C59" s="193">
        <v>0</v>
      </c>
      <c r="D59" s="193">
        <v>0</v>
      </c>
      <c r="E59" s="193"/>
      <c r="F59" s="193"/>
      <c r="G59" s="193"/>
      <c r="H59" s="193"/>
      <c r="I59" s="193"/>
      <c r="J59" s="193"/>
      <c r="K59" s="193"/>
      <c r="L59" s="193"/>
      <c r="M59" s="193"/>
      <c r="N59" s="193"/>
      <c r="O59" s="193"/>
      <c r="P59" s="193"/>
      <c r="Q59" s="193">
        <f t="shared" si="0"/>
        <v>0</v>
      </c>
      <c r="R59" s="193"/>
      <c r="S59" s="206">
        <v>70.16</v>
      </c>
      <c r="T59" s="206">
        <v>0</v>
      </c>
      <c r="U59" s="213">
        <f t="shared" si="1"/>
        <v>70.16</v>
      </c>
      <c r="X59" s="211">
        <v>50</v>
      </c>
      <c r="Z59">
        <v>45</v>
      </c>
    </row>
    <row r="60" spans="1:26" ht="15.75">
      <c r="A60" s="195" t="s">
        <v>358</v>
      </c>
      <c r="B60" s="193">
        <v>0</v>
      </c>
      <c r="C60" s="193">
        <v>0</v>
      </c>
      <c r="D60" s="193">
        <v>0</v>
      </c>
      <c r="E60" s="193"/>
      <c r="F60" s="193"/>
      <c r="G60" s="193"/>
      <c r="H60" s="193"/>
      <c r="I60" s="193"/>
      <c r="J60" s="193"/>
      <c r="K60" s="193"/>
      <c r="L60" s="193"/>
      <c r="M60" s="193"/>
      <c r="N60" s="193"/>
      <c r="O60" s="193"/>
      <c r="P60" s="193"/>
      <c r="Q60" s="193">
        <f t="shared" si="0"/>
        <v>0</v>
      </c>
      <c r="R60" s="193"/>
      <c r="S60" s="206">
        <v>70.16</v>
      </c>
      <c r="T60" s="206">
        <v>0</v>
      </c>
      <c r="U60" s="213">
        <f t="shared" si="1"/>
        <v>70.16</v>
      </c>
      <c r="X60" s="211">
        <v>50</v>
      </c>
      <c r="Z60">
        <v>45</v>
      </c>
    </row>
    <row r="61" spans="1:26" ht="15.75">
      <c r="A61" s="195" t="s">
        <v>359</v>
      </c>
      <c r="B61" s="193">
        <v>0</v>
      </c>
      <c r="C61" s="193">
        <v>0</v>
      </c>
      <c r="D61" s="193">
        <v>0</v>
      </c>
      <c r="E61" s="193"/>
      <c r="F61" s="193"/>
      <c r="G61" s="193"/>
      <c r="H61" s="193"/>
      <c r="I61" s="193"/>
      <c r="J61" s="193"/>
      <c r="K61" s="193"/>
      <c r="L61" s="193"/>
      <c r="M61" s="193"/>
      <c r="N61" s="193"/>
      <c r="O61" s="193"/>
      <c r="P61" s="193"/>
      <c r="Q61" s="193">
        <f t="shared" si="0"/>
        <v>0</v>
      </c>
      <c r="R61" s="193"/>
      <c r="S61" s="206">
        <v>70.16</v>
      </c>
      <c r="T61" s="206">
        <v>0</v>
      </c>
      <c r="U61" s="213">
        <f t="shared" si="1"/>
        <v>70.16</v>
      </c>
      <c r="X61" s="211">
        <v>50</v>
      </c>
      <c r="Z61">
        <v>45</v>
      </c>
    </row>
    <row r="62" spans="1:26" ht="15.75">
      <c r="A62" s="195" t="s">
        <v>360</v>
      </c>
      <c r="B62" s="193">
        <v>0</v>
      </c>
      <c r="C62" s="193">
        <v>0</v>
      </c>
      <c r="D62" s="193">
        <v>0</v>
      </c>
      <c r="E62" s="193"/>
      <c r="F62" s="193"/>
      <c r="G62" s="193"/>
      <c r="H62" s="193"/>
      <c r="I62" s="193"/>
      <c r="J62" s="193"/>
      <c r="K62" s="193"/>
      <c r="L62" s="193"/>
      <c r="M62" s="193"/>
      <c r="N62" s="193"/>
      <c r="O62" s="193"/>
      <c r="P62" s="193"/>
      <c r="Q62" s="193">
        <f t="shared" si="0"/>
        <v>0</v>
      </c>
      <c r="R62" s="193"/>
      <c r="S62" s="206">
        <v>70.16</v>
      </c>
      <c r="T62" s="206">
        <v>0</v>
      </c>
      <c r="U62" s="213">
        <f t="shared" si="1"/>
        <v>70.16</v>
      </c>
      <c r="X62" s="211">
        <v>50</v>
      </c>
      <c r="Z62">
        <v>45</v>
      </c>
    </row>
    <row r="63" spans="1:26" ht="15.75">
      <c r="A63" s="195" t="s">
        <v>361</v>
      </c>
      <c r="B63" s="193">
        <v>0</v>
      </c>
      <c r="C63" s="193">
        <v>0</v>
      </c>
      <c r="D63" s="193">
        <v>0</v>
      </c>
      <c r="E63" s="193"/>
      <c r="F63" s="193"/>
      <c r="G63" s="193"/>
      <c r="H63" s="193"/>
      <c r="I63" s="193"/>
      <c r="J63" s="193"/>
      <c r="K63" s="193"/>
      <c r="L63" s="193"/>
      <c r="M63" s="193"/>
      <c r="N63" s="193"/>
      <c r="O63" s="193"/>
      <c r="P63" s="193"/>
      <c r="Q63" s="193">
        <f t="shared" si="0"/>
        <v>0</v>
      </c>
      <c r="R63" s="193"/>
      <c r="S63" s="206">
        <v>70.16</v>
      </c>
      <c r="T63" s="206">
        <v>0</v>
      </c>
      <c r="U63" s="213">
        <f t="shared" si="1"/>
        <v>70.16</v>
      </c>
      <c r="X63" s="211">
        <v>50</v>
      </c>
      <c r="Z63">
        <v>45</v>
      </c>
    </row>
    <row r="64" spans="1:26" ht="15.75">
      <c r="A64" s="195" t="s">
        <v>362</v>
      </c>
      <c r="B64" s="193">
        <v>0</v>
      </c>
      <c r="C64" s="193">
        <v>0</v>
      </c>
      <c r="D64" s="193">
        <v>0</v>
      </c>
      <c r="E64" s="193"/>
      <c r="F64" s="193"/>
      <c r="G64" s="193"/>
      <c r="H64" s="193"/>
      <c r="I64" s="193"/>
      <c r="J64" s="193"/>
      <c r="K64" s="193"/>
      <c r="L64" s="193"/>
      <c r="M64" s="193"/>
      <c r="N64" s="193"/>
      <c r="O64" s="193"/>
      <c r="P64" s="193"/>
      <c r="Q64" s="193">
        <f t="shared" si="0"/>
        <v>0</v>
      </c>
      <c r="R64" s="193"/>
      <c r="S64" s="206">
        <v>70.16</v>
      </c>
      <c r="T64" s="206">
        <v>0</v>
      </c>
      <c r="U64" s="213">
        <f t="shared" si="1"/>
        <v>70.16</v>
      </c>
      <c r="X64" s="211">
        <v>50</v>
      </c>
      <c r="Z64">
        <v>45</v>
      </c>
    </row>
    <row r="65" spans="1:26" ht="15.75">
      <c r="A65" s="195" t="s">
        <v>363</v>
      </c>
      <c r="B65" s="193">
        <v>0</v>
      </c>
      <c r="C65" s="193">
        <v>0</v>
      </c>
      <c r="D65" s="193">
        <v>0</v>
      </c>
      <c r="E65" s="193"/>
      <c r="F65" s="193"/>
      <c r="G65" s="193"/>
      <c r="H65" s="193"/>
      <c r="I65" s="193"/>
      <c r="J65" s="193"/>
      <c r="K65" s="193"/>
      <c r="L65" s="193"/>
      <c r="M65" s="193"/>
      <c r="N65" s="193"/>
      <c r="O65" s="193"/>
      <c r="P65" s="193"/>
      <c r="Q65" s="193">
        <f t="shared" si="0"/>
        <v>0</v>
      </c>
      <c r="R65" s="193"/>
      <c r="S65" s="206">
        <v>70.16</v>
      </c>
      <c r="T65" s="206">
        <v>0</v>
      </c>
      <c r="U65" s="213">
        <f t="shared" si="1"/>
        <v>70.16</v>
      </c>
      <c r="X65" s="211">
        <v>50</v>
      </c>
      <c r="Z65">
        <v>45</v>
      </c>
    </row>
    <row r="66" spans="1:26" ht="15.75">
      <c r="A66" s="195" t="s">
        <v>364</v>
      </c>
      <c r="B66" s="193">
        <v>0</v>
      </c>
      <c r="C66" s="193">
        <v>0</v>
      </c>
      <c r="D66" s="193">
        <v>0</v>
      </c>
      <c r="E66" s="193"/>
      <c r="F66" s="193"/>
      <c r="G66" s="193"/>
      <c r="H66" s="193"/>
      <c r="I66" s="193"/>
      <c r="J66" s="193"/>
      <c r="K66" s="193"/>
      <c r="L66" s="193"/>
      <c r="M66" s="193"/>
      <c r="N66" s="193"/>
      <c r="O66" s="193"/>
      <c r="P66" s="193"/>
      <c r="Q66" s="193">
        <f t="shared" si="0"/>
        <v>0</v>
      </c>
      <c r="R66" s="193"/>
      <c r="S66" s="206">
        <v>70.16</v>
      </c>
      <c r="T66" s="206">
        <v>0</v>
      </c>
      <c r="U66" s="213">
        <f t="shared" si="1"/>
        <v>70.16</v>
      </c>
      <c r="X66" s="211">
        <v>50</v>
      </c>
      <c r="Z66">
        <v>45</v>
      </c>
    </row>
    <row r="67" spans="1:26" ht="15.75">
      <c r="A67" s="195" t="s">
        <v>365</v>
      </c>
      <c r="B67" s="193">
        <v>0</v>
      </c>
      <c r="C67" s="193">
        <v>0</v>
      </c>
      <c r="D67" s="193">
        <v>0</v>
      </c>
      <c r="E67" s="193"/>
      <c r="F67" s="193"/>
      <c r="G67" s="193"/>
      <c r="H67" s="193"/>
      <c r="I67" s="193"/>
      <c r="J67" s="193"/>
      <c r="K67" s="193"/>
      <c r="L67" s="193"/>
      <c r="M67" s="193"/>
      <c r="N67" s="193"/>
      <c r="O67" s="193"/>
      <c r="P67" s="193"/>
      <c r="Q67" s="193">
        <f t="shared" si="0"/>
        <v>0</v>
      </c>
      <c r="R67" s="193"/>
      <c r="S67" s="206">
        <v>40.47</v>
      </c>
      <c r="T67" s="206">
        <v>0</v>
      </c>
      <c r="U67" s="213">
        <f t="shared" si="1"/>
        <v>40.47</v>
      </c>
      <c r="X67" s="211">
        <v>50</v>
      </c>
      <c r="Z67">
        <v>45</v>
      </c>
    </row>
    <row r="68" spans="1:26" ht="15.75">
      <c r="A68" s="195" t="s">
        <v>366</v>
      </c>
      <c r="B68" s="193">
        <v>0</v>
      </c>
      <c r="C68" s="193">
        <v>0</v>
      </c>
      <c r="D68" s="193">
        <v>0</v>
      </c>
      <c r="E68" s="193"/>
      <c r="F68" s="193"/>
      <c r="G68" s="193"/>
      <c r="H68" s="193"/>
      <c r="I68" s="193"/>
      <c r="J68" s="193"/>
      <c r="K68" s="193"/>
      <c r="L68" s="193"/>
      <c r="M68" s="193"/>
      <c r="N68" s="193"/>
      <c r="O68" s="193"/>
      <c r="P68" s="193"/>
      <c r="Q68" s="193">
        <f t="shared" ref="Q68:Q98" si="2">SUM(B68:P68)</f>
        <v>0</v>
      </c>
      <c r="R68" s="193"/>
      <c r="S68" s="206">
        <v>40.47</v>
      </c>
      <c r="T68" s="206">
        <v>0</v>
      </c>
      <c r="U68" s="213">
        <f t="shared" ref="U68:U98" si="3">SUM(Q68:T68)</f>
        <v>40.47</v>
      </c>
      <c r="X68" s="211">
        <v>50</v>
      </c>
      <c r="Z68">
        <v>45</v>
      </c>
    </row>
    <row r="69" spans="1:26" ht="15.75">
      <c r="A69" s="195" t="s">
        <v>367</v>
      </c>
      <c r="B69" s="193">
        <v>0</v>
      </c>
      <c r="C69" s="193">
        <v>0</v>
      </c>
      <c r="D69" s="193">
        <v>0</v>
      </c>
      <c r="E69" s="193"/>
      <c r="F69" s="193"/>
      <c r="G69" s="193"/>
      <c r="H69" s="193"/>
      <c r="I69" s="193"/>
      <c r="J69" s="193"/>
      <c r="K69" s="193"/>
      <c r="L69" s="193"/>
      <c r="M69" s="193"/>
      <c r="N69" s="193"/>
      <c r="O69" s="193"/>
      <c r="P69" s="193"/>
      <c r="Q69" s="193">
        <f t="shared" si="2"/>
        <v>0</v>
      </c>
      <c r="R69" s="193"/>
      <c r="S69" s="206">
        <v>40.47</v>
      </c>
      <c r="T69" s="206">
        <v>0</v>
      </c>
      <c r="U69" s="213">
        <f t="shared" si="3"/>
        <v>40.47</v>
      </c>
      <c r="X69" s="211">
        <v>50</v>
      </c>
      <c r="Z69">
        <v>45</v>
      </c>
    </row>
    <row r="70" spans="1:26" ht="15.75">
      <c r="A70" s="195" t="s">
        <v>368</v>
      </c>
      <c r="B70" s="193">
        <v>0</v>
      </c>
      <c r="C70" s="193">
        <v>0</v>
      </c>
      <c r="D70" s="193">
        <v>0</v>
      </c>
      <c r="E70" s="193"/>
      <c r="F70" s="193"/>
      <c r="G70" s="193"/>
      <c r="H70" s="193"/>
      <c r="I70" s="193"/>
      <c r="J70" s="193"/>
      <c r="K70" s="193"/>
      <c r="L70" s="193"/>
      <c r="M70" s="193"/>
      <c r="N70" s="193"/>
      <c r="O70" s="193"/>
      <c r="P70" s="193"/>
      <c r="Q70" s="193">
        <f t="shared" si="2"/>
        <v>0</v>
      </c>
      <c r="R70" s="193"/>
      <c r="S70" s="206">
        <v>40.47</v>
      </c>
      <c r="T70" s="206">
        <v>0</v>
      </c>
      <c r="U70" s="213">
        <f t="shared" si="3"/>
        <v>40.47</v>
      </c>
      <c r="X70" s="211">
        <v>50</v>
      </c>
      <c r="Z70">
        <v>45</v>
      </c>
    </row>
    <row r="71" spans="1:26" ht="15.75">
      <c r="A71" s="195" t="s">
        <v>369</v>
      </c>
      <c r="B71" s="193">
        <v>0</v>
      </c>
      <c r="C71" s="193">
        <v>0</v>
      </c>
      <c r="D71" s="193">
        <v>0</v>
      </c>
      <c r="E71" s="193"/>
      <c r="F71" s="193"/>
      <c r="G71" s="193"/>
      <c r="H71" s="193"/>
      <c r="I71" s="193"/>
      <c r="J71" s="193"/>
      <c r="K71" s="193"/>
      <c r="L71" s="193"/>
      <c r="M71" s="193"/>
      <c r="N71" s="193"/>
      <c r="O71" s="193"/>
      <c r="P71" s="193"/>
      <c r="Q71" s="193">
        <f t="shared" si="2"/>
        <v>0</v>
      </c>
      <c r="R71" s="193"/>
      <c r="S71" s="206">
        <v>40.47</v>
      </c>
      <c r="T71" s="206">
        <v>0</v>
      </c>
      <c r="U71" s="213">
        <f t="shared" si="3"/>
        <v>40.47</v>
      </c>
      <c r="X71" s="211">
        <v>50</v>
      </c>
      <c r="Z71">
        <v>45</v>
      </c>
    </row>
    <row r="72" spans="1:26" ht="15.75">
      <c r="A72" s="195" t="s">
        <v>370</v>
      </c>
      <c r="B72" s="193">
        <v>0</v>
      </c>
      <c r="C72" s="193">
        <v>0</v>
      </c>
      <c r="D72" s="193">
        <v>0</v>
      </c>
      <c r="E72" s="193"/>
      <c r="F72" s="193"/>
      <c r="G72" s="193"/>
      <c r="H72" s="193"/>
      <c r="I72" s="193"/>
      <c r="J72" s="193"/>
      <c r="K72" s="193"/>
      <c r="L72" s="193"/>
      <c r="M72" s="193"/>
      <c r="N72" s="193"/>
      <c r="O72" s="193"/>
      <c r="P72" s="193"/>
      <c r="Q72" s="193">
        <f t="shared" si="2"/>
        <v>0</v>
      </c>
      <c r="R72" s="193"/>
      <c r="S72" s="206">
        <v>40.47</v>
      </c>
      <c r="T72" s="206">
        <v>0</v>
      </c>
      <c r="U72" s="213">
        <f t="shared" si="3"/>
        <v>40.47</v>
      </c>
      <c r="X72" s="211">
        <v>50</v>
      </c>
      <c r="Z72">
        <v>45</v>
      </c>
    </row>
    <row r="73" spans="1:26" ht="15.75">
      <c r="A73" s="195" t="s">
        <v>371</v>
      </c>
      <c r="B73" s="193">
        <v>0</v>
      </c>
      <c r="C73" s="193">
        <v>0</v>
      </c>
      <c r="D73" s="193">
        <v>0</v>
      </c>
      <c r="E73" s="193"/>
      <c r="F73" s="193"/>
      <c r="G73" s="193"/>
      <c r="H73" s="193"/>
      <c r="I73" s="193"/>
      <c r="J73" s="193"/>
      <c r="K73" s="193"/>
      <c r="L73" s="193"/>
      <c r="M73" s="193"/>
      <c r="N73" s="193"/>
      <c r="O73" s="193"/>
      <c r="P73" s="193"/>
      <c r="Q73" s="193">
        <f t="shared" si="2"/>
        <v>0</v>
      </c>
      <c r="R73" s="193"/>
      <c r="S73" s="206">
        <v>40.47</v>
      </c>
      <c r="T73" s="206">
        <v>0</v>
      </c>
      <c r="U73" s="213">
        <f t="shared" si="3"/>
        <v>40.47</v>
      </c>
      <c r="X73" s="211">
        <v>50</v>
      </c>
      <c r="Z73">
        <v>45</v>
      </c>
    </row>
    <row r="74" spans="1:26" ht="15.75">
      <c r="A74" s="195" t="s">
        <v>372</v>
      </c>
      <c r="B74" s="193">
        <v>0</v>
      </c>
      <c r="C74" s="193">
        <v>0</v>
      </c>
      <c r="D74" s="193">
        <v>0</v>
      </c>
      <c r="E74" s="193"/>
      <c r="F74" s="193"/>
      <c r="G74" s="193"/>
      <c r="H74" s="193"/>
      <c r="I74" s="193"/>
      <c r="J74" s="193"/>
      <c r="K74" s="193"/>
      <c r="L74" s="193"/>
      <c r="M74" s="193"/>
      <c r="N74" s="193"/>
      <c r="O74" s="193"/>
      <c r="P74" s="193"/>
      <c r="Q74" s="193">
        <f t="shared" si="2"/>
        <v>0</v>
      </c>
      <c r="R74" s="193"/>
      <c r="S74" s="206">
        <v>40.47</v>
      </c>
      <c r="T74" s="206">
        <v>0</v>
      </c>
      <c r="U74" s="213">
        <f t="shared" si="3"/>
        <v>40.47</v>
      </c>
      <c r="X74" s="211">
        <v>50</v>
      </c>
      <c r="Z74">
        <v>45</v>
      </c>
    </row>
    <row r="75" spans="1:26" ht="15.75">
      <c r="A75" s="195" t="s">
        <v>373</v>
      </c>
      <c r="B75" s="193">
        <v>0</v>
      </c>
      <c r="C75" s="193">
        <v>0</v>
      </c>
      <c r="D75" s="193">
        <v>0</v>
      </c>
      <c r="E75" s="193"/>
      <c r="F75" s="193"/>
      <c r="G75" s="193"/>
      <c r="H75" s="193"/>
      <c r="I75" s="193"/>
      <c r="J75" s="193"/>
      <c r="K75" s="193"/>
      <c r="L75" s="193"/>
      <c r="M75" s="193"/>
      <c r="N75" s="193"/>
      <c r="O75" s="193"/>
      <c r="P75" s="193"/>
      <c r="Q75" s="193">
        <f t="shared" si="2"/>
        <v>0</v>
      </c>
      <c r="R75" s="193"/>
      <c r="S75" s="206">
        <v>40.47</v>
      </c>
      <c r="T75" s="206">
        <v>0</v>
      </c>
      <c r="U75" s="213">
        <f t="shared" si="3"/>
        <v>40.47</v>
      </c>
      <c r="X75" s="211">
        <v>50</v>
      </c>
      <c r="Z75">
        <v>45</v>
      </c>
    </row>
    <row r="76" spans="1:26" ht="15.75">
      <c r="A76" s="195" t="s">
        <v>374</v>
      </c>
      <c r="B76" s="193">
        <v>0</v>
      </c>
      <c r="C76" s="193">
        <v>0</v>
      </c>
      <c r="D76" s="193">
        <v>0</v>
      </c>
      <c r="E76" s="193"/>
      <c r="F76" s="193"/>
      <c r="G76" s="193"/>
      <c r="H76" s="193"/>
      <c r="I76" s="193"/>
      <c r="J76" s="193"/>
      <c r="K76" s="193"/>
      <c r="L76" s="193"/>
      <c r="M76" s="193"/>
      <c r="N76" s="193"/>
      <c r="O76" s="193"/>
      <c r="P76" s="193"/>
      <c r="Q76" s="193">
        <f t="shared" si="2"/>
        <v>0</v>
      </c>
      <c r="R76" s="193"/>
      <c r="S76" s="206">
        <v>40.47</v>
      </c>
      <c r="T76" s="206">
        <v>0</v>
      </c>
      <c r="U76" s="213">
        <f t="shared" si="3"/>
        <v>40.47</v>
      </c>
      <c r="X76" s="211">
        <v>50</v>
      </c>
      <c r="Z76">
        <v>45</v>
      </c>
    </row>
    <row r="77" spans="1:26" ht="15.75">
      <c r="A77" s="195" t="s">
        <v>375</v>
      </c>
      <c r="B77" s="193">
        <v>0</v>
      </c>
      <c r="C77" s="193">
        <v>-65</v>
      </c>
      <c r="D77" s="193">
        <v>0</v>
      </c>
      <c r="E77" s="193"/>
      <c r="F77" s="193"/>
      <c r="G77" s="193"/>
      <c r="H77" s="193"/>
      <c r="I77" s="193"/>
      <c r="J77" s="193"/>
      <c r="K77" s="193"/>
      <c r="L77" s="193"/>
      <c r="M77" s="193"/>
      <c r="N77" s="193"/>
      <c r="O77" s="193"/>
      <c r="P77" s="193"/>
      <c r="Q77" s="193">
        <f t="shared" si="2"/>
        <v>-65</v>
      </c>
      <c r="R77" s="193"/>
      <c r="S77" s="206">
        <v>37.549999999999997</v>
      </c>
      <c r="T77" s="206">
        <v>-140</v>
      </c>
      <c r="U77" s="213">
        <f t="shared" si="3"/>
        <v>-167.45</v>
      </c>
      <c r="X77" s="211">
        <v>50</v>
      </c>
      <c r="Z77">
        <v>45</v>
      </c>
    </row>
    <row r="78" spans="1:26" ht="15.75">
      <c r="A78" s="195" t="s">
        <v>376</v>
      </c>
      <c r="B78" s="193">
        <v>0</v>
      </c>
      <c r="C78" s="193">
        <v>-65</v>
      </c>
      <c r="D78" s="193">
        <v>0</v>
      </c>
      <c r="E78" s="193"/>
      <c r="F78" s="193"/>
      <c r="G78" s="193"/>
      <c r="H78" s="193"/>
      <c r="I78" s="193"/>
      <c r="J78" s="193"/>
      <c r="K78" s="193"/>
      <c r="L78" s="193"/>
      <c r="M78" s="193"/>
      <c r="N78" s="193"/>
      <c r="O78" s="193"/>
      <c r="P78" s="193"/>
      <c r="Q78" s="193">
        <f t="shared" si="2"/>
        <v>-65</v>
      </c>
      <c r="R78" s="193"/>
      <c r="S78" s="206">
        <v>36.19</v>
      </c>
      <c r="T78" s="206">
        <v>-140</v>
      </c>
      <c r="U78" s="213">
        <f t="shared" si="3"/>
        <v>-168.81</v>
      </c>
      <c r="X78" s="211">
        <v>50</v>
      </c>
      <c r="Z78">
        <v>45</v>
      </c>
    </row>
    <row r="79" spans="1:26" ht="15.75">
      <c r="A79" s="195" t="s">
        <v>377</v>
      </c>
      <c r="B79" s="193">
        <v>0</v>
      </c>
      <c r="C79" s="193">
        <v>-65</v>
      </c>
      <c r="D79" s="193">
        <v>0</v>
      </c>
      <c r="E79" s="193"/>
      <c r="F79" s="193"/>
      <c r="G79" s="193"/>
      <c r="H79" s="193"/>
      <c r="I79" s="193"/>
      <c r="J79" s="193"/>
      <c r="K79" s="193"/>
      <c r="L79" s="193"/>
      <c r="M79" s="193"/>
      <c r="N79" s="193"/>
      <c r="O79" s="193"/>
      <c r="P79" s="193"/>
      <c r="Q79" s="193">
        <f t="shared" si="2"/>
        <v>-65</v>
      </c>
      <c r="R79" s="193"/>
      <c r="S79" s="206">
        <v>32.450000000000003</v>
      </c>
      <c r="T79" s="206">
        <v>-140</v>
      </c>
      <c r="U79" s="213">
        <f t="shared" si="3"/>
        <v>-172.55</v>
      </c>
      <c r="X79" s="211">
        <v>50</v>
      </c>
      <c r="Z79">
        <v>45</v>
      </c>
    </row>
    <row r="80" spans="1:26" ht="15.75">
      <c r="A80" s="195" t="s">
        <v>378</v>
      </c>
      <c r="B80" s="193">
        <v>0</v>
      </c>
      <c r="C80" s="193">
        <v>-65</v>
      </c>
      <c r="D80" s="193">
        <v>0</v>
      </c>
      <c r="E80" s="193"/>
      <c r="F80" s="193"/>
      <c r="G80" s="193"/>
      <c r="H80" s="193"/>
      <c r="I80" s="193"/>
      <c r="J80" s="193"/>
      <c r="K80" s="193"/>
      <c r="L80" s="193"/>
      <c r="M80" s="193"/>
      <c r="N80" s="193"/>
      <c r="O80" s="193"/>
      <c r="P80" s="193"/>
      <c r="Q80" s="193">
        <f t="shared" si="2"/>
        <v>-65</v>
      </c>
      <c r="R80" s="193"/>
      <c r="S80" s="206">
        <v>31.77</v>
      </c>
      <c r="T80" s="206">
        <v>-140</v>
      </c>
      <c r="U80" s="213">
        <f t="shared" si="3"/>
        <v>-173.23000000000002</v>
      </c>
      <c r="X80" s="211">
        <v>50</v>
      </c>
      <c r="Z80">
        <v>45</v>
      </c>
    </row>
    <row r="81" spans="1:26" ht="15.75">
      <c r="A81" s="195" t="s">
        <v>379</v>
      </c>
      <c r="B81" s="193">
        <v>0</v>
      </c>
      <c r="C81" s="193">
        <v>-65</v>
      </c>
      <c r="D81" s="193">
        <v>0</v>
      </c>
      <c r="E81" s="193"/>
      <c r="F81" s="193"/>
      <c r="G81" s="193"/>
      <c r="H81" s="193"/>
      <c r="I81" s="193"/>
      <c r="J81" s="193"/>
      <c r="K81" s="193"/>
      <c r="L81" s="193"/>
      <c r="M81" s="193"/>
      <c r="N81" s="193"/>
      <c r="O81" s="193"/>
      <c r="P81" s="193"/>
      <c r="Q81" s="193">
        <f t="shared" si="2"/>
        <v>-65</v>
      </c>
      <c r="R81" s="193"/>
      <c r="S81" s="206">
        <v>31.51</v>
      </c>
      <c r="T81" s="206">
        <v>-140</v>
      </c>
      <c r="U81" s="213">
        <f>SUM(Q81:T81)</f>
        <v>-173.49</v>
      </c>
      <c r="X81" s="211">
        <v>50</v>
      </c>
      <c r="Z81">
        <v>45</v>
      </c>
    </row>
    <row r="82" spans="1:26" ht="15.75">
      <c r="A82" s="195" t="s">
        <v>380</v>
      </c>
      <c r="B82" s="193">
        <v>0</v>
      </c>
      <c r="C82" s="193">
        <v>-65</v>
      </c>
      <c r="D82" s="193">
        <v>0</v>
      </c>
      <c r="E82" s="193"/>
      <c r="F82" s="193"/>
      <c r="G82" s="193"/>
      <c r="H82" s="193"/>
      <c r="I82" s="193"/>
      <c r="J82" s="193"/>
      <c r="K82" s="193"/>
      <c r="L82" s="193"/>
      <c r="M82" s="193"/>
      <c r="N82" s="193"/>
      <c r="O82" s="193"/>
      <c r="P82" s="193"/>
      <c r="Q82" s="193">
        <f t="shared" si="2"/>
        <v>-65</v>
      </c>
      <c r="R82" s="193"/>
      <c r="S82" s="206">
        <v>31.39</v>
      </c>
      <c r="T82" s="206">
        <v>-140</v>
      </c>
      <c r="U82" s="213">
        <f t="shared" si="3"/>
        <v>-173.61</v>
      </c>
      <c r="X82" s="211">
        <v>50</v>
      </c>
      <c r="Z82">
        <v>45</v>
      </c>
    </row>
    <row r="83" spans="1:26" ht="15.75">
      <c r="A83" s="195" t="s">
        <v>381</v>
      </c>
      <c r="B83" s="193">
        <v>0</v>
      </c>
      <c r="C83" s="193">
        <v>-65</v>
      </c>
      <c r="D83" s="193">
        <v>0</v>
      </c>
      <c r="E83" s="193"/>
      <c r="F83" s="193"/>
      <c r="G83" s="193"/>
      <c r="H83" s="193"/>
      <c r="I83" s="193"/>
      <c r="J83" s="193"/>
      <c r="K83" s="193"/>
      <c r="L83" s="193"/>
      <c r="M83" s="193"/>
      <c r="N83" s="193"/>
      <c r="O83" s="193"/>
      <c r="P83" s="193"/>
      <c r="Q83" s="193">
        <f t="shared" si="2"/>
        <v>-65</v>
      </c>
      <c r="R83" s="193"/>
      <c r="S83" s="206">
        <v>31.41</v>
      </c>
      <c r="T83" s="206">
        <v>-140</v>
      </c>
      <c r="U83" s="213">
        <f t="shared" si="3"/>
        <v>-173.59</v>
      </c>
      <c r="X83" s="211">
        <v>0</v>
      </c>
    </row>
    <row r="84" spans="1:26" ht="15.75">
      <c r="A84" s="195" t="s">
        <v>382</v>
      </c>
      <c r="B84" s="193">
        <v>0</v>
      </c>
      <c r="C84" s="193">
        <v>-65</v>
      </c>
      <c r="D84" s="193">
        <v>0</v>
      </c>
      <c r="E84" s="193"/>
      <c r="F84" s="193"/>
      <c r="G84" s="193"/>
      <c r="H84" s="193"/>
      <c r="I84" s="193"/>
      <c r="J84" s="193"/>
      <c r="K84" s="193"/>
      <c r="L84" s="193"/>
      <c r="M84" s="193"/>
      <c r="N84" s="193"/>
      <c r="O84" s="193"/>
      <c r="P84" s="193"/>
      <c r="Q84" s="193">
        <f t="shared" si="2"/>
        <v>-65</v>
      </c>
      <c r="R84" s="193"/>
      <c r="S84" s="206">
        <v>31.36</v>
      </c>
      <c r="T84" s="206">
        <v>-140</v>
      </c>
      <c r="U84" s="213">
        <f t="shared" si="3"/>
        <v>-173.64</v>
      </c>
      <c r="X84" s="211">
        <v>0</v>
      </c>
    </row>
    <row r="85" spans="1:26" ht="15.75">
      <c r="A85" s="195" t="s">
        <v>383</v>
      </c>
      <c r="B85" s="193">
        <v>0</v>
      </c>
      <c r="C85" s="193">
        <v>-65</v>
      </c>
      <c r="D85" s="193">
        <v>-68</v>
      </c>
      <c r="E85" s="193"/>
      <c r="F85" s="193"/>
      <c r="G85" s="193"/>
      <c r="H85" s="193"/>
      <c r="I85" s="193"/>
      <c r="J85" s="193"/>
      <c r="K85" s="193"/>
      <c r="L85" s="193"/>
      <c r="M85" s="193"/>
      <c r="N85" s="193"/>
      <c r="O85" s="193"/>
      <c r="P85" s="193"/>
      <c r="Q85" s="193">
        <f t="shared" si="2"/>
        <v>-133</v>
      </c>
      <c r="R85" s="193"/>
      <c r="S85" s="206">
        <v>31.35</v>
      </c>
      <c r="T85" s="206">
        <v>-140</v>
      </c>
      <c r="U85" s="213">
        <f t="shared" si="3"/>
        <v>-241.65</v>
      </c>
      <c r="X85" s="211">
        <v>0</v>
      </c>
    </row>
    <row r="86" spans="1:26" ht="15.75">
      <c r="A86" s="195" t="s">
        <v>384</v>
      </c>
      <c r="B86" s="193">
        <v>0</v>
      </c>
      <c r="C86" s="193">
        <v>-65</v>
      </c>
      <c r="D86" s="193">
        <v>-68</v>
      </c>
      <c r="E86" s="193"/>
      <c r="F86" s="193"/>
      <c r="G86" s="193"/>
      <c r="H86" s="193"/>
      <c r="I86" s="193"/>
      <c r="J86" s="193"/>
      <c r="K86" s="193"/>
      <c r="L86" s="193"/>
      <c r="M86" s="193"/>
      <c r="N86" s="193"/>
      <c r="O86" s="193"/>
      <c r="P86" s="193"/>
      <c r="Q86" s="193">
        <f t="shared" si="2"/>
        <v>-133</v>
      </c>
      <c r="R86" s="193"/>
      <c r="S86" s="206">
        <v>31.33</v>
      </c>
      <c r="T86" s="206">
        <v>-140</v>
      </c>
      <c r="U86" s="213">
        <f t="shared" si="3"/>
        <v>-241.67000000000002</v>
      </c>
      <c r="X86" s="211">
        <v>0</v>
      </c>
    </row>
    <row r="87" spans="1:26" ht="15.75">
      <c r="A87" s="195" t="s">
        <v>385</v>
      </c>
      <c r="B87" s="193">
        <v>0</v>
      </c>
      <c r="C87" s="193">
        <v>-65</v>
      </c>
      <c r="D87" s="193">
        <v>-68</v>
      </c>
      <c r="E87" s="193"/>
      <c r="F87" s="193"/>
      <c r="G87" s="193"/>
      <c r="H87" s="193"/>
      <c r="I87" s="193"/>
      <c r="J87" s="193"/>
      <c r="K87" s="193"/>
      <c r="L87" s="193"/>
      <c r="M87" s="193"/>
      <c r="N87" s="193"/>
      <c r="O87" s="193"/>
      <c r="P87" s="193"/>
      <c r="Q87" s="193">
        <f t="shared" si="2"/>
        <v>-133</v>
      </c>
      <c r="R87" s="193"/>
      <c r="S87" s="206">
        <v>31.23</v>
      </c>
      <c r="T87" s="206">
        <v>-140</v>
      </c>
      <c r="U87" s="213">
        <f t="shared" si="3"/>
        <v>-241.76999999999998</v>
      </c>
      <c r="X87" s="211">
        <v>0</v>
      </c>
    </row>
    <row r="88" spans="1:26" ht="15.75">
      <c r="A88" s="195" t="s">
        <v>386</v>
      </c>
      <c r="B88" s="193">
        <v>0</v>
      </c>
      <c r="C88" s="193">
        <v>-65</v>
      </c>
      <c r="D88" s="193">
        <v>-68</v>
      </c>
      <c r="E88" s="193"/>
      <c r="F88" s="193"/>
      <c r="G88" s="193"/>
      <c r="H88" s="193"/>
      <c r="I88" s="193"/>
      <c r="J88" s="193"/>
      <c r="K88" s="193"/>
      <c r="L88" s="193"/>
      <c r="M88" s="193"/>
      <c r="N88" s="193"/>
      <c r="O88" s="193"/>
      <c r="P88" s="193"/>
      <c r="Q88" s="193">
        <f t="shared" si="2"/>
        <v>-133</v>
      </c>
      <c r="R88" s="193"/>
      <c r="S88" s="206">
        <v>31.19</v>
      </c>
      <c r="T88" s="206">
        <v>-140</v>
      </c>
      <c r="U88" s="213">
        <f t="shared" si="3"/>
        <v>-241.81</v>
      </c>
      <c r="X88" s="211">
        <v>0</v>
      </c>
    </row>
    <row r="89" spans="1:26" ht="15.75">
      <c r="A89" s="195" t="s">
        <v>387</v>
      </c>
      <c r="B89" s="193">
        <v>0</v>
      </c>
      <c r="C89" s="193">
        <v>-65</v>
      </c>
      <c r="D89" s="193">
        <v>-68</v>
      </c>
      <c r="E89" s="193"/>
      <c r="F89" s="193"/>
      <c r="G89" s="193"/>
      <c r="H89" s="193"/>
      <c r="I89" s="193"/>
      <c r="J89" s="193"/>
      <c r="K89" s="193"/>
      <c r="L89" s="193"/>
      <c r="M89" s="193"/>
      <c r="N89" s="193"/>
      <c r="O89" s="193"/>
      <c r="P89" s="193"/>
      <c r="Q89" s="193">
        <f t="shared" si="2"/>
        <v>-133</v>
      </c>
      <c r="R89" s="193"/>
      <c r="S89" s="206">
        <v>31.15</v>
      </c>
      <c r="T89" s="206">
        <v>-140</v>
      </c>
      <c r="U89" s="213">
        <f t="shared" si="3"/>
        <v>-241.85</v>
      </c>
      <c r="X89" s="211">
        <v>0</v>
      </c>
    </row>
    <row r="90" spans="1:26" ht="15.75">
      <c r="A90" s="195" t="s">
        <v>388</v>
      </c>
      <c r="B90" s="193">
        <v>0</v>
      </c>
      <c r="C90" s="193">
        <v>-65</v>
      </c>
      <c r="D90" s="193">
        <v>-68</v>
      </c>
      <c r="E90" s="193"/>
      <c r="F90" s="193"/>
      <c r="G90" s="193"/>
      <c r="H90" s="193"/>
      <c r="I90" s="193"/>
      <c r="J90" s="193"/>
      <c r="K90" s="193"/>
      <c r="L90" s="193"/>
      <c r="M90" s="193"/>
      <c r="N90" s="193"/>
      <c r="O90" s="193"/>
      <c r="P90" s="193"/>
      <c r="Q90" s="193">
        <f t="shared" si="2"/>
        <v>-133</v>
      </c>
      <c r="R90" s="193"/>
      <c r="S90" s="206">
        <v>31.13</v>
      </c>
      <c r="T90" s="206">
        <v>-140</v>
      </c>
      <c r="U90" s="213">
        <f t="shared" si="3"/>
        <v>-241.87</v>
      </c>
      <c r="X90" s="211">
        <v>0</v>
      </c>
    </row>
    <row r="91" spans="1:26" ht="15.75">
      <c r="A91" s="195" t="s">
        <v>389</v>
      </c>
      <c r="B91" s="193">
        <v>0</v>
      </c>
      <c r="C91" s="193">
        <v>-65</v>
      </c>
      <c r="D91" s="193">
        <v>-68</v>
      </c>
      <c r="E91" s="193"/>
      <c r="F91" s="193"/>
      <c r="G91" s="193"/>
      <c r="H91" s="193"/>
      <c r="I91" s="193"/>
      <c r="J91" s="193"/>
      <c r="K91" s="193"/>
      <c r="L91" s="193"/>
      <c r="M91" s="193"/>
      <c r="N91" s="193"/>
      <c r="O91" s="193"/>
      <c r="P91" s="193"/>
      <c r="Q91" s="193">
        <f t="shared" si="2"/>
        <v>-133</v>
      </c>
      <c r="R91" s="193"/>
      <c r="S91" s="206">
        <v>31.1</v>
      </c>
      <c r="T91" s="206">
        <v>-140</v>
      </c>
      <c r="U91" s="213">
        <f t="shared" si="3"/>
        <v>-241.9</v>
      </c>
      <c r="X91" s="211">
        <v>0</v>
      </c>
    </row>
    <row r="92" spans="1:26" ht="15.75">
      <c r="A92" s="195" t="s">
        <v>390</v>
      </c>
      <c r="B92" s="193">
        <v>0</v>
      </c>
      <c r="C92" s="193">
        <v>-65</v>
      </c>
      <c r="D92" s="193">
        <v>-68</v>
      </c>
      <c r="E92" s="193"/>
      <c r="F92" s="193"/>
      <c r="G92" s="193"/>
      <c r="H92" s="193"/>
      <c r="I92" s="193"/>
      <c r="J92" s="193"/>
      <c r="K92" s="193"/>
      <c r="L92" s="193"/>
      <c r="M92" s="193"/>
      <c r="N92" s="193"/>
      <c r="O92" s="193"/>
      <c r="P92" s="193"/>
      <c r="Q92" s="193">
        <f t="shared" si="2"/>
        <v>-133</v>
      </c>
      <c r="R92" s="193"/>
      <c r="S92" s="206">
        <v>31.06</v>
      </c>
      <c r="T92" s="206">
        <v>-140</v>
      </c>
      <c r="U92" s="213">
        <f t="shared" si="3"/>
        <v>-241.94</v>
      </c>
      <c r="X92" s="211">
        <v>0</v>
      </c>
    </row>
    <row r="93" spans="1:26" ht="15.75">
      <c r="A93" s="195" t="s">
        <v>391</v>
      </c>
      <c r="B93" s="193">
        <v>0</v>
      </c>
      <c r="C93" s="193">
        <v>-65</v>
      </c>
      <c r="D93" s="193">
        <v>-68</v>
      </c>
      <c r="E93" s="193">
        <v>-50</v>
      </c>
      <c r="F93" s="193"/>
      <c r="G93" s="193">
        <v>-22</v>
      </c>
      <c r="H93" s="193"/>
      <c r="I93" s="193"/>
      <c r="J93" s="193"/>
      <c r="K93" s="193"/>
      <c r="L93" s="193"/>
      <c r="M93" s="193"/>
      <c r="N93" s="193"/>
      <c r="O93" s="193"/>
      <c r="P93" s="193"/>
      <c r="Q93" s="193">
        <f t="shared" si="2"/>
        <v>-205</v>
      </c>
      <c r="R93" s="193"/>
      <c r="S93" s="206">
        <v>31.04</v>
      </c>
      <c r="T93" s="206">
        <v>-140</v>
      </c>
      <c r="U93" s="213">
        <f t="shared" si="3"/>
        <v>-313.96000000000004</v>
      </c>
      <c r="X93" s="211">
        <v>0</v>
      </c>
    </row>
    <row r="94" spans="1:26" ht="15.75">
      <c r="A94" s="195" t="s">
        <v>392</v>
      </c>
      <c r="B94" s="193">
        <v>0</v>
      </c>
      <c r="C94" s="193">
        <v>-65</v>
      </c>
      <c r="D94" s="193">
        <v>-68</v>
      </c>
      <c r="E94" s="193">
        <v>-50</v>
      </c>
      <c r="F94" s="193"/>
      <c r="G94" s="193">
        <v>-22</v>
      </c>
      <c r="H94" s="193"/>
      <c r="I94" s="193"/>
      <c r="J94" s="193"/>
      <c r="K94" s="193"/>
      <c r="L94" s="193"/>
      <c r="M94" s="193"/>
      <c r="N94" s="193"/>
      <c r="O94" s="193"/>
      <c r="P94" s="193"/>
      <c r="Q94" s="193">
        <f t="shared" si="2"/>
        <v>-205</v>
      </c>
      <c r="R94" s="193"/>
      <c r="S94" s="206">
        <v>31.02</v>
      </c>
      <c r="T94" s="206">
        <v>-140</v>
      </c>
      <c r="U94" s="213">
        <f t="shared" si="3"/>
        <v>-313.98</v>
      </c>
      <c r="X94" s="211">
        <v>0</v>
      </c>
    </row>
    <row r="95" spans="1:26" ht="15.75">
      <c r="A95" s="195" t="s">
        <v>393</v>
      </c>
      <c r="B95" s="193">
        <v>0</v>
      </c>
      <c r="C95" s="193">
        <v>-65</v>
      </c>
      <c r="D95" s="193">
        <v>-68</v>
      </c>
      <c r="E95" s="193">
        <v>-50</v>
      </c>
      <c r="F95" s="193"/>
      <c r="G95" s="193">
        <v>-22</v>
      </c>
      <c r="H95" s="193"/>
      <c r="I95" s="193"/>
      <c r="J95" s="193"/>
      <c r="K95" s="193"/>
      <c r="L95" s="193"/>
      <c r="M95" s="193"/>
      <c r="N95" s="193"/>
      <c r="O95" s="193"/>
      <c r="P95" s="193"/>
      <c r="Q95" s="193">
        <f t="shared" si="2"/>
        <v>-205</v>
      </c>
      <c r="R95" s="193"/>
      <c r="S95" s="206">
        <v>31.08</v>
      </c>
      <c r="T95" s="206">
        <v>-140</v>
      </c>
      <c r="U95" s="213">
        <f t="shared" si="3"/>
        <v>-313.92</v>
      </c>
      <c r="X95" s="211">
        <v>0</v>
      </c>
    </row>
    <row r="96" spans="1:26" ht="15.75">
      <c r="A96" s="195" t="s">
        <v>394</v>
      </c>
      <c r="B96" s="193">
        <v>0</v>
      </c>
      <c r="C96" s="193">
        <v>-65</v>
      </c>
      <c r="D96" s="193">
        <v>-68</v>
      </c>
      <c r="E96" s="193">
        <v>-50</v>
      </c>
      <c r="F96" s="193"/>
      <c r="G96" s="193">
        <v>-22</v>
      </c>
      <c r="H96" s="193"/>
      <c r="I96" s="193"/>
      <c r="J96" s="193"/>
      <c r="K96" s="193"/>
      <c r="L96" s="193"/>
      <c r="M96" s="193"/>
      <c r="N96" s="193"/>
      <c r="O96" s="193"/>
      <c r="P96" s="193"/>
      <c r="Q96" s="193">
        <f t="shared" si="2"/>
        <v>-205</v>
      </c>
      <c r="R96" s="193"/>
      <c r="S96" s="206">
        <v>31.01</v>
      </c>
      <c r="T96" s="206">
        <v>-140</v>
      </c>
      <c r="U96" s="213">
        <f t="shared" si="3"/>
        <v>-313.99</v>
      </c>
      <c r="X96" s="211">
        <v>0</v>
      </c>
    </row>
    <row r="97" spans="1:24" ht="15.75">
      <c r="A97" s="195" t="s">
        <v>395</v>
      </c>
      <c r="B97" s="193">
        <v>0</v>
      </c>
      <c r="C97" s="193">
        <v>-65</v>
      </c>
      <c r="D97" s="193">
        <v>-68</v>
      </c>
      <c r="E97" s="193">
        <v>-50</v>
      </c>
      <c r="F97" s="193"/>
      <c r="G97" s="193">
        <v>-22</v>
      </c>
      <c r="H97" s="193"/>
      <c r="I97" s="193"/>
      <c r="J97" s="193"/>
      <c r="K97" s="193"/>
      <c r="L97" s="193"/>
      <c r="M97" s="193"/>
      <c r="N97" s="193"/>
      <c r="O97" s="193"/>
      <c r="P97" s="193"/>
      <c r="Q97" s="193">
        <f t="shared" si="2"/>
        <v>-205</v>
      </c>
      <c r="R97" s="193"/>
      <c r="S97" s="206">
        <v>31.1</v>
      </c>
      <c r="T97" s="206">
        <v>-140</v>
      </c>
      <c r="U97" s="213">
        <f t="shared" si="3"/>
        <v>-313.89999999999998</v>
      </c>
      <c r="X97" s="211">
        <v>0</v>
      </c>
    </row>
    <row r="98" spans="1:24" ht="15.75">
      <c r="A98" s="195" t="s">
        <v>396</v>
      </c>
      <c r="B98" s="193">
        <v>0</v>
      </c>
      <c r="C98" s="193">
        <v>-65</v>
      </c>
      <c r="D98" s="193">
        <v>-68</v>
      </c>
      <c r="E98" s="193">
        <v>-50</v>
      </c>
      <c r="F98" s="193"/>
      <c r="G98" s="193">
        <v>-22</v>
      </c>
      <c r="H98" s="193"/>
      <c r="I98" s="193"/>
      <c r="J98" s="193"/>
      <c r="K98" s="193"/>
      <c r="L98" s="193"/>
      <c r="M98" s="193"/>
      <c r="N98" s="193"/>
      <c r="O98" s="193"/>
      <c r="P98" s="193"/>
      <c r="Q98" s="193">
        <f t="shared" si="2"/>
        <v>-205</v>
      </c>
      <c r="R98" s="193"/>
      <c r="S98" s="206">
        <v>31.12</v>
      </c>
      <c r="T98" s="206">
        <v>-140</v>
      </c>
      <c r="U98" s="213">
        <f t="shared" si="3"/>
        <v>-313.88</v>
      </c>
      <c r="X98" s="211">
        <v>0</v>
      </c>
    </row>
    <row r="99" spans="1:24">
      <c r="C99" s="210"/>
      <c r="D99" s="208"/>
      <c r="E99" s="208"/>
      <c r="T99" s="206"/>
    </row>
    <row r="100" spans="1:24">
      <c r="C100" s="208"/>
      <c r="D100" s="208"/>
      <c r="E100" s="208"/>
    </row>
    <row r="101" spans="1:24">
      <c r="C101" s="208"/>
      <c r="D101" s="208"/>
      <c r="E101" s="208"/>
    </row>
    <row r="102" spans="1:24">
      <c r="C102" s="208"/>
      <c r="D102" s="208"/>
      <c r="E102" s="208"/>
    </row>
    <row r="103" spans="1:24">
      <c r="C103" s="208"/>
      <c r="D103" s="208"/>
      <c r="E103" s="208"/>
    </row>
    <row r="104" spans="1:24">
      <c r="C104" s="208"/>
      <c r="D104" s="208"/>
      <c r="E104" s="208"/>
    </row>
    <row r="105" spans="1:24">
      <c r="C105" s="208"/>
      <c r="D105" s="208"/>
      <c r="E105" s="208"/>
    </row>
    <row r="106" spans="1:24">
      <c r="C106" s="208"/>
      <c r="D106" s="208"/>
      <c r="E106" s="208"/>
    </row>
    <row r="107" spans="1:24">
      <c r="C107" s="208"/>
      <c r="D107" s="208"/>
      <c r="E107" s="208"/>
    </row>
    <row r="108" spans="1:24">
      <c r="C108" s="208"/>
      <c r="D108" s="208"/>
      <c r="E108" s="208"/>
    </row>
    <row r="109" spans="1:24">
      <c r="C109" s="208"/>
      <c r="D109" s="208"/>
      <c r="E109" s="208"/>
    </row>
    <row r="110" spans="1:24">
      <c r="C110" s="208"/>
      <c r="D110" s="208"/>
      <c r="E110" s="208"/>
    </row>
    <row r="111" spans="1:24">
      <c r="C111" s="208"/>
      <c r="D111" s="208"/>
      <c r="E111" s="208"/>
    </row>
    <row r="112" spans="1:24">
      <c r="C112" s="208"/>
      <c r="D112" s="208"/>
      <c r="E112" s="208"/>
    </row>
    <row r="113" spans="3:5">
      <c r="C113" s="208"/>
      <c r="D113" s="208"/>
      <c r="E113" s="208"/>
    </row>
    <row r="114" spans="3:5">
      <c r="C114" s="208"/>
      <c r="D114" s="208"/>
      <c r="E114" s="208"/>
    </row>
    <row r="115" spans="3:5">
      <c r="C115" s="208"/>
      <c r="D115" s="208"/>
      <c r="E115" s="208"/>
    </row>
  </sheetData>
  <hyperlinks>
    <hyperlink ref="X45" r:id="rId1" display="Spectrum@2"/>
    <hyperlink ref="X46" r:id="rId2" display="Spectrum@2"/>
  </hyperlinks>
  <pageMargins left="0.7" right="0.7" top="0.75" bottom="0.75" header="0.3" footer="0.3"/>
  <pageSetup paperSize="9" orientation="portrait" verticalDpi="0"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01</vt:lpstr>
      <vt:lpstr>Sample</vt:lpstr>
      <vt:lpstr>Calc</vt:lpstr>
      <vt:lpstr>Sheet6</vt:lpstr>
      <vt:lpstr>Schedule daily update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2026-04-20T04:51:05Z</cp:lastPrinted>
  <dcterms:created xsi:type="dcterms:W3CDTF">2026-03-14T18:22:56Z</dcterms:created>
  <dcterms:modified xsi:type="dcterms:W3CDTF">2026-05-15T15:49:42Z</dcterms:modified>
</cp:coreProperties>
</file>