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72" l="1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N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N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N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N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N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N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N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N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N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N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N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N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N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N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N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N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N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N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N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N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N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N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N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N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N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N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N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N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N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N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N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X242" i="72"/>
  <c r="Y242" i="72" s="1"/>
  <c r="Z242" i="72" s="1"/>
  <c r="AA242" i="72" s="1"/>
  <c r="AB242" i="72" s="1"/>
  <c r="AC242" i="72" s="1"/>
  <c r="AD242" i="72" s="1"/>
  <c r="AE242" i="72" s="1"/>
  <c r="AF242" i="72" s="1"/>
  <c r="F242" i="72"/>
  <c r="G242" i="72" s="1"/>
  <c r="H242" i="72" s="1"/>
  <c r="I242" i="72" s="1"/>
  <c r="J242" i="72" s="1"/>
  <c r="K242" i="72" s="1"/>
  <c r="L242" i="72" s="1"/>
  <c r="M242" i="72" s="1"/>
  <c r="N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F241" i="72"/>
  <c r="G241" i="72" s="1"/>
  <c r="H241" i="72" s="1"/>
  <c r="I241" i="72" s="1"/>
  <c r="J241" i="72" s="1"/>
  <c r="K241" i="72" s="1"/>
  <c r="L241" i="72" s="1"/>
  <c r="M241" i="72" s="1"/>
  <c r="N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N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N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N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N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N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N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N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N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N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N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N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N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N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N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N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N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N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N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N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N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N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N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N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N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N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N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N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N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N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N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N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N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N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N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N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N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N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N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N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N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N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N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N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N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N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N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N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N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N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N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N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N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N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N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N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N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N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N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N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N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N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N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N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N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N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N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N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N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N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N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N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N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N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N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N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M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N122" i="72"/>
  <c r="M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N121" i="72"/>
  <c r="M121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N120" i="72"/>
  <c r="M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N119" i="72"/>
  <c r="M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N118" i="72"/>
  <c r="M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N117" i="72"/>
  <c r="N123" i="72" s="1"/>
  <c r="M117" i="72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N108" i="72"/>
  <c r="N124" i="72" s="1"/>
  <c r="M108" i="72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AI92" i="72" s="1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AI90" i="72"/>
  <c r="AH90" i="72"/>
  <c r="BT89" i="72"/>
  <c r="BQ89" i="72"/>
  <c r="BL89" i="72"/>
  <c r="BI89" i="72"/>
  <c r="AI89" i="72"/>
  <c r="AH89" i="72"/>
  <c r="BV88" i="72"/>
  <c r="BS88" i="72"/>
  <c r="BN88" i="72"/>
  <c r="BK88" i="72"/>
  <c r="BF88" i="72"/>
  <c r="AI88" i="72"/>
  <c r="AH88" i="72"/>
  <c r="BU87" i="72"/>
  <c r="BP87" i="72"/>
  <c r="BM87" i="72"/>
  <c r="BH87" i="72"/>
  <c r="BE87" i="72"/>
  <c r="AI87" i="72"/>
  <c r="AH87" i="72"/>
  <c r="BR86" i="72"/>
  <c r="BO86" i="72"/>
  <c r="BJ86" i="72"/>
  <c r="BG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N78" i="72"/>
  <c r="M78" i="72"/>
  <c r="AU17" i="72" s="1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N71" i="72"/>
  <c r="M71" i="72"/>
  <c r="M113" i="72" s="1"/>
  <c r="M115" i="72" s="1"/>
  <c r="M116" i="72" s="1"/>
  <c r="M7" i="72" s="1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V22" i="72" s="1"/>
  <c r="AV25" i="72" s="1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L123" i="72" l="1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M124" i="72"/>
  <c r="AC124" i="72"/>
  <c r="I123" i="72"/>
  <c r="AS23" i="72" s="1"/>
  <c r="Q123" i="72"/>
  <c r="AY23" i="72" s="1"/>
  <c r="Y123" i="72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113" i="72"/>
  <c r="N115" i="72" s="1"/>
  <c r="N116" i="72" s="1"/>
  <c r="N7" i="72" s="1"/>
  <c r="V113" i="72"/>
  <c r="V115" i="72" s="1"/>
  <c r="V116" i="72" s="1"/>
  <c r="V7" i="72" s="1"/>
  <c r="AD113" i="72"/>
  <c r="AD115" i="72" s="1"/>
  <c r="AD116" i="72" s="1"/>
  <c r="AD7" i="72" s="1"/>
  <c r="O124" i="72"/>
  <c r="W124" i="72"/>
  <c r="AE124" i="72"/>
  <c r="AN23" i="72"/>
  <c r="AH117" i="72"/>
  <c r="K123" i="72"/>
  <c r="AT23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Y116" i="72"/>
  <c r="Y7" i="72" s="1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AT25" i="72" l="1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N161" i="72"/>
  <c r="L177" i="72"/>
  <c r="K135" i="72"/>
  <c r="M177" i="72" l="1"/>
  <c r="L135" i="72"/>
  <c r="N167" i="72"/>
  <c r="O161" i="72"/>
  <c r="L274" i="72"/>
  <c r="M169" i="72"/>
  <c r="M274" i="72" l="1"/>
  <c r="N169" i="72"/>
  <c r="P161" i="72"/>
  <c r="O167" i="72"/>
  <c r="N177" i="72"/>
  <c r="M135" i="72"/>
  <c r="O177" i="72" l="1"/>
  <c r="N135" i="72"/>
  <c r="Q161" i="72"/>
  <c r="P167" i="72"/>
  <c r="N274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<sst xmlns="http://schemas.openxmlformats.org/spreadsheetml/2006/main" count="952" uniqueCount="413">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</sst>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C11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128" sqref="L12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str">
        <f ca="1">"2080/"&amp;"10/"&amp;INT(MID(CELL("filename",D6),FIND("]",CELL("filename",D6))+1,200))</f>
        <v>2080/10/1</v>
      </c>
      <c r="C4" s="224"/>
      <c r="D4" s="224"/>
      <c r="E4" s="225" t="str">
        <f ca="1">"2080/"&amp;"10/"&amp;INT(MID(CELL("filename",G6),FIND("]",CELL("filename",G6))+1,200))</f>
        <v>2080/10/1</v>
      </c>
      <c r="F4" s="225"/>
      <c r="G4" s="225"/>
      <c r="H4" s="225" t="str">
        <f ca="1">TEXT(E4,"dddd")</f>
        <v>Tuesday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657.5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1905.07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1685.07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33.1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36.5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25.8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25.8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16.899999999999999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32.700000000000003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25.2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26.7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22.8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17.3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20.399999999999999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10.4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2.8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I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D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150</v>
      </c>
      <c r="M71" s="70">
        <f t="shared" si="23"/>
        <v>150</v>
      </c>
      <c r="N71" s="70">
        <f t="shared" si="23"/>
        <v>150</v>
      </c>
      <c r="O71" s="70">
        <f t="shared" si="23"/>
        <v>150</v>
      </c>
      <c r="P71" s="70">
        <f t="shared" si="23"/>
        <v>150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242</v>
      </c>
      <c r="AI72" s="47">
        <f t="shared" si="3"/>
        <v>60.5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62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48.4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41.1</v>
      </c>
      <c r="AI75" s="47">
        <f t="shared" ref="AI75:AI138" si="25">MIN(B75:AF75)</f>
        <v>36.5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7.7</v>
      </c>
      <c r="AI77" s="47">
        <f t="shared" si="25"/>
        <v>7.5</v>
      </c>
      <c r="AK77" s="49"/>
    </row>
    <row r="78" spans="1:88" ht="15.75" thickBot="1">
      <c r="A78" s="79" t="s">
        <v>97</v>
      </c>
      <c r="B78" s="70">
        <f t="shared" ref="B78:C78" si="26">SUM(B72:B77)</f>
        <v>421.4</v>
      </c>
      <c r="C78" s="70">
        <f t="shared" si="26"/>
        <v>372.1</v>
      </c>
      <c r="D78" s="70">
        <f t="shared" ref="D78:E78" si="27">SUM(D72:D77)</f>
        <v>260</v>
      </c>
      <c r="E78" s="70">
        <f t="shared" si="27"/>
        <v>239.79999999999998</v>
      </c>
      <c r="F78" s="70">
        <f t="shared" ref="D78:AG78" si="28">SUM(F72:F77)</f>
        <v>239.79999999999998</v>
      </c>
      <c r="G78" s="70">
        <f t="shared" si="28"/>
        <v>290.3</v>
      </c>
      <c r="H78" s="70">
        <f t="shared" si="28"/>
        <v>290.3</v>
      </c>
      <c r="I78" s="70">
        <f t="shared" si="28"/>
        <v>339.3</v>
      </c>
      <c r="J78" s="70">
        <f t="shared" si="28"/>
        <v>421.3</v>
      </c>
      <c r="K78" s="70">
        <f t="shared" si="28"/>
        <v>421.3</v>
      </c>
      <c r="L78" s="70">
        <f t="shared" si="28"/>
        <v>0</v>
      </c>
      <c r="M78" s="70">
        <f t="shared" si="28"/>
        <v>0</v>
      </c>
      <c r="N78" s="70">
        <f t="shared" si="28"/>
        <v>0</v>
      </c>
      <c r="O78" s="70">
        <f t="shared" si="28"/>
        <v>0</v>
      </c>
      <c r="P78" s="70">
        <f t="shared" si="28"/>
        <v>0</v>
      </c>
      <c r="Q78" s="70">
        <f t="shared" si="28"/>
        <v>0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421.4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</v>
      </c>
      <c r="AI79" s="47">
        <f t="shared" si="25"/>
        <v>96</v>
      </c>
      <c r="AK79" s="49"/>
      <c r="AY79" s="1" t="s">
        <v>99</v>
      </c>
      <c r="AZ79" s="82">
        <f>ROUND(C97,0)</f>
        <v>-233</v>
      </c>
      <c r="BA79" s="81">
        <f t="shared" ref="BA79:BD83" si="29">D97</f>
        <v>-135.19999999999999</v>
      </c>
      <c r="BB79" s="81">
        <f t="shared" si="29"/>
        <v>-170.5</v>
      </c>
      <c r="BC79" s="81">
        <f t="shared" si="29"/>
        <v>-230</v>
      </c>
      <c r="BD79" s="81">
        <f t="shared" si="29"/>
        <v>-230</v>
      </c>
      <c r="BE79" s="82">
        <f>I97</f>
        <v>-220</v>
      </c>
      <c r="BF79" s="82">
        <f>K97</f>
        <v>-220</v>
      </c>
      <c r="BG79" s="82">
        <f t="shared" ref="BG79:BP83" si="30">M97</f>
        <v>0</v>
      </c>
      <c r="BH79" s="82">
        <f t="shared" si="30"/>
        <v>0</v>
      </c>
      <c r="BI79" s="82">
        <f t="shared" si="30"/>
        <v>0</v>
      </c>
      <c r="BJ79" s="82">
        <f t="shared" si="30"/>
        <v>0</v>
      </c>
      <c r="BK79" s="82">
        <f t="shared" si="30"/>
        <v>0</v>
      </c>
      <c r="BL79" s="82">
        <f t="shared" si="30"/>
        <v>0</v>
      </c>
      <c r="BM79" s="82">
        <f t="shared" si="30"/>
        <v>0</v>
      </c>
      <c r="BN79" s="82">
        <f t="shared" si="30"/>
        <v>0</v>
      </c>
      <c r="BO79" s="82">
        <f t="shared" si="30"/>
        <v>0</v>
      </c>
      <c r="BP79" s="82">
        <f t="shared" si="30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1">AD97</f>
        <v>0</v>
      </c>
      <c r="BU79" s="81">
        <f t="shared" si="31"/>
        <v>0</v>
      </c>
      <c r="BV79" s="81">
        <f t="shared" si="3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55.6</v>
      </c>
      <c r="AI80" s="47">
        <f t="shared" si="25"/>
        <v>35.1</v>
      </c>
      <c r="AK80" s="49"/>
      <c r="AY80" s="1" t="s">
        <v>101</v>
      </c>
      <c r="AZ80" s="82">
        <f>ROUND(C98,0)</f>
        <v>0</v>
      </c>
      <c r="BA80" s="81">
        <f t="shared" si="29"/>
        <v>0</v>
      </c>
      <c r="BB80" s="81">
        <f t="shared" si="29"/>
        <v>0</v>
      </c>
      <c r="BC80" s="81">
        <f t="shared" si="29"/>
        <v>0</v>
      </c>
      <c r="BD80" s="81">
        <f t="shared" si="29"/>
        <v>0</v>
      </c>
      <c r="BE80" s="82">
        <f>I98</f>
        <v>22</v>
      </c>
      <c r="BF80" s="82">
        <f>K98</f>
        <v>22</v>
      </c>
      <c r="BG80" s="82">
        <f t="shared" si="30"/>
        <v>0</v>
      </c>
      <c r="BH80" s="82">
        <f t="shared" si="30"/>
        <v>0</v>
      </c>
      <c r="BI80" s="82">
        <f t="shared" si="30"/>
        <v>0</v>
      </c>
      <c r="BJ80" s="82">
        <f t="shared" si="30"/>
        <v>0</v>
      </c>
      <c r="BK80" s="82">
        <f t="shared" si="30"/>
        <v>0</v>
      </c>
      <c r="BL80" s="82">
        <f t="shared" si="30"/>
        <v>0</v>
      </c>
      <c r="BM80" s="82">
        <f t="shared" si="30"/>
        <v>0</v>
      </c>
      <c r="BN80" s="82">
        <f t="shared" si="30"/>
        <v>0</v>
      </c>
      <c r="BO80" s="82">
        <f t="shared" si="30"/>
        <v>0</v>
      </c>
      <c r="BP80" s="82">
        <f t="shared" si="30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1"/>
        <v>0</v>
      </c>
      <c r="BU80" s="81">
        <f t="shared" si="31"/>
        <v>0</v>
      </c>
      <c r="BV80" s="81">
        <f t="shared" si="3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69.599999999999994</v>
      </c>
      <c r="AI81" s="47">
        <f t="shared" si="25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9"/>
        <v>46.6</v>
      </c>
      <c r="BB81" s="81">
        <f t="shared" si="29"/>
        <v>45.5</v>
      </c>
      <c r="BC81" s="81">
        <f t="shared" si="29"/>
        <v>45.5</v>
      </c>
      <c r="BD81" s="81">
        <f t="shared" si="29"/>
        <v>45.5</v>
      </c>
      <c r="BE81" s="82">
        <f>I99</f>
        <v>40</v>
      </c>
      <c r="BF81" s="82">
        <f>K99</f>
        <v>38</v>
      </c>
      <c r="BG81" s="82">
        <f t="shared" si="30"/>
        <v>0</v>
      </c>
      <c r="BH81" s="82">
        <f t="shared" si="30"/>
        <v>0</v>
      </c>
      <c r="BI81" s="82">
        <f t="shared" si="30"/>
        <v>0</v>
      </c>
      <c r="BJ81" s="82">
        <f t="shared" si="30"/>
        <v>0</v>
      </c>
      <c r="BK81" s="82">
        <f t="shared" si="30"/>
        <v>0</v>
      </c>
      <c r="BL81" s="82">
        <f t="shared" si="30"/>
        <v>0</v>
      </c>
      <c r="BM81" s="82">
        <f t="shared" si="30"/>
        <v>0</v>
      </c>
      <c r="BN81" s="82">
        <f t="shared" si="30"/>
        <v>0</v>
      </c>
      <c r="BO81" s="82">
        <f t="shared" si="30"/>
        <v>0</v>
      </c>
      <c r="BP81" s="82">
        <f t="shared" si="3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1"/>
        <v>0</v>
      </c>
      <c r="BU81" s="81">
        <f t="shared" si="31"/>
        <v>0</v>
      </c>
      <c r="BV81" s="81">
        <f t="shared" si="3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29"/>
        <v>19.100000000000001</v>
      </c>
      <c r="BB82" s="81">
        <f t="shared" si="29"/>
        <v>20.8</v>
      </c>
      <c r="BC82" s="81">
        <f t="shared" si="29"/>
        <v>20.8</v>
      </c>
      <c r="BD82" s="81">
        <f t="shared" si="29"/>
        <v>20.8</v>
      </c>
      <c r="BE82" s="82">
        <f>I100</f>
        <v>15.89</v>
      </c>
      <c r="BF82" s="82">
        <f>K100</f>
        <v>14.5</v>
      </c>
      <c r="BG82" s="82">
        <f t="shared" si="30"/>
        <v>0</v>
      </c>
      <c r="BH82" s="82">
        <f t="shared" si="30"/>
        <v>0</v>
      </c>
      <c r="BI82" s="82">
        <f t="shared" si="30"/>
        <v>0</v>
      </c>
      <c r="BJ82" s="82">
        <f t="shared" si="30"/>
        <v>0</v>
      </c>
      <c r="BK82" s="82">
        <f t="shared" si="30"/>
        <v>0</v>
      </c>
      <c r="BL82" s="82">
        <f t="shared" si="30"/>
        <v>0</v>
      </c>
      <c r="BM82" s="82">
        <f t="shared" si="30"/>
        <v>0</v>
      </c>
      <c r="BN82" s="82">
        <f t="shared" si="30"/>
        <v>0</v>
      </c>
      <c r="BO82" s="82">
        <f t="shared" si="30"/>
        <v>0</v>
      </c>
      <c r="BP82" s="82">
        <f t="shared" si="3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1"/>
        <v>0</v>
      </c>
      <c r="BU82" s="81">
        <f t="shared" si="31"/>
        <v>0</v>
      </c>
      <c r="BV82" s="81">
        <f t="shared" si="3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10</v>
      </c>
      <c r="AI83" s="47">
        <f t="shared" si="25"/>
        <v>9.8000000000000007</v>
      </c>
      <c r="AK83" s="49"/>
      <c r="AY83" s="1" t="s">
        <v>107</v>
      </c>
      <c r="AZ83" s="82">
        <f>ROUND(C101,0)</f>
        <v>0</v>
      </c>
      <c r="BA83" s="81">
        <f t="shared" si="29"/>
        <v>0</v>
      </c>
      <c r="BB83" s="81">
        <f t="shared" si="29"/>
        <v>0</v>
      </c>
      <c r="BC83" s="81">
        <f t="shared" si="29"/>
        <v>0</v>
      </c>
      <c r="BD83" s="81">
        <f t="shared" si="29"/>
        <v>46</v>
      </c>
      <c r="BE83" s="82">
        <f>I101</f>
        <v>38.35</v>
      </c>
      <c r="BF83" s="82">
        <f>K101</f>
        <v>46.8</v>
      </c>
      <c r="BG83" s="82">
        <f t="shared" si="30"/>
        <v>0</v>
      </c>
      <c r="BH83" s="82">
        <f t="shared" si="30"/>
        <v>0</v>
      </c>
      <c r="BI83" s="82">
        <f t="shared" si="30"/>
        <v>0</v>
      </c>
      <c r="BJ83" s="82">
        <f t="shared" si="30"/>
        <v>0</v>
      </c>
      <c r="BK83" s="82">
        <f t="shared" si="30"/>
        <v>0</v>
      </c>
      <c r="BL83" s="82">
        <f t="shared" si="30"/>
        <v>0</v>
      </c>
      <c r="BM83" s="82">
        <f t="shared" si="30"/>
        <v>0</v>
      </c>
      <c r="BN83" s="82">
        <f t="shared" si="30"/>
        <v>0</v>
      </c>
      <c r="BO83" s="82">
        <f t="shared" si="30"/>
        <v>0</v>
      </c>
      <c r="BP83" s="82">
        <f t="shared" si="3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1"/>
        <v>0</v>
      </c>
      <c r="BU83" s="81">
        <f t="shared" si="31"/>
        <v>0</v>
      </c>
      <c r="BV83" s="81">
        <f t="shared" si="3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0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2">M107</f>
        <v>0</v>
      </c>
      <c r="BH84" s="82">
        <f t="shared" si="32"/>
        <v>0</v>
      </c>
      <c r="BI84" s="82">
        <f t="shared" si="32"/>
        <v>0</v>
      </c>
      <c r="BJ84" s="82">
        <f t="shared" si="32"/>
        <v>0</v>
      </c>
      <c r="BK84" s="82">
        <f t="shared" si="32"/>
        <v>0</v>
      </c>
      <c r="BL84" s="82">
        <f t="shared" si="32"/>
        <v>0</v>
      </c>
      <c r="BM84" s="82">
        <f t="shared" si="32"/>
        <v>0</v>
      </c>
      <c r="BN84" s="82">
        <f t="shared" si="32"/>
        <v>0</v>
      </c>
      <c r="BO84" s="82">
        <f t="shared" si="32"/>
        <v>0</v>
      </c>
      <c r="BP84" s="82">
        <f t="shared" si="3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11.3</v>
      </c>
      <c r="AI85" s="47">
        <f t="shared" si="25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3">VALUE(AZ79)</f>
        <v>-233</v>
      </c>
      <c r="BA86" s="82">
        <f t="shared" si="33"/>
        <v>-135.19999999999999</v>
      </c>
      <c r="BB86" s="82">
        <f t="shared" si="33"/>
        <v>-170.5</v>
      </c>
      <c r="BC86" s="82">
        <f t="shared" si="33"/>
        <v>-230</v>
      </c>
      <c r="BD86" s="82">
        <f t="shared" si="33"/>
        <v>-230</v>
      </c>
      <c r="BE86" s="82">
        <f t="shared" si="33"/>
        <v>-220</v>
      </c>
      <c r="BF86" s="82">
        <f t="shared" si="33"/>
        <v>-220</v>
      </c>
      <c r="BG86" s="82">
        <f t="shared" si="33"/>
        <v>0</v>
      </c>
      <c r="BH86" s="82">
        <f t="shared" si="33"/>
        <v>0</v>
      </c>
      <c r="BI86" s="82">
        <f t="shared" si="33"/>
        <v>0</v>
      </c>
      <c r="BJ86" s="82">
        <f t="shared" si="33"/>
        <v>0</v>
      </c>
      <c r="BK86" s="82">
        <f t="shared" si="33"/>
        <v>0</v>
      </c>
      <c r="BL86" s="82">
        <f t="shared" si="33"/>
        <v>0</v>
      </c>
      <c r="BM86" s="82">
        <f t="shared" si="33"/>
        <v>0</v>
      </c>
      <c r="BN86" s="82">
        <f t="shared" si="33"/>
        <v>0</v>
      </c>
      <c r="BO86" s="82">
        <f t="shared" si="33"/>
        <v>0</v>
      </c>
      <c r="BP86" s="82">
        <f t="shared" si="33"/>
        <v>0</v>
      </c>
      <c r="BQ86" s="82">
        <f t="shared" si="33"/>
        <v>0</v>
      </c>
      <c r="BR86" s="82">
        <f t="shared" si="33"/>
        <v>0</v>
      </c>
      <c r="BS86" s="82">
        <f t="shared" si="33"/>
        <v>0</v>
      </c>
      <c r="BT86" s="82">
        <f t="shared" si="33"/>
        <v>0</v>
      </c>
      <c r="BU86" s="82">
        <f t="shared" si="33"/>
        <v>0</v>
      </c>
      <c r="BV86" s="82">
        <f t="shared" si="33"/>
        <v>0</v>
      </c>
      <c r="BW86" s="82">
        <f t="shared" si="3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8.5</v>
      </c>
      <c r="AI87" s="47">
        <f t="shared" si="25"/>
        <v>7.6</v>
      </c>
      <c r="AK87" s="49"/>
      <c r="AZ87" s="82">
        <f t="shared" si="33"/>
        <v>0</v>
      </c>
      <c r="BA87" s="82">
        <f t="shared" si="33"/>
        <v>0</v>
      </c>
      <c r="BB87" s="82">
        <f t="shared" si="33"/>
        <v>0</v>
      </c>
      <c r="BC87" s="82">
        <f t="shared" si="33"/>
        <v>0</v>
      </c>
      <c r="BD87" s="82">
        <f t="shared" si="33"/>
        <v>0</v>
      </c>
      <c r="BE87" s="82">
        <f t="shared" si="33"/>
        <v>22</v>
      </c>
      <c r="BF87" s="82">
        <f t="shared" si="33"/>
        <v>22</v>
      </c>
      <c r="BG87" s="82">
        <f t="shared" si="33"/>
        <v>0</v>
      </c>
      <c r="BH87" s="82">
        <f t="shared" si="33"/>
        <v>0</v>
      </c>
      <c r="BI87" s="82">
        <f t="shared" si="33"/>
        <v>0</v>
      </c>
      <c r="BJ87" s="82">
        <f t="shared" si="33"/>
        <v>0</v>
      </c>
      <c r="BK87" s="82">
        <f t="shared" si="33"/>
        <v>0</v>
      </c>
      <c r="BL87" s="82">
        <f t="shared" si="33"/>
        <v>0</v>
      </c>
      <c r="BM87" s="82">
        <f t="shared" si="33"/>
        <v>0</v>
      </c>
      <c r="BN87" s="82">
        <f t="shared" si="33"/>
        <v>0</v>
      </c>
      <c r="BO87" s="82">
        <f t="shared" si="33"/>
        <v>0</v>
      </c>
      <c r="BP87" s="82">
        <f t="shared" si="33"/>
        <v>0</v>
      </c>
      <c r="BQ87" s="82">
        <f t="shared" si="33"/>
        <v>0</v>
      </c>
      <c r="BR87" s="82">
        <f t="shared" si="33"/>
        <v>0</v>
      </c>
      <c r="BS87" s="82">
        <f t="shared" si="33"/>
        <v>0</v>
      </c>
      <c r="BT87" s="82">
        <f t="shared" si="33"/>
        <v>0</v>
      </c>
      <c r="BU87" s="82">
        <f t="shared" si="33"/>
        <v>0</v>
      </c>
      <c r="BV87" s="82">
        <f t="shared" si="33"/>
        <v>0</v>
      </c>
      <c r="BW87" s="82">
        <f t="shared" si="3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8.8000000000000007</v>
      </c>
      <c r="AI88" s="47">
        <f t="shared" si="25"/>
        <v>8</v>
      </c>
      <c r="AK88" s="49"/>
      <c r="AZ88" s="82">
        <f t="shared" si="33"/>
        <v>47</v>
      </c>
      <c r="BA88" s="82">
        <f t="shared" si="33"/>
        <v>46.6</v>
      </c>
      <c r="BB88" s="82">
        <f t="shared" si="33"/>
        <v>45.5</v>
      </c>
      <c r="BC88" s="82">
        <f t="shared" si="33"/>
        <v>45.5</v>
      </c>
      <c r="BD88" s="82">
        <f t="shared" si="33"/>
        <v>45.5</v>
      </c>
      <c r="BE88" s="82">
        <f t="shared" si="33"/>
        <v>40</v>
      </c>
      <c r="BF88" s="82">
        <f t="shared" si="33"/>
        <v>38</v>
      </c>
      <c r="BG88" s="82">
        <f t="shared" si="33"/>
        <v>0</v>
      </c>
      <c r="BH88" s="82">
        <f t="shared" si="33"/>
        <v>0</v>
      </c>
      <c r="BI88" s="82">
        <f t="shared" si="33"/>
        <v>0</v>
      </c>
      <c r="BJ88" s="82">
        <f t="shared" si="33"/>
        <v>0</v>
      </c>
      <c r="BK88" s="82">
        <f t="shared" si="33"/>
        <v>0</v>
      </c>
      <c r="BL88" s="82">
        <f t="shared" si="33"/>
        <v>0</v>
      </c>
      <c r="BM88" s="82">
        <f t="shared" si="33"/>
        <v>0</v>
      </c>
      <c r="BN88" s="82">
        <f t="shared" si="33"/>
        <v>0</v>
      </c>
      <c r="BO88" s="82">
        <f t="shared" si="33"/>
        <v>0</v>
      </c>
      <c r="BP88" s="82">
        <f t="shared" si="33"/>
        <v>0</v>
      </c>
      <c r="BQ88" s="82">
        <f t="shared" si="33"/>
        <v>0</v>
      </c>
      <c r="BR88" s="82">
        <f t="shared" si="33"/>
        <v>0</v>
      </c>
      <c r="BS88" s="82">
        <f t="shared" si="33"/>
        <v>0</v>
      </c>
      <c r="BT88" s="82">
        <f t="shared" si="33"/>
        <v>0</v>
      </c>
      <c r="BU88" s="82">
        <f t="shared" si="33"/>
        <v>0</v>
      </c>
      <c r="BV88" s="82">
        <f t="shared" si="33"/>
        <v>0</v>
      </c>
      <c r="BW88" s="82">
        <f t="shared" si="3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8.5</v>
      </c>
      <c r="AI89" s="47">
        <f t="shared" si="25"/>
        <v>8.3000000000000007</v>
      </c>
      <c r="AK89" s="49"/>
      <c r="AZ89" s="82">
        <f t="shared" si="33"/>
        <v>18</v>
      </c>
      <c r="BA89" s="82">
        <f t="shared" si="33"/>
        <v>19.100000000000001</v>
      </c>
      <c r="BB89" s="82">
        <f t="shared" si="33"/>
        <v>20.8</v>
      </c>
      <c r="BC89" s="82">
        <f t="shared" si="33"/>
        <v>20.8</v>
      </c>
      <c r="BD89" s="82">
        <f t="shared" si="33"/>
        <v>20.8</v>
      </c>
      <c r="BE89" s="82">
        <f t="shared" si="33"/>
        <v>15.89</v>
      </c>
      <c r="BF89" s="82">
        <f t="shared" si="33"/>
        <v>14.5</v>
      </c>
      <c r="BG89" s="82">
        <f t="shared" si="33"/>
        <v>0</v>
      </c>
      <c r="BH89" s="82">
        <f t="shared" si="33"/>
        <v>0</v>
      </c>
      <c r="BI89" s="82">
        <f t="shared" si="33"/>
        <v>0</v>
      </c>
      <c r="BJ89" s="82">
        <f t="shared" si="33"/>
        <v>0</v>
      </c>
      <c r="BK89" s="82">
        <f t="shared" si="33"/>
        <v>0</v>
      </c>
      <c r="BL89" s="82">
        <f t="shared" si="33"/>
        <v>0</v>
      </c>
      <c r="BM89" s="82">
        <f t="shared" si="33"/>
        <v>0</v>
      </c>
      <c r="BN89" s="82">
        <f t="shared" si="33"/>
        <v>0</v>
      </c>
      <c r="BO89" s="82">
        <f t="shared" si="33"/>
        <v>0</v>
      </c>
      <c r="BP89" s="82">
        <f t="shared" si="33"/>
        <v>0</v>
      </c>
      <c r="BQ89" s="82">
        <f t="shared" si="33"/>
        <v>0</v>
      </c>
      <c r="BR89" s="82">
        <f t="shared" si="33"/>
        <v>0</v>
      </c>
      <c r="BS89" s="82">
        <f t="shared" si="33"/>
        <v>0</v>
      </c>
      <c r="BT89" s="82">
        <f t="shared" si="33"/>
        <v>0</v>
      </c>
      <c r="BU89" s="82">
        <f t="shared" si="33"/>
        <v>0</v>
      </c>
      <c r="BV89" s="82">
        <f t="shared" si="33"/>
        <v>0</v>
      </c>
      <c r="BW89" s="82">
        <f t="shared" si="3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3.1</v>
      </c>
      <c r="AI90" s="47">
        <f t="shared" si="25"/>
        <v>3.1</v>
      </c>
      <c r="AK90" s="49"/>
      <c r="AZ90" s="82">
        <f t="shared" si="33"/>
        <v>0</v>
      </c>
      <c r="BA90" s="82">
        <f t="shared" si="33"/>
        <v>0</v>
      </c>
      <c r="BB90" s="82">
        <f t="shared" si="33"/>
        <v>0</v>
      </c>
      <c r="BC90" s="82">
        <f t="shared" si="33"/>
        <v>0</v>
      </c>
      <c r="BD90" s="82">
        <f t="shared" si="33"/>
        <v>46</v>
      </c>
      <c r="BE90" s="82">
        <f t="shared" si="33"/>
        <v>38.35</v>
      </c>
      <c r="BF90" s="82">
        <f t="shared" si="33"/>
        <v>46.8</v>
      </c>
      <c r="BG90" s="82">
        <f t="shared" si="33"/>
        <v>0</v>
      </c>
      <c r="BH90" s="82">
        <f t="shared" si="33"/>
        <v>0</v>
      </c>
      <c r="BI90" s="82">
        <f t="shared" si="33"/>
        <v>0</v>
      </c>
      <c r="BJ90" s="82">
        <f t="shared" si="33"/>
        <v>0</v>
      </c>
      <c r="BK90" s="82">
        <f t="shared" si="33"/>
        <v>0</v>
      </c>
      <c r="BL90" s="82">
        <f t="shared" si="33"/>
        <v>0</v>
      </c>
      <c r="BM90" s="82">
        <f t="shared" si="33"/>
        <v>0</v>
      </c>
      <c r="BN90" s="82">
        <f t="shared" si="33"/>
        <v>0</v>
      </c>
      <c r="BO90" s="82">
        <f t="shared" si="33"/>
        <v>0</v>
      </c>
      <c r="BP90" s="82">
        <f t="shared" si="33"/>
        <v>0</v>
      </c>
      <c r="BQ90" s="82">
        <f t="shared" si="33"/>
        <v>0</v>
      </c>
      <c r="BR90" s="82">
        <f t="shared" si="33"/>
        <v>0</v>
      </c>
      <c r="BS90" s="82">
        <f t="shared" si="33"/>
        <v>0</v>
      </c>
      <c r="BT90" s="82">
        <f t="shared" si="33"/>
        <v>0</v>
      </c>
      <c r="BU90" s="82">
        <f t="shared" si="33"/>
        <v>0</v>
      </c>
      <c r="BV90" s="82">
        <f t="shared" si="33"/>
        <v>0</v>
      </c>
      <c r="BW90" s="82">
        <f t="shared" si="3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3"/>
        <v>0</v>
      </c>
      <c r="BA91" s="82">
        <f t="shared" si="33"/>
        <v>0</v>
      </c>
      <c r="BB91" s="82">
        <f t="shared" si="33"/>
        <v>0</v>
      </c>
      <c r="BC91" s="82">
        <f t="shared" si="33"/>
        <v>0</v>
      </c>
      <c r="BD91" s="82">
        <f t="shared" si="33"/>
        <v>0</v>
      </c>
      <c r="BE91" s="82">
        <f t="shared" si="33"/>
        <v>0</v>
      </c>
      <c r="BF91" s="82">
        <f t="shared" si="33"/>
        <v>0</v>
      </c>
      <c r="BG91" s="82">
        <f t="shared" si="33"/>
        <v>0</v>
      </c>
      <c r="BH91" s="82">
        <f t="shared" si="33"/>
        <v>0</v>
      </c>
      <c r="BI91" s="82">
        <f t="shared" si="33"/>
        <v>0</v>
      </c>
      <c r="BJ91" s="82">
        <f t="shared" si="33"/>
        <v>0</v>
      </c>
      <c r="BK91" s="82">
        <f t="shared" si="33"/>
        <v>0</v>
      </c>
      <c r="BL91" s="82">
        <f t="shared" si="33"/>
        <v>0</v>
      </c>
      <c r="BM91" s="82">
        <f t="shared" si="33"/>
        <v>0</v>
      </c>
      <c r="BN91" s="82">
        <f t="shared" si="33"/>
        <v>0</v>
      </c>
      <c r="BO91" s="82">
        <f t="shared" si="33"/>
        <v>0</v>
      </c>
      <c r="BP91" s="82">
        <f t="shared" si="33"/>
        <v>0</v>
      </c>
      <c r="BQ91" s="82">
        <f t="shared" si="33"/>
        <v>0</v>
      </c>
      <c r="BR91" s="82">
        <f t="shared" si="33"/>
        <v>0</v>
      </c>
      <c r="BS91" s="82">
        <f t="shared" si="33"/>
        <v>0</v>
      </c>
      <c r="BT91" s="82">
        <f t="shared" si="33"/>
        <v>0</v>
      </c>
      <c r="BU91" s="82">
        <f t="shared" si="33"/>
        <v>0</v>
      </c>
      <c r="BV91" s="82">
        <f t="shared" si="33"/>
        <v>0</v>
      </c>
      <c r="BW91" s="82">
        <f t="shared" si="33"/>
        <v>0</v>
      </c>
    </row>
    <row r="92" spans="1:75" ht="15.75" thickBot="1">
      <c r="A92" s="87" t="s">
        <v>117</v>
      </c>
      <c r="B92" s="70">
        <f t="shared" ref="B92:C92" si="34">SUM(B79:B91)</f>
        <v>317.10000000000008</v>
      </c>
      <c r="C92" s="70">
        <f t="shared" si="34"/>
        <v>298.60000000000008</v>
      </c>
      <c r="D92" s="70">
        <f t="shared" ref="D92:E92" si="35">SUM(D79:D91)</f>
        <v>300.90000000000003</v>
      </c>
      <c r="E92" s="70">
        <f t="shared" si="35"/>
        <v>307.00000000000006</v>
      </c>
      <c r="F92" s="70">
        <f t="shared" ref="C92:AG92" si="36">SUM(F79:F91)</f>
        <v>307.00000000000006</v>
      </c>
      <c r="G92" s="70">
        <f t="shared" si="36"/>
        <v>307.00000000000006</v>
      </c>
      <c r="H92" s="70">
        <f t="shared" si="36"/>
        <v>329.90000000000003</v>
      </c>
      <c r="I92" s="70">
        <f t="shared" si="36"/>
        <v>329.90000000000003</v>
      </c>
      <c r="J92" s="70">
        <f t="shared" si="36"/>
        <v>329.90000000000003</v>
      </c>
      <c r="K92" s="70">
        <f t="shared" si="36"/>
        <v>329.90000000000003</v>
      </c>
      <c r="L92" s="70">
        <f t="shared" si="36"/>
        <v>329.90000000000003</v>
      </c>
      <c r="M92" s="70">
        <f t="shared" si="36"/>
        <v>2</v>
      </c>
      <c r="N92" s="70">
        <f t="shared" si="36"/>
        <v>2</v>
      </c>
      <c r="O92" s="70">
        <f t="shared" si="36"/>
        <v>2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329.90000000000003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7">B93+B94+B95</f>
        <v>0</v>
      </c>
      <c r="C96" s="70">
        <f t="shared" si="37"/>
        <v>0</v>
      </c>
      <c r="D96" s="70">
        <f t="shared" ref="D96:E96" si="38">D93+D94+D95</f>
        <v>0</v>
      </c>
      <c r="E96" s="70">
        <f t="shared" si="38"/>
        <v>0</v>
      </c>
      <c r="F96" s="70">
        <f t="shared" ref="C96:AF96" si="39">F93+F94+F95</f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si="39"/>
        <v>0</v>
      </c>
      <c r="P96" s="70">
        <f t="shared" si="39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-135.19999999999999</v>
      </c>
      <c r="AI97" s="47">
        <f t="shared" si="25"/>
        <v>-270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22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50</v>
      </c>
      <c r="AI99" s="47">
        <f t="shared" si="25"/>
        <v>38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20.8</v>
      </c>
      <c r="AI100" s="47">
        <f t="shared" si="25"/>
        <v>14.5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46.8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62.2</v>
      </c>
      <c r="AI102" s="47">
        <f t="shared" si="25"/>
        <v>54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40">SUMIF(B97:B107,"&gt;0")</f>
        <v>123</v>
      </c>
      <c r="C108" s="70">
        <f t="shared" si="40"/>
        <v>127.2</v>
      </c>
      <c r="D108" s="70">
        <f t="shared" ref="D108:E108" si="41">SUMIF(D97:D107,"&gt;0")</f>
        <v>126.2</v>
      </c>
      <c r="E108" s="70">
        <f t="shared" si="41"/>
        <v>124.69999999999999</v>
      </c>
      <c r="F108" s="70">
        <f t="shared" ref="C108:AF108" si="42">SUMIF(F97:F107,"&gt;0")</f>
        <v>124.69999999999999</v>
      </c>
      <c r="G108" s="70">
        <f t="shared" si="42"/>
        <v>170.7</v>
      </c>
      <c r="H108" s="70">
        <f t="shared" si="42"/>
        <v>148.24</v>
      </c>
      <c r="I108" s="70">
        <f t="shared" si="42"/>
        <v>170.24</v>
      </c>
      <c r="J108" s="70">
        <f t="shared" si="42"/>
        <v>170.24</v>
      </c>
      <c r="K108" s="70">
        <f t="shared" si="42"/>
        <v>177.6</v>
      </c>
      <c r="L108" s="70">
        <f t="shared" si="42"/>
        <v>177.6</v>
      </c>
      <c r="M108" s="70">
        <f t="shared" si="42"/>
        <v>0</v>
      </c>
      <c r="N108" s="70">
        <f t="shared" si="42"/>
        <v>0</v>
      </c>
      <c r="O108" s="70">
        <f t="shared" si="42"/>
        <v>0</v>
      </c>
      <c r="P108" s="70">
        <f t="shared" si="42"/>
        <v>0</v>
      </c>
      <c r="Q108" s="70">
        <f t="shared" si="42"/>
        <v>0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177.6</v>
      </c>
      <c r="AI108" s="47">
        <f t="shared" si="25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43">B71+B78+B96+B92+B108+B112</f>
        <v>1857.7700000000002</v>
      </c>
      <c r="C113" s="108">
        <f t="shared" si="43"/>
        <v>1794.17</v>
      </c>
      <c r="D113" s="108">
        <f t="shared" ref="D113:E113" si="44">D71+D78+D96+D92+D108+D112</f>
        <v>1683.3700000000001</v>
      </c>
      <c r="E113" s="108">
        <f t="shared" si="44"/>
        <v>1667.77</v>
      </c>
      <c r="F113" s="108">
        <f t="shared" ref="C113:AG113" si="45">F71+F78+F96+F92+F108+F112</f>
        <v>1647.77</v>
      </c>
      <c r="G113" s="108">
        <f t="shared" si="45"/>
        <v>1744.27</v>
      </c>
      <c r="H113" s="108">
        <f t="shared" si="45"/>
        <v>1744.71</v>
      </c>
      <c r="I113" s="108">
        <f t="shared" si="45"/>
        <v>1815.71</v>
      </c>
      <c r="J113" s="108">
        <f t="shared" si="45"/>
        <v>1897.71</v>
      </c>
      <c r="K113" s="108">
        <f t="shared" si="45"/>
        <v>1905.07</v>
      </c>
      <c r="L113" s="108">
        <f t="shared" si="45"/>
        <v>657.5</v>
      </c>
      <c r="M113" s="108">
        <f t="shared" si="45"/>
        <v>152</v>
      </c>
      <c r="N113" s="108">
        <f t="shared" si="45"/>
        <v>152</v>
      </c>
      <c r="O113" s="108">
        <f t="shared" si="45"/>
        <v>152</v>
      </c>
      <c r="P113" s="108">
        <f t="shared" si="45"/>
        <v>152</v>
      </c>
      <c r="Q113" s="108">
        <f t="shared" si="45"/>
        <v>152</v>
      </c>
      <c r="R113" s="108">
        <f t="shared" si="45"/>
        <v>152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1905.07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6">B113+B114</f>
        <v>1857.7700000000002</v>
      </c>
      <c r="C115" s="108">
        <f t="shared" si="46"/>
        <v>1794.17</v>
      </c>
      <c r="D115" s="108">
        <f t="shared" ref="D115:E115" si="47">D113+D114</f>
        <v>1683.3700000000001</v>
      </c>
      <c r="E115" s="108">
        <f t="shared" si="47"/>
        <v>1667.77</v>
      </c>
      <c r="F115" s="108">
        <f t="shared" ref="C115:AF115" si="48">F113+F114</f>
        <v>1647.77</v>
      </c>
      <c r="G115" s="108">
        <f t="shared" si="48"/>
        <v>1744.27</v>
      </c>
      <c r="H115" s="108">
        <f t="shared" si="48"/>
        <v>1744.71</v>
      </c>
      <c r="I115" s="108">
        <f t="shared" si="48"/>
        <v>1815.71</v>
      </c>
      <c r="J115" s="108">
        <f t="shared" si="48"/>
        <v>1897.71</v>
      </c>
      <c r="K115" s="108">
        <f t="shared" si="48"/>
        <v>1905.07</v>
      </c>
      <c r="L115" s="108">
        <f t="shared" si="48"/>
        <v>657.5</v>
      </c>
      <c r="M115" s="108">
        <f t="shared" si="48"/>
        <v>152</v>
      </c>
      <c r="N115" s="108">
        <f t="shared" si="48"/>
        <v>152</v>
      </c>
      <c r="O115" s="108">
        <f t="shared" si="48"/>
        <v>152</v>
      </c>
      <c r="P115" s="108">
        <f t="shared" si="48"/>
        <v>152</v>
      </c>
      <c r="Q115" s="108">
        <f t="shared" si="48"/>
        <v>152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1905.07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49">B115-(B123)</f>
        <v>1587.7700000000002</v>
      </c>
      <c r="C116" s="108">
        <f t="shared" si="49"/>
        <v>1561.67</v>
      </c>
      <c r="D116" s="108">
        <f t="shared" ref="D116:E116" si="50">D115-(D123)</f>
        <v>1548.17</v>
      </c>
      <c r="E116" s="108">
        <f t="shared" si="50"/>
        <v>1497.27</v>
      </c>
      <c r="F116" s="108">
        <f t="shared" ref="C116:AF116" si="51">F115-(F123)</f>
        <v>1417.77</v>
      </c>
      <c r="G116" s="108">
        <f t="shared" si="51"/>
        <v>1514.27</v>
      </c>
      <c r="H116" s="108">
        <f t="shared" si="51"/>
        <v>1518.71</v>
      </c>
      <c r="I116" s="108">
        <f t="shared" si="51"/>
        <v>1595.71</v>
      </c>
      <c r="J116" s="108">
        <f t="shared" si="51"/>
        <v>1666.1100000000001</v>
      </c>
      <c r="K116" s="108">
        <f t="shared" si="51"/>
        <v>1685.07</v>
      </c>
      <c r="L116" s="108">
        <f t="shared" si="51"/>
        <v>657.5</v>
      </c>
      <c r="M116" s="108">
        <f t="shared" si="51"/>
        <v>152</v>
      </c>
      <c r="N116" s="108">
        <f t="shared" si="51"/>
        <v>152</v>
      </c>
      <c r="O116" s="108">
        <f t="shared" si="51"/>
        <v>152</v>
      </c>
      <c r="P116" s="108">
        <f t="shared" si="51"/>
        <v>152</v>
      </c>
      <c r="Q116" s="108">
        <f t="shared" si="51"/>
        <v>152</v>
      </c>
      <c r="R116" s="108">
        <f t="shared" si="51"/>
        <v>152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1685.07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52">IF(B97&lt;0,B97*-1,0)</f>
        <v>270</v>
      </c>
      <c r="C117" s="93">
        <f t="shared" si="52"/>
        <v>232.5</v>
      </c>
      <c r="D117" s="93">
        <f t="shared" ref="D117:E117" si="53">IF(D97&lt;0,D97*-1,0)</f>
        <v>135.19999999999999</v>
      </c>
      <c r="E117" s="93">
        <f t="shared" si="53"/>
        <v>170.5</v>
      </c>
      <c r="F117" s="93">
        <f t="shared" ref="C117:AF122" si="54">IF(F97&lt;0,F97*-1,0)</f>
        <v>230</v>
      </c>
      <c r="G117" s="93">
        <f t="shared" si="54"/>
        <v>230</v>
      </c>
      <c r="H117" s="93">
        <f t="shared" si="54"/>
        <v>226</v>
      </c>
      <c r="I117" s="93">
        <f t="shared" si="54"/>
        <v>220</v>
      </c>
      <c r="J117" s="93">
        <f t="shared" si="54"/>
        <v>231.6</v>
      </c>
      <c r="K117" s="93">
        <f t="shared" si="54"/>
        <v>220</v>
      </c>
      <c r="L117" s="93">
        <f t="shared" si="54"/>
        <v>0</v>
      </c>
      <c r="M117" s="93">
        <f t="shared" si="54"/>
        <v>0</v>
      </c>
      <c r="N117" s="93">
        <f t="shared" si="54"/>
        <v>0</v>
      </c>
      <c r="O117" s="93">
        <f t="shared" si="54"/>
        <v>0</v>
      </c>
      <c r="P117" s="93">
        <f t="shared" si="54"/>
        <v>0</v>
      </c>
      <c r="Q117" s="93">
        <f t="shared" si="54"/>
        <v>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270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52"/>
        <v>0</v>
      </c>
      <c r="C118" s="93">
        <f t="shared" si="52"/>
        <v>0</v>
      </c>
      <c r="D118" s="93">
        <f t="shared" ref="D118:E118" si="55">IF(D98&lt;0,D98*-1,0)</f>
        <v>0</v>
      </c>
      <c r="E118" s="93">
        <f t="shared" si="55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si="54"/>
        <v>0</v>
      </c>
      <c r="P118" s="93">
        <f t="shared" si="54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52"/>
        <v>0</v>
      </c>
      <c r="C119" s="93">
        <f t="shared" si="52"/>
        <v>0</v>
      </c>
      <c r="D119" s="93">
        <f t="shared" ref="D119:E119" si="56">IF(D99&lt;0,D99*-1,0)</f>
        <v>0</v>
      </c>
      <c r="E119" s="93">
        <f t="shared" si="56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si="54"/>
        <v>0</v>
      </c>
      <c r="P119" s="93">
        <f t="shared" si="54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52"/>
        <v>0</v>
      </c>
      <c r="C120" s="93">
        <f t="shared" si="52"/>
        <v>0</v>
      </c>
      <c r="D120" s="93">
        <f t="shared" ref="D120:E120" si="57">IF(D100&lt;0,D100*-1,0)</f>
        <v>0</v>
      </c>
      <c r="E120" s="93">
        <f t="shared" si="57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si="54"/>
        <v>0</v>
      </c>
      <c r="P120" s="93">
        <f t="shared" si="54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52"/>
        <v>0</v>
      </c>
      <c r="C121" s="93">
        <f t="shared" si="52"/>
        <v>0</v>
      </c>
      <c r="D121" s="93">
        <f t="shared" ref="D121:E121" si="58">IF(D101&lt;0,D101*-1,0)</f>
        <v>0</v>
      </c>
      <c r="E121" s="93">
        <f t="shared" si="58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si="54"/>
        <v>0</v>
      </c>
      <c r="P121" s="93">
        <f t="shared" si="54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52"/>
        <v>0</v>
      </c>
      <c r="C122" s="93">
        <f t="shared" si="52"/>
        <v>0</v>
      </c>
      <c r="D122" s="93">
        <f t="shared" ref="D122:E122" si="59">IF(D102&lt;0,D102*-1,0)</f>
        <v>0</v>
      </c>
      <c r="E122" s="93">
        <f t="shared" si="59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si="54"/>
        <v>0</v>
      </c>
      <c r="P122" s="93">
        <f t="shared" si="54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C123" si="60">SUM(B117:B122)</f>
        <v>270</v>
      </c>
      <c r="C123" s="70">
        <f t="shared" si="60"/>
        <v>232.5</v>
      </c>
      <c r="D123" s="70">
        <f t="shared" ref="D123:E123" si="61">SUM(D117:D122)</f>
        <v>135.19999999999999</v>
      </c>
      <c r="E123" s="70">
        <f t="shared" si="61"/>
        <v>170.5</v>
      </c>
      <c r="F123" s="70">
        <f t="shared" ref="C123:AF123" si="62">SUM(F117:F122)</f>
        <v>230</v>
      </c>
      <c r="G123" s="70">
        <f t="shared" si="62"/>
        <v>230</v>
      </c>
      <c r="H123" s="70">
        <f t="shared" si="62"/>
        <v>226</v>
      </c>
      <c r="I123" s="70">
        <f t="shared" si="62"/>
        <v>220</v>
      </c>
      <c r="J123" s="70">
        <f t="shared" si="62"/>
        <v>231.6</v>
      </c>
      <c r="K123" s="70">
        <f t="shared" si="62"/>
        <v>220</v>
      </c>
      <c r="L123" s="70">
        <f t="shared" si="62"/>
        <v>0</v>
      </c>
      <c r="M123" s="70">
        <f t="shared" si="62"/>
        <v>0</v>
      </c>
      <c r="N123" s="70">
        <f t="shared" si="62"/>
        <v>0</v>
      </c>
      <c r="O123" s="70">
        <f t="shared" si="62"/>
        <v>0</v>
      </c>
      <c r="P123" s="70">
        <f t="shared" si="62"/>
        <v>0</v>
      </c>
      <c r="Q123" s="70">
        <f t="shared" si="62"/>
        <v>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270</v>
      </c>
      <c r="AI123" s="47">
        <f t="shared" si="25"/>
        <v>0</v>
      </c>
      <c r="AJ123" s="105">
        <f t="array" ref="AJ123">MIN(IF(B123:AF123&lt;&gt;0,B123:AF123))</f>
        <v>135.19999999999999</v>
      </c>
    </row>
    <row r="124" spans="1:64" ht="15.75" thickBot="1">
      <c r="A124" s="87" t="s">
        <v>146</v>
      </c>
      <c r="B124" s="70">
        <f t="shared" ref="B124:C124" si="63">B108-B123</f>
        <v>-147</v>
      </c>
      <c r="C124" s="70">
        <f t="shared" si="63"/>
        <v>-105.3</v>
      </c>
      <c r="D124" s="70">
        <f t="shared" ref="D124:E124" si="64">D108-D123</f>
        <v>-8.9999999999999858</v>
      </c>
      <c r="E124" s="70">
        <f t="shared" si="64"/>
        <v>-45.800000000000011</v>
      </c>
      <c r="F124" s="70">
        <f t="shared" ref="C124:AF124" si="65">F108-F123</f>
        <v>-105.30000000000001</v>
      </c>
      <c r="G124" s="70">
        <f t="shared" si="65"/>
        <v>-59.300000000000011</v>
      </c>
      <c r="H124" s="70">
        <f t="shared" si="65"/>
        <v>-77.759999999999991</v>
      </c>
      <c r="I124" s="70">
        <f t="shared" si="65"/>
        <v>-49.759999999999991</v>
      </c>
      <c r="J124" s="70">
        <f t="shared" si="65"/>
        <v>-61.359999999999985</v>
      </c>
      <c r="K124" s="70">
        <f t="shared" si="65"/>
        <v>-42.400000000000006</v>
      </c>
      <c r="L124" s="70">
        <f t="shared" si="65"/>
        <v>177.6</v>
      </c>
      <c r="M124" s="70">
        <f t="shared" si="65"/>
        <v>0</v>
      </c>
      <c r="N124" s="70">
        <f t="shared" si="65"/>
        <v>0</v>
      </c>
      <c r="O124" s="70">
        <f t="shared" si="65"/>
        <v>0</v>
      </c>
      <c r="P124" s="70">
        <f t="shared" si="65"/>
        <v>0</v>
      </c>
      <c r="Q124" s="70">
        <f t="shared" si="65"/>
        <v>0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177.6</v>
      </c>
      <c r="AI124" s="47">
        <f t="shared" si="25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</v>
      </c>
      <c r="AI126" s="47">
        <f t="shared" si="25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134.4</v>
      </c>
      <c r="AI127" s="47">
        <f t="shared" si="25"/>
        <v>129.1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133.30000000000001</v>
      </c>
      <c r="AI128" s="47">
        <f t="shared" si="25"/>
        <v>129.6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135.5</v>
      </c>
      <c r="AI130" s="47">
        <f t="shared" si="25"/>
        <v>133.9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134.6</v>
      </c>
      <c r="AI131" s="47">
        <f t="shared" si="25"/>
        <v>131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132.30000000000001</v>
      </c>
      <c r="AI132" s="47">
        <f t="shared" si="25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67.2</v>
      </c>
      <c r="AI133" s="47">
        <f t="shared" si="25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f t="shared" ref="B135:C135" si="66">SUM(B26,B32,B45:B46,B82,B84:B85,B87,B89,B137:B142,B177,B183,B189,B198,B200,B212,B219,B222:B223,B230,B232,B234,B238:B240,B242:B244,B249,B255:B256,B258:B260,B161,B166)</f>
        <v>319.04000000000002</v>
      </c>
      <c r="C135" s="114">
        <f t="shared" si="66"/>
        <v>114.24000000000004</v>
      </c>
      <c r="D135" s="114">
        <f t="shared" ref="D135:E135" si="67">SUM(D26,D32,D45:D46,D82,D84:D85,D87,D89,D137:D142,D177,D183,D189,D198,D200,D212,D219,D222:D223,D230,D232,D234,D238:D240,D242:D244,D249,D255:D256,D258:D260,D161,D166)</f>
        <v>122.44</v>
      </c>
      <c r="E135" s="114">
        <f t="shared" si="67"/>
        <v>120.64000000000004</v>
      </c>
      <c r="F135" s="114">
        <f t="shared" ref="C135:O135" si="68">SUM(F26,F32,F45:F46,F82,F84:F85,F87,F89,F137:F142,F177,F183,F189,F198,F200,F212,F219,F222:F223,F230,F232,F234,F238:F240,F242:F244,F249,F255:F256,F258:F260,F161,F166)</f>
        <v>120.64000000000004</v>
      </c>
      <c r="G135" s="114">
        <f t="shared" si="68"/>
        <v>120.64000000000004</v>
      </c>
      <c r="H135" s="114">
        <f t="shared" si="68"/>
        <v>208.24</v>
      </c>
      <c r="I135" s="114">
        <f t="shared" si="68"/>
        <v>240.34000000000003</v>
      </c>
      <c r="J135" s="114">
        <f t="shared" si="68"/>
        <v>269.24</v>
      </c>
      <c r="K135" s="114">
        <f t="shared" si="68"/>
        <v>206.44000000000003</v>
      </c>
      <c r="L135" s="114">
        <f t="shared" si="68"/>
        <v>87.039999999999992</v>
      </c>
      <c r="M135" s="114">
        <f t="shared" si="68"/>
        <v>0.94</v>
      </c>
      <c r="N135" s="114">
        <f t="shared" si="68"/>
        <v>0.94</v>
      </c>
      <c r="O135" s="114">
        <f t="shared" si="68"/>
        <v>0.94</v>
      </c>
      <c r="P135" s="114">
        <v>42</v>
      </c>
      <c r="Q135" s="114">
        <f t="shared" ref="Q135:X135" si="69">SUM(Q26,Q32,Q45:Q46,Q82,Q84:Q85,Q87,Q89,Q137:Q142,Q177,Q183,Q189,Q198,Q200,Q212,Q219,Q222:Q223,Q230,Q232,Q234,Q238:Q240,Q242:Q244,Q249,Q255:Q256,Q258:Q260,Q161,Q166)</f>
        <v>0.94</v>
      </c>
      <c r="R135" s="114">
        <f t="shared" si="69"/>
        <v>0.94</v>
      </c>
      <c r="S135" s="114">
        <f t="shared" si="69"/>
        <v>0.94</v>
      </c>
      <c r="T135" s="114">
        <f t="shared" si="69"/>
        <v>0.94</v>
      </c>
      <c r="U135" s="114">
        <f t="shared" si="69"/>
        <v>0.94</v>
      </c>
      <c r="V135" s="114">
        <f t="shared" si="69"/>
        <v>0.94</v>
      </c>
      <c r="W135" s="114">
        <f t="shared" si="69"/>
        <v>0.94</v>
      </c>
      <c r="X135" s="114">
        <f t="shared" si="69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0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0"/>
        <v>0.94</v>
      </c>
      <c r="AC135" s="114">
        <f t="shared" si="70"/>
        <v>0.94</v>
      </c>
      <c r="AD135" s="114">
        <f t="shared" si="70"/>
        <v>0.94</v>
      </c>
      <c r="AE135" s="114">
        <f t="shared" si="70"/>
        <v>0.94</v>
      </c>
      <c r="AF135" s="114">
        <f t="shared" si="70"/>
        <v>0.94</v>
      </c>
      <c r="AG135" s="127"/>
      <c r="AH135" s="46">
        <f t="shared" si="24"/>
        <v>319.04000000000002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67.400000000000006</v>
      </c>
      <c r="AI137" s="47">
        <f t="shared" si="25"/>
        <v>50.4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38</v>
      </c>
      <c r="AI138" s="47">
        <f t="shared" si="25"/>
        <v>14.2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-56.5</v>
      </c>
      <c r="AI139" s="47">
        <f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87.8</v>
      </c>
      <c r="AI140" s="47">
        <f>MIN(B140:AF140)</f>
        <v>54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38.9</v>
      </c>
      <c r="AI141" s="47">
        <f>MIN(B141:AF141)</f>
        <v>-1.7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46.6</v>
      </c>
      <c r="AI142" s="47">
        <f>MIN(B142:AF142)</f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75.8</v>
      </c>
      <c r="AI143" s="47">
        <f>MIN(B143:AF143)</f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15.2</v>
      </c>
      <c r="AI144" s="47">
        <f>MIN(B144:AF144)</f>
        <v>-47.1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42</v>
      </c>
      <c r="AI145" s="47">
        <f>MIN(B145:AF145)</f>
        <v>-7.4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1">MAX(B146:AF146)</f>
        <v>-150</v>
      </c>
      <c r="AI146" s="47">
        <f t="shared" ref="AI146:AI158" si="72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1"/>
        <v>49.2</v>
      </c>
      <c r="AI147" s="47">
        <f t="shared" si="72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1"/>
        <v>-7.1</v>
      </c>
      <c r="AI148" s="47">
        <f t="shared" si="72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1"/>
        <v>209.5</v>
      </c>
      <c r="AI149" s="47">
        <f t="shared" si="72"/>
        <v>107.1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1"/>
        <v>30.8</v>
      </c>
      <c r="AI150" s="47">
        <f t="shared" si="72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1"/>
        <v>14.2</v>
      </c>
      <c r="AI151" s="47">
        <f t="shared" si="72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1"/>
        <v>0</v>
      </c>
      <c r="AI152" s="47">
        <f t="shared" si="72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1"/>
        <v>0</v>
      </c>
      <c r="AI153" s="47">
        <f t="shared" si="72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1"/>
        <v>0</v>
      </c>
      <c r="AI154" s="47">
        <f t="shared" si="72"/>
        <v>0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1"/>
        <v>0</v>
      </c>
      <c r="AI155" s="47">
        <f t="shared" si="72"/>
        <v>0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1"/>
        <v>0</v>
      </c>
      <c r="AI156" s="47">
        <f t="shared" si="72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1"/>
        <v>0</v>
      </c>
      <c r="AI157" s="47">
        <f t="shared" si="72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1"/>
        <v>0</v>
      </c>
      <c r="AI158" s="47">
        <f t="shared" si="72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C161:R166" si="73">E161</f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C167:AG167" si="75">SUM(F161:F166)</f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C169:R184" si="76">E169</f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C185:R200" si="79">E185</f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C201:R216" si="81">E201</f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C217:R232" si="83">E217</f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C233:R248" si="85">E233</f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C249:R264" si="87">E249</f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C265:R273" si="89">E265</f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90">SUM(B169:B273)</f>
        <v>0</v>
      </c>
      <c r="C274" s="180">
        <f t="shared" ref="C274:D274" si="91">SUM(C169:C273)</f>
        <v>0</v>
      </c>
      <c r="D274" s="180">
        <f t="shared" si="91"/>
        <v>0</v>
      </c>
      <c r="E274" s="180">
        <f t="shared" ref="E274" si="92">SUM(E169:E273)</f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L11:AA13 AB12:AF13 K85:AF90 B9:AF10 F117:AF125 F152:AF159 B76:E90 B113:E115 B108:E108 B117:E124 B153:E153 F103:AF115 G97:AF97 F134:AF134 H126:AF133 H137:AF151 B72:L72 F76:AF77 F79:L90 B93:AF96 H98:AF102">
    <cfRule type="expression" dxfId="354" priority="106">
      <formula>B$9&gt;=20/24</formula>
    </cfRule>
  </conditionalFormatting>
  <conditionalFormatting sqref="B9:AF10 L11:AA13 AB12:AF13 K85:AF90 F117:AF125 F152:AF159 B76:E90 B113:E115 B108:E108 B117:E124 B153:E153 F103:AF115 G97:AF97 F134:AF134 H126:AF133 H137:AF151 B72:L72 F76:AF77 F79:L90 B93:AF96 H98:AF102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L14:AF53 B29:K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A70 L11:AA13 AB12:AF13 AF92:AF95 AF96:AG96 F91:AF91 F78:AG78 B71:AG71 B76:E96 B69:AA69 F76:AF77 F79:AC90 F92:AE96">
    <cfRule type="expression" dxfId="326" priority="105">
      <formula>B11&gt;$AG11*1</formula>
    </cfRule>
  </conditionalFormatting>
  <conditionalFormatting sqref="K83:O83 F79:L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O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F78 L76:AF77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L73:AF75">
    <cfRule type="expression" dxfId="313" priority="35">
      <formula>L$9&gt;=20/24</formula>
    </cfRule>
    <cfRule type="expression" dxfId="312" priority="36">
      <formula>AND(L$9&gt;=14/24,L$9&lt;20/24)</formula>
    </cfRule>
    <cfRule type="expression" dxfId="311" priority="37">
      <formula>AND(L$9&gt;=8/24,L$9&lt;14/24)</formula>
    </cfRule>
    <cfRule type="expression" dxfId="310" priority="38">
      <formula>L$9&lt;8/24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Y83 Z80:AA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K13">
    <cfRule type="expression" dxfId="204" priority="20">
      <formula>B$9&gt;=20/24</formula>
    </cfRule>
  </conditionalFormatting>
  <conditionalFormatting sqref="B97:E107 B137:E152 B109:E112 B125:E134 B154:E159 F97:F102 G98:G102 F126:G133 F137:G151 B11:K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K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K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e">
        <f ca="1">"2080/"&amp;"10/"&amp;INT(MID(CELL("filename",D6),FIND("]",CELL("filename",D6))+1,200))</f>
        <v>#VALUE!</v>
      </c>
      <c r="C4" s="224"/>
      <c r="D4" s="224"/>
      <c r="E4" s="225" t="e">
        <f ca="1">"2080/"&amp;"10/"&amp;INT(MID(CELL("filename",G6),FIND("]",CELL("filename",G6))+1,200))</f>
        <v>#VALUE!</v>
      </c>
      <c r="F4" s="225"/>
      <c r="G4" s="225"/>
      <c r="H4" s="225" t="e">
        <f ca="1">TEXT(E4,"dddd")</f>
        <v>#VALUE!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B15" sqref="B1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-285</v>
      </c>
      <c r="R31" s="193"/>
      <c r="S31" s="193">
        <v>70.510000000000005</v>
      </c>
      <c r="T31" s="195">
        <v>0</v>
      </c>
      <c r="U31" s="213">
        <f t="shared" si="1"/>
        <v>-214.49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-285</v>
      </c>
      <c r="R32" s="193"/>
      <c r="S32" s="193">
        <v>70.510000000000005</v>
      </c>
      <c r="T32" s="195">
        <v>0</v>
      </c>
      <c r="U32" s="213">
        <f t="shared" si="1"/>
        <v>-214.49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-285</v>
      </c>
      <c r="R33" s="193"/>
      <c r="S33" s="193">
        <v>70.510000000000005</v>
      </c>
      <c r="T33" s="195">
        <v>0</v>
      </c>
      <c r="U33" s="213">
        <f t="shared" si="1"/>
        <v>-214.49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-285</v>
      </c>
      <c r="R34" s="193"/>
      <c r="S34" s="193">
        <v>70.510000000000005</v>
      </c>
      <c r="T34" s="195">
        <v>0</v>
      </c>
      <c r="U34" s="213">
        <f t="shared" si="1"/>
        <v>-214.49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-285</v>
      </c>
      <c r="R35" s="193"/>
      <c r="S35" s="193">
        <v>70.510000000000005</v>
      </c>
      <c r="T35" s="195">
        <v>0</v>
      </c>
      <c r="U35" s="213">
        <f t="shared" si="1"/>
        <v>-214.49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0</v>
      </c>
      <c r="E36" s="193"/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-285</v>
      </c>
      <c r="R36" s="193"/>
      <c r="S36" s="193">
        <v>70.510000000000005</v>
      </c>
      <c r="T36" s="195">
        <v>0</v>
      </c>
      <c r="U36" s="213">
        <f t="shared" si="1"/>
        <v>-214.49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0</v>
      </c>
      <c r="E37" s="193"/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-285</v>
      </c>
      <c r="R37" s="193"/>
      <c r="S37" s="193">
        <v>70.510000000000005</v>
      </c>
      <c r="T37" s="195">
        <v>0</v>
      </c>
      <c r="U37" s="213">
        <f t="shared" si="1"/>
        <v>-214.49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0</v>
      </c>
      <c r="E38" s="193"/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-285</v>
      </c>
      <c r="R38" s="193"/>
      <c r="S38" s="193">
        <v>70.510000000000005</v>
      </c>
      <c r="T38" s="195">
        <v>0</v>
      </c>
      <c r="U38" s="213">
        <f t="shared" si="1"/>
        <v>-214.49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0</v>
      </c>
      <c r="E39" s="193"/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-285</v>
      </c>
      <c r="R39" s="193"/>
      <c r="S39" s="193">
        <v>70.510000000000005</v>
      </c>
      <c r="T39" s="195">
        <v>0</v>
      </c>
      <c r="U39" s="213">
        <f t="shared" si="1"/>
        <v>-214.49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0</v>
      </c>
      <c r="E40" s="193"/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-285</v>
      </c>
      <c r="R40" s="193"/>
      <c r="S40" s="193">
        <v>70.510000000000005</v>
      </c>
      <c r="T40" s="195">
        <v>0</v>
      </c>
      <c r="U40" s="213">
        <f t="shared" si="1"/>
        <v>-214.49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0</v>
      </c>
      <c r="E41" s="193"/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-285</v>
      </c>
      <c r="R41" s="193"/>
      <c r="S41" s="193">
        <v>70.510000000000005</v>
      </c>
      <c r="T41" s="195">
        <v>0</v>
      </c>
      <c r="U41" s="213">
        <f t="shared" si="1"/>
        <v>-214.49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0</v>
      </c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-205</v>
      </c>
      <c r="R42" s="193"/>
      <c r="S42" s="193">
        <v>70.510000000000005</v>
      </c>
      <c r="T42" s="195">
        <v>0</v>
      </c>
      <c r="U42" s="213">
        <f t="shared" si="1"/>
        <v>-134.49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0</v>
      </c>
      <c r="D43" s="193">
        <v>0</v>
      </c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-140</v>
      </c>
      <c r="R43" s="193"/>
      <c r="S43" s="193">
        <v>70.510000000000005</v>
      </c>
      <c r="T43" s="195">
        <v>0</v>
      </c>
      <c r="U43" s="213">
        <f t="shared" si="1"/>
        <v>-69.489999999999995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0</v>
      </c>
      <c r="D44" s="193">
        <v>0</v>
      </c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-140</v>
      </c>
      <c r="R44" s="193"/>
      <c r="S44" s="193">
        <v>70.510000000000005</v>
      </c>
      <c r="T44" s="195">
        <v>0</v>
      </c>
      <c r="U44" s="213">
        <f t="shared" si="1"/>
        <v>-69.489999999999995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0</v>
      </c>
      <c r="D45" s="193">
        <v>0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-140</v>
      </c>
      <c r="R45" s="193"/>
      <c r="S45" s="193">
        <v>70.510000000000005</v>
      </c>
      <c r="T45" s="195">
        <v>0</v>
      </c>
      <c r="U45" s="213">
        <f t="shared" si="1"/>
        <v>-69.489999999999995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0</v>
      </c>
      <c r="D46" s="193">
        <v>0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-140</v>
      </c>
      <c r="R46" s="193"/>
      <c r="S46" s="193">
        <v>70.510000000000005</v>
      </c>
      <c r="T46" s="195">
        <v>0</v>
      </c>
      <c r="U46" s="213">
        <f t="shared" si="1"/>
        <v>-69.489999999999995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0</v>
      </c>
      <c r="D47" s="193">
        <v>0</v>
      </c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-140</v>
      </c>
      <c r="R47" s="193"/>
      <c r="S47" s="193">
        <v>70.510000000000005</v>
      </c>
      <c r="T47" s="195">
        <v>0</v>
      </c>
      <c r="U47" s="213">
        <f t="shared" si="1"/>
        <v>-69.489999999999995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0</v>
      </c>
      <c r="D48" s="193">
        <v>0</v>
      </c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-140</v>
      </c>
      <c r="R48" s="193"/>
      <c r="S48" s="193">
        <v>70.510000000000005</v>
      </c>
      <c r="T48" s="195">
        <v>0</v>
      </c>
      <c r="U48" s="213">
        <f t="shared" si="1"/>
        <v>-69.489999999999995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2026-05-15T01:29:44Z</dcterms:modified>
</cp:coreProperties>
</file>