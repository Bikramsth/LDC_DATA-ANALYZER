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" i="72" l="1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AI120" i="72" s="1"/>
  <c r="B119" i="72"/>
  <c r="B118" i="72"/>
  <c r="AI118" i="72" s="1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F242" i="72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F241" i="72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N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N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N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AI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AH121" i="72" s="1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AH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AH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L123" i="72" s="1"/>
  <c r="L124" i="72" s="1"/>
  <c r="K117" i="72"/>
  <c r="J117" i="72"/>
  <c r="J123" i="72" s="1"/>
  <c r="J124" i="72" s="1"/>
  <c r="I117" i="72"/>
  <c r="H117" i="72"/>
  <c r="H123" i="72" s="1"/>
  <c r="G117" i="72"/>
  <c r="F117" i="72"/>
  <c r="F123" i="72" s="1"/>
  <c r="AI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108" i="72"/>
  <c r="J108" i="72"/>
  <c r="I108" i="72"/>
  <c r="H108" i="72"/>
  <c r="H124" i="72" s="1"/>
  <c r="G108" i="72"/>
  <c r="F108" i="72"/>
  <c r="F124" i="72" s="1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AI92" i="72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AI90" i="72"/>
  <c r="AH90" i="72"/>
  <c r="BT89" i="72"/>
  <c r="BQ89" i="72"/>
  <c r="BL89" i="72"/>
  <c r="BI89" i="72"/>
  <c r="BD89" i="72"/>
  <c r="AI89" i="72"/>
  <c r="AH89" i="72"/>
  <c r="BV88" i="72"/>
  <c r="BS88" i="72"/>
  <c r="BN88" i="72"/>
  <c r="BK88" i="72"/>
  <c r="BF88" i="72"/>
  <c r="BC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L113" i="72" s="1"/>
  <c r="L115" i="72" s="1"/>
  <c r="L116" i="72" s="1"/>
  <c r="L7" i="72" s="1"/>
  <c r="K71" i="72"/>
  <c r="J71" i="72"/>
  <c r="J113" i="72" s="1"/>
  <c r="J115" i="72" s="1"/>
  <c r="J116" i="72" s="1"/>
  <c r="J7" i="72" s="1"/>
  <c r="I71" i="72"/>
  <c r="I113" i="72" s="1"/>
  <c r="I115" i="72" s="1"/>
  <c r="H71" i="72"/>
  <c r="G71" i="72"/>
  <c r="G113" i="72" s="1"/>
  <c r="G115" i="72" s="1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Q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T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S19" i="72"/>
  <c r="AR19" i="72"/>
  <c r="AQ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Q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T22" i="72" s="1"/>
  <c r="AS17" i="72"/>
  <c r="AR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R22" i="72" s="1"/>
  <c r="AQ16" i="72"/>
  <c r="AQ22" i="72" s="1"/>
  <c r="AQ25" i="72" s="1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G5" i="72"/>
  <c r="F5" i="72"/>
  <c r="E5" i="72"/>
  <c r="D5" i="72"/>
  <c r="C5" i="72"/>
  <c r="B5" i="72"/>
  <c r="AG4" i="72"/>
  <c r="K4" i="72"/>
  <c r="E4" i="72"/>
  <c r="H4" i="72" s="1"/>
  <c r="B4" i="72"/>
  <c r="AL13" i="72" s="1"/>
  <c r="AG3" i="72"/>
  <c r="AP22" i="72" l="1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AR25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G124" i="72"/>
  <c r="O124" i="72"/>
  <c r="W124" i="72"/>
  <c r="AE124" i="72"/>
  <c r="AN23" i="72"/>
  <c r="AH117" i="72"/>
  <c r="K123" i="72"/>
  <c r="AT23" i="72" s="1"/>
  <c r="AT25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I116" i="72"/>
  <c r="I7" i="72" s="1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K116" i="72" s="1"/>
  <c r="K7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N25" i="72" l="1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<sst xmlns="http://schemas.openxmlformats.org/spreadsheetml/2006/main" count="952" uniqueCount="413">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</sst>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52" sqref="E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1857.77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1587.77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E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141.19999999999999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D71:AG71" si="23">SUM(F11:F69)</f>
        <v>150</v>
      </c>
      <c r="G71" s="70">
        <f t="shared" si="23"/>
        <v>150</v>
      </c>
      <c r="H71" s="70">
        <f t="shared" si="23"/>
        <v>150</v>
      </c>
      <c r="I71" s="70">
        <f t="shared" si="23"/>
        <v>150</v>
      </c>
      <c r="J71" s="70">
        <f t="shared" si="23"/>
        <v>150</v>
      </c>
      <c r="K71" s="70">
        <f t="shared" si="23"/>
        <v>150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240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41.1</v>
      </c>
      <c r="AI75" s="47">
        <f t="shared" ref="AI75:AI138" si="25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7.7</v>
      </c>
      <c r="AI77" s="47">
        <f t="shared" si="25"/>
        <v>7.5</v>
      </c>
      <c r="AK77" s="49"/>
    </row>
    <row r="78" spans="1:88" ht="15.75" thickBot="1">
      <c r="A78" s="79" t="s">
        <v>97</v>
      </c>
      <c r="B78" s="70">
        <f t="shared" ref="B78:C78" si="26">SUM(B72:B77)</f>
        <v>421.4</v>
      </c>
      <c r="C78" s="70">
        <f t="shared" si="26"/>
        <v>372.1</v>
      </c>
      <c r="D78" s="70">
        <f t="shared" ref="D78:E78" si="27">SUM(D72:D77)</f>
        <v>260</v>
      </c>
      <c r="E78" s="70">
        <f t="shared" si="27"/>
        <v>239.79999999999998</v>
      </c>
      <c r="F78" s="70">
        <f t="shared" ref="D78:AG78" si="28">SUM(F72:F77)</f>
        <v>0</v>
      </c>
      <c r="G78" s="70">
        <f t="shared" si="28"/>
        <v>0</v>
      </c>
      <c r="H78" s="70">
        <f t="shared" si="28"/>
        <v>0</v>
      </c>
      <c r="I78" s="70">
        <f t="shared" si="28"/>
        <v>0</v>
      </c>
      <c r="J78" s="70">
        <f t="shared" si="28"/>
        <v>0</v>
      </c>
      <c r="K78" s="70">
        <f t="shared" si="28"/>
        <v>0</v>
      </c>
      <c r="L78" s="70">
        <f t="shared" si="28"/>
        <v>0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421.4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</v>
      </c>
      <c r="AI79" s="47">
        <f t="shared" si="25"/>
        <v>96</v>
      </c>
      <c r="AK79" s="49"/>
      <c r="AY79" s="1" t="s">
        <v>99</v>
      </c>
      <c r="AZ79" s="82">
        <f>ROUND(C97,0)</f>
        <v>-233</v>
      </c>
      <c r="BA79" s="81">
        <f t="shared" ref="BA79:BD83" si="29">D97</f>
        <v>-135.19999999999999</v>
      </c>
      <c r="BB79" s="81">
        <f t="shared" si="29"/>
        <v>-170.5</v>
      </c>
      <c r="BC79" s="81">
        <f t="shared" si="29"/>
        <v>0</v>
      </c>
      <c r="BD79" s="81">
        <f t="shared" si="29"/>
        <v>0</v>
      </c>
      <c r="BE79" s="82">
        <f>I97</f>
        <v>0</v>
      </c>
      <c r="BF79" s="82">
        <f>K97</f>
        <v>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55.6</v>
      </c>
      <c r="AI80" s="47">
        <f t="shared" si="25"/>
        <v>35.1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0</v>
      </c>
      <c r="BF80" s="82">
        <f>K98</f>
        <v>0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65.7</v>
      </c>
      <c r="AI81" s="47">
        <f t="shared" si="25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46.6</v>
      </c>
      <c r="BB81" s="81">
        <f t="shared" si="29"/>
        <v>45.5</v>
      </c>
      <c r="BC81" s="81">
        <f t="shared" si="29"/>
        <v>0</v>
      </c>
      <c r="BD81" s="81">
        <f t="shared" si="29"/>
        <v>0</v>
      </c>
      <c r="BE81" s="82">
        <f>I99</f>
        <v>0</v>
      </c>
      <c r="BF81" s="82">
        <f>K99</f>
        <v>0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9"/>
        <v>19.100000000000001</v>
      </c>
      <c r="BB82" s="81">
        <f t="shared" si="29"/>
        <v>20.8</v>
      </c>
      <c r="BC82" s="81">
        <f t="shared" si="29"/>
        <v>0</v>
      </c>
      <c r="BD82" s="81">
        <f t="shared" si="29"/>
        <v>0</v>
      </c>
      <c r="BE82" s="82">
        <f>I100</f>
        <v>0</v>
      </c>
      <c r="BF82" s="82">
        <f>K100</f>
        <v>0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</v>
      </c>
      <c r="AI83" s="47">
        <f t="shared" si="25"/>
        <v>9.8000000000000007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0</v>
      </c>
      <c r="BE83" s="82">
        <f>I101</f>
        <v>0</v>
      </c>
      <c r="BF83" s="82">
        <f>K101</f>
        <v>0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11.3</v>
      </c>
      <c r="AI85" s="47">
        <f t="shared" si="25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-233</v>
      </c>
      <c r="BA86" s="82">
        <f t="shared" si="33"/>
        <v>-135.19999999999999</v>
      </c>
      <c r="BB86" s="82">
        <f t="shared" si="33"/>
        <v>-170.5</v>
      </c>
      <c r="BC86" s="82">
        <f t="shared" si="33"/>
        <v>0</v>
      </c>
      <c r="BD86" s="82">
        <f t="shared" si="33"/>
        <v>0</v>
      </c>
      <c r="BE86" s="82">
        <f t="shared" si="33"/>
        <v>0</v>
      </c>
      <c r="BF86" s="82">
        <f t="shared" si="33"/>
        <v>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8.5</v>
      </c>
      <c r="AI87" s="47">
        <f t="shared" si="25"/>
        <v>7.6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0</v>
      </c>
      <c r="BF87" s="82">
        <f t="shared" si="33"/>
        <v>0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8.8000000000000007</v>
      </c>
      <c r="AI88" s="47">
        <f t="shared" si="25"/>
        <v>8</v>
      </c>
      <c r="AK88" s="49"/>
      <c r="AZ88" s="82">
        <f t="shared" si="33"/>
        <v>47</v>
      </c>
      <c r="BA88" s="82">
        <f t="shared" si="33"/>
        <v>46.6</v>
      </c>
      <c r="BB88" s="82">
        <f t="shared" si="33"/>
        <v>45.5</v>
      </c>
      <c r="BC88" s="82">
        <f t="shared" si="33"/>
        <v>0</v>
      </c>
      <c r="BD88" s="82">
        <f t="shared" si="33"/>
        <v>0</v>
      </c>
      <c r="BE88" s="82">
        <f t="shared" si="33"/>
        <v>0</v>
      </c>
      <c r="BF88" s="82">
        <f t="shared" si="33"/>
        <v>0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8.5</v>
      </c>
      <c r="AI89" s="47">
        <f t="shared" si="25"/>
        <v>8.3000000000000007</v>
      </c>
      <c r="AK89" s="49"/>
      <c r="AZ89" s="82">
        <f t="shared" si="33"/>
        <v>18</v>
      </c>
      <c r="BA89" s="82">
        <f t="shared" si="33"/>
        <v>19.100000000000001</v>
      </c>
      <c r="BB89" s="82">
        <f t="shared" si="33"/>
        <v>20.8</v>
      </c>
      <c r="BC89" s="82">
        <f t="shared" si="33"/>
        <v>0</v>
      </c>
      <c r="BD89" s="82">
        <f t="shared" si="33"/>
        <v>0</v>
      </c>
      <c r="BE89" s="82">
        <f t="shared" si="33"/>
        <v>0</v>
      </c>
      <c r="BF89" s="82">
        <f t="shared" si="33"/>
        <v>0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3.1</v>
      </c>
      <c r="AI90" s="47">
        <f t="shared" si="25"/>
        <v>3.1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0</v>
      </c>
      <c r="BE90" s="82">
        <f t="shared" si="33"/>
        <v>0</v>
      </c>
      <c r="BF90" s="82">
        <f t="shared" si="33"/>
        <v>0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>
      <c r="A92" s="87" t="s">
        <v>117</v>
      </c>
      <c r="B92" s="70">
        <f t="shared" ref="B92:C92" si="34">SUM(B79:B91)</f>
        <v>317.10000000000008</v>
      </c>
      <c r="C92" s="70">
        <f t="shared" si="34"/>
        <v>298.60000000000008</v>
      </c>
      <c r="D92" s="70">
        <f t="shared" ref="D92:E92" si="35">SUM(D79:D91)</f>
        <v>300.90000000000003</v>
      </c>
      <c r="E92" s="70">
        <f t="shared" si="35"/>
        <v>307.00000000000006</v>
      </c>
      <c r="F92" s="70">
        <f t="shared" ref="C92:AG92" si="36">SUM(F79:F91)</f>
        <v>2</v>
      </c>
      <c r="G92" s="70">
        <f t="shared" si="36"/>
        <v>2</v>
      </c>
      <c r="H92" s="70">
        <f t="shared" si="36"/>
        <v>2</v>
      </c>
      <c r="I92" s="70">
        <f t="shared" si="36"/>
        <v>2</v>
      </c>
      <c r="J92" s="70">
        <f t="shared" si="36"/>
        <v>2</v>
      </c>
      <c r="K92" s="70">
        <f t="shared" si="36"/>
        <v>2</v>
      </c>
      <c r="L92" s="70">
        <f t="shared" si="36"/>
        <v>2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317.10000000000008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:E96" si="38">D93+D94+D95</f>
        <v>0</v>
      </c>
      <c r="E96" s="70">
        <f t="shared" si="38"/>
        <v>0</v>
      </c>
      <c r="F96" s="70">
        <f t="shared" ref="C96:AF96" si="39">F93+F94+F95</f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-135.19999999999999</v>
      </c>
      <c r="AI97" s="47">
        <f t="shared" si="25"/>
        <v>-270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0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50</v>
      </c>
      <c r="AI99" s="47">
        <f t="shared" si="25"/>
        <v>45.5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20.8</v>
      </c>
      <c r="AI100" s="47">
        <f t="shared" si="25"/>
        <v>17.8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62.2</v>
      </c>
      <c r="AI102" s="47">
        <f t="shared" si="25"/>
        <v>55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0">SUMIF(B97:B107,"&gt;0")</f>
        <v>123</v>
      </c>
      <c r="C108" s="70">
        <f t="shared" si="40"/>
        <v>127.2</v>
      </c>
      <c r="D108" s="70">
        <f t="shared" ref="D108:E108" si="41">SUMIF(D97:D107,"&gt;0")</f>
        <v>126.2</v>
      </c>
      <c r="E108" s="70">
        <f t="shared" si="41"/>
        <v>124.69999999999999</v>
      </c>
      <c r="F108" s="70">
        <f t="shared" ref="C108:AF108" si="42">SUMIF(F97:F107,"&gt;0")</f>
        <v>0</v>
      </c>
      <c r="G108" s="70">
        <f t="shared" si="42"/>
        <v>0</v>
      </c>
      <c r="H108" s="70">
        <f t="shared" si="42"/>
        <v>0</v>
      </c>
      <c r="I108" s="70">
        <f t="shared" si="42"/>
        <v>0</v>
      </c>
      <c r="J108" s="70">
        <f t="shared" si="42"/>
        <v>0</v>
      </c>
      <c r="K108" s="70">
        <f t="shared" si="42"/>
        <v>0</v>
      </c>
      <c r="L108" s="70">
        <f t="shared" si="42"/>
        <v>0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127.2</v>
      </c>
      <c r="AI108" s="47">
        <f t="shared" si="25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3">B71+B78+B96+B92+B108+B112</f>
        <v>1857.7700000000002</v>
      </c>
      <c r="C113" s="108">
        <f t="shared" si="43"/>
        <v>1794.17</v>
      </c>
      <c r="D113" s="108">
        <f t="shared" ref="D113:E113" si="44">D71+D78+D96+D92+D108+D112</f>
        <v>1683.3700000000001</v>
      </c>
      <c r="E113" s="108">
        <f t="shared" si="44"/>
        <v>1667.77</v>
      </c>
      <c r="F113" s="108">
        <f t="shared" ref="C113:AG113" si="45">F71+F78+F96+F92+F108+F112</f>
        <v>152</v>
      </c>
      <c r="G113" s="108">
        <f t="shared" si="45"/>
        <v>152</v>
      </c>
      <c r="H113" s="108">
        <f t="shared" si="45"/>
        <v>152</v>
      </c>
      <c r="I113" s="108">
        <f t="shared" si="45"/>
        <v>152</v>
      </c>
      <c r="J113" s="108">
        <f t="shared" si="45"/>
        <v>152</v>
      </c>
      <c r="K113" s="108">
        <f t="shared" si="45"/>
        <v>152</v>
      </c>
      <c r="L113" s="108">
        <f t="shared" si="45"/>
        <v>152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1857.7700000000002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6">B113+B114</f>
        <v>1857.7700000000002</v>
      </c>
      <c r="C115" s="108">
        <f t="shared" si="46"/>
        <v>1794.17</v>
      </c>
      <c r="D115" s="108">
        <f t="shared" ref="D115:E115" si="47">D113+D114</f>
        <v>1683.3700000000001</v>
      </c>
      <c r="E115" s="108">
        <f t="shared" si="47"/>
        <v>1667.77</v>
      </c>
      <c r="F115" s="108">
        <f t="shared" ref="C115:AF115" si="48">F113+F114</f>
        <v>152</v>
      </c>
      <c r="G115" s="108">
        <f t="shared" si="48"/>
        <v>152</v>
      </c>
      <c r="H115" s="108">
        <f t="shared" si="48"/>
        <v>152</v>
      </c>
      <c r="I115" s="108">
        <f t="shared" si="48"/>
        <v>152</v>
      </c>
      <c r="J115" s="108">
        <f t="shared" si="48"/>
        <v>152</v>
      </c>
      <c r="K115" s="108">
        <f t="shared" si="48"/>
        <v>152</v>
      </c>
      <c r="L115" s="108">
        <f t="shared" si="48"/>
        <v>152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1857.7700000000002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9">B115-(B123)</f>
        <v>1587.7700000000002</v>
      </c>
      <c r="C116" s="108">
        <f t="shared" si="49"/>
        <v>1561.67</v>
      </c>
      <c r="D116" s="108">
        <f t="shared" ref="D116:E116" si="50">D115-(D123)</f>
        <v>1548.17</v>
      </c>
      <c r="E116" s="108">
        <f t="shared" si="50"/>
        <v>1497.27</v>
      </c>
      <c r="F116" s="108">
        <f t="shared" ref="C116:AF116" si="51">F115-(F123)</f>
        <v>152</v>
      </c>
      <c r="G116" s="108">
        <f t="shared" si="51"/>
        <v>152</v>
      </c>
      <c r="H116" s="108">
        <f t="shared" si="51"/>
        <v>152</v>
      </c>
      <c r="I116" s="108">
        <f t="shared" si="51"/>
        <v>152</v>
      </c>
      <c r="J116" s="108">
        <f t="shared" si="51"/>
        <v>152</v>
      </c>
      <c r="K116" s="108">
        <f t="shared" si="51"/>
        <v>152</v>
      </c>
      <c r="L116" s="108">
        <f t="shared" si="51"/>
        <v>152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1587.7700000000002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2">IF(B97&lt;0,B97*-1,0)</f>
        <v>270</v>
      </c>
      <c r="C117" s="93">
        <f t="shared" si="52"/>
        <v>232.5</v>
      </c>
      <c r="D117" s="93">
        <f t="shared" ref="D117:E117" si="53">IF(D97&lt;0,D97*-1,0)</f>
        <v>135.19999999999999</v>
      </c>
      <c r="E117" s="93">
        <f t="shared" si="53"/>
        <v>170.5</v>
      </c>
      <c r="F117" s="93">
        <f t="shared" ref="C117:AF122" si="54">IF(F97&lt;0,F97*-1,0)</f>
        <v>0</v>
      </c>
      <c r="G117" s="93">
        <f t="shared" si="54"/>
        <v>0</v>
      </c>
      <c r="H117" s="93">
        <f t="shared" si="54"/>
        <v>0</v>
      </c>
      <c r="I117" s="93">
        <f t="shared" si="54"/>
        <v>0</v>
      </c>
      <c r="J117" s="93">
        <f t="shared" si="54"/>
        <v>0</v>
      </c>
      <c r="K117" s="93">
        <f t="shared" si="54"/>
        <v>0</v>
      </c>
      <c r="L117" s="93">
        <f t="shared" si="54"/>
        <v>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270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:E118" si="55">IF(D98&lt;0,D98*-1,0)</f>
        <v>0</v>
      </c>
      <c r="E118" s="93">
        <f t="shared" si="55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:E119" si="56">IF(D99&lt;0,D99*-1,0)</f>
        <v>0</v>
      </c>
      <c r="E119" s="93">
        <f t="shared" si="56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:E120" si="57">IF(D100&lt;0,D100*-1,0)</f>
        <v>0</v>
      </c>
      <c r="E120" s="93">
        <f t="shared" si="57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:E121" si="58">IF(D101&lt;0,D101*-1,0)</f>
        <v>0</v>
      </c>
      <c r="E121" s="93">
        <f t="shared" si="58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:E122" si="59">IF(D102&lt;0,D102*-1,0)</f>
        <v>0</v>
      </c>
      <c r="E122" s="93">
        <f t="shared" si="59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60">SUM(B117:B122)</f>
        <v>270</v>
      </c>
      <c r="C123" s="70">
        <f t="shared" si="60"/>
        <v>232.5</v>
      </c>
      <c r="D123" s="70">
        <f t="shared" ref="D123:E123" si="61">SUM(D117:D122)</f>
        <v>135.19999999999999</v>
      </c>
      <c r="E123" s="70">
        <f t="shared" si="61"/>
        <v>170.5</v>
      </c>
      <c r="F123" s="70">
        <f t="shared" ref="C123:AF123" si="62">SUM(F117:F122)</f>
        <v>0</v>
      </c>
      <c r="G123" s="70">
        <f t="shared" si="62"/>
        <v>0</v>
      </c>
      <c r="H123" s="70">
        <f t="shared" si="62"/>
        <v>0</v>
      </c>
      <c r="I123" s="70">
        <f t="shared" si="62"/>
        <v>0</v>
      </c>
      <c r="J123" s="70">
        <f t="shared" si="62"/>
        <v>0</v>
      </c>
      <c r="K123" s="70">
        <f t="shared" si="62"/>
        <v>0</v>
      </c>
      <c r="L123" s="70">
        <f t="shared" si="62"/>
        <v>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270</v>
      </c>
      <c r="AI123" s="47">
        <f t="shared" si="25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63">B108-B123</f>
        <v>-147</v>
      </c>
      <c r="C124" s="70">
        <f t="shared" si="63"/>
        <v>-105.3</v>
      </c>
      <c r="D124" s="70">
        <f t="shared" ref="D124:E124" si="64">D108-D123</f>
        <v>-8.9999999999999858</v>
      </c>
      <c r="E124" s="70">
        <f t="shared" si="64"/>
        <v>-45.800000000000011</v>
      </c>
      <c r="F124" s="70">
        <f t="shared" ref="C124:AF124" si="65">F108-F123</f>
        <v>0</v>
      </c>
      <c r="G124" s="70">
        <f t="shared" si="65"/>
        <v>0</v>
      </c>
      <c r="H124" s="70">
        <f t="shared" si="65"/>
        <v>0</v>
      </c>
      <c r="I124" s="70">
        <f t="shared" si="65"/>
        <v>0</v>
      </c>
      <c r="J124" s="70">
        <f t="shared" si="65"/>
        <v>0</v>
      </c>
      <c r="K124" s="70">
        <f t="shared" si="65"/>
        <v>0</v>
      </c>
      <c r="L124" s="70">
        <f t="shared" si="65"/>
        <v>0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50.055999999999997</v>
      </c>
      <c r="AI126" s="47">
        <f t="shared" si="25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134.4</v>
      </c>
      <c r="AI127" s="47">
        <f t="shared" si="25"/>
        <v>132.6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133.30000000000001</v>
      </c>
      <c r="AI128" s="47">
        <f t="shared" si="25"/>
        <v>131.4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135.5</v>
      </c>
      <c r="AI130" s="47">
        <f t="shared" si="25"/>
        <v>134.80000000000001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134.6</v>
      </c>
      <c r="AI131" s="47">
        <f t="shared" si="25"/>
        <v>131.5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</v>
      </c>
      <c r="AI132" s="47">
        <f t="shared" si="25"/>
        <v>132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319.04000000000002</v>
      </c>
      <c r="C135" s="114">
        <f t="shared" si="66"/>
        <v>114.24000000000004</v>
      </c>
      <c r="D135" s="114">
        <f t="shared" ref="D135:E135" si="67">SUM(D26,D32,D45:D46,D82,D84:D85,D87,D89,D137:D142,D177,D183,D189,D198,D200,D212,D219,D222:D223,D230,D232,D234,D238:D240,D242:D244,D249,D255:D256,D258:D260,D161,D166)</f>
        <v>122.44</v>
      </c>
      <c r="E135" s="114">
        <f t="shared" si="67"/>
        <v>120.64000000000004</v>
      </c>
      <c r="F135" s="114">
        <f t="shared" ref="C135:O135" si="68">SUM(F26,F32,F45:F46,F82,F84:F85,F87,F89,F137:F142,F177,F183,F189,F198,F200,F212,F219,F222:F223,F230,F232,F234,F238:F240,F242:F244,F249,F255:F256,F258:F260,F161,F166)</f>
        <v>0.94</v>
      </c>
      <c r="G135" s="114">
        <f t="shared" si="68"/>
        <v>0.94</v>
      </c>
      <c r="H135" s="114">
        <f t="shared" si="68"/>
        <v>0.94</v>
      </c>
      <c r="I135" s="114">
        <f t="shared" si="68"/>
        <v>0.94</v>
      </c>
      <c r="J135" s="114">
        <f t="shared" si="68"/>
        <v>0.94</v>
      </c>
      <c r="K135" s="114">
        <f t="shared" si="68"/>
        <v>0.94</v>
      </c>
      <c r="L135" s="114">
        <f t="shared" si="68"/>
        <v>0.94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319.04000000000002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58.4</v>
      </c>
      <c r="AI137" s="47">
        <f t="shared" si="25"/>
        <v>50.4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21.3</v>
      </c>
      <c r="AI138" s="47">
        <f t="shared" si="25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-58.2</v>
      </c>
      <c r="AI139" s="47">
        <f>MIN(B139:AF139)</f>
        <v>-76.400000000000006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65.7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-168.4</v>
      </c>
      <c r="AI146" s="47">
        <f t="shared" ref="AI146:AI158" si="72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49.2</v>
      </c>
      <c r="AI147" s="47">
        <f t="shared" si="72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-7.1</v>
      </c>
      <c r="AI148" s="47">
        <f t="shared" si="72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209.5</v>
      </c>
      <c r="AI149" s="47">
        <f t="shared" si="72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30.8</v>
      </c>
      <c r="AI150" s="47">
        <f t="shared" si="72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12.8</v>
      </c>
      <c r="AI151" s="47">
        <f t="shared" si="72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C161:R166" si="73">E161</f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C167:AG167" si="75">SUM(F161:F166)</f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C169:R184" si="76">E169</f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C185:R200" si="79">E185</f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C201:R216" si="81">E201</f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C217:R232" si="83">E217</f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C233:R248" si="85">E233</f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C249:R264" si="87">E249</f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C265:R273" si="89">E265</f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ref="E274" si="92">SUM(E169:E273)</f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F11:AA13 AB12:AF13 F76:AF77 F82:G90 H84:J90 K85:AF90 B9:AF10 F117:AF134 F137:AF159 F93:AF115 B76:E90 B113:E115 B108:E108 B117:E124 B72:L72 B153:E153 B93:E96">
    <cfRule type="expression" dxfId="354" priority="106">
      <formula>B$9&gt;=20/24</formula>
    </cfRule>
  </conditionalFormatting>
  <conditionalFormatting sqref="B9:AF10 F11:AA13 AB12:AF13 F76:AF77 F82:G90 H84:J90 K85:AF90 F117:AF134 F137:AF159 F93:AF115 B76:E90 B113:E115 B108:E108 B117:E124 B72:L72 B153:E153 B93:E96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F14:AF53 B29:E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F11:AA13 AB12:AF13 AG78 AF92:AF95 AF96:AG96 F92:AE96 F91:AF91 F76:AF78 F79:AC90 B71:AG71 B76:E96 B69:AA69">
    <cfRule type="expression" dxfId="326" priority="105">
      <formula>B11&gt;$AG11*1</formula>
    </cfRule>
  </conditionalFormatting>
  <conditionalFormatting sqref="F79:I83 J80:J83 K83:O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6:AF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F73:AF75">
    <cfRule type="expression" dxfId="313" priority="35">
      <formula>F$9&gt;=20/24</formula>
    </cfRule>
    <cfRule type="expression" dxfId="312" priority="36">
      <formula>AND(F$9&gt;=14/24,F$9&lt;20/24)</formula>
    </cfRule>
    <cfRule type="expression" dxfId="311" priority="37">
      <formula>AND(F$9&gt;=8/24,F$9&lt;14/24)</formula>
    </cfRule>
    <cfRule type="expression" dxfId="310" priority="38">
      <formula>F$9&lt;8/24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B11:E13">
    <cfRule type="expression" dxfId="204" priority="20">
      <formula>B$9&gt;=20/24</formula>
    </cfRule>
  </conditionalFormatting>
  <conditionalFormatting sqref="B97:E107 B137:E152 B109:E112 B125:E134 B154:E159 B11:E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E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E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A11" sqref="A11:XFD1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2026-05-14T21:20:39Z</dcterms:modified>
</cp:coreProperties>
</file>