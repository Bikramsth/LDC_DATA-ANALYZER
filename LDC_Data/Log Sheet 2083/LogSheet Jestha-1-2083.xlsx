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5"/>
  </bookViews>
  <sheets>
    <sheet name="01" sheetId="72" r:id="rId1"/>
    <sheet name="02" sheetId="74" r:id="rId2"/>
    <sheet name="Sample" sheetId="1" r:id="rId3"/>
    <sheet name="Calc" sheetId="3" r:id="rId4"/>
    <sheet name="Sheet6" sheetId="36" r:id="rId5"/>
    <sheet name="Schedule@G4 dont delete " sheetId="73" r:id="rId6"/>
    <sheet name="Schedule 2026.5.11 BG" sheetId="67" state="hidden" r:id="rId7"/>
    <sheet name="Schedule 2026.5.11" sheetId="64" state="hidden" r:id="rId8"/>
  </sheets>
  <definedNames>
    <definedName name="a" localSheetId="0">#REF!</definedName>
    <definedName name="a" localSheetId="1">#REF!</definedName>
    <definedName name="a" localSheetId="2">#REF!</definedName>
    <definedName name="a" localSheetId="7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7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7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7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7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7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7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7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0" i="74" l="1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U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U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U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U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U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AD216" i="74"/>
  <c r="AE216" i="74" s="1"/>
  <c r="AF216" i="74" s="1"/>
  <c r="T216" i="74"/>
  <c r="U216" i="74" s="1"/>
  <c r="V216" i="74" s="1"/>
  <c r="W216" i="74" s="1"/>
  <c r="X216" i="74" s="1"/>
  <c r="Y216" i="74" s="1"/>
  <c r="Z216" i="74" s="1"/>
  <c r="AA216" i="74" s="1"/>
  <c r="AB216" i="74" s="1"/>
  <c r="AC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AA215" i="74"/>
  <c r="AB215" i="74" s="1"/>
  <c r="AC215" i="74" s="1"/>
  <c r="AD215" i="74" s="1"/>
  <c r="AE215" i="74" s="1"/>
  <c r="AF215" i="74" s="1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U215" i="74" s="1"/>
  <c r="V215" i="74" s="1"/>
  <c r="W215" i="74" s="1"/>
  <c r="X215" i="74" s="1"/>
  <c r="Y215" i="74" s="1"/>
  <c r="Z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U214" i="74" s="1"/>
  <c r="V214" i="74" s="1"/>
  <c r="W214" i="74" s="1"/>
  <c r="X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X213" i="74"/>
  <c r="Y213" i="74" s="1"/>
  <c r="Z213" i="74" s="1"/>
  <c r="AA213" i="74" s="1"/>
  <c r="AB213" i="74" s="1"/>
  <c r="AC213" i="74" s="1"/>
  <c r="AD213" i="74" s="1"/>
  <c r="AE213" i="74" s="1"/>
  <c r="AF213" i="74" s="1"/>
  <c r="O213" i="74"/>
  <c r="P213" i="74" s="1"/>
  <c r="Q213" i="74" s="1"/>
  <c r="R213" i="74" s="1"/>
  <c r="S213" i="74" s="1"/>
  <c r="T213" i="74" s="1"/>
  <c r="U213" i="74" s="1"/>
  <c r="V213" i="74" s="1"/>
  <c r="W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U212" i="74" s="1"/>
  <c r="V212" i="74" s="1"/>
  <c r="W212" i="74" s="1"/>
  <c r="X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U211" i="74" s="1"/>
  <c r="V211" i="74" s="1"/>
  <c r="W211" i="74" s="1"/>
  <c r="X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U210" i="74" s="1"/>
  <c r="V210" i="74" s="1"/>
  <c r="W210" i="74" s="1"/>
  <c r="X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T209" i="74" s="1"/>
  <c r="U209" i="74" s="1"/>
  <c r="V209" i="74" s="1"/>
  <c r="W209" i="74" s="1"/>
  <c r="X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T208" i="74" s="1"/>
  <c r="U208" i="74" s="1"/>
  <c r="V208" i="74" s="1"/>
  <c r="W208" i="74" s="1"/>
  <c r="X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T207" i="74" s="1"/>
  <c r="U207" i="74" s="1"/>
  <c r="V207" i="74" s="1"/>
  <c r="W207" i="74" s="1"/>
  <c r="X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T206" i="74" s="1"/>
  <c r="U206" i="74" s="1"/>
  <c r="V206" i="74" s="1"/>
  <c r="W206" i="74" s="1"/>
  <c r="X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T205" i="74" s="1"/>
  <c r="U205" i="74" s="1"/>
  <c r="V205" i="74" s="1"/>
  <c r="W205" i="74" s="1"/>
  <c r="X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T204" i="74" s="1"/>
  <c r="U204" i="74" s="1"/>
  <c r="V204" i="74" s="1"/>
  <c r="W204" i="74" s="1"/>
  <c r="X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T203" i="74" s="1"/>
  <c r="U203" i="74" s="1"/>
  <c r="V203" i="74" s="1"/>
  <c r="W203" i="74" s="1"/>
  <c r="X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T202" i="74" s="1"/>
  <c r="U202" i="74" s="1"/>
  <c r="V202" i="74" s="1"/>
  <c r="W202" i="74" s="1"/>
  <c r="X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T201" i="74" s="1"/>
  <c r="U201" i="74" s="1"/>
  <c r="V201" i="74" s="1"/>
  <c r="W201" i="74" s="1"/>
  <c r="X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T200" i="74" s="1"/>
  <c r="U200" i="74" s="1"/>
  <c r="V200" i="74" s="1"/>
  <c r="W200" i="74" s="1"/>
  <c r="X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T199" i="74" s="1"/>
  <c r="U199" i="74" s="1"/>
  <c r="V199" i="74" s="1"/>
  <c r="W199" i="74" s="1"/>
  <c r="X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T198" i="74" s="1"/>
  <c r="U198" i="74" s="1"/>
  <c r="V198" i="74" s="1"/>
  <c r="W198" i="74" s="1"/>
  <c r="X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T197" i="74" s="1"/>
  <c r="U197" i="74" s="1"/>
  <c r="V197" i="74" s="1"/>
  <c r="W197" i="74" s="1"/>
  <c r="X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T196" i="74" s="1"/>
  <c r="U196" i="74" s="1"/>
  <c r="V196" i="74" s="1"/>
  <c r="W196" i="74" s="1"/>
  <c r="X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T195" i="74" s="1"/>
  <c r="U195" i="74" s="1"/>
  <c r="V195" i="74" s="1"/>
  <c r="W195" i="74" s="1"/>
  <c r="X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T194" i="74" s="1"/>
  <c r="U194" i="74" s="1"/>
  <c r="V194" i="74" s="1"/>
  <c r="W194" i="74" s="1"/>
  <c r="X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T193" i="74" s="1"/>
  <c r="U193" i="74" s="1"/>
  <c r="V193" i="74" s="1"/>
  <c r="W193" i="74" s="1"/>
  <c r="X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T192" i="74" s="1"/>
  <c r="U192" i="74" s="1"/>
  <c r="V192" i="74" s="1"/>
  <c r="W192" i="74" s="1"/>
  <c r="X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T191" i="74" s="1"/>
  <c r="U191" i="74" s="1"/>
  <c r="V191" i="74" s="1"/>
  <c r="W191" i="74" s="1"/>
  <c r="X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AA190" i="74"/>
  <c r="AB190" i="74" s="1"/>
  <c r="AC190" i="74" s="1"/>
  <c r="AD190" i="74" s="1"/>
  <c r="AE190" i="74" s="1"/>
  <c r="AF190" i="74" s="1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T190" i="74" s="1"/>
  <c r="U190" i="74" s="1"/>
  <c r="V190" i="74" s="1"/>
  <c r="W190" i="74" s="1"/>
  <c r="X190" i="74" s="1"/>
  <c r="Y190" i="74" s="1"/>
  <c r="Z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T188" i="74" s="1"/>
  <c r="U188" i="74" s="1"/>
  <c r="V188" i="74" s="1"/>
  <c r="W188" i="74" s="1"/>
  <c r="X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U187" i="74"/>
  <c r="V187" i="74" s="1"/>
  <c r="W187" i="74" s="1"/>
  <c r="X187" i="74" s="1"/>
  <c r="Y187" i="74" s="1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T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T186" i="74" s="1"/>
  <c r="U186" i="74" s="1"/>
  <c r="V186" i="74" s="1"/>
  <c r="W186" i="74" s="1"/>
  <c r="X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T185" i="74" s="1"/>
  <c r="U185" i="74" s="1"/>
  <c r="V185" i="74" s="1"/>
  <c r="W185" i="74" s="1"/>
  <c r="X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T184" i="74" s="1"/>
  <c r="U184" i="74" s="1"/>
  <c r="V184" i="74" s="1"/>
  <c r="W184" i="74" s="1"/>
  <c r="X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T183" i="74" s="1"/>
  <c r="U183" i="74" s="1"/>
  <c r="V183" i="74" s="1"/>
  <c r="W183" i="74" s="1"/>
  <c r="X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T182" i="74" s="1"/>
  <c r="U182" i="74" s="1"/>
  <c r="V182" i="74" s="1"/>
  <c r="W182" i="74" s="1"/>
  <c r="X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T181" i="74" s="1"/>
  <c r="U181" i="74" s="1"/>
  <c r="V181" i="74" s="1"/>
  <c r="W181" i="74" s="1"/>
  <c r="X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T180" i="74" s="1"/>
  <c r="U180" i="74" s="1"/>
  <c r="V180" i="74" s="1"/>
  <c r="W180" i="74" s="1"/>
  <c r="X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T179" i="74" s="1"/>
  <c r="U179" i="74" s="1"/>
  <c r="V179" i="74" s="1"/>
  <c r="W179" i="74" s="1"/>
  <c r="X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T178" i="74" s="1"/>
  <c r="U178" i="74" s="1"/>
  <c r="V178" i="74" s="1"/>
  <c r="W178" i="74" s="1"/>
  <c r="X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T176" i="74" s="1"/>
  <c r="U176" i="74" s="1"/>
  <c r="V176" i="74" s="1"/>
  <c r="W176" i="74" s="1"/>
  <c r="X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T175" i="74" s="1"/>
  <c r="U175" i="74" s="1"/>
  <c r="V175" i="74" s="1"/>
  <c r="W175" i="74" s="1"/>
  <c r="X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AB174" i="74"/>
  <c r="AC174" i="74" s="1"/>
  <c r="AD174" i="74" s="1"/>
  <c r="AE174" i="74" s="1"/>
  <c r="AF174" i="74" s="1"/>
  <c r="W174" i="74"/>
  <c r="X174" i="74" s="1"/>
  <c r="Y174" i="74" s="1"/>
  <c r="Z174" i="74" s="1"/>
  <c r="AA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T174" i="74" s="1"/>
  <c r="U174" i="74" s="1"/>
  <c r="V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T173" i="74" s="1"/>
  <c r="U173" i="74" s="1"/>
  <c r="V173" i="74" s="1"/>
  <c r="W173" i="74" s="1"/>
  <c r="X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T172" i="74" s="1"/>
  <c r="U172" i="74" s="1"/>
  <c r="V172" i="74" s="1"/>
  <c r="W172" i="74" s="1"/>
  <c r="X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T171" i="74" s="1"/>
  <c r="U171" i="74" s="1"/>
  <c r="V171" i="74" s="1"/>
  <c r="W171" i="74" s="1"/>
  <c r="X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T170" i="74" s="1"/>
  <c r="U170" i="74" s="1"/>
  <c r="V170" i="74" s="1"/>
  <c r="W170" i="74" s="1"/>
  <c r="X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T165" i="74" s="1"/>
  <c r="U165" i="74" s="1"/>
  <c r="V165" i="74" s="1"/>
  <c r="W165" i="74" s="1"/>
  <c r="X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T164" i="74" s="1"/>
  <c r="U164" i="74" s="1"/>
  <c r="V164" i="74" s="1"/>
  <c r="W164" i="74" s="1"/>
  <c r="X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T163" i="74" s="1"/>
  <c r="U163" i="74" s="1"/>
  <c r="V163" i="74" s="1"/>
  <c r="W163" i="74" s="1"/>
  <c r="X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T162" i="74" s="1"/>
  <c r="U162" i="74" s="1"/>
  <c r="V162" i="74" s="1"/>
  <c r="W162" i="74" s="1"/>
  <c r="X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Z124" i="74"/>
  <c r="AC123" i="74"/>
  <c r="M123" i="74"/>
  <c r="AU23" i="74" s="1"/>
  <c r="E123" i="74"/>
  <c r="AP23" i="74" s="1"/>
  <c r="AF122" i="74"/>
  <c r="AE122" i="74"/>
  <c r="AD122" i="74"/>
  <c r="AC122" i="74"/>
  <c r="AB122" i="74"/>
  <c r="AB123" i="74" s="1"/>
  <c r="BG23" i="74" s="1"/>
  <c r="AA122" i="74"/>
  <c r="Z122" i="74"/>
  <c r="Y122" i="74"/>
  <c r="X122" i="74"/>
  <c r="W122" i="74"/>
  <c r="V122" i="74"/>
  <c r="U122" i="74"/>
  <c r="T122" i="74"/>
  <c r="T123" i="74" s="1"/>
  <c r="S122" i="74"/>
  <c r="R122" i="74"/>
  <c r="Q122" i="74"/>
  <c r="P122" i="74"/>
  <c r="O122" i="74"/>
  <c r="N122" i="74"/>
  <c r="M122" i="74"/>
  <c r="L122" i="74"/>
  <c r="L123" i="74" s="1"/>
  <c r="K122" i="74"/>
  <c r="J122" i="74"/>
  <c r="I122" i="74"/>
  <c r="H122" i="74"/>
  <c r="G122" i="74"/>
  <c r="F122" i="74"/>
  <c r="E122" i="74"/>
  <c r="D122" i="74"/>
  <c r="D123" i="74" s="1"/>
  <c r="AO23" i="74" s="1"/>
  <c r="C122" i="74"/>
  <c r="B122" i="74"/>
  <c r="AF121" i="74"/>
  <c r="AE121" i="74"/>
  <c r="AD121" i="74"/>
  <c r="AC121" i="74"/>
  <c r="AB121" i="74"/>
  <c r="AA121" i="74"/>
  <c r="Z121" i="74"/>
  <c r="Y121" i="74"/>
  <c r="X121" i="74"/>
  <c r="W121" i="74"/>
  <c r="V121" i="74"/>
  <c r="U121" i="74"/>
  <c r="U123" i="74" s="1"/>
  <c r="BC23" i="74" s="1"/>
  <c r="T121" i="74"/>
  <c r="S121" i="74"/>
  <c r="R121" i="74"/>
  <c r="Q121" i="74"/>
  <c r="P121" i="74"/>
  <c r="O121" i="74"/>
  <c r="N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AA120" i="74"/>
  <c r="Z120" i="74"/>
  <c r="Y120" i="74"/>
  <c r="X120" i="74"/>
  <c r="W120" i="74"/>
  <c r="V120" i="74"/>
  <c r="U120" i="74"/>
  <c r="T120" i="74"/>
  <c r="S120" i="74"/>
  <c r="R120" i="74"/>
  <c r="Q120" i="74"/>
  <c r="P120" i="74"/>
  <c r="O120" i="74"/>
  <c r="N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AA119" i="74"/>
  <c r="Z119" i="74"/>
  <c r="Y119" i="74"/>
  <c r="X119" i="74"/>
  <c r="W119" i="74"/>
  <c r="V119" i="74"/>
  <c r="U119" i="74"/>
  <c r="T119" i="74"/>
  <c r="S119" i="74"/>
  <c r="R119" i="74"/>
  <c r="Q119" i="74"/>
  <c r="P119" i="74"/>
  <c r="O119" i="74"/>
  <c r="N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I119" i="74" s="1"/>
  <c r="AF118" i="74"/>
  <c r="AE118" i="74"/>
  <c r="AD118" i="74"/>
  <c r="AC118" i="74"/>
  <c r="AB118" i="74"/>
  <c r="AA118" i="74"/>
  <c r="Z118" i="74"/>
  <c r="Y118" i="74"/>
  <c r="X118" i="74"/>
  <c r="W118" i="74"/>
  <c r="V118" i="74"/>
  <c r="U118" i="74"/>
  <c r="T118" i="74"/>
  <c r="S118" i="74"/>
  <c r="R118" i="74"/>
  <c r="Q118" i="74"/>
  <c r="P118" i="74"/>
  <c r="O118" i="74"/>
  <c r="N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I118" i="74" s="1"/>
  <c r="AF117" i="74"/>
  <c r="AF123" i="74" s="1"/>
  <c r="BJ23" i="74" s="1"/>
  <c r="AE117" i="74"/>
  <c r="AD117" i="74"/>
  <c r="AC117" i="74"/>
  <c r="AB117" i="74"/>
  <c r="AA117" i="74"/>
  <c r="AA123" i="74" s="1"/>
  <c r="Z117" i="74"/>
  <c r="Z123" i="74" s="1"/>
  <c r="BF23" i="74" s="1"/>
  <c r="Y117" i="74"/>
  <c r="Y123" i="74" s="1"/>
  <c r="X117" i="74"/>
  <c r="X123" i="74" s="1"/>
  <c r="BE23" i="74" s="1"/>
  <c r="W117" i="74"/>
  <c r="V117" i="74"/>
  <c r="V123" i="74" s="1"/>
  <c r="BD23" i="74" s="1"/>
  <c r="U117" i="74"/>
  <c r="T117" i="74"/>
  <c r="S117" i="74"/>
  <c r="S123" i="74" s="1"/>
  <c r="BA23" i="74" s="1"/>
  <c r="R117" i="74"/>
  <c r="R123" i="74" s="1"/>
  <c r="R124" i="74" s="1"/>
  <c r="Q117" i="74"/>
  <c r="Q123" i="74" s="1"/>
  <c r="AY23" i="74" s="1"/>
  <c r="P117" i="74"/>
  <c r="P123" i="74" s="1"/>
  <c r="AX23" i="74" s="1"/>
  <c r="O117" i="74"/>
  <c r="N117" i="74"/>
  <c r="M117" i="74"/>
  <c r="L117" i="74"/>
  <c r="K117" i="74"/>
  <c r="K123" i="74" s="1"/>
  <c r="AT23" i="74" s="1"/>
  <c r="J117" i="74"/>
  <c r="J123" i="74" s="1"/>
  <c r="J124" i="74" s="1"/>
  <c r="I117" i="74"/>
  <c r="I123" i="74" s="1"/>
  <c r="H117" i="74"/>
  <c r="H123" i="74" s="1"/>
  <c r="H124" i="74" s="1"/>
  <c r="G117" i="74"/>
  <c r="F117" i="74"/>
  <c r="F123" i="74" s="1"/>
  <c r="AQ23" i="74" s="1"/>
  <c r="E117" i="74"/>
  <c r="D117" i="74"/>
  <c r="C117" i="74"/>
  <c r="B117" i="74"/>
  <c r="AI114" i="74"/>
  <c r="AH114" i="74"/>
  <c r="H113" i="74"/>
  <c r="H115" i="74" s="1"/>
  <c r="AI112" i="74"/>
  <c r="AH112" i="74"/>
  <c r="AG112" i="74"/>
  <c r="AI111" i="74"/>
  <c r="AH111" i="74"/>
  <c r="AI110" i="74"/>
  <c r="AH110" i="74"/>
  <c r="AI109" i="74"/>
  <c r="AH109" i="74"/>
  <c r="AG108" i="74"/>
  <c r="AF108" i="74"/>
  <c r="AE108" i="74"/>
  <c r="AD108" i="74"/>
  <c r="AC108" i="74"/>
  <c r="AB108" i="74"/>
  <c r="AB124" i="74" s="1"/>
  <c r="AA108" i="74"/>
  <c r="Z108" i="74"/>
  <c r="Y108" i="74"/>
  <c r="X108" i="74"/>
  <c r="W108" i="74"/>
  <c r="V108" i="74"/>
  <c r="U108" i="74"/>
  <c r="T108" i="74"/>
  <c r="T124" i="74" s="1"/>
  <c r="S108" i="74"/>
  <c r="R108" i="74"/>
  <c r="Q108" i="74"/>
  <c r="P108" i="74"/>
  <c r="O108" i="74"/>
  <c r="N108" i="74"/>
  <c r="M108" i="74"/>
  <c r="L108" i="74"/>
  <c r="L124" i="74" s="1"/>
  <c r="K108" i="74"/>
  <c r="J108" i="74"/>
  <c r="I108" i="74"/>
  <c r="H108" i="74"/>
  <c r="G108" i="74"/>
  <c r="F108" i="74"/>
  <c r="E108" i="74"/>
  <c r="D108" i="74"/>
  <c r="D124" i="74" s="1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AA96" i="74"/>
  <c r="Z96" i="74"/>
  <c r="Y96" i="74"/>
  <c r="X96" i="74"/>
  <c r="W96" i="74"/>
  <c r="V96" i="74"/>
  <c r="BD20" i="74" s="1"/>
  <c r="U96" i="74"/>
  <c r="BC20" i="74" s="1"/>
  <c r="T96" i="74"/>
  <c r="S96" i="74"/>
  <c r="R96" i="74"/>
  <c r="Q96" i="74"/>
  <c r="P96" i="74"/>
  <c r="O96" i="74"/>
  <c r="N96" i="74"/>
  <c r="AV20" i="74" s="1"/>
  <c r="M96" i="74"/>
  <c r="AU20" i="74" s="1"/>
  <c r="L96" i="74"/>
  <c r="K96" i="74"/>
  <c r="J96" i="74"/>
  <c r="I96" i="74"/>
  <c r="H96" i="74"/>
  <c r="G96" i="74"/>
  <c r="F96" i="74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F116" i="74" s="1"/>
  <c r="AF7" i="74" s="1"/>
  <c r="AE92" i="74"/>
  <c r="AD92" i="74"/>
  <c r="BH18" i="74" s="1"/>
  <c r="AC92" i="74"/>
  <c r="AB92" i="74"/>
  <c r="AA92" i="74"/>
  <c r="Z92" i="74"/>
  <c r="Y92" i="74"/>
  <c r="X92" i="74"/>
  <c r="BE18" i="74" s="1"/>
  <c r="W92" i="74"/>
  <c r="V92" i="74"/>
  <c r="U92" i="74"/>
  <c r="T92" i="74"/>
  <c r="S92" i="74"/>
  <c r="R92" i="74"/>
  <c r="AZ18" i="74" s="1"/>
  <c r="Q92" i="74"/>
  <c r="P92" i="74"/>
  <c r="P113" i="74" s="1"/>
  <c r="P115" i="74" s="1"/>
  <c r="P116" i="74" s="1"/>
  <c r="P7" i="74" s="1"/>
  <c r="O92" i="74"/>
  <c r="AW18" i="74" s="1"/>
  <c r="N92" i="74"/>
  <c r="M92" i="74"/>
  <c r="L92" i="74"/>
  <c r="K92" i="74"/>
  <c r="J92" i="74"/>
  <c r="I92" i="74"/>
  <c r="H92" i="74"/>
  <c r="G92" i="74"/>
  <c r="AR18" i="74" s="1"/>
  <c r="F92" i="74"/>
  <c r="AQ18" i="74" s="1"/>
  <c r="E92" i="74"/>
  <c r="D92" i="74"/>
  <c r="C92" i="74"/>
  <c r="B92" i="74"/>
  <c r="AM18" i="74" s="1"/>
  <c r="BV91" i="74"/>
  <c r="BQ91" i="74"/>
  <c r="BP91" i="74"/>
  <c r="BN91" i="74"/>
  <c r="BM91" i="74"/>
  <c r="BI91" i="74"/>
  <c r="BH91" i="74"/>
  <c r="BF91" i="74"/>
  <c r="BD91" i="74"/>
  <c r="BA91" i="74"/>
  <c r="AZ91" i="74"/>
  <c r="AI91" i="74"/>
  <c r="AH91" i="74"/>
  <c r="AG91" i="74"/>
  <c r="AG92" i="74" s="1"/>
  <c r="AG3" i="74" s="1"/>
  <c r="BS90" i="74"/>
  <c r="BQ90" i="74"/>
  <c r="BP90" i="74"/>
  <c r="BO90" i="74"/>
  <c r="BK90" i="74"/>
  <c r="BH90" i="74"/>
  <c r="BC90" i="74"/>
  <c r="BA90" i="74"/>
  <c r="AZ90" i="74"/>
  <c r="AI90" i="74"/>
  <c r="AH90" i="74"/>
  <c r="BU89" i="74"/>
  <c r="BR89" i="74"/>
  <c r="BM89" i="74"/>
  <c r="BJ89" i="74"/>
  <c r="BE89" i="74"/>
  <c r="BB89" i="74"/>
  <c r="AI89" i="74"/>
  <c r="AH89" i="74"/>
  <c r="BW88" i="74"/>
  <c r="BT88" i="74"/>
  <c r="BO88" i="74"/>
  <c r="BL88" i="74"/>
  <c r="BG88" i="74"/>
  <c r="BD88" i="74"/>
  <c r="AI88" i="74"/>
  <c r="AH88" i="74"/>
  <c r="BW87" i="74"/>
  <c r="BV87" i="74"/>
  <c r="BU87" i="74"/>
  <c r="BQ87" i="74"/>
  <c r="BN87" i="74"/>
  <c r="BI87" i="74"/>
  <c r="BG87" i="74"/>
  <c r="BF87" i="74"/>
  <c r="BE87" i="74"/>
  <c r="BA87" i="74"/>
  <c r="AI87" i="74"/>
  <c r="AH87" i="74"/>
  <c r="BS86" i="74"/>
  <c r="BQ86" i="74"/>
  <c r="BP86" i="74"/>
  <c r="BO86" i="74"/>
  <c r="BK86" i="74"/>
  <c r="BH86" i="74"/>
  <c r="BC86" i="74"/>
  <c r="BA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P84" i="74"/>
  <c r="BO84" i="74"/>
  <c r="BO91" i="74" s="1"/>
  <c r="BN84" i="74"/>
  <c r="BM84" i="74"/>
  <c r="BL84" i="74"/>
  <c r="BL91" i="74" s="1"/>
  <c r="BK84" i="74"/>
  <c r="BK91" i="74" s="1"/>
  <c r="BJ84" i="74"/>
  <c r="BJ91" i="74" s="1"/>
  <c r="BI84" i="74"/>
  <c r="BH84" i="74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P83" i="74"/>
  <c r="BO83" i="74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I82" i="74"/>
  <c r="BI89" i="74" s="1"/>
  <c r="BH82" i="74"/>
  <c r="BH89" i="74" s="1"/>
  <c r="BG82" i="74"/>
  <c r="BG89" i="74" s="1"/>
  <c r="BF82" i="74"/>
  <c r="BF89" i="74" s="1"/>
  <c r="BE82" i="74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S81" i="74"/>
  <c r="BS88" i="74" s="1"/>
  <c r="BR81" i="74"/>
  <c r="BR88" i="74" s="1"/>
  <c r="BQ81" i="74"/>
  <c r="BQ88" i="74" s="1"/>
  <c r="BP81" i="74"/>
  <c r="BP88" i="74" s="1"/>
  <c r="BO81" i="74"/>
  <c r="BN81" i="74"/>
  <c r="BN88" i="74" s="1"/>
  <c r="BM81" i="74"/>
  <c r="BM88" i="74" s="1"/>
  <c r="BL81" i="74"/>
  <c r="BK81" i="74"/>
  <c r="BK88" i="74" s="1"/>
  <c r="BJ81" i="74"/>
  <c r="BJ88" i="74" s="1"/>
  <c r="BI81" i="74"/>
  <c r="BI88" i="74" s="1"/>
  <c r="BH81" i="74"/>
  <c r="BH88" i="74" s="1"/>
  <c r="BG81" i="74"/>
  <c r="BF81" i="74"/>
  <c r="BF88" i="74" s="1"/>
  <c r="BE81" i="74"/>
  <c r="BE88" i="74" s="1"/>
  <c r="BD81" i="74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P80" i="74"/>
  <c r="BP87" i="74" s="1"/>
  <c r="BO80" i="74"/>
  <c r="BO87" i="74" s="1"/>
  <c r="BN80" i="74"/>
  <c r="BM80" i="74"/>
  <c r="BM87" i="74" s="1"/>
  <c r="BL80" i="74"/>
  <c r="BL87" i="74" s="1"/>
  <c r="BK80" i="74"/>
  <c r="BK87" i="74" s="1"/>
  <c r="BJ80" i="74"/>
  <c r="BJ87" i="74" s="1"/>
  <c r="BI80" i="74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P79" i="74"/>
  <c r="BO79" i="74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G79" i="74"/>
  <c r="BG86" i="74" s="1"/>
  <c r="BF79" i="74"/>
  <c r="BF86" i="74" s="1"/>
  <c r="BE79" i="74"/>
  <c r="BE86" i="74" s="1"/>
  <c r="BD79" i="74"/>
  <c r="BD86" i="74" s="1"/>
  <c r="BC79" i="74"/>
  <c r="BB79" i="74"/>
  <c r="BB86" i="74" s="1"/>
  <c r="BA79" i="74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AA78" i="74"/>
  <c r="Z78" i="74"/>
  <c r="Y78" i="74"/>
  <c r="X78" i="74"/>
  <c r="W78" i="74"/>
  <c r="V78" i="74"/>
  <c r="U78" i="74"/>
  <c r="T78" i="74"/>
  <c r="BB17" i="74" s="1"/>
  <c r="BB22" i="74" s="1"/>
  <c r="BB25" i="74" s="1"/>
  <c r="S78" i="74"/>
  <c r="BA17" i="74" s="1"/>
  <c r="R78" i="74"/>
  <c r="Q78" i="74"/>
  <c r="P78" i="74"/>
  <c r="O78" i="74"/>
  <c r="N78" i="74"/>
  <c r="M78" i="74"/>
  <c r="AU17" i="74" s="1"/>
  <c r="L78" i="74"/>
  <c r="K78" i="74"/>
  <c r="AT17" i="74" s="1"/>
  <c r="J78" i="74"/>
  <c r="I78" i="74"/>
  <c r="H78" i="74"/>
  <c r="G78" i="74"/>
  <c r="F78" i="74"/>
  <c r="E78" i="74"/>
  <c r="D78" i="74"/>
  <c r="C78" i="74"/>
  <c r="B78" i="74"/>
  <c r="AH78" i="74" s="1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AE71" i="74"/>
  <c r="AD71" i="74"/>
  <c r="AC71" i="74"/>
  <c r="AB71" i="74"/>
  <c r="AA71" i="74"/>
  <c r="Z71" i="74"/>
  <c r="Z113" i="74" s="1"/>
  <c r="Z115" i="74" s="1"/>
  <c r="Z116" i="74" s="1"/>
  <c r="Z7" i="74" s="1"/>
  <c r="Y71" i="74"/>
  <c r="Y113" i="74" s="1"/>
  <c r="Y115" i="74" s="1"/>
  <c r="Y116" i="74" s="1"/>
  <c r="X71" i="74"/>
  <c r="W71" i="74"/>
  <c r="V71" i="74"/>
  <c r="U71" i="74"/>
  <c r="T71" i="74"/>
  <c r="S71" i="74"/>
  <c r="R71" i="74"/>
  <c r="AZ16" i="74" s="1"/>
  <c r="AZ22" i="74" s="1"/>
  <c r="AZ25" i="74" s="1"/>
  <c r="Q71" i="74"/>
  <c r="Q113" i="74" s="1"/>
  <c r="Q115" i="74" s="1"/>
  <c r="Q116" i="74" s="1"/>
  <c r="P71" i="74"/>
  <c r="O71" i="74"/>
  <c r="N71" i="74"/>
  <c r="M71" i="74"/>
  <c r="L71" i="74"/>
  <c r="K71" i="74"/>
  <c r="J71" i="74"/>
  <c r="J113" i="74" s="1"/>
  <c r="J115" i="74" s="1"/>
  <c r="J116" i="74" s="1"/>
  <c r="J7" i="74" s="1"/>
  <c r="I71" i="74"/>
  <c r="H71" i="74"/>
  <c r="G71" i="74"/>
  <c r="F71" i="74"/>
  <c r="E71" i="74"/>
  <c r="AP16" i="74" s="1"/>
  <c r="D71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S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BA20" i="74"/>
  <c r="AZ20" i="74"/>
  <c r="AY20" i="74"/>
  <c r="AX20" i="74"/>
  <c r="AW20" i="74"/>
  <c r="AT20" i="74"/>
  <c r="AS20" i="74"/>
  <c r="AR20" i="74"/>
  <c r="AQ20" i="74"/>
  <c r="AP20" i="74"/>
  <c r="AO20" i="74"/>
  <c r="AN20" i="74"/>
  <c r="AI20" i="74"/>
  <c r="AH20" i="74"/>
  <c r="BJ19" i="74"/>
  <c r="BJ22" i="74" s="1"/>
  <c r="BJ25" i="74" s="1"/>
  <c r="BI19" i="74"/>
  <c r="BH19" i="74"/>
  <c r="BG19" i="74"/>
  <c r="BF19" i="74"/>
  <c r="BE19" i="74"/>
  <c r="BD19" i="74"/>
  <c r="BB19" i="74"/>
  <c r="BA19" i="74"/>
  <c r="AZ19" i="74"/>
  <c r="AY19" i="74"/>
  <c r="AX19" i="74"/>
  <c r="AV19" i="74"/>
  <c r="AT19" i="74"/>
  <c r="AS19" i="74"/>
  <c r="AR19" i="74"/>
  <c r="AQ19" i="74"/>
  <c r="AO19" i="74"/>
  <c r="AI19" i="74"/>
  <c r="AH19" i="74"/>
  <c r="BJ18" i="74"/>
  <c r="BI18" i="74"/>
  <c r="BG18" i="74"/>
  <c r="BF18" i="74"/>
  <c r="BD18" i="74"/>
  <c r="BC18" i="74"/>
  <c r="BB18" i="74"/>
  <c r="BA18" i="74"/>
  <c r="AY18" i="74"/>
  <c r="AX18" i="74"/>
  <c r="AV18" i="74"/>
  <c r="AU18" i="74"/>
  <c r="AT18" i="74"/>
  <c r="AT22" i="74" s="1"/>
  <c r="AT25" i="74" s="1"/>
  <c r="AS18" i="74"/>
  <c r="AP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R17" i="74"/>
  <c r="AQ17" i="74"/>
  <c r="AP17" i="74"/>
  <c r="AO17" i="74"/>
  <c r="AN17" i="74"/>
  <c r="AM17" i="74"/>
  <c r="AI17" i="74"/>
  <c r="AH17" i="74"/>
  <c r="BJ16" i="74"/>
  <c r="BI16" i="74"/>
  <c r="BH16" i="74"/>
  <c r="BG16" i="74"/>
  <c r="BG22" i="74" s="1"/>
  <c r="BG25" i="74" s="1"/>
  <c r="BF16" i="74"/>
  <c r="BF22" i="74" s="1"/>
  <c r="BF25" i="74" s="1"/>
  <c r="BE16" i="74"/>
  <c r="BB16" i="74"/>
  <c r="AX16" i="74"/>
  <c r="AX22" i="74" s="1"/>
  <c r="AX25" i="74" s="1"/>
  <c r="AW16" i="74"/>
  <c r="AT16" i="74"/>
  <c r="AR16" i="74"/>
  <c r="AR22" i="74" s="1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E5" i="74"/>
  <c r="AC5" i="74"/>
  <c r="AA5" i="74"/>
  <c r="Z5" i="74"/>
  <c r="Y5" i="74"/>
  <c r="X5" i="74"/>
  <c r="W5" i="74"/>
  <c r="V5" i="74"/>
  <c r="U5" i="74"/>
  <c r="S5" i="74"/>
  <c r="R5" i="74"/>
  <c r="Q5" i="74"/>
  <c r="P5" i="74"/>
  <c r="O5" i="74"/>
  <c r="N5" i="74"/>
  <c r="M5" i="74"/>
  <c r="K5" i="74"/>
  <c r="J5" i="74"/>
  <c r="I5" i="74"/>
  <c r="H5" i="74"/>
  <c r="G5" i="74"/>
  <c r="F5" i="74"/>
  <c r="E5" i="74"/>
  <c r="C5" i="74"/>
  <c r="AG4" i="74"/>
  <c r="K4" i="74"/>
  <c r="E4" i="74"/>
  <c r="H4" i="74" s="1"/>
  <c r="B4" i="74"/>
  <c r="AL13" i="74" s="1"/>
  <c r="AG2" i="74"/>
  <c r="AG6" i="74" s="1"/>
  <c r="C123" i="74" l="1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Y135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U124" i="74"/>
  <c r="BC19" i="74"/>
  <c r="AB5" i="74"/>
  <c r="AC124" i="74"/>
  <c r="H116" i="74"/>
  <c r="H7" i="74" s="1"/>
  <c r="G123" i="74"/>
  <c r="AR23" i="74" s="1"/>
  <c r="AR25" i="74" s="1"/>
  <c r="O123" i="74"/>
  <c r="AW23" i="74" s="1"/>
  <c r="W1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T166" i="74" s="1"/>
  <c r="U166" i="74" s="1"/>
  <c r="V166" i="74" s="1"/>
  <c r="W166" i="74" s="1"/>
  <c r="X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113" i="74"/>
  <c r="AA115" i="74" s="1"/>
  <c r="AA116" i="74" s="1"/>
  <c r="AA7" i="74" s="1"/>
  <c r="AI71" i="74"/>
  <c r="G124" i="74"/>
  <c r="O124" i="74"/>
  <c r="AW19" i="74"/>
  <c r="W124" i="74"/>
  <c r="AE124" i="74"/>
  <c r="AH117" i="74"/>
  <c r="AI121" i="74"/>
  <c r="AH122" i="74"/>
  <c r="R113" i="74"/>
  <c r="R115" i="74" s="1"/>
  <c r="R116" i="74" s="1"/>
  <c r="R7" i="74" s="1"/>
  <c r="AH118" i="74"/>
  <c r="AI120" i="74"/>
  <c r="D167" i="74"/>
  <c r="E161" i="74"/>
  <c r="C274" i="74"/>
  <c r="D169" i="74"/>
  <c r="I177" i="74"/>
  <c r="AH71" i="74"/>
  <c r="T113" i="74"/>
  <c r="T115" i="74" s="1"/>
  <c r="T116" i="74" s="1"/>
  <c r="T7" i="74" s="1"/>
  <c r="I124" i="74"/>
  <c r="Q124" i="74"/>
  <c r="Y124" i="74"/>
  <c r="AG115" i="74"/>
  <c r="X113" i="74"/>
  <c r="X115" i="74" s="1"/>
  <c r="X116" i="74" s="1"/>
  <c r="X7" i="74" s="1"/>
  <c r="P124" i="74"/>
  <c r="N123" i="74"/>
  <c r="AV23" i="74" s="1"/>
  <c r="AD123" i="74"/>
  <c r="BH23" i="74" s="1"/>
  <c r="AW22" i="74"/>
  <c r="AW25" i="74" s="1"/>
  <c r="F124" i="74"/>
  <c r="V124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AU22" i="74" s="1"/>
  <c r="AU25" i="74" s="1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F116" i="74" s="1"/>
  <c r="F7" i="74" s="1"/>
  <c r="V113" i="74"/>
  <c r="V115" i="74" s="1"/>
  <c r="V116" i="74" s="1"/>
  <c r="V7" i="74" s="1"/>
  <c r="AH92" i="74"/>
  <c r="AJ108" i="74" a="1"/>
  <c r="AJ108" i="74" s="1"/>
  <c r="F189" i="74"/>
  <c r="E135" i="74"/>
  <c r="BH22" i="74"/>
  <c r="BH25" i="74" s="1"/>
  <c r="N124" i="74"/>
  <c r="AD124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BC22" i="74" s="1"/>
  <c r="BC25" i="74" s="1"/>
  <c r="U113" i="74"/>
  <c r="U115" i="74" s="1"/>
  <c r="U116" i="74" s="1"/>
  <c r="U7" i="74" s="1"/>
  <c r="BI22" i="74"/>
  <c r="BI25" i="74" s="1"/>
  <c r="N113" i="74"/>
  <c r="N115" i="74" s="1"/>
  <c r="AD113" i="74"/>
  <c r="AD115" i="74" s="1"/>
  <c r="AD5" i="74"/>
  <c r="AQ22" i="74"/>
  <c r="AQ25" i="74" s="1"/>
  <c r="BE22" i="74"/>
  <c r="BE25" i="74" s="1"/>
  <c r="G113" i="74"/>
  <c r="G115" i="74" s="1"/>
  <c r="O113" i="74"/>
  <c r="O115" i="74" s="1"/>
  <c r="O116" i="74" s="1"/>
  <c r="O7" i="74" s="1"/>
  <c r="W113" i="74"/>
  <c r="W115" i="74" s="1"/>
  <c r="W116" i="74" s="1"/>
  <c r="W7" i="74" s="1"/>
  <c r="AE113" i="74"/>
  <c r="AE115" i="74" s="1"/>
  <c r="AI92" i="74"/>
  <c r="C124" i="74"/>
  <c r="K124" i="74"/>
  <c r="S124" i="74"/>
  <c r="AA124" i="74"/>
  <c r="X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M23" i="74" l="1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Z135" i="74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AI124" i="74"/>
  <c r="J177" i="74"/>
  <c r="AH123" i="74"/>
  <c r="AT8" i="74"/>
  <c r="G116" i="74"/>
  <c r="G7" i="74" s="1"/>
  <c r="AI113" i="74"/>
  <c r="AE116" i="74"/>
  <c r="AE7" i="74" s="1"/>
  <c r="N116" i="74"/>
  <c r="N7" i="74" s="1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K135" i="74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L135" i="74"/>
  <c r="N189" i="74" l="1"/>
  <c r="M135" i="74"/>
  <c r="M161" i="74"/>
  <c r="L167" i="74"/>
  <c r="K274" i="74"/>
  <c r="L169" i="74"/>
  <c r="R177" i="74"/>
  <c r="L274" i="74" l="1"/>
  <c r="M169" i="74"/>
  <c r="O189" i="74"/>
  <c r="N135" i="74"/>
  <c r="M167" i="74"/>
  <c r="N161" i="74"/>
  <c r="S177" i="74"/>
  <c r="O161" i="74" l="1"/>
  <c r="N167" i="74"/>
  <c r="P189" i="74"/>
  <c r="Q189" i="74" s="1"/>
  <c r="O135" i="74"/>
  <c r="M274" i="74"/>
  <c r="N169" i="74"/>
  <c r="T177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U177" i="74"/>
  <c r="R189" i="74"/>
  <c r="O167" i="74"/>
  <c r="P161" i="74"/>
  <c r="V177" i="74" l="1"/>
  <c r="P167" i="74"/>
  <c r="Q161" i="74"/>
  <c r="S189" i="74"/>
  <c r="O274" i="74"/>
  <c r="P169" i="74"/>
  <c r="P274" i="74" l="1"/>
  <c r="Q169" i="74"/>
  <c r="R161" i="74"/>
  <c r="Q167" i="74"/>
  <c r="Q135" i="74"/>
  <c r="T189" i="74"/>
  <c r="W177" i="74"/>
  <c r="X177" i="74" l="1"/>
  <c r="S161" i="74"/>
  <c r="R167" i="74"/>
  <c r="R135" i="74"/>
  <c r="Q274" i="74"/>
  <c r="R169" i="74"/>
  <c r="U189" i="74"/>
  <c r="R274" i="74" l="1"/>
  <c r="S169" i="74"/>
  <c r="V189" i="74"/>
  <c r="S167" i="74"/>
  <c r="T161" i="74"/>
  <c r="S135" i="74"/>
  <c r="Y177" i="74"/>
  <c r="Z177" i="74" s="1"/>
  <c r="AA177" i="74" s="1"/>
  <c r="T167" i="74" l="1"/>
  <c r="U161" i="74"/>
  <c r="T135" i="74"/>
  <c r="W189" i="74"/>
  <c r="S274" i="74"/>
  <c r="T169" i="74"/>
  <c r="AB177" i="74"/>
  <c r="AC177" i="74" l="1"/>
  <c r="T274" i="74"/>
  <c r="U169" i="74"/>
  <c r="X189" i="74"/>
  <c r="V161" i="74"/>
  <c r="U167" i="74"/>
  <c r="U135" i="74"/>
  <c r="W161" i="74" l="1"/>
  <c r="V167" i="74"/>
  <c r="V135" i="74"/>
  <c r="Y189" i="74"/>
  <c r="Z189" i="74" s="1"/>
  <c r="AA189" i="74" s="1"/>
  <c r="U274" i="74"/>
  <c r="V169" i="74"/>
  <c r="AD177" i="74"/>
  <c r="AE177" i="74" l="1"/>
  <c r="V274" i="74"/>
  <c r="W169" i="74"/>
  <c r="AB189" i="74"/>
  <c r="W167" i="74"/>
  <c r="X161" i="74"/>
  <c r="W135" i="74"/>
  <c r="X167" i="74" l="1"/>
  <c r="Y161" i="74"/>
  <c r="X135" i="74"/>
  <c r="AC189" i="74"/>
  <c r="W274" i="74"/>
  <c r="X169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A135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<sst xmlns="http://schemas.openxmlformats.org/spreadsheetml/2006/main" count="1263" uniqueCount="415">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</sst>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66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P6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Z143" sqref="Z143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2080/10/1</v>
      </c>
      <c r="C4" s="232"/>
      <c r="D4" s="232"/>
      <c r="E4" s="233" t="str">
        <f ca="1">"2080/"&amp;"10/"&amp;INT(MID(CELL("filename",G6),FIND("]",CELL("filename",G6))+1,200))</f>
        <v>2080/10/1</v>
      </c>
      <c r="F4" s="233"/>
      <c r="G4" s="233"/>
      <c r="H4" s="233" t="str">
        <f ca="1">TEXT(E4,"dddd")</f>
        <v>Tuesday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22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23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O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Q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661" priority="47">
      <formula>$AH11=0</formula>
    </cfRule>
  </conditionalFormatting>
  <conditionalFormatting sqref="A101:A102">
    <cfRule type="expression" dxfId="660" priority="215">
      <formula>$AH106=0</formula>
    </cfRule>
  </conditionalFormatting>
  <conditionalFormatting sqref="A103:A107">
    <cfRule type="expression" dxfId="659" priority="163">
      <formula>$AH102=0</formula>
    </cfRule>
  </conditionalFormatting>
  <conditionalFormatting sqref="A160:A167">
    <cfRule type="expression" dxfId="658" priority="216">
      <formula>$AH267=0</formula>
    </cfRule>
  </conditionalFormatting>
  <conditionalFormatting sqref="A168:A275">
    <cfRule type="expression" dxfId="657" priority="86">
      <formula>$AH168=0</formula>
    </cfRule>
  </conditionalFormatting>
  <conditionalFormatting sqref="B8">
    <cfRule type="expression" dxfId="656" priority="211">
      <formula>AND(C$9&gt;=14/24,C$9&lt;20/24)</formula>
    </cfRule>
    <cfRule type="expression" dxfId="655" priority="212">
      <formula>AND(C$9&gt;=8/24,C$9&lt;14/24)</formula>
    </cfRule>
    <cfRule type="expression" dxfId="654" priority="213">
      <formula>C$9&lt;8/24</formula>
    </cfRule>
    <cfRule type="expression" dxfId="65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5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51" priority="129">
      <formula>AND(B$9&gt;=14/24,B$9&lt;20/24)</formula>
    </cfRule>
    <cfRule type="expression" dxfId="650" priority="130">
      <formula>AND(B$9&gt;=8/24,B$9&lt;14/24)</formula>
    </cfRule>
    <cfRule type="expression" dxfId="649" priority="131">
      <formula>B$9&lt;8/24</formula>
    </cfRule>
  </conditionalFormatting>
  <conditionalFormatting sqref="B29:Y53">
    <cfRule type="expression" dxfId="648" priority="71">
      <formula>B29&gt;$AG29*1</formula>
    </cfRule>
    <cfRule type="expression" dxfId="647" priority="72">
      <formula>B$9&gt;=20/24</formula>
    </cfRule>
    <cfRule type="expression" dxfId="646" priority="73">
      <formula>AND(B$9&gt;=14/24,B$9&lt;20/24)</formula>
    </cfRule>
    <cfRule type="expression" dxfId="645" priority="74">
      <formula>AND(B$9&gt;=8/24,B$9&lt;14/24)</formula>
    </cfRule>
    <cfRule type="expression" dxfId="644" priority="75">
      <formula>B$9&lt;8/24</formula>
    </cfRule>
  </conditionalFormatting>
  <conditionalFormatting sqref="B54:Y68">
    <cfRule type="expression" dxfId="643" priority="64">
      <formula>B$9&lt;8/24</formula>
    </cfRule>
  </conditionalFormatting>
  <conditionalFormatting sqref="B54:Y70">
    <cfRule type="expression" dxfId="642" priority="61">
      <formula>B$9&gt;=20/24</formula>
    </cfRule>
    <cfRule type="expression" dxfId="641" priority="62">
      <formula>AND(B$9&gt;=14/24,B$9&lt;20/24)</formula>
    </cfRule>
    <cfRule type="expression" dxfId="640" priority="63">
      <formula>AND(B$9&gt;=8/24,B$9&lt;14/24)</formula>
    </cfRule>
  </conditionalFormatting>
  <conditionalFormatting sqref="B63:Y65">
    <cfRule type="expression" dxfId="639" priority="65">
      <formula>B63&gt;$AG63</formula>
    </cfRule>
  </conditionalFormatting>
  <conditionalFormatting sqref="B69:Y70">
    <cfRule type="expression" dxfId="638" priority="136">
      <formula>B$9&lt;8/24</formula>
    </cfRule>
  </conditionalFormatting>
  <conditionalFormatting sqref="B72:AF75">
    <cfRule type="expression" dxfId="637" priority="52">
      <formula>B72&gt;$AG72*1</formula>
    </cfRule>
  </conditionalFormatting>
  <conditionalFormatting sqref="B73:AF75">
    <cfRule type="expression" dxfId="636" priority="53">
      <formula>B$9&gt;=20/24</formula>
    </cfRule>
    <cfRule type="expression" dxfId="635" priority="54">
      <formula>AND(B$9&gt;=14/24,B$9&lt;20/24)</formula>
    </cfRule>
    <cfRule type="expression" dxfId="634" priority="55">
      <formula>AND(B$9&gt;=8/24,B$9&lt;14/24)</formula>
    </cfRule>
    <cfRule type="expression" dxfId="633" priority="56">
      <formula>B$9&lt;8/24</formula>
    </cfRule>
  </conditionalFormatting>
  <conditionalFormatting sqref="F161:AF167">
    <cfRule type="expression" dxfId="632" priority="87">
      <formula>F$9&gt;=20/24</formula>
    </cfRule>
    <cfRule type="expression" dxfId="631" priority="88">
      <formula>AND(F$9&gt;=14/24,F$9&lt;20/24)</formula>
    </cfRule>
    <cfRule type="expression" dxfId="630" priority="89">
      <formula>AND(F$9&gt;=8/24,F$9&lt;14/24)</formula>
    </cfRule>
    <cfRule type="expression" dxfId="629" priority="90">
      <formula>F$9&lt;8/24</formula>
    </cfRule>
  </conditionalFormatting>
  <conditionalFormatting sqref="F169:AF274">
    <cfRule type="expression" dxfId="628" priority="48">
      <formula>F$9&gt;=20/24</formula>
    </cfRule>
    <cfRule type="expression" dxfId="627" priority="49">
      <formula>AND(F$9&gt;=14/24,F$9&lt;20/24)</formula>
    </cfRule>
    <cfRule type="expression" dxfId="626" priority="50">
      <formula>AND(F$9&gt;=8/24,F$9&lt;14/24)</formula>
    </cfRule>
    <cfRule type="expression" dxfId="625" priority="51">
      <formula>F$9&lt;8/24</formula>
    </cfRule>
  </conditionalFormatting>
  <conditionalFormatting sqref="AF96:AG96 B71:AG71 Z78:AG78 X91:AF91 B76:W96 B69:Y69 X76:Y90 X92:AE96 Z76:AF77 Z79:AF90 AF92:AF95">
    <cfRule type="expression" dxfId="624" priority="127">
      <formula>B69&gt;$AG69*1</formula>
    </cfRule>
  </conditionalFormatting>
  <conditionalFormatting sqref="F79:Y83">
    <cfRule type="expression" dxfId="623" priority="137">
      <formula>F$9&gt;=20/24</formula>
    </cfRule>
    <cfRule type="expression" dxfId="622" priority="138">
      <formula>AND(F$9&gt;=14/24,F$9&lt;20/24)</formula>
    </cfRule>
    <cfRule type="expression" dxfId="621" priority="139">
      <formula>AND(F$9&gt;=8/24,F$9&lt;14/24)</formula>
    </cfRule>
    <cfRule type="expression" dxfId="620" priority="140">
      <formula>F$9&lt;8/24</formula>
    </cfRule>
  </conditionalFormatting>
  <conditionalFormatting sqref="F84:Y84">
    <cfRule type="expression" dxfId="619" priority="132">
      <formula>F$9&gt;=20/24</formula>
    </cfRule>
    <cfRule type="expression" dxfId="618" priority="133">
      <formula>AND(F$9&gt;=14/24,F$9&lt;20/24)</formula>
    </cfRule>
    <cfRule type="expression" dxfId="617" priority="134">
      <formula>AND(F$9&gt;=8/24,F$9&lt;14/24)</formula>
    </cfRule>
    <cfRule type="expression" dxfId="616" priority="135">
      <formula>F$9&lt;8/24</formula>
    </cfRule>
  </conditionalFormatting>
  <conditionalFormatting sqref="F78:AF78 B72:AF72">
    <cfRule type="expression" dxfId="615" priority="147">
      <formula>B$9&gt;=20/24</formula>
    </cfRule>
    <cfRule type="expression" dxfId="614" priority="148">
      <formula>AND(B$9&gt;=14/24,B$9&lt;20/24)</formula>
    </cfRule>
    <cfRule type="expression" dxfId="613" priority="149">
      <formula>AND(B$9&gt;=8/24,B$9&lt;14/24)</formula>
    </cfRule>
    <cfRule type="expression" dxfId="612" priority="150">
      <formula>B$9&lt;8/24</formula>
    </cfRule>
  </conditionalFormatting>
  <conditionalFormatting sqref="F79:Y81">
    <cfRule type="expression" dxfId="607" priority="155">
      <formula>F$9&gt;=20/24</formula>
    </cfRule>
    <cfRule type="expression" dxfId="606" priority="156">
      <formula>AND(F$9&gt;=14/24,F$9&lt;20/24)</formula>
    </cfRule>
    <cfRule type="expression" dxfId="605" priority="157">
      <formula>AND(F$9&gt;=8/24,F$9&lt;14/24)</formula>
    </cfRule>
    <cfRule type="expression" dxfId="604" priority="158">
      <formula>F$9&lt;8/24</formula>
    </cfRule>
  </conditionalFormatting>
  <conditionalFormatting sqref="L84:AF84">
    <cfRule type="expression" dxfId="603" priority="151">
      <formula>L$9&gt;=20/24</formula>
    </cfRule>
    <cfRule type="expression" dxfId="602" priority="152">
      <formula>AND(L$9&gt;=14/24,L$9&lt;20/24)</formula>
    </cfRule>
    <cfRule type="expression" dxfId="601" priority="153">
      <formula>AND(L$9&gt;=8/24,L$9&lt;14/24)</formula>
    </cfRule>
    <cfRule type="expression" dxfId="600" priority="154">
      <formula>L$9&lt;8/24</formula>
    </cfRule>
  </conditionalFormatting>
  <conditionalFormatting sqref="M8 S8 AB8">
    <cfRule type="expression" dxfId="599" priority="204">
      <formula>AND(N$9&gt;=14/24,N$9&lt;20/24)</formula>
    </cfRule>
    <cfRule type="expression" dxfId="598" priority="205">
      <formula>AND(N$9&gt;=8/24,N$9&lt;14/24)</formula>
    </cfRule>
    <cfRule type="expression" dxfId="597" priority="206">
      <formula>N$9&lt;8/24</formula>
    </cfRule>
  </conditionalFormatting>
  <conditionalFormatting sqref="T79:Y83 Z80:AF83">
    <cfRule type="expression" dxfId="596" priority="159">
      <formula>T$9&gt;=20/24</formula>
    </cfRule>
    <cfRule type="expression" dxfId="595" priority="160">
      <formula>AND(T$9&gt;=14/24,T$9&lt;20/24)</formula>
    </cfRule>
    <cfRule type="expression" dxfId="594" priority="161">
      <formula>AND(T$9&gt;=8/24,T$9&lt;14/24)</formula>
    </cfRule>
    <cfRule type="expression" dxfId="593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92" priority="203">
      <formula>N$9&gt;=20/24</formula>
    </cfRule>
  </conditionalFormatting>
  <conditionalFormatting sqref="S8">
    <cfRule type="expression" dxfId="591" priority="194">
      <formula>U$9&gt;=20/24</formula>
    </cfRule>
    <cfRule type="expression" dxfId="590" priority="195">
      <formula>AND(U$9&gt;=14/24,U$9&lt;20/24)</formula>
    </cfRule>
    <cfRule type="expression" dxfId="589" priority="196">
      <formula>AND(U$9&gt;=8/24,U$9&lt;14/24)</formula>
    </cfRule>
    <cfRule type="expression" dxfId="588" priority="197">
      <formula>U$9&lt;8/24</formula>
    </cfRule>
  </conditionalFormatting>
  <conditionalFormatting sqref="T79:AF84">
    <cfRule type="expression" dxfId="587" priority="81">
      <formula>T$9&gt;=20/24</formula>
    </cfRule>
    <cfRule type="expression" dxfId="586" priority="82">
      <formula>AND(T$9&gt;=14/24,T$9&lt;20/24)</formula>
    </cfRule>
    <cfRule type="expression" dxfId="585" priority="83">
      <formula>AND(T$9&gt;=8/24,T$9&lt;14/24)</formula>
    </cfRule>
    <cfRule type="expression" dxfId="584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578" priority="141">
      <formula>B54&gt;$AG54</formula>
    </cfRule>
  </conditionalFormatting>
  <conditionalFormatting sqref="AB8">
    <cfRule type="expression" dxfId="577" priority="190">
      <formula>AD$9&gt;=20/24</formula>
    </cfRule>
    <cfRule type="expression" dxfId="576" priority="191">
      <formula>AND(AD$9&gt;=14/24,AD$9&lt;20/24)</formula>
    </cfRule>
    <cfRule type="expression" dxfId="575" priority="192">
      <formula>AND(AD$9&gt;=8/24,AD$9&lt;14/24)</formula>
    </cfRule>
    <cfRule type="expression" dxfId="574" priority="193">
      <formula>AD$9&lt;8/24</formula>
    </cfRule>
  </conditionalFormatting>
  <conditionalFormatting sqref="AG78">
    <cfRule type="expression" dxfId="568" priority="169">
      <formula>AG$9&gt;=20/24</formula>
    </cfRule>
    <cfRule type="expression" dxfId="567" priority="170">
      <formula>AND(AG$9&gt;=14/24,AG$9&lt;20/24)</formula>
    </cfRule>
    <cfRule type="expression" dxfId="566" priority="171">
      <formula>AND(AG$9&gt;=8/24,AG$9&lt;14/24)</formula>
    </cfRule>
    <cfRule type="expression" dxfId="565" priority="172">
      <formula>AG$9&lt;8/24</formula>
    </cfRule>
  </conditionalFormatting>
  <conditionalFormatting sqref="AG91:AG92">
    <cfRule type="expression" dxfId="564" priority="164">
      <formula>AG91&gt;$AG91</formula>
    </cfRule>
  </conditionalFormatting>
  <conditionalFormatting sqref="AG96">
    <cfRule type="expression" dxfId="563" priority="165">
      <formula>AG$9&gt;=20/24</formula>
    </cfRule>
    <cfRule type="expression" dxfId="562" priority="166">
      <formula>AND(AG$9&gt;=14/24,AG$9&lt;20/24)</formula>
    </cfRule>
    <cfRule type="expression" dxfId="561" priority="167">
      <formula>AND(AG$9&gt;=8/24,AG$9&lt;14/24)</formula>
    </cfRule>
    <cfRule type="expression" dxfId="560" priority="168">
      <formula>AG$9&lt;8/24</formula>
    </cfRule>
  </conditionalFormatting>
  <conditionalFormatting sqref="AG113">
    <cfRule type="expression" dxfId="559" priority="186">
      <formula>AG$9&gt;=20/24</formula>
    </cfRule>
    <cfRule type="expression" dxfId="558" priority="187">
      <formula>AND(AG$9&gt;=14/24,AG$9&lt;20/24)</formula>
    </cfRule>
    <cfRule type="expression" dxfId="557" priority="188">
      <formula>AND(AG$9&gt;=8/24,AG$9&lt;14/24)</formula>
    </cfRule>
    <cfRule type="expression" dxfId="556" priority="189">
      <formula>AG$9&lt;8/24</formula>
    </cfRule>
  </conditionalFormatting>
  <conditionalFormatting sqref="AH8:AI10">
    <cfRule type="expression" dxfId="555" priority="77">
      <formula>AH$9&gt;=20/24</formula>
    </cfRule>
    <cfRule type="expression" dxfId="554" priority="78">
      <formula>AND(AH$9&gt;=14/24,AH$9&lt;20/24)</formula>
    </cfRule>
    <cfRule type="expression" dxfId="553" priority="79">
      <formula>AND(AH$9&gt;=8/24,AH$9&lt;14/24)</formula>
    </cfRule>
    <cfRule type="expression" dxfId="552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51" priority="207">
      <formula>AJ$9&gt;=20/24</formula>
    </cfRule>
    <cfRule type="expression" dxfId="550" priority="208">
      <formula>AND(AJ$9&gt;=14/24,AJ$9&lt;20/24)</formula>
    </cfRule>
    <cfRule type="expression" dxfId="549" priority="209">
      <formula>AND(AJ$9&gt;=8/24,AJ$9&lt;14/24)</formula>
    </cfRule>
    <cfRule type="expression" dxfId="548" priority="210">
      <formula>AJ$9&lt;8/24</formula>
    </cfRule>
  </conditionalFormatting>
  <conditionalFormatting sqref="AL99:AN99 AL105:AN105">
    <cfRule type="expression" dxfId="547" priority="179">
      <formula>AL$9&gt;=20/24</formula>
    </cfRule>
    <cfRule type="expression" dxfId="546" priority="180">
      <formula>AND(AL$9&gt;=14/24,AL$9&lt;20/24)</formula>
    </cfRule>
    <cfRule type="expression" dxfId="545" priority="181">
      <formula>AND(AL$9&gt;=8/24,AL$9&lt;14/24)</formula>
    </cfRule>
    <cfRule type="expression" dxfId="544" priority="182">
      <formula>AL$9&lt;8/24</formula>
    </cfRule>
  </conditionalFormatting>
  <conditionalFormatting sqref="AM15:AM21 AN16:AR21">
    <cfRule type="expression" dxfId="543" priority="103">
      <formula>AX$9&gt;=20/24</formula>
    </cfRule>
    <cfRule type="expression" dxfId="542" priority="104">
      <formula>AND(AX$9&gt;=14/24,AX$9&lt;20/24)</formula>
    </cfRule>
    <cfRule type="expression" dxfId="541" priority="105">
      <formula>AND(AX$9&gt;=8/24,AX$9&lt;14/24)</formula>
    </cfRule>
    <cfRule type="expression" dxfId="540" priority="106">
      <formula>AX$9&lt;8/24</formula>
    </cfRule>
  </conditionalFormatting>
  <conditionalFormatting sqref="AN100:AN103">
    <cfRule type="expression" dxfId="539" priority="175">
      <formula>AN$9&gt;=20/24</formula>
    </cfRule>
    <cfRule type="expression" dxfId="538" priority="176">
      <formula>AND(AN$9&gt;=14/24,AN$9&lt;20/24)</formula>
    </cfRule>
    <cfRule type="expression" dxfId="537" priority="177">
      <formula>AND(AN$9&gt;=8/24,AN$9&lt;14/24)</formula>
    </cfRule>
    <cfRule type="expression" dxfId="536" priority="178">
      <formula>AN$9&lt;8/24</formula>
    </cfRule>
  </conditionalFormatting>
  <conditionalFormatting sqref="AN15:AR15">
    <cfRule type="expression" dxfId="535" priority="91">
      <formula>U$9&gt;=20/24</formula>
    </cfRule>
    <cfRule type="expression" dxfId="534" priority="92">
      <formula>AND(U$9&gt;=14/24,U$9&lt;20/24)</formula>
    </cfRule>
    <cfRule type="expression" dxfId="533" priority="93">
      <formula>AND(U$9&gt;=8/24,U$9&lt;14/24)</formula>
    </cfRule>
    <cfRule type="expression" dxfId="532" priority="94">
      <formula>U$9&lt;8/24</formula>
    </cfRule>
  </conditionalFormatting>
  <conditionalFormatting sqref="AS15">
    <cfRule type="expression" dxfId="531" priority="99">
      <formula>AA$9&gt;=20/24</formula>
    </cfRule>
    <cfRule type="expression" dxfId="530" priority="100">
      <formula>AND(AA$9&gt;=14/24,AA$9&lt;20/24)</formula>
    </cfRule>
    <cfRule type="expression" dxfId="529" priority="101">
      <formula>AND(AA$9&gt;=8/24,AA$9&lt;14/24)</formula>
    </cfRule>
    <cfRule type="expression" dxfId="528" priority="102">
      <formula>AA$9&lt;8/24</formula>
    </cfRule>
  </conditionalFormatting>
  <conditionalFormatting sqref="AS16:AS21">
    <cfRule type="expression" dxfId="527" priority="107">
      <formula>BE$9&gt;=20/24</formula>
    </cfRule>
    <cfRule type="expression" dxfId="526" priority="108">
      <formula>AND(BE$9&gt;=14/24,BE$9&lt;20/24)</formula>
    </cfRule>
    <cfRule type="expression" dxfId="525" priority="109">
      <formula>AND(BE$9&gt;=8/24,BE$9&lt;14/24)</formula>
    </cfRule>
    <cfRule type="expression" dxfId="524" priority="110">
      <formula>BE$9&lt;8/24</formula>
    </cfRule>
  </conditionalFormatting>
  <conditionalFormatting sqref="AT15 AX15:BJ15">
    <cfRule type="expression" dxfId="523" priority="111">
      <formula>AC$9&gt;=20/24</formula>
    </cfRule>
    <cfRule type="expression" dxfId="522" priority="112">
      <formula>AND(AC$9&gt;=14/24,AC$9&lt;20/24)</formula>
    </cfRule>
    <cfRule type="expression" dxfId="521" priority="113">
      <formula>AND(AC$9&gt;=8/24,AC$9&lt;14/24)</formula>
    </cfRule>
    <cfRule type="expression" dxfId="520" priority="114">
      <formula>AC$9&lt;8/24</formula>
    </cfRule>
  </conditionalFormatting>
  <conditionalFormatting sqref="AT16:AT21">
    <cfRule type="expression" dxfId="519" priority="115">
      <formula>BG$9&gt;=20/24</formula>
    </cfRule>
    <cfRule type="expression" dxfId="518" priority="116">
      <formula>AND(BG$9&gt;=14/24,BG$9&lt;20/24)</formula>
    </cfRule>
    <cfRule type="expression" dxfId="517" priority="117">
      <formula>AND(BG$9&gt;=8/24,BG$9&lt;14/24)</formula>
    </cfRule>
    <cfRule type="expression" dxfId="516" priority="118">
      <formula>BG$9&lt;8/24</formula>
    </cfRule>
  </conditionalFormatting>
  <conditionalFormatting sqref="AU15:AV15">
    <cfRule type="expression" dxfId="515" priority="119">
      <formula>AE$9&gt;=20/24</formula>
    </cfRule>
    <cfRule type="expression" dxfId="514" priority="120">
      <formula>AND(AE$9&gt;=14/24,AE$9&lt;20/24)</formula>
    </cfRule>
    <cfRule type="expression" dxfId="513" priority="121">
      <formula>AND(AE$9&gt;=8/24,AE$9&lt;14/24)</formula>
    </cfRule>
    <cfRule type="expression" dxfId="512" priority="122">
      <formula>AE$9&lt;8/24</formula>
    </cfRule>
  </conditionalFormatting>
  <conditionalFormatting sqref="AU16:BJ21">
    <cfRule type="expression" dxfId="511" priority="123">
      <formula>BI$9&gt;=20/24</formula>
    </cfRule>
    <cfRule type="expression" dxfId="510" priority="124">
      <formula>AND(BI$9&gt;=14/24,BI$9&lt;20/24)</formula>
    </cfRule>
    <cfRule type="expression" dxfId="509" priority="125">
      <formula>AND(BI$9&gt;=8/24,BI$9&lt;14/24)</formula>
    </cfRule>
    <cfRule type="expression" dxfId="508" priority="126">
      <formula>BI$9&lt;8/24</formula>
    </cfRule>
  </conditionalFormatting>
  <conditionalFormatting sqref="AW15">
    <cfRule type="expression" dxfId="507" priority="95">
      <formula>B$9&gt;=20/24</formula>
    </cfRule>
    <cfRule type="expression" dxfId="506" priority="96">
      <formula>AND(B$9&gt;=14/24,B$9&lt;20/24)</formula>
    </cfRule>
    <cfRule type="expression" dxfId="505" priority="97">
      <formula>AND(B$9&gt;=8/24,B$9&lt;14/24)</formula>
    </cfRule>
    <cfRule type="expression" dxfId="504" priority="98">
      <formula>B$9&lt;8/24</formula>
    </cfRule>
  </conditionalFormatting>
  <conditionalFormatting sqref="A73">
    <cfRule type="expression" dxfId="503" priority="46">
      <formula>$AH73=0</formula>
    </cfRule>
  </conditionalFormatting>
  <conditionalFormatting sqref="B97:E107 B137:E152 B109:E112 B125:E134 B154:E159 F97:F102 G98:G102 F126:G133 F137:G151 B11:Y13 AA11:AF13">
    <cfRule type="expression" dxfId="502" priority="42">
      <formula>B$9&gt;=20/24</formula>
    </cfRule>
  </conditionalFormatting>
  <conditionalFormatting sqref="B97:E107 B137:E152 B109:E112 B125:E134 B154:E159 F97:F102 G98:G102 F126:G133 F137:G151 B11:Y13 AA11:AF13">
    <cfRule type="expression" dxfId="501" priority="43">
      <formula>AND(B$9&gt;=14/24,B$9&lt;20/24)</formula>
    </cfRule>
    <cfRule type="expression" dxfId="500" priority="44">
      <formula>AND(B$9&gt;=8/24,B$9&lt;14/24)</formula>
    </cfRule>
    <cfRule type="expression" dxfId="499" priority="45">
      <formula>B$9&lt;8/24</formula>
    </cfRule>
  </conditionalFormatting>
  <conditionalFormatting sqref="B14:Y28 AA14:AF16">
    <cfRule type="expression" dxfId="498" priority="32">
      <formula>B14&gt;$AG14*1</formula>
    </cfRule>
    <cfRule type="expression" dxfId="497" priority="33">
      <formula>B$9&gt;=20/24</formula>
    </cfRule>
    <cfRule type="expression" dxfId="496" priority="34">
      <formula>AND(B$9&gt;=14/24,B$9&lt;20/24)</formula>
    </cfRule>
    <cfRule type="expression" dxfId="495" priority="35">
      <formula>AND(B$9&gt;=8/24,B$9&lt;14/24)</formula>
    </cfRule>
    <cfRule type="expression" dxfId="494" priority="36">
      <formula>B$9&lt;8/24</formula>
    </cfRule>
  </conditionalFormatting>
  <conditionalFormatting sqref="B161:E167">
    <cfRule type="expression" dxfId="493" priority="37">
      <formula>B$9&gt;=20/24</formula>
    </cfRule>
    <cfRule type="expression" dxfId="492" priority="38">
      <formula>AND(B$9&gt;=14/24,B$9&lt;20/24)</formula>
    </cfRule>
    <cfRule type="expression" dxfId="491" priority="39">
      <formula>AND(B$9&gt;=8/24,B$9&lt;14/24)</formula>
    </cfRule>
    <cfRule type="expression" dxfId="490" priority="40">
      <formula>B$9&lt;8/24</formula>
    </cfRule>
  </conditionalFormatting>
  <conditionalFormatting sqref="B169:E274">
    <cfRule type="expression" dxfId="489" priority="28">
      <formula>B$9&gt;=20/24</formula>
    </cfRule>
    <cfRule type="expression" dxfId="488" priority="29">
      <formula>AND(B$9&gt;=14/24,B$9&lt;20/24)</formula>
    </cfRule>
    <cfRule type="expression" dxfId="487" priority="30">
      <formula>AND(B$9&gt;=8/24,B$9&lt;14/24)</formula>
    </cfRule>
    <cfRule type="expression" dxfId="486" priority="31">
      <formula>B$9&lt;8/24</formula>
    </cfRule>
  </conditionalFormatting>
  <conditionalFormatting sqref="B11:Y13 AA11:AF13">
    <cfRule type="expression" dxfId="485" priority="41">
      <formula>B11&gt;$AG11*1</formula>
    </cfRule>
  </conditionalFormatting>
  <conditionalFormatting sqref="A153">
    <cfRule type="expression" dxfId="484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83" priority="23">
      <formula>AL$9&gt;=20/24</formula>
    </cfRule>
  </conditionalFormatting>
  <conditionalFormatting sqref="AL153">
    <cfRule type="expression" dxfId="482" priority="24">
      <formula>AND(AL$9&gt;=14/24,AL$9&lt;20/24)</formula>
    </cfRule>
    <cfRule type="expression" dxfId="481" priority="25">
      <formula>AND(AL$9&gt;=8/24,AL$9&lt;14/24)</formula>
    </cfRule>
    <cfRule type="expression" dxfId="480" priority="26">
      <formula>AL$9&lt;8/24</formula>
    </cfRule>
  </conditionalFormatting>
  <conditionalFormatting sqref="Z11:Z13">
    <cfRule type="expression" dxfId="275" priority="17">
      <formula>Z$9&gt;=20/24</formula>
    </cfRule>
  </conditionalFormatting>
  <conditionalFormatting sqref="Z11:Z13">
    <cfRule type="expression" dxfId="274" priority="18">
      <formula>AND(Z$9&gt;=14/24,Z$9&lt;20/24)</formula>
    </cfRule>
    <cfRule type="expression" dxfId="273" priority="19">
      <formula>AND(Z$9&gt;=8/24,Z$9&lt;14/24)</formula>
    </cfRule>
    <cfRule type="expression" dxfId="272" priority="20">
      <formula>Z$9&lt;8/24</formula>
    </cfRule>
  </conditionalFormatting>
  <conditionalFormatting sqref="Z14:Z53 AA17:AF53">
    <cfRule type="expression" dxfId="271" priority="11">
      <formula>Z14&gt;$AG14*1</formula>
    </cfRule>
    <cfRule type="expression" dxfId="270" priority="12">
      <formula>Z$9&gt;=20/24</formula>
    </cfRule>
    <cfRule type="expression" dxfId="269" priority="13">
      <formula>AND(Z$9&gt;=14/24,Z$9&lt;20/24)</formula>
    </cfRule>
    <cfRule type="expression" dxfId="268" priority="14">
      <formula>AND(Z$9&gt;=8/24,Z$9&lt;14/24)</formula>
    </cfRule>
    <cfRule type="expression" dxfId="267" priority="15">
      <formula>Z$9&lt;8/24</formula>
    </cfRule>
  </conditionalFormatting>
  <conditionalFormatting sqref="Z54:AF55">
    <cfRule type="expression" dxfId="266" priority="10">
      <formula>Z$9&lt;8/24</formula>
    </cfRule>
  </conditionalFormatting>
  <conditionalFormatting sqref="Z54:AF55 Z69:AF70">
    <cfRule type="expression" dxfId="265" priority="7">
      <formula>Z$9&gt;=20/24</formula>
    </cfRule>
    <cfRule type="expression" dxfId="264" priority="8">
      <formula>AND(Z$9&gt;=14/24,Z$9&lt;20/24)</formula>
    </cfRule>
    <cfRule type="expression" dxfId="263" priority="9">
      <formula>AND(Z$9&gt;=8/24,Z$9&lt;14/24)</formula>
    </cfRule>
  </conditionalFormatting>
  <conditionalFormatting sqref="Z69:AF70">
    <cfRule type="expression" dxfId="262" priority="21">
      <formula>Z$9&lt;8/24</formula>
    </cfRule>
  </conditionalFormatting>
  <conditionalFormatting sqref="Z11:Z13 Z69:AF69">
    <cfRule type="expression" dxfId="261" priority="16">
      <formula>Z11&gt;$AG11*1</formula>
    </cfRule>
  </conditionalFormatting>
  <conditionalFormatting sqref="Z54:AF55 Z69:AF70">
    <cfRule type="expression" dxfId="260" priority="22">
      <formula>Z54&gt;$AG54</formula>
    </cfRule>
  </conditionalFormatting>
  <conditionalFormatting sqref="Z56:AF68">
    <cfRule type="expression" dxfId="259" priority="4">
      <formula>Z$9&lt;8/24</formula>
    </cfRule>
  </conditionalFormatting>
  <conditionalFormatting sqref="Z56:AF68">
    <cfRule type="expression" dxfId="258" priority="1">
      <formula>Z$9&gt;=20/24</formula>
    </cfRule>
    <cfRule type="expression" dxfId="257" priority="2">
      <formula>AND(Z$9&gt;=14/24,Z$9&lt;20/24)</formula>
    </cfRule>
    <cfRule type="expression" dxfId="256" priority="3">
      <formula>AND(Z$9&gt;=8/24,Z$9&lt;14/24)</formula>
    </cfRule>
  </conditionalFormatting>
  <conditionalFormatting sqref="Z63:AF65">
    <cfRule type="expression" dxfId="255" priority="5">
      <formula>Z63&gt;$AG63</formula>
    </cfRule>
  </conditionalFormatting>
  <conditionalFormatting sqref="Z66:AF68 Z56:AF62">
    <cfRule type="expression" dxfId="25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4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G148" sqref="G14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2080/10/2</v>
      </c>
      <c r="C4" s="232"/>
      <c r="D4" s="232"/>
      <c r="E4" s="233" t="str">
        <f ca="1">"2080/"&amp;"10/"&amp;INT(MID(CELL("filename",G6),FIND("]",CELL("filename",G6))+1,200))</f>
        <v>2080/10/2</v>
      </c>
      <c r="F4" s="233"/>
      <c r="G4" s="233"/>
      <c r="H4" s="233" t="str">
        <f ca="1">TEXT(E4,"dddd")</f>
        <v>Wednesday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1908.13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1498.13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31.1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</v>
      </c>
      <c r="AI12" s="47">
        <f t="shared" si="3"/>
        <v>25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32.5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23.2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58.77</v>
      </c>
      <c r="AI15" s="47">
        <f t="shared" si="3"/>
        <v>58.77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21.36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31.9</v>
      </c>
      <c r="AI17" s="47">
        <f t="shared" si="3"/>
        <v>31.9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14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36.799999999999997</v>
      </c>
      <c r="AI22" s="47">
        <f t="shared" si="3"/>
        <v>36.799999999999997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21.1</v>
      </c>
      <c r="AI24" s="47">
        <f t="shared" si="3"/>
        <v>21.1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18.8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</v>
      </c>
      <c r="AI26" s="47">
        <f t="shared" si="3"/>
        <v>15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19.399999999999999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37.9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10.5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11.1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14.3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13</v>
      </c>
      <c r="AI34" s="47">
        <f t="shared" si="3"/>
        <v>13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10.5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11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13.9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11.3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5.5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9.8000000000000007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7.3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12.1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1.5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5.2</v>
      </c>
      <c r="AI66" s="47">
        <f t="shared" si="3"/>
        <v>5.2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3.1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8">
        <f t="shared" ref="B70:C70" si="20">58+70</f>
        <v>128</v>
      </c>
      <c r="C70" s="68">
        <f t="shared" si="20"/>
        <v>128</v>
      </c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128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 t="shared" ref="D71:AG71" si="21">SUM(D11:D69)</f>
        <v>150</v>
      </c>
      <c r="E71" s="70">
        <f t="shared" si="21"/>
        <v>150</v>
      </c>
      <c r="F71" s="70">
        <f t="shared" si="21"/>
        <v>150</v>
      </c>
      <c r="G71" s="70">
        <f t="shared" si="21"/>
        <v>150</v>
      </c>
      <c r="H71" s="70">
        <f t="shared" si="21"/>
        <v>150</v>
      </c>
      <c r="I71" s="70">
        <f t="shared" si="21"/>
        <v>150</v>
      </c>
      <c r="J71" s="70">
        <f t="shared" si="21"/>
        <v>150</v>
      </c>
      <c r="K71" s="70">
        <f t="shared" si="21"/>
        <v>150</v>
      </c>
      <c r="L71" s="70">
        <f t="shared" si="21"/>
        <v>150</v>
      </c>
      <c r="M71" s="70">
        <f t="shared" si="21"/>
        <v>150</v>
      </c>
      <c r="N71" s="70">
        <f t="shared" si="21"/>
        <v>150</v>
      </c>
      <c r="O71" s="70">
        <f t="shared" si="21"/>
        <v>150</v>
      </c>
      <c r="P71" s="70">
        <f t="shared" si="21"/>
        <v>150</v>
      </c>
      <c r="Q71" s="70">
        <f t="shared" si="21"/>
        <v>150</v>
      </c>
      <c r="R71" s="70">
        <f t="shared" si="21"/>
        <v>150</v>
      </c>
      <c r="S71" s="70">
        <f t="shared" si="21"/>
        <v>150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965.73</v>
      </c>
      <c r="AI71" s="47">
        <f t="shared" si="3"/>
        <v>150</v>
      </c>
      <c r="AK71" s="49"/>
    </row>
    <row r="72" spans="1:88">
      <c r="A72" s="71" t="s">
        <v>91</v>
      </c>
      <c r="B72" s="44">
        <v>273</v>
      </c>
      <c r="C72" s="44">
        <v>251</v>
      </c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273</v>
      </c>
      <c r="AI72" s="47">
        <f t="shared" si="3"/>
        <v>251</v>
      </c>
      <c r="AK72" s="49"/>
    </row>
    <row r="73" spans="1:88">
      <c r="A73" s="72" t="s">
        <v>92</v>
      </c>
      <c r="B73" s="43">
        <v>55.9</v>
      </c>
      <c r="C73" s="43">
        <v>55.9</v>
      </c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55.9</v>
      </c>
      <c r="AI73" s="47">
        <f t="shared" si="3"/>
        <v>55.9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38.200000000000003</v>
      </c>
      <c r="AI74" s="47">
        <f t="shared" si="3"/>
        <v>38.200000000000003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29.5</v>
      </c>
      <c r="AI75" s="47">
        <f t="shared" ref="AI75:AI138" si="23">MIN(B75:AF75)</f>
        <v>29.5</v>
      </c>
      <c r="AK75" s="49"/>
    </row>
    <row r="76" spans="1:88">
      <c r="A76" s="74" t="s">
        <v>95</v>
      </c>
      <c r="B76" s="43">
        <v>22.2</v>
      </c>
      <c r="C76" s="43">
        <v>22.2</v>
      </c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22.2</v>
      </c>
      <c r="AI76" s="47">
        <f t="shared" si="23"/>
        <v>22.2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9.5</v>
      </c>
      <c r="AI77" s="47">
        <f t="shared" si="23"/>
        <v>9.5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 t="shared" ref="D78:AG78" si="24">SUM(D72:D77)</f>
        <v>0</v>
      </c>
      <c r="E78" s="70">
        <f t="shared" si="24"/>
        <v>0</v>
      </c>
      <c r="F78" s="70">
        <f t="shared" si="24"/>
        <v>0</v>
      </c>
      <c r="G78" s="70">
        <f t="shared" si="24"/>
        <v>0</v>
      </c>
      <c r="H78" s="70">
        <f t="shared" si="24"/>
        <v>0</v>
      </c>
      <c r="I78" s="70">
        <f t="shared" si="24"/>
        <v>0</v>
      </c>
      <c r="J78" s="70">
        <f t="shared" si="24"/>
        <v>0</v>
      </c>
      <c r="K78" s="70">
        <f t="shared" si="24"/>
        <v>0</v>
      </c>
      <c r="L78" s="70">
        <f t="shared" si="24"/>
        <v>0</v>
      </c>
      <c r="M78" s="70">
        <f t="shared" si="24"/>
        <v>0</v>
      </c>
      <c r="N78" s="70">
        <f t="shared" si="24"/>
        <v>0</v>
      </c>
      <c r="O78" s="70">
        <f t="shared" si="24"/>
        <v>0</v>
      </c>
      <c r="P78" s="70">
        <f t="shared" si="24"/>
        <v>0</v>
      </c>
      <c r="Q78" s="70">
        <f t="shared" si="24"/>
        <v>0</v>
      </c>
      <c r="R78" s="70">
        <f t="shared" si="24"/>
        <v>0</v>
      </c>
      <c r="S78" s="70">
        <f t="shared" si="24"/>
        <v>0</v>
      </c>
      <c r="T78" s="70">
        <f t="shared" si="24"/>
        <v>0</v>
      </c>
      <c r="U78" s="70">
        <f t="shared" si="24"/>
        <v>0</v>
      </c>
      <c r="V78" s="70">
        <f t="shared" si="24"/>
        <v>0</v>
      </c>
      <c r="W78" s="70">
        <f t="shared" si="24"/>
        <v>0</v>
      </c>
      <c r="X78" s="70">
        <f t="shared" si="24"/>
        <v>0</v>
      </c>
      <c r="Y78" s="70">
        <f t="shared" si="24"/>
        <v>0</v>
      </c>
      <c r="Z78" s="70">
        <f t="shared" si="24"/>
        <v>0</v>
      </c>
      <c r="AA78" s="70">
        <f t="shared" si="24"/>
        <v>0</v>
      </c>
      <c r="AB78" s="70">
        <f t="shared" si="24"/>
        <v>0</v>
      </c>
      <c r="AC78" s="70">
        <f t="shared" si="24"/>
        <v>0</v>
      </c>
      <c r="AD78" s="70">
        <f t="shared" si="24"/>
        <v>0</v>
      </c>
      <c r="AE78" s="70">
        <f t="shared" si="24"/>
        <v>0</v>
      </c>
      <c r="AF78" s="70">
        <f t="shared" si="24"/>
        <v>0</v>
      </c>
      <c r="AG78" s="80">
        <f t="shared" si="24"/>
        <v>706.4</v>
      </c>
      <c r="AH78" s="46">
        <f t="shared" si="22"/>
        <v>428.29999999999995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96.6</v>
      </c>
      <c r="AI79" s="47">
        <f t="shared" si="23"/>
        <v>96.6</v>
      </c>
      <c r="AK79" s="49"/>
      <c r="AY79" s="1" t="s">
        <v>99</v>
      </c>
      <c r="AZ79" s="82">
        <f>ROUND(C97,0)</f>
        <v>-448</v>
      </c>
      <c r="BA79" s="81">
        <f t="shared" ref="BA79:BD83" si="25">D97</f>
        <v>0</v>
      </c>
      <c r="BB79" s="81">
        <f t="shared" si="25"/>
        <v>0</v>
      </c>
      <c r="BC79" s="81">
        <f t="shared" si="25"/>
        <v>0</v>
      </c>
      <c r="BD79" s="81">
        <f t="shared" si="25"/>
        <v>0</v>
      </c>
      <c r="BE79" s="82">
        <f>I97</f>
        <v>0</v>
      </c>
      <c r="BF79" s="82">
        <f>K97</f>
        <v>0</v>
      </c>
      <c r="BG79" s="82">
        <f t="shared" ref="BG79:BP83" si="26">M97</f>
        <v>0</v>
      </c>
      <c r="BH79" s="82">
        <f t="shared" si="26"/>
        <v>0</v>
      </c>
      <c r="BI79" s="82">
        <f t="shared" si="26"/>
        <v>0</v>
      </c>
      <c r="BJ79" s="82">
        <f t="shared" si="26"/>
        <v>0</v>
      </c>
      <c r="BK79" s="82">
        <f t="shared" si="26"/>
        <v>0</v>
      </c>
      <c r="BL79" s="82">
        <f t="shared" si="26"/>
        <v>0</v>
      </c>
      <c r="BM79" s="82">
        <f t="shared" si="26"/>
        <v>0</v>
      </c>
      <c r="BN79" s="82">
        <f t="shared" si="26"/>
        <v>0</v>
      </c>
      <c r="BO79" s="82">
        <f t="shared" si="26"/>
        <v>0</v>
      </c>
      <c r="BP79" s="82">
        <f t="shared" si="26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7">AD97</f>
        <v>0</v>
      </c>
      <c r="BU79" s="81">
        <f t="shared" si="27"/>
        <v>0</v>
      </c>
      <c r="BV79" s="81">
        <f t="shared" si="27"/>
        <v>0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69.3</v>
      </c>
      <c r="AI80" s="47">
        <f t="shared" si="23"/>
        <v>55</v>
      </c>
      <c r="AK80" s="49"/>
      <c r="AY80" s="1" t="s">
        <v>101</v>
      </c>
      <c r="AZ80" s="82">
        <f>ROUND(C98,0)</f>
        <v>0</v>
      </c>
      <c r="BA80" s="81">
        <f t="shared" si="25"/>
        <v>0</v>
      </c>
      <c r="BB80" s="81">
        <f t="shared" si="25"/>
        <v>0</v>
      </c>
      <c r="BC80" s="81">
        <f t="shared" si="25"/>
        <v>0</v>
      </c>
      <c r="BD80" s="81">
        <f t="shared" si="25"/>
        <v>0</v>
      </c>
      <c r="BE80" s="82">
        <f>I98</f>
        <v>0</v>
      </c>
      <c r="BF80" s="82">
        <f>K98</f>
        <v>0</v>
      </c>
      <c r="BG80" s="82">
        <f t="shared" si="26"/>
        <v>0</v>
      </c>
      <c r="BH80" s="82">
        <f t="shared" si="26"/>
        <v>0</v>
      </c>
      <c r="BI80" s="82">
        <f t="shared" si="26"/>
        <v>0</v>
      </c>
      <c r="BJ80" s="82">
        <f t="shared" si="26"/>
        <v>0</v>
      </c>
      <c r="BK80" s="82">
        <f t="shared" si="26"/>
        <v>0</v>
      </c>
      <c r="BL80" s="82">
        <f t="shared" si="26"/>
        <v>0</v>
      </c>
      <c r="BM80" s="82">
        <f t="shared" si="26"/>
        <v>0</v>
      </c>
      <c r="BN80" s="82">
        <f t="shared" si="26"/>
        <v>0</v>
      </c>
      <c r="BO80" s="82">
        <f t="shared" si="26"/>
        <v>0</v>
      </c>
      <c r="BP80" s="82">
        <f t="shared" si="26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7"/>
        <v>0</v>
      </c>
      <c r="BU80" s="81">
        <f t="shared" si="27"/>
        <v>0</v>
      </c>
      <c r="BV80" s="81">
        <f t="shared" si="27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71.7</v>
      </c>
      <c r="AI81" s="47">
        <f t="shared" si="23"/>
        <v>61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25"/>
        <v>0</v>
      </c>
      <c r="BB81" s="81">
        <f t="shared" si="25"/>
        <v>0</v>
      </c>
      <c r="BC81" s="81">
        <f t="shared" si="25"/>
        <v>0</v>
      </c>
      <c r="BD81" s="81">
        <f t="shared" si="25"/>
        <v>0</v>
      </c>
      <c r="BE81" s="82">
        <f>I99</f>
        <v>0</v>
      </c>
      <c r="BF81" s="82">
        <f>K99</f>
        <v>0</v>
      </c>
      <c r="BG81" s="82">
        <f t="shared" si="26"/>
        <v>0</v>
      </c>
      <c r="BH81" s="82">
        <f t="shared" si="26"/>
        <v>0</v>
      </c>
      <c r="BI81" s="82">
        <f t="shared" si="26"/>
        <v>0</v>
      </c>
      <c r="BJ81" s="82">
        <f t="shared" si="26"/>
        <v>0</v>
      </c>
      <c r="BK81" s="82">
        <f t="shared" si="26"/>
        <v>0</v>
      </c>
      <c r="BL81" s="82">
        <f t="shared" si="26"/>
        <v>0</v>
      </c>
      <c r="BM81" s="82">
        <f t="shared" si="26"/>
        <v>0</v>
      </c>
      <c r="BN81" s="82">
        <f t="shared" si="26"/>
        <v>0</v>
      </c>
      <c r="BO81" s="82">
        <f t="shared" si="26"/>
        <v>0</v>
      </c>
      <c r="BP81" s="82">
        <f t="shared" si="26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7"/>
        <v>0</v>
      </c>
      <c r="BU81" s="81">
        <f t="shared" si="27"/>
        <v>0</v>
      </c>
      <c r="BV81" s="81">
        <f t="shared" si="27"/>
        <v>0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58</v>
      </c>
      <c r="AI82" s="47">
        <f t="shared" si="2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5"/>
        <v>0</v>
      </c>
      <c r="BB82" s="81">
        <f t="shared" si="25"/>
        <v>0</v>
      </c>
      <c r="BC82" s="81">
        <f t="shared" si="25"/>
        <v>0</v>
      </c>
      <c r="BD82" s="81">
        <f t="shared" si="25"/>
        <v>0</v>
      </c>
      <c r="BE82" s="82">
        <f>I100</f>
        <v>0</v>
      </c>
      <c r="BF82" s="82">
        <f>K100</f>
        <v>0</v>
      </c>
      <c r="BG82" s="82">
        <f t="shared" si="26"/>
        <v>0</v>
      </c>
      <c r="BH82" s="82">
        <f t="shared" si="26"/>
        <v>0</v>
      </c>
      <c r="BI82" s="82">
        <f t="shared" si="26"/>
        <v>0</v>
      </c>
      <c r="BJ82" s="82">
        <f t="shared" si="26"/>
        <v>0</v>
      </c>
      <c r="BK82" s="82">
        <f t="shared" si="26"/>
        <v>0</v>
      </c>
      <c r="BL82" s="82">
        <f t="shared" si="26"/>
        <v>0</v>
      </c>
      <c r="BM82" s="82">
        <f t="shared" si="26"/>
        <v>0</v>
      </c>
      <c r="BN82" s="82">
        <f t="shared" si="26"/>
        <v>0</v>
      </c>
      <c r="BO82" s="82">
        <f t="shared" si="26"/>
        <v>0</v>
      </c>
      <c r="BP82" s="82">
        <f t="shared" si="26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7"/>
        <v>0</v>
      </c>
      <c r="BU82" s="81">
        <f t="shared" si="27"/>
        <v>0</v>
      </c>
      <c r="BV82" s="81">
        <f t="shared" si="27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12.1</v>
      </c>
      <c r="AI83" s="47">
        <f t="shared" si="23"/>
        <v>12.1</v>
      </c>
      <c r="AK83" s="49"/>
      <c r="AY83" s="1" t="s">
        <v>107</v>
      </c>
      <c r="AZ83" s="82">
        <f>ROUND(C101,0)</f>
        <v>0</v>
      </c>
      <c r="BA83" s="81">
        <f t="shared" si="25"/>
        <v>0</v>
      </c>
      <c r="BB83" s="81">
        <f t="shared" si="25"/>
        <v>0</v>
      </c>
      <c r="BC83" s="81">
        <f t="shared" si="25"/>
        <v>0</v>
      </c>
      <c r="BD83" s="81">
        <f t="shared" si="25"/>
        <v>0</v>
      </c>
      <c r="BE83" s="82">
        <f>I101</f>
        <v>0</v>
      </c>
      <c r="BF83" s="82">
        <f>K101</f>
        <v>0</v>
      </c>
      <c r="BG83" s="82">
        <f t="shared" si="26"/>
        <v>0</v>
      </c>
      <c r="BH83" s="82">
        <f t="shared" si="26"/>
        <v>0</v>
      </c>
      <c r="BI83" s="82">
        <f t="shared" si="26"/>
        <v>0</v>
      </c>
      <c r="BJ83" s="82">
        <f t="shared" si="26"/>
        <v>0</v>
      </c>
      <c r="BK83" s="82">
        <f t="shared" si="26"/>
        <v>0</v>
      </c>
      <c r="BL83" s="82">
        <f t="shared" si="26"/>
        <v>0</v>
      </c>
      <c r="BM83" s="82">
        <f t="shared" si="26"/>
        <v>0</v>
      </c>
      <c r="BN83" s="82">
        <f t="shared" si="26"/>
        <v>0</v>
      </c>
      <c r="BO83" s="82">
        <f t="shared" si="26"/>
        <v>0</v>
      </c>
      <c r="BP83" s="82">
        <f t="shared" si="26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7"/>
        <v>0</v>
      </c>
      <c r="BU83" s="81">
        <f t="shared" si="27"/>
        <v>0</v>
      </c>
      <c r="BV83" s="81">
        <f t="shared" si="27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8">M107</f>
        <v>0</v>
      </c>
      <c r="BH84" s="82">
        <f t="shared" si="28"/>
        <v>0</v>
      </c>
      <c r="BI84" s="82">
        <f t="shared" si="28"/>
        <v>0</v>
      </c>
      <c r="BJ84" s="82">
        <f t="shared" si="28"/>
        <v>0</v>
      </c>
      <c r="BK84" s="82">
        <f t="shared" si="28"/>
        <v>0</v>
      </c>
      <c r="BL84" s="82">
        <f t="shared" si="28"/>
        <v>0</v>
      </c>
      <c r="BM84" s="82">
        <f t="shared" si="28"/>
        <v>0</v>
      </c>
      <c r="BN84" s="82">
        <f t="shared" si="28"/>
        <v>0</v>
      </c>
      <c r="BO84" s="82">
        <f t="shared" si="28"/>
        <v>0</v>
      </c>
      <c r="BP84" s="82">
        <f t="shared" si="28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12.3</v>
      </c>
      <c r="AI85" s="47">
        <f t="shared" si="23"/>
        <v>12.3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29">VALUE(AZ79)</f>
        <v>-448</v>
      </c>
      <c r="BA86" s="82">
        <f t="shared" si="29"/>
        <v>0</v>
      </c>
      <c r="BB86" s="82">
        <f t="shared" si="29"/>
        <v>0</v>
      </c>
      <c r="BC86" s="82">
        <f t="shared" si="29"/>
        <v>0</v>
      </c>
      <c r="BD86" s="82">
        <f t="shared" si="29"/>
        <v>0</v>
      </c>
      <c r="BE86" s="82">
        <f t="shared" si="29"/>
        <v>0</v>
      </c>
      <c r="BF86" s="82">
        <f t="shared" si="29"/>
        <v>0</v>
      </c>
      <c r="BG86" s="82">
        <f t="shared" si="29"/>
        <v>0</v>
      </c>
      <c r="BH86" s="82">
        <f t="shared" si="29"/>
        <v>0</v>
      </c>
      <c r="BI86" s="82">
        <f t="shared" si="29"/>
        <v>0</v>
      </c>
      <c r="BJ86" s="82">
        <f t="shared" si="29"/>
        <v>0</v>
      </c>
      <c r="BK86" s="82">
        <f t="shared" si="29"/>
        <v>0</v>
      </c>
      <c r="BL86" s="82">
        <f t="shared" si="29"/>
        <v>0</v>
      </c>
      <c r="BM86" s="82">
        <f t="shared" si="29"/>
        <v>0</v>
      </c>
      <c r="BN86" s="82">
        <f t="shared" si="29"/>
        <v>0</v>
      </c>
      <c r="BO86" s="82">
        <f t="shared" si="29"/>
        <v>0</v>
      </c>
      <c r="BP86" s="82">
        <f t="shared" si="29"/>
        <v>0</v>
      </c>
      <c r="BQ86" s="82">
        <f t="shared" si="29"/>
        <v>0</v>
      </c>
      <c r="BR86" s="82">
        <f t="shared" si="29"/>
        <v>0</v>
      </c>
      <c r="BS86" s="82">
        <f t="shared" si="29"/>
        <v>0</v>
      </c>
      <c r="BT86" s="82">
        <f t="shared" si="29"/>
        <v>0</v>
      </c>
      <c r="BU86" s="82">
        <f t="shared" si="29"/>
        <v>0</v>
      </c>
      <c r="BV86" s="82">
        <f t="shared" si="29"/>
        <v>0</v>
      </c>
      <c r="BW86" s="82">
        <f t="shared" si="29"/>
        <v>-410</v>
      </c>
    </row>
    <row r="87" spans="1:75">
      <c r="A87" s="63" t="s">
        <v>112</v>
      </c>
      <c r="B87" s="43">
        <v>7.3</v>
      </c>
      <c r="C87" s="43">
        <v>7.3</v>
      </c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7.3</v>
      </c>
      <c r="AI87" s="47">
        <f t="shared" si="23"/>
        <v>7.3</v>
      </c>
      <c r="AK87" s="49"/>
      <c r="AZ87" s="82">
        <f t="shared" si="29"/>
        <v>0</v>
      </c>
      <c r="BA87" s="82">
        <f t="shared" si="29"/>
        <v>0</v>
      </c>
      <c r="BB87" s="82">
        <f t="shared" si="29"/>
        <v>0</v>
      </c>
      <c r="BC87" s="82">
        <f t="shared" si="29"/>
        <v>0</v>
      </c>
      <c r="BD87" s="82">
        <f t="shared" si="29"/>
        <v>0</v>
      </c>
      <c r="BE87" s="82">
        <f t="shared" si="29"/>
        <v>0</v>
      </c>
      <c r="BF87" s="82">
        <f t="shared" si="29"/>
        <v>0</v>
      </c>
      <c r="BG87" s="82">
        <f t="shared" si="29"/>
        <v>0</v>
      </c>
      <c r="BH87" s="82">
        <f t="shared" si="29"/>
        <v>0</v>
      </c>
      <c r="BI87" s="82">
        <f t="shared" si="29"/>
        <v>0</v>
      </c>
      <c r="BJ87" s="82">
        <f t="shared" si="29"/>
        <v>0</v>
      </c>
      <c r="BK87" s="82">
        <f t="shared" si="29"/>
        <v>0</v>
      </c>
      <c r="BL87" s="82">
        <f t="shared" si="29"/>
        <v>0</v>
      </c>
      <c r="BM87" s="82">
        <f t="shared" si="29"/>
        <v>0</v>
      </c>
      <c r="BN87" s="82">
        <f t="shared" si="29"/>
        <v>0</v>
      </c>
      <c r="BO87" s="82">
        <f t="shared" si="29"/>
        <v>0</v>
      </c>
      <c r="BP87" s="82">
        <f t="shared" si="29"/>
        <v>0</v>
      </c>
      <c r="BQ87" s="82">
        <f t="shared" si="29"/>
        <v>0</v>
      </c>
      <c r="BR87" s="82">
        <f t="shared" si="29"/>
        <v>0</v>
      </c>
      <c r="BS87" s="82">
        <f t="shared" si="29"/>
        <v>0</v>
      </c>
      <c r="BT87" s="82">
        <f t="shared" si="29"/>
        <v>0</v>
      </c>
      <c r="BU87" s="82">
        <f t="shared" si="29"/>
        <v>0</v>
      </c>
      <c r="BV87" s="82">
        <f t="shared" si="29"/>
        <v>0</v>
      </c>
      <c r="BW87" s="82">
        <f t="shared" si="29"/>
        <v>3</v>
      </c>
    </row>
    <row r="88" spans="1:75">
      <c r="A88" s="84" t="s">
        <v>113</v>
      </c>
      <c r="B88" s="43">
        <v>7.6</v>
      </c>
      <c r="C88" s="43">
        <v>7.6</v>
      </c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7.6</v>
      </c>
      <c r="AI88" s="47">
        <f t="shared" si="23"/>
        <v>7.6</v>
      </c>
      <c r="AK88" s="49"/>
      <c r="AZ88" s="82">
        <f t="shared" si="29"/>
        <v>62</v>
      </c>
      <c r="BA88" s="82">
        <f t="shared" si="29"/>
        <v>0</v>
      </c>
      <c r="BB88" s="82">
        <f t="shared" si="29"/>
        <v>0</v>
      </c>
      <c r="BC88" s="82">
        <f t="shared" si="29"/>
        <v>0</v>
      </c>
      <c r="BD88" s="82">
        <f t="shared" si="29"/>
        <v>0</v>
      </c>
      <c r="BE88" s="82">
        <f t="shared" si="29"/>
        <v>0</v>
      </c>
      <c r="BF88" s="82">
        <f t="shared" si="29"/>
        <v>0</v>
      </c>
      <c r="BG88" s="82">
        <f t="shared" si="29"/>
        <v>0</v>
      </c>
      <c r="BH88" s="82">
        <f t="shared" si="29"/>
        <v>0</v>
      </c>
      <c r="BI88" s="82">
        <f t="shared" si="29"/>
        <v>0</v>
      </c>
      <c r="BJ88" s="82">
        <f t="shared" si="29"/>
        <v>0</v>
      </c>
      <c r="BK88" s="82">
        <f t="shared" si="29"/>
        <v>0</v>
      </c>
      <c r="BL88" s="82">
        <f t="shared" si="29"/>
        <v>0</v>
      </c>
      <c r="BM88" s="82">
        <f t="shared" si="29"/>
        <v>0</v>
      </c>
      <c r="BN88" s="82">
        <f t="shared" si="29"/>
        <v>0</v>
      </c>
      <c r="BO88" s="82">
        <f t="shared" si="29"/>
        <v>0</v>
      </c>
      <c r="BP88" s="82">
        <f t="shared" si="29"/>
        <v>0</v>
      </c>
      <c r="BQ88" s="82">
        <f t="shared" si="29"/>
        <v>0</v>
      </c>
      <c r="BR88" s="82">
        <f t="shared" si="29"/>
        <v>0</v>
      </c>
      <c r="BS88" s="82">
        <f t="shared" si="29"/>
        <v>0</v>
      </c>
      <c r="BT88" s="82">
        <f t="shared" si="29"/>
        <v>0</v>
      </c>
      <c r="BU88" s="82">
        <f t="shared" si="29"/>
        <v>0</v>
      </c>
      <c r="BV88" s="82">
        <f t="shared" si="29"/>
        <v>0</v>
      </c>
      <c r="BW88" s="82">
        <f t="shared" si="29"/>
        <v>61</v>
      </c>
    </row>
    <row r="89" spans="1:75">
      <c r="A89" s="63" t="s">
        <v>114</v>
      </c>
      <c r="B89" s="43">
        <v>7.7</v>
      </c>
      <c r="C89" s="43">
        <v>7.7</v>
      </c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7.7</v>
      </c>
      <c r="AI89" s="47">
        <f t="shared" si="23"/>
        <v>7.7</v>
      </c>
      <c r="AK89" s="49"/>
      <c r="AZ89" s="82">
        <f t="shared" si="29"/>
        <v>0</v>
      </c>
      <c r="BA89" s="82">
        <f t="shared" si="29"/>
        <v>0</v>
      </c>
      <c r="BB89" s="82">
        <f t="shared" si="29"/>
        <v>0</v>
      </c>
      <c r="BC89" s="82">
        <f t="shared" si="29"/>
        <v>0</v>
      </c>
      <c r="BD89" s="82">
        <f t="shared" si="29"/>
        <v>0</v>
      </c>
      <c r="BE89" s="82">
        <f t="shared" si="29"/>
        <v>0</v>
      </c>
      <c r="BF89" s="82">
        <f t="shared" si="29"/>
        <v>0</v>
      </c>
      <c r="BG89" s="82">
        <f t="shared" si="29"/>
        <v>0</v>
      </c>
      <c r="BH89" s="82">
        <f t="shared" si="29"/>
        <v>0</v>
      </c>
      <c r="BI89" s="82">
        <f t="shared" si="29"/>
        <v>0</v>
      </c>
      <c r="BJ89" s="82">
        <f t="shared" si="29"/>
        <v>0</v>
      </c>
      <c r="BK89" s="82">
        <f t="shared" si="29"/>
        <v>0</v>
      </c>
      <c r="BL89" s="82">
        <f t="shared" si="29"/>
        <v>0</v>
      </c>
      <c r="BM89" s="82">
        <f t="shared" si="29"/>
        <v>0</v>
      </c>
      <c r="BN89" s="82">
        <f t="shared" si="29"/>
        <v>0</v>
      </c>
      <c r="BO89" s="82">
        <f t="shared" si="29"/>
        <v>0</v>
      </c>
      <c r="BP89" s="82">
        <f t="shared" si="29"/>
        <v>0</v>
      </c>
      <c r="BQ89" s="82">
        <f t="shared" si="29"/>
        <v>0</v>
      </c>
      <c r="BR89" s="82">
        <f t="shared" si="29"/>
        <v>0</v>
      </c>
      <c r="BS89" s="82">
        <f t="shared" si="29"/>
        <v>0</v>
      </c>
      <c r="BT89" s="82">
        <f t="shared" si="29"/>
        <v>0</v>
      </c>
      <c r="BU89" s="82">
        <f t="shared" si="29"/>
        <v>0</v>
      </c>
      <c r="BV89" s="82">
        <f t="shared" si="29"/>
        <v>0</v>
      </c>
      <c r="BW89" s="82">
        <f t="shared" si="29"/>
        <v>13.5</v>
      </c>
    </row>
    <row r="90" spans="1:75">
      <c r="A90" s="63" t="s">
        <v>115</v>
      </c>
      <c r="B90" s="43">
        <v>4</v>
      </c>
      <c r="C90" s="43">
        <v>4</v>
      </c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4</v>
      </c>
      <c r="AI90" s="47">
        <f t="shared" si="23"/>
        <v>4</v>
      </c>
      <c r="AK90" s="49"/>
      <c r="AZ90" s="82">
        <f t="shared" si="29"/>
        <v>0</v>
      </c>
      <c r="BA90" s="82">
        <f t="shared" si="29"/>
        <v>0</v>
      </c>
      <c r="BB90" s="82">
        <f t="shared" si="29"/>
        <v>0</v>
      </c>
      <c r="BC90" s="82">
        <f t="shared" si="29"/>
        <v>0</v>
      </c>
      <c r="BD90" s="82">
        <f t="shared" si="29"/>
        <v>0</v>
      </c>
      <c r="BE90" s="82">
        <f t="shared" si="29"/>
        <v>0</v>
      </c>
      <c r="BF90" s="82">
        <f t="shared" si="29"/>
        <v>0</v>
      </c>
      <c r="BG90" s="82">
        <f t="shared" si="29"/>
        <v>0</v>
      </c>
      <c r="BH90" s="82">
        <f t="shared" si="29"/>
        <v>0</v>
      </c>
      <c r="BI90" s="82">
        <f t="shared" si="29"/>
        <v>0</v>
      </c>
      <c r="BJ90" s="82">
        <f t="shared" si="29"/>
        <v>0</v>
      </c>
      <c r="BK90" s="82">
        <f t="shared" si="29"/>
        <v>0</v>
      </c>
      <c r="BL90" s="82">
        <f t="shared" si="29"/>
        <v>0</v>
      </c>
      <c r="BM90" s="82">
        <f t="shared" si="29"/>
        <v>0</v>
      </c>
      <c r="BN90" s="82">
        <f t="shared" si="29"/>
        <v>0</v>
      </c>
      <c r="BO90" s="82">
        <f t="shared" si="29"/>
        <v>0</v>
      </c>
      <c r="BP90" s="82">
        <f t="shared" si="29"/>
        <v>0</v>
      </c>
      <c r="BQ90" s="82">
        <f t="shared" si="29"/>
        <v>0</v>
      </c>
      <c r="BR90" s="82">
        <f t="shared" si="29"/>
        <v>0</v>
      </c>
      <c r="BS90" s="82">
        <f t="shared" si="29"/>
        <v>0</v>
      </c>
      <c r="BT90" s="82">
        <f t="shared" si="29"/>
        <v>0</v>
      </c>
      <c r="BU90" s="82">
        <f t="shared" si="29"/>
        <v>0</v>
      </c>
      <c r="BV90" s="82">
        <f t="shared" si="29"/>
        <v>0</v>
      </c>
      <c r="BW90" s="82">
        <f t="shared" si="29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29"/>
        <v>0</v>
      </c>
      <c r="BA91" s="82">
        <f t="shared" si="29"/>
        <v>0</v>
      </c>
      <c r="BB91" s="82">
        <f t="shared" si="29"/>
        <v>0</v>
      </c>
      <c r="BC91" s="82">
        <f t="shared" si="29"/>
        <v>0</v>
      </c>
      <c r="BD91" s="82">
        <f t="shared" si="29"/>
        <v>0</v>
      </c>
      <c r="BE91" s="82">
        <f t="shared" si="29"/>
        <v>0</v>
      </c>
      <c r="BF91" s="82">
        <f t="shared" si="29"/>
        <v>0</v>
      </c>
      <c r="BG91" s="82">
        <f t="shared" si="29"/>
        <v>0</v>
      </c>
      <c r="BH91" s="82">
        <f t="shared" si="29"/>
        <v>0</v>
      </c>
      <c r="BI91" s="82">
        <f t="shared" si="29"/>
        <v>0</v>
      </c>
      <c r="BJ91" s="82">
        <f t="shared" si="29"/>
        <v>0</v>
      </c>
      <c r="BK91" s="82">
        <f t="shared" si="29"/>
        <v>0</v>
      </c>
      <c r="BL91" s="82">
        <f t="shared" si="29"/>
        <v>0</v>
      </c>
      <c r="BM91" s="82">
        <f t="shared" si="29"/>
        <v>0</v>
      </c>
      <c r="BN91" s="82">
        <f t="shared" si="29"/>
        <v>0</v>
      </c>
      <c r="BO91" s="82">
        <f t="shared" si="29"/>
        <v>0</v>
      </c>
      <c r="BP91" s="82">
        <f t="shared" si="29"/>
        <v>0</v>
      </c>
      <c r="BQ91" s="82">
        <f t="shared" si="29"/>
        <v>0</v>
      </c>
      <c r="BR91" s="82">
        <f t="shared" si="29"/>
        <v>0</v>
      </c>
      <c r="BS91" s="82">
        <f t="shared" si="29"/>
        <v>0</v>
      </c>
      <c r="BT91" s="82">
        <f t="shared" si="29"/>
        <v>0</v>
      </c>
      <c r="BU91" s="82">
        <f t="shared" si="29"/>
        <v>0</v>
      </c>
      <c r="BV91" s="82">
        <f t="shared" si="29"/>
        <v>0</v>
      </c>
      <c r="BW91" s="82">
        <f t="shared" si="29"/>
        <v>0</v>
      </c>
    </row>
    <row r="92" spans="1:75" ht="15.75" thickBot="1">
      <c r="A92" s="87" t="s">
        <v>117</v>
      </c>
      <c r="B92" s="70">
        <f t="shared" ref="B92:AG92" si="30">SUM(B79:B91)</f>
        <v>348.6</v>
      </c>
      <c r="C92" s="70">
        <f t="shared" si="30"/>
        <v>323.60000000000008</v>
      </c>
      <c r="D92" s="70">
        <f t="shared" si="30"/>
        <v>2</v>
      </c>
      <c r="E92" s="70">
        <f t="shared" si="30"/>
        <v>2</v>
      </c>
      <c r="F92" s="70">
        <f t="shared" si="30"/>
        <v>2</v>
      </c>
      <c r="G92" s="70">
        <f t="shared" si="30"/>
        <v>2</v>
      </c>
      <c r="H92" s="70">
        <f t="shared" si="30"/>
        <v>2</v>
      </c>
      <c r="I92" s="70">
        <f t="shared" si="30"/>
        <v>2</v>
      </c>
      <c r="J92" s="70">
        <f t="shared" si="30"/>
        <v>2</v>
      </c>
      <c r="K92" s="70">
        <f t="shared" si="30"/>
        <v>2</v>
      </c>
      <c r="L92" s="70">
        <f t="shared" si="30"/>
        <v>2</v>
      </c>
      <c r="M92" s="70">
        <f t="shared" si="30"/>
        <v>2</v>
      </c>
      <c r="N92" s="70">
        <f t="shared" si="30"/>
        <v>2</v>
      </c>
      <c r="O92" s="70">
        <f t="shared" si="30"/>
        <v>2</v>
      </c>
      <c r="P92" s="70">
        <f t="shared" si="30"/>
        <v>2</v>
      </c>
      <c r="Q92" s="70">
        <f t="shared" si="30"/>
        <v>2</v>
      </c>
      <c r="R92" s="70">
        <f t="shared" si="30"/>
        <v>2</v>
      </c>
      <c r="S92" s="70">
        <f t="shared" si="30"/>
        <v>2</v>
      </c>
      <c r="T92" s="70">
        <f t="shared" si="30"/>
        <v>2</v>
      </c>
      <c r="U92" s="70">
        <f t="shared" si="30"/>
        <v>2</v>
      </c>
      <c r="V92" s="70">
        <f t="shared" si="30"/>
        <v>2</v>
      </c>
      <c r="W92" s="70">
        <f t="shared" si="30"/>
        <v>2</v>
      </c>
      <c r="X92" s="70">
        <f t="shared" si="30"/>
        <v>2</v>
      </c>
      <c r="Y92" s="70">
        <f t="shared" si="30"/>
        <v>2</v>
      </c>
      <c r="Z92" s="70">
        <f t="shared" si="30"/>
        <v>2</v>
      </c>
      <c r="AA92" s="70">
        <f t="shared" si="30"/>
        <v>2</v>
      </c>
      <c r="AB92" s="70">
        <f t="shared" si="30"/>
        <v>2</v>
      </c>
      <c r="AC92" s="70">
        <f t="shared" si="30"/>
        <v>2</v>
      </c>
      <c r="AD92" s="70">
        <f t="shared" si="30"/>
        <v>2</v>
      </c>
      <c r="AE92" s="70">
        <f t="shared" si="30"/>
        <v>2</v>
      </c>
      <c r="AF92" s="70">
        <f t="shared" si="30"/>
        <v>2</v>
      </c>
      <c r="AG92" s="80">
        <f t="shared" si="30"/>
        <v>489.91</v>
      </c>
      <c r="AH92" s="46">
        <f t="shared" si="22"/>
        <v>348.6</v>
      </c>
      <c r="AI92" s="47">
        <f t="shared" si="23"/>
        <v>2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40</v>
      </c>
      <c r="AI93" s="47">
        <f t="shared" si="23"/>
        <v>40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20</v>
      </c>
      <c r="AI94" s="47">
        <f t="shared" si="23"/>
        <v>20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8</v>
      </c>
      <c r="AI95" s="47">
        <f t="shared" si="23"/>
        <v>8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1">B93+B94+B95</f>
        <v>68</v>
      </c>
      <c r="C96" s="70">
        <f t="shared" si="31"/>
        <v>68</v>
      </c>
      <c r="D96" s="70">
        <f t="shared" si="31"/>
        <v>0</v>
      </c>
      <c r="E96" s="70">
        <f t="shared" si="31"/>
        <v>0</v>
      </c>
      <c r="F96" s="70">
        <f t="shared" si="31"/>
        <v>0</v>
      </c>
      <c r="G96" s="70">
        <f t="shared" si="31"/>
        <v>0</v>
      </c>
      <c r="H96" s="70">
        <f t="shared" si="31"/>
        <v>0</v>
      </c>
      <c r="I96" s="70">
        <f t="shared" si="31"/>
        <v>0</v>
      </c>
      <c r="J96" s="70">
        <f t="shared" si="31"/>
        <v>0</v>
      </c>
      <c r="K96" s="70">
        <f t="shared" si="31"/>
        <v>0</v>
      </c>
      <c r="L96" s="70">
        <f t="shared" si="31"/>
        <v>0</v>
      </c>
      <c r="M96" s="70">
        <f t="shared" si="31"/>
        <v>0</v>
      </c>
      <c r="N96" s="70">
        <f t="shared" si="31"/>
        <v>0</v>
      </c>
      <c r="O96" s="70">
        <f t="shared" si="31"/>
        <v>0</v>
      </c>
      <c r="P96" s="70">
        <f t="shared" si="31"/>
        <v>0</v>
      </c>
      <c r="Q96" s="70">
        <f t="shared" si="31"/>
        <v>0</v>
      </c>
      <c r="R96" s="70">
        <f t="shared" si="31"/>
        <v>0</v>
      </c>
      <c r="S96" s="70">
        <f t="shared" si="31"/>
        <v>0</v>
      </c>
      <c r="T96" s="70">
        <f t="shared" si="31"/>
        <v>0</v>
      </c>
      <c r="U96" s="70">
        <f t="shared" si="31"/>
        <v>0</v>
      </c>
      <c r="V96" s="70">
        <f t="shared" si="31"/>
        <v>0</v>
      </c>
      <c r="W96" s="70">
        <f t="shared" si="31"/>
        <v>0</v>
      </c>
      <c r="X96" s="70">
        <f t="shared" si="31"/>
        <v>0</v>
      </c>
      <c r="Y96" s="70">
        <f t="shared" si="31"/>
        <v>0</v>
      </c>
      <c r="Z96" s="70">
        <f t="shared" si="31"/>
        <v>0</v>
      </c>
      <c r="AA96" s="70">
        <f t="shared" si="31"/>
        <v>0</v>
      </c>
      <c r="AB96" s="70">
        <f t="shared" si="31"/>
        <v>0</v>
      </c>
      <c r="AC96" s="70">
        <f t="shared" si="31"/>
        <v>0</v>
      </c>
      <c r="AD96" s="70">
        <f t="shared" si="31"/>
        <v>0</v>
      </c>
      <c r="AE96" s="70">
        <f t="shared" si="31"/>
        <v>0</v>
      </c>
      <c r="AF96" s="70">
        <f t="shared" si="31"/>
        <v>0</v>
      </c>
      <c r="AG96" s="80">
        <f>SUM(AG93:AG95)</f>
        <v>106</v>
      </c>
      <c r="AH96" s="46">
        <f t="shared" si="22"/>
        <v>68</v>
      </c>
      <c r="AI96" s="47">
        <f t="shared" si="23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-410</v>
      </c>
      <c r="AI97" s="47">
        <f t="shared" si="23"/>
        <v>-448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3</v>
      </c>
      <c r="AI98" s="47">
        <f t="shared" si="23"/>
        <v>3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62</v>
      </c>
      <c r="AI99" s="47">
        <f t="shared" si="23"/>
        <v>61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13.5</v>
      </c>
      <c r="AI100" s="47">
        <f t="shared" si="23"/>
        <v>13.5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0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20</v>
      </c>
      <c r="AI102" s="47">
        <f t="shared" si="23"/>
        <v>18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2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2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2">SUMIF(B97:B107,"&gt;0")</f>
        <v>97.5</v>
      </c>
      <c r="C108" s="70">
        <f t="shared" si="32"/>
        <v>80</v>
      </c>
      <c r="D108" s="70">
        <f t="shared" si="32"/>
        <v>0</v>
      </c>
      <c r="E108" s="70">
        <f t="shared" si="32"/>
        <v>0</v>
      </c>
      <c r="F108" s="70">
        <f t="shared" si="32"/>
        <v>0</v>
      </c>
      <c r="G108" s="70">
        <f t="shared" si="32"/>
        <v>0</v>
      </c>
      <c r="H108" s="70">
        <f t="shared" si="32"/>
        <v>0</v>
      </c>
      <c r="I108" s="70">
        <f t="shared" si="32"/>
        <v>0</v>
      </c>
      <c r="J108" s="70">
        <f t="shared" si="32"/>
        <v>0</v>
      </c>
      <c r="K108" s="70">
        <f t="shared" si="32"/>
        <v>0</v>
      </c>
      <c r="L108" s="70">
        <f t="shared" si="32"/>
        <v>0</v>
      </c>
      <c r="M108" s="70">
        <f t="shared" si="32"/>
        <v>0</v>
      </c>
      <c r="N108" s="70">
        <f t="shared" si="32"/>
        <v>0</v>
      </c>
      <c r="O108" s="70">
        <f t="shared" si="32"/>
        <v>0</v>
      </c>
      <c r="P108" s="70">
        <f t="shared" si="32"/>
        <v>0</v>
      </c>
      <c r="Q108" s="70">
        <f t="shared" si="32"/>
        <v>0</v>
      </c>
      <c r="R108" s="70">
        <f t="shared" si="32"/>
        <v>0</v>
      </c>
      <c r="S108" s="70">
        <f t="shared" si="32"/>
        <v>0</v>
      </c>
      <c r="T108" s="70">
        <f t="shared" si="32"/>
        <v>0</v>
      </c>
      <c r="U108" s="70">
        <f t="shared" si="32"/>
        <v>0</v>
      </c>
      <c r="V108" s="70">
        <f t="shared" si="32"/>
        <v>0</v>
      </c>
      <c r="W108" s="70">
        <f t="shared" si="32"/>
        <v>0</v>
      </c>
      <c r="X108" s="70">
        <f t="shared" si="32"/>
        <v>0</v>
      </c>
      <c r="Y108" s="70">
        <f t="shared" si="32"/>
        <v>0</v>
      </c>
      <c r="Z108" s="70">
        <f t="shared" si="32"/>
        <v>0</v>
      </c>
      <c r="AA108" s="70">
        <f t="shared" si="32"/>
        <v>0</v>
      </c>
      <c r="AB108" s="70">
        <f t="shared" si="32"/>
        <v>0</v>
      </c>
      <c r="AC108" s="70">
        <f t="shared" si="32"/>
        <v>0</v>
      </c>
      <c r="AD108" s="70">
        <f t="shared" si="32"/>
        <v>0</v>
      </c>
      <c r="AE108" s="70">
        <f t="shared" si="32"/>
        <v>0</v>
      </c>
      <c r="AF108" s="70">
        <f t="shared" si="32"/>
        <v>0</v>
      </c>
      <c r="AG108" s="104">
        <f>SUM(AG97:AG107)</f>
        <v>0</v>
      </c>
      <c r="AH108" s="46">
        <f t="shared" si="22"/>
        <v>97.5</v>
      </c>
      <c r="AI108" s="47">
        <f t="shared" si="23"/>
        <v>0</v>
      </c>
      <c r="AJ108" s="105">
        <f t="array" ref="AJ108">MIN(IF(B108:AF108&lt;&gt;0,B108:AF108))</f>
        <v>80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3">B71+B78+B96+B92+B108+B112</f>
        <v>1908.13</v>
      </c>
      <c r="C113" s="108">
        <f t="shared" si="33"/>
        <v>1843.63</v>
      </c>
      <c r="D113" s="108">
        <f t="shared" si="33"/>
        <v>152</v>
      </c>
      <c r="E113" s="108">
        <f t="shared" si="33"/>
        <v>152</v>
      </c>
      <c r="F113" s="108">
        <f t="shared" si="33"/>
        <v>152</v>
      </c>
      <c r="G113" s="108">
        <f t="shared" si="33"/>
        <v>152</v>
      </c>
      <c r="H113" s="108">
        <f t="shared" si="33"/>
        <v>152</v>
      </c>
      <c r="I113" s="108">
        <f t="shared" si="33"/>
        <v>152</v>
      </c>
      <c r="J113" s="108">
        <f t="shared" si="33"/>
        <v>152</v>
      </c>
      <c r="K113" s="108">
        <f t="shared" si="33"/>
        <v>152</v>
      </c>
      <c r="L113" s="108">
        <f t="shared" si="33"/>
        <v>152</v>
      </c>
      <c r="M113" s="108">
        <f t="shared" si="33"/>
        <v>152</v>
      </c>
      <c r="N113" s="108">
        <f t="shared" si="33"/>
        <v>152</v>
      </c>
      <c r="O113" s="108">
        <f t="shared" si="33"/>
        <v>152</v>
      </c>
      <c r="P113" s="108">
        <f t="shared" si="33"/>
        <v>152</v>
      </c>
      <c r="Q113" s="108">
        <f t="shared" si="33"/>
        <v>152</v>
      </c>
      <c r="R113" s="108">
        <f t="shared" si="33"/>
        <v>152</v>
      </c>
      <c r="S113" s="108">
        <f t="shared" si="33"/>
        <v>152</v>
      </c>
      <c r="T113" s="108">
        <f t="shared" si="33"/>
        <v>152</v>
      </c>
      <c r="U113" s="108">
        <f t="shared" si="33"/>
        <v>152</v>
      </c>
      <c r="V113" s="108">
        <f t="shared" si="33"/>
        <v>152</v>
      </c>
      <c r="W113" s="108">
        <f t="shared" si="33"/>
        <v>152</v>
      </c>
      <c r="X113" s="108">
        <f t="shared" si="33"/>
        <v>152</v>
      </c>
      <c r="Y113" s="108">
        <f t="shared" si="33"/>
        <v>152</v>
      </c>
      <c r="Z113" s="108">
        <f t="shared" si="33"/>
        <v>152</v>
      </c>
      <c r="AA113" s="108">
        <f t="shared" si="33"/>
        <v>152</v>
      </c>
      <c r="AB113" s="108">
        <f t="shared" si="33"/>
        <v>152</v>
      </c>
      <c r="AC113" s="108">
        <f t="shared" si="33"/>
        <v>152</v>
      </c>
      <c r="AD113" s="108">
        <f t="shared" si="33"/>
        <v>152</v>
      </c>
      <c r="AE113" s="108">
        <f t="shared" si="33"/>
        <v>152</v>
      </c>
      <c r="AF113" s="108">
        <f t="shared" si="33"/>
        <v>152</v>
      </c>
      <c r="AG113" s="80">
        <f t="shared" si="33"/>
        <v>3169.915</v>
      </c>
      <c r="AH113" s="46">
        <f t="shared" si="22"/>
        <v>1908.13</v>
      </c>
      <c r="AI113" s="47">
        <f t="shared" si="23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0</v>
      </c>
      <c r="AI114" s="47">
        <f t="shared" si="23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34">C113+C114</f>
        <v>1843.63</v>
      </c>
      <c r="D115" s="108">
        <f t="shared" si="34"/>
        <v>152</v>
      </c>
      <c r="E115" s="108">
        <f t="shared" si="34"/>
        <v>152</v>
      </c>
      <c r="F115" s="108">
        <f t="shared" si="34"/>
        <v>152</v>
      </c>
      <c r="G115" s="108">
        <f t="shared" si="34"/>
        <v>152</v>
      </c>
      <c r="H115" s="108">
        <f t="shared" si="34"/>
        <v>152</v>
      </c>
      <c r="I115" s="108">
        <f t="shared" si="34"/>
        <v>152</v>
      </c>
      <c r="J115" s="108">
        <f t="shared" si="34"/>
        <v>152</v>
      </c>
      <c r="K115" s="108">
        <f t="shared" si="34"/>
        <v>152</v>
      </c>
      <c r="L115" s="108">
        <f t="shared" si="34"/>
        <v>152</v>
      </c>
      <c r="M115" s="108">
        <f t="shared" si="34"/>
        <v>152</v>
      </c>
      <c r="N115" s="108">
        <f t="shared" si="34"/>
        <v>152</v>
      </c>
      <c r="O115" s="108">
        <f t="shared" si="34"/>
        <v>152</v>
      </c>
      <c r="P115" s="108">
        <f t="shared" si="34"/>
        <v>152</v>
      </c>
      <c r="Q115" s="108">
        <f t="shared" si="34"/>
        <v>152</v>
      </c>
      <c r="R115" s="108">
        <f t="shared" si="34"/>
        <v>152</v>
      </c>
      <c r="S115" s="108">
        <f t="shared" si="34"/>
        <v>152</v>
      </c>
      <c r="T115" s="108">
        <f t="shared" si="34"/>
        <v>152</v>
      </c>
      <c r="U115" s="108">
        <f t="shared" si="34"/>
        <v>152</v>
      </c>
      <c r="V115" s="108">
        <f t="shared" si="34"/>
        <v>152</v>
      </c>
      <c r="W115" s="108">
        <f t="shared" si="34"/>
        <v>152</v>
      </c>
      <c r="X115" s="108">
        <f t="shared" si="34"/>
        <v>152</v>
      </c>
      <c r="Y115" s="108">
        <f t="shared" si="34"/>
        <v>152</v>
      </c>
      <c r="Z115" s="108">
        <f t="shared" si="34"/>
        <v>152</v>
      </c>
      <c r="AA115" s="108">
        <f t="shared" si="34"/>
        <v>152</v>
      </c>
      <c r="AB115" s="108">
        <f t="shared" si="34"/>
        <v>152</v>
      </c>
      <c r="AC115" s="108">
        <f t="shared" si="34"/>
        <v>152</v>
      </c>
      <c r="AD115" s="108">
        <f t="shared" si="34"/>
        <v>152</v>
      </c>
      <c r="AE115" s="108">
        <f t="shared" si="34"/>
        <v>152</v>
      </c>
      <c r="AF115" s="108">
        <f t="shared" si="34"/>
        <v>152</v>
      </c>
      <c r="AG115" s="104">
        <f>AG112+AG108+AG96+AG92+AG71+AG114</f>
        <v>2463.5149999999999</v>
      </c>
      <c r="AH115" s="46">
        <f t="shared" si="22"/>
        <v>1908.13</v>
      </c>
      <c r="AI115" s="47">
        <f t="shared" si="23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35">C115-(C123)</f>
        <v>1395.63</v>
      </c>
      <c r="D116" s="108">
        <f t="shared" si="35"/>
        <v>152</v>
      </c>
      <c r="E116" s="108">
        <f t="shared" si="35"/>
        <v>152</v>
      </c>
      <c r="F116" s="108">
        <f t="shared" si="35"/>
        <v>152</v>
      </c>
      <c r="G116" s="108">
        <f t="shared" si="35"/>
        <v>152</v>
      </c>
      <c r="H116" s="108">
        <f t="shared" si="35"/>
        <v>152</v>
      </c>
      <c r="I116" s="108">
        <f t="shared" si="35"/>
        <v>152</v>
      </c>
      <c r="J116" s="108">
        <f t="shared" si="35"/>
        <v>152</v>
      </c>
      <c r="K116" s="108">
        <f t="shared" si="35"/>
        <v>152</v>
      </c>
      <c r="L116" s="108">
        <f t="shared" si="35"/>
        <v>152</v>
      </c>
      <c r="M116" s="108">
        <f t="shared" si="35"/>
        <v>152</v>
      </c>
      <c r="N116" s="108">
        <f t="shared" si="35"/>
        <v>152</v>
      </c>
      <c r="O116" s="108">
        <f t="shared" si="35"/>
        <v>152</v>
      </c>
      <c r="P116" s="108">
        <f t="shared" si="35"/>
        <v>152</v>
      </c>
      <c r="Q116" s="108">
        <f t="shared" si="35"/>
        <v>152</v>
      </c>
      <c r="R116" s="108">
        <f t="shared" si="35"/>
        <v>152</v>
      </c>
      <c r="S116" s="108">
        <f t="shared" si="35"/>
        <v>152</v>
      </c>
      <c r="T116" s="108">
        <f t="shared" si="35"/>
        <v>152</v>
      </c>
      <c r="U116" s="108">
        <f t="shared" si="35"/>
        <v>152</v>
      </c>
      <c r="V116" s="108">
        <f t="shared" si="35"/>
        <v>152</v>
      </c>
      <c r="W116" s="108">
        <f t="shared" si="35"/>
        <v>152</v>
      </c>
      <c r="X116" s="108">
        <f t="shared" si="35"/>
        <v>152</v>
      </c>
      <c r="Y116" s="108">
        <f t="shared" si="35"/>
        <v>152</v>
      </c>
      <c r="Z116" s="108">
        <f t="shared" si="35"/>
        <v>152</v>
      </c>
      <c r="AA116" s="108">
        <f t="shared" si="35"/>
        <v>152</v>
      </c>
      <c r="AB116" s="108">
        <f t="shared" si="35"/>
        <v>152</v>
      </c>
      <c r="AC116" s="108">
        <f t="shared" si="35"/>
        <v>152</v>
      </c>
      <c r="AD116" s="108">
        <f t="shared" si="35"/>
        <v>152</v>
      </c>
      <c r="AE116" s="108">
        <f t="shared" si="35"/>
        <v>152</v>
      </c>
      <c r="AF116" s="108">
        <f t="shared" si="35"/>
        <v>152</v>
      </c>
      <c r="AG116" s="104"/>
      <c r="AH116" s="46">
        <f t="shared" si="22"/>
        <v>1498.13</v>
      </c>
      <c r="AI116" s="47">
        <f t="shared" si="23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36">IF(B97&lt;0,B97*-1,0)</f>
        <v>410</v>
      </c>
      <c r="C117" s="93">
        <f t="shared" si="36"/>
        <v>448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2"/>
        <v>448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6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6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2"/>
        <v>0</v>
      </c>
      <c r="AI119" s="47">
        <f t="shared" si="23"/>
        <v>0</v>
      </c>
    </row>
    <row r="120" spans="1:64">
      <c r="A120" s="96" t="s">
        <v>126</v>
      </c>
      <c r="B120" s="93">
        <f t="shared" si="36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2"/>
        <v>0</v>
      </c>
      <c r="AI120" s="47">
        <f t="shared" si="23"/>
        <v>0</v>
      </c>
    </row>
    <row r="121" spans="1:64">
      <c r="A121" s="96" t="s">
        <v>128</v>
      </c>
      <c r="B121" s="93">
        <f t="shared" si="36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>
      <c r="A122" s="96" t="s">
        <v>130</v>
      </c>
      <c r="B122" s="93">
        <f t="shared" si="36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>
      <c r="A123" s="112" t="s">
        <v>145</v>
      </c>
      <c r="B123" s="70">
        <f t="shared" ref="B123:AF123" si="37">SUM(B117:B122)</f>
        <v>410</v>
      </c>
      <c r="C123" s="70">
        <f t="shared" si="37"/>
        <v>448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2"/>
        <v>448</v>
      </c>
      <c r="AI123" s="47">
        <f t="shared" si="23"/>
        <v>0</v>
      </c>
      <c r="AJ123" s="105">
        <f t="array" ref="AJ123">MIN(IF(B123:AF123&lt;&gt;0,B123:AF123))</f>
        <v>410</v>
      </c>
    </row>
    <row r="124" spans="1:64" ht="15.75" thickBot="1">
      <c r="A124" s="87" t="s">
        <v>146</v>
      </c>
      <c r="B124" s="70">
        <f t="shared" ref="B124:AF124" si="38">B108-B123</f>
        <v>-312.5</v>
      </c>
      <c r="C124" s="70">
        <f t="shared" si="38"/>
        <v>-368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2"/>
        <v>0</v>
      </c>
      <c r="AI124" s="47">
        <f t="shared" si="23"/>
        <v>-368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49.968000000000004</v>
      </c>
      <c r="AI126" s="47">
        <f t="shared" si="23"/>
        <v>49.968000000000004</v>
      </c>
    </row>
    <row r="127" spans="1:64">
      <c r="A127" s="119" t="s">
        <v>149</v>
      </c>
      <c r="B127" s="43">
        <v>130.1</v>
      </c>
      <c r="C127" s="43">
        <v>130.1</v>
      </c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130.1</v>
      </c>
      <c r="AI127" s="47">
        <f t="shared" si="23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128.9</v>
      </c>
      <c r="AI128" s="47">
        <f t="shared" si="23"/>
        <v>128.9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133.69999999999999</v>
      </c>
      <c r="AI130" s="47">
        <f t="shared" si="23"/>
        <v>133.69999999999999</v>
      </c>
    </row>
    <row r="131" spans="1:35">
      <c r="A131" s="121" t="s">
        <v>153</v>
      </c>
      <c r="B131" s="122">
        <v>131.9</v>
      </c>
      <c r="C131" s="122">
        <v>131.9</v>
      </c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131.9</v>
      </c>
      <c r="AI131" s="47">
        <f t="shared" si="23"/>
        <v>131.9</v>
      </c>
    </row>
    <row r="132" spans="1:35">
      <c r="A132" s="119" t="s">
        <v>154</v>
      </c>
      <c r="B132" s="43">
        <v>124.4</v>
      </c>
      <c r="C132" s="43">
        <v>124.4</v>
      </c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124.4</v>
      </c>
      <c r="AI132" s="47">
        <f t="shared" si="23"/>
        <v>124.4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65.900000000000006</v>
      </c>
      <c r="AI133" s="47">
        <f t="shared" si="23"/>
        <v>65.900000000000006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129.13999999999999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2"/>
        <v>129.13999999999999</v>
      </c>
      <c r="AI135" s="47">
        <f t="shared" si="23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>
      <c r="A137" s="131" t="s">
        <v>159</v>
      </c>
      <c r="B137" s="133">
        <v>48</v>
      </c>
      <c r="C137" s="133">
        <v>48</v>
      </c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48</v>
      </c>
      <c r="AI137" s="47">
        <f t="shared" si="23"/>
        <v>48</v>
      </c>
    </row>
    <row r="138" spans="1:35">
      <c r="A138" s="135" t="s">
        <v>160</v>
      </c>
      <c r="B138" s="136">
        <v>3.5</v>
      </c>
      <c r="C138" s="136">
        <v>3.5</v>
      </c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3.5</v>
      </c>
      <c r="AI138" s="47">
        <f t="shared" si="23"/>
        <v>3.5</v>
      </c>
    </row>
    <row r="139" spans="1:35">
      <c r="A139" s="135" t="s">
        <v>161</v>
      </c>
      <c r="B139" s="136">
        <v>-74</v>
      </c>
      <c r="C139" s="136">
        <v>-74</v>
      </c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-74</v>
      </c>
      <c r="AI139" s="47">
        <f>MIN(B139:AF139)</f>
        <v>-74</v>
      </c>
    </row>
    <row r="140" spans="1:35">
      <c r="A140" s="135" t="s">
        <v>162</v>
      </c>
      <c r="B140" s="137">
        <v>85</v>
      </c>
      <c r="C140" s="137">
        <v>85</v>
      </c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85</v>
      </c>
      <c r="AI140" s="47">
        <f>MIN(B140:AF140)</f>
        <v>85</v>
      </c>
    </row>
    <row r="141" spans="1:35">
      <c r="A141" s="135" t="s">
        <v>163</v>
      </c>
      <c r="B141" s="136">
        <v>7.1</v>
      </c>
      <c r="C141" s="136">
        <v>7.1</v>
      </c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7.1</v>
      </c>
      <c r="AI141" s="47">
        <f>MIN(B141:AF141)</f>
        <v>7.1</v>
      </c>
    </row>
    <row r="142" spans="1:35">
      <c r="A142" s="135" t="s">
        <v>164</v>
      </c>
      <c r="B142" s="137">
        <v>-78</v>
      </c>
      <c r="C142" s="137">
        <v>-78</v>
      </c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-78</v>
      </c>
      <c r="AI142" s="47">
        <f>MIN(B142:AF142)</f>
        <v>-78</v>
      </c>
    </row>
    <row r="143" spans="1:35">
      <c r="A143" s="135" t="s">
        <v>165</v>
      </c>
      <c r="B143" s="137">
        <v>12</v>
      </c>
      <c r="C143" s="137">
        <v>12</v>
      </c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7">
        <v>-46</v>
      </c>
      <c r="C144" s="137">
        <v>-46</v>
      </c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7">
        <v>14</v>
      </c>
      <c r="C145" s="137">
        <v>14</v>
      </c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7">
        <v>-255</v>
      </c>
      <c r="C146" s="137">
        <v>-255</v>
      </c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-255</v>
      </c>
      <c r="AI146" s="47">
        <f t="shared" ref="AI146:AI158" si="43">MIN(B146:AF146)</f>
        <v>-255</v>
      </c>
    </row>
    <row r="147" spans="1:38">
      <c r="A147" s="135" t="s">
        <v>169</v>
      </c>
      <c r="B147" s="137">
        <v>92</v>
      </c>
      <c r="C147" s="137">
        <v>92</v>
      </c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92</v>
      </c>
      <c r="AI147" s="47">
        <f t="shared" si="43"/>
        <v>92</v>
      </c>
    </row>
    <row r="148" spans="1:38">
      <c r="A148" s="135" t="s">
        <v>170</v>
      </c>
      <c r="B148" s="137">
        <v>11</v>
      </c>
      <c r="C148" s="137">
        <v>11</v>
      </c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11</v>
      </c>
      <c r="AI148" s="47">
        <f t="shared" si="43"/>
        <v>11</v>
      </c>
    </row>
    <row r="149" spans="1:38">
      <c r="A149" s="135" t="s">
        <v>171</v>
      </c>
      <c r="B149" s="122">
        <v>110</v>
      </c>
      <c r="C149" s="122">
        <v>110</v>
      </c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110</v>
      </c>
      <c r="AI149" s="47">
        <f t="shared" si="43"/>
        <v>110</v>
      </c>
    </row>
    <row r="150" spans="1:38">
      <c r="A150" s="135" t="s">
        <v>172</v>
      </c>
      <c r="B150" s="122">
        <v>31</v>
      </c>
      <c r="C150" s="122">
        <v>31</v>
      </c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31</v>
      </c>
      <c r="AI150" s="47">
        <f t="shared" si="43"/>
        <v>31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13.4</v>
      </c>
      <c r="AI151" s="47">
        <f t="shared" si="43"/>
        <v>13.4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13.62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1986.35</v>
      </c>
      <c r="AI153" s="47">
        <f t="shared" si="43"/>
        <v>1986.35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523.75</v>
      </c>
      <c r="AI154" s="47">
        <f t="shared" si="43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623.66999999999996</v>
      </c>
      <c r="AI155" s="47">
        <f t="shared" si="43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336.87</v>
      </c>
      <c r="AI156" s="47">
        <f t="shared" si="43"/>
        <v>336.87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882.2</v>
      </c>
      <c r="AI157" s="47">
        <f t="shared" si="43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53" priority="97">
      <formula>$AH11=0</formula>
    </cfRule>
  </conditionalFormatting>
  <conditionalFormatting sqref="A101:A102">
    <cfRule type="expression" dxfId="252" priority="265">
      <formula>$AH106=0</formula>
    </cfRule>
  </conditionalFormatting>
  <conditionalFormatting sqref="A103:A107">
    <cfRule type="expression" dxfId="251" priority="213">
      <formula>$AH102=0</formula>
    </cfRule>
  </conditionalFormatting>
  <conditionalFormatting sqref="A160:A167">
    <cfRule type="expression" dxfId="250" priority="266">
      <formula>$AH267=0</formula>
    </cfRule>
  </conditionalFormatting>
  <conditionalFormatting sqref="A168:A275">
    <cfRule type="expression" dxfId="249" priority="136">
      <formula>$AH168=0</formula>
    </cfRule>
  </conditionalFormatting>
  <conditionalFormatting sqref="B8">
    <cfRule type="expression" dxfId="248" priority="261">
      <formula>AND(C$9&gt;=14/24,C$9&lt;20/24)</formula>
    </cfRule>
    <cfRule type="expression" dxfId="247" priority="262">
      <formula>AND(C$9&gt;=8/24,C$9&lt;14/24)</formula>
    </cfRule>
    <cfRule type="expression" dxfId="246" priority="263">
      <formula>C$9&lt;8/24</formula>
    </cfRule>
    <cfRule type="expression" dxfId="245" priority="264">
      <formula>C$9&gt;=20/24</formula>
    </cfRule>
  </conditionalFormatting>
  <conditionalFormatting sqref="D11:AA13 AB12:AF13 E80:E90 F82:G90 H84:J90 K85:AF90 C97:AF107 B9:AF10 C117:AF125 B78:D78 B113:B115 C109:AF115 B108:AF108 B117:B124 C152:AF152 C154:AF159 D72:L72 B153:AF153 B96:AF96 D76:AF77 D79:D90 D93:AF95 C134:AF134 D126:AF133 D137:AF151">
    <cfRule type="expression" dxfId="244" priority="178">
      <formula>B$9&gt;=20/24</formula>
    </cfRule>
  </conditionalFormatting>
  <conditionalFormatting sqref="B9:AF10 D11:AA13 AB12:AF13 E80:E90 F82:G90 H84:J90 K85:AF90 C97:AF107 C117:AF125 B78:D78 B113:B115 C109:AF115 B108:AF108 B117:B124 C152:AF152 C154:AF159 D72:L72 B153:AF153 B96:AF96 D76:AF77 D79:D90 D93:AF95 C134:AF134 D126:AF133 D137:AF151">
    <cfRule type="expression" dxfId="243" priority="179">
      <formula>AND(B$9&gt;=14/24,B$9&lt;20/24)</formula>
    </cfRule>
    <cfRule type="expression" dxfId="242" priority="180">
      <formula>AND(B$9&gt;=8/24,B$9&lt;14/24)</formula>
    </cfRule>
    <cfRule type="expression" dxfId="241" priority="181">
      <formula>B$9&lt;8/24</formula>
    </cfRule>
  </conditionalFormatting>
  <conditionalFormatting sqref="D14:AF53">
    <cfRule type="expression" dxfId="240" priority="121">
      <formula>D14&gt;$AG14*1</formula>
    </cfRule>
    <cfRule type="expression" dxfId="239" priority="122">
      <formula>D$9&gt;=20/24</formula>
    </cfRule>
    <cfRule type="expression" dxfId="238" priority="123">
      <formula>AND(D$9&gt;=14/24,D$9&lt;20/24)</formula>
    </cfRule>
    <cfRule type="expression" dxfId="237" priority="124">
      <formula>AND(D$9&gt;=8/24,D$9&lt;14/24)</formula>
    </cfRule>
    <cfRule type="expression" dxfId="236" priority="125">
      <formula>D$9&lt;8/24</formula>
    </cfRule>
  </conditionalFormatting>
  <conditionalFormatting sqref="D54:AF68">
    <cfRule type="expression" dxfId="235" priority="114">
      <formula>D$9&lt;8/24</formula>
    </cfRule>
  </conditionalFormatting>
  <conditionalFormatting sqref="D54:AF70">
    <cfRule type="expression" dxfId="234" priority="111">
      <formula>D$9&gt;=20/24</formula>
    </cfRule>
    <cfRule type="expression" dxfId="233" priority="112">
      <formula>AND(D$9&gt;=14/24,D$9&lt;20/24)</formula>
    </cfRule>
    <cfRule type="expression" dxfId="232" priority="113">
      <formula>AND(D$9&gt;=8/24,D$9&lt;14/24)</formula>
    </cfRule>
  </conditionalFormatting>
  <conditionalFormatting sqref="D63:AF65">
    <cfRule type="expression" dxfId="231" priority="115">
      <formula>D63&gt;$AG63</formula>
    </cfRule>
  </conditionalFormatting>
  <conditionalFormatting sqref="D69:AF70">
    <cfRule type="expression" dxfId="230" priority="186">
      <formula>D$9&lt;8/24</formula>
    </cfRule>
  </conditionalFormatting>
  <conditionalFormatting sqref="D72:AF75">
    <cfRule type="expression" dxfId="229" priority="102">
      <formula>D72&gt;$AG72*1</formula>
    </cfRule>
  </conditionalFormatting>
  <conditionalFormatting sqref="D73:AF75">
    <cfRule type="expression" dxfId="228" priority="103">
      <formula>D$9&gt;=20/24</formula>
    </cfRule>
    <cfRule type="expression" dxfId="227" priority="104">
      <formula>AND(D$9&gt;=14/24,D$9&lt;20/24)</formula>
    </cfRule>
    <cfRule type="expression" dxfId="226" priority="105">
      <formula>AND(D$9&gt;=8/24,D$9&lt;14/24)</formula>
    </cfRule>
    <cfRule type="expression" dxfId="225" priority="106">
      <formula>D$9&lt;8/24</formula>
    </cfRule>
  </conditionalFormatting>
  <conditionalFormatting sqref="C161:AF167">
    <cfRule type="expression" dxfId="224" priority="137">
      <formula>C$9&gt;=20/24</formula>
    </cfRule>
    <cfRule type="expression" dxfId="223" priority="138">
      <formula>AND(C$9&gt;=14/24,C$9&lt;20/24)</formula>
    </cfRule>
    <cfRule type="expression" dxfId="222" priority="139">
      <formula>AND(C$9&gt;=8/24,C$9&lt;14/24)</formula>
    </cfRule>
    <cfRule type="expression" dxfId="221" priority="140">
      <formula>C$9&lt;8/24</formula>
    </cfRule>
  </conditionalFormatting>
  <conditionalFormatting sqref="C169:AF274">
    <cfRule type="expression" dxfId="220" priority="98">
      <formula>C$9&gt;=20/24</formula>
    </cfRule>
    <cfRule type="expression" dxfId="219" priority="99">
      <formula>AND(C$9&gt;=14/24,C$9&lt;20/24)</formula>
    </cfRule>
    <cfRule type="expression" dxfId="218" priority="100">
      <formula>AND(C$9&gt;=8/24,C$9&lt;14/24)</formula>
    </cfRule>
    <cfRule type="expression" dxfId="217" priority="101">
      <formula>C$9&lt;8/24</formula>
    </cfRule>
  </conditionalFormatting>
  <conditionalFormatting sqref="AD80:AF90 AB69:AF70 AA70 D11:AA13 AB12:AF13 AF92:AF95 D79:AC90 B71:AG71 B78:AG78 B91:AF91 D69:AA69 B92:AE92 D76:AF77 B96:AG96 D93:AE95">
    <cfRule type="expression" dxfId="216" priority="177">
      <formula>B11&gt;$AG11*1</formula>
    </cfRule>
  </conditionalFormatting>
  <conditionalFormatting sqref="E79:I83 J80:J83 K83:O83">
    <cfRule type="expression" dxfId="215" priority="187">
      <formula>E$9&gt;=20/24</formula>
    </cfRule>
    <cfRule type="expression" dxfId="214" priority="188">
      <formula>AND(E$9&gt;=14/24,E$9&lt;20/24)</formula>
    </cfRule>
    <cfRule type="expression" dxfId="213" priority="189">
      <formula>AND(E$9&gt;=8/24,E$9&lt;14/24)</formula>
    </cfRule>
    <cfRule type="expression" dxfId="212" priority="190">
      <formula>E$9&lt;8/24</formula>
    </cfRule>
  </conditionalFormatting>
  <conditionalFormatting sqref="E84:O84">
    <cfRule type="expression" dxfId="211" priority="182">
      <formula>E$9&gt;=20/24</formula>
    </cfRule>
    <cfRule type="expression" dxfId="210" priority="183">
      <formula>AND(E$9&gt;=14/24,E$9&lt;20/24)</formula>
    </cfRule>
    <cfRule type="expression" dxfId="209" priority="184">
      <formula>AND(E$9&gt;=8/24,E$9&lt;14/24)</formula>
    </cfRule>
    <cfRule type="expression" dxfId="208" priority="185">
      <formula>E$9&lt;8/24</formula>
    </cfRule>
  </conditionalFormatting>
  <conditionalFormatting sqref="E76:AF78 D72:AF72">
    <cfRule type="expression" dxfId="207" priority="197">
      <formula>D$9&gt;=20/24</formula>
    </cfRule>
    <cfRule type="expression" dxfId="206" priority="198">
      <formula>AND(D$9&gt;=14/24,D$9&lt;20/24)</formula>
    </cfRule>
    <cfRule type="expression" dxfId="205" priority="199">
      <formula>AND(D$9&gt;=8/24,D$9&lt;14/24)</formula>
    </cfRule>
    <cfRule type="expression" dxfId="204" priority="200">
      <formula>D$9&lt;8/24</formula>
    </cfRule>
  </conditionalFormatting>
  <conditionalFormatting sqref="E73:AF75">
    <cfRule type="expression" dxfId="203" priority="107">
      <formula>E$9&gt;=20/24</formula>
    </cfRule>
    <cfRule type="expression" dxfId="202" priority="108">
      <formula>AND(E$9&gt;=14/24,E$9&lt;20/24)</formula>
    </cfRule>
    <cfRule type="expression" dxfId="201" priority="109">
      <formula>AND(E$9&gt;=8/24,E$9&lt;14/24)</formula>
    </cfRule>
    <cfRule type="expression" dxfId="200" priority="110">
      <formula>E$9&lt;8/24</formula>
    </cfRule>
  </conditionalFormatting>
  <conditionalFormatting sqref="F79:O81">
    <cfRule type="expression" dxfId="199" priority="205">
      <formula>F$9&gt;=20/24</formula>
    </cfRule>
    <cfRule type="expression" dxfId="198" priority="206">
      <formula>AND(F$9&gt;=14/24,F$9&lt;20/24)</formula>
    </cfRule>
    <cfRule type="expression" dxfId="197" priority="207">
      <formula>AND(F$9&gt;=8/24,F$9&lt;14/24)</formula>
    </cfRule>
    <cfRule type="expression" dxfId="196" priority="208">
      <formula>F$9&lt;8/24</formula>
    </cfRule>
  </conditionalFormatting>
  <conditionalFormatting sqref="L84:AF84">
    <cfRule type="expression" dxfId="195" priority="201">
      <formula>L$9&gt;=20/24</formula>
    </cfRule>
    <cfRule type="expression" dxfId="194" priority="202">
      <formula>AND(L$9&gt;=14/24,L$9&lt;20/24)</formula>
    </cfRule>
    <cfRule type="expression" dxfId="193" priority="203">
      <formula>AND(L$9&gt;=8/24,L$9&lt;14/24)</formula>
    </cfRule>
    <cfRule type="expression" dxfId="192" priority="204">
      <formula>L$9&lt;8/24</formula>
    </cfRule>
  </conditionalFormatting>
  <conditionalFormatting sqref="M8 S8 AB8">
    <cfRule type="expression" dxfId="191" priority="254">
      <formula>AND(N$9&gt;=14/24,N$9&lt;20/24)</formula>
    </cfRule>
    <cfRule type="expression" dxfId="190" priority="255">
      <formula>AND(N$9&gt;=8/24,N$9&lt;14/24)</formula>
    </cfRule>
    <cfRule type="expression" dxfId="189" priority="256">
      <formula>N$9&lt;8/24</formula>
    </cfRule>
  </conditionalFormatting>
  <conditionalFormatting sqref="M79:Y83 Z80:AA83">
    <cfRule type="expression" dxfId="188" priority="209">
      <formula>M$9&gt;=20/24</formula>
    </cfRule>
    <cfRule type="expression" dxfId="187" priority="210">
      <formula>AND(M$9&gt;=14/24,M$9&lt;20/24)</formula>
    </cfRule>
    <cfRule type="expression" dxfId="186" priority="211">
      <formula>AND(M$9&gt;=8/24,M$9&lt;14/24)</formula>
    </cfRule>
    <cfRule type="expression" dxfId="185" priority="212">
      <formula>M$9&lt;8/24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84" priority="253">
      <formula>N$9&gt;=20/24</formula>
    </cfRule>
  </conditionalFormatting>
  <conditionalFormatting sqref="S8">
    <cfRule type="expression" dxfId="183" priority="244">
      <formula>U$9&gt;=20/24</formula>
    </cfRule>
    <cfRule type="expression" dxfId="182" priority="245">
      <formula>AND(U$9&gt;=14/24,U$9&lt;20/24)</formula>
    </cfRule>
    <cfRule type="expression" dxfId="181" priority="246">
      <formula>AND(U$9&gt;=8/24,U$9&lt;14/24)</formula>
    </cfRule>
    <cfRule type="expression" dxfId="180" priority="247">
      <formula>U$9&lt;8/24</formula>
    </cfRule>
  </conditionalFormatting>
  <conditionalFormatting sqref="T79:AF84">
    <cfRule type="expression" dxfId="179" priority="131">
      <formula>T$9&gt;=20/24</formula>
    </cfRule>
    <cfRule type="expression" dxfId="178" priority="132">
      <formula>AND(T$9&gt;=14/24,T$9&lt;20/24)</formula>
    </cfRule>
    <cfRule type="expression" dxfId="177" priority="133">
      <formula>AND(T$9&gt;=8/24,T$9&lt;14/24)</formula>
    </cfRule>
    <cfRule type="expression" dxfId="176" priority="134">
      <formula>T$9&lt;8/24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75" priority="116">
      <formula>Y$9&gt;=20/24</formula>
    </cfRule>
    <cfRule type="expression" dxfId="174" priority="117">
      <formula>AND(Y$9&gt;=14/24,Y$9&lt;20/24)</formula>
    </cfRule>
    <cfRule type="expression" dxfId="173" priority="118">
      <formula>AND(Y$9&gt;=8/24,Y$9&lt;14/24)</formula>
    </cfRule>
    <cfRule type="expression" dxfId="172" priority="119">
      <formula>Y$9&lt;8/24</formula>
    </cfRule>
  </conditionalFormatting>
  <conditionalFormatting sqref="Z69:Z70">
    <cfRule type="expression" dxfId="171" priority="196">
      <formula>Z69&gt;$AG69</formula>
    </cfRule>
  </conditionalFormatting>
  <conditionalFormatting sqref="Z66:AF69 AB11:AF11 D54:AF62 D66:Y70">
    <cfRule type="expression" dxfId="170" priority="191">
      <formula>D11&gt;$AG11</formula>
    </cfRule>
  </conditionalFormatting>
  <conditionalFormatting sqref="AB8">
    <cfRule type="expression" dxfId="169" priority="240">
      <formula>AD$9&gt;=20/24</formula>
    </cfRule>
    <cfRule type="expression" dxfId="168" priority="241">
      <formula>AND(AD$9&gt;=14/24,AD$9&lt;20/24)</formula>
    </cfRule>
    <cfRule type="expression" dxfId="167" priority="242">
      <formula>AND(AD$9&gt;=8/24,AD$9&lt;14/24)</formula>
    </cfRule>
    <cfRule type="expression" dxfId="166" priority="243">
      <formula>AD$9&lt;8/24</formula>
    </cfRule>
  </conditionalFormatting>
  <conditionalFormatting sqref="AB11:AF11">
    <cfRule type="expression" dxfId="165" priority="192">
      <formula>AB$9&gt;=20/24</formula>
    </cfRule>
    <cfRule type="expression" dxfId="164" priority="193">
      <formula>AND(AB$9&gt;=14/24,AB$9&lt;20/24)</formula>
    </cfRule>
    <cfRule type="expression" dxfId="163" priority="194">
      <formula>AND(AB$9&gt;=8/24,AB$9&lt;14/24)</formula>
    </cfRule>
    <cfRule type="expression" dxfId="162" priority="195">
      <formula>AB$9&lt;8/24</formula>
    </cfRule>
  </conditionalFormatting>
  <conditionalFormatting sqref="AD79:AF79">
    <cfRule type="expression" dxfId="161" priority="267">
      <formula>AD79&gt;$AG80*1</formula>
    </cfRule>
  </conditionalFormatting>
  <conditionalFormatting sqref="AG78">
    <cfRule type="expression" dxfId="160" priority="219">
      <formula>AG$9&gt;=20/24</formula>
    </cfRule>
    <cfRule type="expression" dxfId="159" priority="220">
      <formula>AND(AG$9&gt;=14/24,AG$9&lt;20/24)</formula>
    </cfRule>
    <cfRule type="expression" dxfId="158" priority="221">
      <formula>AND(AG$9&gt;=8/24,AG$9&lt;14/24)</formula>
    </cfRule>
    <cfRule type="expression" dxfId="157" priority="222">
      <formula>AG$9&lt;8/24</formula>
    </cfRule>
  </conditionalFormatting>
  <conditionalFormatting sqref="AG91:AG92">
    <cfRule type="expression" dxfId="156" priority="214">
      <formula>AG91&gt;$AG91</formula>
    </cfRule>
  </conditionalFormatting>
  <conditionalFormatting sqref="AG96">
    <cfRule type="expression" dxfId="155" priority="215">
      <formula>AG$9&gt;=20/24</formula>
    </cfRule>
    <cfRule type="expression" dxfId="154" priority="216">
      <formula>AND(AG$9&gt;=14/24,AG$9&lt;20/24)</formula>
    </cfRule>
    <cfRule type="expression" dxfId="153" priority="217">
      <formula>AND(AG$9&gt;=8/24,AG$9&lt;14/24)</formula>
    </cfRule>
    <cfRule type="expression" dxfId="152" priority="218">
      <formula>AG$9&lt;8/24</formula>
    </cfRule>
  </conditionalFormatting>
  <conditionalFormatting sqref="AG113">
    <cfRule type="expression" dxfId="151" priority="236">
      <formula>AG$9&gt;=20/24</formula>
    </cfRule>
    <cfRule type="expression" dxfId="150" priority="237">
      <formula>AND(AG$9&gt;=14/24,AG$9&lt;20/24)</formula>
    </cfRule>
    <cfRule type="expression" dxfId="149" priority="238">
      <formula>AND(AG$9&gt;=8/24,AG$9&lt;14/24)</formula>
    </cfRule>
    <cfRule type="expression" dxfId="148" priority="239">
      <formula>AG$9&lt;8/24</formula>
    </cfRule>
  </conditionalFormatting>
  <conditionalFormatting sqref="AH8:AI10">
    <cfRule type="expression" dxfId="147" priority="127">
      <formula>AH$9&gt;=20/24</formula>
    </cfRule>
    <cfRule type="expression" dxfId="146" priority="128">
      <formula>AND(AH$9&gt;=14/24,AH$9&lt;20/24)</formula>
    </cfRule>
    <cfRule type="expression" dxfId="145" priority="129">
      <formula>AND(AH$9&gt;=8/24,AH$9&lt;14/24)</formula>
    </cfRule>
    <cfRule type="expression" dxfId="14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3" priority="257">
      <formula>AJ$9&gt;=20/24</formula>
    </cfRule>
    <cfRule type="expression" dxfId="142" priority="258">
      <formula>AND(AJ$9&gt;=14/24,AJ$9&lt;20/24)</formula>
    </cfRule>
    <cfRule type="expression" dxfId="141" priority="259">
      <formula>AND(AJ$9&gt;=8/24,AJ$9&lt;14/24)</formula>
    </cfRule>
    <cfRule type="expression" dxfId="140" priority="260">
      <formula>AJ$9&lt;8/24</formula>
    </cfRule>
  </conditionalFormatting>
  <conditionalFormatting sqref="AL99:AN99 AL105:AN105">
    <cfRule type="expression" dxfId="139" priority="229">
      <formula>AL$9&gt;=20/24</formula>
    </cfRule>
    <cfRule type="expression" dxfId="138" priority="230">
      <formula>AND(AL$9&gt;=14/24,AL$9&lt;20/24)</formula>
    </cfRule>
    <cfRule type="expression" dxfId="137" priority="231">
      <formula>AND(AL$9&gt;=8/24,AL$9&lt;14/24)</formula>
    </cfRule>
    <cfRule type="expression" dxfId="136" priority="232">
      <formula>AL$9&lt;8/24</formula>
    </cfRule>
  </conditionalFormatting>
  <conditionalFormatting sqref="AM15:AM21 AN16:AR21">
    <cfRule type="expression" dxfId="135" priority="153">
      <formula>AX$9&gt;=20/24</formula>
    </cfRule>
    <cfRule type="expression" dxfId="134" priority="154">
      <formula>AND(AX$9&gt;=14/24,AX$9&lt;20/24)</formula>
    </cfRule>
    <cfRule type="expression" dxfId="133" priority="155">
      <formula>AND(AX$9&gt;=8/24,AX$9&lt;14/24)</formula>
    </cfRule>
    <cfRule type="expression" dxfId="132" priority="156">
      <formula>AX$9&lt;8/24</formula>
    </cfRule>
  </conditionalFormatting>
  <conditionalFormatting sqref="AN100:AN103">
    <cfRule type="expression" dxfId="131" priority="225">
      <formula>AN$9&gt;=20/24</formula>
    </cfRule>
    <cfRule type="expression" dxfId="130" priority="226">
      <formula>AND(AN$9&gt;=14/24,AN$9&lt;20/24)</formula>
    </cfRule>
    <cfRule type="expression" dxfId="129" priority="227">
      <formula>AND(AN$9&gt;=8/24,AN$9&lt;14/24)</formula>
    </cfRule>
    <cfRule type="expression" dxfId="128" priority="228">
      <formula>AN$9&lt;8/24</formula>
    </cfRule>
  </conditionalFormatting>
  <conditionalFormatting sqref="AN15:AR15">
    <cfRule type="expression" dxfId="127" priority="141">
      <formula>U$9&gt;=20/24</formula>
    </cfRule>
    <cfRule type="expression" dxfId="126" priority="142">
      <formula>AND(U$9&gt;=14/24,U$9&lt;20/24)</formula>
    </cfRule>
    <cfRule type="expression" dxfId="125" priority="143">
      <formula>AND(U$9&gt;=8/24,U$9&lt;14/24)</formula>
    </cfRule>
    <cfRule type="expression" dxfId="124" priority="144">
      <formula>U$9&lt;8/24</formula>
    </cfRule>
  </conditionalFormatting>
  <conditionalFormatting sqref="AS15">
    <cfRule type="expression" dxfId="123" priority="149">
      <formula>AA$9&gt;=20/24</formula>
    </cfRule>
    <cfRule type="expression" dxfId="122" priority="150">
      <formula>AND(AA$9&gt;=14/24,AA$9&lt;20/24)</formula>
    </cfRule>
    <cfRule type="expression" dxfId="121" priority="151">
      <formula>AND(AA$9&gt;=8/24,AA$9&lt;14/24)</formula>
    </cfRule>
    <cfRule type="expression" dxfId="120" priority="152">
      <formula>AA$9&lt;8/24</formula>
    </cfRule>
  </conditionalFormatting>
  <conditionalFormatting sqref="AS16:AS21">
    <cfRule type="expression" dxfId="119" priority="157">
      <formula>BE$9&gt;=20/24</formula>
    </cfRule>
    <cfRule type="expression" dxfId="118" priority="158">
      <formula>AND(BE$9&gt;=14/24,BE$9&lt;20/24)</formula>
    </cfRule>
    <cfRule type="expression" dxfId="117" priority="159">
      <formula>AND(BE$9&gt;=8/24,BE$9&lt;14/24)</formula>
    </cfRule>
    <cfRule type="expression" dxfId="116" priority="160">
      <formula>BE$9&lt;8/24</formula>
    </cfRule>
  </conditionalFormatting>
  <conditionalFormatting sqref="AT15 AX15:BJ15">
    <cfRule type="expression" dxfId="115" priority="161">
      <formula>AC$9&gt;=20/24</formula>
    </cfRule>
    <cfRule type="expression" dxfId="114" priority="162">
      <formula>AND(AC$9&gt;=14/24,AC$9&lt;20/24)</formula>
    </cfRule>
    <cfRule type="expression" dxfId="113" priority="163">
      <formula>AND(AC$9&gt;=8/24,AC$9&lt;14/24)</formula>
    </cfRule>
    <cfRule type="expression" dxfId="112" priority="164">
      <formula>AC$9&lt;8/24</formula>
    </cfRule>
  </conditionalFormatting>
  <conditionalFormatting sqref="AT16:AT21">
    <cfRule type="expression" dxfId="111" priority="165">
      <formula>BG$9&gt;=20/24</formula>
    </cfRule>
    <cfRule type="expression" dxfId="110" priority="166">
      <formula>AND(BG$9&gt;=14/24,BG$9&lt;20/24)</formula>
    </cfRule>
    <cfRule type="expression" dxfId="109" priority="167">
      <formula>AND(BG$9&gt;=8/24,BG$9&lt;14/24)</formula>
    </cfRule>
    <cfRule type="expression" dxfId="108" priority="168">
      <formula>BG$9&lt;8/24</formula>
    </cfRule>
  </conditionalFormatting>
  <conditionalFormatting sqref="AU15:AV15">
    <cfRule type="expression" dxfId="107" priority="169">
      <formula>AE$9&gt;=20/24</formula>
    </cfRule>
    <cfRule type="expression" dxfId="106" priority="170">
      <formula>AND(AE$9&gt;=14/24,AE$9&lt;20/24)</formula>
    </cfRule>
    <cfRule type="expression" dxfId="105" priority="171">
      <formula>AND(AE$9&gt;=8/24,AE$9&lt;14/24)</formula>
    </cfRule>
    <cfRule type="expression" dxfId="104" priority="172">
      <formula>AE$9&lt;8/24</formula>
    </cfRule>
  </conditionalFormatting>
  <conditionalFormatting sqref="AU16:BJ21">
    <cfRule type="expression" dxfId="103" priority="173">
      <formula>BI$9&gt;=20/24</formula>
    </cfRule>
    <cfRule type="expression" dxfId="102" priority="174">
      <formula>AND(BI$9&gt;=14/24,BI$9&lt;20/24)</formula>
    </cfRule>
    <cfRule type="expression" dxfId="101" priority="175">
      <formula>AND(BI$9&gt;=8/24,BI$9&lt;14/24)</formula>
    </cfRule>
    <cfRule type="expression" dxfId="100" priority="176">
      <formula>BI$9&lt;8/24</formula>
    </cfRule>
  </conditionalFormatting>
  <conditionalFormatting sqref="AW15">
    <cfRule type="expression" dxfId="99" priority="145">
      <formula>B$9&gt;=20/24</formula>
    </cfRule>
    <cfRule type="expression" dxfId="98" priority="146">
      <formula>AND(B$9&gt;=14/24,B$9&lt;20/24)</formula>
    </cfRule>
    <cfRule type="expression" dxfId="97" priority="147">
      <formula>AND(B$9&gt;=8/24,B$9&lt;14/24)</formula>
    </cfRule>
    <cfRule type="expression" dxfId="96" priority="148">
      <formula>B$9&lt;8/24</formula>
    </cfRule>
  </conditionalFormatting>
  <conditionalFormatting sqref="A73">
    <cfRule type="expression" dxfId="95" priority="96">
      <formula>$AH73=0</formula>
    </cfRule>
  </conditionalFormatting>
  <conditionalFormatting sqref="B97:B107 B152 B109:B112 B125 B154:B159 B134">
    <cfRule type="expression" dxfId="94" priority="92">
      <formula>B$9&gt;=20/24</formula>
    </cfRule>
  </conditionalFormatting>
  <conditionalFormatting sqref="B97:B107 B152 B109:B112 B125 B154:B159 B134">
    <cfRule type="expression" dxfId="93" priority="93">
      <formula>AND(B$9&gt;=14/24,B$9&lt;20/24)</formula>
    </cfRule>
    <cfRule type="expression" dxfId="92" priority="94">
      <formula>AND(B$9&gt;=8/24,B$9&lt;14/24)</formula>
    </cfRule>
    <cfRule type="expression" dxfId="91" priority="95">
      <formula>B$9&lt;8/24</formula>
    </cfRule>
  </conditionalFormatting>
  <conditionalFormatting sqref="B161:B167">
    <cfRule type="expression" dxfId="85" priority="87">
      <formula>B$9&gt;=20/24</formula>
    </cfRule>
    <cfRule type="expression" dxfId="84" priority="88">
      <formula>AND(B$9&gt;=14/24,B$9&lt;20/24)</formula>
    </cfRule>
    <cfRule type="expression" dxfId="83" priority="89">
      <formula>AND(B$9&gt;=8/24,B$9&lt;14/24)</formula>
    </cfRule>
    <cfRule type="expression" dxfId="82" priority="90">
      <formula>B$9&lt;8/24</formula>
    </cfRule>
  </conditionalFormatting>
  <conditionalFormatting sqref="B169:B274">
    <cfRule type="expression" dxfId="81" priority="78">
      <formula>B$9&gt;=20/24</formula>
    </cfRule>
    <cfRule type="expression" dxfId="80" priority="79">
      <formula>AND(B$9&gt;=14/24,B$9&lt;20/24)</formula>
    </cfRule>
    <cfRule type="expression" dxfId="79" priority="80">
      <formula>AND(B$9&gt;=8/24,B$9&lt;14/24)</formula>
    </cfRule>
    <cfRule type="expression" dxfId="78" priority="81">
      <formula>B$9&lt;8/24</formula>
    </cfRule>
  </conditionalFormatting>
  <conditionalFormatting sqref="A153">
    <cfRule type="expression" dxfId="76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5" priority="73">
      <formula>AL$9&gt;=20/24</formula>
    </cfRule>
  </conditionalFormatting>
  <conditionalFormatting sqref="AL153">
    <cfRule type="expression" dxfId="74" priority="74">
      <formula>AND(AL$9&gt;=14/24,AL$9&lt;20/24)</formula>
    </cfRule>
    <cfRule type="expression" dxfId="73" priority="75">
      <formula>AND(AL$9&gt;=8/24,AL$9&lt;14/24)</formula>
    </cfRule>
    <cfRule type="expression" dxfId="72" priority="76">
      <formula>AL$9&lt;8/24</formula>
    </cfRule>
  </conditionalFormatting>
  <conditionalFormatting sqref="B11:C13">
    <cfRule type="expression" dxfId="71" priority="69">
      <formula>B$9&gt;=20/24</formula>
    </cfRule>
  </conditionalFormatting>
  <conditionalFormatting sqref="B11:C13">
    <cfRule type="expression" dxfId="70" priority="70">
      <formula>AND(B$9&gt;=14/24,B$9&lt;20/24)</formula>
    </cfRule>
    <cfRule type="expression" dxfId="69" priority="71">
      <formula>AND(B$9&gt;=8/24,B$9&lt;14/24)</formula>
    </cfRule>
    <cfRule type="expression" dxfId="68" priority="72">
      <formula>B$9&lt;8/24</formula>
    </cfRule>
  </conditionalFormatting>
  <conditionalFormatting sqref="B14:C16">
    <cfRule type="expression" dxfId="67" priority="63">
      <formula>B14&gt;$AG14*1</formula>
    </cfRule>
    <cfRule type="expression" dxfId="66" priority="64">
      <formula>B$9&gt;=20/24</formula>
    </cfRule>
    <cfRule type="expression" dxfId="65" priority="65">
      <formula>AND(B$9&gt;=14/24,B$9&lt;20/24)</formula>
    </cfRule>
    <cfRule type="expression" dxfId="64" priority="66">
      <formula>AND(B$9&gt;=8/24,B$9&lt;14/24)</formula>
    </cfRule>
    <cfRule type="expression" dxfId="63" priority="67">
      <formula>B$9&lt;8/24</formula>
    </cfRule>
  </conditionalFormatting>
  <conditionalFormatting sqref="B11:C13">
    <cfRule type="expression" dxfId="62" priority="68">
      <formula>B11&gt;$AG11*1</formula>
    </cfRule>
  </conditionalFormatting>
  <conditionalFormatting sqref="B17:C53">
    <cfRule type="expression" dxfId="61" priority="55">
      <formula>B17&gt;$AG17*1</formula>
    </cfRule>
    <cfRule type="expression" dxfId="60" priority="56">
      <formula>B$9&gt;=20/24</formula>
    </cfRule>
    <cfRule type="expression" dxfId="59" priority="57">
      <formula>AND(B$9&gt;=14/24,B$9&lt;20/24)</formula>
    </cfRule>
    <cfRule type="expression" dxfId="58" priority="58">
      <formula>AND(B$9&gt;=8/24,B$9&lt;14/24)</formula>
    </cfRule>
    <cfRule type="expression" dxfId="57" priority="59">
      <formula>B$9&lt;8/24</formula>
    </cfRule>
  </conditionalFormatting>
  <conditionalFormatting sqref="B54:C55">
    <cfRule type="expression" dxfId="56" priority="54">
      <formula>B$9&lt;8/24</formula>
    </cfRule>
  </conditionalFormatting>
  <conditionalFormatting sqref="B54:C55 B69:C70">
    <cfRule type="expression" dxfId="55" priority="51">
      <formula>B$9&gt;=20/24</formula>
    </cfRule>
    <cfRule type="expression" dxfId="54" priority="52">
      <formula>AND(B$9&gt;=14/24,B$9&lt;20/24)</formula>
    </cfRule>
    <cfRule type="expression" dxfId="53" priority="53">
      <formula>AND(B$9&gt;=8/24,B$9&lt;14/24)</formula>
    </cfRule>
  </conditionalFormatting>
  <conditionalFormatting sqref="B69:C70">
    <cfRule type="expression" dxfId="52" priority="61">
      <formula>B$9&lt;8/24</formula>
    </cfRule>
  </conditionalFormatting>
  <conditionalFormatting sqref="B69:C69">
    <cfRule type="expression" dxfId="51" priority="60">
      <formula>B69&gt;$AG69*1</formula>
    </cfRule>
  </conditionalFormatting>
  <conditionalFormatting sqref="B54:C55 B69:C70">
    <cfRule type="expression" dxfId="50" priority="62">
      <formula>B54&gt;$AG54</formula>
    </cfRule>
  </conditionalFormatting>
  <conditionalFormatting sqref="B56:C68">
    <cfRule type="expression" dxfId="49" priority="48">
      <formula>B$9&lt;8/24</formula>
    </cfRule>
  </conditionalFormatting>
  <conditionalFormatting sqref="B56:C68">
    <cfRule type="expression" dxfId="48" priority="45">
      <formula>B$9&gt;=20/24</formula>
    </cfRule>
    <cfRule type="expression" dxfId="47" priority="46">
      <formula>AND(B$9&gt;=14/24,B$9&lt;20/24)</formula>
    </cfRule>
    <cfRule type="expression" dxfId="46" priority="47">
      <formula>AND(B$9&gt;=8/24,B$9&lt;14/24)</formula>
    </cfRule>
  </conditionalFormatting>
  <conditionalFormatting sqref="B63:C65">
    <cfRule type="expression" dxfId="45" priority="49">
      <formula>B63&gt;$AG63</formula>
    </cfRule>
  </conditionalFormatting>
  <conditionalFormatting sqref="B66:C68 B56:C62">
    <cfRule type="expression" dxfId="44" priority="50">
      <formula>B56&gt;$AG56</formula>
    </cfRule>
  </conditionalFormatting>
  <conditionalFormatting sqref="B76:C77">
    <cfRule type="expression" dxfId="43" priority="37">
      <formula>B$9&gt;=20/24</formula>
    </cfRule>
  </conditionalFormatting>
  <conditionalFormatting sqref="B76:C77">
    <cfRule type="expression" dxfId="42" priority="38">
      <formula>AND(B$9&gt;=14/24,B$9&lt;20/24)</formula>
    </cfRule>
    <cfRule type="expression" dxfId="41" priority="39">
      <formula>AND(B$9&gt;=8/24,B$9&lt;14/24)</formula>
    </cfRule>
    <cfRule type="expression" dxfId="40" priority="40">
      <formula>B$9&lt;8/24</formula>
    </cfRule>
  </conditionalFormatting>
  <conditionalFormatting sqref="B72:C75">
    <cfRule type="expression" dxfId="39" priority="31">
      <formula>B72&gt;$AG72*1</formula>
    </cfRule>
  </conditionalFormatting>
  <conditionalFormatting sqref="B73:C75">
    <cfRule type="expression" dxfId="38" priority="32">
      <formula>B$9&gt;=20/24</formula>
    </cfRule>
    <cfRule type="expression" dxfId="37" priority="33">
      <formula>AND(B$9&gt;=14/24,B$9&lt;20/24)</formula>
    </cfRule>
    <cfRule type="expression" dxfId="36" priority="34">
      <formula>AND(B$9&gt;=8/24,B$9&lt;14/24)</formula>
    </cfRule>
    <cfRule type="expression" dxfId="35" priority="35">
      <formula>B$9&lt;8/24</formula>
    </cfRule>
  </conditionalFormatting>
  <conditionalFormatting sqref="B76:C77">
    <cfRule type="expression" dxfId="34" priority="36">
      <formula>B76&gt;$AG76*1</formula>
    </cfRule>
  </conditionalFormatting>
  <conditionalFormatting sqref="B72:C72">
    <cfRule type="expression" dxfId="33" priority="41">
      <formula>B$9&gt;=20/24</formula>
    </cfRule>
    <cfRule type="expression" dxfId="32" priority="42">
      <formula>AND(B$9&gt;=14/24,B$9&lt;20/24)</formula>
    </cfRule>
    <cfRule type="expression" dxfId="31" priority="43">
      <formula>AND(B$9&gt;=8/24,B$9&lt;14/24)</formula>
    </cfRule>
    <cfRule type="expression" dxfId="30" priority="44">
      <formula>B$9&lt;8/24</formula>
    </cfRule>
  </conditionalFormatting>
  <conditionalFormatting sqref="B85:C90">
    <cfRule type="expression" dxfId="29" priority="19">
      <formula>B$9&gt;=20/24</formula>
    </cfRule>
  </conditionalFormatting>
  <conditionalFormatting sqref="B85:C90">
    <cfRule type="expression" dxfId="28" priority="20">
      <formula>AND(B$9&gt;=14/24,B$9&lt;20/24)</formula>
    </cfRule>
    <cfRule type="expression" dxfId="27" priority="21">
      <formula>AND(B$9&gt;=8/24,B$9&lt;14/24)</formula>
    </cfRule>
    <cfRule type="expression" dxfId="26" priority="22">
      <formula>B$9&lt;8/24</formula>
    </cfRule>
  </conditionalFormatting>
  <conditionalFormatting sqref="B79:C90">
    <cfRule type="expression" dxfId="25" priority="18">
      <formula>B79&gt;$AG79*1</formula>
    </cfRule>
  </conditionalFormatting>
  <conditionalFormatting sqref="B84:C84">
    <cfRule type="expression" dxfId="24" priority="23">
      <formula>B$9&gt;=20/24</formula>
    </cfRule>
    <cfRule type="expression" dxfId="23" priority="24">
      <formula>AND(B$9&gt;=14/24,B$9&lt;20/24)</formula>
    </cfRule>
    <cfRule type="expression" dxfId="22" priority="25">
      <formula>AND(B$9&gt;=8/24,B$9&lt;14/24)</formula>
    </cfRule>
    <cfRule type="expression" dxfId="21" priority="26">
      <formula>B$9&lt;8/24</formula>
    </cfRule>
  </conditionalFormatting>
  <conditionalFormatting sqref="B80:C83">
    <cfRule type="expression" dxfId="20" priority="27">
      <formula>B$9&gt;=20/24</formula>
    </cfRule>
    <cfRule type="expression" dxfId="19" priority="28">
      <formula>AND(B$9&gt;=14/24,B$9&lt;20/24)</formula>
    </cfRule>
    <cfRule type="expression" dxfId="18" priority="29">
      <formula>AND(B$9&gt;=8/24,B$9&lt;14/24)</formula>
    </cfRule>
    <cfRule type="expression" dxfId="17" priority="30">
      <formula>B$9&lt;8/24</formula>
    </cfRule>
  </conditionalFormatting>
  <conditionalFormatting sqref="B79:C84">
    <cfRule type="expression" dxfId="16" priority="14">
      <formula>B$9&gt;=20/24</formula>
    </cfRule>
    <cfRule type="expression" dxfId="15" priority="15">
      <formula>AND(B$9&gt;=14/24,B$9&lt;20/24)</formula>
    </cfRule>
    <cfRule type="expression" dxfId="14" priority="16">
      <formula>AND(B$9&gt;=8/24,B$9&lt;14/24)</formula>
    </cfRule>
    <cfRule type="expression" dxfId="13" priority="17">
      <formula>B$9&lt;8/24</formula>
    </cfRule>
  </conditionalFormatting>
  <conditionalFormatting sqref="B93:C95">
    <cfRule type="expression" dxfId="12" priority="10">
      <formula>B$9&gt;=20/24</formula>
    </cfRule>
  </conditionalFormatting>
  <conditionalFormatting sqref="B93:C95">
    <cfRule type="expression" dxfId="11" priority="11">
      <formula>AND(B$9&gt;=14/24,B$9&lt;20/24)</formula>
    </cfRule>
    <cfRule type="expression" dxfId="10" priority="12">
      <formula>AND(B$9&gt;=8/24,B$9&lt;14/24)</formula>
    </cfRule>
    <cfRule type="expression" dxfId="9" priority="13">
      <formula>B$9&lt;8/24</formula>
    </cfRule>
  </conditionalFormatting>
  <conditionalFormatting sqref="B93:C95">
    <cfRule type="expression" dxfId="8" priority="9">
      <formula>B93&gt;$AG93*1</formula>
    </cfRule>
  </conditionalFormatting>
  <conditionalFormatting sqref="B126:C133">
    <cfRule type="expression" dxfId="7" priority="5">
      <formula>B$9&gt;=20/24</formula>
    </cfRule>
  </conditionalFormatting>
  <conditionalFormatting sqref="B126:C133">
    <cfRule type="expression" dxfId="6" priority="6">
      <formula>AND(B$9&gt;=14/24,B$9&lt;20/24)</formula>
    </cfRule>
    <cfRule type="expression" dxfId="5" priority="7">
      <formula>AND(B$9&gt;=8/24,B$9&lt;14/24)</formula>
    </cfRule>
    <cfRule type="expression" dxfId="4" priority="8">
      <formula>B$9&lt;8/24</formula>
    </cfRule>
  </conditionalFormatting>
  <conditionalFormatting sqref="B137:C151">
    <cfRule type="expression" dxfId="3" priority="1">
      <formula>B$9&gt;=20/24</formula>
    </cfRule>
  </conditionalFormatting>
  <conditionalFormatting sqref="B137:C151">
    <cfRule type="expression" dxfId="2" priority="2">
      <formula>AND(B$9&gt;=14/24,B$9&lt;20/24)</formula>
    </cfRule>
    <cfRule type="expression" dxfId="1" priority="3">
      <formula>AND(B$9&gt;=8/24,B$9&lt;14/24)</formula>
    </cfRule>
    <cfRule type="expression" dxfId="0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e">
        <f ca="1">"2080/"&amp;"10/"&amp;INT(MID(CELL("filename",D6),FIND("]",CELL("filename",D6))+1,200))</f>
        <v>#VALUE!</v>
      </c>
      <c r="C4" s="232"/>
      <c r="D4" s="232"/>
      <c r="E4" s="233" t="e">
        <f ca="1">"2080/"&amp;"10/"&amp;INT(MID(CELL("filename",G6),FIND("]",CELL("filename",G6))+1,200))</f>
        <v>#VALUE!</v>
      </c>
      <c r="F4" s="233"/>
      <c r="G4" s="233"/>
      <c r="H4" s="233" t="e">
        <f ca="1">TEXT(E4,"dddd")</f>
        <v>#VALUE!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79" priority="37">
      <formula>$AH11=0</formula>
    </cfRule>
  </conditionalFormatting>
  <conditionalFormatting sqref="A101:A102">
    <cfRule type="expression" dxfId="478" priority="205">
      <formula>$AH106=0</formula>
    </cfRule>
  </conditionalFormatting>
  <conditionalFormatting sqref="A103:A107">
    <cfRule type="expression" dxfId="477" priority="153">
      <formula>$AH102=0</formula>
    </cfRule>
  </conditionalFormatting>
  <conditionalFormatting sqref="A160:A167">
    <cfRule type="expression" dxfId="476" priority="206">
      <formula>$AH267=0</formula>
    </cfRule>
  </conditionalFormatting>
  <conditionalFormatting sqref="A168:A275">
    <cfRule type="expression" dxfId="475" priority="76">
      <formula>$AH168=0</formula>
    </cfRule>
  </conditionalFormatting>
  <conditionalFormatting sqref="B8">
    <cfRule type="expression" dxfId="474" priority="201">
      <formula>AND(C$9&gt;=14/24,C$9&lt;20/24)</formula>
    </cfRule>
    <cfRule type="expression" dxfId="473" priority="202">
      <formula>AND(C$9&gt;=8/24,C$9&lt;14/24)</formula>
    </cfRule>
    <cfRule type="expression" dxfId="472" priority="203">
      <formula>C$9&lt;8/24</formula>
    </cfRule>
    <cfRule type="expression" dxfId="471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470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469" priority="119">
      <formula>AND(B$9&gt;=14/24,B$9&lt;20/24)</formula>
    </cfRule>
    <cfRule type="expression" dxfId="468" priority="120">
      <formula>AND(B$9&gt;=8/24,B$9&lt;14/24)</formula>
    </cfRule>
    <cfRule type="expression" dxfId="467" priority="121">
      <formula>B$9&lt;8/24</formula>
    </cfRule>
  </conditionalFormatting>
  <conditionalFormatting sqref="C14:AF28 B29:AF53">
    <cfRule type="expression" dxfId="466" priority="61">
      <formula>B14&gt;$AG14*1</formula>
    </cfRule>
    <cfRule type="expression" dxfId="465" priority="62">
      <formula>B$9&gt;=20/24</formula>
    </cfRule>
    <cfRule type="expression" dxfId="464" priority="63">
      <formula>AND(B$9&gt;=14/24,B$9&lt;20/24)</formula>
    </cfRule>
    <cfRule type="expression" dxfId="463" priority="64">
      <formula>AND(B$9&gt;=8/24,B$9&lt;14/24)</formula>
    </cfRule>
    <cfRule type="expression" dxfId="462" priority="65">
      <formula>B$9&lt;8/24</formula>
    </cfRule>
  </conditionalFormatting>
  <conditionalFormatting sqref="B54:AF68">
    <cfRule type="expression" dxfId="461" priority="54">
      <formula>B$9&lt;8/24</formula>
    </cfRule>
  </conditionalFormatting>
  <conditionalFormatting sqref="B54:AF70">
    <cfRule type="expression" dxfId="460" priority="51">
      <formula>B$9&gt;=20/24</formula>
    </cfRule>
    <cfRule type="expression" dxfId="459" priority="52">
      <formula>AND(B$9&gt;=14/24,B$9&lt;20/24)</formula>
    </cfRule>
    <cfRule type="expression" dxfId="458" priority="53">
      <formula>AND(B$9&gt;=8/24,B$9&lt;14/24)</formula>
    </cfRule>
  </conditionalFormatting>
  <conditionalFormatting sqref="B63:AF65">
    <cfRule type="expression" dxfId="457" priority="55">
      <formula>B63&gt;$AG63</formula>
    </cfRule>
  </conditionalFormatting>
  <conditionalFormatting sqref="B69:AF70">
    <cfRule type="expression" dxfId="456" priority="126">
      <formula>B$9&lt;8/24</formula>
    </cfRule>
  </conditionalFormatting>
  <conditionalFormatting sqref="B72:AF75">
    <cfRule type="expression" dxfId="455" priority="42">
      <formula>B72&gt;$AG72*1</formula>
    </cfRule>
  </conditionalFormatting>
  <conditionalFormatting sqref="B73:AF75">
    <cfRule type="expression" dxfId="454" priority="43">
      <formula>B$9&gt;=20/24</formula>
    </cfRule>
    <cfRule type="expression" dxfId="453" priority="44">
      <formula>AND(B$9&gt;=14/24,B$9&lt;20/24)</formula>
    </cfRule>
    <cfRule type="expression" dxfId="452" priority="45">
      <formula>AND(B$9&gt;=8/24,B$9&lt;14/24)</formula>
    </cfRule>
    <cfRule type="expression" dxfId="451" priority="46">
      <formula>B$9&lt;8/24</formula>
    </cfRule>
  </conditionalFormatting>
  <conditionalFormatting sqref="C161:AF167">
    <cfRule type="expression" dxfId="450" priority="77">
      <formula>C$9&gt;=20/24</formula>
    </cfRule>
    <cfRule type="expression" dxfId="449" priority="78">
      <formula>AND(C$9&gt;=14/24,C$9&lt;20/24)</formula>
    </cfRule>
    <cfRule type="expression" dxfId="448" priority="79">
      <formula>AND(C$9&gt;=8/24,C$9&lt;14/24)</formula>
    </cfRule>
    <cfRule type="expression" dxfId="447" priority="80">
      <formula>C$9&lt;8/24</formula>
    </cfRule>
  </conditionalFormatting>
  <conditionalFormatting sqref="C169:AF274">
    <cfRule type="expression" dxfId="446" priority="38">
      <formula>C$9&gt;=20/24</formula>
    </cfRule>
    <cfRule type="expression" dxfId="445" priority="39">
      <formula>AND(C$9&gt;=14/24,C$9&lt;20/24)</formula>
    </cfRule>
    <cfRule type="expression" dxfId="444" priority="40">
      <formula>AND(C$9&gt;=8/24,C$9&lt;14/24)</formula>
    </cfRule>
    <cfRule type="expression" dxfId="443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442" priority="117">
      <formula>B11&gt;$AG11*1</formula>
    </cfRule>
  </conditionalFormatting>
  <conditionalFormatting sqref="E79:I83 J80:J83 K83:O83">
    <cfRule type="expression" dxfId="441" priority="127">
      <formula>E$9&gt;=20/24</formula>
    </cfRule>
    <cfRule type="expression" dxfId="440" priority="128">
      <formula>AND(E$9&gt;=14/24,E$9&lt;20/24)</formula>
    </cfRule>
    <cfRule type="expression" dxfId="439" priority="129">
      <formula>AND(E$9&gt;=8/24,E$9&lt;14/24)</formula>
    </cfRule>
    <cfRule type="expression" dxfId="438" priority="130">
      <formula>E$9&lt;8/24</formula>
    </cfRule>
  </conditionalFormatting>
  <conditionalFormatting sqref="E84:O84">
    <cfRule type="expression" dxfId="437" priority="122">
      <formula>E$9&gt;=20/24</formula>
    </cfRule>
    <cfRule type="expression" dxfId="436" priority="123">
      <formula>AND(E$9&gt;=14/24,E$9&lt;20/24)</formula>
    </cfRule>
    <cfRule type="expression" dxfId="435" priority="124">
      <formula>AND(E$9&gt;=8/24,E$9&lt;14/24)</formula>
    </cfRule>
    <cfRule type="expression" dxfId="434" priority="125">
      <formula>E$9&lt;8/24</formula>
    </cfRule>
  </conditionalFormatting>
  <conditionalFormatting sqref="E76:AF78 B72:AF72">
    <cfRule type="expression" dxfId="433" priority="137">
      <formula>B$9&gt;=20/24</formula>
    </cfRule>
    <cfRule type="expression" dxfId="432" priority="138">
      <formula>AND(B$9&gt;=14/24,B$9&lt;20/24)</formula>
    </cfRule>
    <cfRule type="expression" dxfId="431" priority="139">
      <formula>AND(B$9&gt;=8/24,B$9&lt;14/24)</formula>
    </cfRule>
    <cfRule type="expression" dxfId="430" priority="140">
      <formula>B$9&lt;8/24</formula>
    </cfRule>
  </conditionalFormatting>
  <conditionalFormatting sqref="E73:AF75">
    <cfRule type="expression" dxfId="429" priority="47">
      <formula>E$9&gt;=20/24</formula>
    </cfRule>
    <cfRule type="expression" dxfId="428" priority="48">
      <formula>AND(E$9&gt;=14/24,E$9&lt;20/24)</formula>
    </cfRule>
    <cfRule type="expression" dxfId="427" priority="49">
      <formula>AND(E$9&gt;=8/24,E$9&lt;14/24)</formula>
    </cfRule>
    <cfRule type="expression" dxfId="426" priority="50">
      <formula>E$9&lt;8/24</formula>
    </cfRule>
  </conditionalFormatting>
  <conditionalFormatting sqref="F79:O81">
    <cfRule type="expression" dxfId="425" priority="145">
      <formula>F$9&gt;=20/24</formula>
    </cfRule>
    <cfRule type="expression" dxfId="424" priority="146">
      <formula>AND(F$9&gt;=14/24,F$9&lt;20/24)</formula>
    </cfRule>
    <cfRule type="expression" dxfId="423" priority="147">
      <formula>AND(F$9&gt;=8/24,F$9&lt;14/24)</formula>
    </cfRule>
    <cfRule type="expression" dxfId="422" priority="148">
      <formula>F$9&lt;8/24</formula>
    </cfRule>
  </conditionalFormatting>
  <conditionalFormatting sqref="L84:AF84">
    <cfRule type="expression" dxfId="421" priority="141">
      <formula>L$9&gt;=20/24</formula>
    </cfRule>
    <cfRule type="expression" dxfId="420" priority="142">
      <formula>AND(L$9&gt;=14/24,L$9&lt;20/24)</formula>
    </cfRule>
    <cfRule type="expression" dxfId="419" priority="143">
      <formula>AND(L$9&gt;=8/24,L$9&lt;14/24)</formula>
    </cfRule>
    <cfRule type="expression" dxfId="418" priority="144">
      <formula>L$9&lt;8/24</formula>
    </cfRule>
  </conditionalFormatting>
  <conditionalFormatting sqref="M8 S8 AB8">
    <cfRule type="expression" dxfId="417" priority="194">
      <formula>AND(N$9&gt;=14/24,N$9&lt;20/24)</formula>
    </cfRule>
    <cfRule type="expression" dxfId="416" priority="195">
      <formula>AND(N$9&gt;=8/24,N$9&lt;14/24)</formula>
    </cfRule>
    <cfRule type="expression" dxfId="415" priority="196">
      <formula>N$9&lt;8/24</formula>
    </cfRule>
  </conditionalFormatting>
  <conditionalFormatting sqref="M79:Y83 Z80:AA83">
    <cfRule type="expression" dxfId="414" priority="149">
      <formula>M$9&gt;=20/24</formula>
    </cfRule>
    <cfRule type="expression" dxfId="413" priority="150">
      <formula>AND(M$9&gt;=14/24,M$9&lt;20/24)</formula>
    </cfRule>
    <cfRule type="expression" dxfId="412" priority="151">
      <formula>AND(M$9&gt;=8/24,M$9&lt;14/24)</formula>
    </cfRule>
    <cfRule type="expression" dxfId="411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10" priority="193">
      <formula>N$9&gt;=20/24</formula>
    </cfRule>
  </conditionalFormatting>
  <conditionalFormatting sqref="S8">
    <cfRule type="expression" dxfId="409" priority="184">
      <formula>U$9&gt;=20/24</formula>
    </cfRule>
    <cfRule type="expression" dxfId="408" priority="185">
      <formula>AND(U$9&gt;=14/24,U$9&lt;20/24)</formula>
    </cfRule>
    <cfRule type="expression" dxfId="407" priority="186">
      <formula>AND(U$9&gt;=8/24,U$9&lt;14/24)</formula>
    </cfRule>
    <cfRule type="expression" dxfId="406" priority="187">
      <formula>U$9&lt;8/24</formula>
    </cfRule>
  </conditionalFormatting>
  <conditionalFormatting sqref="T79:AF84">
    <cfRule type="expression" dxfId="405" priority="71">
      <formula>T$9&gt;=20/24</formula>
    </cfRule>
    <cfRule type="expression" dxfId="404" priority="72">
      <formula>AND(T$9&gt;=14/24,T$9&lt;20/24)</formula>
    </cfRule>
    <cfRule type="expression" dxfId="403" priority="73">
      <formula>AND(T$9&gt;=8/24,T$9&lt;14/24)</formula>
    </cfRule>
    <cfRule type="expression" dxfId="402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401" priority="56">
      <formula>Y$9&gt;=20/24</formula>
    </cfRule>
    <cfRule type="expression" dxfId="400" priority="57">
      <formula>AND(Y$9&gt;=14/24,Y$9&lt;20/24)</formula>
    </cfRule>
    <cfRule type="expression" dxfId="399" priority="58">
      <formula>AND(Y$9&gt;=8/24,Y$9&lt;14/24)</formula>
    </cfRule>
    <cfRule type="expression" dxfId="398" priority="59">
      <formula>Y$9&lt;8/24</formula>
    </cfRule>
  </conditionalFormatting>
  <conditionalFormatting sqref="Z69:Z70">
    <cfRule type="expression" dxfId="397" priority="136">
      <formula>Z69&gt;$AG69</formula>
    </cfRule>
  </conditionalFormatting>
  <conditionalFormatting sqref="Z66:AF69 AB11:AF11 B54:AF62 B66:Y70">
    <cfRule type="expression" dxfId="396" priority="131">
      <formula>B11&gt;$AG11</formula>
    </cfRule>
  </conditionalFormatting>
  <conditionalFormatting sqref="AB8">
    <cfRule type="expression" dxfId="395" priority="180">
      <formula>AD$9&gt;=20/24</formula>
    </cfRule>
    <cfRule type="expression" dxfId="394" priority="181">
      <formula>AND(AD$9&gt;=14/24,AD$9&lt;20/24)</formula>
    </cfRule>
    <cfRule type="expression" dxfId="393" priority="182">
      <formula>AND(AD$9&gt;=8/24,AD$9&lt;14/24)</formula>
    </cfRule>
    <cfRule type="expression" dxfId="392" priority="183">
      <formula>AD$9&lt;8/24</formula>
    </cfRule>
  </conditionalFormatting>
  <conditionalFormatting sqref="AB11:AF11">
    <cfRule type="expression" dxfId="391" priority="132">
      <formula>AB$9&gt;=20/24</formula>
    </cfRule>
    <cfRule type="expression" dxfId="390" priority="133">
      <formula>AND(AB$9&gt;=14/24,AB$9&lt;20/24)</formula>
    </cfRule>
    <cfRule type="expression" dxfId="389" priority="134">
      <formula>AND(AB$9&gt;=8/24,AB$9&lt;14/24)</formula>
    </cfRule>
    <cfRule type="expression" dxfId="388" priority="135">
      <formula>AB$9&lt;8/24</formula>
    </cfRule>
  </conditionalFormatting>
  <conditionalFormatting sqref="AD79:AF79">
    <cfRule type="expression" dxfId="387" priority="207">
      <formula>AD79&gt;$AG80*1</formula>
    </cfRule>
  </conditionalFormatting>
  <conditionalFormatting sqref="AG78">
    <cfRule type="expression" dxfId="386" priority="159">
      <formula>AG$9&gt;=20/24</formula>
    </cfRule>
    <cfRule type="expression" dxfId="385" priority="160">
      <formula>AND(AG$9&gt;=14/24,AG$9&lt;20/24)</formula>
    </cfRule>
    <cfRule type="expression" dxfId="384" priority="161">
      <formula>AND(AG$9&gt;=8/24,AG$9&lt;14/24)</formula>
    </cfRule>
    <cfRule type="expression" dxfId="383" priority="162">
      <formula>AG$9&lt;8/24</formula>
    </cfRule>
  </conditionalFormatting>
  <conditionalFormatting sqref="AG91:AG92">
    <cfRule type="expression" dxfId="382" priority="154">
      <formula>AG91&gt;$AG91</formula>
    </cfRule>
  </conditionalFormatting>
  <conditionalFormatting sqref="AG96">
    <cfRule type="expression" dxfId="381" priority="155">
      <formula>AG$9&gt;=20/24</formula>
    </cfRule>
    <cfRule type="expression" dxfId="380" priority="156">
      <formula>AND(AG$9&gt;=14/24,AG$9&lt;20/24)</formula>
    </cfRule>
    <cfRule type="expression" dxfId="379" priority="157">
      <formula>AND(AG$9&gt;=8/24,AG$9&lt;14/24)</formula>
    </cfRule>
    <cfRule type="expression" dxfId="378" priority="158">
      <formula>AG$9&lt;8/24</formula>
    </cfRule>
  </conditionalFormatting>
  <conditionalFormatting sqref="AG113">
    <cfRule type="expression" dxfId="377" priority="176">
      <formula>AG$9&gt;=20/24</formula>
    </cfRule>
    <cfRule type="expression" dxfId="376" priority="177">
      <formula>AND(AG$9&gt;=14/24,AG$9&lt;20/24)</formula>
    </cfRule>
    <cfRule type="expression" dxfId="375" priority="178">
      <formula>AND(AG$9&gt;=8/24,AG$9&lt;14/24)</formula>
    </cfRule>
    <cfRule type="expression" dxfId="374" priority="179">
      <formula>AG$9&lt;8/24</formula>
    </cfRule>
  </conditionalFormatting>
  <conditionalFormatting sqref="AH8:AI10">
    <cfRule type="expression" dxfId="373" priority="67">
      <formula>AH$9&gt;=20/24</formula>
    </cfRule>
    <cfRule type="expression" dxfId="372" priority="68">
      <formula>AND(AH$9&gt;=14/24,AH$9&lt;20/24)</formula>
    </cfRule>
    <cfRule type="expression" dxfId="371" priority="69">
      <formula>AND(AH$9&gt;=8/24,AH$9&lt;14/24)</formula>
    </cfRule>
    <cfRule type="expression" dxfId="370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69" priority="197">
      <formula>AJ$9&gt;=20/24</formula>
    </cfRule>
    <cfRule type="expression" dxfId="368" priority="198">
      <formula>AND(AJ$9&gt;=14/24,AJ$9&lt;20/24)</formula>
    </cfRule>
    <cfRule type="expression" dxfId="367" priority="199">
      <formula>AND(AJ$9&gt;=8/24,AJ$9&lt;14/24)</formula>
    </cfRule>
    <cfRule type="expression" dxfId="366" priority="200">
      <formula>AJ$9&lt;8/24</formula>
    </cfRule>
  </conditionalFormatting>
  <conditionalFormatting sqref="AL99:AN99 AL105:AN105">
    <cfRule type="expression" dxfId="365" priority="169">
      <formula>AL$9&gt;=20/24</formula>
    </cfRule>
    <cfRule type="expression" dxfId="364" priority="170">
      <formula>AND(AL$9&gt;=14/24,AL$9&lt;20/24)</formula>
    </cfRule>
    <cfRule type="expression" dxfId="363" priority="171">
      <formula>AND(AL$9&gt;=8/24,AL$9&lt;14/24)</formula>
    </cfRule>
    <cfRule type="expression" dxfId="362" priority="172">
      <formula>AL$9&lt;8/24</formula>
    </cfRule>
  </conditionalFormatting>
  <conditionalFormatting sqref="AM15:AM21 AN16:AR21">
    <cfRule type="expression" dxfId="361" priority="93">
      <formula>AX$9&gt;=20/24</formula>
    </cfRule>
    <cfRule type="expression" dxfId="360" priority="94">
      <formula>AND(AX$9&gt;=14/24,AX$9&lt;20/24)</formula>
    </cfRule>
    <cfRule type="expression" dxfId="359" priority="95">
      <formula>AND(AX$9&gt;=8/24,AX$9&lt;14/24)</formula>
    </cfRule>
    <cfRule type="expression" dxfId="358" priority="96">
      <formula>AX$9&lt;8/24</formula>
    </cfRule>
  </conditionalFormatting>
  <conditionalFormatting sqref="AN100:AN103">
    <cfRule type="expression" dxfId="357" priority="165">
      <formula>AN$9&gt;=20/24</formula>
    </cfRule>
    <cfRule type="expression" dxfId="356" priority="166">
      <formula>AND(AN$9&gt;=14/24,AN$9&lt;20/24)</formula>
    </cfRule>
    <cfRule type="expression" dxfId="355" priority="167">
      <formula>AND(AN$9&gt;=8/24,AN$9&lt;14/24)</formula>
    </cfRule>
    <cfRule type="expression" dxfId="354" priority="168">
      <formula>AN$9&lt;8/24</formula>
    </cfRule>
  </conditionalFormatting>
  <conditionalFormatting sqref="AN15:AR15">
    <cfRule type="expression" dxfId="353" priority="81">
      <formula>U$9&gt;=20/24</formula>
    </cfRule>
    <cfRule type="expression" dxfId="352" priority="82">
      <formula>AND(U$9&gt;=14/24,U$9&lt;20/24)</formula>
    </cfRule>
    <cfRule type="expression" dxfId="351" priority="83">
      <formula>AND(U$9&gt;=8/24,U$9&lt;14/24)</formula>
    </cfRule>
    <cfRule type="expression" dxfId="350" priority="84">
      <formula>U$9&lt;8/24</formula>
    </cfRule>
  </conditionalFormatting>
  <conditionalFormatting sqref="AS15">
    <cfRule type="expression" dxfId="349" priority="89">
      <formula>AA$9&gt;=20/24</formula>
    </cfRule>
    <cfRule type="expression" dxfId="348" priority="90">
      <formula>AND(AA$9&gt;=14/24,AA$9&lt;20/24)</formula>
    </cfRule>
    <cfRule type="expression" dxfId="347" priority="91">
      <formula>AND(AA$9&gt;=8/24,AA$9&lt;14/24)</formula>
    </cfRule>
    <cfRule type="expression" dxfId="346" priority="92">
      <formula>AA$9&lt;8/24</formula>
    </cfRule>
  </conditionalFormatting>
  <conditionalFormatting sqref="AS16:AS21">
    <cfRule type="expression" dxfId="345" priority="97">
      <formula>BE$9&gt;=20/24</formula>
    </cfRule>
    <cfRule type="expression" dxfId="344" priority="98">
      <formula>AND(BE$9&gt;=14/24,BE$9&lt;20/24)</formula>
    </cfRule>
    <cfRule type="expression" dxfId="343" priority="99">
      <formula>AND(BE$9&gt;=8/24,BE$9&lt;14/24)</formula>
    </cfRule>
    <cfRule type="expression" dxfId="342" priority="100">
      <formula>BE$9&lt;8/24</formula>
    </cfRule>
  </conditionalFormatting>
  <conditionalFormatting sqref="AT15 AX15:BJ15">
    <cfRule type="expression" dxfId="341" priority="101">
      <formula>AC$9&gt;=20/24</formula>
    </cfRule>
    <cfRule type="expression" dxfId="340" priority="102">
      <formula>AND(AC$9&gt;=14/24,AC$9&lt;20/24)</formula>
    </cfRule>
    <cfRule type="expression" dxfId="339" priority="103">
      <formula>AND(AC$9&gt;=8/24,AC$9&lt;14/24)</formula>
    </cfRule>
    <cfRule type="expression" dxfId="338" priority="104">
      <formula>AC$9&lt;8/24</formula>
    </cfRule>
  </conditionalFormatting>
  <conditionalFormatting sqref="AT16:AT21">
    <cfRule type="expression" dxfId="337" priority="105">
      <formula>BG$9&gt;=20/24</formula>
    </cfRule>
    <cfRule type="expression" dxfId="336" priority="106">
      <formula>AND(BG$9&gt;=14/24,BG$9&lt;20/24)</formula>
    </cfRule>
    <cfRule type="expression" dxfId="335" priority="107">
      <formula>AND(BG$9&gt;=8/24,BG$9&lt;14/24)</formula>
    </cfRule>
    <cfRule type="expression" dxfId="334" priority="108">
      <formula>BG$9&lt;8/24</formula>
    </cfRule>
  </conditionalFormatting>
  <conditionalFormatting sqref="AU15:AV15">
    <cfRule type="expression" dxfId="333" priority="109">
      <formula>AE$9&gt;=20/24</formula>
    </cfRule>
    <cfRule type="expression" dxfId="332" priority="110">
      <formula>AND(AE$9&gt;=14/24,AE$9&lt;20/24)</formula>
    </cfRule>
    <cfRule type="expression" dxfId="331" priority="111">
      <formula>AND(AE$9&gt;=8/24,AE$9&lt;14/24)</formula>
    </cfRule>
    <cfRule type="expression" dxfId="330" priority="112">
      <formula>AE$9&lt;8/24</formula>
    </cfRule>
  </conditionalFormatting>
  <conditionalFormatting sqref="AU16:BJ21">
    <cfRule type="expression" dxfId="329" priority="113">
      <formula>BI$9&gt;=20/24</formula>
    </cfRule>
    <cfRule type="expression" dxfId="328" priority="114">
      <formula>AND(BI$9&gt;=14/24,BI$9&lt;20/24)</formula>
    </cfRule>
    <cfRule type="expression" dxfId="327" priority="115">
      <formula>AND(BI$9&gt;=8/24,BI$9&lt;14/24)</formula>
    </cfRule>
    <cfRule type="expression" dxfId="326" priority="116">
      <formula>BI$9&lt;8/24</formula>
    </cfRule>
  </conditionalFormatting>
  <conditionalFormatting sqref="AW15">
    <cfRule type="expression" dxfId="325" priority="85">
      <formula>B$9&gt;=20/24</formula>
    </cfRule>
    <cfRule type="expression" dxfId="324" priority="86">
      <formula>AND(B$9&gt;=14/24,B$9&lt;20/24)</formula>
    </cfRule>
    <cfRule type="expression" dxfId="323" priority="87">
      <formula>AND(B$9&gt;=8/24,B$9&lt;14/24)</formula>
    </cfRule>
    <cfRule type="expression" dxfId="322" priority="88">
      <formula>B$9&lt;8/24</formula>
    </cfRule>
  </conditionalFormatting>
  <conditionalFormatting sqref="A73">
    <cfRule type="expression" dxfId="321" priority="36">
      <formula>$AH73=0</formula>
    </cfRule>
  </conditionalFormatting>
  <conditionalFormatting sqref="B11:B13 B97:B107 B137:B152 B109:B112 B125:B134 B154:B159">
    <cfRule type="expression" dxfId="320" priority="30">
      <formula>B$9&gt;=20/24</formula>
    </cfRule>
  </conditionalFormatting>
  <conditionalFormatting sqref="B11:B13 B97:B107 B137:B152 B109:B112 B125:B134 B154:B159">
    <cfRule type="expression" dxfId="319" priority="31">
      <formula>AND(B$9&gt;=14/24,B$9&lt;20/24)</formula>
    </cfRule>
    <cfRule type="expression" dxfId="318" priority="32">
      <formula>AND(B$9&gt;=8/24,B$9&lt;14/24)</formula>
    </cfRule>
    <cfRule type="expression" dxfId="317" priority="33">
      <formula>B$9&lt;8/24</formula>
    </cfRule>
  </conditionalFormatting>
  <conditionalFormatting sqref="B14:B28">
    <cfRule type="expression" dxfId="316" priority="20">
      <formula>B14&gt;$AG14*1</formula>
    </cfRule>
    <cfRule type="expression" dxfId="315" priority="21">
      <formula>B$9&gt;=20/24</formula>
    </cfRule>
    <cfRule type="expression" dxfId="314" priority="22">
      <formula>AND(B$9&gt;=14/24,B$9&lt;20/24)</formula>
    </cfRule>
    <cfRule type="expression" dxfId="313" priority="23">
      <formula>AND(B$9&gt;=8/24,B$9&lt;14/24)</formula>
    </cfRule>
    <cfRule type="expression" dxfId="312" priority="24">
      <formula>B$9&lt;8/24</formula>
    </cfRule>
  </conditionalFormatting>
  <conditionalFormatting sqref="B161:B167">
    <cfRule type="expression" dxfId="311" priority="25">
      <formula>B$9&gt;=20/24</formula>
    </cfRule>
    <cfRule type="expression" dxfId="310" priority="26">
      <formula>AND(B$9&gt;=14/24,B$9&lt;20/24)</formula>
    </cfRule>
    <cfRule type="expression" dxfId="309" priority="27">
      <formula>AND(B$9&gt;=8/24,B$9&lt;14/24)</formula>
    </cfRule>
    <cfRule type="expression" dxfId="308" priority="28">
      <formula>B$9&lt;8/24</formula>
    </cfRule>
  </conditionalFormatting>
  <conditionalFormatting sqref="B169:B274">
    <cfRule type="expression" dxfId="307" priority="6">
      <formula>B$9&gt;=20/24</formula>
    </cfRule>
    <cfRule type="expression" dxfId="306" priority="7">
      <formula>AND(B$9&gt;=14/24,B$9&lt;20/24)</formula>
    </cfRule>
    <cfRule type="expression" dxfId="305" priority="8">
      <formula>AND(B$9&gt;=8/24,B$9&lt;14/24)</formula>
    </cfRule>
    <cfRule type="expression" dxfId="304" priority="9">
      <formula>B$9&lt;8/24</formula>
    </cfRule>
  </conditionalFormatting>
  <conditionalFormatting sqref="B11:B13">
    <cfRule type="expression" dxfId="303" priority="29">
      <formula>B11&gt;$AG11*1</formula>
    </cfRule>
  </conditionalFormatting>
  <conditionalFormatting sqref="A153">
    <cfRule type="expression" dxfId="30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01" priority="1">
      <formula>AL$9&gt;=20/24</formula>
    </cfRule>
  </conditionalFormatting>
  <conditionalFormatting sqref="AL153">
    <cfRule type="expression" dxfId="300" priority="2">
      <formula>AND(AL$9&gt;=14/24,AL$9&lt;20/24)</formula>
    </cfRule>
    <cfRule type="expression" dxfId="299" priority="3">
      <formula>AND(AL$9&gt;=8/24,AL$9&lt;14/24)</formula>
    </cfRule>
    <cfRule type="expression" dxfId="29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tabSelected="1" workbookViewId="0">
      <pane ySplit="1" topLeftCell="A2" activePane="bottomLeft" state="frozen"/>
      <selection activeCell="AO100" sqref="AO100"/>
      <selection pane="bottomLeft" activeCell="N12" sqref="N12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26.25" customHeight="1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/>
      <c r="F31" s="193"/>
      <c r="G31" s="193"/>
      <c r="H31" s="193"/>
      <c r="I31" s="193"/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-430</v>
      </c>
      <c r="R31" s="193"/>
      <c r="S31" s="206">
        <v>70.16</v>
      </c>
      <c r="T31" s="206">
        <v>0</v>
      </c>
      <c r="U31" s="213">
        <f t="shared" si="1"/>
        <v>-359.84000000000003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/>
      <c r="F32" s="193"/>
      <c r="G32" s="193"/>
      <c r="H32" s="193"/>
      <c r="I32" s="193"/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-430</v>
      </c>
      <c r="R32" s="193"/>
      <c r="S32" s="206">
        <v>70.16</v>
      </c>
      <c r="T32" s="206">
        <v>0</v>
      </c>
      <c r="U32" s="213">
        <f t="shared" si="1"/>
        <v>-359.84000000000003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/>
      <c r="F33" s="193"/>
      <c r="G33" s="193"/>
      <c r="H33" s="193"/>
      <c r="I33" s="193"/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-430</v>
      </c>
      <c r="R33" s="193"/>
      <c r="S33" s="206">
        <v>70.16</v>
      </c>
      <c r="T33" s="206">
        <v>0</v>
      </c>
      <c r="U33" s="213">
        <f t="shared" si="1"/>
        <v>-359.84000000000003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/>
      <c r="F34" s="193"/>
      <c r="G34" s="193"/>
      <c r="H34" s="193"/>
      <c r="I34" s="193"/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-430</v>
      </c>
      <c r="R34" s="193"/>
      <c r="S34" s="206">
        <v>70.16</v>
      </c>
      <c r="T34" s="206">
        <v>0</v>
      </c>
      <c r="U34" s="213">
        <f t="shared" si="1"/>
        <v>-359.84000000000003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/>
      <c r="F35" s="193"/>
      <c r="G35" s="193"/>
      <c r="H35" s="193"/>
      <c r="I35" s="193"/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-430</v>
      </c>
      <c r="R35" s="193"/>
      <c r="S35" s="206">
        <v>70.16</v>
      </c>
      <c r="T35" s="206">
        <v>0</v>
      </c>
      <c r="U35" s="213">
        <f t="shared" si="1"/>
        <v>-359.84000000000003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/>
      <c r="F36" s="193"/>
      <c r="G36" s="193"/>
      <c r="H36" s="193"/>
      <c r="I36" s="193"/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-430</v>
      </c>
      <c r="R36" s="193"/>
      <c r="S36" s="206">
        <v>70.16</v>
      </c>
      <c r="T36" s="206">
        <v>0</v>
      </c>
      <c r="U36" s="213">
        <f t="shared" si="1"/>
        <v>-359.84000000000003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/>
      <c r="F37" s="193"/>
      <c r="G37" s="193"/>
      <c r="H37" s="193"/>
      <c r="I37" s="193"/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-430</v>
      </c>
      <c r="R37" s="193"/>
      <c r="S37" s="206">
        <v>70.16</v>
      </c>
      <c r="T37" s="206">
        <v>0</v>
      </c>
      <c r="U37" s="213">
        <f t="shared" si="1"/>
        <v>-359.84000000000003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/>
      <c r="F38" s="193"/>
      <c r="G38" s="193"/>
      <c r="H38" s="193"/>
      <c r="I38" s="193"/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-430</v>
      </c>
      <c r="R38" s="193"/>
      <c r="S38" s="206">
        <v>70.16</v>
      </c>
      <c r="T38" s="206">
        <v>0</v>
      </c>
      <c r="U38" s="213">
        <f t="shared" si="1"/>
        <v>-359.84000000000003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/>
      <c r="F39" s="193"/>
      <c r="G39" s="193"/>
      <c r="H39" s="193"/>
      <c r="I39" s="193"/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-430</v>
      </c>
      <c r="R39" s="193"/>
      <c r="S39" s="206">
        <v>70.16</v>
      </c>
      <c r="T39" s="206">
        <v>0</v>
      </c>
      <c r="U39" s="213">
        <f t="shared" si="1"/>
        <v>-359.84000000000003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/>
      <c r="F40" s="193"/>
      <c r="G40" s="193"/>
      <c r="H40" s="193"/>
      <c r="I40" s="193"/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-430</v>
      </c>
      <c r="R40" s="193"/>
      <c r="S40" s="206">
        <v>70.16</v>
      </c>
      <c r="T40" s="206">
        <v>0</v>
      </c>
      <c r="U40" s="213">
        <f t="shared" si="1"/>
        <v>-359.84000000000003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/>
      <c r="F41" s="193"/>
      <c r="G41" s="193"/>
      <c r="H41" s="193"/>
      <c r="I41" s="193"/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-430</v>
      </c>
      <c r="R41" s="193"/>
      <c r="S41" s="206">
        <v>70.16</v>
      </c>
      <c r="T41" s="206">
        <v>0</v>
      </c>
      <c r="U41" s="213">
        <f t="shared" si="1"/>
        <v>-359.84000000000003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/>
      <c r="F42" s="193"/>
      <c r="G42" s="193"/>
      <c r="H42" s="193"/>
      <c r="I42" s="193"/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-430</v>
      </c>
      <c r="R42" s="193"/>
      <c r="S42" s="206">
        <v>70.16</v>
      </c>
      <c r="T42" s="206">
        <v>0</v>
      </c>
      <c r="U42" s="213">
        <f t="shared" si="1"/>
        <v>-359.84000000000003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/>
      <c r="F43" s="193"/>
      <c r="G43" s="193"/>
      <c r="H43" s="193"/>
      <c r="I43" s="193"/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-430</v>
      </c>
      <c r="R43" s="193"/>
      <c r="S43" s="206">
        <v>70.16</v>
      </c>
      <c r="T43" s="206">
        <v>0</v>
      </c>
      <c r="U43" s="213">
        <f t="shared" si="1"/>
        <v>-359.84000000000003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/>
      <c r="F44" s="193"/>
      <c r="G44" s="193"/>
      <c r="H44" s="193"/>
      <c r="I44" s="193"/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-430</v>
      </c>
      <c r="R44" s="193"/>
      <c r="S44" s="206">
        <v>70.16</v>
      </c>
      <c r="T44" s="206">
        <v>0</v>
      </c>
      <c r="U44" s="213">
        <f t="shared" si="1"/>
        <v>-359.84000000000003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/>
      <c r="F45" s="193"/>
      <c r="G45" s="193"/>
      <c r="H45" s="193"/>
      <c r="I45" s="193"/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-430</v>
      </c>
      <c r="R45" s="193"/>
      <c r="S45" s="206">
        <v>70.16</v>
      </c>
      <c r="T45" s="206">
        <v>0</v>
      </c>
      <c r="U45" s="213">
        <f t="shared" si="1"/>
        <v>-359.84000000000003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/>
      <c r="F46" s="193"/>
      <c r="G46" s="193"/>
      <c r="H46" s="193"/>
      <c r="I46" s="193"/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-430</v>
      </c>
      <c r="R46" s="193"/>
      <c r="S46" s="206">
        <v>70.16</v>
      </c>
      <c r="T46" s="206">
        <v>0</v>
      </c>
      <c r="U46" s="213">
        <f t="shared" si="1"/>
        <v>-359.84000000000003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</vt:lpstr>
      <vt:lpstr>02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2026-05-15T19:22:18Z</dcterms:modified>
</cp:coreProperties>
</file>