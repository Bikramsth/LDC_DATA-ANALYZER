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@G4 dont delete" sheetId="63" r:id="rId5"/>
    <sheet name="Schedule@G4 dont delete (2)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38" i="72" l="1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U46" i="73"/>
  <c r="Q46" i="73"/>
  <c r="Q45" i="73"/>
  <c r="U45" i="73" s="1"/>
  <c r="Q44" i="73"/>
  <c r="U44" i="73" s="1"/>
  <c r="Q43" i="73"/>
  <c r="U43" i="73" s="1"/>
  <c r="U42" i="73"/>
  <c r="Q42" i="73"/>
  <c r="Q41" i="73"/>
  <c r="U41" i="73" s="1"/>
  <c r="Q40" i="73"/>
  <c r="U40" i="73" s="1"/>
  <c r="Q39" i="73"/>
  <c r="U39" i="73" s="1"/>
  <c r="U38" i="73"/>
  <c r="Q38" i="73"/>
  <c r="U37" i="73"/>
  <c r="Q37" i="73"/>
  <c r="Q36" i="73"/>
  <c r="U36" i="73" s="1"/>
  <c r="Q35" i="73"/>
  <c r="U35" i="73" s="1"/>
  <c r="Q34" i="73"/>
  <c r="U34" i="73" s="1"/>
  <c r="U33" i="73"/>
  <c r="Q33" i="73"/>
  <c r="Q32" i="73"/>
  <c r="U32" i="73" s="1"/>
  <c r="Q31" i="73"/>
  <c r="U31" i="73" s="1"/>
  <c r="Q30" i="73"/>
  <c r="U30" i="73" s="1"/>
  <c r="U29" i="73"/>
  <c r="Q29" i="73"/>
  <c r="U28" i="73"/>
  <c r="Q28" i="73"/>
  <c r="Q27" i="73"/>
  <c r="U27" i="73" s="1"/>
  <c r="Q26" i="73"/>
  <c r="U26" i="73" s="1"/>
  <c r="Q25" i="73"/>
  <c r="U25" i="73" s="1"/>
  <c r="U24" i="73"/>
  <c r="Q24" i="73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U9" i="73"/>
  <c r="Q9" i="73"/>
  <c r="Q8" i="73"/>
  <c r="U8" i="73" s="1"/>
  <c r="Q7" i="73"/>
  <c r="U7" i="73" s="1"/>
  <c r="Q6" i="73"/>
  <c r="U6" i="73" s="1"/>
  <c r="Q5" i="73"/>
  <c r="U5" i="73" s="1"/>
  <c r="U4" i="73"/>
  <c r="Q4" i="73"/>
  <c r="Q3" i="73"/>
  <c r="U3" i="73" s="1"/>
  <c r="AC138" i="72" l="1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X78" i="72" l="1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V88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BI19" i="72" l="1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<sst xmlns="http://schemas.openxmlformats.org/spreadsheetml/2006/main" count="1059" uniqueCount="416">
  <si>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</si>
  <si>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</si>
  <si>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</si>
  <si>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</si>
  <si>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</si>
  <si>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</si>
  <si>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</si>
  <si>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</si>
  <si>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</si>
  <si>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</si>
  <si>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</si>
  <si>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</si>
  <si>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</si>
  <si>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</si>
  <si>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</si>
  <si>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</si>
  <si>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</si>
  <si>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</si>
  <si>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</si>
  <si>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</si>
  <si>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</si>
  <si>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</si>
  <si>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</si>
  <si>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</si>
  <si>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</si>
  <si>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</si>
  <si>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</si>
  <si>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</si>
  <si>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</si>
  <si>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</si>
  <si>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</si>
  <si>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</si>
  <si>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</si>
  <si>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</si>
  <si>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</si>
  <si>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</si>
  <si>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</si>
  <si>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</si>
  <si>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</si>
  <si>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</si>
  <si>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</si>
  <si>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</si>
  <si>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</si>
  <si>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</si>
  <si>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</si>
  <si>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</si>
  <si>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</si>
  <si>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</si>
  <si>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</si>
  <si>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</si>
  <si>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</si>
  <si>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</si>
  <si>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</si>
  <si>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</si>
  <si>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</si>
  <si>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</si>
  <si>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</si>
  <si>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</si>
  <si>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</si>
  <si>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</si>
  <si>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</si>
  <si>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</si>
  <si>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</si>
  <si>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</si>
  <si>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</si>
  <si>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</si>
  <si>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</si>
  <si>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</si>
  <si>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</si>
  <si>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</si>
  <si>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</si>
  <si>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</si>
  <si>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</si>
  <si>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</si>
  <si>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</si>
  <si>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</si>
  <si>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</si>
  <si>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</si>
  <si>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</si>
  <si>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</si>
  <si>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</si>
  <si>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</si>
  <si>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</si>
  <si>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</si>
  <si>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</si>
  <si>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</si>
  <si>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</si>
  <si>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</si>
  <si>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</si>
  <si>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</si>
  <si>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</si>
  <si>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</si>
  <si>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</si>
  <si>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</si>
  <si>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</si>
  <si>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</si>
  <si>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</si>
  <si>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</si>
  <si>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</si>
  <si>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</si>
  <si>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</si>
  <si>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</si>
  <si>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</si>
  <si>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</si>
  <si>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</si>
  <si>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</si>
  <si>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</si>
  <si>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</si>
  <si>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</si>
  <si>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</si>
  <si>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</si>
  <si>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</si>
  <si>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</si>
  <si>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</si>
  <si>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</si>
  <si>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</si>
  <si>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</si>
  <si>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</si>
  <si>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</si>
  <si>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</si>
  <si>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</si>
  <si>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</si>
  <si>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</si>
  <si>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</si>
  <si>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</si>
  <si>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</si>
  <si>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</si>
  <si>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</si>
  <si>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</si>
  <si>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</si>
  <si>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</si>
  <si>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</si>
  <si>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</si>
  <si>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</si>
  <si>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</si>
  <si>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</si>
  <si>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</si>
  <si>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</si>
  <si>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</si>
  <si>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</si>
  <si>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</si>
  <si>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</si>
  <si>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</si>
  <si>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</si>
  <si>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</si>
  <si>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</si>
  <si>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</si>
  <si>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</si>
  <si>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</si>
  <si>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</si>
  <si>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</si>
  <si>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</si>
  <si>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</si>
  <si>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</si>
  <si>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</si>
  <si>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</si>
  <si>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</si>
  <si>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</si>
  <si>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</si>
  <si>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</si>
  <si>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</si>
  <si>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</si>
  <si>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</si>
  <si>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</si>
  <si>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</si>
  <si>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</si>
  <si>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</si>
  <si>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</si>
  <si>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</si>
  <si>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</si>
  <si>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</si>
  <si>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</si>
  <si>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</si>
  <si>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</si>
  <si>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</si>
  <si>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</si>
  <si>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</si>
  <si>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</si>
  <si>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</si>
  <si>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</si>
  <si>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</si>
  <si>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</si>
  <si>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</si>
  <si>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</si>
  <si>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</si>
  <si>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</si>
  <si>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</si>
  <si>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</si>
  <si>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</si>
  <si>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</si>
  <si>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</si>
  <si>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</si>
  <si>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</si>
  <si>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</si>
  <si>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</si>
  <si>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</si>
  <si>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</si>
  <si>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</si>
  <si>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</si>
  <si>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</si>
  <si>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</si>
  <si>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</si>
  <si>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</si>
  <si>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</si>
  <si>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</si>
  <si>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</si>
  <si>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</si>
  <si>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</si>
  <si>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</si>
  <si>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</si>
  <si>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</si>
  <si>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</si>
  <si>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</si>
  <si>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</si>
  <si>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</si>
  <si>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</si>
  <si>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</si>
  <si>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</si>
  <si>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</si>
  <si>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</si>
  <si>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</si>
  <si>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</si>
  <si>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</si>
  <si>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</si>
  <si>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</si>
  <si>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</si>
  <si>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</si>
  <si>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</si>
  <si>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</si>
  <si>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</si>
  <si>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</si>
  <si>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</si>
  <si>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</si>
  <si>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</si>
  <si>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</si>
  <si>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</si>
  <si>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</si>
  <si>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</si>
  <si>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</si>
  <si>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</si>
  <si>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</si>
  <si>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</si>
  <si>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</si>
  <si>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</si>
  <si>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</si>
  <si>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</si>
  <si>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</si>
  <si>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</si>
  <si>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</si>
  <si>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</si>
  <si>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</si>
  <si>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</si>
  <si>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</si>
  <si>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</si>
  <si>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</si>
  <si>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</si>
  <si>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</si>
  <si>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</si>
  <si>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</si>
  <si>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</si>
  <si>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</si>
  <si>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</si>
  <si>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</si>
  <si>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</si>
  <si>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</si>
  <si>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</si>
  <si>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</si>
  <si>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</si>
  <si>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</si>
  <si>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</si>
  <si>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</si>
  <si>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</si>
  <si>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</si>
  <si>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</si>
  <si>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</si>
  <si>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</si>
  <si>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</si>
  <si>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</si>
  <si>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</si>
  <si>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</si>
  <si>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</si>
  <si>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</si>
  <si>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</si>
  <si>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</si>
  <si>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</si>
  <si>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</si>
  <si>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</si>
  <si>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</si>
  <si>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</si>
  <si>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</si>
  <si>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</si>
  <si>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</si>
  <si>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</si>
  <si>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</si>
  <si>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</si>
  <si>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</si>
  <si>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</si>
  <si>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</si>
  <si>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</si>
  <si>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</si>
  <si>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</si>
  <si>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</si>
  <si>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</si>
  <si>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</si>
  <si>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</si>
  <si>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</si>
  <si>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</si>
  <si>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</si>
  <si>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</si>
  <si>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</si>
  <si>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</si>
  <si>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</si>
  <si>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</si>
  <si>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</si>
  <si>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</si>
  <si>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</si>
  <si>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</si>
  <si>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</si>
  <si>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</si>
  <si>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</si>
  <si>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</si>
  <si>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</si>
  <si>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</si>
  <si>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</si>
  <si>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</si>
  <si>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</si>
  <si>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</si>
  <si>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</si>
  <si>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</si>
  <si>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</si>
  <si>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</si>
  <si>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</si>
  <si>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</si>
  <si>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</si>
  <si>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</si>
  <si>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</si>
  <si>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</si>
  <si>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</si>
  <si>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</si>
  <si>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</si>
  <si>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</si>
  <si>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</si>
  <si>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</si>
  <si>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</si>
  <si>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</si>
  <si>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</si>
  <si>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</si>
  <si>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</si>
  <si>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</si>
  <si>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</si>
  <si>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</si>
  <si>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</si>
  <si>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</si>
  <si>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</si>
  <si>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</si>
  <si>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</si>
  <si>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</si>
  <si>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</si>
  <si>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</si>
  <si>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</si>
  <si>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</si>
  <si>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</si>
  <si>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</si>
  <si>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</si>
  <si>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</si>
  <si>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</si>
  <si>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</si>
  <si>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</si>
  <si>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</si>
  <si>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</si>
  <si>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</si>
  <si>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</si>
  <si>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</si>
  <si>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</si>
  <si>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</si>
  <si>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</si>
  <si>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</si>
  <si>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</si>
  <si>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</si>
  <si>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</si>
  <si>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</si>
  <si>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</si>
  <si>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</si>
  <si>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</si>
  <si>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</si>
  <si>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</si>
  <si>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</si>
  <si>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</si>
  <si>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</si>
  <si>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</si>
  <si>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</si>
  <si>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</si>
  <si>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</si>
  <si>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</si>
  <si>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</si>
  <si>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</si>
  <si>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</si>
  <si>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</si>
  <si>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</si>
  <si>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</si>
  <si>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</si>
  <si>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</si>
  <si>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</si>
  <si>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</si>
  <si>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</si>
  <si>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</si>
  <si>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</si>
  <si>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</si>
  <si>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</si>
  <si>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</si>
  <si>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</si>
  <si>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</si>
  <si>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</si>
  <si>
    <t>624.72.</t>
  </si>
  <si>
    <t>total sale  RTM</t>
  </si>
  <si>
    <t>Date: 2083-02-02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</si>
</sst>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408"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L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31" sqref="AF3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4"/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4"/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4"/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/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/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/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/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/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/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/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/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/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/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/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/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/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/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E70" si="21">58+70</f>
        <v>128</v>
      </c>
      <c r="AD70" s="68">
        <f t="shared" si="21"/>
        <v>128</v>
      </c>
      <c r="AE70" s="68">
        <f t="shared" si="21"/>
        <v>128</v>
      </c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150</v>
      </c>
      <c r="AG71" s="70">
        <f t="shared" si="24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/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/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/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/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0</v>
      </c>
      <c r="AG78" s="80">
        <f t="shared" si="32"/>
        <v>706.4</v>
      </c>
      <c r="AH78" s="46">
        <f t="shared" si="28"/>
        <v>612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/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4"/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4"/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4"/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/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/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0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/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0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/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0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/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0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/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2</v>
      </c>
      <c r="AG92" s="80">
        <f t="shared" si="47"/>
        <v>489.91</v>
      </c>
      <c r="AH92" s="46">
        <f t="shared" si="28"/>
        <v>354.37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/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0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/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/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/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/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/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0</v>
      </c>
      <c r="AG108" s="104">
        <f>SUM(AG97:AG107)</f>
        <v>0</v>
      </c>
      <c r="AH108" s="46">
        <f t="shared" si="28"/>
        <v>420.19999999999993</v>
      </c>
      <c r="AI108" s="47">
        <f t="shared" si="29"/>
        <v>0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152</v>
      </c>
      <c r="AG113" s="80">
        <f t="shared" si="68"/>
        <v>3169.915</v>
      </c>
      <c r="AH113" s="46">
        <f t="shared" si="28"/>
        <v>2054.1</v>
      </c>
      <c r="AI113" s="47">
        <f t="shared" si="29"/>
        <v>152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152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152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152</v>
      </c>
      <c r="AG116" s="104"/>
      <c r="AH116" s="46">
        <f t="shared" si="28"/>
        <v>1789.8000000000002</v>
      </c>
      <c r="AI116" s="47">
        <f t="shared" si="29"/>
        <v>152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0</v>
      </c>
      <c r="AG117" s="61"/>
      <c r="AH117" s="46">
        <f t="shared" si="28"/>
        <v>314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0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0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/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/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/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/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/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/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/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0.94</v>
      </c>
      <c r="AG135" s="127"/>
      <c r="AH135" s="46">
        <f t="shared" si="28"/>
        <v>410.94</v>
      </c>
      <c r="AI135" s="47">
        <f t="shared" si="29"/>
        <v>0.94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/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E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/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/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/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/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/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E143" si="134">105.2*2</f>
        <v>210.4</v>
      </c>
      <c r="AD143" s="137">
        <f t="shared" si="134"/>
        <v>210.4</v>
      </c>
      <c r="AE143" s="137">
        <f t="shared" si="134"/>
        <v>210.4</v>
      </c>
      <c r="AF143" s="137"/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/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/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/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/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/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E149" si="137">110.6*2</f>
        <v>221.2</v>
      </c>
      <c r="AD149" s="122">
        <f t="shared" si="137"/>
        <v>221.2</v>
      </c>
      <c r="AE149" s="122">
        <f t="shared" si="137"/>
        <v>221.2</v>
      </c>
      <c r="AF149" s="122"/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/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/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413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07" priority="47">
      <formula>$AH11=0</formula>
    </cfRule>
  </conditionalFormatting>
  <conditionalFormatting sqref="A101:A102">
    <cfRule type="expression" dxfId="406" priority="215">
      <formula>$AH106=0</formula>
    </cfRule>
  </conditionalFormatting>
  <conditionalFormatting sqref="A103:A107">
    <cfRule type="expression" dxfId="405" priority="163">
      <formula>$AH102=0</formula>
    </cfRule>
  </conditionalFormatting>
  <conditionalFormatting sqref="A160:A167">
    <cfRule type="expression" dxfId="404" priority="216">
      <formula>$AH267=0</formula>
    </cfRule>
  </conditionalFormatting>
  <conditionalFormatting sqref="A168:A275">
    <cfRule type="expression" dxfId="403" priority="86">
      <formula>$AH168=0</formula>
    </cfRule>
  </conditionalFormatting>
  <conditionalFormatting sqref="B8">
    <cfRule type="expression" dxfId="402" priority="211">
      <formula>AND(C$9&gt;=14/24,C$9&lt;20/24)</formula>
    </cfRule>
    <cfRule type="expression" dxfId="401" priority="212">
      <formula>AND(C$9&gt;=8/24,C$9&lt;14/24)</formula>
    </cfRule>
    <cfRule type="expression" dxfId="400" priority="213">
      <formula>C$9&lt;8/24</formula>
    </cfRule>
    <cfRule type="expression" dxfId="399" priority="214">
      <formula>C$9&gt;=20/24</formula>
    </cfRule>
  </conditionalFormatting>
  <conditionalFormatting sqref="AF12:AF13 B9:AF10 F152:AF159 B76:E90 B113:E115 B108:E108 B117:E124 B153:E153 G97:L97 F134:L134 H126:L133 B93:L96 H98:L102 F103:AF115 F117:AF125 B72:X72 F79:Y90 F76:AF77 Z85:AF90 M93:AF102 M126:AF134 H137:AF151">
    <cfRule type="expression" dxfId="398" priority="128">
      <formula>B$9&gt;=20/24</formula>
    </cfRule>
  </conditionalFormatting>
  <conditionalFormatting sqref="B9:AF10 AF12:AF13 F152:AF159 B76:E90 B113:E115 B108:E108 B117:E124 B153:E153 G97:L97 F134:L134 H126:L133 B93:L96 H98:L102 F103:AF115 F117:AF125 B72:X72 F79:Y90 F76:AF77 Z85:AF90 M93:AF102 M126:AF134 H137:AF151">
    <cfRule type="expression" dxfId="397" priority="129">
      <formula>AND(B$9&gt;=14/24,B$9&lt;20/24)</formula>
    </cfRule>
    <cfRule type="expression" dxfId="396" priority="130">
      <formula>AND(B$9&gt;=8/24,B$9&lt;14/24)</formula>
    </cfRule>
    <cfRule type="expression" dxfId="395" priority="131">
      <formula>B$9&lt;8/24</formula>
    </cfRule>
  </conditionalFormatting>
  <conditionalFormatting sqref="AF14:AF53 B29:Y53">
    <cfRule type="expression" dxfId="394" priority="71">
      <formula>B14&gt;$AG14*1</formula>
    </cfRule>
    <cfRule type="expression" dxfId="393" priority="72">
      <formula>B$9&gt;=20/24</formula>
    </cfRule>
    <cfRule type="expression" dxfId="392" priority="73">
      <formula>AND(B$9&gt;=14/24,B$9&lt;20/24)</formula>
    </cfRule>
    <cfRule type="expression" dxfId="391" priority="74">
      <formula>AND(B$9&gt;=8/24,B$9&lt;14/24)</formula>
    </cfRule>
    <cfRule type="expression" dxfId="390" priority="75">
      <formula>B$9&lt;8/24</formula>
    </cfRule>
  </conditionalFormatting>
  <conditionalFormatting sqref="B54:Y68 AF54:AF68">
    <cfRule type="expression" dxfId="389" priority="64">
      <formula>B$9&lt;8/24</formula>
    </cfRule>
  </conditionalFormatting>
  <conditionalFormatting sqref="B54:Y70 AF54:AF70">
    <cfRule type="expression" dxfId="388" priority="61">
      <formula>B$9&gt;=20/24</formula>
    </cfRule>
    <cfRule type="expression" dxfId="387" priority="62">
      <formula>AND(B$9&gt;=14/24,B$9&lt;20/24)</formula>
    </cfRule>
    <cfRule type="expression" dxfId="386" priority="63">
      <formula>AND(B$9&gt;=8/24,B$9&lt;14/24)</formula>
    </cfRule>
  </conditionalFormatting>
  <conditionalFormatting sqref="B63:Y65 AF63:AF65">
    <cfRule type="expression" dxfId="385" priority="65">
      <formula>B63&gt;$AG63</formula>
    </cfRule>
  </conditionalFormatting>
  <conditionalFormatting sqref="B69:Y70 AF69:AF70">
    <cfRule type="expression" dxfId="384" priority="136">
      <formula>B$9&lt;8/24</formula>
    </cfRule>
  </conditionalFormatting>
  <conditionalFormatting sqref="B72:AF75">
    <cfRule type="expression" dxfId="383" priority="52">
      <formula>B72&gt;$AG72*1</formula>
    </cfRule>
  </conditionalFormatting>
  <conditionalFormatting sqref="B73:AF75">
    <cfRule type="expression" dxfId="382" priority="53">
      <formula>B$9&gt;=20/24</formula>
    </cfRule>
    <cfRule type="expression" dxfId="381" priority="54">
      <formula>AND(B$9&gt;=14/24,B$9&lt;20/24)</formula>
    </cfRule>
    <cfRule type="expression" dxfId="380" priority="55">
      <formula>AND(B$9&gt;=8/24,B$9&lt;14/24)</formula>
    </cfRule>
    <cfRule type="expression" dxfId="379" priority="56">
      <formula>B$9&lt;8/24</formula>
    </cfRule>
  </conditionalFormatting>
  <conditionalFormatting sqref="F161:AF167">
    <cfRule type="expression" dxfId="378" priority="87">
      <formula>F$9&gt;=20/24</formula>
    </cfRule>
    <cfRule type="expression" dxfId="377" priority="88">
      <formula>AND(F$9&gt;=14/24,F$9&lt;20/24)</formula>
    </cfRule>
    <cfRule type="expression" dxfId="376" priority="89">
      <formula>AND(F$9&gt;=8/24,F$9&lt;14/24)</formula>
    </cfRule>
    <cfRule type="expression" dxfId="375" priority="90">
      <formula>F$9&lt;8/24</formula>
    </cfRule>
  </conditionalFormatting>
  <conditionalFormatting sqref="F169:AF274">
    <cfRule type="expression" dxfId="374" priority="48">
      <formula>F$9&gt;=20/24</formula>
    </cfRule>
    <cfRule type="expression" dxfId="373" priority="49">
      <formula>AND(F$9&gt;=14/24,F$9&lt;20/24)</formula>
    </cfRule>
    <cfRule type="expression" dxfId="372" priority="50">
      <formula>AND(F$9&gt;=8/24,F$9&lt;14/24)</formula>
    </cfRule>
    <cfRule type="expression" dxfId="371" priority="51">
      <formula>F$9&lt;8/24</formula>
    </cfRule>
  </conditionalFormatting>
  <conditionalFormatting sqref="AF80:AF90 AF69:AF70 AF12:AF13 AF92:AF95 AF96:AG96 B71:AG71 Z78:AG78 X91:AF91 B76:W96 B69:Y69 X76:Y90 Z76:AF77 Z79:AE90 X92:AE96">
    <cfRule type="expression" dxfId="370" priority="127">
      <formula>B12&gt;$AG12*1</formula>
    </cfRule>
  </conditionalFormatting>
  <conditionalFormatting sqref="F79:Y83">
    <cfRule type="expression" dxfId="369" priority="137">
      <formula>F$9&gt;=20/24</formula>
    </cfRule>
    <cfRule type="expression" dxfId="368" priority="138">
      <formula>AND(F$9&gt;=14/24,F$9&lt;20/24)</formula>
    </cfRule>
    <cfRule type="expression" dxfId="367" priority="139">
      <formula>AND(F$9&gt;=8/24,F$9&lt;14/24)</formula>
    </cfRule>
    <cfRule type="expression" dxfId="366" priority="140">
      <formula>F$9&lt;8/24</formula>
    </cfRule>
  </conditionalFormatting>
  <conditionalFormatting sqref="F84:Y84">
    <cfRule type="expression" dxfId="365" priority="132">
      <formula>F$9&gt;=20/24</formula>
    </cfRule>
    <cfRule type="expression" dxfId="364" priority="133">
      <formula>AND(F$9&gt;=14/24,F$9&lt;20/24)</formula>
    </cfRule>
    <cfRule type="expression" dxfId="363" priority="134">
      <formula>AND(F$9&gt;=8/24,F$9&lt;14/24)</formula>
    </cfRule>
    <cfRule type="expression" dxfId="362" priority="135">
      <formula>F$9&lt;8/24</formula>
    </cfRule>
  </conditionalFormatting>
  <conditionalFormatting sqref="F78:AF78 AF76:AF77 B72:AF72">
    <cfRule type="expression" dxfId="361" priority="147">
      <formula>B$9&gt;=20/24</formula>
    </cfRule>
    <cfRule type="expression" dxfId="360" priority="148">
      <formula>AND(B$9&gt;=14/24,B$9&lt;20/24)</formula>
    </cfRule>
    <cfRule type="expression" dxfId="359" priority="149">
      <formula>AND(B$9&gt;=8/24,B$9&lt;14/24)</formula>
    </cfRule>
    <cfRule type="expression" dxfId="358" priority="150">
      <formula>B$9&lt;8/24</formula>
    </cfRule>
  </conditionalFormatting>
  <conditionalFormatting sqref="AF73:AF75">
    <cfRule type="expression" dxfId="357" priority="57">
      <formula>AF$9&gt;=20/24</formula>
    </cfRule>
    <cfRule type="expression" dxfId="356" priority="58">
      <formula>AND(AF$9&gt;=14/24,AF$9&lt;20/24)</formula>
    </cfRule>
    <cfRule type="expression" dxfId="355" priority="59">
      <formula>AND(AF$9&gt;=8/24,AF$9&lt;14/24)</formula>
    </cfRule>
    <cfRule type="expression" dxfId="354" priority="60">
      <formula>AF$9&lt;8/24</formula>
    </cfRule>
  </conditionalFormatting>
  <conditionalFormatting sqref="F79:Y81">
    <cfRule type="expression" dxfId="353" priority="155">
      <formula>F$9&gt;=20/24</formula>
    </cfRule>
    <cfRule type="expression" dxfId="352" priority="156">
      <formula>AND(F$9&gt;=14/24,F$9&lt;20/24)</formula>
    </cfRule>
    <cfRule type="expression" dxfId="351" priority="157">
      <formula>AND(F$9&gt;=8/24,F$9&lt;14/24)</formula>
    </cfRule>
    <cfRule type="expression" dxfId="350" priority="158">
      <formula>F$9&lt;8/24</formula>
    </cfRule>
  </conditionalFormatting>
  <conditionalFormatting sqref="L84:AF84">
    <cfRule type="expression" dxfId="349" priority="151">
      <formula>L$9&gt;=20/24</formula>
    </cfRule>
    <cfRule type="expression" dxfId="348" priority="152">
      <formula>AND(L$9&gt;=14/24,L$9&lt;20/24)</formula>
    </cfRule>
    <cfRule type="expression" dxfId="347" priority="153">
      <formula>AND(L$9&gt;=8/24,L$9&lt;14/24)</formula>
    </cfRule>
    <cfRule type="expression" dxfId="346" priority="154">
      <formula>L$9&lt;8/24</formula>
    </cfRule>
  </conditionalFormatting>
  <conditionalFormatting sqref="M8 S8 AB8">
    <cfRule type="expression" dxfId="345" priority="204">
      <formula>AND(N$9&gt;=14/24,N$9&lt;20/24)</formula>
    </cfRule>
    <cfRule type="expression" dxfId="344" priority="205">
      <formula>AND(N$9&gt;=8/24,N$9&lt;14/24)</formula>
    </cfRule>
    <cfRule type="expression" dxfId="343" priority="206">
      <formula>N$9&lt;8/24</formula>
    </cfRule>
  </conditionalFormatting>
  <conditionalFormatting sqref="T79:Y83 Z80:AE83">
    <cfRule type="expression" dxfId="342" priority="159">
      <formula>T$9&gt;=20/24</formula>
    </cfRule>
    <cfRule type="expression" dxfId="341" priority="160">
      <formula>AND(T$9&gt;=14/24,T$9&lt;20/24)</formula>
    </cfRule>
    <cfRule type="expression" dxfId="340" priority="161">
      <formula>AND(T$9&gt;=8/24,T$9&lt;14/24)</formula>
    </cfRule>
    <cfRule type="expression" dxfId="33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38" priority="203">
      <formula>N$9&gt;=20/24</formula>
    </cfRule>
  </conditionalFormatting>
  <conditionalFormatting sqref="S8">
    <cfRule type="expression" dxfId="337" priority="194">
      <formula>U$9&gt;=20/24</formula>
    </cfRule>
    <cfRule type="expression" dxfId="336" priority="195">
      <formula>AND(U$9&gt;=14/24,U$9&lt;20/24)</formula>
    </cfRule>
    <cfRule type="expression" dxfId="335" priority="196">
      <formula>AND(U$9&gt;=8/24,U$9&lt;14/24)</formula>
    </cfRule>
    <cfRule type="expression" dxfId="334" priority="197">
      <formula>U$9&lt;8/24</formula>
    </cfRule>
  </conditionalFormatting>
  <conditionalFormatting sqref="T79:AF84">
    <cfRule type="expression" dxfId="333" priority="81">
      <formula>T$9&gt;=20/24</formula>
    </cfRule>
    <cfRule type="expression" dxfId="332" priority="82">
      <formula>AND(T$9&gt;=14/24,T$9&lt;20/24)</formula>
    </cfRule>
    <cfRule type="expression" dxfId="331" priority="83">
      <formula>AND(T$9&gt;=8/24,T$9&lt;14/24)</formula>
    </cfRule>
    <cfRule type="expression" dxfId="33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AF65">
    <cfRule type="expression" dxfId="329" priority="66">
      <formula>AF$9&gt;=20/24</formula>
    </cfRule>
    <cfRule type="expression" dxfId="328" priority="67">
      <formula>AND(AF$9&gt;=14/24,AF$9&lt;20/24)</formula>
    </cfRule>
    <cfRule type="expression" dxfId="327" priority="68">
      <formula>AND(AF$9&gt;=8/24,AF$9&lt;14/24)</formula>
    </cfRule>
    <cfRule type="expression" dxfId="326" priority="69">
      <formula>AF$9&lt;8/24</formula>
    </cfRule>
  </conditionalFormatting>
  <conditionalFormatting sqref="AF66:AF69 AF11 B54:Y62 B66:Y70 AF54:AF62">
    <cfRule type="expression" dxfId="324" priority="141">
      <formula>B11&gt;$AG11</formula>
    </cfRule>
  </conditionalFormatting>
  <conditionalFormatting sqref="AB8">
    <cfRule type="expression" dxfId="323" priority="190">
      <formula>AD$9&gt;=20/24</formula>
    </cfRule>
    <cfRule type="expression" dxfId="322" priority="191">
      <formula>AND(AD$9&gt;=14/24,AD$9&lt;20/24)</formula>
    </cfRule>
    <cfRule type="expression" dxfId="321" priority="192">
      <formula>AND(AD$9&gt;=8/24,AD$9&lt;14/24)</formula>
    </cfRule>
    <cfRule type="expression" dxfId="320" priority="193">
      <formula>AD$9&lt;8/24</formula>
    </cfRule>
  </conditionalFormatting>
  <conditionalFormatting sqref="AF11">
    <cfRule type="expression" dxfId="319" priority="142">
      <formula>AF$9&gt;=20/24</formula>
    </cfRule>
    <cfRule type="expression" dxfId="318" priority="143">
      <formula>AND(AF$9&gt;=14/24,AF$9&lt;20/24)</formula>
    </cfRule>
    <cfRule type="expression" dxfId="317" priority="144">
      <formula>AND(AF$9&gt;=8/24,AF$9&lt;14/24)</formula>
    </cfRule>
    <cfRule type="expression" dxfId="316" priority="145">
      <formula>AF$9&lt;8/24</formula>
    </cfRule>
  </conditionalFormatting>
  <conditionalFormatting sqref="AF79">
    <cfRule type="expression" dxfId="315" priority="217">
      <formula>AF79&gt;$AG80*1</formula>
    </cfRule>
  </conditionalFormatting>
  <conditionalFormatting sqref="AG78">
    <cfRule type="expression" dxfId="314" priority="169">
      <formula>AG$9&gt;=20/24</formula>
    </cfRule>
    <cfRule type="expression" dxfId="313" priority="170">
      <formula>AND(AG$9&gt;=14/24,AG$9&lt;20/24)</formula>
    </cfRule>
    <cfRule type="expression" dxfId="312" priority="171">
      <formula>AND(AG$9&gt;=8/24,AG$9&lt;14/24)</formula>
    </cfRule>
    <cfRule type="expression" dxfId="311" priority="172">
      <formula>AG$9&lt;8/24</formula>
    </cfRule>
  </conditionalFormatting>
  <conditionalFormatting sqref="AG91:AG92">
    <cfRule type="expression" dxfId="310" priority="164">
      <formula>AG91&gt;$AG91</formula>
    </cfRule>
  </conditionalFormatting>
  <conditionalFormatting sqref="AG96">
    <cfRule type="expression" dxfId="309" priority="165">
      <formula>AG$9&gt;=20/24</formula>
    </cfRule>
    <cfRule type="expression" dxfId="308" priority="166">
      <formula>AND(AG$9&gt;=14/24,AG$9&lt;20/24)</formula>
    </cfRule>
    <cfRule type="expression" dxfId="307" priority="167">
      <formula>AND(AG$9&gt;=8/24,AG$9&lt;14/24)</formula>
    </cfRule>
    <cfRule type="expression" dxfId="306" priority="168">
      <formula>AG$9&lt;8/24</formula>
    </cfRule>
  </conditionalFormatting>
  <conditionalFormatting sqref="AG113">
    <cfRule type="expression" dxfId="305" priority="186">
      <formula>AG$9&gt;=20/24</formula>
    </cfRule>
    <cfRule type="expression" dxfId="304" priority="187">
      <formula>AND(AG$9&gt;=14/24,AG$9&lt;20/24)</formula>
    </cfRule>
    <cfRule type="expression" dxfId="303" priority="188">
      <formula>AND(AG$9&gt;=8/24,AG$9&lt;14/24)</formula>
    </cfRule>
    <cfRule type="expression" dxfId="302" priority="189">
      <formula>AG$9&lt;8/24</formula>
    </cfRule>
  </conditionalFormatting>
  <conditionalFormatting sqref="AH8:AI10">
    <cfRule type="expression" dxfId="301" priority="77">
      <formula>AH$9&gt;=20/24</formula>
    </cfRule>
    <cfRule type="expression" dxfId="300" priority="78">
      <formula>AND(AH$9&gt;=14/24,AH$9&lt;20/24)</formula>
    </cfRule>
    <cfRule type="expression" dxfId="299" priority="79">
      <formula>AND(AH$9&gt;=8/24,AH$9&lt;14/24)</formula>
    </cfRule>
    <cfRule type="expression" dxfId="29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97" priority="207">
      <formula>AJ$9&gt;=20/24</formula>
    </cfRule>
    <cfRule type="expression" dxfId="296" priority="208">
      <formula>AND(AJ$9&gt;=14/24,AJ$9&lt;20/24)</formula>
    </cfRule>
    <cfRule type="expression" dxfId="295" priority="209">
      <formula>AND(AJ$9&gt;=8/24,AJ$9&lt;14/24)</formula>
    </cfRule>
    <cfRule type="expression" dxfId="294" priority="210">
      <formula>AJ$9&lt;8/24</formula>
    </cfRule>
  </conditionalFormatting>
  <conditionalFormatting sqref="AL99:AN99 AL105:AN105">
    <cfRule type="expression" dxfId="293" priority="179">
      <formula>AL$9&gt;=20/24</formula>
    </cfRule>
    <cfRule type="expression" dxfId="292" priority="180">
      <formula>AND(AL$9&gt;=14/24,AL$9&lt;20/24)</formula>
    </cfRule>
    <cfRule type="expression" dxfId="291" priority="181">
      <formula>AND(AL$9&gt;=8/24,AL$9&lt;14/24)</formula>
    </cfRule>
    <cfRule type="expression" dxfId="290" priority="182">
      <formula>AL$9&lt;8/24</formula>
    </cfRule>
  </conditionalFormatting>
  <conditionalFormatting sqref="AM15:AM21 AN16:AR21">
    <cfRule type="expression" dxfId="289" priority="103">
      <formula>AX$9&gt;=20/24</formula>
    </cfRule>
    <cfRule type="expression" dxfId="288" priority="104">
      <formula>AND(AX$9&gt;=14/24,AX$9&lt;20/24)</formula>
    </cfRule>
    <cfRule type="expression" dxfId="287" priority="105">
      <formula>AND(AX$9&gt;=8/24,AX$9&lt;14/24)</formula>
    </cfRule>
    <cfRule type="expression" dxfId="286" priority="106">
      <formula>AX$9&lt;8/24</formula>
    </cfRule>
  </conditionalFormatting>
  <conditionalFormatting sqref="AN100:AN103">
    <cfRule type="expression" dxfId="285" priority="175">
      <formula>AN$9&gt;=20/24</formula>
    </cfRule>
    <cfRule type="expression" dxfId="284" priority="176">
      <formula>AND(AN$9&gt;=14/24,AN$9&lt;20/24)</formula>
    </cfRule>
    <cfRule type="expression" dxfId="283" priority="177">
      <formula>AND(AN$9&gt;=8/24,AN$9&lt;14/24)</formula>
    </cfRule>
    <cfRule type="expression" dxfId="282" priority="178">
      <formula>AN$9&lt;8/24</formula>
    </cfRule>
  </conditionalFormatting>
  <conditionalFormatting sqref="AN15:AR15">
    <cfRule type="expression" dxfId="281" priority="91">
      <formula>U$9&gt;=20/24</formula>
    </cfRule>
    <cfRule type="expression" dxfId="280" priority="92">
      <formula>AND(U$9&gt;=14/24,U$9&lt;20/24)</formula>
    </cfRule>
    <cfRule type="expression" dxfId="279" priority="93">
      <formula>AND(U$9&gt;=8/24,U$9&lt;14/24)</formula>
    </cfRule>
    <cfRule type="expression" dxfId="278" priority="94">
      <formula>U$9&lt;8/24</formula>
    </cfRule>
  </conditionalFormatting>
  <conditionalFormatting sqref="AS15">
    <cfRule type="expression" dxfId="277" priority="99">
      <formula>AA$9&gt;=20/24</formula>
    </cfRule>
    <cfRule type="expression" dxfId="276" priority="100">
      <formula>AND(AA$9&gt;=14/24,AA$9&lt;20/24)</formula>
    </cfRule>
    <cfRule type="expression" dxfId="275" priority="101">
      <formula>AND(AA$9&gt;=8/24,AA$9&lt;14/24)</formula>
    </cfRule>
    <cfRule type="expression" dxfId="274" priority="102">
      <formula>AA$9&lt;8/24</formula>
    </cfRule>
  </conditionalFormatting>
  <conditionalFormatting sqref="AS16:AS21">
    <cfRule type="expression" dxfId="273" priority="107">
      <formula>BE$9&gt;=20/24</formula>
    </cfRule>
    <cfRule type="expression" dxfId="272" priority="108">
      <formula>AND(BE$9&gt;=14/24,BE$9&lt;20/24)</formula>
    </cfRule>
    <cfRule type="expression" dxfId="271" priority="109">
      <formula>AND(BE$9&gt;=8/24,BE$9&lt;14/24)</formula>
    </cfRule>
    <cfRule type="expression" dxfId="270" priority="110">
      <formula>BE$9&lt;8/24</formula>
    </cfRule>
  </conditionalFormatting>
  <conditionalFormatting sqref="AT15 AX15:BJ15">
    <cfRule type="expression" dxfId="269" priority="111">
      <formula>AC$9&gt;=20/24</formula>
    </cfRule>
    <cfRule type="expression" dxfId="268" priority="112">
      <formula>AND(AC$9&gt;=14/24,AC$9&lt;20/24)</formula>
    </cfRule>
    <cfRule type="expression" dxfId="267" priority="113">
      <formula>AND(AC$9&gt;=8/24,AC$9&lt;14/24)</formula>
    </cfRule>
    <cfRule type="expression" dxfId="266" priority="114">
      <formula>AC$9&lt;8/24</formula>
    </cfRule>
  </conditionalFormatting>
  <conditionalFormatting sqref="AT16:AT21">
    <cfRule type="expression" dxfId="265" priority="115">
      <formula>BG$9&gt;=20/24</formula>
    </cfRule>
    <cfRule type="expression" dxfId="264" priority="116">
      <formula>AND(BG$9&gt;=14/24,BG$9&lt;20/24)</formula>
    </cfRule>
    <cfRule type="expression" dxfId="263" priority="117">
      <formula>AND(BG$9&gt;=8/24,BG$9&lt;14/24)</formula>
    </cfRule>
    <cfRule type="expression" dxfId="262" priority="118">
      <formula>BG$9&lt;8/24</formula>
    </cfRule>
  </conditionalFormatting>
  <conditionalFormatting sqref="AU15:AV15">
    <cfRule type="expression" dxfId="261" priority="119">
      <formula>AE$9&gt;=20/24</formula>
    </cfRule>
    <cfRule type="expression" dxfId="260" priority="120">
      <formula>AND(AE$9&gt;=14/24,AE$9&lt;20/24)</formula>
    </cfRule>
    <cfRule type="expression" dxfId="259" priority="121">
      <formula>AND(AE$9&gt;=8/24,AE$9&lt;14/24)</formula>
    </cfRule>
    <cfRule type="expression" dxfId="258" priority="122">
      <formula>AE$9&lt;8/24</formula>
    </cfRule>
  </conditionalFormatting>
  <conditionalFormatting sqref="AU16:BJ21">
    <cfRule type="expression" dxfId="257" priority="123">
      <formula>BI$9&gt;=20/24</formula>
    </cfRule>
    <cfRule type="expression" dxfId="256" priority="124">
      <formula>AND(BI$9&gt;=14/24,BI$9&lt;20/24)</formula>
    </cfRule>
    <cfRule type="expression" dxfId="255" priority="125">
      <formula>AND(BI$9&gt;=8/24,BI$9&lt;14/24)</formula>
    </cfRule>
    <cfRule type="expression" dxfId="254" priority="126">
      <formula>BI$9&lt;8/24</formula>
    </cfRule>
  </conditionalFormatting>
  <conditionalFormatting sqref="AW15">
    <cfRule type="expression" dxfId="253" priority="95">
      <formula>B$9&gt;=20/24</formula>
    </cfRule>
    <cfRule type="expression" dxfId="252" priority="96">
      <formula>AND(B$9&gt;=14/24,B$9&lt;20/24)</formula>
    </cfRule>
    <cfRule type="expression" dxfId="251" priority="97">
      <formula>AND(B$9&gt;=8/24,B$9&lt;14/24)</formula>
    </cfRule>
    <cfRule type="expression" dxfId="250" priority="98">
      <formula>B$9&lt;8/24</formula>
    </cfRule>
  </conditionalFormatting>
  <conditionalFormatting sqref="A73">
    <cfRule type="expression" dxfId="249" priority="46">
      <formula>$AH73=0</formula>
    </cfRule>
  </conditionalFormatting>
  <conditionalFormatting sqref="B97:E107 B137:E152 B109:E112 B125:E134 B154:E159 F97:F102 G98:G102 F126:G133 F137:G151 B11:Y13 AA11:AE13">
    <cfRule type="expression" dxfId="248" priority="42">
      <formula>B$9&gt;=20/24</formula>
    </cfRule>
  </conditionalFormatting>
  <conditionalFormatting sqref="B97:E107 B137:E152 B109:E112 B125:E134 B154:E159 F97:F102 G98:G102 F126:G133 F137:G151 B11:Y13 AA11:AE13">
    <cfRule type="expression" dxfId="247" priority="43">
      <formula>AND(B$9&gt;=14/24,B$9&lt;20/24)</formula>
    </cfRule>
    <cfRule type="expression" dxfId="246" priority="44">
      <formula>AND(B$9&gt;=8/24,B$9&lt;14/24)</formula>
    </cfRule>
    <cfRule type="expression" dxfId="245" priority="45">
      <formula>B$9&lt;8/24</formula>
    </cfRule>
  </conditionalFormatting>
  <conditionalFormatting sqref="B14:Y28 AA14:AE16">
    <cfRule type="expression" dxfId="244" priority="32">
      <formula>B14&gt;$AG14*1</formula>
    </cfRule>
    <cfRule type="expression" dxfId="243" priority="33">
      <formula>B$9&gt;=20/24</formula>
    </cfRule>
    <cfRule type="expression" dxfId="242" priority="34">
      <formula>AND(B$9&gt;=14/24,B$9&lt;20/24)</formula>
    </cfRule>
    <cfRule type="expression" dxfId="241" priority="35">
      <formula>AND(B$9&gt;=8/24,B$9&lt;14/24)</formula>
    </cfRule>
    <cfRule type="expression" dxfId="240" priority="36">
      <formula>B$9&lt;8/24</formula>
    </cfRule>
  </conditionalFormatting>
  <conditionalFormatting sqref="B161:E167">
    <cfRule type="expression" dxfId="239" priority="37">
      <formula>B$9&gt;=20/24</formula>
    </cfRule>
    <cfRule type="expression" dxfId="238" priority="38">
      <formula>AND(B$9&gt;=14/24,B$9&lt;20/24)</formula>
    </cfRule>
    <cfRule type="expression" dxfId="237" priority="39">
      <formula>AND(B$9&gt;=8/24,B$9&lt;14/24)</formula>
    </cfRule>
    <cfRule type="expression" dxfId="236" priority="40">
      <formula>B$9&lt;8/24</formula>
    </cfRule>
  </conditionalFormatting>
  <conditionalFormatting sqref="B169:E274">
    <cfRule type="expression" dxfId="235" priority="28">
      <formula>B$9&gt;=20/24</formula>
    </cfRule>
    <cfRule type="expression" dxfId="234" priority="29">
      <formula>AND(B$9&gt;=14/24,B$9&lt;20/24)</formula>
    </cfRule>
    <cfRule type="expression" dxfId="233" priority="30">
      <formula>AND(B$9&gt;=8/24,B$9&lt;14/24)</formula>
    </cfRule>
    <cfRule type="expression" dxfId="232" priority="31">
      <formula>B$9&lt;8/24</formula>
    </cfRule>
  </conditionalFormatting>
  <conditionalFormatting sqref="B11:Y13 AA11:AE13">
    <cfRule type="expression" dxfId="231" priority="41">
      <formula>B11&gt;$AG11*1</formula>
    </cfRule>
  </conditionalFormatting>
  <conditionalFormatting sqref="A153">
    <cfRule type="expression" dxfId="23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29" priority="23">
      <formula>AL$9&gt;=20/24</formula>
    </cfRule>
  </conditionalFormatting>
  <conditionalFormatting sqref="AL153">
    <cfRule type="expression" dxfId="228" priority="24">
      <formula>AND(AL$9&gt;=14/24,AL$9&lt;20/24)</formula>
    </cfRule>
    <cfRule type="expression" dxfId="227" priority="25">
      <formula>AND(AL$9&gt;=8/24,AL$9&lt;14/24)</formula>
    </cfRule>
    <cfRule type="expression" dxfId="226" priority="26">
      <formula>AL$9&lt;8/24</formula>
    </cfRule>
  </conditionalFormatting>
  <conditionalFormatting sqref="Z11:Z13">
    <cfRule type="expression" dxfId="21" priority="17">
      <formula>Z$9&gt;=20/24</formula>
    </cfRule>
  </conditionalFormatting>
  <conditionalFormatting sqref="Z11:Z13">
    <cfRule type="expression" dxfId="20" priority="18">
      <formula>AND(Z$9&gt;=14/24,Z$9&lt;20/24)</formula>
    </cfRule>
    <cfRule type="expression" dxfId="19" priority="19">
      <formula>AND(Z$9&gt;=8/24,Z$9&lt;14/24)</formula>
    </cfRule>
    <cfRule type="expression" dxfId="18" priority="20">
      <formula>Z$9&lt;8/24</formula>
    </cfRule>
  </conditionalFormatting>
  <conditionalFormatting sqref="Z14:Z53 AA17:AE53">
    <cfRule type="expression" dxfId="17" priority="11">
      <formula>Z14&gt;$AG14*1</formula>
    </cfRule>
    <cfRule type="expression" dxfId="16" priority="12">
      <formula>Z$9&gt;=20/24</formula>
    </cfRule>
    <cfRule type="expression" dxfId="15" priority="13">
      <formula>AND(Z$9&gt;=14/24,Z$9&lt;20/24)</formula>
    </cfRule>
    <cfRule type="expression" dxfId="14" priority="14">
      <formula>AND(Z$9&gt;=8/24,Z$9&lt;14/24)</formula>
    </cfRule>
    <cfRule type="expression" dxfId="13" priority="15">
      <formula>Z$9&lt;8/24</formula>
    </cfRule>
  </conditionalFormatting>
  <conditionalFormatting sqref="Z54:AE55">
    <cfRule type="expression" dxfId="12" priority="10">
      <formula>Z$9&lt;8/24</formula>
    </cfRule>
  </conditionalFormatting>
  <conditionalFormatting sqref="Z54:AE55 Z69:AE70">
    <cfRule type="expression" dxfId="11" priority="7">
      <formula>Z$9&gt;=20/24</formula>
    </cfRule>
    <cfRule type="expression" dxfId="10" priority="8">
      <formula>AND(Z$9&gt;=14/24,Z$9&lt;20/24)</formula>
    </cfRule>
    <cfRule type="expression" dxfId="9" priority="9">
      <formula>AND(Z$9&gt;=8/24,Z$9&lt;14/24)</formula>
    </cfRule>
  </conditionalFormatting>
  <conditionalFormatting sqref="Z69:AE70">
    <cfRule type="expression" dxfId="8" priority="21">
      <formula>Z$9&lt;8/24</formula>
    </cfRule>
  </conditionalFormatting>
  <conditionalFormatting sqref="Z11:Z13 Z69:AE69">
    <cfRule type="expression" dxfId="7" priority="16">
      <formula>Z11&gt;$AG11*1</formula>
    </cfRule>
  </conditionalFormatting>
  <conditionalFormatting sqref="Z54:AE55 Z69:AE70">
    <cfRule type="expression" dxfId="6" priority="22">
      <formula>Z54&gt;$AG54</formula>
    </cfRule>
  </conditionalFormatting>
  <conditionalFormatting sqref="Z56:AE68">
    <cfRule type="expression" dxfId="5" priority="4">
      <formula>Z$9&lt;8/24</formula>
    </cfRule>
  </conditionalFormatting>
  <conditionalFormatting sqref="Z56:AE68">
    <cfRule type="expression" dxfId="4" priority="1">
      <formula>Z$9&gt;=20/24</formula>
    </cfRule>
    <cfRule type="expression" dxfId="3" priority="2">
      <formula>AND(Z$9&gt;=14/24,Z$9&lt;20/24)</formula>
    </cfRule>
    <cfRule type="expression" dxfId="2" priority="3">
      <formula>AND(Z$9&gt;=8/24,Z$9&lt;14/24)</formula>
    </cfRule>
  </conditionalFormatting>
  <conditionalFormatting sqref="Z63:AE65">
    <cfRule type="expression" dxfId="1" priority="5">
      <formula>Z63&gt;$AG63</formula>
    </cfRule>
  </conditionalFormatting>
  <conditionalFormatting sqref="Z66:AE68 Z56:AE62">
    <cfRule type="expression" dxfId="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25" priority="37">
      <formula>$AH11=0</formula>
    </cfRule>
  </conditionalFormatting>
  <conditionalFormatting sqref="A101:A102">
    <cfRule type="expression" dxfId="224" priority="205">
      <formula>$AH106=0</formula>
    </cfRule>
  </conditionalFormatting>
  <conditionalFormatting sqref="A103:A107">
    <cfRule type="expression" dxfId="223" priority="153">
      <formula>$AH102=0</formula>
    </cfRule>
  </conditionalFormatting>
  <conditionalFormatting sqref="A160:A167">
    <cfRule type="expression" dxfId="222" priority="206">
      <formula>$AH267=0</formula>
    </cfRule>
  </conditionalFormatting>
  <conditionalFormatting sqref="A168:A275">
    <cfRule type="expression" dxfId="221" priority="76">
      <formula>$AH168=0</formula>
    </cfRule>
  </conditionalFormatting>
  <conditionalFormatting sqref="B8">
    <cfRule type="expression" dxfId="220" priority="201">
      <formula>AND(C$9&gt;=14/24,C$9&lt;20/24)</formula>
    </cfRule>
    <cfRule type="expression" dxfId="219" priority="202">
      <formula>AND(C$9&gt;=8/24,C$9&lt;14/24)</formula>
    </cfRule>
    <cfRule type="expression" dxfId="218" priority="203">
      <formula>C$9&lt;8/24</formula>
    </cfRule>
    <cfRule type="expression" dxfId="217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216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215" priority="119">
      <formula>AND(B$9&gt;=14/24,B$9&lt;20/24)</formula>
    </cfRule>
    <cfRule type="expression" dxfId="214" priority="120">
      <formula>AND(B$9&gt;=8/24,B$9&lt;14/24)</formula>
    </cfRule>
    <cfRule type="expression" dxfId="213" priority="121">
      <formula>B$9&lt;8/24</formula>
    </cfRule>
  </conditionalFormatting>
  <conditionalFormatting sqref="C14:AF28 B29:AF53">
    <cfRule type="expression" dxfId="212" priority="61">
      <formula>B14&gt;$AG14*1</formula>
    </cfRule>
    <cfRule type="expression" dxfId="211" priority="62">
      <formula>B$9&gt;=20/24</formula>
    </cfRule>
    <cfRule type="expression" dxfId="210" priority="63">
      <formula>AND(B$9&gt;=14/24,B$9&lt;20/24)</formula>
    </cfRule>
    <cfRule type="expression" dxfId="209" priority="64">
      <formula>AND(B$9&gt;=8/24,B$9&lt;14/24)</formula>
    </cfRule>
    <cfRule type="expression" dxfId="208" priority="65">
      <formula>B$9&lt;8/24</formula>
    </cfRule>
  </conditionalFormatting>
  <conditionalFormatting sqref="B54:AF68">
    <cfRule type="expression" dxfId="207" priority="54">
      <formula>B$9&lt;8/24</formula>
    </cfRule>
  </conditionalFormatting>
  <conditionalFormatting sqref="B54:AF70">
    <cfRule type="expression" dxfId="206" priority="51">
      <formula>B$9&gt;=20/24</formula>
    </cfRule>
    <cfRule type="expression" dxfId="205" priority="52">
      <formula>AND(B$9&gt;=14/24,B$9&lt;20/24)</formula>
    </cfRule>
    <cfRule type="expression" dxfId="204" priority="53">
      <formula>AND(B$9&gt;=8/24,B$9&lt;14/24)</formula>
    </cfRule>
  </conditionalFormatting>
  <conditionalFormatting sqref="B63:AF65">
    <cfRule type="expression" dxfId="203" priority="55">
      <formula>B63&gt;$AG63</formula>
    </cfRule>
  </conditionalFormatting>
  <conditionalFormatting sqref="B69:AF70">
    <cfRule type="expression" dxfId="202" priority="126">
      <formula>B$9&lt;8/24</formula>
    </cfRule>
  </conditionalFormatting>
  <conditionalFormatting sqref="B72:AF75">
    <cfRule type="expression" dxfId="201" priority="42">
      <formula>B72&gt;$AG72*1</formula>
    </cfRule>
  </conditionalFormatting>
  <conditionalFormatting sqref="B73:AF75">
    <cfRule type="expression" dxfId="200" priority="43">
      <formula>B$9&gt;=20/24</formula>
    </cfRule>
    <cfRule type="expression" dxfId="199" priority="44">
      <formula>AND(B$9&gt;=14/24,B$9&lt;20/24)</formula>
    </cfRule>
    <cfRule type="expression" dxfId="198" priority="45">
      <formula>AND(B$9&gt;=8/24,B$9&lt;14/24)</formula>
    </cfRule>
    <cfRule type="expression" dxfId="197" priority="46">
      <formula>B$9&lt;8/24</formula>
    </cfRule>
  </conditionalFormatting>
  <conditionalFormatting sqref="C161:AF167">
    <cfRule type="expression" dxfId="196" priority="77">
      <formula>C$9&gt;=20/24</formula>
    </cfRule>
    <cfRule type="expression" dxfId="195" priority="78">
      <formula>AND(C$9&gt;=14/24,C$9&lt;20/24)</formula>
    </cfRule>
    <cfRule type="expression" dxfId="194" priority="79">
      <formula>AND(C$9&gt;=8/24,C$9&lt;14/24)</formula>
    </cfRule>
    <cfRule type="expression" dxfId="193" priority="80">
      <formula>C$9&lt;8/24</formula>
    </cfRule>
  </conditionalFormatting>
  <conditionalFormatting sqref="C169:AF274">
    <cfRule type="expression" dxfId="192" priority="38">
      <formula>C$9&gt;=20/24</formula>
    </cfRule>
    <cfRule type="expression" dxfId="191" priority="39">
      <formula>AND(C$9&gt;=14/24,C$9&lt;20/24)</formula>
    </cfRule>
    <cfRule type="expression" dxfId="190" priority="40">
      <formula>AND(C$9&gt;=8/24,C$9&lt;14/24)</formula>
    </cfRule>
    <cfRule type="expression" dxfId="189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88" priority="117">
      <formula>B11&gt;$AG11*1</formula>
    </cfRule>
  </conditionalFormatting>
  <conditionalFormatting sqref="E79:I83 J80:J83 K83:O83">
    <cfRule type="expression" dxfId="187" priority="127">
      <formula>E$9&gt;=20/24</formula>
    </cfRule>
    <cfRule type="expression" dxfId="186" priority="128">
      <formula>AND(E$9&gt;=14/24,E$9&lt;20/24)</formula>
    </cfRule>
    <cfRule type="expression" dxfId="185" priority="129">
      <formula>AND(E$9&gt;=8/24,E$9&lt;14/24)</formula>
    </cfRule>
    <cfRule type="expression" dxfId="184" priority="130">
      <formula>E$9&lt;8/24</formula>
    </cfRule>
  </conditionalFormatting>
  <conditionalFormatting sqref="E84:O84">
    <cfRule type="expression" dxfId="183" priority="122">
      <formula>E$9&gt;=20/24</formula>
    </cfRule>
    <cfRule type="expression" dxfId="182" priority="123">
      <formula>AND(E$9&gt;=14/24,E$9&lt;20/24)</formula>
    </cfRule>
    <cfRule type="expression" dxfId="181" priority="124">
      <formula>AND(E$9&gt;=8/24,E$9&lt;14/24)</formula>
    </cfRule>
    <cfRule type="expression" dxfId="180" priority="125">
      <formula>E$9&lt;8/24</formula>
    </cfRule>
  </conditionalFormatting>
  <conditionalFormatting sqref="E76:AF78 B72:AF72">
    <cfRule type="expression" dxfId="179" priority="137">
      <formula>B$9&gt;=20/24</formula>
    </cfRule>
    <cfRule type="expression" dxfId="178" priority="138">
      <formula>AND(B$9&gt;=14/24,B$9&lt;20/24)</formula>
    </cfRule>
    <cfRule type="expression" dxfId="177" priority="139">
      <formula>AND(B$9&gt;=8/24,B$9&lt;14/24)</formula>
    </cfRule>
    <cfRule type="expression" dxfId="176" priority="140">
      <formula>B$9&lt;8/24</formula>
    </cfRule>
  </conditionalFormatting>
  <conditionalFormatting sqref="E73:AF75">
    <cfRule type="expression" dxfId="175" priority="47">
      <formula>E$9&gt;=20/24</formula>
    </cfRule>
    <cfRule type="expression" dxfId="174" priority="48">
      <formula>AND(E$9&gt;=14/24,E$9&lt;20/24)</formula>
    </cfRule>
    <cfRule type="expression" dxfId="173" priority="49">
      <formula>AND(E$9&gt;=8/24,E$9&lt;14/24)</formula>
    </cfRule>
    <cfRule type="expression" dxfId="172" priority="50">
      <formula>E$9&lt;8/24</formula>
    </cfRule>
  </conditionalFormatting>
  <conditionalFormatting sqref="F79:O81">
    <cfRule type="expression" dxfId="171" priority="145">
      <formula>F$9&gt;=20/24</formula>
    </cfRule>
    <cfRule type="expression" dxfId="170" priority="146">
      <formula>AND(F$9&gt;=14/24,F$9&lt;20/24)</formula>
    </cfRule>
    <cfRule type="expression" dxfId="169" priority="147">
      <formula>AND(F$9&gt;=8/24,F$9&lt;14/24)</formula>
    </cfRule>
    <cfRule type="expression" dxfId="168" priority="148">
      <formula>F$9&lt;8/24</formula>
    </cfRule>
  </conditionalFormatting>
  <conditionalFormatting sqref="L84:AF84">
    <cfRule type="expression" dxfId="167" priority="141">
      <formula>L$9&gt;=20/24</formula>
    </cfRule>
    <cfRule type="expression" dxfId="166" priority="142">
      <formula>AND(L$9&gt;=14/24,L$9&lt;20/24)</formula>
    </cfRule>
    <cfRule type="expression" dxfId="165" priority="143">
      <formula>AND(L$9&gt;=8/24,L$9&lt;14/24)</formula>
    </cfRule>
    <cfRule type="expression" dxfId="164" priority="144">
      <formula>L$9&lt;8/24</formula>
    </cfRule>
  </conditionalFormatting>
  <conditionalFormatting sqref="M8 S8 AB8">
    <cfRule type="expression" dxfId="163" priority="194">
      <formula>AND(N$9&gt;=14/24,N$9&lt;20/24)</formula>
    </cfRule>
    <cfRule type="expression" dxfId="162" priority="195">
      <formula>AND(N$9&gt;=8/24,N$9&lt;14/24)</formula>
    </cfRule>
    <cfRule type="expression" dxfId="161" priority="196">
      <formula>N$9&lt;8/24</formula>
    </cfRule>
  </conditionalFormatting>
  <conditionalFormatting sqref="M79:Y83 Z80:AA83">
    <cfRule type="expression" dxfId="160" priority="149">
      <formula>M$9&gt;=20/24</formula>
    </cfRule>
    <cfRule type="expression" dxfId="159" priority="150">
      <formula>AND(M$9&gt;=14/24,M$9&lt;20/24)</formula>
    </cfRule>
    <cfRule type="expression" dxfId="158" priority="151">
      <formula>AND(M$9&gt;=8/24,M$9&lt;14/24)</formula>
    </cfRule>
    <cfRule type="expression" dxfId="157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6" priority="193">
      <formula>N$9&gt;=20/24</formula>
    </cfRule>
  </conditionalFormatting>
  <conditionalFormatting sqref="S8">
    <cfRule type="expression" dxfId="155" priority="184">
      <formula>U$9&gt;=20/24</formula>
    </cfRule>
    <cfRule type="expression" dxfId="154" priority="185">
      <formula>AND(U$9&gt;=14/24,U$9&lt;20/24)</formula>
    </cfRule>
    <cfRule type="expression" dxfId="153" priority="186">
      <formula>AND(U$9&gt;=8/24,U$9&lt;14/24)</formula>
    </cfRule>
    <cfRule type="expression" dxfId="152" priority="187">
      <formula>U$9&lt;8/24</formula>
    </cfRule>
  </conditionalFormatting>
  <conditionalFormatting sqref="T79:AF84">
    <cfRule type="expression" dxfId="151" priority="71">
      <formula>T$9&gt;=20/24</formula>
    </cfRule>
    <cfRule type="expression" dxfId="150" priority="72">
      <formula>AND(T$9&gt;=14/24,T$9&lt;20/24)</formula>
    </cfRule>
    <cfRule type="expression" dxfId="149" priority="73">
      <formula>AND(T$9&gt;=8/24,T$9&lt;14/24)</formula>
    </cfRule>
    <cfRule type="expression" dxfId="148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47" priority="56">
      <formula>Y$9&gt;=20/24</formula>
    </cfRule>
    <cfRule type="expression" dxfId="146" priority="57">
      <formula>AND(Y$9&gt;=14/24,Y$9&lt;20/24)</formula>
    </cfRule>
    <cfRule type="expression" dxfId="145" priority="58">
      <formula>AND(Y$9&gt;=8/24,Y$9&lt;14/24)</formula>
    </cfRule>
    <cfRule type="expression" dxfId="144" priority="59">
      <formula>Y$9&lt;8/24</formula>
    </cfRule>
  </conditionalFormatting>
  <conditionalFormatting sqref="Z69:Z70">
    <cfRule type="expression" dxfId="143" priority="136">
      <formula>Z69&gt;$AG69</formula>
    </cfRule>
  </conditionalFormatting>
  <conditionalFormatting sqref="Z66:AF69 AB11:AF11 B54:AF62 B66:Y70">
    <cfRule type="expression" dxfId="142" priority="131">
      <formula>B11&gt;$AG11</formula>
    </cfRule>
  </conditionalFormatting>
  <conditionalFormatting sqref="AB8">
    <cfRule type="expression" dxfId="141" priority="180">
      <formula>AD$9&gt;=20/24</formula>
    </cfRule>
    <cfRule type="expression" dxfId="140" priority="181">
      <formula>AND(AD$9&gt;=14/24,AD$9&lt;20/24)</formula>
    </cfRule>
    <cfRule type="expression" dxfId="139" priority="182">
      <formula>AND(AD$9&gt;=8/24,AD$9&lt;14/24)</formula>
    </cfRule>
    <cfRule type="expression" dxfId="138" priority="183">
      <formula>AD$9&lt;8/24</formula>
    </cfRule>
  </conditionalFormatting>
  <conditionalFormatting sqref="AB11:AF11">
    <cfRule type="expression" dxfId="137" priority="132">
      <formula>AB$9&gt;=20/24</formula>
    </cfRule>
    <cfRule type="expression" dxfId="136" priority="133">
      <formula>AND(AB$9&gt;=14/24,AB$9&lt;20/24)</formula>
    </cfRule>
    <cfRule type="expression" dxfId="135" priority="134">
      <formula>AND(AB$9&gt;=8/24,AB$9&lt;14/24)</formula>
    </cfRule>
    <cfRule type="expression" dxfId="134" priority="135">
      <formula>AB$9&lt;8/24</formula>
    </cfRule>
  </conditionalFormatting>
  <conditionalFormatting sqref="AD79:AF79">
    <cfRule type="expression" dxfId="133" priority="207">
      <formula>AD79&gt;$AG80*1</formula>
    </cfRule>
  </conditionalFormatting>
  <conditionalFormatting sqref="AG78">
    <cfRule type="expression" dxfId="132" priority="159">
      <formula>AG$9&gt;=20/24</formula>
    </cfRule>
    <cfRule type="expression" dxfId="131" priority="160">
      <formula>AND(AG$9&gt;=14/24,AG$9&lt;20/24)</formula>
    </cfRule>
    <cfRule type="expression" dxfId="130" priority="161">
      <formula>AND(AG$9&gt;=8/24,AG$9&lt;14/24)</formula>
    </cfRule>
    <cfRule type="expression" dxfId="129" priority="162">
      <formula>AG$9&lt;8/24</formula>
    </cfRule>
  </conditionalFormatting>
  <conditionalFormatting sqref="AG91:AG92">
    <cfRule type="expression" dxfId="128" priority="154">
      <formula>AG91&gt;$AG91</formula>
    </cfRule>
  </conditionalFormatting>
  <conditionalFormatting sqref="AG96">
    <cfRule type="expression" dxfId="127" priority="155">
      <formula>AG$9&gt;=20/24</formula>
    </cfRule>
    <cfRule type="expression" dxfId="126" priority="156">
      <formula>AND(AG$9&gt;=14/24,AG$9&lt;20/24)</formula>
    </cfRule>
    <cfRule type="expression" dxfId="125" priority="157">
      <formula>AND(AG$9&gt;=8/24,AG$9&lt;14/24)</formula>
    </cfRule>
    <cfRule type="expression" dxfId="124" priority="158">
      <formula>AG$9&lt;8/24</formula>
    </cfRule>
  </conditionalFormatting>
  <conditionalFormatting sqref="AG113">
    <cfRule type="expression" dxfId="123" priority="176">
      <formula>AG$9&gt;=20/24</formula>
    </cfRule>
    <cfRule type="expression" dxfId="122" priority="177">
      <formula>AND(AG$9&gt;=14/24,AG$9&lt;20/24)</formula>
    </cfRule>
    <cfRule type="expression" dxfId="121" priority="178">
      <formula>AND(AG$9&gt;=8/24,AG$9&lt;14/24)</formula>
    </cfRule>
    <cfRule type="expression" dxfId="120" priority="179">
      <formula>AG$9&lt;8/24</formula>
    </cfRule>
  </conditionalFormatting>
  <conditionalFormatting sqref="AH8:AI10">
    <cfRule type="expression" dxfId="119" priority="67">
      <formula>AH$9&gt;=20/24</formula>
    </cfRule>
    <cfRule type="expression" dxfId="118" priority="68">
      <formula>AND(AH$9&gt;=14/24,AH$9&lt;20/24)</formula>
    </cfRule>
    <cfRule type="expression" dxfId="117" priority="69">
      <formula>AND(AH$9&gt;=8/24,AH$9&lt;14/24)</formula>
    </cfRule>
    <cfRule type="expression" dxfId="116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" priority="197">
      <formula>AJ$9&gt;=20/24</formula>
    </cfRule>
    <cfRule type="expression" dxfId="114" priority="198">
      <formula>AND(AJ$9&gt;=14/24,AJ$9&lt;20/24)</formula>
    </cfRule>
    <cfRule type="expression" dxfId="113" priority="199">
      <formula>AND(AJ$9&gt;=8/24,AJ$9&lt;14/24)</formula>
    </cfRule>
    <cfRule type="expression" dxfId="112" priority="200">
      <formula>AJ$9&lt;8/24</formula>
    </cfRule>
  </conditionalFormatting>
  <conditionalFormatting sqref="AL99:AN99 AL105:AN105">
    <cfRule type="expression" dxfId="111" priority="169">
      <formula>AL$9&gt;=20/24</formula>
    </cfRule>
    <cfRule type="expression" dxfId="110" priority="170">
      <formula>AND(AL$9&gt;=14/24,AL$9&lt;20/24)</formula>
    </cfRule>
    <cfRule type="expression" dxfId="109" priority="171">
      <formula>AND(AL$9&gt;=8/24,AL$9&lt;14/24)</formula>
    </cfRule>
    <cfRule type="expression" dxfId="108" priority="172">
      <formula>AL$9&lt;8/24</formula>
    </cfRule>
  </conditionalFormatting>
  <conditionalFormatting sqref="AM15:AM21 AN16:AR21">
    <cfRule type="expression" dxfId="107" priority="93">
      <formula>AX$9&gt;=20/24</formula>
    </cfRule>
    <cfRule type="expression" dxfId="106" priority="94">
      <formula>AND(AX$9&gt;=14/24,AX$9&lt;20/24)</formula>
    </cfRule>
    <cfRule type="expression" dxfId="105" priority="95">
      <formula>AND(AX$9&gt;=8/24,AX$9&lt;14/24)</formula>
    </cfRule>
    <cfRule type="expression" dxfId="104" priority="96">
      <formula>AX$9&lt;8/24</formula>
    </cfRule>
  </conditionalFormatting>
  <conditionalFormatting sqref="AN100:AN103">
    <cfRule type="expression" dxfId="103" priority="165">
      <formula>AN$9&gt;=20/24</formula>
    </cfRule>
    <cfRule type="expression" dxfId="102" priority="166">
      <formula>AND(AN$9&gt;=14/24,AN$9&lt;20/24)</formula>
    </cfRule>
    <cfRule type="expression" dxfId="101" priority="167">
      <formula>AND(AN$9&gt;=8/24,AN$9&lt;14/24)</formula>
    </cfRule>
    <cfRule type="expression" dxfId="100" priority="168">
      <formula>AN$9&lt;8/24</formula>
    </cfRule>
  </conditionalFormatting>
  <conditionalFormatting sqref="AN15:AR15">
    <cfRule type="expression" dxfId="99" priority="81">
      <formula>U$9&gt;=20/24</formula>
    </cfRule>
    <cfRule type="expression" dxfId="98" priority="82">
      <formula>AND(U$9&gt;=14/24,U$9&lt;20/24)</formula>
    </cfRule>
    <cfRule type="expression" dxfId="97" priority="83">
      <formula>AND(U$9&gt;=8/24,U$9&lt;14/24)</formula>
    </cfRule>
    <cfRule type="expression" dxfId="96" priority="84">
      <formula>U$9&lt;8/24</formula>
    </cfRule>
  </conditionalFormatting>
  <conditionalFormatting sqref="AS15">
    <cfRule type="expression" dxfId="95" priority="89">
      <formula>AA$9&gt;=20/24</formula>
    </cfRule>
    <cfRule type="expression" dxfId="94" priority="90">
      <formula>AND(AA$9&gt;=14/24,AA$9&lt;20/24)</formula>
    </cfRule>
    <cfRule type="expression" dxfId="93" priority="91">
      <formula>AND(AA$9&gt;=8/24,AA$9&lt;14/24)</formula>
    </cfRule>
    <cfRule type="expression" dxfId="92" priority="92">
      <formula>AA$9&lt;8/24</formula>
    </cfRule>
  </conditionalFormatting>
  <conditionalFormatting sqref="AS16:AS21">
    <cfRule type="expression" dxfId="91" priority="97">
      <formula>BE$9&gt;=20/24</formula>
    </cfRule>
    <cfRule type="expression" dxfId="90" priority="98">
      <formula>AND(BE$9&gt;=14/24,BE$9&lt;20/24)</formula>
    </cfRule>
    <cfRule type="expression" dxfId="89" priority="99">
      <formula>AND(BE$9&gt;=8/24,BE$9&lt;14/24)</formula>
    </cfRule>
    <cfRule type="expression" dxfId="88" priority="100">
      <formula>BE$9&lt;8/24</formula>
    </cfRule>
  </conditionalFormatting>
  <conditionalFormatting sqref="AT15 AX15:BJ15">
    <cfRule type="expression" dxfId="87" priority="101">
      <formula>AC$9&gt;=20/24</formula>
    </cfRule>
    <cfRule type="expression" dxfId="86" priority="102">
      <formula>AND(AC$9&gt;=14/24,AC$9&lt;20/24)</formula>
    </cfRule>
    <cfRule type="expression" dxfId="85" priority="103">
      <formula>AND(AC$9&gt;=8/24,AC$9&lt;14/24)</formula>
    </cfRule>
    <cfRule type="expression" dxfId="84" priority="104">
      <formula>AC$9&lt;8/24</formula>
    </cfRule>
  </conditionalFormatting>
  <conditionalFormatting sqref="AT16:AT21">
    <cfRule type="expression" dxfId="83" priority="105">
      <formula>BG$9&gt;=20/24</formula>
    </cfRule>
    <cfRule type="expression" dxfId="82" priority="106">
      <formula>AND(BG$9&gt;=14/24,BG$9&lt;20/24)</formula>
    </cfRule>
    <cfRule type="expression" dxfId="81" priority="107">
      <formula>AND(BG$9&gt;=8/24,BG$9&lt;14/24)</formula>
    </cfRule>
    <cfRule type="expression" dxfId="80" priority="108">
      <formula>BG$9&lt;8/24</formula>
    </cfRule>
  </conditionalFormatting>
  <conditionalFormatting sqref="AU15:AV15">
    <cfRule type="expression" dxfId="79" priority="109">
      <formula>AE$9&gt;=20/24</formula>
    </cfRule>
    <cfRule type="expression" dxfId="78" priority="110">
      <formula>AND(AE$9&gt;=14/24,AE$9&lt;20/24)</formula>
    </cfRule>
    <cfRule type="expression" dxfId="77" priority="111">
      <formula>AND(AE$9&gt;=8/24,AE$9&lt;14/24)</formula>
    </cfRule>
    <cfRule type="expression" dxfId="76" priority="112">
      <formula>AE$9&lt;8/24</formula>
    </cfRule>
  </conditionalFormatting>
  <conditionalFormatting sqref="AU16:BJ21">
    <cfRule type="expression" dxfId="75" priority="113">
      <formula>BI$9&gt;=20/24</formula>
    </cfRule>
    <cfRule type="expression" dxfId="74" priority="114">
      <formula>AND(BI$9&gt;=14/24,BI$9&lt;20/24)</formula>
    </cfRule>
    <cfRule type="expression" dxfId="73" priority="115">
      <formula>AND(BI$9&gt;=8/24,BI$9&lt;14/24)</formula>
    </cfRule>
    <cfRule type="expression" dxfId="72" priority="116">
      <formula>BI$9&lt;8/24</formula>
    </cfRule>
  </conditionalFormatting>
  <conditionalFormatting sqref="AW15">
    <cfRule type="expression" dxfId="71" priority="85">
      <formula>B$9&gt;=20/24</formula>
    </cfRule>
    <cfRule type="expression" dxfId="70" priority="86">
      <formula>AND(B$9&gt;=14/24,B$9&lt;20/24)</formula>
    </cfRule>
    <cfRule type="expression" dxfId="69" priority="87">
      <formula>AND(B$9&gt;=8/24,B$9&lt;14/24)</formula>
    </cfRule>
    <cfRule type="expression" dxfId="68" priority="88">
      <formula>B$9&lt;8/24</formula>
    </cfRule>
  </conditionalFormatting>
  <conditionalFormatting sqref="A73">
    <cfRule type="expression" dxfId="67" priority="36">
      <formula>$AH73=0</formula>
    </cfRule>
  </conditionalFormatting>
  <conditionalFormatting sqref="B11:B13 B97:B107 B137:B152 B109:B112 B125:B134 B154:B159">
    <cfRule type="expression" dxfId="66" priority="30">
      <formula>B$9&gt;=20/24</formula>
    </cfRule>
  </conditionalFormatting>
  <conditionalFormatting sqref="B11:B13 B97:B107 B137:B152 B109:B112 B125:B134 B154:B159">
    <cfRule type="expression" dxfId="65" priority="31">
      <formula>AND(B$9&gt;=14/24,B$9&lt;20/24)</formula>
    </cfRule>
    <cfRule type="expression" dxfId="64" priority="32">
      <formula>AND(B$9&gt;=8/24,B$9&lt;14/24)</formula>
    </cfRule>
    <cfRule type="expression" dxfId="63" priority="33">
      <formula>B$9&lt;8/24</formula>
    </cfRule>
  </conditionalFormatting>
  <conditionalFormatting sqref="B14:B28">
    <cfRule type="expression" dxfId="62" priority="20">
      <formula>B14&gt;$AG14*1</formula>
    </cfRule>
    <cfRule type="expression" dxfId="61" priority="21">
      <formula>B$9&gt;=20/24</formula>
    </cfRule>
    <cfRule type="expression" dxfId="60" priority="22">
      <formula>AND(B$9&gt;=14/24,B$9&lt;20/24)</formula>
    </cfRule>
    <cfRule type="expression" dxfId="59" priority="23">
      <formula>AND(B$9&gt;=8/24,B$9&lt;14/24)</formula>
    </cfRule>
    <cfRule type="expression" dxfId="58" priority="24">
      <formula>B$9&lt;8/24</formula>
    </cfRule>
  </conditionalFormatting>
  <conditionalFormatting sqref="B161:B167">
    <cfRule type="expression" dxfId="57" priority="25">
      <formula>B$9&gt;=20/24</formula>
    </cfRule>
    <cfRule type="expression" dxfId="56" priority="26">
      <formula>AND(B$9&gt;=14/24,B$9&lt;20/24)</formula>
    </cfRule>
    <cfRule type="expression" dxfId="55" priority="27">
      <formula>AND(B$9&gt;=8/24,B$9&lt;14/24)</formula>
    </cfRule>
    <cfRule type="expression" dxfId="54" priority="28">
      <formula>B$9&lt;8/24</formula>
    </cfRule>
  </conditionalFormatting>
  <conditionalFormatting sqref="B169:B274">
    <cfRule type="expression" dxfId="53" priority="6">
      <formula>B$9&gt;=20/24</formula>
    </cfRule>
    <cfRule type="expression" dxfId="52" priority="7">
      <formula>AND(B$9&gt;=14/24,B$9&lt;20/24)</formula>
    </cfRule>
    <cfRule type="expression" dxfId="51" priority="8">
      <formula>AND(B$9&gt;=8/24,B$9&lt;14/24)</formula>
    </cfRule>
    <cfRule type="expression" dxfId="50" priority="9">
      <formula>B$9&lt;8/24</formula>
    </cfRule>
  </conditionalFormatting>
  <conditionalFormatting sqref="B11:B13">
    <cfRule type="expression" dxfId="49" priority="29">
      <formula>B11&gt;$AG11*1</formula>
    </cfRule>
  </conditionalFormatting>
  <conditionalFormatting sqref="A153">
    <cfRule type="expression" dxfId="4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7" priority="1">
      <formula>AL$9&gt;=20/24</formula>
    </cfRule>
  </conditionalFormatting>
  <conditionalFormatting sqref="AL153">
    <cfRule type="expression" dxfId="46" priority="2">
      <formula>AND(AL$9&gt;=14/24,AL$9&lt;20/24)</formula>
    </cfRule>
    <cfRule type="expression" dxfId="45" priority="3">
      <formula>AND(AL$9&gt;=8/24,AL$9&lt;14/24)</formula>
    </cfRule>
    <cfRule type="expression" dxfId="4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75" activePane="bottomLeft" state="frozen"/>
      <selection activeCell="AO100" sqref="AO100"/>
      <selection pane="bottomLeft" activeCell="U93" sqref="U93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414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206">
        <v>38.21</v>
      </c>
      <c r="T3" s="206">
        <v>-140</v>
      </c>
      <c r="U3" s="213">
        <f>SUM(Q3:T3)</f>
        <v>-246.79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206">
        <v>38.15</v>
      </c>
      <c r="T4" s="206">
        <v>-140</v>
      </c>
      <c r="U4" s="213">
        <f t="shared" ref="U4:U67" si="1">SUM(Q4:T4)</f>
        <v>-246.85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206">
        <v>37.99</v>
      </c>
      <c r="T5" s="206">
        <v>-140</v>
      </c>
      <c r="U5" s="213">
        <f t="shared" si="1"/>
        <v>-247.01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206">
        <v>38.11</v>
      </c>
      <c r="T6" s="206">
        <v>-140</v>
      </c>
      <c r="U6" s="213">
        <f t="shared" si="1"/>
        <v>-246.89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206">
        <v>38.26</v>
      </c>
      <c r="T7" s="206">
        <v>-140</v>
      </c>
      <c r="U7" s="213">
        <f t="shared" si="1"/>
        <v>-246.74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206">
        <v>38.5</v>
      </c>
      <c r="T8" s="206">
        <v>-140</v>
      </c>
      <c r="U8" s="213">
        <f t="shared" si="1"/>
        <v>-246.5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206">
        <v>38.99</v>
      </c>
      <c r="T9" s="206">
        <v>-140</v>
      </c>
      <c r="U9" s="213">
        <f t="shared" si="1"/>
        <v>-246.01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206">
        <v>39.69</v>
      </c>
      <c r="T10" s="206">
        <v>-140</v>
      </c>
      <c r="U10" s="213">
        <f t="shared" si="1"/>
        <v>-245.31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206">
        <v>40.72</v>
      </c>
      <c r="T11" s="206">
        <v>-140</v>
      </c>
      <c r="U11" s="213">
        <f t="shared" si="1"/>
        <v>-244.28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206">
        <v>41.69</v>
      </c>
      <c r="T12" s="206">
        <v>-140</v>
      </c>
      <c r="U12" s="213">
        <f t="shared" si="1"/>
        <v>-243.31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206">
        <v>43.09</v>
      </c>
      <c r="T13" s="206">
        <v>-140</v>
      </c>
      <c r="U13" s="213">
        <f t="shared" si="1"/>
        <v>-241.91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206">
        <v>44.07</v>
      </c>
      <c r="T14" s="206">
        <v>-140</v>
      </c>
      <c r="U14" s="213">
        <f t="shared" si="1"/>
        <v>-240.93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206">
        <v>44.09</v>
      </c>
      <c r="T15" s="206">
        <v>0</v>
      </c>
      <c r="U15" s="215">
        <f t="shared" si="1"/>
        <v>-240.91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206">
        <v>44.09</v>
      </c>
      <c r="T16" s="206">
        <v>0</v>
      </c>
      <c r="U16" s="213">
        <f t="shared" si="1"/>
        <v>-240.91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206">
        <v>44.09</v>
      </c>
      <c r="T17" s="206">
        <v>0</v>
      </c>
      <c r="U17" s="213">
        <f t="shared" si="1"/>
        <v>-240.91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206">
        <v>44.09</v>
      </c>
      <c r="T18" s="206">
        <v>0</v>
      </c>
      <c r="U18" s="213">
        <f t="shared" si="1"/>
        <v>-240.91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206">
        <v>44.09</v>
      </c>
      <c r="T19" s="206">
        <v>0</v>
      </c>
      <c r="U19" s="215">
        <f t="shared" si="1"/>
        <v>-240.91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206">
        <v>44.09</v>
      </c>
      <c r="T20" s="206">
        <v>0</v>
      </c>
      <c r="U20" s="213">
        <f t="shared" si="1"/>
        <v>-240.91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206">
        <v>44.09</v>
      </c>
      <c r="T21" s="206">
        <v>0</v>
      </c>
      <c r="U21" s="213">
        <f t="shared" si="1"/>
        <v>-240.91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206">
        <v>44.09</v>
      </c>
      <c r="T22" s="206">
        <v>0</v>
      </c>
      <c r="U22" s="213">
        <f t="shared" si="1"/>
        <v>-240.91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206">
        <v>70.16</v>
      </c>
      <c r="T23" s="206">
        <v>0</v>
      </c>
      <c r="U23" s="213">
        <f>SUM(Q23:T23)</f>
        <v>-214.84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206">
        <v>70.16</v>
      </c>
      <c r="T24" s="206">
        <v>0</v>
      </c>
      <c r="U24" s="213">
        <f t="shared" si="1"/>
        <v>-214.84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206">
        <v>70.16</v>
      </c>
      <c r="T25" s="206">
        <v>0</v>
      </c>
      <c r="U25" s="213">
        <f t="shared" si="1"/>
        <v>-214.84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206">
        <v>70.16</v>
      </c>
      <c r="T26" s="206">
        <v>0</v>
      </c>
      <c r="U26" s="213">
        <f t="shared" si="1"/>
        <v>-214.84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206">
        <v>70.16</v>
      </c>
      <c r="T27" s="206">
        <v>0</v>
      </c>
      <c r="U27" s="213">
        <f t="shared" si="1"/>
        <v>-214.84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206">
        <v>70.16</v>
      </c>
      <c r="T28" s="206">
        <v>0</v>
      </c>
      <c r="U28" s="213">
        <f t="shared" si="1"/>
        <v>-214.84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206">
        <v>70.16</v>
      </c>
      <c r="T29" s="206">
        <v>0</v>
      </c>
      <c r="U29" s="213">
        <f t="shared" si="1"/>
        <v>-214.84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206">
        <v>70.16</v>
      </c>
      <c r="T30" s="206">
        <v>0</v>
      </c>
      <c r="U30" s="213">
        <f t="shared" si="1"/>
        <v>-214.84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206">
        <v>70.16</v>
      </c>
      <c r="T31" s="206">
        <v>0</v>
      </c>
      <c r="U31" s="213">
        <f t="shared" si="1"/>
        <v>-264.84000000000003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206">
        <v>70.16</v>
      </c>
      <c r="T32" s="206">
        <v>0</v>
      </c>
      <c r="U32" s="213">
        <f t="shared" si="1"/>
        <v>-264.84000000000003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206">
        <v>70.16</v>
      </c>
      <c r="T33" s="206">
        <v>0</v>
      </c>
      <c r="U33" s="213">
        <f t="shared" si="1"/>
        <v>-264.84000000000003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206">
        <v>70.16</v>
      </c>
      <c r="T34" s="206">
        <v>0</v>
      </c>
      <c r="U34" s="213">
        <f t="shared" si="1"/>
        <v>-264.84000000000003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206">
        <v>70.16</v>
      </c>
      <c r="T35" s="206">
        <v>0</v>
      </c>
      <c r="U35" s="213">
        <f t="shared" si="1"/>
        <v>-264.84000000000003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206">
        <v>70.16</v>
      </c>
      <c r="T36" s="206">
        <v>0</v>
      </c>
      <c r="U36" s="213">
        <f t="shared" si="1"/>
        <v>-332.84000000000003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206">
        <v>70.16</v>
      </c>
      <c r="T37" s="206">
        <v>0</v>
      </c>
      <c r="U37" s="213">
        <f t="shared" si="1"/>
        <v>-332.84000000000003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206">
        <v>70.16</v>
      </c>
      <c r="T38" s="206">
        <v>0</v>
      </c>
      <c r="U38" s="213">
        <f t="shared" si="1"/>
        <v>-332.84000000000003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206">
        <v>70.16</v>
      </c>
      <c r="T39" s="206">
        <v>0</v>
      </c>
      <c r="U39" s="213">
        <f t="shared" si="1"/>
        <v>-332.84000000000003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206">
        <v>70.16</v>
      </c>
      <c r="T40" s="206">
        <v>0</v>
      </c>
      <c r="U40" s="213">
        <f t="shared" si="1"/>
        <v>-332.84000000000003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206">
        <v>70.16</v>
      </c>
      <c r="T41" s="206">
        <v>0</v>
      </c>
      <c r="U41" s="213">
        <f t="shared" si="1"/>
        <v>-332.84000000000003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206">
        <v>70.16</v>
      </c>
      <c r="T42" s="206">
        <v>0</v>
      </c>
      <c r="U42" s="213">
        <f t="shared" si="1"/>
        <v>-332.84000000000003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206">
        <v>70.16</v>
      </c>
      <c r="T43" s="206">
        <v>0</v>
      </c>
      <c r="U43" s="213">
        <f t="shared" si="1"/>
        <v>-332.84000000000003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206">
        <v>70.16</v>
      </c>
      <c r="T44" s="206">
        <v>0</v>
      </c>
      <c r="U44" s="213">
        <f t="shared" si="1"/>
        <v>-332.84000000000003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206">
        <v>70.16</v>
      </c>
      <c r="T45" s="206">
        <v>0</v>
      </c>
      <c r="U45" s="213">
        <f t="shared" si="1"/>
        <v>-332.84000000000003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206">
        <v>70.16</v>
      </c>
      <c r="T46" s="206">
        <v>0</v>
      </c>
      <c r="U46" s="213">
        <f t="shared" si="1"/>
        <v>-332.84000000000003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206">
        <v>70.16</v>
      </c>
      <c r="T47" s="206">
        <v>0</v>
      </c>
      <c r="U47" s="213">
        <f t="shared" si="1"/>
        <v>-332.84000000000003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206">
        <v>70.16</v>
      </c>
      <c r="T48" s="206">
        <v>0</v>
      </c>
      <c r="U48" s="213">
        <f t="shared" si="1"/>
        <v>-332.84000000000003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206">
        <v>70.16</v>
      </c>
      <c r="T49" s="206">
        <v>0</v>
      </c>
      <c r="U49" s="213">
        <f t="shared" si="1"/>
        <v>-69.84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206">
        <v>70.16</v>
      </c>
      <c r="T50" s="206">
        <v>0</v>
      </c>
      <c r="U50" s="213">
        <f t="shared" si="1"/>
        <v>-69.84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206">
        <v>70.16</v>
      </c>
      <c r="T51" s="206">
        <v>0</v>
      </c>
      <c r="U51" s="213">
        <f t="shared" si="1"/>
        <v>-69.84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206">
        <v>70.16</v>
      </c>
      <c r="T52" s="206">
        <v>0</v>
      </c>
      <c r="U52" s="213">
        <f t="shared" si="1"/>
        <v>-69.84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206">
        <v>70.16</v>
      </c>
      <c r="T53" s="206">
        <v>0</v>
      </c>
      <c r="U53" s="213">
        <f t="shared" si="1"/>
        <v>-69.84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206">
        <v>70.16</v>
      </c>
      <c r="T54" s="206">
        <v>0</v>
      </c>
      <c r="U54" s="213">
        <f t="shared" si="1"/>
        <v>-69.84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206">
        <v>70.16</v>
      </c>
      <c r="T55" s="206">
        <v>0</v>
      </c>
      <c r="U55" s="213">
        <f t="shared" si="1"/>
        <v>-69.84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206">
        <v>70.16</v>
      </c>
      <c r="T56" s="206">
        <v>0</v>
      </c>
      <c r="U56" s="213">
        <f t="shared" si="1"/>
        <v>-69.84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206">
        <v>70.16</v>
      </c>
      <c r="T57" s="206">
        <v>0</v>
      </c>
      <c r="U57" s="213">
        <f t="shared" si="1"/>
        <v>-69.84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40.47</v>
      </c>
      <c r="T67" s="206">
        <v>0</v>
      </c>
      <c r="U67" s="213">
        <f t="shared" si="1"/>
        <v>40.47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40.47</v>
      </c>
      <c r="T68" s="206">
        <v>0</v>
      </c>
      <c r="U68" s="213">
        <f t="shared" ref="U68:U98" si="3">SUM(Q68:T68)</f>
        <v>40.47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40.47</v>
      </c>
      <c r="T69" s="206">
        <v>0</v>
      </c>
      <c r="U69" s="213">
        <f t="shared" si="3"/>
        <v>40.47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40.47</v>
      </c>
      <c r="T70" s="206">
        <v>0</v>
      </c>
      <c r="U70" s="213">
        <f t="shared" si="3"/>
        <v>40.47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40.47</v>
      </c>
      <c r="T71" s="206">
        <v>0</v>
      </c>
      <c r="U71" s="213">
        <f t="shared" si="3"/>
        <v>40.47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40.47</v>
      </c>
      <c r="T72" s="206">
        <v>0</v>
      </c>
      <c r="U72" s="213">
        <f t="shared" si="3"/>
        <v>40.47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40.47</v>
      </c>
      <c r="T73" s="206">
        <v>0</v>
      </c>
      <c r="U73" s="213">
        <f t="shared" si="3"/>
        <v>40.47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40.47</v>
      </c>
      <c r="T74" s="206">
        <v>0</v>
      </c>
      <c r="U74" s="213">
        <f t="shared" si="3"/>
        <v>40.47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40.47</v>
      </c>
      <c r="T75" s="206">
        <v>0</v>
      </c>
      <c r="U75" s="213">
        <f t="shared" si="3"/>
        <v>40.47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40.47</v>
      </c>
      <c r="T76" s="206">
        <v>0</v>
      </c>
      <c r="U76" s="213">
        <f t="shared" si="3"/>
        <v>40.47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-65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-65</v>
      </c>
      <c r="R77" s="193"/>
      <c r="S77" s="206">
        <v>37.549999999999997</v>
      </c>
      <c r="T77" s="206">
        <v>-140</v>
      </c>
      <c r="U77" s="213">
        <f t="shared" si="3"/>
        <v>-167.45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-65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-65</v>
      </c>
      <c r="R78" s="193"/>
      <c r="S78" s="206">
        <v>36.19</v>
      </c>
      <c r="T78" s="206">
        <v>-140</v>
      </c>
      <c r="U78" s="213">
        <f t="shared" si="3"/>
        <v>-168.81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-65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-65</v>
      </c>
      <c r="R79" s="193"/>
      <c r="S79" s="206">
        <v>32.450000000000003</v>
      </c>
      <c r="T79" s="206">
        <v>-140</v>
      </c>
      <c r="U79" s="213">
        <f t="shared" si="3"/>
        <v>-172.55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-65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-65</v>
      </c>
      <c r="R80" s="193"/>
      <c r="S80" s="206">
        <v>31.77</v>
      </c>
      <c r="T80" s="206">
        <v>-140</v>
      </c>
      <c r="U80" s="213">
        <f t="shared" si="3"/>
        <v>-173.23000000000002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-65</v>
      </c>
      <c r="D81" s="193">
        <v>0</v>
      </c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-65</v>
      </c>
      <c r="R81" s="193"/>
      <c r="S81" s="206">
        <v>31.51</v>
      </c>
      <c r="T81" s="206">
        <v>-140</v>
      </c>
      <c r="U81" s="213">
        <f>SUM(Q81:T81)</f>
        <v>-173.49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-65</v>
      </c>
      <c r="D82" s="193">
        <v>0</v>
      </c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-65</v>
      </c>
      <c r="R82" s="193"/>
      <c r="S82" s="206">
        <v>31.39</v>
      </c>
      <c r="T82" s="206">
        <v>-140</v>
      </c>
      <c r="U82" s="213">
        <f t="shared" si="3"/>
        <v>-173.61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-65</v>
      </c>
      <c r="D83" s="193">
        <v>0</v>
      </c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-65</v>
      </c>
      <c r="R83" s="193"/>
      <c r="S83" s="206">
        <v>31.41</v>
      </c>
      <c r="T83" s="206">
        <v>-140</v>
      </c>
      <c r="U83" s="213">
        <f t="shared" si="3"/>
        <v>-173.59</v>
      </c>
      <c r="X83" s="211">
        <v>0</v>
      </c>
    </row>
    <row r="84" spans="1:26" ht="15.75">
      <c r="A84" s="195" t="s">
        <v>382</v>
      </c>
      <c r="B84" s="193">
        <v>0</v>
      </c>
      <c r="C84" s="193">
        <v>-65</v>
      </c>
      <c r="D84" s="193">
        <v>0</v>
      </c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-65</v>
      </c>
      <c r="R84" s="193"/>
      <c r="S84" s="206">
        <v>31.36</v>
      </c>
      <c r="T84" s="206">
        <v>-140</v>
      </c>
      <c r="U84" s="213">
        <f t="shared" si="3"/>
        <v>-173.64</v>
      </c>
      <c r="X84" s="211">
        <v>0</v>
      </c>
    </row>
    <row r="85" spans="1:26" ht="15.75">
      <c r="A85" s="195" t="s">
        <v>383</v>
      </c>
      <c r="B85" s="193">
        <v>0</v>
      </c>
      <c r="C85" s="193">
        <v>-65</v>
      </c>
      <c r="D85" s="193">
        <v>-68</v>
      </c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-133</v>
      </c>
      <c r="R85" s="193"/>
      <c r="S85" s="206">
        <v>31.35</v>
      </c>
      <c r="T85" s="206">
        <v>-140</v>
      </c>
      <c r="U85" s="213">
        <f t="shared" si="3"/>
        <v>-241.65</v>
      </c>
      <c r="X85" s="211">
        <v>0</v>
      </c>
    </row>
    <row r="86" spans="1:26" ht="15.75">
      <c r="A86" s="195" t="s">
        <v>384</v>
      </c>
      <c r="B86" s="193">
        <v>0</v>
      </c>
      <c r="C86" s="193">
        <v>-65</v>
      </c>
      <c r="D86" s="193">
        <v>-68</v>
      </c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-133</v>
      </c>
      <c r="R86" s="193"/>
      <c r="S86" s="206">
        <v>31.33</v>
      </c>
      <c r="T86" s="206">
        <v>-140</v>
      </c>
      <c r="U86" s="213">
        <f t="shared" si="3"/>
        <v>-241.67000000000002</v>
      </c>
      <c r="X86" s="211">
        <v>0</v>
      </c>
    </row>
    <row r="87" spans="1:26" ht="15.75">
      <c r="A87" s="195" t="s">
        <v>385</v>
      </c>
      <c r="B87" s="193">
        <v>0</v>
      </c>
      <c r="C87" s="193">
        <v>-65</v>
      </c>
      <c r="D87" s="193">
        <v>-68</v>
      </c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-133</v>
      </c>
      <c r="R87" s="193"/>
      <c r="S87" s="206">
        <v>31.23</v>
      </c>
      <c r="T87" s="206">
        <v>-140</v>
      </c>
      <c r="U87" s="213">
        <f t="shared" si="3"/>
        <v>-241.76999999999998</v>
      </c>
      <c r="X87" s="211">
        <v>0</v>
      </c>
    </row>
    <row r="88" spans="1:26" ht="15.75">
      <c r="A88" s="195" t="s">
        <v>386</v>
      </c>
      <c r="B88" s="193">
        <v>0</v>
      </c>
      <c r="C88" s="193">
        <v>-65</v>
      </c>
      <c r="D88" s="193">
        <v>-68</v>
      </c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-133</v>
      </c>
      <c r="R88" s="193"/>
      <c r="S88" s="206">
        <v>31.19</v>
      </c>
      <c r="T88" s="206">
        <v>-140</v>
      </c>
      <c r="U88" s="213">
        <f t="shared" si="3"/>
        <v>-241.81</v>
      </c>
      <c r="X88" s="211">
        <v>0</v>
      </c>
    </row>
    <row r="89" spans="1:26" ht="15.75">
      <c r="A89" s="195" t="s">
        <v>387</v>
      </c>
      <c r="B89" s="193">
        <v>0</v>
      </c>
      <c r="C89" s="193">
        <v>-65</v>
      </c>
      <c r="D89" s="193">
        <v>-68</v>
      </c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-133</v>
      </c>
      <c r="R89" s="193"/>
      <c r="S89" s="206">
        <v>31.15</v>
      </c>
      <c r="T89" s="206">
        <v>-140</v>
      </c>
      <c r="U89" s="213">
        <f t="shared" si="3"/>
        <v>-241.85</v>
      </c>
      <c r="X89" s="211">
        <v>0</v>
      </c>
    </row>
    <row r="90" spans="1:26" ht="15.75">
      <c r="A90" s="195" t="s">
        <v>388</v>
      </c>
      <c r="B90" s="193">
        <v>0</v>
      </c>
      <c r="C90" s="193">
        <v>-65</v>
      </c>
      <c r="D90" s="193">
        <v>-68</v>
      </c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-133</v>
      </c>
      <c r="R90" s="193"/>
      <c r="S90" s="206">
        <v>31.13</v>
      </c>
      <c r="T90" s="206">
        <v>-140</v>
      </c>
      <c r="U90" s="213">
        <f t="shared" si="3"/>
        <v>-241.87</v>
      </c>
      <c r="X90" s="211">
        <v>0</v>
      </c>
    </row>
    <row r="91" spans="1:26" ht="15.75">
      <c r="A91" s="195" t="s">
        <v>389</v>
      </c>
      <c r="B91" s="193">
        <v>0</v>
      </c>
      <c r="C91" s="193">
        <v>-65</v>
      </c>
      <c r="D91" s="193">
        <v>-68</v>
      </c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-133</v>
      </c>
      <c r="R91" s="193"/>
      <c r="S91" s="206">
        <v>31.1</v>
      </c>
      <c r="T91" s="206">
        <v>-140</v>
      </c>
      <c r="U91" s="213">
        <f t="shared" si="3"/>
        <v>-241.9</v>
      </c>
      <c r="X91" s="211">
        <v>0</v>
      </c>
    </row>
    <row r="92" spans="1:26" ht="15.75">
      <c r="A92" s="195" t="s">
        <v>390</v>
      </c>
      <c r="B92" s="193">
        <v>0</v>
      </c>
      <c r="C92" s="193">
        <v>-65</v>
      </c>
      <c r="D92" s="193">
        <v>-68</v>
      </c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-133</v>
      </c>
      <c r="R92" s="193"/>
      <c r="S92" s="206">
        <v>31.06</v>
      </c>
      <c r="T92" s="206">
        <v>-140</v>
      </c>
      <c r="U92" s="213">
        <f t="shared" si="3"/>
        <v>-241.94</v>
      </c>
      <c r="X92" s="211">
        <v>0</v>
      </c>
    </row>
    <row r="93" spans="1:26" ht="15.75">
      <c r="A93" s="195" t="s">
        <v>391</v>
      </c>
      <c r="B93" s="193">
        <v>0</v>
      </c>
      <c r="C93" s="193">
        <v>-65</v>
      </c>
      <c r="D93" s="193">
        <v>-68</v>
      </c>
      <c r="E93" s="193">
        <v>-50</v>
      </c>
      <c r="F93" s="193"/>
      <c r="G93" s="193">
        <v>-22</v>
      </c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-205</v>
      </c>
      <c r="R93" s="193"/>
      <c r="S93" s="206">
        <v>31.04</v>
      </c>
      <c r="T93" s="206">
        <v>-140</v>
      </c>
      <c r="U93" s="213">
        <f t="shared" si="3"/>
        <v>-313.96000000000004</v>
      </c>
      <c r="X93" s="211">
        <v>0</v>
      </c>
    </row>
    <row r="94" spans="1:26" ht="15.75">
      <c r="A94" s="195" t="s">
        <v>392</v>
      </c>
      <c r="B94" s="193">
        <v>0</v>
      </c>
      <c r="C94" s="193">
        <v>-65</v>
      </c>
      <c r="D94" s="193">
        <v>-68</v>
      </c>
      <c r="E94" s="193">
        <v>-50</v>
      </c>
      <c r="F94" s="193"/>
      <c r="G94" s="193">
        <v>-22</v>
      </c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-205</v>
      </c>
      <c r="R94" s="193"/>
      <c r="S94" s="206">
        <v>31.02</v>
      </c>
      <c r="T94" s="206">
        <v>-140</v>
      </c>
      <c r="U94" s="213">
        <f t="shared" si="3"/>
        <v>-313.98</v>
      </c>
      <c r="X94" s="211">
        <v>0</v>
      </c>
    </row>
    <row r="95" spans="1:26" ht="15.75">
      <c r="A95" s="195" t="s">
        <v>393</v>
      </c>
      <c r="B95" s="193">
        <v>0</v>
      </c>
      <c r="C95" s="193">
        <v>-65</v>
      </c>
      <c r="D95" s="193">
        <v>-68</v>
      </c>
      <c r="E95" s="193">
        <v>-50</v>
      </c>
      <c r="F95" s="193"/>
      <c r="G95" s="193">
        <v>-22</v>
      </c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-205</v>
      </c>
      <c r="R95" s="193"/>
      <c r="S95" s="206">
        <v>31.08</v>
      </c>
      <c r="T95" s="206">
        <v>-140</v>
      </c>
      <c r="U95" s="213">
        <f t="shared" si="3"/>
        <v>-313.92</v>
      </c>
      <c r="X95" s="211">
        <v>0</v>
      </c>
    </row>
    <row r="96" spans="1:26" ht="15.75">
      <c r="A96" s="195" t="s">
        <v>394</v>
      </c>
      <c r="B96" s="193">
        <v>0</v>
      </c>
      <c r="C96" s="193">
        <v>-65</v>
      </c>
      <c r="D96" s="193">
        <v>-68</v>
      </c>
      <c r="E96" s="193">
        <v>-50</v>
      </c>
      <c r="F96" s="193"/>
      <c r="G96" s="193">
        <v>-22</v>
      </c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-205</v>
      </c>
      <c r="R96" s="193"/>
      <c r="S96" s="206">
        <v>31.01</v>
      </c>
      <c r="T96" s="206">
        <v>-140</v>
      </c>
      <c r="U96" s="213">
        <f t="shared" si="3"/>
        <v>-313.99</v>
      </c>
      <c r="X96" s="211">
        <v>0</v>
      </c>
    </row>
    <row r="97" spans="1:24" ht="15.75">
      <c r="A97" s="195" t="s">
        <v>395</v>
      </c>
      <c r="B97" s="193">
        <v>0</v>
      </c>
      <c r="C97" s="193">
        <v>-65</v>
      </c>
      <c r="D97" s="193">
        <v>-68</v>
      </c>
      <c r="E97" s="193">
        <v>-50</v>
      </c>
      <c r="F97" s="193"/>
      <c r="G97" s="193">
        <v>-22</v>
      </c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-205</v>
      </c>
      <c r="R97" s="193"/>
      <c r="S97" s="206">
        <v>31.1</v>
      </c>
      <c r="T97" s="206">
        <v>-140</v>
      </c>
      <c r="U97" s="213">
        <f t="shared" si="3"/>
        <v>-313.89999999999998</v>
      </c>
      <c r="X97" s="211">
        <v>0</v>
      </c>
    </row>
    <row r="98" spans="1:24" ht="15.75">
      <c r="A98" s="195" t="s">
        <v>396</v>
      </c>
      <c r="B98" s="193">
        <v>0</v>
      </c>
      <c r="C98" s="193">
        <v>-65</v>
      </c>
      <c r="D98" s="193">
        <v>-68</v>
      </c>
      <c r="E98" s="193">
        <v>-50</v>
      </c>
      <c r="F98" s="193"/>
      <c r="G98" s="193">
        <v>-22</v>
      </c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-205</v>
      </c>
      <c r="R98" s="193"/>
      <c r="S98" s="206">
        <v>31.12</v>
      </c>
      <c r="T98" s="206">
        <v>-140</v>
      </c>
      <c r="U98" s="213">
        <f t="shared" si="3"/>
        <v>-313.88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T14" sqref="T14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415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414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>
        <f>SUM(B3:P3)</f>
        <v>0</v>
      </c>
      <c r="R3" s="193"/>
      <c r="S3" s="206">
        <v>70.16</v>
      </c>
      <c r="T3" s="206">
        <v>-140</v>
      </c>
      <c r="U3" s="213">
        <f>SUM(Q3:T3)</f>
        <v>-69.84</v>
      </c>
      <c r="X3" s="211">
        <v>0</v>
      </c>
      <c r="Z3">
        <v>0</v>
      </c>
    </row>
    <row r="4" spans="1:26" ht="15.75">
      <c r="A4" s="195" t="s">
        <v>302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>
        <f t="shared" ref="Q4:Q67" si="0">SUM(B4:P4)</f>
        <v>0</v>
      </c>
      <c r="R4" s="193"/>
      <c r="S4" s="206">
        <v>70.16</v>
      </c>
      <c r="T4" s="206">
        <v>-140</v>
      </c>
      <c r="U4" s="213">
        <f t="shared" ref="U4:U67" si="1">SUM(Q4:T4)</f>
        <v>-69.84</v>
      </c>
      <c r="X4" s="211">
        <v>0</v>
      </c>
      <c r="Z4">
        <v>0</v>
      </c>
    </row>
    <row r="5" spans="1:26" ht="15.75">
      <c r="A5" s="195" t="s">
        <v>303</v>
      </c>
      <c r="B5" s="193"/>
      <c r="C5" s="193"/>
      <c r="D5" s="193"/>
      <c r="E5" s="193"/>
      <c r="F5" s="193"/>
      <c r="G5" s="193"/>
      <c r="H5" s="193"/>
      <c r="I5" s="193"/>
      <c r="J5" s="193"/>
      <c r="K5" s="193"/>
      <c r="L5" s="193"/>
      <c r="M5" s="193"/>
      <c r="N5" s="193"/>
      <c r="O5" s="193"/>
      <c r="P5" s="193"/>
      <c r="Q5" s="193">
        <f t="shared" si="0"/>
        <v>0</v>
      </c>
      <c r="R5" s="193"/>
      <c r="S5" s="206">
        <v>70.16</v>
      </c>
      <c r="T5" s="206">
        <v>-140</v>
      </c>
      <c r="U5" s="213">
        <f t="shared" si="1"/>
        <v>-69.84</v>
      </c>
      <c r="X5" s="211">
        <v>0</v>
      </c>
      <c r="Z5">
        <v>0</v>
      </c>
    </row>
    <row r="6" spans="1:26" ht="15.75">
      <c r="A6" s="195" t="s">
        <v>304</v>
      </c>
      <c r="B6" s="193"/>
      <c r="C6" s="193"/>
      <c r="D6" s="193"/>
      <c r="E6" s="193"/>
      <c r="F6" s="193"/>
      <c r="G6" s="193"/>
      <c r="H6" s="193"/>
      <c r="I6" s="193"/>
      <c r="J6" s="193"/>
      <c r="K6" s="193"/>
      <c r="L6" s="193"/>
      <c r="M6" s="193"/>
      <c r="N6" s="193"/>
      <c r="O6" s="193"/>
      <c r="P6" s="193"/>
      <c r="Q6" s="193">
        <f t="shared" si="0"/>
        <v>0</v>
      </c>
      <c r="R6" s="193"/>
      <c r="S6" s="206">
        <v>70.16</v>
      </c>
      <c r="T6" s="206">
        <v>-140</v>
      </c>
      <c r="U6" s="213">
        <f t="shared" si="1"/>
        <v>-69.84</v>
      </c>
      <c r="X6" s="211">
        <v>0</v>
      </c>
      <c r="Z6">
        <v>0</v>
      </c>
    </row>
    <row r="7" spans="1:26" ht="15.75">
      <c r="A7" s="195" t="s">
        <v>305</v>
      </c>
      <c r="B7" s="193"/>
      <c r="C7" s="193"/>
      <c r="D7" s="193"/>
      <c r="E7" s="193"/>
      <c r="F7" s="193"/>
      <c r="G7" s="193"/>
      <c r="H7" s="193"/>
      <c r="I7" s="193"/>
      <c r="J7" s="193"/>
      <c r="K7" s="193"/>
      <c r="L7" s="193"/>
      <c r="M7" s="193"/>
      <c r="N7" s="193"/>
      <c r="O7" s="193"/>
      <c r="P7" s="193"/>
      <c r="Q7" s="193">
        <f t="shared" si="0"/>
        <v>0</v>
      </c>
      <c r="R7" s="193"/>
      <c r="S7" s="206">
        <v>70.16</v>
      </c>
      <c r="T7" s="206">
        <v>-140</v>
      </c>
      <c r="U7" s="213">
        <f t="shared" si="1"/>
        <v>-69.84</v>
      </c>
      <c r="X7" s="211">
        <v>0</v>
      </c>
      <c r="Z7">
        <v>0</v>
      </c>
    </row>
    <row r="8" spans="1:26" ht="15.75">
      <c r="A8" s="195" t="s">
        <v>306</v>
      </c>
      <c r="B8" s="193"/>
      <c r="C8" s="193"/>
      <c r="D8" s="193"/>
      <c r="E8" s="193"/>
      <c r="F8" s="193"/>
      <c r="G8" s="193"/>
      <c r="H8" s="193"/>
      <c r="I8" s="193"/>
      <c r="J8" s="193"/>
      <c r="K8" s="193"/>
      <c r="L8" s="193"/>
      <c r="M8" s="193"/>
      <c r="N8" s="193"/>
      <c r="O8" s="193"/>
      <c r="P8" s="193"/>
      <c r="Q8" s="193">
        <f t="shared" si="0"/>
        <v>0</v>
      </c>
      <c r="R8" s="193"/>
      <c r="S8" s="206">
        <v>70.16</v>
      </c>
      <c r="T8" s="206">
        <v>-140</v>
      </c>
      <c r="U8" s="213">
        <f t="shared" si="1"/>
        <v>-69.84</v>
      </c>
      <c r="X8" s="211">
        <v>0</v>
      </c>
      <c r="Z8">
        <v>0</v>
      </c>
    </row>
    <row r="9" spans="1:26" ht="15.75">
      <c r="A9" s="195" t="s">
        <v>307</v>
      </c>
      <c r="B9" s="193"/>
      <c r="C9" s="193"/>
      <c r="D9" s="193"/>
      <c r="E9" s="193"/>
      <c r="F9" s="193"/>
      <c r="G9" s="193"/>
      <c r="H9" s="193"/>
      <c r="I9" s="193"/>
      <c r="J9" s="193"/>
      <c r="K9" s="193"/>
      <c r="L9" s="193"/>
      <c r="M9" s="193"/>
      <c r="N9" s="193"/>
      <c r="O9" s="193"/>
      <c r="P9" s="193"/>
      <c r="Q9" s="193">
        <f t="shared" si="0"/>
        <v>0</v>
      </c>
      <c r="R9" s="193"/>
      <c r="S9" s="206">
        <v>70.16</v>
      </c>
      <c r="T9" s="206">
        <v>-140</v>
      </c>
      <c r="U9" s="213">
        <f t="shared" si="1"/>
        <v>-69.84</v>
      </c>
      <c r="X9" s="211">
        <v>0</v>
      </c>
      <c r="Z9">
        <v>0</v>
      </c>
    </row>
    <row r="10" spans="1:26" ht="15.75">
      <c r="A10" s="195" t="s">
        <v>308</v>
      </c>
      <c r="B10" s="193"/>
      <c r="C10" s="193"/>
      <c r="D10" s="193"/>
      <c r="E10" s="193"/>
      <c r="F10" s="193"/>
      <c r="G10" s="193"/>
      <c r="H10" s="193"/>
      <c r="I10" s="193"/>
      <c r="J10" s="193"/>
      <c r="K10" s="193"/>
      <c r="L10" s="193"/>
      <c r="M10" s="193"/>
      <c r="N10" s="193"/>
      <c r="O10" s="193"/>
      <c r="P10" s="193"/>
      <c r="Q10" s="193">
        <f t="shared" si="0"/>
        <v>0</v>
      </c>
      <c r="R10" s="193"/>
      <c r="S10" s="206">
        <v>70.16</v>
      </c>
      <c r="T10" s="206">
        <v>-140</v>
      </c>
      <c r="U10" s="213">
        <f t="shared" si="1"/>
        <v>-69.84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/>
      <c r="D11" s="193"/>
      <c r="E11" s="193"/>
      <c r="F11" s="193"/>
      <c r="G11" s="193"/>
      <c r="H11" s="193"/>
      <c r="I11" s="193"/>
      <c r="J11" s="193"/>
      <c r="K11" s="193"/>
      <c r="L11" s="193"/>
      <c r="M11" s="193"/>
      <c r="N11" s="193"/>
      <c r="O11" s="193"/>
      <c r="P11" s="193"/>
      <c r="Q11" s="193">
        <f t="shared" si="0"/>
        <v>0</v>
      </c>
      <c r="R11" s="193"/>
      <c r="S11" s="206">
        <v>70.16</v>
      </c>
      <c r="T11" s="206">
        <v>-140</v>
      </c>
      <c r="U11" s="213">
        <f t="shared" si="1"/>
        <v>-69.84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/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>
        <f t="shared" si="0"/>
        <v>0</v>
      </c>
      <c r="R12" s="193"/>
      <c r="S12" s="206">
        <v>70.16</v>
      </c>
      <c r="T12" s="206">
        <v>-140</v>
      </c>
      <c r="U12" s="213">
        <f t="shared" si="1"/>
        <v>-69.84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/>
      <c r="D13" s="193"/>
      <c r="E13" s="193"/>
      <c r="F13" s="193"/>
      <c r="G13" s="193"/>
      <c r="H13" s="193"/>
      <c r="I13" s="193"/>
      <c r="J13" s="193"/>
      <c r="K13" s="193"/>
      <c r="L13" s="193"/>
      <c r="M13" s="193"/>
      <c r="N13" s="193"/>
      <c r="O13" s="193"/>
      <c r="P13" s="193"/>
      <c r="Q13" s="193">
        <f t="shared" si="0"/>
        <v>0</v>
      </c>
      <c r="R13" s="193"/>
      <c r="S13" s="206">
        <v>70.16</v>
      </c>
      <c r="T13" s="206">
        <v>-140</v>
      </c>
      <c r="U13" s="213">
        <f t="shared" si="1"/>
        <v>-69.84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/>
      <c r="D14" s="193"/>
      <c r="E14" s="193"/>
      <c r="F14" s="193"/>
      <c r="G14" s="193"/>
      <c r="H14" s="193"/>
      <c r="I14" s="193"/>
      <c r="J14" s="193"/>
      <c r="K14" s="193"/>
      <c r="L14" s="193"/>
      <c r="M14" s="193"/>
      <c r="N14" s="193"/>
      <c r="O14" s="193"/>
      <c r="P14" s="193"/>
      <c r="Q14" s="193">
        <f t="shared" si="0"/>
        <v>0</v>
      </c>
      <c r="R14" s="193"/>
      <c r="S14" s="206">
        <v>70.16</v>
      </c>
      <c r="T14" s="206">
        <v>-140</v>
      </c>
      <c r="U14" s="213">
        <f t="shared" si="1"/>
        <v>-69.84</v>
      </c>
      <c r="X14" s="211">
        <v>0</v>
      </c>
      <c r="Z14">
        <v>0</v>
      </c>
    </row>
    <row r="15" spans="1:26" s="198" customFormat="1" ht="15.75">
      <c r="A15" s="214" t="s">
        <v>313</v>
      </c>
      <c r="B15" s="197"/>
      <c r="C15" s="197"/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>
        <f t="shared" si="0"/>
        <v>0</v>
      </c>
      <c r="R15" s="197"/>
      <c r="S15" s="206">
        <v>70.16</v>
      </c>
      <c r="T15" s="206">
        <v>0</v>
      </c>
      <c r="U15" s="215">
        <f t="shared" si="1"/>
        <v>70.16</v>
      </c>
      <c r="X15" s="216">
        <v>0</v>
      </c>
      <c r="Z15" s="198">
        <v>0</v>
      </c>
    </row>
    <row r="16" spans="1:26" ht="15.75">
      <c r="A16" s="195" t="s">
        <v>314</v>
      </c>
      <c r="B16" s="193"/>
      <c r="C16" s="193"/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/>
      <c r="Q16" s="193">
        <f t="shared" si="0"/>
        <v>0</v>
      </c>
      <c r="R16" s="193"/>
      <c r="S16" s="206">
        <v>70.16</v>
      </c>
      <c r="T16" s="206">
        <v>0</v>
      </c>
      <c r="U16" s="213">
        <f t="shared" si="1"/>
        <v>70.16</v>
      </c>
      <c r="X16" s="211">
        <v>0</v>
      </c>
      <c r="Z16">
        <v>0</v>
      </c>
    </row>
    <row r="17" spans="1:26" ht="15.75">
      <c r="A17" s="195" t="s">
        <v>315</v>
      </c>
      <c r="B17" s="193"/>
      <c r="C17" s="193"/>
      <c r="D17" s="193"/>
      <c r="E17" s="193"/>
      <c r="F17" s="193"/>
      <c r="G17" s="193"/>
      <c r="H17" s="193"/>
      <c r="I17" s="193"/>
      <c r="J17" s="193"/>
      <c r="K17" s="193"/>
      <c r="L17" s="193"/>
      <c r="M17" s="193"/>
      <c r="N17" s="193"/>
      <c r="O17" s="193"/>
      <c r="P17" s="193"/>
      <c r="Q17" s="193">
        <f t="shared" si="0"/>
        <v>0</v>
      </c>
      <c r="R17" s="193"/>
      <c r="S17" s="206">
        <v>70.16</v>
      </c>
      <c r="T17" s="206">
        <v>0</v>
      </c>
      <c r="U17" s="213">
        <f t="shared" si="1"/>
        <v>70.16</v>
      </c>
      <c r="X17" s="211">
        <v>0</v>
      </c>
      <c r="Z17">
        <v>0</v>
      </c>
    </row>
    <row r="18" spans="1:26" ht="15.75">
      <c r="A18" s="195" t="s">
        <v>316</v>
      </c>
      <c r="B18" s="193"/>
      <c r="C18" s="193"/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>
        <f t="shared" si="0"/>
        <v>0</v>
      </c>
      <c r="R18" s="193"/>
      <c r="S18" s="206">
        <v>70.16</v>
      </c>
      <c r="T18" s="206">
        <v>0</v>
      </c>
      <c r="U18" s="213">
        <f t="shared" si="1"/>
        <v>70.16</v>
      </c>
      <c r="X18" s="211">
        <v>0</v>
      </c>
      <c r="Z18">
        <v>0</v>
      </c>
    </row>
    <row r="19" spans="1:26" ht="15.75">
      <c r="A19" s="214" t="s">
        <v>317</v>
      </c>
      <c r="B19" s="197"/>
      <c r="C19" s="197"/>
      <c r="D19" s="197"/>
      <c r="E19" s="197"/>
      <c r="F19" s="197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>
        <f t="shared" si="0"/>
        <v>0</v>
      </c>
      <c r="R19" s="197"/>
      <c r="S19" s="206">
        <v>70.16</v>
      </c>
      <c r="T19" s="206">
        <v>0</v>
      </c>
      <c r="U19" s="215">
        <f t="shared" si="1"/>
        <v>70.16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193">
        <f>SUM(B20:P20)</f>
        <v>0</v>
      </c>
      <c r="R20" s="193"/>
      <c r="S20" s="206">
        <v>70.16</v>
      </c>
      <c r="T20" s="206">
        <v>0</v>
      </c>
      <c r="U20" s="213">
        <f t="shared" si="1"/>
        <v>70.16</v>
      </c>
      <c r="X20" s="211">
        <v>50</v>
      </c>
      <c r="Z20">
        <v>30</v>
      </c>
    </row>
    <row r="21" spans="1:26" ht="15.75">
      <c r="A21" s="195" t="s">
        <v>319</v>
      </c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193">
        <f t="shared" si="0"/>
        <v>0</v>
      </c>
      <c r="R21" s="193"/>
      <c r="S21" s="206">
        <v>70.16</v>
      </c>
      <c r="T21" s="206">
        <v>0</v>
      </c>
      <c r="U21" s="213">
        <f t="shared" si="1"/>
        <v>70.16</v>
      </c>
      <c r="X21" s="211">
        <v>50</v>
      </c>
      <c r="Z21">
        <v>30</v>
      </c>
    </row>
    <row r="22" spans="1:26" ht="15.75">
      <c r="A22" s="195" t="s">
        <v>320</v>
      </c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>
        <f t="shared" si="0"/>
        <v>0</v>
      </c>
      <c r="R22" s="193"/>
      <c r="S22" s="206">
        <v>70.16</v>
      </c>
      <c r="T22" s="206">
        <v>0</v>
      </c>
      <c r="U22" s="213">
        <f t="shared" si="1"/>
        <v>70.16</v>
      </c>
      <c r="X22" s="211">
        <v>50</v>
      </c>
      <c r="Z22">
        <v>32</v>
      </c>
    </row>
    <row r="23" spans="1:26" ht="15.75">
      <c r="A23" s="195" t="s">
        <v>321</v>
      </c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193">
        <f t="shared" si="0"/>
        <v>0</v>
      </c>
      <c r="R23" s="193"/>
      <c r="S23" s="206">
        <v>70.16</v>
      </c>
      <c r="T23" s="206">
        <v>0</v>
      </c>
      <c r="U23" s="213">
        <f>SUM(Q23:T23)</f>
        <v>70.16</v>
      </c>
      <c r="X23" s="211">
        <v>50</v>
      </c>
      <c r="Z23">
        <v>33</v>
      </c>
    </row>
    <row r="24" spans="1:26" ht="15.75">
      <c r="A24" s="195" t="s">
        <v>322</v>
      </c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193">
        <f t="shared" si="0"/>
        <v>0</v>
      </c>
      <c r="R24" s="193"/>
      <c r="S24" s="206">
        <v>70.16</v>
      </c>
      <c r="T24" s="206">
        <v>0</v>
      </c>
      <c r="U24" s="213">
        <f t="shared" si="1"/>
        <v>70.16</v>
      </c>
      <c r="X24" s="211">
        <v>50</v>
      </c>
      <c r="Z24">
        <v>35</v>
      </c>
    </row>
    <row r="25" spans="1:26" ht="15.75">
      <c r="A25" s="195" t="s">
        <v>323</v>
      </c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193">
        <f t="shared" si="0"/>
        <v>0</v>
      </c>
      <c r="R25" s="193"/>
      <c r="S25" s="206">
        <v>70.16</v>
      </c>
      <c r="T25" s="206">
        <v>0</v>
      </c>
      <c r="U25" s="213">
        <f t="shared" si="1"/>
        <v>70.16</v>
      </c>
      <c r="X25" s="211">
        <v>50</v>
      </c>
      <c r="Z25">
        <v>35</v>
      </c>
    </row>
    <row r="26" spans="1:26" ht="15.75">
      <c r="A26" s="195" t="s">
        <v>324</v>
      </c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193">
        <f t="shared" si="0"/>
        <v>0</v>
      </c>
      <c r="R26" s="193"/>
      <c r="S26" s="206">
        <v>70.16</v>
      </c>
      <c r="T26" s="206">
        <v>0</v>
      </c>
      <c r="U26" s="213">
        <f t="shared" si="1"/>
        <v>70.16</v>
      </c>
      <c r="X26" s="211">
        <v>50</v>
      </c>
      <c r="Z26">
        <v>35</v>
      </c>
    </row>
    <row r="27" spans="1:26" ht="15.75">
      <c r="A27" s="195" t="s">
        <v>325</v>
      </c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>
        <f t="shared" si="0"/>
        <v>0</v>
      </c>
      <c r="R27" s="193"/>
      <c r="S27" s="206">
        <v>70.16</v>
      </c>
      <c r="T27" s="206">
        <v>0</v>
      </c>
      <c r="U27" s="213">
        <f t="shared" si="1"/>
        <v>70.16</v>
      </c>
      <c r="X27" s="211">
        <v>50</v>
      </c>
      <c r="Z27">
        <v>35</v>
      </c>
    </row>
    <row r="28" spans="1:26" ht="15.75">
      <c r="A28" s="195" t="s">
        <v>326</v>
      </c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N28" s="193"/>
      <c r="O28" s="193"/>
      <c r="P28" s="193"/>
      <c r="Q28" s="193">
        <f t="shared" si="0"/>
        <v>0</v>
      </c>
      <c r="R28" s="193"/>
      <c r="S28" s="206">
        <v>70.16</v>
      </c>
      <c r="T28" s="206">
        <v>0</v>
      </c>
      <c r="U28" s="213">
        <f t="shared" si="1"/>
        <v>70.16</v>
      </c>
      <c r="X28" s="211">
        <v>50</v>
      </c>
      <c r="Z28">
        <v>35</v>
      </c>
    </row>
    <row r="29" spans="1:26" ht="15.75">
      <c r="A29" s="195" t="s">
        <v>327</v>
      </c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N29" s="193"/>
      <c r="O29" s="193"/>
      <c r="P29" s="193"/>
      <c r="Q29" s="193">
        <f t="shared" si="0"/>
        <v>0</v>
      </c>
      <c r="R29" s="193"/>
      <c r="S29" s="206">
        <v>70.16</v>
      </c>
      <c r="T29" s="206">
        <v>0</v>
      </c>
      <c r="U29" s="213">
        <f t="shared" si="1"/>
        <v>70.16</v>
      </c>
      <c r="X29" s="211">
        <v>50</v>
      </c>
      <c r="Z29">
        <v>35</v>
      </c>
    </row>
    <row r="30" spans="1:26" ht="15.75">
      <c r="A30" s="195" t="s">
        <v>328</v>
      </c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>
        <f t="shared" si="0"/>
        <v>0</v>
      </c>
      <c r="R30" s="193"/>
      <c r="S30" s="206">
        <v>70.16</v>
      </c>
      <c r="T30" s="206">
        <v>0</v>
      </c>
      <c r="U30" s="213">
        <f t="shared" si="1"/>
        <v>70.16</v>
      </c>
      <c r="X30" s="211">
        <v>50</v>
      </c>
      <c r="Z30">
        <v>35</v>
      </c>
    </row>
    <row r="31" spans="1:26" ht="15.75">
      <c r="A31" s="195" t="s">
        <v>329</v>
      </c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>
        <f t="shared" si="0"/>
        <v>0</v>
      </c>
      <c r="R31" s="193"/>
      <c r="S31" s="206">
        <v>70.16</v>
      </c>
      <c r="T31" s="206">
        <v>0</v>
      </c>
      <c r="U31" s="213">
        <f t="shared" si="1"/>
        <v>70.16</v>
      </c>
      <c r="X31" s="211">
        <v>50</v>
      </c>
      <c r="Z31">
        <v>40</v>
      </c>
    </row>
    <row r="32" spans="1:26" ht="15.75">
      <c r="A32" s="195" t="s">
        <v>330</v>
      </c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N32" s="193"/>
      <c r="O32" s="193"/>
      <c r="P32" s="193"/>
      <c r="Q32" s="193">
        <f t="shared" si="0"/>
        <v>0</v>
      </c>
      <c r="R32" s="193"/>
      <c r="S32" s="206">
        <v>70.16</v>
      </c>
      <c r="T32" s="206">
        <v>0</v>
      </c>
      <c r="U32" s="213">
        <f t="shared" si="1"/>
        <v>70.16</v>
      </c>
      <c r="X32" s="211">
        <v>50</v>
      </c>
      <c r="Z32">
        <v>40</v>
      </c>
    </row>
    <row r="33" spans="1:26" ht="15.75">
      <c r="A33" s="195" t="s">
        <v>331</v>
      </c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>
        <f t="shared" si="0"/>
        <v>0</v>
      </c>
      <c r="R33" s="193"/>
      <c r="S33" s="206">
        <v>70.16</v>
      </c>
      <c r="T33" s="206">
        <v>0</v>
      </c>
      <c r="U33" s="213">
        <f t="shared" si="1"/>
        <v>70.16</v>
      </c>
      <c r="X33" s="211">
        <v>50</v>
      </c>
      <c r="Z33">
        <v>40</v>
      </c>
    </row>
    <row r="34" spans="1:26" ht="15.75">
      <c r="A34" s="195" t="s">
        <v>332</v>
      </c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>
        <f t="shared" si="0"/>
        <v>0</v>
      </c>
      <c r="R34" s="193"/>
      <c r="S34" s="206">
        <v>70.16</v>
      </c>
      <c r="T34" s="206">
        <v>0</v>
      </c>
      <c r="U34" s="213">
        <f t="shared" si="1"/>
        <v>70.16</v>
      </c>
      <c r="X34" s="211">
        <v>50</v>
      </c>
      <c r="Z34">
        <v>40</v>
      </c>
    </row>
    <row r="35" spans="1:26" ht="15.75">
      <c r="A35" s="195" t="s">
        <v>333</v>
      </c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>
        <f t="shared" si="0"/>
        <v>0</v>
      </c>
      <c r="R35" s="193"/>
      <c r="S35" s="206">
        <v>70.16</v>
      </c>
      <c r="T35" s="206">
        <v>0</v>
      </c>
      <c r="U35" s="213">
        <f t="shared" si="1"/>
        <v>70.16</v>
      </c>
      <c r="X35" s="211">
        <v>50</v>
      </c>
      <c r="Z35">
        <v>40</v>
      </c>
    </row>
    <row r="36" spans="1:26" ht="15.75">
      <c r="A36" s="195" t="s">
        <v>334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>
        <f t="shared" si="0"/>
        <v>0</v>
      </c>
      <c r="R36" s="193"/>
      <c r="S36" s="206">
        <v>70.16</v>
      </c>
      <c r="T36" s="206">
        <v>0</v>
      </c>
      <c r="U36" s="213">
        <f t="shared" si="1"/>
        <v>70.16</v>
      </c>
      <c r="X36" s="211">
        <v>50</v>
      </c>
      <c r="Z36">
        <v>40</v>
      </c>
    </row>
    <row r="37" spans="1:26" ht="15.75">
      <c r="A37" s="195" t="s">
        <v>335</v>
      </c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193">
        <f t="shared" si="0"/>
        <v>0</v>
      </c>
      <c r="R37" s="193"/>
      <c r="S37" s="206">
        <v>70.16</v>
      </c>
      <c r="T37" s="206">
        <v>0</v>
      </c>
      <c r="U37" s="213">
        <f t="shared" si="1"/>
        <v>70.16</v>
      </c>
      <c r="X37" s="211">
        <v>50</v>
      </c>
      <c r="Z37">
        <v>40</v>
      </c>
    </row>
    <row r="38" spans="1:26" ht="15.75">
      <c r="A38" s="195" t="s">
        <v>336</v>
      </c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>
        <f t="shared" si="0"/>
        <v>0</v>
      </c>
      <c r="R38" s="193"/>
      <c r="S38" s="206">
        <v>70.16</v>
      </c>
      <c r="T38" s="206">
        <v>0</v>
      </c>
      <c r="U38" s="213">
        <f t="shared" si="1"/>
        <v>70.16</v>
      </c>
      <c r="X38" s="211">
        <v>50</v>
      </c>
      <c r="Z38">
        <v>45</v>
      </c>
    </row>
    <row r="39" spans="1:26" ht="15.75">
      <c r="A39" s="195" t="s">
        <v>337</v>
      </c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>
        <f t="shared" si="0"/>
        <v>0</v>
      </c>
      <c r="R39" s="193"/>
      <c r="S39" s="206">
        <v>70.16</v>
      </c>
      <c r="T39" s="206">
        <v>0</v>
      </c>
      <c r="U39" s="213">
        <f t="shared" si="1"/>
        <v>70.16</v>
      </c>
      <c r="X39" s="211">
        <v>50</v>
      </c>
      <c r="Z39">
        <v>45</v>
      </c>
    </row>
    <row r="40" spans="1:26" ht="15.75">
      <c r="A40" s="195" t="s">
        <v>338</v>
      </c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N40" s="193"/>
      <c r="O40" s="193"/>
      <c r="P40" s="193"/>
      <c r="Q40" s="193">
        <f t="shared" si="0"/>
        <v>0</v>
      </c>
      <c r="R40" s="193"/>
      <c r="S40" s="206">
        <v>70.16</v>
      </c>
      <c r="T40" s="206">
        <v>0</v>
      </c>
      <c r="U40" s="213">
        <f t="shared" si="1"/>
        <v>70.16</v>
      </c>
      <c r="X40" s="211">
        <v>50</v>
      </c>
      <c r="Z40">
        <v>45</v>
      </c>
    </row>
    <row r="41" spans="1:26" ht="15.75">
      <c r="A41" s="195" t="s">
        <v>339</v>
      </c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N41" s="193"/>
      <c r="O41" s="193"/>
      <c r="P41" s="193"/>
      <c r="Q41" s="193">
        <f t="shared" si="0"/>
        <v>0</v>
      </c>
      <c r="R41" s="193"/>
      <c r="S41" s="206">
        <v>70.16</v>
      </c>
      <c r="T41" s="206">
        <v>0</v>
      </c>
      <c r="U41" s="213">
        <f t="shared" si="1"/>
        <v>70.16</v>
      </c>
      <c r="X41" s="211">
        <v>50</v>
      </c>
      <c r="Z41">
        <v>45</v>
      </c>
    </row>
    <row r="42" spans="1:26" ht="15.75">
      <c r="A42" s="195" t="s">
        <v>340</v>
      </c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>
        <f t="shared" si="0"/>
        <v>0</v>
      </c>
      <c r="R42" s="193"/>
      <c r="S42" s="206">
        <v>70.16</v>
      </c>
      <c r="T42" s="206">
        <v>0</v>
      </c>
      <c r="U42" s="213">
        <f t="shared" si="1"/>
        <v>70.16</v>
      </c>
      <c r="X42" s="211">
        <v>50</v>
      </c>
      <c r="Z42">
        <v>45</v>
      </c>
    </row>
    <row r="43" spans="1:26" ht="15.75">
      <c r="A43" s="195" t="s">
        <v>341</v>
      </c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>
        <f t="shared" si="0"/>
        <v>0</v>
      </c>
      <c r="R43" s="193"/>
      <c r="S43" s="206">
        <v>70.16</v>
      </c>
      <c r="T43" s="206">
        <v>0</v>
      </c>
      <c r="U43" s="213">
        <f t="shared" si="1"/>
        <v>70.16</v>
      </c>
      <c r="X43" s="211">
        <v>50</v>
      </c>
      <c r="Z43">
        <v>45</v>
      </c>
    </row>
    <row r="44" spans="1:26" ht="15.75">
      <c r="A44" s="195" t="s">
        <v>342</v>
      </c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>
        <f t="shared" si="0"/>
        <v>0</v>
      </c>
      <c r="R44" s="193"/>
      <c r="S44" s="206">
        <v>70.16</v>
      </c>
      <c r="T44" s="206">
        <v>0</v>
      </c>
      <c r="U44" s="213">
        <f t="shared" si="1"/>
        <v>70.16</v>
      </c>
      <c r="X44" s="211">
        <v>50</v>
      </c>
      <c r="Z44">
        <v>45</v>
      </c>
    </row>
    <row r="45" spans="1:26" ht="15.75">
      <c r="A45" s="195" t="s">
        <v>343</v>
      </c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>
        <f t="shared" si="0"/>
        <v>0</v>
      </c>
      <c r="R45" s="193"/>
      <c r="S45" s="206">
        <v>70.16</v>
      </c>
      <c r="T45" s="206">
        <v>0</v>
      </c>
      <c r="U45" s="213">
        <f t="shared" si="1"/>
        <v>70.16</v>
      </c>
      <c r="X45" s="211">
        <v>50</v>
      </c>
      <c r="Z45">
        <v>45</v>
      </c>
    </row>
    <row r="46" spans="1:26" ht="15.75">
      <c r="A46" s="195" t="s">
        <v>344</v>
      </c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>
        <f t="shared" si="0"/>
        <v>0</v>
      </c>
      <c r="R46" s="193"/>
      <c r="S46" s="206">
        <v>70.16</v>
      </c>
      <c r="T46" s="206">
        <v>0</v>
      </c>
      <c r="U46" s="213">
        <f t="shared" si="1"/>
        <v>70.16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Sample</vt:lpstr>
      <vt:lpstr>Calc</vt:lpstr>
      <vt:lpstr>Sheet6</vt:lpstr>
      <vt:lpstr>Schedule@G4 dont delete</vt:lpstr>
      <vt:lpstr>Schedule@G4 dont delete (2)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2026-05-15T16:24:06Z</dcterms:modified>
</cp:coreProperties>
</file>