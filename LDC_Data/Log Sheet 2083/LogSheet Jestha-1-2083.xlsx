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B89" i="74"/>
  <c r="AI89" i="74"/>
  <c r="AH89" i="74"/>
  <c r="BW88" i="74"/>
  <c r="BT88" i="74"/>
  <c r="BO88" i="74"/>
  <c r="BL88" i="74"/>
  <c r="BG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H5" i="74"/>
  <c r="E5" i="74"/>
  <c r="AG4" i="74"/>
  <c r="K4" i="74"/>
  <c r="E4" i="74"/>
  <c r="H4" i="74" s="1"/>
  <c r="B4" i="74"/>
  <c r="AL13" i="74" s="1"/>
  <c r="AG2" i="74"/>
  <c r="AG6" i="74" s="1"/>
  <c r="J113" i="74" l="1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J116" i="74" l="1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<sst xmlns="http://schemas.openxmlformats.org/spreadsheetml/2006/main" count="1264" uniqueCount="416">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</sst>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5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74" sqref="J7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595.40000000000009</v>
      </c>
      <c r="H7" s="35">
        <f t="shared" si="1"/>
        <v>537.79999999999984</v>
      </c>
      <c r="I7" s="35">
        <f t="shared" si="1"/>
        <v>477.29999999999995</v>
      </c>
      <c r="J7" s="35">
        <f t="shared" si="1"/>
        <v>568.82999999999993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1085.4000000000001</v>
      </c>
      <c r="AS22" s="60">
        <f t="shared" si="16"/>
        <v>957.3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595.40000000000009</v>
      </c>
      <c r="AS25" s="60">
        <f t="shared" si="19"/>
        <v>477.29999999999995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F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200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4">SUM(G72:G77)</f>
        <v>452.2999999999999</v>
      </c>
      <c r="H78" s="70">
        <f t="shared" si="24"/>
        <v>400.89999999999992</v>
      </c>
      <c r="I78" s="70">
        <f t="shared" si="24"/>
        <v>350.89999999999992</v>
      </c>
      <c r="J78" s="70">
        <f t="shared" si="24"/>
        <v>440.89999999999992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-473.5</v>
      </c>
      <c r="BD79" s="81">
        <f t="shared" si="25"/>
        <v>-490</v>
      </c>
      <c r="BE79" s="82">
        <f>I97</f>
        <v>-480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58.5</v>
      </c>
      <c r="BD81" s="81">
        <f t="shared" si="25"/>
        <v>58.5</v>
      </c>
      <c r="BE81" s="82">
        <f>I99</f>
        <v>51.9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16.899999999999999</v>
      </c>
      <c r="BD82" s="81">
        <f t="shared" si="25"/>
        <v>18</v>
      </c>
      <c r="BE82" s="82">
        <f>I100</f>
        <v>14.5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-473.5</v>
      </c>
      <c r="BD86" s="82">
        <f t="shared" si="29"/>
        <v>-490</v>
      </c>
      <c r="BE86" s="82">
        <f t="shared" si="29"/>
        <v>-480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58.5</v>
      </c>
      <c r="BD88" s="82">
        <f t="shared" si="29"/>
        <v>58.5</v>
      </c>
      <c r="BE88" s="82">
        <f t="shared" si="29"/>
        <v>51.9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16.899999999999999</v>
      </c>
      <c r="BD89" s="82">
        <f t="shared" si="29"/>
        <v>18</v>
      </c>
      <c r="BE89" s="82">
        <f t="shared" si="29"/>
        <v>14.5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ref="F92" si="32">SUM(F79:F91)</f>
        <v>311.60000000000008</v>
      </c>
      <c r="G92" s="70">
        <f t="shared" si="30"/>
        <v>311.60000000000008</v>
      </c>
      <c r="H92" s="70">
        <f t="shared" si="30"/>
        <v>302.60000000000002</v>
      </c>
      <c r="I92" s="70">
        <f t="shared" si="30"/>
        <v>302.60000000000002</v>
      </c>
      <c r="J92" s="70">
        <f t="shared" si="30"/>
        <v>302.60000000000002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5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3">B93+B94+B95</f>
        <v>68</v>
      </c>
      <c r="C96" s="70">
        <f t="shared" si="33"/>
        <v>68</v>
      </c>
      <c r="D96" s="70">
        <f t="shared" si="33"/>
        <v>68</v>
      </c>
      <c r="E96" s="70">
        <f t="shared" si="33"/>
        <v>51</v>
      </c>
      <c r="F96" s="70">
        <f t="shared" si="33"/>
        <v>35</v>
      </c>
      <c r="G96" s="70">
        <f t="shared" si="33"/>
        <v>35</v>
      </c>
      <c r="H96" s="70">
        <f t="shared" si="33"/>
        <v>35</v>
      </c>
      <c r="I96" s="70">
        <f t="shared" si="33"/>
        <v>35</v>
      </c>
      <c r="J96" s="70">
        <f t="shared" si="33"/>
        <v>35</v>
      </c>
      <c r="K96" s="70">
        <f t="shared" si="33"/>
        <v>0</v>
      </c>
      <c r="L96" s="70">
        <f t="shared" si="33"/>
        <v>0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51.23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18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4">SUMIF(B97:B107,"&gt;0")</f>
        <v>97.5</v>
      </c>
      <c r="C108" s="70">
        <f t="shared" si="34"/>
        <v>80</v>
      </c>
      <c r="D108" s="70">
        <f t="shared" si="34"/>
        <v>80.180000000000007</v>
      </c>
      <c r="E108" s="70">
        <f t="shared" si="34"/>
        <v>84.4</v>
      </c>
      <c r="F108" s="70">
        <f t="shared" si="34"/>
        <v>99.2</v>
      </c>
      <c r="G108" s="70">
        <f t="shared" si="34"/>
        <v>136.5</v>
      </c>
      <c r="H108" s="70">
        <f t="shared" si="34"/>
        <v>124.3</v>
      </c>
      <c r="I108" s="70">
        <f t="shared" si="34"/>
        <v>118.80000000000001</v>
      </c>
      <c r="J108" s="70">
        <f t="shared" si="34"/>
        <v>116.32999999999998</v>
      </c>
      <c r="K108" s="70">
        <f t="shared" si="34"/>
        <v>0</v>
      </c>
      <c r="L108" s="70">
        <f t="shared" si="34"/>
        <v>0</v>
      </c>
      <c r="M108" s="70">
        <f t="shared" si="34"/>
        <v>0</v>
      </c>
      <c r="N108" s="70">
        <f t="shared" si="34"/>
        <v>0</v>
      </c>
      <c r="O108" s="70">
        <f t="shared" si="34"/>
        <v>0</v>
      </c>
      <c r="P108" s="70">
        <f t="shared" si="34"/>
        <v>0</v>
      </c>
      <c r="Q108" s="70">
        <f t="shared" si="34"/>
        <v>0</v>
      </c>
      <c r="R108" s="70">
        <f t="shared" si="34"/>
        <v>0</v>
      </c>
      <c r="S108" s="70">
        <f t="shared" si="34"/>
        <v>0</v>
      </c>
      <c r="T108" s="70">
        <f t="shared" si="34"/>
        <v>0</v>
      </c>
      <c r="U108" s="70">
        <f t="shared" si="34"/>
        <v>0</v>
      </c>
      <c r="V108" s="70">
        <f t="shared" si="34"/>
        <v>0</v>
      </c>
      <c r="W108" s="70">
        <f t="shared" si="34"/>
        <v>0</v>
      </c>
      <c r="X108" s="70">
        <f t="shared" si="34"/>
        <v>0</v>
      </c>
      <c r="Y108" s="70">
        <f t="shared" si="34"/>
        <v>0</v>
      </c>
      <c r="Z108" s="70">
        <f t="shared" si="34"/>
        <v>0</v>
      </c>
      <c r="AA108" s="70">
        <f t="shared" si="34"/>
        <v>0</v>
      </c>
      <c r="AB108" s="70">
        <f t="shared" si="34"/>
        <v>0</v>
      </c>
      <c r="AC108" s="70">
        <f t="shared" si="34"/>
        <v>0</v>
      </c>
      <c r="AD108" s="70">
        <f t="shared" si="34"/>
        <v>0</v>
      </c>
      <c r="AE108" s="70">
        <f t="shared" si="34"/>
        <v>0</v>
      </c>
      <c r="AF108" s="70">
        <f t="shared" si="34"/>
        <v>0</v>
      </c>
      <c r="AG108" s="104">
        <f>SUM(AG97:AG107)</f>
        <v>0</v>
      </c>
      <c r="AH108" s="46">
        <f t="shared" si="22"/>
        <v>136.5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5">B71+B78+B96+B92+B108+B112</f>
        <v>1908.13</v>
      </c>
      <c r="C113" s="108">
        <f t="shared" si="35"/>
        <v>1843.63</v>
      </c>
      <c r="D113" s="108">
        <f t="shared" si="35"/>
        <v>1923.1100000000001</v>
      </c>
      <c r="E113" s="108">
        <f t="shared" si="35"/>
        <v>1839.6000000000001</v>
      </c>
      <c r="F113" s="108">
        <f t="shared" si="35"/>
        <v>1868.3</v>
      </c>
      <c r="G113" s="108">
        <f t="shared" si="35"/>
        <v>1085.4000000000001</v>
      </c>
      <c r="H113" s="108">
        <f t="shared" si="35"/>
        <v>1012.7999999999998</v>
      </c>
      <c r="I113" s="108">
        <f t="shared" si="35"/>
        <v>957.3</v>
      </c>
      <c r="J113" s="108">
        <f t="shared" si="35"/>
        <v>1044.83</v>
      </c>
      <c r="K113" s="108">
        <f t="shared" si="35"/>
        <v>152</v>
      </c>
      <c r="L113" s="108">
        <f t="shared" si="35"/>
        <v>152</v>
      </c>
      <c r="M113" s="108">
        <f t="shared" si="35"/>
        <v>152</v>
      </c>
      <c r="N113" s="108">
        <f t="shared" si="35"/>
        <v>152</v>
      </c>
      <c r="O113" s="108">
        <f t="shared" si="35"/>
        <v>152</v>
      </c>
      <c r="P113" s="108">
        <f t="shared" si="35"/>
        <v>152</v>
      </c>
      <c r="Q113" s="108">
        <f t="shared" si="35"/>
        <v>152</v>
      </c>
      <c r="R113" s="108">
        <f t="shared" si="35"/>
        <v>152</v>
      </c>
      <c r="S113" s="108">
        <f t="shared" si="35"/>
        <v>152</v>
      </c>
      <c r="T113" s="108">
        <f t="shared" si="35"/>
        <v>152</v>
      </c>
      <c r="U113" s="108">
        <f t="shared" si="35"/>
        <v>152</v>
      </c>
      <c r="V113" s="108">
        <f t="shared" si="35"/>
        <v>152</v>
      </c>
      <c r="W113" s="108">
        <f t="shared" si="35"/>
        <v>152</v>
      </c>
      <c r="X113" s="108">
        <f t="shared" si="35"/>
        <v>152</v>
      </c>
      <c r="Y113" s="108">
        <f t="shared" si="35"/>
        <v>152</v>
      </c>
      <c r="Z113" s="108">
        <f t="shared" si="35"/>
        <v>152</v>
      </c>
      <c r="AA113" s="108">
        <f t="shared" si="35"/>
        <v>152</v>
      </c>
      <c r="AB113" s="108">
        <f t="shared" si="35"/>
        <v>152</v>
      </c>
      <c r="AC113" s="108">
        <f t="shared" si="35"/>
        <v>152</v>
      </c>
      <c r="AD113" s="108">
        <f t="shared" si="35"/>
        <v>152</v>
      </c>
      <c r="AE113" s="108">
        <f t="shared" si="35"/>
        <v>152</v>
      </c>
      <c r="AF113" s="108">
        <f t="shared" si="35"/>
        <v>152</v>
      </c>
      <c r="AG113" s="80">
        <f t="shared" si="35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6">C113+C114</f>
        <v>1843.63</v>
      </c>
      <c r="D115" s="108">
        <f t="shared" si="36"/>
        <v>1923.1100000000001</v>
      </c>
      <c r="E115" s="108">
        <f t="shared" si="36"/>
        <v>1839.6000000000001</v>
      </c>
      <c r="F115" s="108">
        <f t="shared" si="36"/>
        <v>1868.3</v>
      </c>
      <c r="G115" s="108">
        <f t="shared" si="36"/>
        <v>1085.4000000000001</v>
      </c>
      <c r="H115" s="108">
        <f t="shared" si="36"/>
        <v>1012.7999999999998</v>
      </c>
      <c r="I115" s="108">
        <f t="shared" si="36"/>
        <v>957.3</v>
      </c>
      <c r="J115" s="108">
        <f t="shared" si="36"/>
        <v>1044.83</v>
      </c>
      <c r="K115" s="108">
        <f t="shared" si="36"/>
        <v>152</v>
      </c>
      <c r="L115" s="108">
        <f t="shared" si="36"/>
        <v>152</v>
      </c>
      <c r="M115" s="108">
        <f t="shared" si="36"/>
        <v>152</v>
      </c>
      <c r="N115" s="108">
        <f t="shared" si="36"/>
        <v>152</v>
      </c>
      <c r="O115" s="108">
        <f t="shared" si="36"/>
        <v>152</v>
      </c>
      <c r="P115" s="108">
        <f t="shared" si="36"/>
        <v>152</v>
      </c>
      <c r="Q115" s="108">
        <f t="shared" si="36"/>
        <v>152</v>
      </c>
      <c r="R115" s="108">
        <f t="shared" si="36"/>
        <v>152</v>
      </c>
      <c r="S115" s="108">
        <f t="shared" si="36"/>
        <v>152</v>
      </c>
      <c r="T115" s="108">
        <f t="shared" si="36"/>
        <v>152</v>
      </c>
      <c r="U115" s="108">
        <f t="shared" si="36"/>
        <v>152</v>
      </c>
      <c r="V115" s="108">
        <f t="shared" si="36"/>
        <v>152</v>
      </c>
      <c r="W115" s="108">
        <f t="shared" si="36"/>
        <v>152</v>
      </c>
      <c r="X115" s="108">
        <f t="shared" si="36"/>
        <v>152</v>
      </c>
      <c r="Y115" s="108">
        <f t="shared" si="36"/>
        <v>152</v>
      </c>
      <c r="Z115" s="108">
        <f t="shared" si="36"/>
        <v>152</v>
      </c>
      <c r="AA115" s="108">
        <f t="shared" si="36"/>
        <v>152</v>
      </c>
      <c r="AB115" s="108">
        <f t="shared" si="36"/>
        <v>152</v>
      </c>
      <c r="AC115" s="108">
        <f t="shared" si="36"/>
        <v>152</v>
      </c>
      <c r="AD115" s="108">
        <f t="shared" si="36"/>
        <v>152</v>
      </c>
      <c r="AE115" s="108">
        <f t="shared" si="36"/>
        <v>152</v>
      </c>
      <c r="AF115" s="108">
        <f t="shared" si="36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7">C115-(C123)</f>
        <v>1395.63</v>
      </c>
      <c r="D116" s="108">
        <f t="shared" si="37"/>
        <v>1393.0100000000002</v>
      </c>
      <c r="E116" s="108">
        <f t="shared" si="37"/>
        <v>1393.7000000000003</v>
      </c>
      <c r="F116" s="108">
        <f t="shared" si="37"/>
        <v>1394.8</v>
      </c>
      <c r="G116" s="108">
        <f t="shared" si="37"/>
        <v>595.40000000000009</v>
      </c>
      <c r="H116" s="108">
        <f t="shared" si="37"/>
        <v>537.79999999999984</v>
      </c>
      <c r="I116" s="108">
        <f t="shared" si="37"/>
        <v>477.29999999999995</v>
      </c>
      <c r="J116" s="108">
        <f t="shared" si="37"/>
        <v>568.82999999999993</v>
      </c>
      <c r="K116" s="108">
        <f t="shared" si="37"/>
        <v>152</v>
      </c>
      <c r="L116" s="108">
        <f t="shared" si="37"/>
        <v>152</v>
      </c>
      <c r="M116" s="108">
        <f t="shared" si="37"/>
        <v>152</v>
      </c>
      <c r="N116" s="108">
        <f t="shared" si="37"/>
        <v>152</v>
      </c>
      <c r="O116" s="108">
        <f t="shared" si="37"/>
        <v>152</v>
      </c>
      <c r="P116" s="108">
        <f t="shared" si="37"/>
        <v>152</v>
      </c>
      <c r="Q116" s="108">
        <f t="shared" si="37"/>
        <v>152</v>
      </c>
      <c r="R116" s="108">
        <f t="shared" si="37"/>
        <v>152</v>
      </c>
      <c r="S116" s="108">
        <f t="shared" si="37"/>
        <v>152</v>
      </c>
      <c r="T116" s="108">
        <f t="shared" si="37"/>
        <v>152</v>
      </c>
      <c r="U116" s="108">
        <f t="shared" si="37"/>
        <v>152</v>
      </c>
      <c r="V116" s="108">
        <f t="shared" si="37"/>
        <v>152</v>
      </c>
      <c r="W116" s="108">
        <f t="shared" si="37"/>
        <v>152</v>
      </c>
      <c r="X116" s="108">
        <f t="shared" si="37"/>
        <v>152</v>
      </c>
      <c r="Y116" s="108">
        <f t="shared" si="37"/>
        <v>152</v>
      </c>
      <c r="Z116" s="108">
        <f t="shared" si="37"/>
        <v>152</v>
      </c>
      <c r="AA116" s="108">
        <f t="shared" si="37"/>
        <v>152</v>
      </c>
      <c r="AB116" s="108">
        <f t="shared" si="37"/>
        <v>152</v>
      </c>
      <c r="AC116" s="108">
        <f t="shared" si="37"/>
        <v>152</v>
      </c>
      <c r="AD116" s="108">
        <f t="shared" si="37"/>
        <v>152</v>
      </c>
      <c r="AE116" s="108">
        <f t="shared" si="37"/>
        <v>152</v>
      </c>
      <c r="AF116" s="108">
        <f t="shared" si="37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8">IF(B97&lt;0,B97*-1,0)</f>
        <v>410</v>
      </c>
      <c r="C117" s="93">
        <f t="shared" si="38"/>
        <v>448</v>
      </c>
      <c r="D117" s="93">
        <f t="shared" si="38"/>
        <v>530.1</v>
      </c>
      <c r="E117" s="93">
        <f t="shared" si="38"/>
        <v>445.9</v>
      </c>
      <c r="F117" s="93">
        <f t="shared" si="38"/>
        <v>473.5</v>
      </c>
      <c r="G117" s="93">
        <f t="shared" si="38"/>
        <v>490</v>
      </c>
      <c r="H117" s="93">
        <f t="shared" si="38"/>
        <v>475</v>
      </c>
      <c r="I117" s="93">
        <f t="shared" si="38"/>
        <v>480</v>
      </c>
      <c r="J117" s="93">
        <f t="shared" si="38"/>
        <v>476</v>
      </c>
      <c r="K117" s="93">
        <f t="shared" si="38"/>
        <v>0</v>
      </c>
      <c r="L117" s="93">
        <f t="shared" si="38"/>
        <v>0</v>
      </c>
      <c r="M117" s="93">
        <f t="shared" si="38"/>
        <v>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si="38"/>
        <v>0</v>
      </c>
      <c r="AC117" s="93">
        <f t="shared" si="38"/>
        <v>0</v>
      </c>
      <c r="AD117" s="93">
        <f t="shared" si="38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8"/>
        <v>0</v>
      </c>
      <c r="C118" s="93">
        <f t="shared" si="38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8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8"/>
        <v>0</v>
      </c>
      <c r="C119" s="93">
        <f t="shared" si="38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8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8"/>
        <v>0</v>
      </c>
      <c r="C120" s="93">
        <f t="shared" si="38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8"/>
        <v>0</v>
      </c>
      <c r="AC120" s="93">
        <f t="shared" si="38"/>
        <v>0</v>
      </c>
      <c r="AD120" s="93">
        <f t="shared" si="38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8"/>
        <v>0</v>
      </c>
      <c r="C121" s="93">
        <f t="shared" si="38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8"/>
        <v>0</v>
      </c>
      <c r="AC121" s="93">
        <f t="shared" si="38"/>
        <v>0</v>
      </c>
      <c r="AD121" s="93">
        <f t="shared" si="38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8"/>
        <v>0</v>
      </c>
      <c r="C122" s="93">
        <f t="shared" si="38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8"/>
        <v>0</v>
      </c>
      <c r="AC122" s="93">
        <f t="shared" si="38"/>
        <v>0</v>
      </c>
      <c r="AD122" s="93">
        <f t="shared" si="38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9">SUM(B117:B122)</f>
        <v>410</v>
      </c>
      <c r="C123" s="70">
        <f t="shared" si="39"/>
        <v>448</v>
      </c>
      <c r="D123" s="70">
        <f t="shared" si="39"/>
        <v>530.1</v>
      </c>
      <c r="E123" s="70">
        <f t="shared" si="39"/>
        <v>445.9</v>
      </c>
      <c r="F123" s="70">
        <f t="shared" si="39"/>
        <v>473.5</v>
      </c>
      <c r="G123" s="70">
        <f t="shared" si="39"/>
        <v>490</v>
      </c>
      <c r="H123" s="70">
        <f t="shared" si="39"/>
        <v>475</v>
      </c>
      <c r="I123" s="70">
        <f t="shared" si="39"/>
        <v>480</v>
      </c>
      <c r="J123" s="70">
        <f t="shared" si="39"/>
        <v>476</v>
      </c>
      <c r="K123" s="70">
        <f t="shared" si="39"/>
        <v>0</v>
      </c>
      <c r="L123" s="70">
        <f t="shared" si="39"/>
        <v>0</v>
      </c>
      <c r="M123" s="70">
        <f t="shared" si="39"/>
        <v>0</v>
      </c>
      <c r="N123" s="70">
        <f t="shared" si="39"/>
        <v>0</v>
      </c>
      <c r="O123" s="70">
        <f t="shared" si="39"/>
        <v>0</v>
      </c>
      <c r="P123" s="70">
        <f t="shared" si="39"/>
        <v>0</v>
      </c>
      <c r="Q123" s="70">
        <f t="shared" si="39"/>
        <v>0</v>
      </c>
      <c r="R123" s="70">
        <f t="shared" si="39"/>
        <v>0</v>
      </c>
      <c r="S123" s="70">
        <f t="shared" si="39"/>
        <v>0</v>
      </c>
      <c r="T123" s="70">
        <f t="shared" si="39"/>
        <v>0</v>
      </c>
      <c r="U123" s="70">
        <f t="shared" si="39"/>
        <v>0</v>
      </c>
      <c r="V123" s="70">
        <f t="shared" si="39"/>
        <v>0</v>
      </c>
      <c r="W123" s="70">
        <f t="shared" si="39"/>
        <v>0</v>
      </c>
      <c r="X123" s="70">
        <f t="shared" si="39"/>
        <v>0</v>
      </c>
      <c r="Y123" s="70">
        <f t="shared" si="39"/>
        <v>0</v>
      </c>
      <c r="Z123" s="70">
        <f t="shared" si="39"/>
        <v>0</v>
      </c>
      <c r="AA123" s="70">
        <f t="shared" si="39"/>
        <v>0</v>
      </c>
      <c r="AB123" s="70">
        <f t="shared" si="39"/>
        <v>0</v>
      </c>
      <c r="AC123" s="70">
        <f t="shared" si="39"/>
        <v>0</v>
      </c>
      <c r="AD123" s="70">
        <f t="shared" si="39"/>
        <v>0</v>
      </c>
      <c r="AE123" s="70">
        <f t="shared" si="39"/>
        <v>0</v>
      </c>
      <c r="AF123" s="70">
        <f t="shared" si="39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40">B108-B123</f>
        <v>-312.5</v>
      </c>
      <c r="C124" s="70">
        <f t="shared" si="40"/>
        <v>-368</v>
      </c>
      <c r="D124" s="70">
        <f t="shared" si="40"/>
        <v>-449.92</v>
      </c>
      <c r="E124" s="70">
        <f t="shared" si="40"/>
        <v>-361.5</v>
      </c>
      <c r="F124" s="70">
        <f t="shared" si="40"/>
        <v>-374.3</v>
      </c>
      <c r="G124" s="70">
        <f t="shared" si="40"/>
        <v>-353.5</v>
      </c>
      <c r="H124" s="70">
        <f t="shared" si="40"/>
        <v>-350.7</v>
      </c>
      <c r="I124" s="70">
        <f t="shared" si="40"/>
        <v>-361.2</v>
      </c>
      <c r="J124" s="70">
        <f t="shared" si="40"/>
        <v>-359.67</v>
      </c>
      <c r="K124" s="70">
        <f t="shared" si="40"/>
        <v>0</v>
      </c>
      <c r="L124" s="70">
        <f t="shared" si="40"/>
        <v>0</v>
      </c>
      <c r="M124" s="70">
        <f t="shared" si="40"/>
        <v>0</v>
      </c>
      <c r="N124" s="70">
        <f t="shared" si="40"/>
        <v>0</v>
      </c>
      <c r="O124" s="70">
        <f t="shared" si="40"/>
        <v>0</v>
      </c>
      <c r="P124" s="70">
        <f t="shared" si="40"/>
        <v>0</v>
      </c>
      <c r="Q124" s="70">
        <f t="shared" si="40"/>
        <v>0</v>
      </c>
      <c r="R124" s="70">
        <f t="shared" si="40"/>
        <v>0</v>
      </c>
      <c r="S124" s="70">
        <f t="shared" si="40"/>
        <v>0</v>
      </c>
      <c r="T124" s="70">
        <f t="shared" si="40"/>
        <v>0</v>
      </c>
      <c r="U124" s="70">
        <f t="shared" si="40"/>
        <v>0</v>
      </c>
      <c r="V124" s="70">
        <f t="shared" si="40"/>
        <v>0</v>
      </c>
      <c r="W124" s="70">
        <f t="shared" si="40"/>
        <v>0</v>
      </c>
      <c r="X124" s="70">
        <f t="shared" si="40"/>
        <v>0</v>
      </c>
      <c r="Y124" s="70">
        <f t="shared" si="40"/>
        <v>0</v>
      </c>
      <c r="Z124" s="70">
        <f t="shared" si="40"/>
        <v>0</v>
      </c>
      <c r="AA124" s="70">
        <f t="shared" si="40"/>
        <v>0</v>
      </c>
      <c r="AB124" s="70">
        <f t="shared" si="40"/>
        <v>0</v>
      </c>
      <c r="AC124" s="70">
        <f t="shared" si="40"/>
        <v>0</v>
      </c>
      <c r="AD124" s="70">
        <f t="shared" si="40"/>
        <v>0</v>
      </c>
      <c r="AE124" s="70">
        <f t="shared" si="40"/>
        <v>0</v>
      </c>
      <c r="AF124" s="70">
        <f t="shared" si="40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132.9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137.69999999999999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134.9</v>
      </c>
      <c r="AI131" s="47">
        <f t="shared" si="23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133.30000000000001</v>
      </c>
      <c r="AI132" s="47">
        <f t="shared" si="23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1">SUM(C26,C32,C45:C46,C82,C84:C85,C87,C89,C137:C142,C177,C183,C189,C198,C200,C212,C219,C222:C223,C230,C232,C234,C238:C240,C242:C244,C249,C255:C256,C258:C260,C161,C166)</f>
        <v>129.13999999999999</v>
      </c>
      <c r="D135" s="114">
        <f t="shared" si="41"/>
        <v>135.94</v>
      </c>
      <c r="E135" s="114">
        <f t="shared" ref="E135" si="42">SUM(E26,E32,E45:E46,E82,E84:E85,E87,E89,E137:E142,E177,E183,E189,E198,E200,E212,E219,E222:E223,E230,E232,E234,E238:E240,E242:E244,E249,E255:E256,E258:E260,E161,E166)</f>
        <v>104.94</v>
      </c>
      <c r="F135" s="114">
        <f t="shared" si="41"/>
        <v>104.94</v>
      </c>
      <c r="G135" s="114">
        <f t="shared" si="41"/>
        <v>86.24</v>
      </c>
      <c r="H135" s="114">
        <f t="shared" si="41"/>
        <v>112.14000000000003</v>
      </c>
      <c r="I135" s="114">
        <f t="shared" si="41"/>
        <v>107.69999999999999</v>
      </c>
      <c r="J135" s="114">
        <f t="shared" si="41"/>
        <v>143.04</v>
      </c>
      <c r="K135" s="114">
        <f t="shared" si="41"/>
        <v>0.94</v>
      </c>
      <c r="L135" s="114">
        <f t="shared" si="41"/>
        <v>0.94</v>
      </c>
      <c r="M135" s="114">
        <f t="shared" si="41"/>
        <v>0.94</v>
      </c>
      <c r="N135" s="114">
        <f t="shared" si="41"/>
        <v>0.94</v>
      </c>
      <c r="O135" s="114">
        <f t="shared" si="41"/>
        <v>0.94</v>
      </c>
      <c r="P135" s="114">
        <v>42</v>
      </c>
      <c r="Q135" s="114">
        <f t="shared" ref="Q135:X135" si="43">SUM(Q26,Q32,Q45:Q46,Q82,Q84:Q85,Q87,Q89,Q137:Q142,Q177,Q183,Q189,Q198,Q200,Q212,Q219,Q222:Q223,Q230,Q232,Q234,Q238:Q240,Q242:Q244,Q249,Q255:Q256,Q258:Q260,Q161,Q166)</f>
        <v>0.94</v>
      </c>
      <c r="R135" s="114">
        <f t="shared" si="43"/>
        <v>0.94</v>
      </c>
      <c r="S135" s="114">
        <f t="shared" si="43"/>
        <v>0.94</v>
      </c>
      <c r="T135" s="114">
        <f t="shared" si="43"/>
        <v>0.94</v>
      </c>
      <c r="U135" s="114">
        <f t="shared" si="43"/>
        <v>0.94</v>
      </c>
      <c r="V135" s="114">
        <f t="shared" si="43"/>
        <v>0.94</v>
      </c>
      <c r="W135" s="114">
        <f t="shared" si="43"/>
        <v>0.94</v>
      </c>
      <c r="X135" s="114">
        <f t="shared" si="4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4"/>
        <v>0.94</v>
      </c>
      <c r="AC135" s="114">
        <f t="shared" si="44"/>
        <v>0.94</v>
      </c>
      <c r="AD135" s="114">
        <f t="shared" si="44"/>
        <v>0.94</v>
      </c>
      <c r="AE135" s="114">
        <f t="shared" si="44"/>
        <v>0.94</v>
      </c>
      <c r="AF135" s="114">
        <f t="shared" si="44"/>
        <v>0.94</v>
      </c>
      <c r="AG135" s="127"/>
      <c r="AH135" s="46">
        <f t="shared" si="22"/>
        <v>143.04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65.3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19.399999999999999</v>
      </c>
      <c r="AI138" s="47">
        <f t="shared" si="23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70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1.3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-48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22.1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5">MAX(B146:AF146)</f>
        <v>-219</v>
      </c>
      <c r="AI146" s="47">
        <f t="shared" ref="AI146:AI158" si="46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5"/>
        <v>92</v>
      </c>
      <c r="AI147" s="47">
        <f t="shared" si="46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5"/>
        <v>11</v>
      </c>
      <c r="AI148" s="47">
        <f t="shared" si="46"/>
        <v>-16.8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5"/>
        <v>210</v>
      </c>
      <c r="AI149" s="47">
        <f t="shared" si="46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5"/>
        <v>31.6</v>
      </c>
      <c r="AI150" s="47">
        <f t="shared" si="46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5"/>
        <v>13.9</v>
      </c>
      <c r="AI151" s="47">
        <f t="shared" si="46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5"/>
        <v>0</v>
      </c>
      <c r="AI152" s="47">
        <f t="shared" si="4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5"/>
        <v>1986.35</v>
      </c>
      <c r="AI153" s="47">
        <f t="shared" si="46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5"/>
        <v>523.75</v>
      </c>
      <c r="AI154" s="47">
        <f t="shared" si="46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5"/>
        <v>623.66999999999996</v>
      </c>
      <c r="AI155" s="47">
        <f t="shared" si="46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5"/>
        <v>336.87</v>
      </c>
      <c r="AI156" s="47">
        <f t="shared" si="46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5"/>
        <v>882.2</v>
      </c>
      <c r="AI157" s="47">
        <f t="shared" si="46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5"/>
        <v>0</v>
      </c>
      <c r="AI158" s="47">
        <f t="shared" si="4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G11:AA13 AB12:AF13 K85:AF90 B9:AF10 C117:AF125 B113:B115 C109:AF115 B108:AF108 B117:B124 C152:AF152 C154:AF159 K72:L72 B153:AF153 B96:AF96 K76:AF77 C134:D134 D126:D133 D137:AF151 E126:AF134 B78:F78 C97:AF107 E93:AF95">
    <cfRule type="expression" dxfId="244" priority="178">
      <formula>B$9&gt;=20/24</formula>
    </cfRule>
  </conditionalFormatting>
  <conditionalFormatting sqref="B9:AF10 G11:AA13 AB12:AF13 K85:AF90 C117:AF125 B113:B115 C109:AF115 B108:AF108 B117:B124 C152:AF152 C154:AF159 K72:L72 B153:AF153 B96:AF96 K76:AF77 C134:D134 D126:D133 D137:AF151 E126:AF134 B78:F78 C97:AF107 E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G14:AF53">
    <cfRule type="expression" dxfId="240" priority="121">
      <formula>G14&gt;$AG14*1</formula>
    </cfRule>
    <cfRule type="expression" dxfId="239" priority="122">
      <formula>G$9&gt;=20/24</formula>
    </cfRule>
    <cfRule type="expression" dxfId="238" priority="123">
      <formula>AND(G$9&gt;=14/24,G$9&lt;20/24)</formula>
    </cfRule>
    <cfRule type="expression" dxfId="237" priority="124">
      <formula>AND(G$9&gt;=8/24,G$9&lt;14/24)</formula>
    </cfRule>
    <cfRule type="expression" dxfId="236" priority="125">
      <formula>G$9&lt;8/24</formula>
    </cfRule>
  </conditionalFormatting>
  <conditionalFormatting sqref="G54:AF68">
    <cfRule type="expression" dxfId="235" priority="114">
      <formula>G$9&lt;8/24</formula>
    </cfRule>
  </conditionalFormatting>
  <conditionalFormatting sqref="G54:AF70">
    <cfRule type="expression" dxfId="234" priority="111">
      <formula>G$9&gt;=20/24</formula>
    </cfRule>
    <cfRule type="expression" dxfId="233" priority="112">
      <formula>AND(G$9&gt;=14/24,G$9&lt;20/24)</formula>
    </cfRule>
    <cfRule type="expression" dxfId="232" priority="113">
      <formula>AND(G$9&gt;=8/24,G$9&lt;14/24)</formula>
    </cfRule>
  </conditionalFormatting>
  <conditionalFormatting sqref="G63:AF65">
    <cfRule type="expression" dxfId="231" priority="115">
      <formula>G63&gt;$AG63</formula>
    </cfRule>
  </conditionalFormatting>
  <conditionalFormatting sqref="G69:AF70">
    <cfRule type="expression" dxfId="230" priority="186">
      <formula>G$9&lt;8/24</formula>
    </cfRule>
  </conditionalFormatting>
  <conditionalFormatting sqref="K72:AF75">
    <cfRule type="expression" dxfId="229" priority="102">
      <formula>K72&gt;$AG72*1</formula>
    </cfRule>
  </conditionalFormatting>
  <conditionalFormatting sqref="K73:AF75">
    <cfRule type="expression" dxfId="228" priority="103">
      <formula>K$9&gt;=20/24</formula>
    </cfRule>
    <cfRule type="expression" dxfId="227" priority="104">
      <formula>AND(K$9&gt;=14/24,K$9&lt;20/24)</formula>
    </cfRule>
    <cfRule type="expression" dxfId="226" priority="105">
      <formula>AND(K$9&gt;=8/24,K$9&lt;14/24)</formula>
    </cfRule>
    <cfRule type="expression" dxfId="225" priority="106">
      <formula>K$9&lt;8/24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G11:AA13 AB12:AF13 K79:AC90 G69:AA69 K76:AF77 B96:AG96 B91:D92 B71:AG71 B78:AG78 E91:AF95">
    <cfRule type="expression" dxfId="216" priority="177">
      <formula>B11&gt;$AG11*1</formula>
    </cfRule>
  </conditionalFormatting>
  <conditionalFormatting sqref="K83:O83">
    <cfRule type="expression" dxfId="215" priority="187">
      <formula>K$9&gt;=20/24</formula>
    </cfRule>
    <cfRule type="expression" dxfId="214" priority="188">
      <formula>AND(K$9&gt;=14/24,K$9&lt;20/24)</formula>
    </cfRule>
    <cfRule type="expression" dxfId="213" priority="189">
      <formula>AND(K$9&gt;=8/24,K$9&lt;14/24)</formula>
    </cfRule>
    <cfRule type="expression" dxfId="212" priority="190">
      <formula>K$9&lt;8/24</formula>
    </cfRule>
  </conditionalFormatting>
  <conditionalFormatting sqref="K84:O84">
    <cfRule type="expression" dxfId="211" priority="182">
      <formula>K$9&gt;=20/24</formula>
    </cfRule>
    <cfRule type="expression" dxfId="210" priority="183">
      <formula>AND(K$9&gt;=14/24,K$9&lt;20/24)</formula>
    </cfRule>
    <cfRule type="expression" dxfId="209" priority="184">
      <formula>AND(K$9&gt;=8/24,K$9&lt;14/24)</formula>
    </cfRule>
    <cfRule type="expression" dxfId="208" priority="185">
      <formula>K$9&lt;8/24</formula>
    </cfRule>
  </conditionalFormatting>
  <conditionalFormatting sqref="G78:AF78 K72:AF72 K76:AF77">
    <cfRule type="expression" dxfId="207" priority="197">
      <formula>G$9&gt;=20/24</formula>
    </cfRule>
    <cfRule type="expression" dxfId="206" priority="198">
      <formula>AND(G$9&gt;=14/24,G$9&lt;20/24)</formula>
    </cfRule>
    <cfRule type="expression" dxfId="205" priority="199">
      <formula>AND(G$9&gt;=8/24,G$9&lt;14/24)</formula>
    </cfRule>
    <cfRule type="expression" dxfId="204" priority="200">
      <formula>G$9&lt;8/24</formula>
    </cfRule>
  </conditionalFormatting>
  <conditionalFormatting sqref="K73:AF75">
    <cfRule type="expression" dxfId="203" priority="107">
      <formula>K$9&gt;=20/24</formula>
    </cfRule>
    <cfRule type="expression" dxfId="202" priority="108">
      <formula>AND(K$9&gt;=14/24,K$9&lt;20/24)</formula>
    </cfRule>
    <cfRule type="expression" dxfId="201" priority="109">
      <formula>AND(K$9&gt;=8/24,K$9&lt;14/24)</formula>
    </cfRule>
    <cfRule type="expression" dxfId="200" priority="110">
      <formula>K$9&lt;8/24</formula>
    </cfRule>
  </conditionalFormatting>
  <conditionalFormatting sqref="K79:O81">
    <cfRule type="expression" dxfId="199" priority="205">
      <formula>K$9&gt;=20/24</formula>
    </cfRule>
    <cfRule type="expression" dxfId="198" priority="206">
      <formula>AND(K$9&gt;=14/24,K$9&lt;20/24)</formula>
    </cfRule>
    <cfRule type="expression" dxfId="197" priority="207">
      <formula>AND(K$9&gt;=8/24,K$9&lt;14/24)</formula>
    </cfRule>
    <cfRule type="expression" dxfId="196" priority="208">
      <formula>K$9&lt;8/24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G54:AF62 G66:Y70">
    <cfRule type="expression" dxfId="170" priority="191">
      <formula>G11&gt;$AG11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F13">
    <cfRule type="expression" dxfId="71" priority="69">
      <formula>B$9&gt;=20/24</formula>
    </cfRule>
  </conditionalFormatting>
  <conditionalFormatting sqref="B11:F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F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F13">
    <cfRule type="expression" dxfId="62" priority="68">
      <formula>B11&gt;$AG11*1</formula>
    </cfRule>
  </conditionalFormatting>
  <conditionalFormatting sqref="B17:F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F55">
    <cfRule type="expression" dxfId="56" priority="54">
      <formula>B$9&lt;8/24</formula>
    </cfRule>
  </conditionalFormatting>
  <conditionalFormatting sqref="B54:F55 B69:F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F70">
    <cfRule type="expression" dxfId="52" priority="61">
      <formula>B$9&lt;8/24</formula>
    </cfRule>
  </conditionalFormatting>
  <conditionalFormatting sqref="B69:F69">
    <cfRule type="expression" dxfId="51" priority="60">
      <formula>B69&gt;$AG69*1</formula>
    </cfRule>
  </conditionalFormatting>
  <conditionalFormatting sqref="B54:F55 B69:F70">
    <cfRule type="expression" dxfId="50" priority="62">
      <formula>B54&gt;$AG54</formula>
    </cfRule>
  </conditionalFormatting>
  <conditionalFormatting sqref="B56:F68">
    <cfRule type="expression" dxfId="49" priority="48">
      <formula>B$9&lt;8/24</formula>
    </cfRule>
  </conditionalFormatting>
  <conditionalFormatting sqref="B56:F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F65">
    <cfRule type="expression" dxfId="45" priority="49">
      <formula>B63&gt;$AG63</formula>
    </cfRule>
  </conditionalFormatting>
  <conditionalFormatting sqref="B66:F68 B56:F62">
    <cfRule type="expression" dxfId="44" priority="50">
      <formula>B56&gt;$AG56</formula>
    </cfRule>
  </conditionalFormatting>
  <conditionalFormatting sqref="B76:J77">
    <cfRule type="expression" dxfId="43" priority="37">
      <formula>B$9&gt;=20/24</formula>
    </cfRule>
  </conditionalFormatting>
  <conditionalFormatting sqref="B76:J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J75">
    <cfRule type="expression" dxfId="39" priority="31">
      <formula>B72&gt;$AG72*1</formula>
    </cfRule>
  </conditionalFormatting>
  <conditionalFormatting sqref="B73:J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J77">
    <cfRule type="expression" dxfId="34" priority="36">
      <formula>B76&gt;$AG76*1</formula>
    </cfRule>
  </conditionalFormatting>
  <conditionalFormatting sqref="B72:J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J90">
    <cfRule type="expression" dxfId="29" priority="19">
      <formula>B$9&gt;=20/24</formula>
    </cfRule>
  </conditionalFormatting>
  <conditionalFormatting sqref="B85:J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J90">
    <cfRule type="expression" dxfId="25" priority="18">
      <formula>B79&gt;$AG79*1</formula>
    </cfRule>
  </conditionalFormatting>
  <conditionalFormatting sqref="B84:J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J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J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0" activePane="bottomLeft" state="frozen"/>
      <selection activeCell="AO100" sqref="AO100"/>
      <selection pane="bottomLeft" activeCell="G41" sqref="G41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2026-05-16T00:49:54Z</dcterms:modified>
</cp:coreProperties>
</file>