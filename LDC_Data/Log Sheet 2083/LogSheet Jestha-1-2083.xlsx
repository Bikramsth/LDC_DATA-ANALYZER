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1"/>
  </bookViews>
  <sheets>
    <sheet name="01" sheetId="72" r:id="rId1"/>
    <sheet name="02" sheetId="74" r:id="rId2"/>
    <sheet name="Sample" sheetId="1" r:id="rId3"/>
    <sheet name="Calc" sheetId="3" r:id="rId4"/>
    <sheet name="Sheet6" sheetId="36" r:id="rId5"/>
    <sheet name="Schedule@G4 dont delete " sheetId="73" r:id="rId6"/>
    <sheet name="Schedule 2026.5.11 BG" sheetId="67" state="hidden" r:id="rId7"/>
    <sheet name="Schedule 2026.5.11" sheetId="64" state="hidden" r:id="rId8"/>
  </sheets>
  <definedNames>
    <definedName name="a" localSheetId="0">#REF!</definedName>
    <definedName name="a" localSheetId="1">#REF!</definedName>
    <definedName name="a" localSheetId="2">#REF!</definedName>
    <definedName name="a" localSheetId="7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7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7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7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7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7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7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7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U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U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U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U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U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AD216" i="74"/>
  <c r="AE216" i="74" s="1"/>
  <c r="AF216" i="74" s="1"/>
  <c r="T216" i="74"/>
  <c r="U216" i="74" s="1"/>
  <c r="V216" i="74" s="1"/>
  <c r="W216" i="74" s="1"/>
  <c r="X216" i="74" s="1"/>
  <c r="Y216" i="74" s="1"/>
  <c r="Z216" i="74" s="1"/>
  <c r="AA216" i="74" s="1"/>
  <c r="AB216" i="74" s="1"/>
  <c r="AC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AA215" i="74"/>
  <c r="AB215" i="74" s="1"/>
  <c r="AC215" i="74" s="1"/>
  <c r="AD215" i="74" s="1"/>
  <c r="AE215" i="74" s="1"/>
  <c r="AF215" i="74" s="1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U215" i="74" s="1"/>
  <c r="V215" i="74" s="1"/>
  <c r="W215" i="74" s="1"/>
  <c r="X215" i="74" s="1"/>
  <c r="Y215" i="74" s="1"/>
  <c r="Z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U214" i="74" s="1"/>
  <c r="V214" i="74" s="1"/>
  <c r="W214" i="74" s="1"/>
  <c r="X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X213" i="74"/>
  <c r="Y213" i="74" s="1"/>
  <c r="Z213" i="74" s="1"/>
  <c r="AA213" i="74" s="1"/>
  <c r="AB213" i="74" s="1"/>
  <c r="AC213" i="74" s="1"/>
  <c r="AD213" i="74" s="1"/>
  <c r="AE213" i="74" s="1"/>
  <c r="AF213" i="74" s="1"/>
  <c r="O213" i="74"/>
  <c r="P213" i="74" s="1"/>
  <c r="Q213" i="74" s="1"/>
  <c r="R213" i="74" s="1"/>
  <c r="S213" i="74" s="1"/>
  <c r="T213" i="74" s="1"/>
  <c r="U213" i="74" s="1"/>
  <c r="V213" i="74" s="1"/>
  <c r="W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U212" i="74" s="1"/>
  <c r="V212" i="74" s="1"/>
  <c r="W212" i="74" s="1"/>
  <c r="X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U211" i="74" s="1"/>
  <c r="V211" i="74" s="1"/>
  <c r="W211" i="74" s="1"/>
  <c r="X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U210" i="74" s="1"/>
  <c r="V210" i="74" s="1"/>
  <c r="W210" i="74" s="1"/>
  <c r="X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T209" i="74" s="1"/>
  <c r="U209" i="74" s="1"/>
  <c r="V209" i="74" s="1"/>
  <c r="W209" i="74" s="1"/>
  <c r="X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T208" i="74" s="1"/>
  <c r="U208" i="74" s="1"/>
  <c r="V208" i="74" s="1"/>
  <c r="W208" i="74" s="1"/>
  <c r="X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T207" i="74" s="1"/>
  <c r="U207" i="74" s="1"/>
  <c r="V207" i="74" s="1"/>
  <c r="W207" i="74" s="1"/>
  <c r="X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T206" i="74" s="1"/>
  <c r="U206" i="74" s="1"/>
  <c r="V206" i="74" s="1"/>
  <c r="W206" i="74" s="1"/>
  <c r="X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T205" i="74" s="1"/>
  <c r="U205" i="74" s="1"/>
  <c r="V205" i="74" s="1"/>
  <c r="W205" i="74" s="1"/>
  <c r="X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T204" i="74" s="1"/>
  <c r="U204" i="74" s="1"/>
  <c r="V204" i="74" s="1"/>
  <c r="W204" i="74" s="1"/>
  <c r="X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T203" i="74" s="1"/>
  <c r="U203" i="74" s="1"/>
  <c r="V203" i="74" s="1"/>
  <c r="W203" i="74" s="1"/>
  <c r="X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T202" i="74" s="1"/>
  <c r="U202" i="74" s="1"/>
  <c r="V202" i="74" s="1"/>
  <c r="W202" i="74" s="1"/>
  <c r="X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T201" i="74" s="1"/>
  <c r="U201" i="74" s="1"/>
  <c r="V201" i="74" s="1"/>
  <c r="W201" i="74" s="1"/>
  <c r="X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T200" i="74" s="1"/>
  <c r="U200" i="74" s="1"/>
  <c r="V200" i="74" s="1"/>
  <c r="W200" i="74" s="1"/>
  <c r="X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T199" i="74" s="1"/>
  <c r="U199" i="74" s="1"/>
  <c r="V199" i="74" s="1"/>
  <c r="W199" i="74" s="1"/>
  <c r="X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T198" i="74" s="1"/>
  <c r="U198" i="74" s="1"/>
  <c r="V198" i="74" s="1"/>
  <c r="W198" i="74" s="1"/>
  <c r="X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T197" i="74" s="1"/>
  <c r="U197" i="74" s="1"/>
  <c r="V197" i="74" s="1"/>
  <c r="W197" i="74" s="1"/>
  <c r="X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T196" i="74" s="1"/>
  <c r="U196" i="74" s="1"/>
  <c r="V196" i="74" s="1"/>
  <c r="W196" i="74" s="1"/>
  <c r="X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T195" i="74" s="1"/>
  <c r="U195" i="74" s="1"/>
  <c r="V195" i="74" s="1"/>
  <c r="W195" i="74" s="1"/>
  <c r="X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T194" i="74" s="1"/>
  <c r="U194" i="74" s="1"/>
  <c r="V194" i="74" s="1"/>
  <c r="W194" i="74" s="1"/>
  <c r="X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T193" i="74" s="1"/>
  <c r="U193" i="74" s="1"/>
  <c r="V193" i="74" s="1"/>
  <c r="W193" i="74" s="1"/>
  <c r="X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T192" i="74" s="1"/>
  <c r="U192" i="74" s="1"/>
  <c r="V192" i="74" s="1"/>
  <c r="W192" i="74" s="1"/>
  <c r="X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T191" i="74" s="1"/>
  <c r="U191" i="74" s="1"/>
  <c r="V191" i="74" s="1"/>
  <c r="W191" i="74" s="1"/>
  <c r="X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AA190" i="74"/>
  <c r="AB190" i="74" s="1"/>
  <c r="AC190" i="74" s="1"/>
  <c r="AD190" i="74" s="1"/>
  <c r="AE190" i="74" s="1"/>
  <c r="AF190" i="74" s="1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T190" i="74" s="1"/>
  <c r="U190" i="74" s="1"/>
  <c r="V190" i="74" s="1"/>
  <c r="W190" i="74" s="1"/>
  <c r="X190" i="74" s="1"/>
  <c r="Y190" i="74" s="1"/>
  <c r="Z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T188" i="74" s="1"/>
  <c r="U188" i="74" s="1"/>
  <c r="V188" i="74" s="1"/>
  <c r="W188" i="74" s="1"/>
  <c r="X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U187" i="74"/>
  <c r="V187" i="74" s="1"/>
  <c r="W187" i="74" s="1"/>
  <c r="X187" i="74" s="1"/>
  <c r="Y187" i="74" s="1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T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T186" i="74" s="1"/>
  <c r="U186" i="74" s="1"/>
  <c r="V186" i="74" s="1"/>
  <c r="W186" i="74" s="1"/>
  <c r="X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T185" i="74" s="1"/>
  <c r="U185" i="74" s="1"/>
  <c r="V185" i="74" s="1"/>
  <c r="W185" i="74" s="1"/>
  <c r="X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T184" i="74" s="1"/>
  <c r="U184" i="74" s="1"/>
  <c r="V184" i="74" s="1"/>
  <c r="W184" i="74" s="1"/>
  <c r="X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T183" i="74" s="1"/>
  <c r="U183" i="74" s="1"/>
  <c r="V183" i="74" s="1"/>
  <c r="W183" i="74" s="1"/>
  <c r="X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T182" i="74" s="1"/>
  <c r="U182" i="74" s="1"/>
  <c r="V182" i="74" s="1"/>
  <c r="W182" i="74" s="1"/>
  <c r="X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T181" i="74" s="1"/>
  <c r="U181" i="74" s="1"/>
  <c r="V181" i="74" s="1"/>
  <c r="W181" i="74" s="1"/>
  <c r="X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T180" i="74" s="1"/>
  <c r="U180" i="74" s="1"/>
  <c r="V180" i="74" s="1"/>
  <c r="W180" i="74" s="1"/>
  <c r="X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T179" i="74" s="1"/>
  <c r="U179" i="74" s="1"/>
  <c r="V179" i="74" s="1"/>
  <c r="W179" i="74" s="1"/>
  <c r="X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T178" i="74" s="1"/>
  <c r="U178" i="74" s="1"/>
  <c r="V178" i="74" s="1"/>
  <c r="W178" i="74" s="1"/>
  <c r="X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T176" i="74" s="1"/>
  <c r="U176" i="74" s="1"/>
  <c r="V176" i="74" s="1"/>
  <c r="W176" i="74" s="1"/>
  <c r="X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T175" i="74" s="1"/>
  <c r="U175" i="74" s="1"/>
  <c r="V175" i="74" s="1"/>
  <c r="W175" i="74" s="1"/>
  <c r="X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AB174" i="74"/>
  <c r="AC174" i="74" s="1"/>
  <c r="AD174" i="74" s="1"/>
  <c r="AE174" i="74" s="1"/>
  <c r="AF174" i="74" s="1"/>
  <c r="W174" i="74"/>
  <c r="X174" i="74" s="1"/>
  <c r="Y174" i="74" s="1"/>
  <c r="Z174" i="74" s="1"/>
  <c r="AA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T174" i="74" s="1"/>
  <c r="U174" i="74" s="1"/>
  <c r="V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T173" i="74" s="1"/>
  <c r="U173" i="74" s="1"/>
  <c r="V173" i="74" s="1"/>
  <c r="W173" i="74" s="1"/>
  <c r="X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T172" i="74" s="1"/>
  <c r="U172" i="74" s="1"/>
  <c r="V172" i="74" s="1"/>
  <c r="W172" i="74" s="1"/>
  <c r="X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T171" i="74" s="1"/>
  <c r="U171" i="74" s="1"/>
  <c r="V171" i="74" s="1"/>
  <c r="W171" i="74" s="1"/>
  <c r="X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T170" i="74" s="1"/>
  <c r="U170" i="74" s="1"/>
  <c r="V170" i="74" s="1"/>
  <c r="W170" i="74" s="1"/>
  <c r="X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T165" i="74" s="1"/>
  <c r="U165" i="74" s="1"/>
  <c r="V165" i="74" s="1"/>
  <c r="W165" i="74" s="1"/>
  <c r="X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T164" i="74" s="1"/>
  <c r="U164" i="74" s="1"/>
  <c r="V164" i="74" s="1"/>
  <c r="W164" i="74" s="1"/>
  <c r="X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T163" i="74" s="1"/>
  <c r="U163" i="74" s="1"/>
  <c r="V163" i="74" s="1"/>
  <c r="W163" i="74" s="1"/>
  <c r="X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T162" i="74" s="1"/>
  <c r="U162" i="74" s="1"/>
  <c r="V162" i="74" s="1"/>
  <c r="W162" i="74" s="1"/>
  <c r="X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Z124" i="74"/>
  <c r="AC123" i="74"/>
  <c r="M123" i="74"/>
  <c r="AU23" i="74" s="1"/>
  <c r="E123" i="74"/>
  <c r="AP23" i="74" s="1"/>
  <c r="AF122" i="74"/>
  <c r="AE122" i="74"/>
  <c r="AD122" i="74"/>
  <c r="AC122" i="74"/>
  <c r="AB122" i="74"/>
  <c r="AB123" i="74" s="1"/>
  <c r="BG23" i="74" s="1"/>
  <c r="AA122" i="74"/>
  <c r="Z122" i="74"/>
  <c r="Y122" i="74"/>
  <c r="X122" i="74"/>
  <c r="W122" i="74"/>
  <c r="V122" i="74"/>
  <c r="U122" i="74"/>
  <c r="T122" i="74"/>
  <c r="T123" i="74" s="1"/>
  <c r="S122" i="74"/>
  <c r="R122" i="74"/>
  <c r="Q122" i="74"/>
  <c r="P122" i="74"/>
  <c r="O122" i="74"/>
  <c r="N122" i="74"/>
  <c r="M122" i="74"/>
  <c r="L122" i="74"/>
  <c r="L123" i="74" s="1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AA121" i="74"/>
  <c r="Z121" i="74"/>
  <c r="Y121" i="74"/>
  <c r="X121" i="74"/>
  <c r="W121" i="74"/>
  <c r="V121" i="74"/>
  <c r="U121" i="74"/>
  <c r="U123" i="74" s="1"/>
  <c r="BC23" i="74" s="1"/>
  <c r="T121" i="74"/>
  <c r="S121" i="74"/>
  <c r="R121" i="74"/>
  <c r="Q121" i="74"/>
  <c r="P121" i="74"/>
  <c r="O121" i="74"/>
  <c r="N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AA120" i="74"/>
  <c r="Z120" i="74"/>
  <c r="Y120" i="74"/>
  <c r="X120" i="74"/>
  <c r="W120" i="74"/>
  <c r="V120" i="74"/>
  <c r="U120" i="74"/>
  <c r="T120" i="74"/>
  <c r="S120" i="74"/>
  <c r="R120" i="74"/>
  <c r="Q120" i="74"/>
  <c r="P120" i="74"/>
  <c r="O120" i="74"/>
  <c r="N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AA119" i="74"/>
  <c r="Z119" i="74"/>
  <c r="Y119" i="74"/>
  <c r="X119" i="74"/>
  <c r="W119" i="74"/>
  <c r="V119" i="74"/>
  <c r="U119" i="74"/>
  <c r="T119" i="74"/>
  <c r="S119" i="74"/>
  <c r="R119" i="74"/>
  <c r="Q119" i="74"/>
  <c r="P119" i="74"/>
  <c r="O119" i="74"/>
  <c r="N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AA118" i="74"/>
  <c r="Z118" i="74"/>
  <c r="Y118" i="74"/>
  <c r="X118" i="74"/>
  <c r="W118" i="74"/>
  <c r="V118" i="74"/>
  <c r="U118" i="74"/>
  <c r="T118" i="74"/>
  <c r="S118" i="74"/>
  <c r="R118" i="74"/>
  <c r="Q118" i="74"/>
  <c r="P118" i="74"/>
  <c r="O118" i="74"/>
  <c r="N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F123" i="74" s="1"/>
  <c r="BJ23" i="74" s="1"/>
  <c r="AE117" i="74"/>
  <c r="AD117" i="74"/>
  <c r="AC117" i="74"/>
  <c r="AB117" i="74"/>
  <c r="AA117" i="74"/>
  <c r="AA123" i="74" s="1"/>
  <c r="Z117" i="74"/>
  <c r="Z123" i="74" s="1"/>
  <c r="BF23" i="74" s="1"/>
  <c r="Y117" i="74"/>
  <c r="Y123" i="74" s="1"/>
  <c r="X117" i="74"/>
  <c r="X123" i="74" s="1"/>
  <c r="BE23" i="74" s="1"/>
  <c r="W117" i="74"/>
  <c r="V117" i="74"/>
  <c r="V123" i="74" s="1"/>
  <c r="BD23" i="74" s="1"/>
  <c r="U117" i="74"/>
  <c r="T117" i="74"/>
  <c r="S117" i="74"/>
  <c r="S123" i="74" s="1"/>
  <c r="BA23" i="74" s="1"/>
  <c r="R117" i="74"/>
  <c r="R123" i="74" s="1"/>
  <c r="R124" i="74" s="1"/>
  <c r="Q117" i="74"/>
  <c r="Q123" i="74" s="1"/>
  <c r="AY23" i="74" s="1"/>
  <c r="P117" i="74"/>
  <c r="P123" i="74" s="1"/>
  <c r="AX23" i="74" s="1"/>
  <c r="O117" i="74"/>
  <c r="N117" i="74"/>
  <c r="M117" i="74"/>
  <c r="L117" i="74"/>
  <c r="K117" i="74"/>
  <c r="K123" i="74" s="1"/>
  <c r="AT23" i="74" s="1"/>
  <c r="J117" i="74"/>
  <c r="J123" i="74" s="1"/>
  <c r="J124" i="74" s="1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108" i="74"/>
  <c r="AD108" i="74"/>
  <c r="AC108" i="74"/>
  <c r="AB108" i="74"/>
  <c r="AB124" i="74" s="1"/>
  <c r="AA108" i="74"/>
  <c r="Z108" i="74"/>
  <c r="Y108" i="74"/>
  <c r="X108" i="74"/>
  <c r="W108" i="74"/>
  <c r="V108" i="74"/>
  <c r="U108" i="74"/>
  <c r="T108" i="74"/>
  <c r="T124" i="74" s="1"/>
  <c r="S108" i="74"/>
  <c r="R108" i="74"/>
  <c r="Q108" i="74"/>
  <c r="P108" i="74"/>
  <c r="O108" i="74"/>
  <c r="N108" i="74"/>
  <c r="M108" i="74"/>
  <c r="L108" i="74"/>
  <c r="L124" i="74" s="1"/>
  <c r="K108" i="74"/>
  <c r="J108" i="74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AA96" i="74"/>
  <c r="Z96" i="74"/>
  <c r="Y96" i="74"/>
  <c r="X96" i="74"/>
  <c r="W96" i="74"/>
  <c r="V96" i="74"/>
  <c r="BD20" i="74" s="1"/>
  <c r="U96" i="74"/>
  <c r="BC20" i="74" s="1"/>
  <c r="T96" i="74"/>
  <c r="S96" i="74"/>
  <c r="R96" i="74"/>
  <c r="Q96" i="74"/>
  <c r="P96" i="74"/>
  <c r="O96" i="74"/>
  <c r="N96" i="74"/>
  <c r="AV20" i="74" s="1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F116" i="74" s="1"/>
  <c r="AF7" i="74" s="1"/>
  <c r="AE92" i="74"/>
  <c r="AD92" i="74"/>
  <c r="BH18" i="74" s="1"/>
  <c r="AC92" i="74"/>
  <c r="AB92" i="74"/>
  <c r="AA92" i="74"/>
  <c r="Z92" i="74"/>
  <c r="Y92" i="74"/>
  <c r="X92" i="74"/>
  <c r="BE18" i="74" s="1"/>
  <c r="W92" i="74"/>
  <c r="V92" i="74"/>
  <c r="U92" i="74"/>
  <c r="T92" i="74"/>
  <c r="S92" i="74"/>
  <c r="R92" i="74"/>
  <c r="AZ18" i="74" s="1"/>
  <c r="Q92" i="74"/>
  <c r="P92" i="74"/>
  <c r="P113" i="74" s="1"/>
  <c r="P115" i="74" s="1"/>
  <c r="P116" i="74" s="1"/>
  <c r="P7" i="74" s="1"/>
  <c r="O92" i="74"/>
  <c r="AW18" i="74" s="1"/>
  <c r="N92" i="74"/>
  <c r="M92" i="74"/>
  <c r="L92" i="74"/>
  <c r="K92" i="74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Q91" i="74"/>
  <c r="BP91" i="74"/>
  <c r="BN91" i="74"/>
  <c r="BM91" i="74"/>
  <c r="BI91" i="74"/>
  <c r="BH91" i="74"/>
  <c r="BF91" i="74"/>
  <c r="BD91" i="74"/>
  <c r="BA91" i="74"/>
  <c r="AZ91" i="74"/>
  <c r="AI91" i="74"/>
  <c r="AH91" i="74"/>
  <c r="AG91" i="74"/>
  <c r="AG92" i="74" s="1"/>
  <c r="AG3" i="74" s="1"/>
  <c r="BS90" i="74"/>
  <c r="BQ90" i="74"/>
  <c r="BP90" i="74"/>
  <c r="BO90" i="74"/>
  <c r="BK90" i="74"/>
  <c r="BH90" i="74"/>
  <c r="BC90" i="74"/>
  <c r="BA90" i="74"/>
  <c r="AZ90" i="74"/>
  <c r="AI90" i="74"/>
  <c r="AH90" i="74"/>
  <c r="BU89" i="74"/>
  <c r="BR89" i="74"/>
  <c r="BM89" i="74"/>
  <c r="BJ89" i="74"/>
  <c r="BB89" i="74"/>
  <c r="AI89" i="74"/>
  <c r="AH89" i="74"/>
  <c r="BW88" i="74"/>
  <c r="BT88" i="74"/>
  <c r="BO88" i="74"/>
  <c r="BL88" i="74"/>
  <c r="BG88" i="74"/>
  <c r="AI88" i="74"/>
  <c r="AH88" i="74"/>
  <c r="BW87" i="74"/>
  <c r="BV87" i="74"/>
  <c r="BU87" i="74"/>
  <c r="BQ87" i="74"/>
  <c r="BN87" i="74"/>
  <c r="BI87" i="74"/>
  <c r="BG87" i="74"/>
  <c r="BF87" i="74"/>
  <c r="BE87" i="74"/>
  <c r="AI87" i="74"/>
  <c r="AH87" i="74"/>
  <c r="BS86" i="74"/>
  <c r="BQ86" i="74"/>
  <c r="BP86" i="74"/>
  <c r="BO86" i="74"/>
  <c r="BK86" i="74"/>
  <c r="BH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P84" i="74"/>
  <c r="BO84" i="74"/>
  <c r="BO91" i="74" s="1"/>
  <c r="BN84" i="74"/>
  <c r="BM84" i="74"/>
  <c r="BL84" i="74"/>
  <c r="BL91" i="74" s="1"/>
  <c r="BK84" i="74"/>
  <c r="BK91" i="74" s="1"/>
  <c r="BJ84" i="74"/>
  <c r="BJ91" i="74" s="1"/>
  <c r="BI84" i="74"/>
  <c r="BH84" i="74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P83" i="74"/>
  <c r="BO83" i="74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S81" i="74"/>
  <c r="BS88" i="74" s="1"/>
  <c r="BR81" i="74"/>
  <c r="BR88" i="74" s="1"/>
  <c r="BQ81" i="74"/>
  <c r="BQ88" i="74" s="1"/>
  <c r="BP81" i="74"/>
  <c r="BP88" i="74" s="1"/>
  <c r="BO81" i="74"/>
  <c r="BN81" i="74"/>
  <c r="BN88" i="74" s="1"/>
  <c r="BM81" i="74"/>
  <c r="BM88" i="74" s="1"/>
  <c r="BL81" i="74"/>
  <c r="BK81" i="74"/>
  <c r="BK88" i="74" s="1"/>
  <c r="BJ81" i="74"/>
  <c r="BJ88" i="74" s="1"/>
  <c r="BI81" i="74"/>
  <c r="BI88" i="74" s="1"/>
  <c r="BH81" i="74"/>
  <c r="BH88" i="74" s="1"/>
  <c r="BG81" i="74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P80" i="74"/>
  <c r="BP87" i="74" s="1"/>
  <c r="BO80" i="74"/>
  <c r="BO87" i="74" s="1"/>
  <c r="BN80" i="74"/>
  <c r="BM80" i="74"/>
  <c r="BM87" i="74" s="1"/>
  <c r="BL80" i="74"/>
  <c r="BL87" i="74" s="1"/>
  <c r="BK80" i="74"/>
  <c r="BK87" i="74" s="1"/>
  <c r="BJ80" i="74"/>
  <c r="BJ87" i="74" s="1"/>
  <c r="BI80" i="74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P79" i="74"/>
  <c r="BO79" i="74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AA78" i="74"/>
  <c r="Z78" i="74"/>
  <c r="Y78" i="74"/>
  <c r="X78" i="74"/>
  <c r="W78" i="74"/>
  <c r="V78" i="74"/>
  <c r="U78" i="74"/>
  <c r="T78" i="74"/>
  <c r="BB17" i="74" s="1"/>
  <c r="BB22" i="74" s="1"/>
  <c r="BB25" i="74" s="1"/>
  <c r="S78" i="74"/>
  <c r="BA17" i="74" s="1"/>
  <c r="R78" i="74"/>
  <c r="Q78" i="74"/>
  <c r="P78" i="74"/>
  <c r="O78" i="74"/>
  <c r="N78" i="74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AE71" i="74"/>
  <c r="AD71" i="74"/>
  <c r="AC71" i="74"/>
  <c r="AB71" i="74"/>
  <c r="AA71" i="74"/>
  <c r="Z71" i="74"/>
  <c r="Z113" i="74" s="1"/>
  <c r="Z115" i="74" s="1"/>
  <c r="Z116" i="74" s="1"/>
  <c r="Z7" i="74" s="1"/>
  <c r="Y71" i="74"/>
  <c r="Y113" i="74" s="1"/>
  <c r="Y115" i="74" s="1"/>
  <c r="Y116" i="74" s="1"/>
  <c r="X71" i="74"/>
  <c r="W71" i="74"/>
  <c r="V71" i="74"/>
  <c r="U71" i="74"/>
  <c r="T71" i="74"/>
  <c r="S71" i="74"/>
  <c r="R71" i="74"/>
  <c r="AZ16" i="74" s="1"/>
  <c r="AZ22" i="74" s="1"/>
  <c r="AZ25" i="74" s="1"/>
  <c r="Q71" i="74"/>
  <c r="Q113" i="74" s="1"/>
  <c r="Q115" i="74" s="1"/>
  <c r="Q116" i="74" s="1"/>
  <c r="P71" i="74"/>
  <c r="O71" i="74"/>
  <c r="N71" i="74"/>
  <c r="M71" i="74"/>
  <c r="L71" i="74"/>
  <c r="K71" i="74"/>
  <c r="J71" i="74"/>
  <c r="J113" i="74" s="1"/>
  <c r="J115" i="74" s="1"/>
  <c r="J116" i="74" s="1"/>
  <c r="J7" i="74" s="1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BA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J22" i="74" s="1"/>
  <c r="BJ25" i="74" s="1"/>
  <c r="BI19" i="74"/>
  <c r="BH19" i="74"/>
  <c r="BG19" i="74"/>
  <c r="BF19" i="74"/>
  <c r="BE19" i="74"/>
  <c r="BD19" i="74"/>
  <c r="BB19" i="74"/>
  <c r="BA19" i="74"/>
  <c r="AZ19" i="74"/>
  <c r="AY19" i="74"/>
  <c r="AX19" i="74"/>
  <c r="AV19" i="74"/>
  <c r="AT19" i="74"/>
  <c r="AS19" i="74"/>
  <c r="AQ19" i="74"/>
  <c r="AI19" i="74"/>
  <c r="AH19" i="74"/>
  <c r="BJ18" i="74"/>
  <c r="BI18" i="74"/>
  <c r="BG18" i="74"/>
  <c r="BF18" i="74"/>
  <c r="BD18" i="74"/>
  <c r="BC18" i="74"/>
  <c r="BB18" i="74"/>
  <c r="BA18" i="74"/>
  <c r="AY18" i="74"/>
  <c r="AX18" i="74"/>
  <c r="AV18" i="74"/>
  <c r="AU18" i="74"/>
  <c r="AT18" i="74"/>
  <c r="AT22" i="74" s="1"/>
  <c r="AT25" i="74" s="1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J16" i="74"/>
  <c r="BI16" i="74"/>
  <c r="BH16" i="74"/>
  <c r="BG16" i="74"/>
  <c r="BG22" i="74" s="1"/>
  <c r="BG25" i="74" s="1"/>
  <c r="BF16" i="74"/>
  <c r="BF22" i="74" s="1"/>
  <c r="BF25" i="74" s="1"/>
  <c r="BE16" i="74"/>
  <c r="BB16" i="74"/>
  <c r="AX16" i="74"/>
  <c r="AX22" i="74" s="1"/>
  <c r="AX25" i="74" s="1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E5" i="74"/>
  <c r="AC5" i="74"/>
  <c r="AA5" i="74"/>
  <c r="Z5" i="74"/>
  <c r="Y5" i="74"/>
  <c r="X5" i="74"/>
  <c r="W5" i="74"/>
  <c r="V5" i="74"/>
  <c r="U5" i="74"/>
  <c r="S5" i="74"/>
  <c r="R5" i="74"/>
  <c r="Q5" i="74"/>
  <c r="P5" i="74"/>
  <c r="O5" i="74"/>
  <c r="N5" i="74"/>
  <c r="M5" i="74"/>
  <c r="K5" i="74"/>
  <c r="J5" i="74"/>
  <c r="I5" i="74"/>
  <c r="H5" i="74"/>
  <c r="E5" i="74"/>
  <c r="AG4" i="74"/>
  <c r="K4" i="74"/>
  <c r="E4" i="74"/>
  <c r="H4" i="74" s="1"/>
  <c r="B4" i="74"/>
  <c r="AL13" i="74" s="1"/>
  <c r="AG2" i="74"/>
  <c r="AG6" i="74" s="1"/>
  <c r="I123" i="74" l="1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Y135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U124" i="74"/>
  <c r="BC19" i="74"/>
  <c r="AB5" i="74"/>
  <c r="AC124" i="74"/>
  <c r="H116" i="74"/>
  <c r="H7" i="74" s="1"/>
  <c r="G123" i="74"/>
  <c r="AR23" i="74" s="1"/>
  <c r="AR25" i="74" s="1"/>
  <c r="O123" i="74"/>
  <c r="AW23" i="74" s="1"/>
  <c r="W1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T166" i="74" s="1"/>
  <c r="U166" i="74" s="1"/>
  <c r="V166" i="74" s="1"/>
  <c r="W166" i="74" s="1"/>
  <c r="X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113" i="74"/>
  <c r="AA115" i="74" s="1"/>
  <c r="AA116" i="74" s="1"/>
  <c r="AA7" i="74" s="1"/>
  <c r="AI71" i="74"/>
  <c r="O124" i="74"/>
  <c r="AW19" i="74"/>
  <c r="W124" i="74"/>
  <c r="AE124" i="74"/>
  <c r="AH117" i="74"/>
  <c r="AI121" i="74"/>
  <c r="AH122" i="74"/>
  <c r="R113" i="74"/>
  <c r="R115" i="74" s="1"/>
  <c r="R116" i="74" s="1"/>
  <c r="R7" i="74" s="1"/>
  <c r="AH118" i="74"/>
  <c r="AI120" i="74"/>
  <c r="D167" i="74"/>
  <c r="E161" i="74"/>
  <c r="C274" i="74"/>
  <c r="D169" i="74"/>
  <c r="I177" i="74"/>
  <c r="AH71" i="74"/>
  <c r="T113" i="74"/>
  <c r="T115" i="74" s="1"/>
  <c r="T116" i="74" s="1"/>
  <c r="T7" i="74" s="1"/>
  <c r="I124" i="74"/>
  <c r="Q124" i="74"/>
  <c r="Y124" i="74"/>
  <c r="AG115" i="74"/>
  <c r="X113" i="74"/>
  <c r="X115" i="74" s="1"/>
  <c r="X116" i="74" s="1"/>
  <c r="X7" i="74" s="1"/>
  <c r="P124" i="74"/>
  <c r="N123" i="74"/>
  <c r="AV23" i="74" s="1"/>
  <c r="AD123" i="74"/>
  <c r="BH23" i="74" s="1"/>
  <c r="AW22" i="74"/>
  <c r="AW25" i="74" s="1"/>
  <c r="V124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AU22" i="74" s="1"/>
  <c r="AU25" i="74" s="1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113" i="74"/>
  <c r="V115" i="74" s="1"/>
  <c r="V116" i="74" s="1"/>
  <c r="V7" i="74" s="1"/>
  <c r="AH92" i="74"/>
  <c r="AJ108" i="74" a="1"/>
  <c r="AJ108" i="74" s="1"/>
  <c r="F189" i="74"/>
  <c r="BH22" i="74"/>
  <c r="BH25" i="74" s="1"/>
  <c r="N124" i="74"/>
  <c r="AD124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BC22" i="74" s="1"/>
  <c r="BC25" i="74" s="1"/>
  <c r="U113" i="74"/>
  <c r="U115" i="74" s="1"/>
  <c r="U116" i="74" s="1"/>
  <c r="U7" i="74" s="1"/>
  <c r="BI22" i="74"/>
  <c r="BI25" i="74" s="1"/>
  <c r="N113" i="74"/>
  <c r="N115" i="74" s="1"/>
  <c r="AD113" i="74"/>
  <c r="AD115" i="74" s="1"/>
  <c r="AD5" i="74"/>
  <c r="AQ22" i="74"/>
  <c r="BE22" i="74"/>
  <c r="BE25" i="74" s="1"/>
  <c r="G113" i="74"/>
  <c r="G115" i="74" s="1"/>
  <c r="O113" i="74"/>
  <c r="O115" i="74" s="1"/>
  <c r="O116" i="74" s="1"/>
  <c r="O7" i="74" s="1"/>
  <c r="W113" i="74"/>
  <c r="W115" i="74" s="1"/>
  <c r="W116" i="74" s="1"/>
  <c r="W7" i="74" s="1"/>
  <c r="AE113" i="74"/>
  <c r="AE115" i="74" s="1"/>
  <c r="AI92" i="74"/>
  <c r="C124" i="74"/>
  <c r="K124" i="74"/>
  <c r="S124" i="74"/>
  <c r="AA124" i="74"/>
  <c r="X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G124" i="74" l="1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Z135" i="74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AI124" i="74"/>
  <c r="J177" i="74"/>
  <c r="AH123" i="74"/>
  <c r="AT8" i="74"/>
  <c r="G116" i="74"/>
  <c r="G7" i="74" s="1"/>
  <c r="AI113" i="74"/>
  <c r="AE116" i="74"/>
  <c r="AE7" i="74" s="1"/>
  <c r="N116" i="74"/>
  <c r="N7" i="74" s="1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Q98" i="73"/>
  <c r="U98" i="73" s="1"/>
  <c r="Q97" i="73"/>
  <c r="U97" i="73" s="1"/>
  <c r="Q96" i="73"/>
  <c r="U96" i="73" s="1"/>
  <c r="Q95" i="73"/>
  <c r="U95" i="73" s="1"/>
  <c r="Q94" i="73"/>
  <c r="U94" i="73" s="1"/>
  <c r="U93" i="73"/>
  <c r="Q93" i="73"/>
  <c r="U92" i="73"/>
  <c r="Q92" i="73"/>
  <c r="Q91" i="73"/>
  <c r="U91" i="73" s="1"/>
  <c r="Q90" i="73"/>
  <c r="U90" i="73" s="1"/>
  <c r="Q89" i="73"/>
  <c r="U89" i="73" s="1"/>
  <c r="Q88" i="73"/>
  <c r="U88" i="73" s="1"/>
  <c r="Q87" i="73"/>
  <c r="U87" i="73" s="1"/>
  <c r="Q86" i="73"/>
  <c r="U86" i="73" s="1"/>
  <c r="Q85" i="73"/>
  <c r="U85" i="73" s="1"/>
  <c r="U84" i="73"/>
  <c r="Q84" i="73"/>
  <c r="Q83" i="73"/>
  <c r="U83" i="73" s="1"/>
  <c r="Q82" i="73"/>
  <c r="U82" i="73" s="1"/>
  <c r="Q81" i="73"/>
  <c r="U81" i="73" s="1"/>
  <c r="Q80" i="73"/>
  <c r="U80" i="73" s="1"/>
  <c r="Q79" i="73"/>
  <c r="U79" i="73" s="1"/>
  <c r="U78" i="73"/>
  <c r="Q78" i="73"/>
  <c r="Q77" i="73"/>
  <c r="U77" i="73" s="1"/>
  <c r="Q76" i="73"/>
  <c r="U76" i="73" s="1"/>
  <c r="Q75" i="73"/>
  <c r="U75" i="73" s="1"/>
  <c r="Q74" i="73"/>
  <c r="U74" i="73" s="1"/>
  <c r="Q73" i="73"/>
  <c r="U73" i="73" s="1"/>
  <c r="Q72" i="73"/>
  <c r="U72" i="73" s="1"/>
  <c r="Q71" i="73"/>
  <c r="U71" i="73" s="1"/>
  <c r="U70" i="73"/>
  <c r="Q70" i="73"/>
  <c r="U69" i="73"/>
  <c r="Q69" i="73"/>
  <c r="Q68" i="73"/>
  <c r="U68" i="73" s="1"/>
  <c r="Q67" i="73"/>
  <c r="U67" i="73" s="1"/>
  <c r="Q66" i="73"/>
  <c r="U66" i="73" s="1"/>
  <c r="Q65" i="73"/>
  <c r="U65" i="73" s="1"/>
  <c r="Q64" i="73"/>
  <c r="U64" i="73" s="1"/>
  <c r="Q63" i="73"/>
  <c r="U63" i="73" s="1"/>
  <c r="Q62" i="73"/>
  <c r="U62" i="73" s="1"/>
  <c r="U61" i="73"/>
  <c r="Q61" i="73"/>
  <c r="U60" i="73"/>
  <c r="Q60" i="73"/>
  <c r="Q59" i="73"/>
  <c r="U59" i="73" s="1"/>
  <c r="Q58" i="73"/>
  <c r="U58" i="73" s="1"/>
  <c r="Q57" i="73"/>
  <c r="U57" i="73" s="1"/>
  <c r="Q56" i="73"/>
  <c r="U56" i="73" s="1"/>
  <c r="Q55" i="73"/>
  <c r="U55" i="73" s="1"/>
  <c r="Q54" i="73"/>
  <c r="U54" i="73" s="1"/>
  <c r="Q53" i="73"/>
  <c r="U53" i="73" s="1"/>
  <c r="U52" i="73"/>
  <c r="Q52" i="73"/>
  <c r="Q51" i="73"/>
  <c r="U51" i="73" s="1"/>
  <c r="Q50" i="73"/>
  <c r="U50" i="73" s="1"/>
  <c r="Q49" i="73"/>
  <c r="U49" i="73" s="1"/>
  <c r="Q48" i="73"/>
  <c r="U48" i="73" s="1"/>
  <c r="Q47" i="73"/>
  <c r="U47" i="73" s="1"/>
  <c r="Q46" i="73"/>
  <c r="U46" i="73" s="1"/>
  <c r="Q45" i="73"/>
  <c r="U45" i="73" s="1"/>
  <c r="Q44" i="73"/>
  <c r="U44" i="73" s="1"/>
  <c r="Q43" i="73"/>
  <c r="U43" i="73" s="1"/>
  <c r="Q42" i="73"/>
  <c r="U42" i="73" s="1"/>
  <c r="Q41" i="73"/>
  <c r="U41" i="73" s="1"/>
  <c r="Q40" i="73"/>
  <c r="U40" i="73" s="1"/>
  <c r="Q39" i="73"/>
  <c r="U39" i="73" s="1"/>
  <c r="Q38" i="73"/>
  <c r="U38" i="73" s="1"/>
  <c r="Q37" i="73"/>
  <c r="U37" i="73" s="1"/>
  <c r="Q36" i="73"/>
  <c r="U36" i="73" s="1"/>
  <c r="Q35" i="73"/>
  <c r="U35" i="73" s="1"/>
  <c r="Q34" i="73"/>
  <c r="U34" i="73" s="1"/>
  <c r="Q33" i="73"/>
  <c r="U33" i="73" s="1"/>
  <c r="Q32" i="73"/>
  <c r="U32" i="73" s="1"/>
  <c r="Q31" i="73"/>
  <c r="U31" i="73" s="1"/>
  <c r="Q30" i="73"/>
  <c r="U30" i="73" s="1"/>
  <c r="Q29" i="73"/>
  <c r="U29" i="73" s="1"/>
  <c r="Q28" i="73"/>
  <c r="U28" i="73" s="1"/>
  <c r="Q27" i="73"/>
  <c r="U27" i="73" s="1"/>
  <c r="Q26" i="73"/>
  <c r="U26" i="73" s="1"/>
  <c r="Q25" i="73"/>
  <c r="U25" i="73" s="1"/>
  <c r="Q24" i="73"/>
  <c r="U24" i="73" s="1"/>
  <c r="Q23" i="73"/>
  <c r="U23" i="73" s="1"/>
  <c r="Q22" i="73"/>
  <c r="U22" i="73" s="1"/>
  <c r="Q21" i="73"/>
  <c r="U21" i="73" s="1"/>
  <c r="Q20" i="73"/>
  <c r="U20" i="73" s="1"/>
  <c r="Q19" i="73"/>
  <c r="U19" i="73" s="1"/>
  <c r="Q18" i="73"/>
  <c r="U18" i="73" s="1"/>
  <c r="Q17" i="73"/>
  <c r="U17" i="73" s="1"/>
  <c r="Q16" i="73"/>
  <c r="U16" i="73" s="1"/>
  <c r="Q15" i="73"/>
  <c r="U15" i="73" s="1"/>
  <c r="Q14" i="73"/>
  <c r="U14" i="73" s="1"/>
  <c r="Q13" i="73"/>
  <c r="U13" i="73" s="1"/>
  <c r="Q12" i="73"/>
  <c r="U12" i="73" s="1"/>
  <c r="Q11" i="73"/>
  <c r="U11" i="73" s="1"/>
  <c r="Q10" i="73"/>
  <c r="U10" i="73" s="1"/>
  <c r="Q9" i="73"/>
  <c r="U9" i="73" s="1"/>
  <c r="Q8" i="73"/>
  <c r="U8" i="73" s="1"/>
  <c r="Q7" i="73"/>
  <c r="U7" i="73" s="1"/>
  <c r="Q6" i="73"/>
  <c r="U6" i="73" s="1"/>
  <c r="Q5" i="73"/>
  <c r="U5" i="73" s="1"/>
  <c r="Q4" i="73"/>
  <c r="U4" i="73" s="1"/>
  <c r="Q3" i="73"/>
  <c r="U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K135" i="74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L135" i="74"/>
  <c r="N189" i="74" l="1"/>
  <c r="M135" i="74"/>
  <c r="M161" i="74"/>
  <c r="L167" i="74"/>
  <c r="K274" i="74"/>
  <c r="L169" i="74"/>
  <c r="R177" i="74"/>
  <c r="L274" i="74" l="1"/>
  <c r="M169" i="74"/>
  <c r="O189" i="74"/>
  <c r="N135" i="74"/>
  <c r="M167" i="74"/>
  <c r="N161" i="74"/>
  <c r="S177" i="74"/>
  <c r="O161" i="74" l="1"/>
  <c r="N167" i="74"/>
  <c r="P189" i="74"/>
  <c r="Q189" i="74" s="1"/>
  <c r="O135" i="74"/>
  <c r="M274" i="74"/>
  <c r="N169" i="74"/>
  <c r="T177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U177" i="74"/>
  <c r="R189" i="74"/>
  <c r="O167" i="74"/>
  <c r="P161" i="74"/>
  <c r="V177" i="74" l="1"/>
  <c r="P167" i="74"/>
  <c r="Q161" i="74"/>
  <c r="S189" i="74"/>
  <c r="O274" i="74"/>
  <c r="P169" i="74"/>
  <c r="P274" i="74" l="1"/>
  <c r="Q169" i="74"/>
  <c r="R161" i="74"/>
  <c r="Q167" i="74"/>
  <c r="Q135" i="74"/>
  <c r="T189" i="74"/>
  <c r="W177" i="74"/>
  <c r="X177" i="74" l="1"/>
  <c r="S161" i="74"/>
  <c r="R167" i="74"/>
  <c r="R135" i="74"/>
  <c r="Q274" i="74"/>
  <c r="R169" i="74"/>
  <c r="U189" i="74"/>
  <c r="R274" i="74" l="1"/>
  <c r="S169" i="74"/>
  <c r="V189" i="74"/>
  <c r="S167" i="74"/>
  <c r="T161" i="74"/>
  <c r="S135" i="74"/>
  <c r="Y177" i="74"/>
  <c r="Z177" i="74" s="1"/>
  <c r="AA177" i="74" s="1"/>
  <c r="T167" i="74" l="1"/>
  <c r="U161" i="74"/>
  <c r="T135" i="74"/>
  <c r="W189" i="74"/>
  <c r="S274" i="74"/>
  <c r="T169" i="74"/>
  <c r="AB177" i="74"/>
  <c r="AC177" i="74" l="1"/>
  <c r="T274" i="74"/>
  <c r="U169" i="74"/>
  <c r="X189" i="74"/>
  <c r="V161" i="74"/>
  <c r="U167" i="74"/>
  <c r="U135" i="74"/>
  <c r="W161" i="74" l="1"/>
  <c r="V167" i="74"/>
  <c r="V135" i="74"/>
  <c r="Y189" i="74"/>
  <c r="Z189" i="74" s="1"/>
  <c r="AA189" i="74" s="1"/>
  <c r="U274" i="74"/>
  <c r="V169" i="74"/>
  <c r="AD177" i="74"/>
  <c r="AE177" i="74" l="1"/>
  <c r="V274" i="74"/>
  <c r="W169" i="74"/>
  <c r="AB189" i="74"/>
  <c r="W167" i="74"/>
  <c r="X161" i="74"/>
  <c r="W135" i="74"/>
  <c r="X167" i="74" l="1"/>
  <c r="Y161" i="74"/>
  <c r="X135" i="74"/>
  <c r="AC189" i="74"/>
  <c r="W274" i="74"/>
  <c r="X169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A135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<sst xmlns="http://schemas.openxmlformats.org/spreadsheetml/2006/main" count="1264" uniqueCount="416">
  <si>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</si>
  <si>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</si>
  <si>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</si>
  <si>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</si>
  <si>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</si>
  <si>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</si>
  <si>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</si>
  <si>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</si>
  <si>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</si>
  <si>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</si>
  <si>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</si>
  <si>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</si>
  <si>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</si>
  <si>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</si>
  <si>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</si>
  <si>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</si>
  <si>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</si>
  <si>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</si>
  <si>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</si>
  <si>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</si>
  <si>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</si>
  <si>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</si>
  <si>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</si>
  <si>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</si>
  <si>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</si>
  <si>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</si>
  <si>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</si>
  <si>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</si>
  <si>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</si>
  <si>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</si>
  <si>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</si>
  <si>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</si>
  <si>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</si>
  <si>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</si>
  <si>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</si>
  <si>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</si>
  <si>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</si>
  <si>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</si>
  <si>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</si>
  <si>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</si>
  <si>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</si>
  <si>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</si>
  <si>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</si>
  <si>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</si>
  <si>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</si>
  <si>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</si>
  <si>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</si>
  <si>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</si>
  <si>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</si>
  <si>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</si>
  <si>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</si>
  <si>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</si>
  <si>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</si>
  <si>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</si>
  <si>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</si>
  <si>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</si>
  <si>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</si>
  <si>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</si>
  <si>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</si>
  <si>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</si>
  <si>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</si>
  <si>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</si>
  <si>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</si>
  <si>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</si>
  <si>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</si>
  <si>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</si>
  <si>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</si>
  <si>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</si>
  <si>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</si>
  <si>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</si>
  <si>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</si>
  <si>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</si>
  <si>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</si>
  <si>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</si>
  <si>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</si>
  <si>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</si>
  <si>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</si>
  <si>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</si>
  <si>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</si>
  <si>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</si>
  <si>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</si>
  <si>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</si>
  <si>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</si>
  <si>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</si>
  <si>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</si>
  <si>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</si>
  <si>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</si>
  <si>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</si>
  <si>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</si>
  <si>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</si>
  <si>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</si>
  <si>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</si>
  <si>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</si>
  <si>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</si>
  <si>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</si>
  <si>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</si>
  <si>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</si>
  <si>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</si>
  <si>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</si>
  <si>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</si>
  <si>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</si>
  <si>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</si>
  <si>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</si>
  <si>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</si>
  <si>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</si>
  <si>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</si>
  <si>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</si>
  <si>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</si>
  <si>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</si>
  <si>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</si>
  <si>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</si>
  <si>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</si>
  <si>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</si>
  <si>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</si>
  <si>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</si>
  <si>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</si>
  <si>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</si>
  <si>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</si>
  <si>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</si>
  <si>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</si>
  <si>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</si>
  <si>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</si>
  <si>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</si>
  <si>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</si>
  <si>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</si>
  <si>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</si>
  <si>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</si>
  <si>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</si>
  <si>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</si>
  <si>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</si>
  <si>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</si>
  <si>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</si>
  <si>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</si>
  <si>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</si>
  <si>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</si>
  <si>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</si>
  <si>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</si>
  <si>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</si>
  <si>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</si>
  <si>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</si>
  <si>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</si>
  <si>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</si>
  <si>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</si>
  <si>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</si>
  <si>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</si>
  <si>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</si>
  <si>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</si>
  <si>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</si>
  <si>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</si>
  <si>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</si>
  <si>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</si>
  <si>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</si>
  <si>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</si>
  <si>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</si>
  <si>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</si>
  <si>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</si>
  <si>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</si>
  <si>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</si>
  <si>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</si>
  <si>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</si>
  <si>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</si>
  <si>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</si>
  <si>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</si>
  <si>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</si>
  <si>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</si>
  <si>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</si>
  <si>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</si>
  <si>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</si>
  <si>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</si>
  <si>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</si>
  <si>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</si>
  <si>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</si>
  <si>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</si>
  <si>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</si>
  <si>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</si>
  <si>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</si>
  <si>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</si>
  <si>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</si>
  <si>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</si>
  <si>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</si>
  <si>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</si>
  <si>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</si>
  <si>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</si>
  <si>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</si>
  <si>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</si>
  <si>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</si>
  <si>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</si>
  <si>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</si>
  <si>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</si>
  <si>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</si>
  <si>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</si>
  <si>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</si>
  <si>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</si>
  <si>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</si>
  <si>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</si>
  <si>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</si>
  <si>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</si>
  <si>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</si>
  <si>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</si>
  <si>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</si>
  <si>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</si>
  <si>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</si>
  <si>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</si>
  <si>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</si>
  <si>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</si>
  <si>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</si>
  <si>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</si>
  <si>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</si>
  <si>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</si>
  <si>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</si>
  <si>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</si>
  <si>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</si>
  <si>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</si>
  <si>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</si>
  <si>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</si>
  <si>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</si>
  <si>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</si>
  <si>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</si>
  <si>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</si>
  <si>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</si>
  <si>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</si>
  <si>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</si>
  <si>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</si>
  <si>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</si>
  <si>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</si>
  <si>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</si>
  <si>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</si>
  <si>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</si>
  <si>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</si>
  <si>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</si>
  <si>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</si>
  <si>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</si>
  <si>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</si>
  <si>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</si>
  <si>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</si>
  <si>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</si>
  <si>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</si>
  <si>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</si>
  <si>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</si>
  <si>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</si>
  <si>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</si>
  <si>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</si>
  <si>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</si>
  <si>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</si>
  <si>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</si>
  <si>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</si>
  <si>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</si>
  <si>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</si>
  <si>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</si>
  <si>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</si>
  <si>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</si>
  <si>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</si>
  <si>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</si>
  <si>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</si>
  <si>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</si>
  <si>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</si>
  <si>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</si>
  <si>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</si>
  <si>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</si>
  <si>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</si>
  <si>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</si>
  <si>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</si>
  <si>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</si>
  <si>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</si>
  <si>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</si>
  <si>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</si>
  <si>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</si>
  <si>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</si>
  <si>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</si>
  <si>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</si>
  <si>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</si>
  <si>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</si>
  <si>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</si>
  <si>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</si>
  <si>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</si>
  <si>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</si>
  <si>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</si>
  <si>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</si>
  <si>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</si>
  <si>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</si>
  <si>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</si>
  <si>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</si>
  <si>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</si>
  <si>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</si>
  <si>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</si>
  <si>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</si>
  <si>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</si>
  <si>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</si>
  <si>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</si>
  <si>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</si>
  <si>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</si>
  <si>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</si>
  <si>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</si>
  <si>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</si>
  <si>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</si>
  <si>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</si>
  <si>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</si>
  <si>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</si>
  <si>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</si>
  <si>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</si>
  <si>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</si>
  <si>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</si>
  <si>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</si>
  <si>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</si>
  <si>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</si>
  <si>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</si>
  <si>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</si>
  <si>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</si>
  <si>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</si>
  <si>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</si>
  <si>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</si>
  <si>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</si>
  <si>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</si>
  <si>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</si>
  <si>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</si>
  <si>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</si>
  <si>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</si>
  <si>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</si>
  <si>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</si>
  <si>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</si>
  <si>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</si>
  <si>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</si>
  <si>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</si>
  <si>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</si>
  <si>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</si>
  <si>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</si>
  <si>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</si>
  <si>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</si>
  <si>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</si>
  <si>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</si>
  <si>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</si>
  <si>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</si>
  <si>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</si>
  <si>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</si>
  <si>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</si>
  <si>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</si>
  <si>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</si>
  <si>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</si>
  <si>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</si>
  <si>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</si>
  <si>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</si>
  <si>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</si>
  <si>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</si>
  <si>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</si>
  <si>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</si>
  <si>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</si>
  <si>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</si>
  <si>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</si>
  <si>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</si>
  <si>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</si>
  <si>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</si>
  <si>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</si>
  <si>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</si>
  <si>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</si>
  <si>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</si>
  <si>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</si>
  <si>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</si>
  <si>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</si>
  <si>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</si>
  <si>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</si>
  <si>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</si>
  <si>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</si>
  <si>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</si>
  <si>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</si>
  <si>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</si>
  <si>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</si>
  <si>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</si>
  <si>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</si>
  <si>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</si>
  <si>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</si>
  <si>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</si>
  <si>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</si>
  <si>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</si>
  <si>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</si>
  <si>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</si>
  <si>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</si>
  <si>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</si>
  <si>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</si>
  <si>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</si>
  <si>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</si>
  <si>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</si>
  <si>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</si>
  <si>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</si>
  <si>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</si>
  <si>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</si>
  <si>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</si>
  <si>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</si>
  <si>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</si>
  <si>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</si>
  <si>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</si>
  <si>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</si>
  <si>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</si>
  <si>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</si>
  <si>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</si>
  <si>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</si>
  <si>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</si>
  <si>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</si>
  <si>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</si>
  <si>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</si>
  <si>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</si>
  <si>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</si>
  <si>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</si>
  <si>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</si>
  <si>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</si>
  <si>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</si>
  <si>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</si>
  <si>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</si>
  <si>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</si>
  <si>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</si>
  <si>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</si>
  <si>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</si>
  <si>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</si>
  <si>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</si>
  <si>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</si>
  <si>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Date: 2083-02-02</t>
  </si>
  <si>
    <t>16..9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</si>
</sst>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4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66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5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27" sqref="A2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str">
        <f ca="1">"2080/"&amp;"10/"&amp;INT(MID(CELL("filename",D6),FIND("]",CELL("filename",D6))+1,200))</f>
        <v>2080/10/1</v>
      </c>
      <c r="C4" s="232"/>
      <c r="D4" s="232"/>
      <c r="E4" s="233" t="str">
        <f ca="1">"2080/"&amp;"10/"&amp;INT(MID(CELL("filename",G6),FIND("]",CELL("filename",G6))+1,200))</f>
        <v>2080/10/1</v>
      </c>
      <c r="F4" s="233"/>
      <c r="G4" s="233"/>
      <c r="H4" s="233" t="str">
        <f ca="1">TEXT(E4,"dddd")</f>
        <v>Tuesday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22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23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O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Q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661" priority="47">
      <formula>$AH11=0</formula>
    </cfRule>
  </conditionalFormatting>
  <conditionalFormatting sqref="A101:A102">
    <cfRule type="expression" dxfId="660" priority="215">
      <formula>$AH106=0</formula>
    </cfRule>
  </conditionalFormatting>
  <conditionalFormatting sqref="A103:A107">
    <cfRule type="expression" dxfId="659" priority="163">
      <formula>$AH102=0</formula>
    </cfRule>
  </conditionalFormatting>
  <conditionalFormatting sqref="A160:A167">
    <cfRule type="expression" dxfId="658" priority="216">
      <formula>$AH267=0</formula>
    </cfRule>
  </conditionalFormatting>
  <conditionalFormatting sqref="A168:A275">
    <cfRule type="expression" dxfId="657" priority="86">
      <formula>$AH168=0</formula>
    </cfRule>
  </conditionalFormatting>
  <conditionalFormatting sqref="B8">
    <cfRule type="expression" dxfId="656" priority="211">
      <formula>AND(C$9&gt;=14/24,C$9&lt;20/24)</formula>
    </cfRule>
    <cfRule type="expression" dxfId="655" priority="212">
      <formula>AND(C$9&gt;=8/24,C$9&lt;14/24)</formula>
    </cfRule>
    <cfRule type="expression" dxfId="654" priority="213">
      <formula>C$9&lt;8/24</formula>
    </cfRule>
    <cfRule type="expression" dxfId="65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65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651" priority="129">
      <formula>AND(B$9&gt;=14/24,B$9&lt;20/24)</formula>
    </cfRule>
    <cfRule type="expression" dxfId="650" priority="130">
      <formula>AND(B$9&gt;=8/24,B$9&lt;14/24)</formula>
    </cfRule>
    <cfRule type="expression" dxfId="649" priority="131">
      <formula>B$9&lt;8/24</formula>
    </cfRule>
  </conditionalFormatting>
  <conditionalFormatting sqref="B29:Y53">
    <cfRule type="expression" dxfId="648" priority="71">
      <formula>B29&gt;$AG29*1</formula>
    </cfRule>
    <cfRule type="expression" dxfId="647" priority="72">
      <formula>B$9&gt;=20/24</formula>
    </cfRule>
    <cfRule type="expression" dxfId="646" priority="73">
      <formula>AND(B$9&gt;=14/24,B$9&lt;20/24)</formula>
    </cfRule>
    <cfRule type="expression" dxfId="645" priority="74">
      <formula>AND(B$9&gt;=8/24,B$9&lt;14/24)</formula>
    </cfRule>
    <cfRule type="expression" dxfId="644" priority="75">
      <formula>B$9&lt;8/24</formula>
    </cfRule>
  </conditionalFormatting>
  <conditionalFormatting sqref="B54:Y68">
    <cfRule type="expression" dxfId="643" priority="64">
      <formula>B$9&lt;8/24</formula>
    </cfRule>
  </conditionalFormatting>
  <conditionalFormatting sqref="B54:Y70">
    <cfRule type="expression" dxfId="642" priority="61">
      <formula>B$9&gt;=20/24</formula>
    </cfRule>
    <cfRule type="expression" dxfId="641" priority="62">
      <formula>AND(B$9&gt;=14/24,B$9&lt;20/24)</formula>
    </cfRule>
    <cfRule type="expression" dxfId="640" priority="63">
      <formula>AND(B$9&gt;=8/24,B$9&lt;14/24)</formula>
    </cfRule>
  </conditionalFormatting>
  <conditionalFormatting sqref="B63:Y65">
    <cfRule type="expression" dxfId="639" priority="65">
      <formula>B63&gt;$AG63</formula>
    </cfRule>
  </conditionalFormatting>
  <conditionalFormatting sqref="B69:Y70">
    <cfRule type="expression" dxfId="638" priority="136">
      <formula>B$9&lt;8/24</formula>
    </cfRule>
  </conditionalFormatting>
  <conditionalFormatting sqref="B72:AF75">
    <cfRule type="expression" dxfId="637" priority="52">
      <formula>B72&gt;$AG72*1</formula>
    </cfRule>
  </conditionalFormatting>
  <conditionalFormatting sqref="B73:AF75">
    <cfRule type="expression" dxfId="636" priority="53">
      <formula>B$9&gt;=20/24</formula>
    </cfRule>
    <cfRule type="expression" dxfId="635" priority="54">
      <formula>AND(B$9&gt;=14/24,B$9&lt;20/24)</formula>
    </cfRule>
    <cfRule type="expression" dxfId="634" priority="55">
      <formula>AND(B$9&gt;=8/24,B$9&lt;14/24)</formula>
    </cfRule>
    <cfRule type="expression" dxfId="633" priority="56">
      <formula>B$9&lt;8/24</formula>
    </cfRule>
  </conditionalFormatting>
  <conditionalFormatting sqref="F161:AF167">
    <cfRule type="expression" dxfId="632" priority="87">
      <formula>F$9&gt;=20/24</formula>
    </cfRule>
    <cfRule type="expression" dxfId="631" priority="88">
      <formula>AND(F$9&gt;=14/24,F$9&lt;20/24)</formula>
    </cfRule>
    <cfRule type="expression" dxfId="630" priority="89">
      <formula>AND(F$9&gt;=8/24,F$9&lt;14/24)</formula>
    </cfRule>
    <cfRule type="expression" dxfId="629" priority="90">
      <formula>F$9&lt;8/24</formula>
    </cfRule>
  </conditionalFormatting>
  <conditionalFormatting sqref="F169:AF274">
    <cfRule type="expression" dxfId="628" priority="48">
      <formula>F$9&gt;=20/24</formula>
    </cfRule>
    <cfRule type="expression" dxfId="627" priority="49">
      <formula>AND(F$9&gt;=14/24,F$9&lt;20/24)</formula>
    </cfRule>
    <cfRule type="expression" dxfId="626" priority="50">
      <formula>AND(F$9&gt;=8/24,F$9&lt;14/24)</formula>
    </cfRule>
    <cfRule type="expression" dxfId="625" priority="51">
      <formula>F$9&lt;8/24</formula>
    </cfRule>
  </conditionalFormatting>
  <conditionalFormatting sqref="AF96:AG96 B71:AG71 Z78:AG78 X91:AF91 B76:W96 B69:Y69 X76:Y90 X92:AE96 Z76:AF77 Z79:AF90 AF92:AF95">
    <cfRule type="expression" dxfId="624" priority="127">
      <formula>B69&gt;$AG69*1</formula>
    </cfRule>
  </conditionalFormatting>
  <conditionalFormatting sqref="F79:Y83">
    <cfRule type="expression" dxfId="623" priority="137">
      <formula>F$9&gt;=20/24</formula>
    </cfRule>
    <cfRule type="expression" dxfId="622" priority="138">
      <formula>AND(F$9&gt;=14/24,F$9&lt;20/24)</formula>
    </cfRule>
    <cfRule type="expression" dxfId="621" priority="139">
      <formula>AND(F$9&gt;=8/24,F$9&lt;14/24)</formula>
    </cfRule>
    <cfRule type="expression" dxfId="620" priority="140">
      <formula>F$9&lt;8/24</formula>
    </cfRule>
  </conditionalFormatting>
  <conditionalFormatting sqref="F84:Y84">
    <cfRule type="expression" dxfId="619" priority="132">
      <formula>F$9&gt;=20/24</formula>
    </cfRule>
    <cfRule type="expression" dxfId="618" priority="133">
      <formula>AND(F$9&gt;=14/24,F$9&lt;20/24)</formula>
    </cfRule>
    <cfRule type="expression" dxfId="617" priority="134">
      <formula>AND(F$9&gt;=8/24,F$9&lt;14/24)</formula>
    </cfRule>
    <cfRule type="expression" dxfId="616" priority="135">
      <formula>F$9&lt;8/24</formula>
    </cfRule>
  </conditionalFormatting>
  <conditionalFormatting sqref="F78:AF78 B72:AF72">
    <cfRule type="expression" dxfId="615" priority="147">
      <formula>B$9&gt;=20/24</formula>
    </cfRule>
    <cfRule type="expression" dxfId="614" priority="148">
      <formula>AND(B$9&gt;=14/24,B$9&lt;20/24)</formula>
    </cfRule>
    <cfRule type="expression" dxfId="613" priority="149">
      <formula>AND(B$9&gt;=8/24,B$9&lt;14/24)</formula>
    </cfRule>
    <cfRule type="expression" dxfId="612" priority="150">
      <formula>B$9&lt;8/24</formula>
    </cfRule>
  </conditionalFormatting>
  <conditionalFormatting sqref="F79:Y81">
    <cfRule type="expression" dxfId="607" priority="155">
      <formula>F$9&gt;=20/24</formula>
    </cfRule>
    <cfRule type="expression" dxfId="606" priority="156">
      <formula>AND(F$9&gt;=14/24,F$9&lt;20/24)</formula>
    </cfRule>
    <cfRule type="expression" dxfId="605" priority="157">
      <formula>AND(F$9&gt;=8/24,F$9&lt;14/24)</formula>
    </cfRule>
    <cfRule type="expression" dxfId="604" priority="158">
      <formula>F$9&lt;8/24</formula>
    </cfRule>
  </conditionalFormatting>
  <conditionalFormatting sqref="L84:AF84">
    <cfRule type="expression" dxfId="603" priority="151">
      <formula>L$9&gt;=20/24</formula>
    </cfRule>
    <cfRule type="expression" dxfId="602" priority="152">
      <formula>AND(L$9&gt;=14/24,L$9&lt;20/24)</formula>
    </cfRule>
    <cfRule type="expression" dxfId="601" priority="153">
      <formula>AND(L$9&gt;=8/24,L$9&lt;14/24)</formula>
    </cfRule>
    <cfRule type="expression" dxfId="600" priority="154">
      <formula>L$9&lt;8/24</formula>
    </cfRule>
  </conditionalFormatting>
  <conditionalFormatting sqref="M8 S8 AB8">
    <cfRule type="expression" dxfId="599" priority="204">
      <formula>AND(N$9&gt;=14/24,N$9&lt;20/24)</formula>
    </cfRule>
    <cfRule type="expression" dxfId="598" priority="205">
      <formula>AND(N$9&gt;=8/24,N$9&lt;14/24)</formula>
    </cfRule>
    <cfRule type="expression" dxfId="597" priority="206">
      <formula>N$9&lt;8/24</formula>
    </cfRule>
  </conditionalFormatting>
  <conditionalFormatting sqref="T79:Y83 Z80:AF83">
    <cfRule type="expression" dxfId="596" priority="159">
      <formula>T$9&gt;=20/24</formula>
    </cfRule>
    <cfRule type="expression" dxfId="595" priority="160">
      <formula>AND(T$9&gt;=14/24,T$9&lt;20/24)</formula>
    </cfRule>
    <cfRule type="expression" dxfId="594" priority="161">
      <formula>AND(T$9&gt;=8/24,T$9&lt;14/24)</formula>
    </cfRule>
    <cfRule type="expression" dxfId="593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92" priority="203">
      <formula>N$9&gt;=20/24</formula>
    </cfRule>
  </conditionalFormatting>
  <conditionalFormatting sqref="S8">
    <cfRule type="expression" dxfId="591" priority="194">
      <formula>U$9&gt;=20/24</formula>
    </cfRule>
    <cfRule type="expression" dxfId="590" priority="195">
      <formula>AND(U$9&gt;=14/24,U$9&lt;20/24)</formula>
    </cfRule>
    <cfRule type="expression" dxfId="589" priority="196">
      <formula>AND(U$9&gt;=8/24,U$9&lt;14/24)</formula>
    </cfRule>
    <cfRule type="expression" dxfId="588" priority="197">
      <formula>U$9&lt;8/24</formula>
    </cfRule>
  </conditionalFormatting>
  <conditionalFormatting sqref="T79:AF84">
    <cfRule type="expression" dxfId="587" priority="81">
      <formula>T$9&gt;=20/24</formula>
    </cfRule>
    <cfRule type="expression" dxfId="586" priority="82">
      <formula>AND(T$9&gt;=14/24,T$9&lt;20/24)</formula>
    </cfRule>
    <cfRule type="expression" dxfId="585" priority="83">
      <formula>AND(T$9&gt;=8/24,T$9&lt;14/24)</formula>
    </cfRule>
    <cfRule type="expression" dxfId="584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578" priority="141">
      <formula>B54&gt;$AG54</formula>
    </cfRule>
  </conditionalFormatting>
  <conditionalFormatting sqref="AB8">
    <cfRule type="expression" dxfId="577" priority="190">
      <formula>AD$9&gt;=20/24</formula>
    </cfRule>
    <cfRule type="expression" dxfId="576" priority="191">
      <formula>AND(AD$9&gt;=14/24,AD$9&lt;20/24)</formula>
    </cfRule>
    <cfRule type="expression" dxfId="575" priority="192">
      <formula>AND(AD$9&gt;=8/24,AD$9&lt;14/24)</formula>
    </cfRule>
    <cfRule type="expression" dxfId="574" priority="193">
      <formula>AD$9&lt;8/24</formula>
    </cfRule>
  </conditionalFormatting>
  <conditionalFormatting sqref="AG78">
    <cfRule type="expression" dxfId="568" priority="169">
      <formula>AG$9&gt;=20/24</formula>
    </cfRule>
    <cfRule type="expression" dxfId="567" priority="170">
      <formula>AND(AG$9&gt;=14/24,AG$9&lt;20/24)</formula>
    </cfRule>
    <cfRule type="expression" dxfId="566" priority="171">
      <formula>AND(AG$9&gt;=8/24,AG$9&lt;14/24)</formula>
    </cfRule>
    <cfRule type="expression" dxfId="565" priority="172">
      <formula>AG$9&lt;8/24</formula>
    </cfRule>
  </conditionalFormatting>
  <conditionalFormatting sqref="AG91:AG92">
    <cfRule type="expression" dxfId="564" priority="164">
      <formula>AG91&gt;$AG91</formula>
    </cfRule>
  </conditionalFormatting>
  <conditionalFormatting sqref="AG96">
    <cfRule type="expression" dxfId="563" priority="165">
      <formula>AG$9&gt;=20/24</formula>
    </cfRule>
    <cfRule type="expression" dxfId="562" priority="166">
      <formula>AND(AG$9&gt;=14/24,AG$9&lt;20/24)</formula>
    </cfRule>
    <cfRule type="expression" dxfId="561" priority="167">
      <formula>AND(AG$9&gt;=8/24,AG$9&lt;14/24)</formula>
    </cfRule>
    <cfRule type="expression" dxfId="560" priority="168">
      <formula>AG$9&lt;8/24</formula>
    </cfRule>
  </conditionalFormatting>
  <conditionalFormatting sqref="AG113">
    <cfRule type="expression" dxfId="559" priority="186">
      <formula>AG$9&gt;=20/24</formula>
    </cfRule>
    <cfRule type="expression" dxfId="558" priority="187">
      <formula>AND(AG$9&gt;=14/24,AG$9&lt;20/24)</formula>
    </cfRule>
    <cfRule type="expression" dxfId="557" priority="188">
      <formula>AND(AG$9&gt;=8/24,AG$9&lt;14/24)</formula>
    </cfRule>
    <cfRule type="expression" dxfId="556" priority="189">
      <formula>AG$9&lt;8/24</formula>
    </cfRule>
  </conditionalFormatting>
  <conditionalFormatting sqref="AH8:AI10">
    <cfRule type="expression" dxfId="555" priority="77">
      <formula>AH$9&gt;=20/24</formula>
    </cfRule>
    <cfRule type="expression" dxfId="554" priority="78">
      <formula>AND(AH$9&gt;=14/24,AH$9&lt;20/24)</formula>
    </cfRule>
    <cfRule type="expression" dxfId="553" priority="79">
      <formula>AND(AH$9&gt;=8/24,AH$9&lt;14/24)</formula>
    </cfRule>
    <cfRule type="expression" dxfId="552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51" priority="207">
      <formula>AJ$9&gt;=20/24</formula>
    </cfRule>
    <cfRule type="expression" dxfId="550" priority="208">
      <formula>AND(AJ$9&gt;=14/24,AJ$9&lt;20/24)</formula>
    </cfRule>
    <cfRule type="expression" dxfId="549" priority="209">
      <formula>AND(AJ$9&gt;=8/24,AJ$9&lt;14/24)</formula>
    </cfRule>
    <cfRule type="expression" dxfId="548" priority="210">
      <formula>AJ$9&lt;8/24</formula>
    </cfRule>
  </conditionalFormatting>
  <conditionalFormatting sqref="AL99:AN99 AL105:AN105">
    <cfRule type="expression" dxfId="547" priority="179">
      <formula>AL$9&gt;=20/24</formula>
    </cfRule>
    <cfRule type="expression" dxfId="546" priority="180">
      <formula>AND(AL$9&gt;=14/24,AL$9&lt;20/24)</formula>
    </cfRule>
    <cfRule type="expression" dxfId="545" priority="181">
      <formula>AND(AL$9&gt;=8/24,AL$9&lt;14/24)</formula>
    </cfRule>
    <cfRule type="expression" dxfId="544" priority="182">
      <formula>AL$9&lt;8/24</formula>
    </cfRule>
  </conditionalFormatting>
  <conditionalFormatting sqref="AM15:AM21 AN16:AR21">
    <cfRule type="expression" dxfId="543" priority="103">
      <formula>AX$9&gt;=20/24</formula>
    </cfRule>
    <cfRule type="expression" dxfId="542" priority="104">
      <formula>AND(AX$9&gt;=14/24,AX$9&lt;20/24)</formula>
    </cfRule>
    <cfRule type="expression" dxfId="541" priority="105">
      <formula>AND(AX$9&gt;=8/24,AX$9&lt;14/24)</formula>
    </cfRule>
    <cfRule type="expression" dxfId="540" priority="106">
      <formula>AX$9&lt;8/24</formula>
    </cfRule>
  </conditionalFormatting>
  <conditionalFormatting sqref="AN100:AN103">
    <cfRule type="expression" dxfId="539" priority="175">
      <formula>AN$9&gt;=20/24</formula>
    </cfRule>
    <cfRule type="expression" dxfId="538" priority="176">
      <formula>AND(AN$9&gt;=14/24,AN$9&lt;20/24)</formula>
    </cfRule>
    <cfRule type="expression" dxfId="537" priority="177">
      <formula>AND(AN$9&gt;=8/24,AN$9&lt;14/24)</formula>
    </cfRule>
    <cfRule type="expression" dxfId="536" priority="178">
      <formula>AN$9&lt;8/24</formula>
    </cfRule>
  </conditionalFormatting>
  <conditionalFormatting sqref="AN15:AR15">
    <cfRule type="expression" dxfId="535" priority="91">
      <formula>U$9&gt;=20/24</formula>
    </cfRule>
    <cfRule type="expression" dxfId="534" priority="92">
      <formula>AND(U$9&gt;=14/24,U$9&lt;20/24)</formula>
    </cfRule>
    <cfRule type="expression" dxfId="533" priority="93">
      <formula>AND(U$9&gt;=8/24,U$9&lt;14/24)</formula>
    </cfRule>
    <cfRule type="expression" dxfId="532" priority="94">
      <formula>U$9&lt;8/24</formula>
    </cfRule>
  </conditionalFormatting>
  <conditionalFormatting sqref="AS15">
    <cfRule type="expression" dxfId="531" priority="99">
      <formula>AA$9&gt;=20/24</formula>
    </cfRule>
    <cfRule type="expression" dxfId="530" priority="100">
      <formula>AND(AA$9&gt;=14/24,AA$9&lt;20/24)</formula>
    </cfRule>
    <cfRule type="expression" dxfId="529" priority="101">
      <formula>AND(AA$9&gt;=8/24,AA$9&lt;14/24)</formula>
    </cfRule>
    <cfRule type="expression" dxfId="528" priority="102">
      <formula>AA$9&lt;8/24</formula>
    </cfRule>
  </conditionalFormatting>
  <conditionalFormatting sqref="AS16:AS21">
    <cfRule type="expression" dxfId="527" priority="107">
      <formula>BE$9&gt;=20/24</formula>
    </cfRule>
    <cfRule type="expression" dxfId="526" priority="108">
      <formula>AND(BE$9&gt;=14/24,BE$9&lt;20/24)</formula>
    </cfRule>
    <cfRule type="expression" dxfId="525" priority="109">
      <formula>AND(BE$9&gt;=8/24,BE$9&lt;14/24)</formula>
    </cfRule>
    <cfRule type="expression" dxfId="524" priority="110">
      <formula>BE$9&lt;8/24</formula>
    </cfRule>
  </conditionalFormatting>
  <conditionalFormatting sqref="AT15 AX15:BJ15">
    <cfRule type="expression" dxfId="523" priority="111">
      <formula>AC$9&gt;=20/24</formula>
    </cfRule>
    <cfRule type="expression" dxfId="522" priority="112">
      <formula>AND(AC$9&gt;=14/24,AC$9&lt;20/24)</formula>
    </cfRule>
    <cfRule type="expression" dxfId="521" priority="113">
      <formula>AND(AC$9&gt;=8/24,AC$9&lt;14/24)</formula>
    </cfRule>
    <cfRule type="expression" dxfId="520" priority="114">
      <formula>AC$9&lt;8/24</formula>
    </cfRule>
  </conditionalFormatting>
  <conditionalFormatting sqref="AT16:AT21">
    <cfRule type="expression" dxfId="519" priority="115">
      <formula>BG$9&gt;=20/24</formula>
    </cfRule>
    <cfRule type="expression" dxfId="518" priority="116">
      <formula>AND(BG$9&gt;=14/24,BG$9&lt;20/24)</formula>
    </cfRule>
    <cfRule type="expression" dxfId="517" priority="117">
      <formula>AND(BG$9&gt;=8/24,BG$9&lt;14/24)</formula>
    </cfRule>
    <cfRule type="expression" dxfId="516" priority="118">
      <formula>BG$9&lt;8/24</formula>
    </cfRule>
  </conditionalFormatting>
  <conditionalFormatting sqref="AU15:AV15">
    <cfRule type="expression" dxfId="515" priority="119">
      <formula>AE$9&gt;=20/24</formula>
    </cfRule>
    <cfRule type="expression" dxfId="514" priority="120">
      <formula>AND(AE$9&gt;=14/24,AE$9&lt;20/24)</formula>
    </cfRule>
    <cfRule type="expression" dxfId="513" priority="121">
      <formula>AND(AE$9&gt;=8/24,AE$9&lt;14/24)</formula>
    </cfRule>
    <cfRule type="expression" dxfId="512" priority="122">
      <formula>AE$9&lt;8/24</formula>
    </cfRule>
  </conditionalFormatting>
  <conditionalFormatting sqref="AU16:BJ21">
    <cfRule type="expression" dxfId="511" priority="123">
      <formula>BI$9&gt;=20/24</formula>
    </cfRule>
    <cfRule type="expression" dxfId="510" priority="124">
      <formula>AND(BI$9&gt;=14/24,BI$9&lt;20/24)</formula>
    </cfRule>
    <cfRule type="expression" dxfId="509" priority="125">
      <formula>AND(BI$9&gt;=8/24,BI$9&lt;14/24)</formula>
    </cfRule>
    <cfRule type="expression" dxfId="508" priority="126">
      <formula>BI$9&lt;8/24</formula>
    </cfRule>
  </conditionalFormatting>
  <conditionalFormatting sqref="AW15">
    <cfRule type="expression" dxfId="507" priority="95">
      <formula>B$9&gt;=20/24</formula>
    </cfRule>
    <cfRule type="expression" dxfId="506" priority="96">
      <formula>AND(B$9&gt;=14/24,B$9&lt;20/24)</formula>
    </cfRule>
    <cfRule type="expression" dxfId="505" priority="97">
      <formula>AND(B$9&gt;=8/24,B$9&lt;14/24)</formula>
    </cfRule>
    <cfRule type="expression" dxfId="504" priority="98">
      <formula>B$9&lt;8/24</formula>
    </cfRule>
  </conditionalFormatting>
  <conditionalFormatting sqref="A73">
    <cfRule type="expression" dxfId="503" priority="46">
      <formula>$AH73=0</formula>
    </cfRule>
  </conditionalFormatting>
  <conditionalFormatting sqref="B97:E107 B137:E152 B109:E112 B125:E134 B154:E159 F97:F102 G98:G102 F126:G133 F137:G151 B11:Y13 AA11:AF13">
    <cfRule type="expression" dxfId="502" priority="42">
      <formula>B$9&gt;=20/24</formula>
    </cfRule>
  </conditionalFormatting>
  <conditionalFormatting sqref="B97:E107 B137:E152 B109:E112 B125:E134 B154:E159 F97:F102 G98:G102 F126:G133 F137:G151 B11:Y13 AA11:AF13">
    <cfRule type="expression" dxfId="501" priority="43">
      <formula>AND(B$9&gt;=14/24,B$9&lt;20/24)</formula>
    </cfRule>
    <cfRule type="expression" dxfId="500" priority="44">
      <formula>AND(B$9&gt;=8/24,B$9&lt;14/24)</formula>
    </cfRule>
    <cfRule type="expression" dxfId="499" priority="45">
      <formula>B$9&lt;8/24</formula>
    </cfRule>
  </conditionalFormatting>
  <conditionalFormatting sqref="B14:Y28 AA14:AF16">
    <cfRule type="expression" dxfId="498" priority="32">
      <formula>B14&gt;$AG14*1</formula>
    </cfRule>
    <cfRule type="expression" dxfId="497" priority="33">
      <formula>B$9&gt;=20/24</formula>
    </cfRule>
    <cfRule type="expression" dxfId="496" priority="34">
      <formula>AND(B$9&gt;=14/24,B$9&lt;20/24)</formula>
    </cfRule>
    <cfRule type="expression" dxfId="495" priority="35">
      <formula>AND(B$9&gt;=8/24,B$9&lt;14/24)</formula>
    </cfRule>
    <cfRule type="expression" dxfId="494" priority="36">
      <formula>B$9&lt;8/24</formula>
    </cfRule>
  </conditionalFormatting>
  <conditionalFormatting sqref="B161:E167">
    <cfRule type="expression" dxfId="493" priority="37">
      <formula>B$9&gt;=20/24</formula>
    </cfRule>
    <cfRule type="expression" dxfId="492" priority="38">
      <formula>AND(B$9&gt;=14/24,B$9&lt;20/24)</formula>
    </cfRule>
    <cfRule type="expression" dxfId="491" priority="39">
      <formula>AND(B$9&gt;=8/24,B$9&lt;14/24)</formula>
    </cfRule>
    <cfRule type="expression" dxfId="490" priority="40">
      <formula>B$9&lt;8/24</formula>
    </cfRule>
  </conditionalFormatting>
  <conditionalFormatting sqref="B169:E274">
    <cfRule type="expression" dxfId="489" priority="28">
      <formula>B$9&gt;=20/24</formula>
    </cfRule>
    <cfRule type="expression" dxfId="488" priority="29">
      <formula>AND(B$9&gt;=14/24,B$9&lt;20/24)</formula>
    </cfRule>
    <cfRule type="expression" dxfId="487" priority="30">
      <formula>AND(B$9&gt;=8/24,B$9&lt;14/24)</formula>
    </cfRule>
    <cfRule type="expression" dxfId="486" priority="31">
      <formula>B$9&lt;8/24</formula>
    </cfRule>
  </conditionalFormatting>
  <conditionalFormatting sqref="B11:Y13 AA11:AF13">
    <cfRule type="expression" dxfId="485" priority="41">
      <formula>B11&gt;$AG11*1</formula>
    </cfRule>
  </conditionalFormatting>
  <conditionalFormatting sqref="A153">
    <cfRule type="expression" dxfId="484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83" priority="23">
      <formula>AL$9&gt;=20/24</formula>
    </cfRule>
  </conditionalFormatting>
  <conditionalFormatting sqref="AL153">
    <cfRule type="expression" dxfId="482" priority="24">
      <formula>AND(AL$9&gt;=14/24,AL$9&lt;20/24)</formula>
    </cfRule>
    <cfRule type="expression" dxfId="481" priority="25">
      <formula>AND(AL$9&gt;=8/24,AL$9&lt;14/24)</formula>
    </cfRule>
    <cfRule type="expression" dxfId="480" priority="26">
      <formula>AL$9&lt;8/24</formula>
    </cfRule>
  </conditionalFormatting>
  <conditionalFormatting sqref="Z11:Z13">
    <cfRule type="expression" dxfId="275" priority="17">
      <formula>Z$9&gt;=20/24</formula>
    </cfRule>
  </conditionalFormatting>
  <conditionalFormatting sqref="Z11:Z13">
    <cfRule type="expression" dxfId="274" priority="18">
      <formula>AND(Z$9&gt;=14/24,Z$9&lt;20/24)</formula>
    </cfRule>
    <cfRule type="expression" dxfId="273" priority="19">
      <formula>AND(Z$9&gt;=8/24,Z$9&lt;14/24)</formula>
    </cfRule>
    <cfRule type="expression" dxfId="272" priority="20">
      <formula>Z$9&lt;8/24</formula>
    </cfRule>
  </conditionalFormatting>
  <conditionalFormatting sqref="Z14:Z53 AA17:AF53">
    <cfRule type="expression" dxfId="271" priority="11">
      <formula>Z14&gt;$AG14*1</formula>
    </cfRule>
    <cfRule type="expression" dxfId="270" priority="12">
      <formula>Z$9&gt;=20/24</formula>
    </cfRule>
    <cfRule type="expression" dxfId="269" priority="13">
      <formula>AND(Z$9&gt;=14/24,Z$9&lt;20/24)</formula>
    </cfRule>
    <cfRule type="expression" dxfId="268" priority="14">
      <formula>AND(Z$9&gt;=8/24,Z$9&lt;14/24)</formula>
    </cfRule>
    <cfRule type="expression" dxfId="267" priority="15">
      <formula>Z$9&lt;8/24</formula>
    </cfRule>
  </conditionalFormatting>
  <conditionalFormatting sqref="Z54:AF55">
    <cfRule type="expression" dxfId="266" priority="10">
      <formula>Z$9&lt;8/24</formula>
    </cfRule>
  </conditionalFormatting>
  <conditionalFormatting sqref="Z54:AF55 Z69:AF70">
    <cfRule type="expression" dxfId="265" priority="7">
      <formula>Z$9&gt;=20/24</formula>
    </cfRule>
    <cfRule type="expression" dxfId="264" priority="8">
      <formula>AND(Z$9&gt;=14/24,Z$9&lt;20/24)</formula>
    </cfRule>
    <cfRule type="expression" dxfId="263" priority="9">
      <formula>AND(Z$9&gt;=8/24,Z$9&lt;14/24)</formula>
    </cfRule>
  </conditionalFormatting>
  <conditionalFormatting sqref="Z69:AF70">
    <cfRule type="expression" dxfId="262" priority="21">
      <formula>Z$9&lt;8/24</formula>
    </cfRule>
  </conditionalFormatting>
  <conditionalFormatting sqref="Z11:Z13 Z69:AF69">
    <cfRule type="expression" dxfId="261" priority="16">
      <formula>Z11&gt;$AG11*1</formula>
    </cfRule>
  </conditionalFormatting>
  <conditionalFormatting sqref="Z54:AF55 Z69:AF70">
    <cfRule type="expression" dxfId="260" priority="22">
      <formula>Z54&gt;$AG54</formula>
    </cfRule>
  </conditionalFormatting>
  <conditionalFormatting sqref="Z56:AF68">
    <cfRule type="expression" dxfId="259" priority="4">
      <formula>Z$9&lt;8/24</formula>
    </cfRule>
  </conditionalFormatting>
  <conditionalFormatting sqref="Z56:AF68">
    <cfRule type="expression" dxfId="258" priority="1">
      <formula>Z$9&gt;=20/24</formula>
    </cfRule>
    <cfRule type="expression" dxfId="257" priority="2">
      <formula>AND(Z$9&gt;=14/24,Z$9&lt;20/24)</formula>
    </cfRule>
    <cfRule type="expression" dxfId="256" priority="3">
      <formula>AND(Z$9&gt;=8/24,Z$9&lt;14/24)</formula>
    </cfRule>
  </conditionalFormatting>
  <conditionalFormatting sqref="Z63:AF65">
    <cfRule type="expression" dxfId="255" priority="5">
      <formula>Z63&gt;$AG63</formula>
    </cfRule>
  </conditionalFormatting>
  <conditionalFormatting sqref="Z66:AF68 Z56:AF62">
    <cfRule type="expression" dxfId="25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7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I73" sqref="I73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str">
        <f ca="1">"2080/"&amp;"10/"&amp;INT(MID(CELL("filename",D6),FIND("]",CELL("filename",D6))+1,200))</f>
        <v>2080/10/2</v>
      </c>
      <c r="C4" s="232"/>
      <c r="D4" s="232"/>
      <c r="E4" s="233" t="str">
        <f ca="1">"2080/"&amp;"10/"&amp;INT(MID(CELL("filename",G6),FIND("]",CELL("filename",G6))+1,200))</f>
        <v>2080/10/2</v>
      </c>
      <c r="F4" s="233"/>
      <c r="G4" s="233"/>
      <c r="H4" s="233" t="str">
        <f ca="1">TEXT(E4,"dddd")</f>
        <v>Wednesday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595.40000000000009</v>
      </c>
      <c r="H7" s="35">
        <f t="shared" si="1"/>
        <v>537.79999999999984</v>
      </c>
      <c r="I7" s="35">
        <f t="shared" si="1"/>
        <v>477.29999999999995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1923.11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1498.13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217" t="s">
        <v>19</v>
      </c>
      <c r="AI10" s="21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31.1</v>
      </c>
      <c r="AI11" s="47">
        <f t="shared" ref="AI11:AI74" si="3">MIN(B11:AF11)</f>
        <v>30.5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25</v>
      </c>
      <c r="AI12" s="47">
        <f t="shared" si="3"/>
        <v>25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39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65.599999999999994</v>
      </c>
      <c r="AI15" s="47">
        <f t="shared" si="3"/>
        <v>58.77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23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31.9</v>
      </c>
      <c r="AI17" s="47">
        <f t="shared" si="3"/>
        <v>28.6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17.100000000000001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36.799999999999997</v>
      </c>
      <c r="AI22" s="47">
        <f t="shared" si="3"/>
        <v>33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1085.4000000000001</v>
      </c>
      <c r="AS22" s="60">
        <f t="shared" si="16"/>
        <v>957.3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24</v>
      </c>
      <c r="AI23" s="47">
        <f t="shared" si="3"/>
        <v>18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21.1</v>
      </c>
      <c r="AI24" s="47">
        <f t="shared" si="3"/>
        <v>20.8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19.2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595.40000000000009</v>
      </c>
      <c r="AS25" s="60">
        <f t="shared" si="19"/>
        <v>477.29999999999995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</v>
      </c>
      <c r="AI26" s="47">
        <f t="shared" si="3"/>
        <v>12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37.9</v>
      </c>
      <c r="AI28" s="47">
        <f t="shared" si="3"/>
        <v>27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12.5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14.6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17.2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10.5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11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13.9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11.3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5.5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9.8000000000000007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7.3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12.1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1.5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5.2</v>
      </c>
      <c r="AI66" s="47">
        <f t="shared" si="3"/>
        <v>5.2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3.1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8">
        <f t="shared" ref="B70:F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128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D71:AG71" si="21">SUM(G11:G69)</f>
        <v>150</v>
      </c>
      <c r="H71" s="70">
        <f t="shared" si="21"/>
        <v>150</v>
      </c>
      <c r="I71" s="70">
        <f t="shared" si="21"/>
        <v>150</v>
      </c>
      <c r="J71" s="70">
        <f t="shared" si="21"/>
        <v>150</v>
      </c>
      <c r="K71" s="70">
        <f t="shared" si="21"/>
        <v>150</v>
      </c>
      <c r="L71" s="70">
        <f t="shared" si="21"/>
        <v>150</v>
      </c>
      <c r="M71" s="70">
        <f t="shared" si="21"/>
        <v>150</v>
      </c>
      <c r="N71" s="70">
        <f t="shared" si="21"/>
        <v>150</v>
      </c>
      <c r="O71" s="70">
        <f t="shared" si="21"/>
        <v>150</v>
      </c>
      <c r="P71" s="70">
        <f t="shared" si="21"/>
        <v>150</v>
      </c>
      <c r="Q71" s="70">
        <f t="shared" si="21"/>
        <v>150</v>
      </c>
      <c r="R71" s="70">
        <f t="shared" si="21"/>
        <v>150</v>
      </c>
      <c r="S71" s="70">
        <f t="shared" si="21"/>
        <v>150</v>
      </c>
      <c r="T71" s="70">
        <f t="shared" si="21"/>
        <v>150</v>
      </c>
      <c r="U71" s="70">
        <f t="shared" si="21"/>
        <v>150</v>
      </c>
      <c r="V71" s="70">
        <f t="shared" si="21"/>
        <v>150</v>
      </c>
      <c r="W71" s="70">
        <f t="shared" si="21"/>
        <v>150</v>
      </c>
      <c r="X71" s="70">
        <f t="shared" si="21"/>
        <v>150</v>
      </c>
      <c r="Y71" s="70">
        <f t="shared" si="21"/>
        <v>150</v>
      </c>
      <c r="Z71" s="70">
        <f t="shared" si="21"/>
        <v>150</v>
      </c>
      <c r="AA71" s="70">
        <f t="shared" si="21"/>
        <v>150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970.19999999999993</v>
      </c>
      <c r="AI71" s="47">
        <f t="shared" si="3"/>
        <v>150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341.8</v>
      </c>
      <c r="AI72" s="47">
        <f t="shared" si="3"/>
        <v>200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55.9</v>
      </c>
      <c r="AI73" s="47">
        <f t="shared" si="3"/>
        <v>55.9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43</v>
      </c>
      <c r="AI74" s="47">
        <f t="shared" si="3"/>
        <v>38.200000000000003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2">MAX(B75:AF75)</f>
        <v>29.5</v>
      </c>
      <c r="AI75" s="47">
        <f t="shared" ref="AI75:AI138" si="23">MIN(B75:AF75)</f>
        <v>22.9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2"/>
        <v>22.2</v>
      </c>
      <c r="AI76" s="47">
        <f t="shared" si="23"/>
        <v>22.2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2"/>
        <v>9.5</v>
      </c>
      <c r="AI77" s="47">
        <f t="shared" si="23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D78:AG78" si="24">SUM(G72:G77)</f>
        <v>452.2999999999999</v>
      </c>
      <c r="H78" s="70">
        <f t="shared" si="24"/>
        <v>400.89999999999992</v>
      </c>
      <c r="I78" s="70">
        <f t="shared" si="24"/>
        <v>350.89999999999992</v>
      </c>
      <c r="J78" s="70">
        <f t="shared" si="24"/>
        <v>0</v>
      </c>
      <c r="K78" s="70">
        <f t="shared" si="24"/>
        <v>0</v>
      </c>
      <c r="L78" s="70">
        <f t="shared" si="24"/>
        <v>0</v>
      </c>
      <c r="M78" s="70">
        <f t="shared" si="24"/>
        <v>0</v>
      </c>
      <c r="N78" s="70">
        <f t="shared" si="24"/>
        <v>0</v>
      </c>
      <c r="O78" s="70">
        <f t="shared" si="24"/>
        <v>0</v>
      </c>
      <c r="P78" s="70">
        <f t="shared" si="24"/>
        <v>0</v>
      </c>
      <c r="Q78" s="70">
        <f t="shared" si="24"/>
        <v>0</v>
      </c>
      <c r="R78" s="70">
        <f t="shared" si="24"/>
        <v>0</v>
      </c>
      <c r="S78" s="70">
        <f t="shared" si="24"/>
        <v>0</v>
      </c>
      <c r="T78" s="70">
        <f t="shared" si="24"/>
        <v>0</v>
      </c>
      <c r="U78" s="70">
        <f t="shared" si="24"/>
        <v>0</v>
      </c>
      <c r="V78" s="70">
        <f t="shared" si="24"/>
        <v>0</v>
      </c>
      <c r="W78" s="70">
        <f t="shared" si="24"/>
        <v>0</v>
      </c>
      <c r="X78" s="70">
        <f t="shared" si="24"/>
        <v>0</v>
      </c>
      <c r="Y78" s="70">
        <f t="shared" si="24"/>
        <v>0</v>
      </c>
      <c r="Z78" s="70">
        <f t="shared" si="24"/>
        <v>0</v>
      </c>
      <c r="AA78" s="70">
        <f t="shared" si="24"/>
        <v>0</v>
      </c>
      <c r="AB78" s="70">
        <f t="shared" si="24"/>
        <v>0</v>
      </c>
      <c r="AC78" s="70">
        <f t="shared" si="24"/>
        <v>0</v>
      </c>
      <c r="AD78" s="70">
        <f t="shared" si="24"/>
        <v>0</v>
      </c>
      <c r="AE78" s="70">
        <f t="shared" si="24"/>
        <v>0</v>
      </c>
      <c r="AF78" s="70">
        <f t="shared" si="24"/>
        <v>0</v>
      </c>
      <c r="AG78" s="80">
        <f t="shared" si="24"/>
        <v>706.4</v>
      </c>
      <c r="AH78" s="46">
        <f t="shared" si="22"/>
        <v>497.09999999999997</v>
      </c>
      <c r="AI78" s="47">
        <f t="shared" si="23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2"/>
        <v>96.6</v>
      </c>
      <c r="AI79" s="47">
        <f t="shared" si="23"/>
        <v>96.6</v>
      </c>
      <c r="AK79" s="49"/>
      <c r="AY79" s="1" t="s">
        <v>99</v>
      </c>
      <c r="AZ79" s="82">
        <f>ROUND(C97,0)</f>
        <v>-448</v>
      </c>
      <c r="BA79" s="81">
        <f t="shared" ref="BA79:BD83" si="25">D97</f>
        <v>-530.1</v>
      </c>
      <c r="BB79" s="81">
        <f t="shared" si="25"/>
        <v>-445.9</v>
      </c>
      <c r="BC79" s="81">
        <f t="shared" si="25"/>
        <v>-473.5</v>
      </c>
      <c r="BD79" s="81">
        <f t="shared" si="25"/>
        <v>-490</v>
      </c>
      <c r="BE79" s="82">
        <f>I97</f>
        <v>-480</v>
      </c>
      <c r="BF79" s="82">
        <f>K97</f>
        <v>0</v>
      </c>
      <c r="BG79" s="82">
        <f t="shared" ref="BG79:BP83" si="26">M97</f>
        <v>0</v>
      </c>
      <c r="BH79" s="82">
        <f t="shared" si="26"/>
        <v>0</v>
      </c>
      <c r="BI79" s="82">
        <f t="shared" si="26"/>
        <v>0</v>
      </c>
      <c r="BJ79" s="82">
        <f t="shared" si="26"/>
        <v>0</v>
      </c>
      <c r="BK79" s="82">
        <f t="shared" si="26"/>
        <v>0</v>
      </c>
      <c r="BL79" s="82">
        <f t="shared" si="26"/>
        <v>0</v>
      </c>
      <c r="BM79" s="82">
        <f t="shared" si="26"/>
        <v>0</v>
      </c>
      <c r="BN79" s="82">
        <f t="shared" si="26"/>
        <v>0</v>
      </c>
      <c r="BO79" s="82">
        <f t="shared" si="26"/>
        <v>0</v>
      </c>
      <c r="BP79" s="82">
        <f t="shared" si="26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7">AD97</f>
        <v>0</v>
      </c>
      <c r="BU79" s="81">
        <f t="shared" si="27"/>
        <v>0</v>
      </c>
      <c r="BV79" s="81">
        <f t="shared" si="27"/>
        <v>0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2"/>
        <v>69.3</v>
      </c>
      <c r="AI80" s="47">
        <f t="shared" si="23"/>
        <v>35</v>
      </c>
      <c r="AK80" s="49"/>
      <c r="AY80" s="1" t="s">
        <v>101</v>
      </c>
      <c r="AZ80" s="82">
        <f>ROUND(C98,0)</f>
        <v>0</v>
      </c>
      <c r="BA80" s="81">
        <f t="shared" si="25"/>
        <v>0</v>
      </c>
      <c r="BB80" s="81">
        <f t="shared" si="25"/>
        <v>0</v>
      </c>
      <c r="BC80" s="81">
        <f t="shared" si="25"/>
        <v>0</v>
      </c>
      <c r="BD80" s="81">
        <f t="shared" si="25"/>
        <v>0</v>
      </c>
      <c r="BE80" s="82">
        <f>I98</f>
        <v>0</v>
      </c>
      <c r="BF80" s="82">
        <f>K98</f>
        <v>0</v>
      </c>
      <c r="BG80" s="82">
        <f t="shared" si="26"/>
        <v>0</v>
      </c>
      <c r="BH80" s="82">
        <f t="shared" si="26"/>
        <v>0</v>
      </c>
      <c r="BI80" s="82">
        <f t="shared" si="26"/>
        <v>0</v>
      </c>
      <c r="BJ80" s="82">
        <f t="shared" si="26"/>
        <v>0</v>
      </c>
      <c r="BK80" s="82">
        <f t="shared" si="26"/>
        <v>0</v>
      </c>
      <c r="BL80" s="82">
        <f t="shared" si="26"/>
        <v>0</v>
      </c>
      <c r="BM80" s="82">
        <f t="shared" si="26"/>
        <v>0</v>
      </c>
      <c r="BN80" s="82">
        <f t="shared" si="26"/>
        <v>0</v>
      </c>
      <c r="BO80" s="82">
        <f t="shared" si="26"/>
        <v>0</v>
      </c>
      <c r="BP80" s="82">
        <f t="shared" si="26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7"/>
        <v>0</v>
      </c>
      <c r="BU80" s="81">
        <f t="shared" si="27"/>
        <v>0</v>
      </c>
      <c r="BV80" s="81">
        <f t="shared" si="27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2"/>
        <v>71.7</v>
      </c>
      <c r="AI81" s="47">
        <f t="shared" si="23"/>
        <v>60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25"/>
        <v>60.88</v>
      </c>
      <c r="BB81" s="81">
        <f t="shared" si="25"/>
        <v>59.1</v>
      </c>
      <c r="BC81" s="81">
        <f t="shared" si="25"/>
        <v>58.5</v>
      </c>
      <c r="BD81" s="81">
        <f t="shared" si="25"/>
        <v>58.5</v>
      </c>
      <c r="BE81" s="82">
        <f>I99</f>
        <v>51.9</v>
      </c>
      <c r="BF81" s="82">
        <f>K99</f>
        <v>0</v>
      </c>
      <c r="BG81" s="82">
        <f t="shared" si="26"/>
        <v>0</v>
      </c>
      <c r="BH81" s="82">
        <f t="shared" si="26"/>
        <v>0</v>
      </c>
      <c r="BI81" s="82">
        <f t="shared" si="26"/>
        <v>0</v>
      </c>
      <c r="BJ81" s="82">
        <f t="shared" si="26"/>
        <v>0</v>
      </c>
      <c r="BK81" s="82">
        <f t="shared" si="26"/>
        <v>0</v>
      </c>
      <c r="BL81" s="82">
        <f t="shared" si="26"/>
        <v>0</v>
      </c>
      <c r="BM81" s="82">
        <f t="shared" si="26"/>
        <v>0</v>
      </c>
      <c r="BN81" s="82">
        <f t="shared" si="26"/>
        <v>0</v>
      </c>
      <c r="BO81" s="82">
        <f t="shared" si="26"/>
        <v>0</v>
      </c>
      <c r="BP81" s="82">
        <f t="shared" si="26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7"/>
        <v>0</v>
      </c>
      <c r="BU81" s="81">
        <f t="shared" si="27"/>
        <v>0</v>
      </c>
      <c r="BV81" s="81">
        <f t="shared" si="27"/>
        <v>0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2"/>
        <v>58</v>
      </c>
      <c r="AI82" s="47">
        <f t="shared" si="2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5"/>
        <v>0</v>
      </c>
      <c r="BB82" s="81">
        <f t="shared" si="25"/>
        <v>0</v>
      </c>
      <c r="BC82" s="81">
        <f t="shared" si="25"/>
        <v>16.899999999999999</v>
      </c>
      <c r="BD82" s="81">
        <f t="shared" si="25"/>
        <v>18</v>
      </c>
      <c r="BE82" s="82">
        <f>I100</f>
        <v>14.5</v>
      </c>
      <c r="BF82" s="82">
        <f>K100</f>
        <v>0</v>
      </c>
      <c r="BG82" s="82">
        <f t="shared" si="26"/>
        <v>0</v>
      </c>
      <c r="BH82" s="82">
        <f t="shared" si="26"/>
        <v>0</v>
      </c>
      <c r="BI82" s="82">
        <f t="shared" si="26"/>
        <v>0</v>
      </c>
      <c r="BJ82" s="82">
        <f t="shared" si="26"/>
        <v>0</v>
      </c>
      <c r="BK82" s="82">
        <f t="shared" si="26"/>
        <v>0</v>
      </c>
      <c r="BL82" s="82">
        <f t="shared" si="26"/>
        <v>0</v>
      </c>
      <c r="BM82" s="82">
        <f t="shared" si="26"/>
        <v>0</v>
      </c>
      <c r="BN82" s="82">
        <f t="shared" si="26"/>
        <v>0</v>
      </c>
      <c r="BO82" s="82">
        <f t="shared" si="26"/>
        <v>0</v>
      </c>
      <c r="BP82" s="82">
        <f t="shared" si="26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7"/>
        <v>0</v>
      </c>
      <c r="BU82" s="81">
        <f t="shared" si="27"/>
        <v>0</v>
      </c>
      <c r="BV82" s="81">
        <f t="shared" si="27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2"/>
        <v>12.1</v>
      </c>
      <c r="AI83" s="47">
        <f t="shared" si="23"/>
        <v>12.1</v>
      </c>
      <c r="AK83" s="49"/>
      <c r="AY83" s="1" t="s">
        <v>107</v>
      </c>
      <c r="AZ83" s="82">
        <f>ROUND(C101,0)</f>
        <v>0</v>
      </c>
      <c r="BA83" s="81">
        <f t="shared" si="25"/>
        <v>0</v>
      </c>
      <c r="BB83" s="81">
        <f t="shared" si="25"/>
        <v>0</v>
      </c>
      <c r="BC83" s="81">
        <f t="shared" si="25"/>
        <v>0</v>
      </c>
      <c r="BD83" s="81">
        <f t="shared" si="25"/>
        <v>0</v>
      </c>
      <c r="BE83" s="82">
        <f>I101</f>
        <v>0</v>
      </c>
      <c r="BF83" s="82">
        <f>K101</f>
        <v>0</v>
      </c>
      <c r="BG83" s="82">
        <f t="shared" si="26"/>
        <v>0</v>
      </c>
      <c r="BH83" s="82">
        <f t="shared" si="26"/>
        <v>0</v>
      </c>
      <c r="BI83" s="82">
        <f t="shared" si="26"/>
        <v>0</v>
      </c>
      <c r="BJ83" s="82">
        <f t="shared" si="26"/>
        <v>0</v>
      </c>
      <c r="BK83" s="82">
        <f t="shared" si="26"/>
        <v>0</v>
      </c>
      <c r="BL83" s="82">
        <f t="shared" si="26"/>
        <v>0</v>
      </c>
      <c r="BM83" s="82">
        <f t="shared" si="26"/>
        <v>0</v>
      </c>
      <c r="BN83" s="82">
        <f t="shared" si="26"/>
        <v>0</v>
      </c>
      <c r="BO83" s="82">
        <f t="shared" si="26"/>
        <v>0</v>
      </c>
      <c r="BP83" s="82">
        <f t="shared" si="26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7"/>
        <v>0</v>
      </c>
      <c r="BU83" s="81">
        <f t="shared" si="27"/>
        <v>0</v>
      </c>
      <c r="BV83" s="81">
        <f t="shared" si="27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2"/>
        <v>0</v>
      </c>
      <c r="AI84" s="47">
        <f t="shared" si="2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8">M107</f>
        <v>0</v>
      </c>
      <c r="BH84" s="82">
        <f t="shared" si="28"/>
        <v>0</v>
      </c>
      <c r="BI84" s="82">
        <f t="shared" si="28"/>
        <v>0</v>
      </c>
      <c r="BJ84" s="82">
        <f t="shared" si="28"/>
        <v>0</v>
      </c>
      <c r="BK84" s="82">
        <f t="shared" si="28"/>
        <v>0</v>
      </c>
      <c r="BL84" s="82">
        <f t="shared" si="28"/>
        <v>0</v>
      </c>
      <c r="BM84" s="82">
        <f t="shared" si="28"/>
        <v>0</v>
      </c>
      <c r="BN84" s="82">
        <f t="shared" si="28"/>
        <v>0</v>
      </c>
      <c r="BO84" s="82">
        <f t="shared" si="28"/>
        <v>0</v>
      </c>
      <c r="BP84" s="82">
        <f t="shared" si="28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2"/>
        <v>12.3</v>
      </c>
      <c r="AI85" s="47">
        <f t="shared" si="23"/>
        <v>12.3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2"/>
        <v>0</v>
      </c>
      <c r="AI86" s="47">
        <f t="shared" si="23"/>
        <v>0</v>
      </c>
      <c r="AK86" s="49"/>
      <c r="AZ86" s="82">
        <f t="shared" ref="AZ86:BW91" si="29">VALUE(AZ79)</f>
        <v>-448</v>
      </c>
      <c r="BA86" s="82">
        <f t="shared" si="29"/>
        <v>-530.1</v>
      </c>
      <c r="BB86" s="82">
        <f t="shared" si="29"/>
        <v>-445.9</v>
      </c>
      <c r="BC86" s="82">
        <f t="shared" si="29"/>
        <v>-473.5</v>
      </c>
      <c r="BD86" s="82">
        <f t="shared" si="29"/>
        <v>-490</v>
      </c>
      <c r="BE86" s="82">
        <f t="shared" si="29"/>
        <v>-480</v>
      </c>
      <c r="BF86" s="82">
        <f t="shared" si="29"/>
        <v>0</v>
      </c>
      <c r="BG86" s="82">
        <f t="shared" si="29"/>
        <v>0</v>
      </c>
      <c r="BH86" s="82">
        <f t="shared" si="29"/>
        <v>0</v>
      </c>
      <c r="BI86" s="82">
        <f t="shared" si="29"/>
        <v>0</v>
      </c>
      <c r="BJ86" s="82">
        <f t="shared" si="29"/>
        <v>0</v>
      </c>
      <c r="BK86" s="82">
        <f t="shared" si="29"/>
        <v>0</v>
      </c>
      <c r="BL86" s="82">
        <f t="shared" si="29"/>
        <v>0</v>
      </c>
      <c r="BM86" s="82">
        <f t="shared" si="29"/>
        <v>0</v>
      </c>
      <c r="BN86" s="82">
        <f t="shared" si="29"/>
        <v>0</v>
      </c>
      <c r="BO86" s="82">
        <f t="shared" si="29"/>
        <v>0</v>
      </c>
      <c r="BP86" s="82">
        <f t="shared" si="29"/>
        <v>0</v>
      </c>
      <c r="BQ86" s="82">
        <f t="shared" si="29"/>
        <v>0</v>
      </c>
      <c r="BR86" s="82">
        <f t="shared" si="29"/>
        <v>0</v>
      </c>
      <c r="BS86" s="82">
        <f t="shared" si="29"/>
        <v>0</v>
      </c>
      <c r="BT86" s="82">
        <f t="shared" si="29"/>
        <v>0</v>
      </c>
      <c r="BU86" s="82">
        <f t="shared" si="29"/>
        <v>0</v>
      </c>
      <c r="BV86" s="82">
        <f t="shared" si="29"/>
        <v>0</v>
      </c>
      <c r="BW86" s="82">
        <f t="shared" si="29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2"/>
        <v>7.3</v>
      </c>
      <c r="AI87" s="47">
        <f t="shared" si="23"/>
        <v>7.3</v>
      </c>
      <c r="AK87" s="49"/>
      <c r="AZ87" s="82">
        <f t="shared" si="29"/>
        <v>0</v>
      </c>
      <c r="BA87" s="82">
        <f t="shared" si="29"/>
        <v>0</v>
      </c>
      <c r="BB87" s="82">
        <f t="shared" si="29"/>
        <v>0</v>
      </c>
      <c r="BC87" s="82">
        <f t="shared" si="29"/>
        <v>0</v>
      </c>
      <c r="BD87" s="82">
        <f t="shared" si="29"/>
        <v>0</v>
      </c>
      <c r="BE87" s="82">
        <f t="shared" si="29"/>
        <v>0</v>
      </c>
      <c r="BF87" s="82">
        <f t="shared" si="29"/>
        <v>0</v>
      </c>
      <c r="BG87" s="82">
        <f t="shared" si="29"/>
        <v>0</v>
      </c>
      <c r="BH87" s="82">
        <f t="shared" si="29"/>
        <v>0</v>
      </c>
      <c r="BI87" s="82">
        <f t="shared" si="29"/>
        <v>0</v>
      </c>
      <c r="BJ87" s="82">
        <f t="shared" si="29"/>
        <v>0</v>
      </c>
      <c r="BK87" s="82">
        <f t="shared" si="29"/>
        <v>0</v>
      </c>
      <c r="BL87" s="82">
        <f t="shared" si="29"/>
        <v>0</v>
      </c>
      <c r="BM87" s="82">
        <f t="shared" si="29"/>
        <v>0</v>
      </c>
      <c r="BN87" s="82">
        <f t="shared" si="29"/>
        <v>0</v>
      </c>
      <c r="BO87" s="82">
        <f t="shared" si="29"/>
        <v>0</v>
      </c>
      <c r="BP87" s="82">
        <f t="shared" si="29"/>
        <v>0</v>
      </c>
      <c r="BQ87" s="82">
        <f t="shared" si="29"/>
        <v>0</v>
      </c>
      <c r="BR87" s="82">
        <f t="shared" si="29"/>
        <v>0</v>
      </c>
      <c r="BS87" s="82">
        <f t="shared" si="29"/>
        <v>0</v>
      </c>
      <c r="BT87" s="82">
        <f t="shared" si="29"/>
        <v>0</v>
      </c>
      <c r="BU87" s="82">
        <f t="shared" si="29"/>
        <v>0</v>
      </c>
      <c r="BV87" s="82">
        <f t="shared" si="29"/>
        <v>0</v>
      </c>
      <c r="BW87" s="82">
        <f t="shared" si="29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2"/>
        <v>7.6</v>
      </c>
      <c r="AI88" s="47">
        <f t="shared" si="23"/>
        <v>7.6</v>
      </c>
      <c r="AK88" s="49"/>
      <c r="AZ88" s="82">
        <f t="shared" si="29"/>
        <v>62</v>
      </c>
      <c r="BA88" s="82">
        <f t="shared" si="29"/>
        <v>60.88</v>
      </c>
      <c r="BB88" s="82">
        <f t="shared" si="29"/>
        <v>59.1</v>
      </c>
      <c r="BC88" s="82">
        <f t="shared" si="29"/>
        <v>58.5</v>
      </c>
      <c r="BD88" s="82">
        <f t="shared" si="29"/>
        <v>58.5</v>
      </c>
      <c r="BE88" s="82">
        <f t="shared" si="29"/>
        <v>51.9</v>
      </c>
      <c r="BF88" s="82">
        <f t="shared" si="29"/>
        <v>0</v>
      </c>
      <c r="BG88" s="82">
        <f t="shared" si="29"/>
        <v>0</v>
      </c>
      <c r="BH88" s="82">
        <f t="shared" si="29"/>
        <v>0</v>
      </c>
      <c r="BI88" s="82">
        <f t="shared" si="29"/>
        <v>0</v>
      </c>
      <c r="BJ88" s="82">
        <f t="shared" si="29"/>
        <v>0</v>
      </c>
      <c r="BK88" s="82">
        <f t="shared" si="29"/>
        <v>0</v>
      </c>
      <c r="BL88" s="82">
        <f t="shared" si="29"/>
        <v>0</v>
      </c>
      <c r="BM88" s="82">
        <f t="shared" si="29"/>
        <v>0</v>
      </c>
      <c r="BN88" s="82">
        <f t="shared" si="29"/>
        <v>0</v>
      </c>
      <c r="BO88" s="82">
        <f t="shared" si="29"/>
        <v>0</v>
      </c>
      <c r="BP88" s="82">
        <f t="shared" si="29"/>
        <v>0</v>
      </c>
      <c r="BQ88" s="82">
        <f t="shared" si="29"/>
        <v>0</v>
      </c>
      <c r="BR88" s="82">
        <f t="shared" si="29"/>
        <v>0</v>
      </c>
      <c r="BS88" s="82">
        <f t="shared" si="29"/>
        <v>0</v>
      </c>
      <c r="BT88" s="82">
        <f t="shared" si="29"/>
        <v>0</v>
      </c>
      <c r="BU88" s="82">
        <f t="shared" si="29"/>
        <v>0</v>
      </c>
      <c r="BV88" s="82">
        <f t="shared" si="29"/>
        <v>0</v>
      </c>
      <c r="BW88" s="82">
        <f t="shared" si="29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2"/>
        <v>7.7</v>
      </c>
      <c r="AI89" s="47">
        <f t="shared" si="23"/>
        <v>7.7</v>
      </c>
      <c r="AK89" s="49"/>
      <c r="AZ89" s="82">
        <f t="shared" si="29"/>
        <v>0</v>
      </c>
      <c r="BA89" s="82">
        <f t="shared" si="29"/>
        <v>0</v>
      </c>
      <c r="BB89" s="82">
        <f t="shared" si="29"/>
        <v>0</v>
      </c>
      <c r="BC89" s="82">
        <f t="shared" si="29"/>
        <v>16.899999999999999</v>
      </c>
      <c r="BD89" s="82">
        <f t="shared" si="29"/>
        <v>18</v>
      </c>
      <c r="BE89" s="82">
        <f t="shared" si="29"/>
        <v>14.5</v>
      </c>
      <c r="BF89" s="82">
        <f t="shared" si="29"/>
        <v>0</v>
      </c>
      <c r="BG89" s="82">
        <f t="shared" si="29"/>
        <v>0</v>
      </c>
      <c r="BH89" s="82">
        <f t="shared" si="29"/>
        <v>0</v>
      </c>
      <c r="BI89" s="82">
        <f t="shared" si="29"/>
        <v>0</v>
      </c>
      <c r="BJ89" s="82">
        <f t="shared" si="29"/>
        <v>0</v>
      </c>
      <c r="BK89" s="82">
        <f t="shared" si="29"/>
        <v>0</v>
      </c>
      <c r="BL89" s="82">
        <f t="shared" si="29"/>
        <v>0</v>
      </c>
      <c r="BM89" s="82">
        <f t="shared" si="29"/>
        <v>0</v>
      </c>
      <c r="BN89" s="82">
        <f t="shared" si="29"/>
        <v>0</v>
      </c>
      <c r="BO89" s="82">
        <f t="shared" si="29"/>
        <v>0</v>
      </c>
      <c r="BP89" s="82">
        <f t="shared" si="29"/>
        <v>0</v>
      </c>
      <c r="BQ89" s="82">
        <f t="shared" si="29"/>
        <v>0</v>
      </c>
      <c r="BR89" s="82">
        <f t="shared" si="29"/>
        <v>0</v>
      </c>
      <c r="BS89" s="82">
        <f t="shared" si="29"/>
        <v>0</v>
      </c>
      <c r="BT89" s="82">
        <f t="shared" si="29"/>
        <v>0</v>
      </c>
      <c r="BU89" s="82">
        <f t="shared" si="29"/>
        <v>0</v>
      </c>
      <c r="BV89" s="82">
        <f t="shared" si="29"/>
        <v>0</v>
      </c>
      <c r="BW89" s="82">
        <f t="shared" si="29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2"/>
        <v>4</v>
      </c>
      <c r="AI90" s="47">
        <f t="shared" si="23"/>
        <v>4</v>
      </c>
      <c r="AK90" s="49"/>
      <c r="AZ90" s="82">
        <f t="shared" si="29"/>
        <v>0</v>
      </c>
      <c r="BA90" s="82">
        <f t="shared" si="29"/>
        <v>0</v>
      </c>
      <c r="BB90" s="82">
        <f t="shared" si="29"/>
        <v>0</v>
      </c>
      <c r="BC90" s="82">
        <f t="shared" si="29"/>
        <v>0</v>
      </c>
      <c r="BD90" s="82">
        <f t="shared" si="29"/>
        <v>0</v>
      </c>
      <c r="BE90" s="82">
        <f t="shared" si="29"/>
        <v>0</v>
      </c>
      <c r="BF90" s="82">
        <f t="shared" si="29"/>
        <v>0</v>
      </c>
      <c r="BG90" s="82">
        <f t="shared" si="29"/>
        <v>0</v>
      </c>
      <c r="BH90" s="82">
        <f t="shared" si="29"/>
        <v>0</v>
      </c>
      <c r="BI90" s="82">
        <f t="shared" si="29"/>
        <v>0</v>
      </c>
      <c r="BJ90" s="82">
        <f t="shared" si="29"/>
        <v>0</v>
      </c>
      <c r="BK90" s="82">
        <f t="shared" si="29"/>
        <v>0</v>
      </c>
      <c r="BL90" s="82">
        <f t="shared" si="29"/>
        <v>0</v>
      </c>
      <c r="BM90" s="82">
        <f t="shared" si="29"/>
        <v>0</v>
      </c>
      <c r="BN90" s="82">
        <f t="shared" si="29"/>
        <v>0</v>
      </c>
      <c r="BO90" s="82">
        <f t="shared" si="29"/>
        <v>0</v>
      </c>
      <c r="BP90" s="82">
        <f t="shared" si="29"/>
        <v>0</v>
      </c>
      <c r="BQ90" s="82">
        <f t="shared" si="29"/>
        <v>0</v>
      </c>
      <c r="BR90" s="82">
        <f t="shared" si="29"/>
        <v>0</v>
      </c>
      <c r="BS90" s="82">
        <f t="shared" si="29"/>
        <v>0</v>
      </c>
      <c r="BT90" s="82">
        <f t="shared" si="29"/>
        <v>0</v>
      </c>
      <c r="BU90" s="82">
        <f t="shared" si="29"/>
        <v>0</v>
      </c>
      <c r="BV90" s="82">
        <f t="shared" si="29"/>
        <v>0</v>
      </c>
      <c r="BW90" s="82">
        <f t="shared" si="29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2"/>
        <v>2</v>
      </c>
      <c r="AI91" s="47">
        <f t="shared" si="23"/>
        <v>2</v>
      </c>
      <c r="AK91" s="49"/>
      <c r="AZ91" s="82">
        <f t="shared" si="29"/>
        <v>0</v>
      </c>
      <c r="BA91" s="82">
        <f t="shared" si="29"/>
        <v>0</v>
      </c>
      <c r="BB91" s="82">
        <f t="shared" si="29"/>
        <v>0</v>
      </c>
      <c r="BC91" s="82">
        <f t="shared" si="29"/>
        <v>0</v>
      </c>
      <c r="BD91" s="82">
        <f t="shared" si="29"/>
        <v>0</v>
      </c>
      <c r="BE91" s="82">
        <f t="shared" si="29"/>
        <v>0</v>
      </c>
      <c r="BF91" s="82">
        <f t="shared" si="29"/>
        <v>0</v>
      </c>
      <c r="BG91" s="82">
        <f t="shared" si="29"/>
        <v>0</v>
      </c>
      <c r="BH91" s="82">
        <f t="shared" si="29"/>
        <v>0</v>
      </c>
      <c r="BI91" s="82">
        <f t="shared" si="29"/>
        <v>0</v>
      </c>
      <c r="BJ91" s="82">
        <f t="shared" si="29"/>
        <v>0</v>
      </c>
      <c r="BK91" s="82">
        <f t="shared" si="29"/>
        <v>0</v>
      </c>
      <c r="BL91" s="82">
        <f t="shared" si="29"/>
        <v>0</v>
      </c>
      <c r="BM91" s="82">
        <f t="shared" si="29"/>
        <v>0</v>
      </c>
      <c r="BN91" s="82">
        <f t="shared" si="29"/>
        <v>0</v>
      </c>
      <c r="BO91" s="82">
        <f t="shared" si="29"/>
        <v>0</v>
      </c>
      <c r="BP91" s="82">
        <f t="shared" si="29"/>
        <v>0</v>
      </c>
      <c r="BQ91" s="82">
        <f t="shared" si="29"/>
        <v>0</v>
      </c>
      <c r="BR91" s="82">
        <f t="shared" si="29"/>
        <v>0</v>
      </c>
      <c r="BS91" s="82">
        <f t="shared" si="29"/>
        <v>0</v>
      </c>
      <c r="BT91" s="82">
        <f t="shared" si="29"/>
        <v>0</v>
      </c>
      <c r="BU91" s="82">
        <f t="shared" si="29"/>
        <v>0</v>
      </c>
      <c r="BV91" s="82">
        <f t="shared" si="29"/>
        <v>0</v>
      </c>
      <c r="BW91" s="82">
        <f t="shared" si="29"/>
        <v>0</v>
      </c>
    </row>
    <row r="92" spans="1:75" ht="15.75" thickBot="1">
      <c r="A92" s="87" t="s">
        <v>117</v>
      </c>
      <c r="B92" s="70">
        <f t="shared" ref="B92:AG92" si="30">SUM(B79:B91)</f>
        <v>348.6</v>
      </c>
      <c r="C92" s="70">
        <f t="shared" si="30"/>
        <v>323.60000000000008</v>
      </c>
      <c r="D92" s="70">
        <f t="shared" ref="D92" si="31">SUM(D79:D91)</f>
        <v>323.60000000000008</v>
      </c>
      <c r="E92" s="70">
        <f t="shared" si="30"/>
        <v>311.60000000000008</v>
      </c>
      <c r="F92" s="70">
        <f t="shared" ref="F92" si="32">SUM(F79:F91)</f>
        <v>311.60000000000008</v>
      </c>
      <c r="G92" s="70">
        <f t="shared" si="30"/>
        <v>311.60000000000008</v>
      </c>
      <c r="H92" s="70">
        <f t="shared" si="30"/>
        <v>302.60000000000002</v>
      </c>
      <c r="I92" s="70">
        <f t="shared" si="30"/>
        <v>302.60000000000002</v>
      </c>
      <c r="J92" s="70">
        <f t="shared" si="30"/>
        <v>2</v>
      </c>
      <c r="K92" s="70">
        <f t="shared" si="30"/>
        <v>2</v>
      </c>
      <c r="L92" s="70">
        <f t="shared" si="30"/>
        <v>2</v>
      </c>
      <c r="M92" s="70">
        <f t="shared" si="30"/>
        <v>2</v>
      </c>
      <c r="N92" s="70">
        <f t="shared" si="30"/>
        <v>2</v>
      </c>
      <c r="O92" s="70">
        <f t="shared" si="30"/>
        <v>2</v>
      </c>
      <c r="P92" s="70">
        <f t="shared" si="30"/>
        <v>2</v>
      </c>
      <c r="Q92" s="70">
        <f t="shared" si="30"/>
        <v>2</v>
      </c>
      <c r="R92" s="70">
        <f t="shared" si="30"/>
        <v>2</v>
      </c>
      <c r="S92" s="70">
        <f t="shared" si="30"/>
        <v>2</v>
      </c>
      <c r="T92" s="70">
        <f t="shared" si="30"/>
        <v>2</v>
      </c>
      <c r="U92" s="70">
        <f t="shared" si="30"/>
        <v>2</v>
      </c>
      <c r="V92" s="70">
        <f t="shared" si="30"/>
        <v>2</v>
      </c>
      <c r="W92" s="70">
        <f t="shared" si="30"/>
        <v>2</v>
      </c>
      <c r="X92" s="70">
        <f t="shared" si="30"/>
        <v>2</v>
      </c>
      <c r="Y92" s="70">
        <f t="shared" si="30"/>
        <v>2</v>
      </c>
      <c r="Z92" s="70">
        <f t="shared" si="30"/>
        <v>2</v>
      </c>
      <c r="AA92" s="70">
        <f t="shared" si="30"/>
        <v>2</v>
      </c>
      <c r="AB92" s="70">
        <f t="shared" si="30"/>
        <v>2</v>
      </c>
      <c r="AC92" s="70">
        <f t="shared" si="30"/>
        <v>2</v>
      </c>
      <c r="AD92" s="70">
        <f t="shared" si="30"/>
        <v>2</v>
      </c>
      <c r="AE92" s="70">
        <f t="shared" si="30"/>
        <v>2</v>
      </c>
      <c r="AF92" s="70">
        <f t="shared" si="30"/>
        <v>2</v>
      </c>
      <c r="AG92" s="80">
        <f t="shared" si="30"/>
        <v>489.91</v>
      </c>
      <c r="AH92" s="46">
        <f t="shared" si="22"/>
        <v>348.6</v>
      </c>
      <c r="AI92" s="47">
        <f t="shared" si="23"/>
        <v>2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2"/>
        <v>40</v>
      </c>
      <c r="AI93" s="47">
        <f t="shared" si="23"/>
        <v>20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2"/>
        <v>20</v>
      </c>
      <c r="AI94" s="47">
        <f t="shared" si="23"/>
        <v>10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2"/>
        <v>8</v>
      </c>
      <c r="AI95" s="47">
        <f t="shared" si="23"/>
        <v>5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3">B93+B94+B95</f>
        <v>68</v>
      </c>
      <c r="C96" s="70">
        <f t="shared" si="33"/>
        <v>68</v>
      </c>
      <c r="D96" s="70">
        <f t="shared" si="33"/>
        <v>68</v>
      </c>
      <c r="E96" s="70">
        <f t="shared" si="33"/>
        <v>51</v>
      </c>
      <c r="F96" s="70">
        <f t="shared" si="33"/>
        <v>35</v>
      </c>
      <c r="G96" s="70">
        <f t="shared" si="33"/>
        <v>35</v>
      </c>
      <c r="H96" s="70">
        <f t="shared" si="33"/>
        <v>35</v>
      </c>
      <c r="I96" s="70">
        <f t="shared" si="33"/>
        <v>35</v>
      </c>
      <c r="J96" s="70">
        <f t="shared" si="33"/>
        <v>0</v>
      </c>
      <c r="K96" s="70">
        <f t="shared" si="33"/>
        <v>0</v>
      </c>
      <c r="L96" s="70">
        <f t="shared" si="33"/>
        <v>0</v>
      </c>
      <c r="M96" s="70">
        <f t="shared" si="33"/>
        <v>0</v>
      </c>
      <c r="N96" s="70">
        <f t="shared" si="33"/>
        <v>0</v>
      </c>
      <c r="O96" s="70">
        <f t="shared" si="33"/>
        <v>0</v>
      </c>
      <c r="P96" s="70">
        <f t="shared" si="33"/>
        <v>0</v>
      </c>
      <c r="Q96" s="70">
        <f t="shared" si="33"/>
        <v>0</v>
      </c>
      <c r="R96" s="70">
        <f t="shared" si="33"/>
        <v>0</v>
      </c>
      <c r="S96" s="70">
        <f t="shared" si="33"/>
        <v>0</v>
      </c>
      <c r="T96" s="70">
        <f t="shared" si="33"/>
        <v>0</v>
      </c>
      <c r="U96" s="70">
        <f t="shared" si="33"/>
        <v>0</v>
      </c>
      <c r="V96" s="70">
        <f t="shared" si="33"/>
        <v>0</v>
      </c>
      <c r="W96" s="70">
        <f t="shared" si="33"/>
        <v>0</v>
      </c>
      <c r="X96" s="70">
        <f t="shared" si="33"/>
        <v>0</v>
      </c>
      <c r="Y96" s="70">
        <f t="shared" si="33"/>
        <v>0</v>
      </c>
      <c r="Z96" s="70">
        <f t="shared" si="33"/>
        <v>0</v>
      </c>
      <c r="AA96" s="70">
        <f t="shared" si="33"/>
        <v>0</v>
      </c>
      <c r="AB96" s="70">
        <f t="shared" si="33"/>
        <v>0</v>
      </c>
      <c r="AC96" s="70">
        <f t="shared" si="33"/>
        <v>0</v>
      </c>
      <c r="AD96" s="70">
        <f t="shared" si="33"/>
        <v>0</v>
      </c>
      <c r="AE96" s="70">
        <f t="shared" si="33"/>
        <v>0</v>
      </c>
      <c r="AF96" s="70">
        <f t="shared" si="33"/>
        <v>0</v>
      </c>
      <c r="AG96" s="80">
        <f>SUM(AG93:AG95)</f>
        <v>106</v>
      </c>
      <c r="AH96" s="46">
        <f t="shared" si="22"/>
        <v>68</v>
      </c>
      <c r="AI96" s="47">
        <f t="shared" si="23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2"/>
        <v>-410</v>
      </c>
      <c r="AI97" s="47">
        <f t="shared" si="23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2"/>
        <v>3</v>
      </c>
      <c r="AI98" s="47">
        <f t="shared" si="23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2"/>
        <v>62</v>
      </c>
      <c r="AI99" s="47">
        <f t="shared" si="23"/>
        <v>51.9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2"/>
        <v>18</v>
      </c>
      <c r="AI100" s="47">
        <f t="shared" si="23"/>
        <v>13.5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2"/>
        <v>0</v>
      </c>
      <c r="AI101" s="47">
        <f t="shared" si="23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2"/>
        <v>60</v>
      </c>
      <c r="AI102" s="47">
        <f t="shared" si="23"/>
        <v>18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2"/>
        <v>0</v>
      </c>
      <c r="AI103" s="47">
        <f t="shared" si="23"/>
        <v>0</v>
      </c>
      <c r="AK103" s="94"/>
      <c r="AL103" s="97"/>
      <c r="AM103" s="99"/>
      <c r="AN103" s="222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2"/>
        <v>0</v>
      </c>
      <c r="AI104" s="47">
        <f t="shared" si="23"/>
        <v>0</v>
      </c>
      <c r="AK104" s="94"/>
      <c r="AL104" s="97"/>
      <c r="AM104" s="97"/>
      <c r="AN104" s="223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2"/>
        <v>0</v>
      </c>
      <c r="AI105" s="47">
        <f t="shared" si="23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2"/>
        <v>0</v>
      </c>
      <c r="AI106" s="47">
        <f t="shared" si="23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2"/>
        <v>0</v>
      </c>
      <c r="AI107" s="47">
        <f t="shared" si="23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4">SUMIF(B97:B107,"&gt;0")</f>
        <v>97.5</v>
      </c>
      <c r="C108" s="70">
        <f t="shared" si="34"/>
        <v>80</v>
      </c>
      <c r="D108" s="70">
        <f t="shared" si="34"/>
        <v>80.180000000000007</v>
      </c>
      <c r="E108" s="70">
        <f t="shared" si="34"/>
        <v>84.4</v>
      </c>
      <c r="F108" s="70">
        <f t="shared" si="34"/>
        <v>99.2</v>
      </c>
      <c r="G108" s="70">
        <f t="shared" si="34"/>
        <v>136.5</v>
      </c>
      <c r="H108" s="70">
        <f t="shared" si="34"/>
        <v>124.3</v>
      </c>
      <c r="I108" s="70">
        <f t="shared" si="34"/>
        <v>118.80000000000001</v>
      </c>
      <c r="J108" s="70">
        <f t="shared" si="34"/>
        <v>0</v>
      </c>
      <c r="K108" s="70">
        <f t="shared" si="34"/>
        <v>0</v>
      </c>
      <c r="L108" s="70">
        <f t="shared" si="34"/>
        <v>0</v>
      </c>
      <c r="M108" s="70">
        <f t="shared" si="34"/>
        <v>0</v>
      </c>
      <c r="N108" s="70">
        <f t="shared" si="34"/>
        <v>0</v>
      </c>
      <c r="O108" s="70">
        <f t="shared" si="34"/>
        <v>0</v>
      </c>
      <c r="P108" s="70">
        <f t="shared" si="34"/>
        <v>0</v>
      </c>
      <c r="Q108" s="70">
        <f t="shared" si="34"/>
        <v>0</v>
      </c>
      <c r="R108" s="70">
        <f t="shared" si="34"/>
        <v>0</v>
      </c>
      <c r="S108" s="70">
        <f t="shared" si="34"/>
        <v>0</v>
      </c>
      <c r="T108" s="70">
        <f t="shared" si="34"/>
        <v>0</v>
      </c>
      <c r="U108" s="70">
        <f t="shared" si="34"/>
        <v>0</v>
      </c>
      <c r="V108" s="70">
        <f t="shared" si="34"/>
        <v>0</v>
      </c>
      <c r="W108" s="70">
        <f t="shared" si="34"/>
        <v>0</v>
      </c>
      <c r="X108" s="70">
        <f t="shared" si="34"/>
        <v>0</v>
      </c>
      <c r="Y108" s="70">
        <f t="shared" si="34"/>
        <v>0</v>
      </c>
      <c r="Z108" s="70">
        <f t="shared" si="34"/>
        <v>0</v>
      </c>
      <c r="AA108" s="70">
        <f t="shared" si="34"/>
        <v>0</v>
      </c>
      <c r="AB108" s="70">
        <f t="shared" si="34"/>
        <v>0</v>
      </c>
      <c r="AC108" s="70">
        <f t="shared" si="34"/>
        <v>0</v>
      </c>
      <c r="AD108" s="70">
        <f t="shared" si="34"/>
        <v>0</v>
      </c>
      <c r="AE108" s="70">
        <f t="shared" si="34"/>
        <v>0</v>
      </c>
      <c r="AF108" s="70">
        <f t="shared" si="34"/>
        <v>0</v>
      </c>
      <c r="AG108" s="104">
        <f>SUM(AG97:AG107)</f>
        <v>0</v>
      </c>
      <c r="AH108" s="46">
        <f t="shared" si="22"/>
        <v>136.5</v>
      </c>
      <c r="AI108" s="47">
        <f t="shared" si="23"/>
        <v>0</v>
      </c>
      <c r="AJ108" s="105">
        <f t="array" ref="AJ108">MIN(IF(B108:AF108&lt;&gt;0,B108:AF108))</f>
        <v>80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2"/>
        <v>0</v>
      </c>
      <c r="AI109" s="47">
        <f t="shared" si="23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2"/>
        <v>0</v>
      </c>
      <c r="AI110" s="47">
        <f t="shared" si="23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2"/>
        <v>0</v>
      </c>
      <c r="AI111" s="47">
        <f t="shared" si="23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2"/>
        <v>0</v>
      </c>
      <c r="AI112" s="47">
        <f t="shared" si="23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5">B71+B78+B96+B92+B108+B112</f>
        <v>1908.13</v>
      </c>
      <c r="C113" s="108">
        <f t="shared" si="35"/>
        <v>1843.63</v>
      </c>
      <c r="D113" s="108">
        <f t="shared" si="35"/>
        <v>1923.1100000000001</v>
      </c>
      <c r="E113" s="108">
        <f t="shared" si="35"/>
        <v>1839.6000000000001</v>
      </c>
      <c r="F113" s="108">
        <f t="shared" si="35"/>
        <v>1868.3</v>
      </c>
      <c r="G113" s="108">
        <f t="shared" si="35"/>
        <v>1085.4000000000001</v>
      </c>
      <c r="H113" s="108">
        <f t="shared" si="35"/>
        <v>1012.7999999999998</v>
      </c>
      <c r="I113" s="108">
        <f t="shared" si="35"/>
        <v>957.3</v>
      </c>
      <c r="J113" s="108">
        <f t="shared" si="35"/>
        <v>152</v>
      </c>
      <c r="K113" s="108">
        <f t="shared" si="35"/>
        <v>152</v>
      </c>
      <c r="L113" s="108">
        <f t="shared" si="35"/>
        <v>152</v>
      </c>
      <c r="M113" s="108">
        <f t="shared" si="35"/>
        <v>152</v>
      </c>
      <c r="N113" s="108">
        <f t="shared" si="35"/>
        <v>152</v>
      </c>
      <c r="O113" s="108">
        <f t="shared" si="35"/>
        <v>152</v>
      </c>
      <c r="P113" s="108">
        <f t="shared" si="35"/>
        <v>152</v>
      </c>
      <c r="Q113" s="108">
        <f t="shared" si="35"/>
        <v>152</v>
      </c>
      <c r="R113" s="108">
        <f t="shared" si="35"/>
        <v>152</v>
      </c>
      <c r="S113" s="108">
        <f t="shared" si="35"/>
        <v>152</v>
      </c>
      <c r="T113" s="108">
        <f t="shared" si="35"/>
        <v>152</v>
      </c>
      <c r="U113" s="108">
        <f t="shared" si="35"/>
        <v>152</v>
      </c>
      <c r="V113" s="108">
        <f t="shared" si="35"/>
        <v>152</v>
      </c>
      <c r="W113" s="108">
        <f t="shared" si="35"/>
        <v>152</v>
      </c>
      <c r="X113" s="108">
        <f t="shared" si="35"/>
        <v>152</v>
      </c>
      <c r="Y113" s="108">
        <f t="shared" si="35"/>
        <v>152</v>
      </c>
      <c r="Z113" s="108">
        <f t="shared" si="35"/>
        <v>152</v>
      </c>
      <c r="AA113" s="108">
        <f t="shared" si="35"/>
        <v>152</v>
      </c>
      <c r="AB113" s="108">
        <f t="shared" si="35"/>
        <v>152</v>
      </c>
      <c r="AC113" s="108">
        <f t="shared" si="35"/>
        <v>152</v>
      </c>
      <c r="AD113" s="108">
        <f t="shared" si="35"/>
        <v>152</v>
      </c>
      <c r="AE113" s="108">
        <f t="shared" si="35"/>
        <v>152</v>
      </c>
      <c r="AF113" s="108">
        <f t="shared" si="35"/>
        <v>152</v>
      </c>
      <c r="AG113" s="80">
        <f t="shared" si="35"/>
        <v>3169.915</v>
      </c>
      <c r="AH113" s="46">
        <f t="shared" si="22"/>
        <v>1923.1100000000001</v>
      </c>
      <c r="AI113" s="47">
        <f t="shared" si="23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2"/>
        <v>0</v>
      </c>
      <c r="AI114" s="47">
        <f t="shared" si="23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36">C113+C114</f>
        <v>1843.63</v>
      </c>
      <c r="D115" s="108">
        <f t="shared" si="36"/>
        <v>1923.1100000000001</v>
      </c>
      <c r="E115" s="108">
        <f t="shared" si="36"/>
        <v>1839.6000000000001</v>
      </c>
      <c r="F115" s="108">
        <f t="shared" si="36"/>
        <v>1868.3</v>
      </c>
      <c r="G115" s="108">
        <f t="shared" si="36"/>
        <v>1085.4000000000001</v>
      </c>
      <c r="H115" s="108">
        <f t="shared" si="36"/>
        <v>1012.7999999999998</v>
      </c>
      <c r="I115" s="108">
        <f t="shared" si="36"/>
        <v>957.3</v>
      </c>
      <c r="J115" s="108">
        <f t="shared" si="36"/>
        <v>152</v>
      </c>
      <c r="K115" s="108">
        <f t="shared" si="36"/>
        <v>152</v>
      </c>
      <c r="L115" s="108">
        <f t="shared" si="36"/>
        <v>152</v>
      </c>
      <c r="M115" s="108">
        <f t="shared" si="36"/>
        <v>152</v>
      </c>
      <c r="N115" s="108">
        <f t="shared" si="36"/>
        <v>152</v>
      </c>
      <c r="O115" s="108">
        <f t="shared" si="36"/>
        <v>152</v>
      </c>
      <c r="P115" s="108">
        <f t="shared" si="36"/>
        <v>152</v>
      </c>
      <c r="Q115" s="108">
        <f t="shared" si="36"/>
        <v>152</v>
      </c>
      <c r="R115" s="108">
        <f t="shared" si="36"/>
        <v>152</v>
      </c>
      <c r="S115" s="108">
        <f t="shared" si="36"/>
        <v>152</v>
      </c>
      <c r="T115" s="108">
        <f t="shared" si="36"/>
        <v>152</v>
      </c>
      <c r="U115" s="108">
        <f t="shared" si="36"/>
        <v>152</v>
      </c>
      <c r="V115" s="108">
        <f t="shared" si="36"/>
        <v>152</v>
      </c>
      <c r="W115" s="108">
        <f t="shared" si="36"/>
        <v>152</v>
      </c>
      <c r="X115" s="108">
        <f t="shared" si="36"/>
        <v>152</v>
      </c>
      <c r="Y115" s="108">
        <f t="shared" si="36"/>
        <v>152</v>
      </c>
      <c r="Z115" s="108">
        <f t="shared" si="36"/>
        <v>152</v>
      </c>
      <c r="AA115" s="108">
        <f t="shared" si="36"/>
        <v>152</v>
      </c>
      <c r="AB115" s="108">
        <f t="shared" si="36"/>
        <v>152</v>
      </c>
      <c r="AC115" s="108">
        <f t="shared" si="36"/>
        <v>152</v>
      </c>
      <c r="AD115" s="108">
        <f t="shared" si="36"/>
        <v>152</v>
      </c>
      <c r="AE115" s="108">
        <f t="shared" si="36"/>
        <v>152</v>
      </c>
      <c r="AF115" s="108">
        <f t="shared" si="36"/>
        <v>152</v>
      </c>
      <c r="AG115" s="104">
        <f>AG112+AG108+AG96+AG92+AG71+AG114</f>
        <v>2463.5149999999999</v>
      </c>
      <c r="AH115" s="46">
        <f t="shared" si="22"/>
        <v>1923.1100000000001</v>
      </c>
      <c r="AI115" s="47">
        <f t="shared" si="23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37">C115-(C123)</f>
        <v>1395.63</v>
      </c>
      <c r="D116" s="108">
        <f t="shared" si="37"/>
        <v>1393.0100000000002</v>
      </c>
      <c r="E116" s="108">
        <f t="shared" si="37"/>
        <v>1393.7000000000003</v>
      </c>
      <c r="F116" s="108">
        <f t="shared" si="37"/>
        <v>1394.8</v>
      </c>
      <c r="G116" s="108">
        <f t="shared" si="37"/>
        <v>595.40000000000009</v>
      </c>
      <c r="H116" s="108">
        <f t="shared" si="37"/>
        <v>537.79999999999984</v>
      </c>
      <c r="I116" s="108">
        <f t="shared" si="37"/>
        <v>477.29999999999995</v>
      </c>
      <c r="J116" s="108">
        <f t="shared" si="37"/>
        <v>152</v>
      </c>
      <c r="K116" s="108">
        <f t="shared" si="37"/>
        <v>152</v>
      </c>
      <c r="L116" s="108">
        <f t="shared" si="37"/>
        <v>152</v>
      </c>
      <c r="M116" s="108">
        <f t="shared" si="37"/>
        <v>152</v>
      </c>
      <c r="N116" s="108">
        <f t="shared" si="37"/>
        <v>152</v>
      </c>
      <c r="O116" s="108">
        <f t="shared" si="37"/>
        <v>152</v>
      </c>
      <c r="P116" s="108">
        <f t="shared" si="37"/>
        <v>152</v>
      </c>
      <c r="Q116" s="108">
        <f t="shared" si="37"/>
        <v>152</v>
      </c>
      <c r="R116" s="108">
        <f t="shared" si="37"/>
        <v>152</v>
      </c>
      <c r="S116" s="108">
        <f t="shared" si="37"/>
        <v>152</v>
      </c>
      <c r="T116" s="108">
        <f t="shared" si="37"/>
        <v>152</v>
      </c>
      <c r="U116" s="108">
        <f t="shared" si="37"/>
        <v>152</v>
      </c>
      <c r="V116" s="108">
        <f t="shared" si="37"/>
        <v>152</v>
      </c>
      <c r="W116" s="108">
        <f t="shared" si="37"/>
        <v>152</v>
      </c>
      <c r="X116" s="108">
        <f t="shared" si="37"/>
        <v>152</v>
      </c>
      <c r="Y116" s="108">
        <f t="shared" si="37"/>
        <v>152</v>
      </c>
      <c r="Z116" s="108">
        <f t="shared" si="37"/>
        <v>152</v>
      </c>
      <c r="AA116" s="108">
        <f t="shared" si="37"/>
        <v>152</v>
      </c>
      <c r="AB116" s="108">
        <f t="shared" si="37"/>
        <v>152</v>
      </c>
      <c r="AC116" s="108">
        <f t="shared" si="37"/>
        <v>152</v>
      </c>
      <c r="AD116" s="108">
        <f t="shared" si="37"/>
        <v>152</v>
      </c>
      <c r="AE116" s="108">
        <f t="shared" si="37"/>
        <v>152</v>
      </c>
      <c r="AF116" s="108">
        <f t="shared" si="37"/>
        <v>152</v>
      </c>
      <c r="AG116" s="104"/>
      <c r="AH116" s="46">
        <f t="shared" si="22"/>
        <v>1498.13</v>
      </c>
      <c r="AI116" s="47">
        <f t="shared" si="23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38">IF(B97&lt;0,B97*-1,0)</f>
        <v>410</v>
      </c>
      <c r="C117" s="93">
        <f t="shared" si="38"/>
        <v>448</v>
      </c>
      <c r="D117" s="93">
        <f t="shared" si="38"/>
        <v>530.1</v>
      </c>
      <c r="E117" s="93">
        <f t="shared" si="38"/>
        <v>445.9</v>
      </c>
      <c r="F117" s="93">
        <f t="shared" si="38"/>
        <v>473.5</v>
      </c>
      <c r="G117" s="93">
        <f t="shared" si="38"/>
        <v>490</v>
      </c>
      <c r="H117" s="93">
        <f t="shared" si="38"/>
        <v>475</v>
      </c>
      <c r="I117" s="93">
        <f t="shared" si="38"/>
        <v>480</v>
      </c>
      <c r="J117" s="93">
        <f t="shared" si="38"/>
        <v>0</v>
      </c>
      <c r="K117" s="93">
        <f t="shared" si="38"/>
        <v>0</v>
      </c>
      <c r="L117" s="93">
        <f t="shared" si="38"/>
        <v>0</v>
      </c>
      <c r="M117" s="93">
        <f t="shared" si="38"/>
        <v>0</v>
      </c>
      <c r="N117" s="93">
        <f t="shared" si="38"/>
        <v>0</v>
      </c>
      <c r="O117" s="93">
        <f t="shared" si="38"/>
        <v>0</v>
      </c>
      <c r="P117" s="93">
        <f t="shared" si="38"/>
        <v>0</v>
      </c>
      <c r="Q117" s="93">
        <f t="shared" si="38"/>
        <v>0</v>
      </c>
      <c r="R117" s="93">
        <f t="shared" si="38"/>
        <v>0</v>
      </c>
      <c r="S117" s="93">
        <f t="shared" si="38"/>
        <v>0</v>
      </c>
      <c r="T117" s="93">
        <f t="shared" si="38"/>
        <v>0</v>
      </c>
      <c r="U117" s="93">
        <f t="shared" si="38"/>
        <v>0</v>
      </c>
      <c r="V117" s="93">
        <f t="shared" si="38"/>
        <v>0</v>
      </c>
      <c r="W117" s="93">
        <f t="shared" si="38"/>
        <v>0</v>
      </c>
      <c r="X117" s="93">
        <f t="shared" si="38"/>
        <v>0</v>
      </c>
      <c r="Y117" s="93">
        <f t="shared" si="38"/>
        <v>0</v>
      </c>
      <c r="Z117" s="93">
        <f t="shared" si="38"/>
        <v>0</v>
      </c>
      <c r="AA117" s="93">
        <f t="shared" si="38"/>
        <v>0</v>
      </c>
      <c r="AB117" s="93">
        <f t="shared" si="38"/>
        <v>0</v>
      </c>
      <c r="AC117" s="93">
        <f t="shared" si="38"/>
        <v>0</v>
      </c>
      <c r="AD117" s="93">
        <f t="shared" si="38"/>
        <v>0</v>
      </c>
      <c r="AE117" s="93">
        <f t="shared" si="38"/>
        <v>0</v>
      </c>
      <c r="AF117" s="93">
        <f t="shared" si="38"/>
        <v>0</v>
      </c>
      <c r="AG117" s="61"/>
      <c r="AH117" s="46">
        <f t="shared" si="22"/>
        <v>530.1</v>
      </c>
      <c r="AI117" s="47">
        <f t="shared" si="23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8"/>
        <v>0</v>
      </c>
      <c r="C118" s="93">
        <f t="shared" si="38"/>
        <v>0</v>
      </c>
      <c r="D118" s="93">
        <f t="shared" si="38"/>
        <v>0</v>
      </c>
      <c r="E118" s="93">
        <f t="shared" si="38"/>
        <v>0</v>
      </c>
      <c r="F118" s="93">
        <f t="shared" si="38"/>
        <v>0</v>
      </c>
      <c r="G118" s="93">
        <f t="shared" si="38"/>
        <v>0</v>
      </c>
      <c r="H118" s="93">
        <f t="shared" si="38"/>
        <v>0</v>
      </c>
      <c r="I118" s="93">
        <f t="shared" si="38"/>
        <v>0</v>
      </c>
      <c r="J118" s="93">
        <f t="shared" si="38"/>
        <v>0</v>
      </c>
      <c r="K118" s="93">
        <f t="shared" si="38"/>
        <v>0</v>
      </c>
      <c r="L118" s="93">
        <f t="shared" si="38"/>
        <v>0</v>
      </c>
      <c r="M118" s="93">
        <f t="shared" si="38"/>
        <v>0</v>
      </c>
      <c r="N118" s="93">
        <f t="shared" si="38"/>
        <v>0</v>
      </c>
      <c r="O118" s="93">
        <f t="shared" si="38"/>
        <v>0</v>
      </c>
      <c r="P118" s="93">
        <f t="shared" si="38"/>
        <v>0</v>
      </c>
      <c r="Q118" s="93">
        <f t="shared" si="38"/>
        <v>0</v>
      </c>
      <c r="R118" s="93">
        <f t="shared" si="38"/>
        <v>0</v>
      </c>
      <c r="S118" s="93">
        <f t="shared" si="38"/>
        <v>0</v>
      </c>
      <c r="T118" s="93">
        <f t="shared" si="38"/>
        <v>0</v>
      </c>
      <c r="U118" s="93">
        <f t="shared" si="38"/>
        <v>0</v>
      </c>
      <c r="V118" s="93">
        <f t="shared" si="38"/>
        <v>0</v>
      </c>
      <c r="W118" s="93">
        <f t="shared" si="38"/>
        <v>0</v>
      </c>
      <c r="X118" s="93">
        <f t="shared" si="38"/>
        <v>0</v>
      </c>
      <c r="Y118" s="93">
        <f t="shared" si="38"/>
        <v>0</v>
      </c>
      <c r="Z118" s="93">
        <f t="shared" si="38"/>
        <v>0</v>
      </c>
      <c r="AA118" s="93">
        <f t="shared" si="38"/>
        <v>0</v>
      </c>
      <c r="AB118" s="93">
        <f t="shared" si="38"/>
        <v>0</v>
      </c>
      <c r="AC118" s="93">
        <f t="shared" si="38"/>
        <v>0</v>
      </c>
      <c r="AD118" s="93">
        <f t="shared" si="38"/>
        <v>0</v>
      </c>
      <c r="AE118" s="93">
        <f t="shared" si="38"/>
        <v>0</v>
      </c>
      <c r="AF118" s="93">
        <f t="shared" si="38"/>
        <v>0</v>
      </c>
      <c r="AG118" s="64"/>
      <c r="AH118" s="46">
        <f t="shared" si="22"/>
        <v>0</v>
      </c>
      <c r="AI118" s="47">
        <f t="shared" si="23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8"/>
        <v>0</v>
      </c>
      <c r="C119" s="93">
        <f t="shared" si="38"/>
        <v>0</v>
      </c>
      <c r="D119" s="93">
        <f t="shared" si="38"/>
        <v>0</v>
      </c>
      <c r="E119" s="93">
        <f t="shared" si="38"/>
        <v>0</v>
      </c>
      <c r="F119" s="93">
        <f t="shared" si="38"/>
        <v>0</v>
      </c>
      <c r="G119" s="93">
        <f t="shared" si="38"/>
        <v>0</v>
      </c>
      <c r="H119" s="93">
        <f t="shared" si="38"/>
        <v>0</v>
      </c>
      <c r="I119" s="93">
        <f t="shared" si="38"/>
        <v>0</v>
      </c>
      <c r="J119" s="93">
        <f t="shared" si="38"/>
        <v>0</v>
      </c>
      <c r="K119" s="93">
        <f t="shared" si="38"/>
        <v>0</v>
      </c>
      <c r="L119" s="93">
        <f t="shared" si="38"/>
        <v>0</v>
      </c>
      <c r="M119" s="93">
        <f t="shared" si="38"/>
        <v>0</v>
      </c>
      <c r="N119" s="93">
        <f t="shared" si="38"/>
        <v>0</v>
      </c>
      <c r="O119" s="93">
        <f t="shared" si="38"/>
        <v>0</v>
      </c>
      <c r="P119" s="93">
        <f t="shared" si="38"/>
        <v>0</v>
      </c>
      <c r="Q119" s="93">
        <f t="shared" si="38"/>
        <v>0</v>
      </c>
      <c r="R119" s="93">
        <f t="shared" si="38"/>
        <v>0</v>
      </c>
      <c r="S119" s="93">
        <f t="shared" si="38"/>
        <v>0</v>
      </c>
      <c r="T119" s="93">
        <f t="shared" si="38"/>
        <v>0</v>
      </c>
      <c r="U119" s="93">
        <f t="shared" si="38"/>
        <v>0</v>
      </c>
      <c r="V119" s="93">
        <f t="shared" si="38"/>
        <v>0</v>
      </c>
      <c r="W119" s="93">
        <f t="shared" si="38"/>
        <v>0</v>
      </c>
      <c r="X119" s="93">
        <f t="shared" si="38"/>
        <v>0</v>
      </c>
      <c r="Y119" s="93">
        <f t="shared" si="38"/>
        <v>0</v>
      </c>
      <c r="Z119" s="93">
        <f t="shared" si="38"/>
        <v>0</v>
      </c>
      <c r="AA119" s="93">
        <f t="shared" si="38"/>
        <v>0</v>
      </c>
      <c r="AB119" s="93">
        <f t="shared" si="38"/>
        <v>0</v>
      </c>
      <c r="AC119" s="93">
        <f t="shared" si="38"/>
        <v>0</v>
      </c>
      <c r="AD119" s="93">
        <f t="shared" si="38"/>
        <v>0</v>
      </c>
      <c r="AE119" s="93">
        <f t="shared" si="38"/>
        <v>0</v>
      </c>
      <c r="AF119" s="93">
        <f t="shared" si="38"/>
        <v>0</v>
      </c>
      <c r="AG119" s="111"/>
      <c r="AH119" s="46">
        <f t="shared" si="22"/>
        <v>0</v>
      </c>
      <c r="AI119" s="47">
        <f t="shared" si="23"/>
        <v>0</v>
      </c>
    </row>
    <row r="120" spans="1:64">
      <c r="A120" s="96" t="s">
        <v>126</v>
      </c>
      <c r="B120" s="93">
        <f t="shared" si="38"/>
        <v>0</v>
      </c>
      <c r="C120" s="93">
        <f t="shared" si="38"/>
        <v>0</v>
      </c>
      <c r="D120" s="93">
        <f t="shared" si="38"/>
        <v>0</v>
      </c>
      <c r="E120" s="93">
        <f t="shared" si="38"/>
        <v>0</v>
      </c>
      <c r="F120" s="93">
        <f t="shared" si="38"/>
        <v>0</v>
      </c>
      <c r="G120" s="93">
        <f t="shared" si="38"/>
        <v>0</v>
      </c>
      <c r="H120" s="93">
        <f t="shared" si="38"/>
        <v>0</v>
      </c>
      <c r="I120" s="93">
        <f t="shared" si="38"/>
        <v>0</v>
      </c>
      <c r="J120" s="93">
        <f t="shared" si="38"/>
        <v>0</v>
      </c>
      <c r="K120" s="93">
        <f t="shared" si="38"/>
        <v>0</v>
      </c>
      <c r="L120" s="93">
        <f t="shared" si="38"/>
        <v>0</v>
      </c>
      <c r="M120" s="93">
        <f t="shared" si="38"/>
        <v>0</v>
      </c>
      <c r="N120" s="93">
        <f t="shared" si="38"/>
        <v>0</v>
      </c>
      <c r="O120" s="93">
        <f t="shared" si="38"/>
        <v>0</v>
      </c>
      <c r="P120" s="93">
        <f t="shared" si="38"/>
        <v>0</v>
      </c>
      <c r="Q120" s="93">
        <f t="shared" si="38"/>
        <v>0</v>
      </c>
      <c r="R120" s="93">
        <f t="shared" si="38"/>
        <v>0</v>
      </c>
      <c r="S120" s="93">
        <f t="shared" si="38"/>
        <v>0</v>
      </c>
      <c r="T120" s="93">
        <f t="shared" si="38"/>
        <v>0</v>
      </c>
      <c r="U120" s="93">
        <f t="shared" si="38"/>
        <v>0</v>
      </c>
      <c r="V120" s="93">
        <f t="shared" si="38"/>
        <v>0</v>
      </c>
      <c r="W120" s="93">
        <f t="shared" si="38"/>
        <v>0</v>
      </c>
      <c r="X120" s="93">
        <f t="shared" si="38"/>
        <v>0</v>
      </c>
      <c r="Y120" s="93">
        <f t="shared" si="38"/>
        <v>0</v>
      </c>
      <c r="Z120" s="93">
        <f t="shared" si="38"/>
        <v>0</v>
      </c>
      <c r="AA120" s="93">
        <f t="shared" si="38"/>
        <v>0</v>
      </c>
      <c r="AB120" s="93">
        <f t="shared" si="38"/>
        <v>0</v>
      </c>
      <c r="AC120" s="93">
        <f t="shared" si="38"/>
        <v>0</v>
      </c>
      <c r="AD120" s="93">
        <f t="shared" si="38"/>
        <v>0</v>
      </c>
      <c r="AE120" s="93">
        <f t="shared" si="38"/>
        <v>0</v>
      </c>
      <c r="AF120" s="93">
        <f t="shared" si="38"/>
        <v>0</v>
      </c>
      <c r="AG120" s="111"/>
      <c r="AH120" s="46">
        <f t="shared" si="22"/>
        <v>0</v>
      </c>
      <c r="AI120" s="47">
        <f t="shared" si="23"/>
        <v>0</v>
      </c>
    </row>
    <row r="121" spans="1:64">
      <c r="A121" s="96" t="s">
        <v>128</v>
      </c>
      <c r="B121" s="93">
        <f t="shared" si="38"/>
        <v>0</v>
      </c>
      <c r="C121" s="93">
        <f t="shared" si="38"/>
        <v>0</v>
      </c>
      <c r="D121" s="93">
        <f t="shared" si="38"/>
        <v>0</v>
      </c>
      <c r="E121" s="93">
        <f t="shared" si="38"/>
        <v>0</v>
      </c>
      <c r="F121" s="93">
        <f t="shared" si="38"/>
        <v>0</v>
      </c>
      <c r="G121" s="93">
        <f t="shared" si="38"/>
        <v>0</v>
      </c>
      <c r="H121" s="93">
        <f t="shared" si="38"/>
        <v>0</v>
      </c>
      <c r="I121" s="93">
        <f t="shared" si="38"/>
        <v>0</v>
      </c>
      <c r="J121" s="93">
        <f t="shared" si="38"/>
        <v>0</v>
      </c>
      <c r="K121" s="93">
        <f t="shared" si="38"/>
        <v>0</v>
      </c>
      <c r="L121" s="93">
        <f t="shared" si="38"/>
        <v>0</v>
      </c>
      <c r="M121" s="93">
        <f t="shared" si="38"/>
        <v>0</v>
      </c>
      <c r="N121" s="93">
        <f t="shared" si="38"/>
        <v>0</v>
      </c>
      <c r="O121" s="93">
        <f t="shared" si="38"/>
        <v>0</v>
      </c>
      <c r="P121" s="93">
        <f t="shared" si="38"/>
        <v>0</v>
      </c>
      <c r="Q121" s="93">
        <f t="shared" si="38"/>
        <v>0</v>
      </c>
      <c r="R121" s="93">
        <f t="shared" si="38"/>
        <v>0</v>
      </c>
      <c r="S121" s="93">
        <f t="shared" si="38"/>
        <v>0</v>
      </c>
      <c r="T121" s="93">
        <f t="shared" si="38"/>
        <v>0</v>
      </c>
      <c r="U121" s="93">
        <f t="shared" si="38"/>
        <v>0</v>
      </c>
      <c r="V121" s="93">
        <f t="shared" si="38"/>
        <v>0</v>
      </c>
      <c r="W121" s="93">
        <f t="shared" si="38"/>
        <v>0</v>
      </c>
      <c r="X121" s="93">
        <f t="shared" si="38"/>
        <v>0</v>
      </c>
      <c r="Y121" s="93">
        <f t="shared" si="38"/>
        <v>0</v>
      </c>
      <c r="Z121" s="93">
        <f t="shared" si="38"/>
        <v>0</v>
      </c>
      <c r="AA121" s="93">
        <f t="shared" si="38"/>
        <v>0</v>
      </c>
      <c r="AB121" s="93">
        <f t="shared" si="38"/>
        <v>0</v>
      </c>
      <c r="AC121" s="93">
        <f t="shared" si="38"/>
        <v>0</v>
      </c>
      <c r="AD121" s="93">
        <f t="shared" si="38"/>
        <v>0</v>
      </c>
      <c r="AE121" s="93">
        <f t="shared" si="38"/>
        <v>0</v>
      </c>
      <c r="AF121" s="93">
        <f t="shared" si="38"/>
        <v>0</v>
      </c>
      <c r="AG121" s="111"/>
      <c r="AH121" s="46">
        <f t="shared" si="22"/>
        <v>0</v>
      </c>
      <c r="AI121" s="47">
        <f t="shared" si="23"/>
        <v>0</v>
      </c>
    </row>
    <row r="122" spans="1:64" ht="15.75" thickBot="1">
      <c r="A122" s="96" t="s">
        <v>130</v>
      </c>
      <c r="B122" s="93">
        <f t="shared" si="38"/>
        <v>0</v>
      </c>
      <c r="C122" s="93">
        <f t="shared" si="38"/>
        <v>0</v>
      </c>
      <c r="D122" s="93">
        <f t="shared" si="38"/>
        <v>0</v>
      </c>
      <c r="E122" s="93">
        <f t="shared" si="38"/>
        <v>0</v>
      </c>
      <c r="F122" s="93">
        <f t="shared" si="38"/>
        <v>0</v>
      </c>
      <c r="G122" s="93">
        <f t="shared" si="38"/>
        <v>0</v>
      </c>
      <c r="H122" s="93">
        <f t="shared" si="38"/>
        <v>0</v>
      </c>
      <c r="I122" s="93">
        <f t="shared" si="38"/>
        <v>0</v>
      </c>
      <c r="J122" s="93">
        <f t="shared" si="38"/>
        <v>0</v>
      </c>
      <c r="K122" s="93">
        <f t="shared" si="38"/>
        <v>0</v>
      </c>
      <c r="L122" s="93">
        <f t="shared" si="38"/>
        <v>0</v>
      </c>
      <c r="M122" s="93">
        <f t="shared" si="38"/>
        <v>0</v>
      </c>
      <c r="N122" s="93">
        <f t="shared" si="38"/>
        <v>0</v>
      </c>
      <c r="O122" s="93">
        <f t="shared" si="38"/>
        <v>0</v>
      </c>
      <c r="P122" s="93">
        <f t="shared" si="38"/>
        <v>0</v>
      </c>
      <c r="Q122" s="93">
        <f t="shared" si="38"/>
        <v>0</v>
      </c>
      <c r="R122" s="93">
        <f t="shared" si="38"/>
        <v>0</v>
      </c>
      <c r="S122" s="93">
        <f t="shared" si="38"/>
        <v>0</v>
      </c>
      <c r="T122" s="93">
        <f t="shared" si="38"/>
        <v>0</v>
      </c>
      <c r="U122" s="93">
        <f t="shared" si="38"/>
        <v>0</v>
      </c>
      <c r="V122" s="93">
        <f t="shared" si="38"/>
        <v>0</v>
      </c>
      <c r="W122" s="93">
        <f t="shared" si="38"/>
        <v>0</v>
      </c>
      <c r="X122" s="93">
        <f t="shared" si="38"/>
        <v>0</v>
      </c>
      <c r="Y122" s="93">
        <f t="shared" si="38"/>
        <v>0</v>
      </c>
      <c r="Z122" s="93">
        <f t="shared" si="38"/>
        <v>0</v>
      </c>
      <c r="AA122" s="93">
        <f t="shared" si="38"/>
        <v>0</v>
      </c>
      <c r="AB122" s="93">
        <f t="shared" si="38"/>
        <v>0</v>
      </c>
      <c r="AC122" s="93">
        <f t="shared" si="38"/>
        <v>0</v>
      </c>
      <c r="AD122" s="93">
        <f t="shared" si="38"/>
        <v>0</v>
      </c>
      <c r="AE122" s="93">
        <f t="shared" si="38"/>
        <v>0</v>
      </c>
      <c r="AF122" s="93">
        <f t="shared" si="38"/>
        <v>0</v>
      </c>
      <c r="AG122" s="103"/>
      <c r="AH122" s="46">
        <f t="shared" si="22"/>
        <v>0</v>
      </c>
      <c r="AI122" s="47">
        <f t="shared" si="23"/>
        <v>0</v>
      </c>
    </row>
    <row r="123" spans="1:64" ht="15.75" thickBot="1">
      <c r="A123" s="112" t="s">
        <v>145</v>
      </c>
      <c r="B123" s="70">
        <f t="shared" ref="B123:AF123" si="39">SUM(B117:B122)</f>
        <v>410</v>
      </c>
      <c r="C123" s="70">
        <f t="shared" si="39"/>
        <v>448</v>
      </c>
      <c r="D123" s="70">
        <f t="shared" si="39"/>
        <v>530.1</v>
      </c>
      <c r="E123" s="70">
        <f t="shared" si="39"/>
        <v>445.9</v>
      </c>
      <c r="F123" s="70">
        <f t="shared" si="39"/>
        <v>473.5</v>
      </c>
      <c r="G123" s="70">
        <f t="shared" si="39"/>
        <v>490</v>
      </c>
      <c r="H123" s="70">
        <f t="shared" si="39"/>
        <v>475</v>
      </c>
      <c r="I123" s="70">
        <f t="shared" si="39"/>
        <v>480</v>
      </c>
      <c r="J123" s="70">
        <f t="shared" si="39"/>
        <v>0</v>
      </c>
      <c r="K123" s="70">
        <f t="shared" si="39"/>
        <v>0</v>
      </c>
      <c r="L123" s="70">
        <f t="shared" si="39"/>
        <v>0</v>
      </c>
      <c r="M123" s="70">
        <f t="shared" si="39"/>
        <v>0</v>
      </c>
      <c r="N123" s="70">
        <f t="shared" si="39"/>
        <v>0</v>
      </c>
      <c r="O123" s="70">
        <f t="shared" si="39"/>
        <v>0</v>
      </c>
      <c r="P123" s="70">
        <f t="shared" si="39"/>
        <v>0</v>
      </c>
      <c r="Q123" s="70">
        <f t="shared" si="39"/>
        <v>0</v>
      </c>
      <c r="R123" s="70">
        <f t="shared" si="39"/>
        <v>0</v>
      </c>
      <c r="S123" s="70">
        <f t="shared" si="39"/>
        <v>0</v>
      </c>
      <c r="T123" s="70">
        <f t="shared" si="39"/>
        <v>0</v>
      </c>
      <c r="U123" s="70">
        <f t="shared" si="39"/>
        <v>0</v>
      </c>
      <c r="V123" s="70">
        <f t="shared" si="39"/>
        <v>0</v>
      </c>
      <c r="W123" s="70">
        <f t="shared" si="39"/>
        <v>0</v>
      </c>
      <c r="X123" s="70">
        <f t="shared" si="39"/>
        <v>0</v>
      </c>
      <c r="Y123" s="70">
        <f t="shared" si="39"/>
        <v>0</v>
      </c>
      <c r="Z123" s="70">
        <f t="shared" si="39"/>
        <v>0</v>
      </c>
      <c r="AA123" s="70">
        <f t="shared" si="39"/>
        <v>0</v>
      </c>
      <c r="AB123" s="70">
        <f t="shared" si="39"/>
        <v>0</v>
      </c>
      <c r="AC123" s="70">
        <f t="shared" si="39"/>
        <v>0</v>
      </c>
      <c r="AD123" s="70">
        <f t="shared" si="39"/>
        <v>0</v>
      </c>
      <c r="AE123" s="70">
        <f t="shared" si="39"/>
        <v>0</v>
      </c>
      <c r="AF123" s="70">
        <f t="shared" si="39"/>
        <v>0</v>
      </c>
      <c r="AG123" s="104"/>
      <c r="AH123" s="46">
        <f t="shared" si="22"/>
        <v>530.1</v>
      </c>
      <c r="AI123" s="47">
        <f t="shared" si="23"/>
        <v>0</v>
      </c>
      <c r="AJ123" s="105">
        <f t="array" ref="AJ123">MIN(IF(B123:AF123&lt;&gt;0,B123:AF123))</f>
        <v>410</v>
      </c>
    </row>
    <row r="124" spans="1:64" ht="15.75" thickBot="1">
      <c r="A124" s="87" t="s">
        <v>146</v>
      </c>
      <c r="B124" s="70">
        <f t="shared" ref="B124:AF124" si="40">B108-B123</f>
        <v>-312.5</v>
      </c>
      <c r="C124" s="70">
        <f t="shared" si="40"/>
        <v>-368</v>
      </c>
      <c r="D124" s="70">
        <f t="shared" si="40"/>
        <v>-449.92</v>
      </c>
      <c r="E124" s="70">
        <f t="shared" si="40"/>
        <v>-361.5</v>
      </c>
      <c r="F124" s="70">
        <f t="shared" si="40"/>
        <v>-374.3</v>
      </c>
      <c r="G124" s="70">
        <f t="shared" si="40"/>
        <v>-353.5</v>
      </c>
      <c r="H124" s="70">
        <f t="shared" si="40"/>
        <v>-350.7</v>
      </c>
      <c r="I124" s="70">
        <f t="shared" si="40"/>
        <v>-361.2</v>
      </c>
      <c r="J124" s="70">
        <f t="shared" si="40"/>
        <v>0</v>
      </c>
      <c r="K124" s="70">
        <f t="shared" si="40"/>
        <v>0</v>
      </c>
      <c r="L124" s="70">
        <f t="shared" si="40"/>
        <v>0</v>
      </c>
      <c r="M124" s="70">
        <f t="shared" si="40"/>
        <v>0</v>
      </c>
      <c r="N124" s="70">
        <f t="shared" si="40"/>
        <v>0</v>
      </c>
      <c r="O124" s="70">
        <f t="shared" si="40"/>
        <v>0</v>
      </c>
      <c r="P124" s="70">
        <f t="shared" si="40"/>
        <v>0</v>
      </c>
      <c r="Q124" s="70">
        <f t="shared" si="40"/>
        <v>0</v>
      </c>
      <c r="R124" s="70">
        <f t="shared" si="40"/>
        <v>0</v>
      </c>
      <c r="S124" s="70">
        <f t="shared" si="40"/>
        <v>0</v>
      </c>
      <c r="T124" s="70">
        <f t="shared" si="40"/>
        <v>0</v>
      </c>
      <c r="U124" s="70">
        <f t="shared" si="40"/>
        <v>0</v>
      </c>
      <c r="V124" s="70">
        <f t="shared" si="40"/>
        <v>0</v>
      </c>
      <c r="W124" s="70">
        <f t="shared" si="40"/>
        <v>0</v>
      </c>
      <c r="X124" s="70">
        <f t="shared" si="40"/>
        <v>0</v>
      </c>
      <c r="Y124" s="70">
        <f t="shared" si="40"/>
        <v>0</v>
      </c>
      <c r="Z124" s="70">
        <f t="shared" si="40"/>
        <v>0</v>
      </c>
      <c r="AA124" s="70">
        <f t="shared" si="40"/>
        <v>0</v>
      </c>
      <c r="AB124" s="70">
        <f t="shared" si="40"/>
        <v>0</v>
      </c>
      <c r="AC124" s="70">
        <f t="shared" si="40"/>
        <v>0</v>
      </c>
      <c r="AD124" s="70">
        <f t="shared" si="40"/>
        <v>0</v>
      </c>
      <c r="AE124" s="70">
        <f t="shared" si="40"/>
        <v>0</v>
      </c>
      <c r="AF124" s="70">
        <f t="shared" si="40"/>
        <v>0</v>
      </c>
      <c r="AG124" s="104"/>
      <c r="AH124" s="46">
        <f t="shared" si="22"/>
        <v>0</v>
      </c>
      <c r="AI124" s="47">
        <f t="shared" si="23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2"/>
        <v>0</v>
      </c>
      <c r="AI125" s="47">
        <f t="shared" si="23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2"/>
        <v>50.05</v>
      </c>
      <c r="AI126" s="47">
        <f t="shared" si="23"/>
        <v>49.96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2"/>
        <v>132.9</v>
      </c>
      <c r="AI127" s="47">
        <f t="shared" si="23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2"/>
        <v>128.9</v>
      </c>
      <c r="AI128" s="47">
        <f t="shared" si="23"/>
        <v>128.9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2"/>
        <v>0</v>
      </c>
      <c r="AI129" s="47">
        <f t="shared" si="23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2"/>
        <v>137.69999999999999</v>
      </c>
      <c r="AI130" s="47">
        <f t="shared" si="23"/>
        <v>133.69999999999999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2"/>
        <v>134.9</v>
      </c>
      <c r="AI131" s="47">
        <f t="shared" si="23"/>
        <v>131.9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2"/>
        <v>133.30000000000001</v>
      </c>
      <c r="AI132" s="47">
        <f t="shared" si="23"/>
        <v>124.4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2"/>
        <v>67.099999999999994</v>
      </c>
      <c r="AI133" s="47">
        <f t="shared" si="23"/>
        <v>65.900000000000006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2"/>
        <v>0</v>
      </c>
      <c r="AI134" s="47">
        <f t="shared" si="23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41">SUM(C26,C32,C45:C46,C82,C84:C85,C87,C89,C137:C142,C177,C183,C189,C198,C200,C212,C219,C222:C223,C230,C232,C234,C238:C240,C242:C244,C249,C255:C256,C258:C260,C161,C166)</f>
        <v>129.13999999999999</v>
      </c>
      <c r="D135" s="114">
        <f t="shared" si="41"/>
        <v>135.94</v>
      </c>
      <c r="E135" s="114">
        <f t="shared" ref="E135" si="42">SUM(E26,E32,E45:E46,E82,E84:E85,E87,E89,E137:E142,E177,E183,E189,E198,E200,E212,E219,E222:E223,E230,E232,E234,E238:E240,E242:E244,E249,E255:E256,E258:E260,E161,E166)</f>
        <v>104.94</v>
      </c>
      <c r="F135" s="114">
        <f t="shared" si="41"/>
        <v>104.94</v>
      </c>
      <c r="G135" s="114">
        <f t="shared" si="41"/>
        <v>86.24</v>
      </c>
      <c r="H135" s="114">
        <f t="shared" si="41"/>
        <v>112.14000000000003</v>
      </c>
      <c r="I135" s="114">
        <f t="shared" si="41"/>
        <v>107.69999999999999</v>
      </c>
      <c r="J135" s="114">
        <f t="shared" si="41"/>
        <v>0.94</v>
      </c>
      <c r="K135" s="114">
        <f t="shared" si="41"/>
        <v>0.94</v>
      </c>
      <c r="L135" s="114">
        <f t="shared" si="41"/>
        <v>0.94</v>
      </c>
      <c r="M135" s="114">
        <f t="shared" si="41"/>
        <v>0.94</v>
      </c>
      <c r="N135" s="114">
        <f t="shared" si="41"/>
        <v>0.94</v>
      </c>
      <c r="O135" s="114">
        <f t="shared" si="41"/>
        <v>0.94</v>
      </c>
      <c r="P135" s="114">
        <v>42</v>
      </c>
      <c r="Q135" s="114">
        <f t="shared" ref="Q135:X135" si="43">SUM(Q26,Q32,Q45:Q46,Q82,Q84:Q85,Q87,Q89,Q137:Q142,Q177,Q183,Q189,Q198,Q200,Q212,Q219,Q222:Q223,Q230,Q232,Q234,Q238:Q240,Q242:Q244,Q249,Q255:Q256,Q258:Q260,Q161,Q166)</f>
        <v>0.94</v>
      </c>
      <c r="R135" s="114">
        <f t="shared" si="43"/>
        <v>0.94</v>
      </c>
      <c r="S135" s="114">
        <f t="shared" si="43"/>
        <v>0.94</v>
      </c>
      <c r="T135" s="114">
        <f t="shared" si="43"/>
        <v>0.94</v>
      </c>
      <c r="U135" s="114">
        <f t="shared" si="43"/>
        <v>0.94</v>
      </c>
      <c r="V135" s="114">
        <f t="shared" si="43"/>
        <v>0.94</v>
      </c>
      <c r="W135" s="114">
        <f t="shared" si="43"/>
        <v>0.94</v>
      </c>
      <c r="X135" s="114">
        <f t="shared" si="43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4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4"/>
        <v>0.94</v>
      </c>
      <c r="AC135" s="114">
        <f t="shared" si="44"/>
        <v>0.94</v>
      </c>
      <c r="AD135" s="114">
        <f t="shared" si="44"/>
        <v>0.94</v>
      </c>
      <c r="AE135" s="114">
        <f t="shared" si="44"/>
        <v>0.94</v>
      </c>
      <c r="AF135" s="114">
        <f t="shared" si="44"/>
        <v>0.94</v>
      </c>
      <c r="AG135" s="127"/>
      <c r="AH135" s="46">
        <f t="shared" si="22"/>
        <v>135.94</v>
      </c>
      <c r="AI135" s="47">
        <f t="shared" si="23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2"/>
        <v>0</v>
      </c>
      <c r="AI136" s="47">
        <f t="shared" si="23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2"/>
        <v>61.9</v>
      </c>
      <c r="AI137" s="47">
        <f t="shared" si="23"/>
        <v>48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415</v>
      </c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2"/>
        <v>15.8</v>
      </c>
      <c r="AI138" s="47">
        <f t="shared" si="23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-67</v>
      </c>
      <c r="AI139" s="47">
        <f>MIN(B139:AF139)</f>
        <v>-78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92.8</v>
      </c>
      <c r="AI140" s="47">
        <f>MIN(B140:AF140)</f>
        <v>74.2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7.1</v>
      </c>
      <c r="AI141" s="47">
        <f>MIN(B141:AF141)</f>
        <v>1.3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-53.4</v>
      </c>
      <c r="AI142" s="47">
        <f>MIN(B142:AF142)</f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20.5</v>
      </c>
      <c r="AI143" s="47">
        <f>MIN(B143:AF143)</f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-41</v>
      </c>
      <c r="AI144" s="47">
        <f>MIN(B144:AF144)</f>
        <v>-66.099999999999994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60.4</v>
      </c>
      <c r="AI145" s="47">
        <f>MIN(B145:AF145)</f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5">MAX(B146:AF146)</f>
        <v>-219</v>
      </c>
      <c r="AI146" s="47">
        <f t="shared" ref="AI146:AI158" si="46">MIN(B146:AF146)</f>
        <v>-298.60000000000002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5"/>
        <v>92</v>
      </c>
      <c r="AI147" s="47">
        <f t="shared" si="46"/>
        <v>46.6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5"/>
        <v>11</v>
      </c>
      <c r="AI148" s="47">
        <f t="shared" si="46"/>
        <v>-16.8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5"/>
        <v>210</v>
      </c>
      <c r="AI149" s="47">
        <f t="shared" si="46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5"/>
        <v>31.6</v>
      </c>
      <c r="AI150" s="47">
        <f t="shared" si="46"/>
        <v>31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5"/>
        <v>13.9</v>
      </c>
      <c r="AI151" s="47">
        <f t="shared" si="46"/>
        <v>13.4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5"/>
        <v>0</v>
      </c>
      <c r="AI152" s="47">
        <f t="shared" si="4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5"/>
        <v>1986.35</v>
      </c>
      <c r="AI153" s="47">
        <f t="shared" si="46"/>
        <v>1986.35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5"/>
        <v>523.75</v>
      </c>
      <c r="AI154" s="47">
        <f t="shared" si="46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5"/>
        <v>623.66999999999996</v>
      </c>
      <c r="AI155" s="47">
        <f t="shared" si="46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5"/>
        <v>336.87</v>
      </c>
      <c r="AI156" s="47">
        <f t="shared" si="46"/>
        <v>336.87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5"/>
        <v>882.2</v>
      </c>
      <c r="AI157" s="47">
        <f t="shared" si="46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5"/>
        <v>0</v>
      </c>
      <c r="AI158" s="47">
        <f t="shared" si="4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7">B161</f>
        <v>0.3</v>
      </c>
      <c r="D161" s="159">
        <f t="shared" si="47"/>
        <v>0.3</v>
      </c>
      <c r="E161" s="159">
        <f t="shared" si="47"/>
        <v>0.3</v>
      </c>
      <c r="F161" s="159">
        <f t="shared" si="47"/>
        <v>0.3</v>
      </c>
      <c r="G161" s="159">
        <f t="shared" si="47"/>
        <v>0.3</v>
      </c>
      <c r="H161" s="159">
        <f t="shared" si="47"/>
        <v>0.3</v>
      </c>
      <c r="I161" s="159">
        <f t="shared" si="47"/>
        <v>0.3</v>
      </c>
      <c r="J161" s="159">
        <f t="shared" si="47"/>
        <v>0.3</v>
      </c>
      <c r="K161" s="159">
        <f t="shared" si="47"/>
        <v>0.3</v>
      </c>
      <c r="L161" s="159">
        <f t="shared" si="47"/>
        <v>0.3</v>
      </c>
      <c r="M161" s="159">
        <f t="shared" si="47"/>
        <v>0.3</v>
      </c>
      <c r="N161" s="159">
        <f t="shared" si="47"/>
        <v>0.3</v>
      </c>
      <c r="O161" s="159">
        <f t="shared" si="47"/>
        <v>0.3</v>
      </c>
      <c r="P161" s="159">
        <f t="shared" si="47"/>
        <v>0.3</v>
      </c>
      <c r="Q161" s="159">
        <f t="shared" si="47"/>
        <v>0.3</v>
      </c>
      <c r="R161" s="159">
        <f t="shared" si="47"/>
        <v>0.3</v>
      </c>
      <c r="S161" s="159">
        <f t="shared" ref="S161:AF166" si="48">R161</f>
        <v>0.3</v>
      </c>
      <c r="T161" s="159">
        <f t="shared" si="48"/>
        <v>0.3</v>
      </c>
      <c r="U161" s="159">
        <f t="shared" si="48"/>
        <v>0.3</v>
      </c>
      <c r="V161" s="159">
        <f t="shared" si="48"/>
        <v>0.3</v>
      </c>
      <c r="W161" s="159">
        <f t="shared" si="48"/>
        <v>0.3</v>
      </c>
      <c r="X161" s="159">
        <f t="shared" si="48"/>
        <v>0.3</v>
      </c>
      <c r="Y161" s="159">
        <f t="shared" si="48"/>
        <v>0.3</v>
      </c>
      <c r="Z161" s="159">
        <f t="shared" si="48"/>
        <v>0.3</v>
      </c>
      <c r="AA161" s="159">
        <f t="shared" si="48"/>
        <v>0.3</v>
      </c>
      <c r="AB161" s="159">
        <f t="shared" si="48"/>
        <v>0.3</v>
      </c>
      <c r="AC161" s="159">
        <f t="shared" si="48"/>
        <v>0.3</v>
      </c>
      <c r="AD161" s="159">
        <f t="shared" si="48"/>
        <v>0.3</v>
      </c>
      <c r="AE161" s="159">
        <f t="shared" si="48"/>
        <v>0.3</v>
      </c>
      <c r="AF161" s="159">
        <f t="shared" si="48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7"/>
        <v>0.4</v>
      </c>
      <c r="D162" s="161">
        <f t="shared" si="47"/>
        <v>0.4</v>
      </c>
      <c r="E162" s="161">
        <f t="shared" si="47"/>
        <v>0.4</v>
      </c>
      <c r="F162" s="161">
        <f t="shared" si="47"/>
        <v>0.4</v>
      </c>
      <c r="G162" s="161">
        <f t="shared" si="47"/>
        <v>0.4</v>
      </c>
      <c r="H162" s="161">
        <f t="shared" si="47"/>
        <v>0.4</v>
      </c>
      <c r="I162" s="161">
        <f t="shared" si="47"/>
        <v>0.4</v>
      </c>
      <c r="J162" s="161">
        <f t="shared" si="47"/>
        <v>0.4</v>
      </c>
      <c r="K162" s="161">
        <f t="shared" si="47"/>
        <v>0.4</v>
      </c>
      <c r="L162" s="161">
        <f t="shared" si="47"/>
        <v>0.4</v>
      </c>
      <c r="M162" s="161">
        <f t="shared" si="47"/>
        <v>0.4</v>
      </c>
      <c r="N162" s="161">
        <f t="shared" si="47"/>
        <v>0.4</v>
      </c>
      <c r="O162" s="161">
        <f t="shared" si="47"/>
        <v>0.4</v>
      </c>
      <c r="P162" s="161">
        <f t="shared" si="47"/>
        <v>0.4</v>
      </c>
      <c r="Q162" s="161">
        <f t="shared" si="47"/>
        <v>0.4</v>
      </c>
      <c r="R162" s="161">
        <f t="shared" si="47"/>
        <v>0.4</v>
      </c>
      <c r="S162" s="161">
        <f t="shared" si="48"/>
        <v>0.4</v>
      </c>
      <c r="T162" s="161">
        <f t="shared" si="48"/>
        <v>0.4</v>
      </c>
      <c r="U162" s="161">
        <f t="shared" si="48"/>
        <v>0.4</v>
      </c>
      <c r="V162" s="161">
        <f t="shared" si="48"/>
        <v>0.4</v>
      </c>
      <c r="W162" s="161">
        <f t="shared" si="48"/>
        <v>0.4</v>
      </c>
      <c r="X162" s="161">
        <f t="shared" si="48"/>
        <v>0.4</v>
      </c>
      <c r="Y162" s="161">
        <f t="shared" si="48"/>
        <v>0.4</v>
      </c>
      <c r="Z162" s="161">
        <f t="shared" si="48"/>
        <v>0.4</v>
      </c>
      <c r="AA162" s="161">
        <f t="shared" si="48"/>
        <v>0.4</v>
      </c>
      <c r="AB162" s="161">
        <f t="shared" si="48"/>
        <v>0.4</v>
      </c>
      <c r="AC162" s="161">
        <f t="shared" si="48"/>
        <v>0.4</v>
      </c>
      <c r="AD162" s="161">
        <f t="shared" si="48"/>
        <v>0.4</v>
      </c>
      <c r="AE162" s="161">
        <f t="shared" si="48"/>
        <v>0.4</v>
      </c>
      <c r="AF162" s="161">
        <f t="shared" si="48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7"/>
        <v>1.5</v>
      </c>
      <c r="D163" s="161">
        <f t="shared" si="47"/>
        <v>1.5</v>
      </c>
      <c r="E163" s="161">
        <f t="shared" si="47"/>
        <v>1.5</v>
      </c>
      <c r="F163" s="161">
        <f t="shared" si="47"/>
        <v>1.5</v>
      </c>
      <c r="G163" s="161">
        <f t="shared" si="47"/>
        <v>1.5</v>
      </c>
      <c r="H163" s="161">
        <f t="shared" si="47"/>
        <v>1.5</v>
      </c>
      <c r="I163" s="161">
        <f t="shared" si="47"/>
        <v>1.5</v>
      </c>
      <c r="J163" s="161">
        <f t="shared" si="47"/>
        <v>1.5</v>
      </c>
      <c r="K163" s="161">
        <f t="shared" si="47"/>
        <v>1.5</v>
      </c>
      <c r="L163" s="161">
        <f t="shared" si="47"/>
        <v>1.5</v>
      </c>
      <c r="M163" s="161">
        <f t="shared" si="47"/>
        <v>1.5</v>
      </c>
      <c r="N163" s="161">
        <f t="shared" si="47"/>
        <v>1.5</v>
      </c>
      <c r="O163" s="161">
        <f t="shared" si="47"/>
        <v>1.5</v>
      </c>
      <c r="P163" s="161">
        <f t="shared" si="47"/>
        <v>1.5</v>
      </c>
      <c r="Q163" s="161">
        <f t="shared" si="47"/>
        <v>1.5</v>
      </c>
      <c r="R163" s="161">
        <f t="shared" si="47"/>
        <v>1.5</v>
      </c>
      <c r="S163" s="161">
        <f t="shared" si="48"/>
        <v>1.5</v>
      </c>
      <c r="T163" s="161">
        <f t="shared" si="48"/>
        <v>1.5</v>
      </c>
      <c r="U163" s="161">
        <f t="shared" si="48"/>
        <v>1.5</v>
      </c>
      <c r="V163" s="161">
        <f t="shared" si="48"/>
        <v>1.5</v>
      </c>
      <c r="W163" s="161">
        <f t="shared" si="48"/>
        <v>1.5</v>
      </c>
      <c r="X163" s="161">
        <f t="shared" si="48"/>
        <v>1.5</v>
      </c>
      <c r="Y163" s="161">
        <f t="shared" si="48"/>
        <v>1.5</v>
      </c>
      <c r="Z163" s="161">
        <f t="shared" si="48"/>
        <v>1.5</v>
      </c>
      <c r="AA163" s="161">
        <f t="shared" si="48"/>
        <v>1.5</v>
      </c>
      <c r="AB163" s="161">
        <f t="shared" si="48"/>
        <v>1.5</v>
      </c>
      <c r="AC163" s="161">
        <f t="shared" si="48"/>
        <v>1.5</v>
      </c>
      <c r="AD163" s="161">
        <f t="shared" si="48"/>
        <v>1.5</v>
      </c>
      <c r="AE163" s="161">
        <f t="shared" si="48"/>
        <v>1.5</v>
      </c>
      <c r="AF163" s="161">
        <f t="shared" si="48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7"/>
        <v>0.3</v>
      </c>
      <c r="D164" s="161">
        <f t="shared" si="47"/>
        <v>0.3</v>
      </c>
      <c r="E164" s="161">
        <f t="shared" si="47"/>
        <v>0.3</v>
      </c>
      <c r="F164" s="161">
        <f t="shared" si="47"/>
        <v>0.3</v>
      </c>
      <c r="G164" s="161">
        <f t="shared" si="47"/>
        <v>0.3</v>
      </c>
      <c r="H164" s="161">
        <f t="shared" si="47"/>
        <v>0.3</v>
      </c>
      <c r="I164" s="161">
        <f t="shared" si="47"/>
        <v>0.3</v>
      </c>
      <c r="J164" s="161">
        <f t="shared" si="47"/>
        <v>0.3</v>
      </c>
      <c r="K164" s="161">
        <f t="shared" si="47"/>
        <v>0.3</v>
      </c>
      <c r="L164" s="161">
        <f t="shared" si="47"/>
        <v>0.3</v>
      </c>
      <c r="M164" s="161">
        <f t="shared" si="47"/>
        <v>0.3</v>
      </c>
      <c r="N164" s="161">
        <f t="shared" si="47"/>
        <v>0.3</v>
      </c>
      <c r="O164" s="161">
        <f t="shared" si="47"/>
        <v>0.3</v>
      </c>
      <c r="P164" s="161">
        <f t="shared" si="47"/>
        <v>0.3</v>
      </c>
      <c r="Q164" s="161">
        <f t="shared" si="47"/>
        <v>0.3</v>
      </c>
      <c r="R164" s="161">
        <f t="shared" si="47"/>
        <v>0.3</v>
      </c>
      <c r="S164" s="161">
        <f t="shared" si="48"/>
        <v>0.3</v>
      </c>
      <c r="T164" s="161">
        <f t="shared" si="48"/>
        <v>0.3</v>
      </c>
      <c r="U164" s="161">
        <f t="shared" si="48"/>
        <v>0.3</v>
      </c>
      <c r="V164" s="161">
        <f t="shared" si="48"/>
        <v>0.3</v>
      </c>
      <c r="W164" s="161">
        <f t="shared" si="48"/>
        <v>0.3</v>
      </c>
      <c r="X164" s="161">
        <f t="shared" si="48"/>
        <v>0.3</v>
      </c>
      <c r="Y164" s="161">
        <f t="shared" si="48"/>
        <v>0.3</v>
      </c>
      <c r="Z164" s="161">
        <f t="shared" si="48"/>
        <v>0.3</v>
      </c>
      <c r="AA164" s="161">
        <f t="shared" si="48"/>
        <v>0.3</v>
      </c>
      <c r="AB164" s="161">
        <f t="shared" si="48"/>
        <v>0.3</v>
      </c>
      <c r="AC164" s="161">
        <f t="shared" si="48"/>
        <v>0.3</v>
      </c>
      <c r="AD164" s="161">
        <f t="shared" si="48"/>
        <v>0.3</v>
      </c>
      <c r="AE164" s="161">
        <f t="shared" si="48"/>
        <v>0.3</v>
      </c>
      <c r="AF164" s="161">
        <f t="shared" si="48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7"/>
        <v>0.4</v>
      </c>
      <c r="D165" s="161">
        <f t="shared" si="47"/>
        <v>0.4</v>
      </c>
      <c r="E165" s="161">
        <f t="shared" si="47"/>
        <v>0.4</v>
      </c>
      <c r="F165" s="161">
        <f t="shared" si="47"/>
        <v>0.4</v>
      </c>
      <c r="G165" s="161">
        <f t="shared" si="47"/>
        <v>0.4</v>
      </c>
      <c r="H165" s="161">
        <f t="shared" si="47"/>
        <v>0.4</v>
      </c>
      <c r="I165" s="161">
        <f t="shared" si="47"/>
        <v>0.4</v>
      </c>
      <c r="J165" s="161">
        <f t="shared" si="47"/>
        <v>0.4</v>
      </c>
      <c r="K165" s="161">
        <f t="shared" si="47"/>
        <v>0.4</v>
      </c>
      <c r="L165" s="161">
        <f t="shared" si="47"/>
        <v>0.4</v>
      </c>
      <c r="M165" s="161">
        <f t="shared" si="47"/>
        <v>0.4</v>
      </c>
      <c r="N165" s="161">
        <f t="shared" si="47"/>
        <v>0.4</v>
      </c>
      <c r="O165" s="161">
        <f t="shared" si="47"/>
        <v>0.4</v>
      </c>
      <c r="P165" s="161">
        <f t="shared" si="47"/>
        <v>0.4</v>
      </c>
      <c r="Q165" s="161">
        <f t="shared" si="47"/>
        <v>0.4</v>
      </c>
      <c r="R165" s="161">
        <f t="shared" si="47"/>
        <v>0.4</v>
      </c>
      <c r="S165" s="161">
        <f t="shared" si="48"/>
        <v>0.4</v>
      </c>
      <c r="T165" s="161">
        <f t="shared" si="48"/>
        <v>0.4</v>
      </c>
      <c r="U165" s="161">
        <f t="shared" si="48"/>
        <v>0.4</v>
      </c>
      <c r="V165" s="161">
        <f t="shared" si="48"/>
        <v>0.4</v>
      </c>
      <c r="W165" s="161">
        <f t="shared" si="48"/>
        <v>0.4</v>
      </c>
      <c r="X165" s="161">
        <f t="shared" si="48"/>
        <v>0.4</v>
      </c>
      <c r="Y165" s="161">
        <f t="shared" si="48"/>
        <v>0.4</v>
      </c>
      <c r="Z165" s="161">
        <f t="shared" si="48"/>
        <v>0.4</v>
      </c>
      <c r="AA165" s="161">
        <f t="shared" si="48"/>
        <v>0.4</v>
      </c>
      <c r="AB165" s="161">
        <f t="shared" si="48"/>
        <v>0.4</v>
      </c>
      <c r="AC165" s="161">
        <f t="shared" si="48"/>
        <v>0.4</v>
      </c>
      <c r="AD165" s="161">
        <f t="shared" si="48"/>
        <v>0.4</v>
      </c>
      <c r="AE165" s="161">
        <f t="shared" si="48"/>
        <v>0.4</v>
      </c>
      <c r="AF165" s="161">
        <f t="shared" si="48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7"/>
        <v>0.64</v>
      </c>
      <c r="D166" s="164">
        <f t="shared" si="47"/>
        <v>0.64</v>
      </c>
      <c r="E166" s="164">
        <f t="shared" si="47"/>
        <v>0.64</v>
      </c>
      <c r="F166" s="164">
        <f t="shared" si="47"/>
        <v>0.64</v>
      </c>
      <c r="G166" s="164">
        <f t="shared" si="47"/>
        <v>0.64</v>
      </c>
      <c r="H166" s="164">
        <f t="shared" si="47"/>
        <v>0.64</v>
      </c>
      <c r="I166" s="164">
        <f t="shared" si="47"/>
        <v>0.64</v>
      </c>
      <c r="J166" s="164">
        <f t="shared" si="47"/>
        <v>0.64</v>
      </c>
      <c r="K166" s="164">
        <f t="shared" si="47"/>
        <v>0.64</v>
      </c>
      <c r="L166" s="164">
        <f t="shared" si="47"/>
        <v>0.64</v>
      </c>
      <c r="M166" s="164">
        <f t="shared" si="47"/>
        <v>0.64</v>
      </c>
      <c r="N166" s="164">
        <f t="shared" si="47"/>
        <v>0.64</v>
      </c>
      <c r="O166" s="164">
        <f t="shared" si="47"/>
        <v>0.64</v>
      </c>
      <c r="P166" s="164">
        <f t="shared" si="47"/>
        <v>0.64</v>
      </c>
      <c r="Q166" s="164">
        <f t="shared" si="47"/>
        <v>0.64</v>
      </c>
      <c r="R166" s="164">
        <f t="shared" si="47"/>
        <v>0.64</v>
      </c>
      <c r="S166" s="164">
        <f t="shared" si="48"/>
        <v>0.64</v>
      </c>
      <c r="T166" s="164">
        <f t="shared" si="48"/>
        <v>0.64</v>
      </c>
      <c r="U166" s="164">
        <f t="shared" si="48"/>
        <v>0.64</v>
      </c>
      <c r="V166" s="164">
        <f t="shared" si="48"/>
        <v>0.64</v>
      </c>
      <c r="W166" s="164">
        <f t="shared" si="48"/>
        <v>0.64</v>
      </c>
      <c r="X166" s="164">
        <f t="shared" si="48"/>
        <v>0.64</v>
      </c>
      <c r="Y166" s="164">
        <f t="shared" si="48"/>
        <v>0.64</v>
      </c>
      <c r="Z166" s="164">
        <f t="shared" si="48"/>
        <v>0.64</v>
      </c>
      <c r="AA166" s="164">
        <f t="shared" si="48"/>
        <v>0.64</v>
      </c>
      <c r="AB166" s="164">
        <f t="shared" si="48"/>
        <v>0.64</v>
      </c>
      <c r="AC166" s="164">
        <f t="shared" si="48"/>
        <v>0.64</v>
      </c>
      <c r="AD166" s="164">
        <f t="shared" si="48"/>
        <v>0.64</v>
      </c>
      <c r="AE166" s="164">
        <f t="shared" si="48"/>
        <v>0.64</v>
      </c>
      <c r="AF166" s="164">
        <f t="shared" si="48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9">SUM(C161:C166)</f>
        <v>3.54</v>
      </c>
      <c r="D167" s="167">
        <f t="shared" si="49"/>
        <v>3.54</v>
      </c>
      <c r="E167" s="167">
        <f t="shared" si="49"/>
        <v>3.54</v>
      </c>
      <c r="F167" s="167">
        <f t="shared" si="49"/>
        <v>3.54</v>
      </c>
      <c r="G167" s="167">
        <f t="shared" si="49"/>
        <v>3.54</v>
      </c>
      <c r="H167" s="167">
        <f t="shared" si="49"/>
        <v>3.54</v>
      </c>
      <c r="I167" s="167">
        <f t="shared" si="49"/>
        <v>3.54</v>
      </c>
      <c r="J167" s="167">
        <f t="shared" si="49"/>
        <v>3.54</v>
      </c>
      <c r="K167" s="167">
        <f t="shared" si="49"/>
        <v>3.54</v>
      </c>
      <c r="L167" s="167">
        <f t="shared" si="49"/>
        <v>3.54</v>
      </c>
      <c r="M167" s="167">
        <f t="shared" si="49"/>
        <v>3.54</v>
      </c>
      <c r="N167" s="167">
        <f t="shared" si="49"/>
        <v>3.54</v>
      </c>
      <c r="O167" s="167">
        <f t="shared" si="49"/>
        <v>3.54</v>
      </c>
      <c r="P167" s="167">
        <f t="shared" si="49"/>
        <v>3.54</v>
      </c>
      <c r="Q167" s="167">
        <f t="shared" si="49"/>
        <v>3.54</v>
      </c>
      <c r="R167" s="167">
        <f t="shared" si="49"/>
        <v>3.54</v>
      </c>
      <c r="S167" s="167">
        <f t="shared" si="49"/>
        <v>3.54</v>
      </c>
      <c r="T167" s="167">
        <f t="shared" si="49"/>
        <v>3.54</v>
      </c>
      <c r="U167" s="167">
        <f t="shared" si="49"/>
        <v>3.54</v>
      </c>
      <c r="V167" s="167">
        <f t="shared" si="49"/>
        <v>3.54</v>
      </c>
      <c r="W167" s="167">
        <f t="shared" si="49"/>
        <v>3.54</v>
      </c>
      <c r="X167" s="167">
        <f t="shared" si="49"/>
        <v>3.54</v>
      </c>
      <c r="Y167" s="167">
        <f t="shared" si="49"/>
        <v>3.54</v>
      </c>
      <c r="Z167" s="167">
        <f t="shared" si="49"/>
        <v>3.54</v>
      </c>
      <c r="AA167" s="167">
        <f t="shared" si="49"/>
        <v>3.54</v>
      </c>
      <c r="AB167" s="167">
        <f t="shared" si="49"/>
        <v>3.54</v>
      </c>
      <c r="AC167" s="167">
        <f t="shared" si="49"/>
        <v>3.54</v>
      </c>
      <c r="AD167" s="167">
        <f t="shared" si="49"/>
        <v>3.54</v>
      </c>
      <c r="AE167" s="167">
        <f t="shared" si="49"/>
        <v>3.54</v>
      </c>
      <c r="AF167" s="167">
        <f t="shared" si="49"/>
        <v>3.54</v>
      </c>
      <c r="AG167" s="168">
        <f t="shared" si="49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50">B169</f>
        <v>0</v>
      </c>
      <c r="D169" s="159">
        <f t="shared" si="50"/>
        <v>0</v>
      </c>
      <c r="E169" s="159">
        <f t="shared" si="50"/>
        <v>0</v>
      </c>
      <c r="F169" s="159">
        <f t="shared" si="50"/>
        <v>0</v>
      </c>
      <c r="G169" s="159">
        <f t="shared" si="50"/>
        <v>0</v>
      </c>
      <c r="H169" s="159">
        <f t="shared" si="50"/>
        <v>0</v>
      </c>
      <c r="I169" s="159">
        <f t="shared" si="50"/>
        <v>0</v>
      </c>
      <c r="J169" s="159">
        <f t="shared" si="50"/>
        <v>0</v>
      </c>
      <c r="K169" s="159">
        <f t="shared" si="50"/>
        <v>0</v>
      </c>
      <c r="L169" s="159">
        <f t="shared" si="50"/>
        <v>0</v>
      </c>
      <c r="M169" s="159">
        <f t="shared" si="50"/>
        <v>0</v>
      </c>
      <c r="N169" s="159">
        <f t="shared" si="50"/>
        <v>0</v>
      </c>
      <c r="O169" s="159">
        <f t="shared" si="50"/>
        <v>0</v>
      </c>
      <c r="P169" s="159">
        <f t="shared" si="50"/>
        <v>0</v>
      </c>
      <c r="Q169" s="159">
        <f t="shared" si="50"/>
        <v>0</v>
      </c>
      <c r="R169" s="159">
        <f t="shared" si="50"/>
        <v>0</v>
      </c>
      <c r="S169" s="159">
        <f t="shared" ref="S169:AF184" si="51">R169</f>
        <v>0</v>
      </c>
      <c r="T169" s="159">
        <f t="shared" si="51"/>
        <v>0</v>
      </c>
      <c r="U169" s="159">
        <f t="shared" si="51"/>
        <v>0</v>
      </c>
      <c r="V169" s="159">
        <f t="shared" si="51"/>
        <v>0</v>
      </c>
      <c r="W169" s="159">
        <f t="shared" si="51"/>
        <v>0</v>
      </c>
      <c r="X169" s="159">
        <f t="shared" si="51"/>
        <v>0</v>
      </c>
      <c r="Y169" s="159">
        <f t="shared" si="51"/>
        <v>0</v>
      </c>
      <c r="Z169" s="159">
        <f t="shared" si="51"/>
        <v>0</v>
      </c>
      <c r="AA169" s="159">
        <f t="shared" si="51"/>
        <v>0</v>
      </c>
      <c r="AB169" s="159">
        <f t="shared" si="51"/>
        <v>0</v>
      </c>
      <c r="AC169" s="159">
        <f t="shared" si="51"/>
        <v>0</v>
      </c>
      <c r="AD169" s="159">
        <f t="shared" si="51"/>
        <v>0</v>
      </c>
      <c r="AE169" s="159">
        <f t="shared" si="51"/>
        <v>0</v>
      </c>
      <c r="AF169" s="172">
        <f t="shared" si="51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50"/>
        <v>0</v>
      </c>
      <c r="D170" s="161">
        <f t="shared" si="50"/>
        <v>0</v>
      </c>
      <c r="E170" s="161">
        <f t="shared" si="50"/>
        <v>0</v>
      </c>
      <c r="F170" s="161">
        <f t="shared" si="50"/>
        <v>0</v>
      </c>
      <c r="G170" s="161">
        <f t="shared" si="50"/>
        <v>0</v>
      </c>
      <c r="H170" s="161">
        <f t="shared" si="50"/>
        <v>0</v>
      </c>
      <c r="I170" s="161">
        <f t="shared" si="50"/>
        <v>0</v>
      </c>
      <c r="J170" s="161">
        <f t="shared" si="50"/>
        <v>0</v>
      </c>
      <c r="K170" s="161">
        <f t="shared" si="50"/>
        <v>0</v>
      </c>
      <c r="L170" s="161">
        <f t="shared" si="50"/>
        <v>0</v>
      </c>
      <c r="M170" s="161">
        <f t="shared" si="50"/>
        <v>0</v>
      </c>
      <c r="N170" s="161">
        <f t="shared" si="50"/>
        <v>0</v>
      </c>
      <c r="O170" s="161">
        <f t="shared" si="50"/>
        <v>0</v>
      </c>
      <c r="P170" s="161">
        <f t="shared" si="50"/>
        <v>0</v>
      </c>
      <c r="Q170" s="161">
        <f t="shared" si="50"/>
        <v>0</v>
      </c>
      <c r="R170" s="161">
        <f t="shared" si="50"/>
        <v>0</v>
      </c>
      <c r="S170" s="161">
        <f t="shared" si="51"/>
        <v>0</v>
      </c>
      <c r="T170" s="161">
        <f t="shared" si="51"/>
        <v>0</v>
      </c>
      <c r="U170" s="161">
        <f t="shared" si="51"/>
        <v>0</v>
      </c>
      <c r="V170" s="161">
        <f t="shared" si="51"/>
        <v>0</v>
      </c>
      <c r="W170" s="161">
        <f t="shared" si="51"/>
        <v>0</v>
      </c>
      <c r="X170" s="161">
        <f t="shared" si="51"/>
        <v>0</v>
      </c>
      <c r="Y170" s="161">
        <f t="shared" si="51"/>
        <v>0</v>
      </c>
      <c r="Z170" s="161">
        <f t="shared" si="51"/>
        <v>0</v>
      </c>
      <c r="AA170" s="161">
        <f t="shared" si="51"/>
        <v>0</v>
      </c>
      <c r="AB170" s="161">
        <f t="shared" si="51"/>
        <v>0</v>
      </c>
      <c r="AC170" s="161">
        <f t="shared" si="51"/>
        <v>0</v>
      </c>
      <c r="AD170" s="161">
        <f t="shared" si="51"/>
        <v>0</v>
      </c>
      <c r="AE170" s="161">
        <f t="shared" si="51"/>
        <v>0</v>
      </c>
      <c r="AF170" s="174">
        <f t="shared" si="51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50"/>
        <v>0</v>
      </c>
      <c r="D171" s="161">
        <f t="shared" si="50"/>
        <v>0</v>
      </c>
      <c r="E171" s="161">
        <f t="shared" si="50"/>
        <v>0</v>
      </c>
      <c r="F171" s="161">
        <f t="shared" si="50"/>
        <v>0</v>
      </c>
      <c r="G171" s="161">
        <f t="shared" si="50"/>
        <v>0</v>
      </c>
      <c r="H171" s="161">
        <f t="shared" si="50"/>
        <v>0</v>
      </c>
      <c r="I171" s="161">
        <f t="shared" si="50"/>
        <v>0</v>
      </c>
      <c r="J171" s="161">
        <f t="shared" si="50"/>
        <v>0</v>
      </c>
      <c r="K171" s="161">
        <f t="shared" si="50"/>
        <v>0</v>
      </c>
      <c r="L171" s="161">
        <f t="shared" si="50"/>
        <v>0</v>
      </c>
      <c r="M171" s="161">
        <f t="shared" si="50"/>
        <v>0</v>
      </c>
      <c r="N171" s="161">
        <f t="shared" si="50"/>
        <v>0</v>
      </c>
      <c r="O171" s="161">
        <f t="shared" si="50"/>
        <v>0</v>
      </c>
      <c r="P171" s="161">
        <f t="shared" si="50"/>
        <v>0</v>
      </c>
      <c r="Q171" s="161">
        <f t="shared" si="50"/>
        <v>0</v>
      </c>
      <c r="R171" s="161">
        <f t="shared" si="50"/>
        <v>0</v>
      </c>
      <c r="S171" s="161">
        <f t="shared" si="51"/>
        <v>0</v>
      </c>
      <c r="T171" s="161">
        <f t="shared" si="51"/>
        <v>0</v>
      </c>
      <c r="U171" s="161">
        <f t="shared" si="51"/>
        <v>0</v>
      </c>
      <c r="V171" s="161">
        <f t="shared" si="51"/>
        <v>0</v>
      </c>
      <c r="W171" s="161">
        <f t="shared" si="51"/>
        <v>0</v>
      </c>
      <c r="X171" s="161">
        <f t="shared" si="51"/>
        <v>0</v>
      </c>
      <c r="Y171" s="161">
        <f t="shared" si="51"/>
        <v>0</v>
      </c>
      <c r="Z171" s="161">
        <f t="shared" si="51"/>
        <v>0</v>
      </c>
      <c r="AA171" s="161">
        <f t="shared" si="51"/>
        <v>0</v>
      </c>
      <c r="AB171" s="161">
        <f t="shared" si="51"/>
        <v>0</v>
      </c>
      <c r="AC171" s="161">
        <f t="shared" si="51"/>
        <v>0</v>
      </c>
      <c r="AD171" s="161">
        <f t="shared" si="51"/>
        <v>0</v>
      </c>
      <c r="AE171" s="161">
        <f t="shared" si="51"/>
        <v>0</v>
      </c>
      <c r="AF171" s="174">
        <f t="shared" si="51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50"/>
        <v>0</v>
      </c>
      <c r="D172" s="161">
        <f t="shared" si="50"/>
        <v>0</v>
      </c>
      <c r="E172" s="161">
        <f t="shared" si="50"/>
        <v>0</v>
      </c>
      <c r="F172" s="161">
        <f t="shared" si="50"/>
        <v>0</v>
      </c>
      <c r="G172" s="161">
        <f t="shared" si="50"/>
        <v>0</v>
      </c>
      <c r="H172" s="161">
        <f t="shared" si="50"/>
        <v>0</v>
      </c>
      <c r="I172" s="161">
        <f t="shared" si="50"/>
        <v>0</v>
      </c>
      <c r="J172" s="161">
        <f t="shared" si="50"/>
        <v>0</v>
      </c>
      <c r="K172" s="161">
        <f t="shared" si="50"/>
        <v>0</v>
      </c>
      <c r="L172" s="161">
        <f t="shared" si="50"/>
        <v>0</v>
      </c>
      <c r="M172" s="161">
        <f t="shared" si="50"/>
        <v>0</v>
      </c>
      <c r="N172" s="161">
        <f t="shared" si="50"/>
        <v>0</v>
      </c>
      <c r="O172" s="161">
        <f t="shared" si="50"/>
        <v>0</v>
      </c>
      <c r="P172" s="161">
        <f t="shared" si="50"/>
        <v>0</v>
      </c>
      <c r="Q172" s="161">
        <f t="shared" si="50"/>
        <v>0</v>
      </c>
      <c r="R172" s="161">
        <f t="shared" si="50"/>
        <v>0</v>
      </c>
      <c r="S172" s="161">
        <f t="shared" si="51"/>
        <v>0</v>
      </c>
      <c r="T172" s="161">
        <f t="shared" si="51"/>
        <v>0</v>
      </c>
      <c r="U172" s="161">
        <f t="shared" si="51"/>
        <v>0</v>
      </c>
      <c r="V172" s="161">
        <f t="shared" si="51"/>
        <v>0</v>
      </c>
      <c r="W172" s="161">
        <f t="shared" si="51"/>
        <v>0</v>
      </c>
      <c r="X172" s="161">
        <f t="shared" si="51"/>
        <v>0</v>
      </c>
      <c r="Y172" s="161">
        <f t="shared" si="51"/>
        <v>0</v>
      </c>
      <c r="Z172" s="161">
        <f t="shared" si="51"/>
        <v>0</v>
      </c>
      <c r="AA172" s="161">
        <f t="shared" si="51"/>
        <v>0</v>
      </c>
      <c r="AB172" s="161">
        <f t="shared" si="51"/>
        <v>0</v>
      </c>
      <c r="AC172" s="161">
        <f t="shared" si="51"/>
        <v>0</v>
      </c>
      <c r="AD172" s="161">
        <f t="shared" si="51"/>
        <v>0</v>
      </c>
      <c r="AE172" s="161">
        <f t="shared" si="51"/>
        <v>0</v>
      </c>
      <c r="AF172" s="174">
        <f t="shared" si="51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50"/>
        <v>0</v>
      </c>
      <c r="D173" s="161">
        <f t="shared" si="50"/>
        <v>0</v>
      </c>
      <c r="E173" s="161">
        <f t="shared" si="50"/>
        <v>0</v>
      </c>
      <c r="F173" s="161">
        <f t="shared" si="50"/>
        <v>0</v>
      </c>
      <c r="G173" s="161">
        <f t="shared" si="50"/>
        <v>0</v>
      </c>
      <c r="H173" s="161">
        <f t="shared" si="50"/>
        <v>0</v>
      </c>
      <c r="I173" s="161">
        <f t="shared" si="50"/>
        <v>0</v>
      </c>
      <c r="J173" s="161">
        <f t="shared" si="50"/>
        <v>0</v>
      </c>
      <c r="K173" s="161">
        <f t="shared" si="50"/>
        <v>0</v>
      </c>
      <c r="L173" s="161">
        <f t="shared" si="50"/>
        <v>0</v>
      </c>
      <c r="M173" s="161">
        <f t="shared" si="50"/>
        <v>0</v>
      </c>
      <c r="N173" s="161">
        <f t="shared" si="50"/>
        <v>0</v>
      </c>
      <c r="O173" s="161">
        <f t="shared" si="50"/>
        <v>0</v>
      </c>
      <c r="P173" s="161">
        <f t="shared" si="50"/>
        <v>0</v>
      </c>
      <c r="Q173" s="161">
        <f t="shared" si="50"/>
        <v>0</v>
      </c>
      <c r="R173" s="161">
        <f t="shared" si="50"/>
        <v>0</v>
      </c>
      <c r="S173" s="161">
        <f t="shared" si="51"/>
        <v>0</v>
      </c>
      <c r="T173" s="161">
        <f t="shared" si="51"/>
        <v>0</v>
      </c>
      <c r="U173" s="161">
        <f t="shared" si="51"/>
        <v>0</v>
      </c>
      <c r="V173" s="161">
        <f t="shared" si="51"/>
        <v>0</v>
      </c>
      <c r="W173" s="161">
        <f t="shared" si="51"/>
        <v>0</v>
      </c>
      <c r="X173" s="161">
        <f t="shared" si="51"/>
        <v>0</v>
      </c>
      <c r="Y173" s="161">
        <f t="shared" si="51"/>
        <v>0</v>
      </c>
      <c r="Z173" s="161">
        <f t="shared" si="51"/>
        <v>0</v>
      </c>
      <c r="AA173" s="161">
        <f t="shared" si="51"/>
        <v>0</v>
      </c>
      <c r="AB173" s="161">
        <f t="shared" si="51"/>
        <v>0</v>
      </c>
      <c r="AC173" s="161">
        <f t="shared" si="51"/>
        <v>0</v>
      </c>
      <c r="AD173" s="161">
        <f t="shared" si="51"/>
        <v>0</v>
      </c>
      <c r="AE173" s="161">
        <f t="shared" si="51"/>
        <v>0</v>
      </c>
      <c r="AF173" s="174">
        <f t="shared" si="51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50"/>
        <v>0</v>
      </c>
      <c r="D174" s="161">
        <f t="shared" si="50"/>
        <v>0</v>
      </c>
      <c r="E174" s="161">
        <f t="shared" si="50"/>
        <v>0</v>
      </c>
      <c r="F174" s="161">
        <f t="shared" si="50"/>
        <v>0</v>
      </c>
      <c r="G174" s="161">
        <f t="shared" si="50"/>
        <v>0</v>
      </c>
      <c r="H174" s="161">
        <f t="shared" si="50"/>
        <v>0</v>
      </c>
      <c r="I174" s="161">
        <f t="shared" si="50"/>
        <v>0</v>
      </c>
      <c r="J174" s="161">
        <f t="shared" si="50"/>
        <v>0</v>
      </c>
      <c r="K174" s="161">
        <f t="shared" si="50"/>
        <v>0</v>
      </c>
      <c r="L174" s="161">
        <f t="shared" si="50"/>
        <v>0</v>
      </c>
      <c r="M174" s="161">
        <f t="shared" si="50"/>
        <v>0</v>
      </c>
      <c r="N174" s="161">
        <f t="shared" si="50"/>
        <v>0</v>
      </c>
      <c r="O174" s="161">
        <f t="shared" si="50"/>
        <v>0</v>
      </c>
      <c r="P174" s="161">
        <f t="shared" si="50"/>
        <v>0</v>
      </c>
      <c r="Q174" s="161">
        <f t="shared" si="50"/>
        <v>0</v>
      </c>
      <c r="R174" s="161">
        <f t="shared" si="50"/>
        <v>0</v>
      </c>
      <c r="S174" s="161">
        <f t="shared" si="51"/>
        <v>0</v>
      </c>
      <c r="T174" s="161">
        <f t="shared" si="51"/>
        <v>0</v>
      </c>
      <c r="U174" s="161">
        <f t="shared" si="51"/>
        <v>0</v>
      </c>
      <c r="V174" s="161">
        <f t="shared" si="51"/>
        <v>0</v>
      </c>
      <c r="W174" s="161">
        <f t="shared" si="51"/>
        <v>0</v>
      </c>
      <c r="X174" s="161">
        <f t="shared" si="51"/>
        <v>0</v>
      </c>
      <c r="Y174" s="161">
        <f t="shared" si="51"/>
        <v>0</v>
      </c>
      <c r="Z174" s="161">
        <f t="shared" si="51"/>
        <v>0</v>
      </c>
      <c r="AA174" s="161">
        <f t="shared" si="51"/>
        <v>0</v>
      </c>
      <c r="AB174" s="161">
        <f t="shared" si="51"/>
        <v>0</v>
      </c>
      <c r="AC174" s="161">
        <f t="shared" si="51"/>
        <v>0</v>
      </c>
      <c r="AD174" s="161">
        <f t="shared" si="51"/>
        <v>0</v>
      </c>
      <c r="AE174" s="161">
        <f t="shared" si="51"/>
        <v>0</v>
      </c>
      <c r="AF174" s="174">
        <f t="shared" si="51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50"/>
        <v>0</v>
      </c>
      <c r="D175" s="161">
        <f t="shared" si="50"/>
        <v>0</v>
      </c>
      <c r="E175" s="161">
        <f t="shared" si="50"/>
        <v>0</v>
      </c>
      <c r="F175" s="161">
        <f t="shared" si="50"/>
        <v>0</v>
      </c>
      <c r="G175" s="161">
        <f t="shared" si="50"/>
        <v>0</v>
      </c>
      <c r="H175" s="161">
        <f t="shared" si="50"/>
        <v>0</v>
      </c>
      <c r="I175" s="161">
        <f t="shared" si="50"/>
        <v>0</v>
      </c>
      <c r="J175" s="161">
        <f t="shared" si="50"/>
        <v>0</v>
      </c>
      <c r="K175" s="161">
        <f t="shared" si="50"/>
        <v>0</v>
      </c>
      <c r="L175" s="161">
        <f t="shared" si="50"/>
        <v>0</v>
      </c>
      <c r="M175" s="161">
        <f t="shared" si="50"/>
        <v>0</v>
      </c>
      <c r="N175" s="161">
        <f t="shared" si="50"/>
        <v>0</v>
      </c>
      <c r="O175" s="161">
        <f t="shared" si="50"/>
        <v>0</v>
      </c>
      <c r="P175" s="161">
        <f t="shared" si="50"/>
        <v>0</v>
      </c>
      <c r="Q175" s="161">
        <f t="shared" si="50"/>
        <v>0</v>
      </c>
      <c r="R175" s="161">
        <f t="shared" si="50"/>
        <v>0</v>
      </c>
      <c r="S175" s="161">
        <f t="shared" si="51"/>
        <v>0</v>
      </c>
      <c r="T175" s="161">
        <f t="shared" si="51"/>
        <v>0</v>
      </c>
      <c r="U175" s="161">
        <f t="shared" si="51"/>
        <v>0</v>
      </c>
      <c r="V175" s="161">
        <f t="shared" si="51"/>
        <v>0</v>
      </c>
      <c r="W175" s="161">
        <f t="shared" si="51"/>
        <v>0</v>
      </c>
      <c r="X175" s="161">
        <f t="shared" si="51"/>
        <v>0</v>
      </c>
      <c r="Y175" s="161">
        <f t="shared" si="51"/>
        <v>0</v>
      </c>
      <c r="Z175" s="161">
        <f t="shared" si="51"/>
        <v>0</v>
      </c>
      <c r="AA175" s="161">
        <f t="shared" si="51"/>
        <v>0</v>
      </c>
      <c r="AB175" s="161">
        <f t="shared" si="51"/>
        <v>0</v>
      </c>
      <c r="AC175" s="161">
        <f t="shared" si="51"/>
        <v>0</v>
      </c>
      <c r="AD175" s="161">
        <f t="shared" si="51"/>
        <v>0</v>
      </c>
      <c r="AE175" s="161">
        <f t="shared" si="51"/>
        <v>0</v>
      </c>
      <c r="AF175" s="174">
        <f t="shared" si="51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50"/>
        <v>0</v>
      </c>
      <c r="D176" s="161">
        <f t="shared" si="50"/>
        <v>0</v>
      </c>
      <c r="E176" s="161">
        <f t="shared" si="50"/>
        <v>0</v>
      </c>
      <c r="F176" s="161">
        <f t="shared" si="50"/>
        <v>0</v>
      </c>
      <c r="G176" s="161">
        <f t="shared" si="50"/>
        <v>0</v>
      </c>
      <c r="H176" s="161">
        <f t="shared" si="50"/>
        <v>0</v>
      </c>
      <c r="I176" s="161">
        <f t="shared" si="50"/>
        <v>0</v>
      </c>
      <c r="J176" s="161">
        <f t="shared" si="50"/>
        <v>0</v>
      </c>
      <c r="K176" s="161">
        <f t="shared" si="50"/>
        <v>0</v>
      </c>
      <c r="L176" s="161">
        <f t="shared" si="50"/>
        <v>0</v>
      </c>
      <c r="M176" s="161">
        <f t="shared" si="50"/>
        <v>0</v>
      </c>
      <c r="N176" s="161">
        <f t="shared" si="50"/>
        <v>0</v>
      </c>
      <c r="O176" s="161">
        <f t="shared" si="50"/>
        <v>0</v>
      </c>
      <c r="P176" s="161">
        <f t="shared" si="50"/>
        <v>0</v>
      </c>
      <c r="Q176" s="161">
        <f t="shared" si="50"/>
        <v>0</v>
      </c>
      <c r="R176" s="161">
        <f t="shared" si="50"/>
        <v>0</v>
      </c>
      <c r="S176" s="161">
        <f t="shared" si="51"/>
        <v>0</v>
      </c>
      <c r="T176" s="161">
        <f t="shared" si="51"/>
        <v>0</v>
      </c>
      <c r="U176" s="161">
        <f t="shared" si="51"/>
        <v>0</v>
      </c>
      <c r="V176" s="161">
        <f t="shared" si="51"/>
        <v>0</v>
      </c>
      <c r="W176" s="161">
        <f t="shared" si="51"/>
        <v>0</v>
      </c>
      <c r="X176" s="161">
        <f t="shared" si="51"/>
        <v>0</v>
      </c>
      <c r="Y176" s="161">
        <f t="shared" si="51"/>
        <v>0</v>
      </c>
      <c r="Z176" s="161">
        <f t="shared" si="51"/>
        <v>0</v>
      </c>
      <c r="AA176" s="161">
        <f t="shared" si="51"/>
        <v>0</v>
      </c>
      <c r="AB176" s="161">
        <f t="shared" si="51"/>
        <v>0</v>
      </c>
      <c r="AC176" s="161">
        <f t="shared" si="51"/>
        <v>0</v>
      </c>
      <c r="AD176" s="161">
        <f t="shared" si="51"/>
        <v>0</v>
      </c>
      <c r="AE176" s="161">
        <f t="shared" si="51"/>
        <v>0</v>
      </c>
      <c r="AF176" s="174">
        <f t="shared" si="51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50"/>
        <v>0</v>
      </c>
      <c r="D177" s="161">
        <f t="shared" si="50"/>
        <v>0</v>
      </c>
      <c r="E177" s="161">
        <f t="shared" si="50"/>
        <v>0</v>
      </c>
      <c r="F177" s="161">
        <f t="shared" si="50"/>
        <v>0</v>
      </c>
      <c r="G177" s="161">
        <f t="shared" si="50"/>
        <v>0</v>
      </c>
      <c r="H177" s="161">
        <f t="shared" si="50"/>
        <v>0</v>
      </c>
      <c r="I177" s="161">
        <f t="shared" si="50"/>
        <v>0</v>
      </c>
      <c r="J177" s="161">
        <f t="shared" si="50"/>
        <v>0</v>
      </c>
      <c r="K177" s="161">
        <f t="shared" si="50"/>
        <v>0</v>
      </c>
      <c r="L177" s="161">
        <f t="shared" si="50"/>
        <v>0</v>
      </c>
      <c r="M177" s="161">
        <f t="shared" si="50"/>
        <v>0</v>
      </c>
      <c r="N177" s="161">
        <f t="shared" si="50"/>
        <v>0</v>
      </c>
      <c r="O177" s="161">
        <f t="shared" si="50"/>
        <v>0</v>
      </c>
      <c r="P177" s="161">
        <f t="shared" si="50"/>
        <v>0</v>
      </c>
      <c r="Q177" s="161">
        <f t="shared" si="50"/>
        <v>0</v>
      </c>
      <c r="R177" s="161">
        <f t="shared" si="50"/>
        <v>0</v>
      </c>
      <c r="S177" s="161">
        <f t="shared" si="51"/>
        <v>0</v>
      </c>
      <c r="T177" s="161">
        <f t="shared" si="51"/>
        <v>0</v>
      </c>
      <c r="U177" s="161">
        <f t="shared" si="51"/>
        <v>0</v>
      </c>
      <c r="V177" s="161">
        <f t="shared" si="51"/>
        <v>0</v>
      </c>
      <c r="W177" s="161">
        <f t="shared" si="51"/>
        <v>0</v>
      </c>
      <c r="X177" s="161">
        <f t="shared" si="51"/>
        <v>0</v>
      </c>
      <c r="Y177" s="161">
        <f t="shared" si="51"/>
        <v>0</v>
      </c>
      <c r="Z177" s="161">
        <f t="shared" si="51"/>
        <v>0</v>
      </c>
      <c r="AA177" s="161">
        <f t="shared" si="51"/>
        <v>0</v>
      </c>
      <c r="AB177" s="161">
        <f t="shared" si="51"/>
        <v>0</v>
      </c>
      <c r="AC177" s="161">
        <f t="shared" si="51"/>
        <v>0</v>
      </c>
      <c r="AD177" s="161">
        <f t="shared" si="51"/>
        <v>0</v>
      </c>
      <c r="AE177" s="161">
        <f t="shared" si="51"/>
        <v>0</v>
      </c>
      <c r="AF177" s="174">
        <f t="shared" si="51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50"/>
        <v>0</v>
      </c>
      <c r="D178" s="161">
        <f t="shared" si="50"/>
        <v>0</v>
      </c>
      <c r="E178" s="161">
        <f t="shared" si="50"/>
        <v>0</v>
      </c>
      <c r="F178" s="161">
        <f t="shared" si="50"/>
        <v>0</v>
      </c>
      <c r="G178" s="161">
        <f t="shared" si="50"/>
        <v>0</v>
      </c>
      <c r="H178" s="161">
        <f t="shared" si="50"/>
        <v>0</v>
      </c>
      <c r="I178" s="161">
        <f t="shared" si="50"/>
        <v>0</v>
      </c>
      <c r="J178" s="161">
        <f t="shared" si="50"/>
        <v>0</v>
      </c>
      <c r="K178" s="161">
        <f t="shared" si="50"/>
        <v>0</v>
      </c>
      <c r="L178" s="161">
        <f t="shared" si="50"/>
        <v>0</v>
      </c>
      <c r="M178" s="161">
        <f t="shared" si="50"/>
        <v>0</v>
      </c>
      <c r="N178" s="161">
        <f t="shared" si="50"/>
        <v>0</v>
      </c>
      <c r="O178" s="161">
        <f t="shared" si="50"/>
        <v>0</v>
      </c>
      <c r="P178" s="161">
        <f t="shared" si="50"/>
        <v>0</v>
      </c>
      <c r="Q178" s="161">
        <f t="shared" si="50"/>
        <v>0</v>
      </c>
      <c r="R178" s="161">
        <f t="shared" si="50"/>
        <v>0</v>
      </c>
      <c r="S178" s="161">
        <f t="shared" si="51"/>
        <v>0</v>
      </c>
      <c r="T178" s="161">
        <f t="shared" si="51"/>
        <v>0</v>
      </c>
      <c r="U178" s="161">
        <f t="shared" si="51"/>
        <v>0</v>
      </c>
      <c r="V178" s="161">
        <f t="shared" si="51"/>
        <v>0</v>
      </c>
      <c r="W178" s="161">
        <f t="shared" si="51"/>
        <v>0</v>
      </c>
      <c r="X178" s="161">
        <f t="shared" si="51"/>
        <v>0</v>
      </c>
      <c r="Y178" s="161">
        <f t="shared" si="51"/>
        <v>0</v>
      </c>
      <c r="Z178" s="161">
        <f t="shared" si="51"/>
        <v>0</v>
      </c>
      <c r="AA178" s="161">
        <f t="shared" si="51"/>
        <v>0</v>
      </c>
      <c r="AB178" s="161">
        <f t="shared" si="51"/>
        <v>0</v>
      </c>
      <c r="AC178" s="161">
        <f t="shared" si="51"/>
        <v>0</v>
      </c>
      <c r="AD178" s="161">
        <f t="shared" si="51"/>
        <v>0</v>
      </c>
      <c r="AE178" s="161">
        <f t="shared" si="51"/>
        <v>0</v>
      </c>
      <c r="AF178" s="174">
        <f t="shared" si="51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50"/>
        <v>0</v>
      </c>
      <c r="D179" s="161">
        <f t="shared" si="50"/>
        <v>0</v>
      </c>
      <c r="E179" s="161">
        <f t="shared" si="50"/>
        <v>0</v>
      </c>
      <c r="F179" s="161">
        <f t="shared" si="50"/>
        <v>0</v>
      </c>
      <c r="G179" s="161">
        <f t="shared" si="50"/>
        <v>0</v>
      </c>
      <c r="H179" s="161">
        <f t="shared" si="50"/>
        <v>0</v>
      </c>
      <c r="I179" s="161">
        <f t="shared" si="50"/>
        <v>0</v>
      </c>
      <c r="J179" s="161">
        <f t="shared" si="50"/>
        <v>0</v>
      </c>
      <c r="K179" s="161">
        <f t="shared" si="50"/>
        <v>0</v>
      </c>
      <c r="L179" s="161">
        <f t="shared" si="50"/>
        <v>0</v>
      </c>
      <c r="M179" s="161">
        <f t="shared" si="50"/>
        <v>0</v>
      </c>
      <c r="N179" s="161">
        <f t="shared" si="50"/>
        <v>0</v>
      </c>
      <c r="O179" s="161">
        <f t="shared" si="50"/>
        <v>0</v>
      </c>
      <c r="P179" s="161">
        <f t="shared" si="50"/>
        <v>0</v>
      </c>
      <c r="Q179" s="161">
        <f t="shared" si="50"/>
        <v>0</v>
      </c>
      <c r="R179" s="161">
        <f t="shared" si="50"/>
        <v>0</v>
      </c>
      <c r="S179" s="161">
        <f t="shared" si="51"/>
        <v>0</v>
      </c>
      <c r="T179" s="161">
        <f t="shared" si="51"/>
        <v>0</v>
      </c>
      <c r="U179" s="161">
        <f t="shared" si="51"/>
        <v>0</v>
      </c>
      <c r="V179" s="161">
        <f t="shared" si="51"/>
        <v>0</v>
      </c>
      <c r="W179" s="161">
        <f t="shared" si="51"/>
        <v>0</v>
      </c>
      <c r="X179" s="161">
        <f t="shared" si="51"/>
        <v>0</v>
      </c>
      <c r="Y179" s="161">
        <f t="shared" si="51"/>
        <v>0</v>
      </c>
      <c r="Z179" s="161">
        <f t="shared" si="51"/>
        <v>0</v>
      </c>
      <c r="AA179" s="161">
        <f t="shared" si="51"/>
        <v>0</v>
      </c>
      <c r="AB179" s="161">
        <f t="shared" si="51"/>
        <v>0</v>
      </c>
      <c r="AC179" s="161">
        <f t="shared" si="51"/>
        <v>0</v>
      </c>
      <c r="AD179" s="161">
        <f t="shared" si="51"/>
        <v>0</v>
      </c>
      <c r="AE179" s="161">
        <f t="shared" si="51"/>
        <v>0</v>
      </c>
      <c r="AF179" s="174">
        <f t="shared" si="51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50"/>
        <v>0</v>
      </c>
      <c r="D180" s="161">
        <f t="shared" si="50"/>
        <v>0</v>
      </c>
      <c r="E180" s="161">
        <f t="shared" si="50"/>
        <v>0</v>
      </c>
      <c r="F180" s="161">
        <f t="shared" si="50"/>
        <v>0</v>
      </c>
      <c r="G180" s="161">
        <f t="shared" si="50"/>
        <v>0</v>
      </c>
      <c r="H180" s="161">
        <f t="shared" si="50"/>
        <v>0</v>
      </c>
      <c r="I180" s="161">
        <f t="shared" si="50"/>
        <v>0</v>
      </c>
      <c r="J180" s="161">
        <f t="shared" si="50"/>
        <v>0</v>
      </c>
      <c r="K180" s="161">
        <f t="shared" si="50"/>
        <v>0</v>
      </c>
      <c r="L180" s="161">
        <f t="shared" si="50"/>
        <v>0</v>
      </c>
      <c r="M180" s="161">
        <f t="shared" si="50"/>
        <v>0</v>
      </c>
      <c r="N180" s="161">
        <f t="shared" si="50"/>
        <v>0</v>
      </c>
      <c r="O180" s="161">
        <f t="shared" si="50"/>
        <v>0</v>
      </c>
      <c r="P180" s="161">
        <f t="shared" si="50"/>
        <v>0</v>
      </c>
      <c r="Q180" s="161">
        <f t="shared" si="50"/>
        <v>0</v>
      </c>
      <c r="R180" s="161">
        <f t="shared" si="50"/>
        <v>0</v>
      </c>
      <c r="S180" s="161">
        <f t="shared" si="51"/>
        <v>0</v>
      </c>
      <c r="T180" s="161">
        <f t="shared" si="51"/>
        <v>0</v>
      </c>
      <c r="U180" s="161">
        <f t="shared" si="51"/>
        <v>0</v>
      </c>
      <c r="V180" s="161">
        <f t="shared" si="51"/>
        <v>0</v>
      </c>
      <c r="W180" s="161">
        <f t="shared" si="51"/>
        <v>0</v>
      </c>
      <c r="X180" s="161">
        <f t="shared" si="51"/>
        <v>0</v>
      </c>
      <c r="Y180" s="161">
        <f t="shared" si="51"/>
        <v>0</v>
      </c>
      <c r="Z180" s="161">
        <f t="shared" si="51"/>
        <v>0</v>
      </c>
      <c r="AA180" s="161">
        <f t="shared" si="51"/>
        <v>0</v>
      </c>
      <c r="AB180" s="161">
        <f t="shared" si="51"/>
        <v>0</v>
      </c>
      <c r="AC180" s="161">
        <f t="shared" si="51"/>
        <v>0</v>
      </c>
      <c r="AD180" s="161">
        <f t="shared" si="51"/>
        <v>0</v>
      </c>
      <c r="AE180" s="161">
        <f t="shared" si="51"/>
        <v>0</v>
      </c>
      <c r="AF180" s="174">
        <f t="shared" si="51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50"/>
        <v>0</v>
      </c>
      <c r="D181" s="161">
        <f t="shared" si="50"/>
        <v>0</v>
      </c>
      <c r="E181" s="161">
        <f t="shared" si="50"/>
        <v>0</v>
      </c>
      <c r="F181" s="161">
        <f t="shared" si="50"/>
        <v>0</v>
      </c>
      <c r="G181" s="161">
        <f t="shared" si="50"/>
        <v>0</v>
      </c>
      <c r="H181" s="161">
        <f t="shared" si="50"/>
        <v>0</v>
      </c>
      <c r="I181" s="161">
        <f t="shared" si="50"/>
        <v>0</v>
      </c>
      <c r="J181" s="161">
        <f t="shared" si="50"/>
        <v>0</v>
      </c>
      <c r="K181" s="161">
        <f t="shared" si="50"/>
        <v>0</v>
      </c>
      <c r="L181" s="161">
        <f t="shared" si="50"/>
        <v>0</v>
      </c>
      <c r="M181" s="161">
        <f t="shared" si="50"/>
        <v>0</v>
      </c>
      <c r="N181" s="161">
        <f t="shared" si="50"/>
        <v>0</v>
      </c>
      <c r="O181" s="161">
        <f t="shared" si="50"/>
        <v>0</v>
      </c>
      <c r="P181" s="161">
        <f t="shared" si="50"/>
        <v>0</v>
      </c>
      <c r="Q181" s="161">
        <f t="shared" si="50"/>
        <v>0</v>
      </c>
      <c r="R181" s="161">
        <f t="shared" si="50"/>
        <v>0</v>
      </c>
      <c r="S181" s="161">
        <f t="shared" si="51"/>
        <v>0</v>
      </c>
      <c r="T181" s="161">
        <f t="shared" si="51"/>
        <v>0</v>
      </c>
      <c r="U181" s="161">
        <f t="shared" si="51"/>
        <v>0</v>
      </c>
      <c r="V181" s="161">
        <f t="shared" si="51"/>
        <v>0</v>
      </c>
      <c r="W181" s="161">
        <f t="shared" si="51"/>
        <v>0</v>
      </c>
      <c r="X181" s="161">
        <f t="shared" si="51"/>
        <v>0</v>
      </c>
      <c r="Y181" s="161">
        <f t="shared" si="51"/>
        <v>0</v>
      </c>
      <c r="Z181" s="161">
        <f t="shared" si="51"/>
        <v>0</v>
      </c>
      <c r="AA181" s="161">
        <f t="shared" si="51"/>
        <v>0</v>
      </c>
      <c r="AB181" s="161">
        <f t="shared" si="51"/>
        <v>0</v>
      </c>
      <c r="AC181" s="161">
        <f t="shared" si="51"/>
        <v>0</v>
      </c>
      <c r="AD181" s="161">
        <f t="shared" si="51"/>
        <v>0</v>
      </c>
      <c r="AE181" s="161">
        <f t="shared" si="51"/>
        <v>0</v>
      </c>
      <c r="AF181" s="174">
        <f t="shared" si="51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50"/>
        <v>0</v>
      </c>
      <c r="D182" s="161">
        <f t="shared" si="50"/>
        <v>0</v>
      </c>
      <c r="E182" s="161">
        <f t="shared" si="50"/>
        <v>0</v>
      </c>
      <c r="F182" s="161">
        <f t="shared" si="50"/>
        <v>0</v>
      </c>
      <c r="G182" s="161">
        <f t="shared" si="50"/>
        <v>0</v>
      </c>
      <c r="H182" s="161">
        <f t="shared" si="50"/>
        <v>0</v>
      </c>
      <c r="I182" s="161">
        <f t="shared" si="50"/>
        <v>0</v>
      </c>
      <c r="J182" s="161">
        <f t="shared" si="50"/>
        <v>0</v>
      </c>
      <c r="K182" s="161">
        <f t="shared" si="50"/>
        <v>0</v>
      </c>
      <c r="L182" s="161">
        <f t="shared" si="50"/>
        <v>0</v>
      </c>
      <c r="M182" s="161">
        <f t="shared" si="50"/>
        <v>0</v>
      </c>
      <c r="N182" s="161">
        <f t="shared" si="50"/>
        <v>0</v>
      </c>
      <c r="O182" s="161">
        <f t="shared" si="50"/>
        <v>0</v>
      </c>
      <c r="P182" s="161">
        <f t="shared" si="50"/>
        <v>0</v>
      </c>
      <c r="Q182" s="161">
        <f t="shared" si="50"/>
        <v>0</v>
      </c>
      <c r="R182" s="161">
        <f t="shared" si="50"/>
        <v>0</v>
      </c>
      <c r="S182" s="161">
        <f t="shared" si="51"/>
        <v>0</v>
      </c>
      <c r="T182" s="161">
        <f t="shared" si="51"/>
        <v>0</v>
      </c>
      <c r="U182" s="161">
        <f t="shared" si="51"/>
        <v>0</v>
      </c>
      <c r="V182" s="161">
        <f t="shared" si="51"/>
        <v>0</v>
      </c>
      <c r="W182" s="161">
        <f t="shared" si="51"/>
        <v>0</v>
      </c>
      <c r="X182" s="161">
        <f t="shared" si="51"/>
        <v>0</v>
      </c>
      <c r="Y182" s="161">
        <f t="shared" si="51"/>
        <v>0</v>
      </c>
      <c r="Z182" s="161">
        <f t="shared" si="51"/>
        <v>0</v>
      </c>
      <c r="AA182" s="161">
        <f t="shared" si="51"/>
        <v>0</v>
      </c>
      <c r="AB182" s="161">
        <f t="shared" si="51"/>
        <v>0</v>
      </c>
      <c r="AC182" s="161">
        <f t="shared" si="51"/>
        <v>0</v>
      </c>
      <c r="AD182" s="161">
        <f t="shared" si="51"/>
        <v>0</v>
      </c>
      <c r="AE182" s="161">
        <f t="shared" si="51"/>
        <v>0</v>
      </c>
      <c r="AF182" s="174">
        <f t="shared" si="51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50"/>
        <v>0</v>
      </c>
      <c r="D183" s="161">
        <f t="shared" si="50"/>
        <v>0</v>
      </c>
      <c r="E183" s="161">
        <f t="shared" si="50"/>
        <v>0</v>
      </c>
      <c r="F183" s="161">
        <f t="shared" si="50"/>
        <v>0</v>
      </c>
      <c r="G183" s="161">
        <f t="shared" si="50"/>
        <v>0</v>
      </c>
      <c r="H183" s="161">
        <f t="shared" si="50"/>
        <v>0</v>
      </c>
      <c r="I183" s="161">
        <f t="shared" si="50"/>
        <v>0</v>
      </c>
      <c r="J183" s="161">
        <f t="shared" si="50"/>
        <v>0</v>
      </c>
      <c r="K183" s="161">
        <f t="shared" si="50"/>
        <v>0</v>
      </c>
      <c r="L183" s="161">
        <f t="shared" si="50"/>
        <v>0</v>
      </c>
      <c r="M183" s="161">
        <f t="shared" si="50"/>
        <v>0</v>
      </c>
      <c r="N183" s="161">
        <f t="shared" si="50"/>
        <v>0</v>
      </c>
      <c r="O183" s="161">
        <f t="shared" si="50"/>
        <v>0</v>
      </c>
      <c r="P183" s="161">
        <f t="shared" si="50"/>
        <v>0</v>
      </c>
      <c r="Q183" s="161">
        <f t="shared" si="50"/>
        <v>0</v>
      </c>
      <c r="R183" s="161">
        <f t="shared" si="50"/>
        <v>0</v>
      </c>
      <c r="S183" s="161">
        <f t="shared" si="51"/>
        <v>0</v>
      </c>
      <c r="T183" s="161">
        <f t="shared" si="51"/>
        <v>0</v>
      </c>
      <c r="U183" s="161">
        <f t="shared" si="51"/>
        <v>0</v>
      </c>
      <c r="V183" s="161">
        <f t="shared" si="51"/>
        <v>0</v>
      </c>
      <c r="W183" s="161">
        <f t="shared" si="51"/>
        <v>0</v>
      </c>
      <c r="X183" s="161">
        <f t="shared" si="51"/>
        <v>0</v>
      </c>
      <c r="Y183" s="161">
        <f t="shared" si="51"/>
        <v>0</v>
      </c>
      <c r="Z183" s="161">
        <f t="shared" si="51"/>
        <v>0</v>
      </c>
      <c r="AA183" s="161">
        <f t="shared" si="51"/>
        <v>0</v>
      </c>
      <c r="AB183" s="161">
        <f t="shared" si="51"/>
        <v>0</v>
      </c>
      <c r="AC183" s="161">
        <f t="shared" si="51"/>
        <v>0</v>
      </c>
      <c r="AD183" s="161">
        <f t="shared" si="51"/>
        <v>0</v>
      </c>
      <c r="AE183" s="161">
        <f t="shared" si="51"/>
        <v>0</v>
      </c>
      <c r="AF183" s="174">
        <f t="shared" si="51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50"/>
        <v>0</v>
      </c>
      <c r="D184" s="161">
        <f t="shared" si="50"/>
        <v>0</v>
      </c>
      <c r="E184" s="161">
        <f t="shared" si="50"/>
        <v>0</v>
      </c>
      <c r="F184" s="161">
        <f t="shared" si="50"/>
        <v>0</v>
      </c>
      <c r="G184" s="161">
        <f t="shared" si="50"/>
        <v>0</v>
      </c>
      <c r="H184" s="161">
        <f t="shared" si="50"/>
        <v>0</v>
      </c>
      <c r="I184" s="161">
        <f t="shared" si="50"/>
        <v>0</v>
      </c>
      <c r="J184" s="161">
        <f t="shared" si="50"/>
        <v>0</v>
      </c>
      <c r="K184" s="161">
        <f t="shared" si="50"/>
        <v>0</v>
      </c>
      <c r="L184" s="161">
        <f t="shared" si="50"/>
        <v>0</v>
      </c>
      <c r="M184" s="161">
        <f t="shared" si="50"/>
        <v>0</v>
      </c>
      <c r="N184" s="161">
        <f t="shared" si="50"/>
        <v>0</v>
      </c>
      <c r="O184" s="161">
        <f t="shared" si="50"/>
        <v>0</v>
      </c>
      <c r="P184" s="161">
        <f t="shared" si="50"/>
        <v>0</v>
      </c>
      <c r="Q184" s="161">
        <f t="shared" si="50"/>
        <v>0</v>
      </c>
      <c r="R184" s="161">
        <f t="shared" ref="R184:AF199" si="52">Q184</f>
        <v>0</v>
      </c>
      <c r="S184" s="161">
        <f t="shared" si="52"/>
        <v>0</v>
      </c>
      <c r="T184" s="161">
        <f t="shared" si="52"/>
        <v>0</v>
      </c>
      <c r="U184" s="161">
        <f t="shared" si="52"/>
        <v>0</v>
      </c>
      <c r="V184" s="161">
        <f t="shared" si="52"/>
        <v>0</v>
      </c>
      <c r="W184" s="161">
        <f t="shared" si="52"/>
        <v>0</v>
      </c>
      <c r="X184" s="161">
        <f t="shared" si="52"/>
        <v>0</v>
      </c>
      <c r="Y184" s="161">
        <f t="shared" si="52"/>
        <v>0</v>
      </c>
      <c r="Z184" s="161">
        <f t="shared" si="52"/>
        <v>0</v>
      </c>
      <c r="AA184" s="161">
        <f t="shared" si="52"/>
        <v>0</v>
      </c>
      <c r="AB184" s="161">
        <f t="shared" si="51"/>
        <v>0</v>
      </c>
      <c r="AC184" s="161">
        <f t="shared" si="51"/>
        <v>0</v>
      </c>
      <c r="AD184" s="161">
        <f t="shared" si="52"/>
        <v>0</v>
      </c>
      <c r="AE184" s="161">
        <f t="shared" si="52"/>
        <v>0</v>
      </c>
      <c r="AF184" s="174">
        <f t="shared" si="52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3">B185</f>
        <v>0</v>
      </c>
      <c r="D185" s="161">
        <f t="shared" si="53"/>
        <v>0</v>
      </c>
      <c r="E185" s="161">
        <f t="shared" si="53"/>
        <v>0</v>
      </c>
      <c r="F185" s="161">
        <f t="shared" si="53"/>
        <v>0</v>
      </c>
      <c r="G185" s="161">
        <f t="shared" si="53"/>
        <v>0</v>
      </c>
      <c r="H185" s="161">
        <f t="shared" si="53"/>
        <v>0</v>
      </c>
      <c r="I185" s="161">
        <f t="shared" si="53"/>
        <v>0</v>
      </c>
      <c r="J185" s="161">
        <f t="shared" si="53"/>
        <v>0</v>
      </c>
      <c r="K185" s="161">
        <f t="shared" si="53"/>
        <v>0</v>
      </c>
      <c r="L185" s="161">
        <f t="shared" si="53"/>
        <v>0</v>
      </c>
      <c r="M185" s="161">
        <f t="shared" si="53"/>
        <v>0</v>
      </c>
      <c r="N185" s="161">
        <f t="shared" si="53"/>
        <v>0</v>
      </c>
      <c r="O185" s="161">
        <f t="shared" si="53"/>
        <v>0</v>
      </c>
      <c r="P185" s="161">
        <f t="shared" si="53"/>
        <v>0</v>
      </c>
      <c r="Q185" s="161">
        <f t="shared" si="53"/>
        <v>0</v>
      </c>
      <c r="R185" s="161">
        <f t="shared" si="53"/>
        <v>0</v>
      </c>
      <c r="S185" s="161">
        <f t="shared" si="52"/>
        <v>0</v>
      </c>
      <c r="T185" s="161">
        <f t="shared" si="52"/>
        <v>0</v>
      </c>
      <c r="U185" s="161">
        <f t="shared" si="52"/>
        <v>0</v>
      </c>
      <c r="V185" s="161">
        <f t="shared" si="52"/>
        <v>0</v>
      </c>
      <c r="W185" s="161">
        <f t="shared" si="52"/>
        <v>0</v>
      </c>
      <c r="X185" s="161">
        <f t="shared" si="52"/>
        <v>0</v>
      </c>
      <c r="Y185" s="161">
        <f t="shared" si="52"/>
        <v>0</v>
      </c>
      <c r="Z185" s="161">
        <f t="shared" si="52"/>
        <v>0</v>
      </c>
      <c r="AA185" s="161">
        <f t="shared" si="52"/>
        <v>0</v>
      </c>
      <c r="AB185" s="161">
        <f t="shared" si="52"/>
        <v>0</v>
      </c>
      <c r="AC185" s="161">
        <f t="shared" si="52"/>
        <v>0</v>
      </c>
      <c r="AD185" s="161">
        <f t="shared" si="52"/>
        <v>0</v>
      </c>
      <c r="AE185" s="161">
        <f t="shared" si="52"/>
        <v>0</v>
      </c>
      <c r="AF185" s="174">
        <f t="shared" si="52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3"/>
        <v>0</v>
      </c>
      <c r="D186" s="161">
        <f t="shared" si="53"/>
        <v>0</v>
      </c>
      <c r="E186" s="161">
        <f t="shared" si="53"/>
        <v>0</v>
      </c>
      <c r="F186" s="161">
        <f t="shared" si="53"/>
        <v>0</v>
      </c>
      <c r="G186" s="161">
        <f t="shared" si="53"/>
        <v>0</v>
      </c>
      <c r="H186" s="161">
        <f t="shared" si="53"/>
        <v>0</v>
      </c>
      <c r="I186" s="161">
        <f t="shared" si="53"/>
        <v>0</v>
      </c>
      <c r="J186" s="161">
        <f t="shared" si="53"/>
        <v>0</v>
      </c>
      <c r="K186" s="161">
        <f t="shared" si="53"/>
        <v>0</v>
      </c>
      <c r="L186" s="161">
        <f t="shared" si="53"/>
        <v>0</v>
      </c>
      <c r="M186" s="161">
        <f t="shared" si="53"/>
        <v>0</v>
      </c>
      <c r="N186" s="161">
        <f t="shared" si="53"/>
        <v>0</v>
      </c>
      <c r="O186" s="161">
        <f t="shared" si="53"/>
        <v>0</v>
      </c>
      <c r="P186" s="161">
        <f t="shared" si="53"/>
        <v>0</v>
      </c>
      <c r="Q186" s="161">
        <f t="shared" si="53"/>
        <v>0</v>
      </c>
      <c r="R186" s="161">
        <f t="shared" si="53"/>
        <v>0</v>
      </c>
      <c r="S186" s="161">
        <f t="shared" si="52"/>
        <v>0</v>
      </c>
      <c r="T186" s="161">
        <f t="shared" si="52"/>
        <v>0</v>
      </c>
      <c r="U186" s="161">
        <f t="shared" si="52"/>
        <v>0</v>
      </c>
      <c r="V186" s="161">
        <f t="shared" si="52"/>
        <v>0</v>
      </c>
      <c r="W186" s="161">
        <f t="shared" si="52"/>
        <v>0</v>
      </c>
      <c r="X186" s="161">
        <f t="shared" si="52"/>
        <v>0</v>
      </c>
      <c r="Y186" s="161">
        <f t="shared" si="52"/>
        <v>0</v>
      </c>
      <c r="Z186" s="161">
        <f t="shared" si="52"/>
        <v>0</v>
      </c>
      <c r="AA186" s="161">
        <f t="shared" si="52"/>
        <v>0</v>
      </c>
      <c r="AB186" s="161">
        <f t="shared" si="52"/>
        <v>0</v>
      </c>
      <c r="AC186" s="161">
        <f t="shared" si="52"/>
        <v>0</v>
      </c>
      <c r="AD186" s="161">
        <f t="shared" si="52"/>
        <v>0</v>
      </c>
      <c r="AE186" s="161">
        <f t="shared" si="52"/>
        <v>0</v>
      </c>
      <c r="AF186" s="174">
        <f t="shared" si="52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3"/>
        <v>0</v>
      </c>
      <c r="D187" s="161">
        <f t="shared" si="53"/>
        <v>0</v>
      </c>
      <c r="E187" s="161">
        <f t="shared" si="53"/>
        <v>0</v>
      </c>
      <c r="F187" s="161">
        <f t="shared" si="53"/>
        <v>0</v>
      </c>
      <c r="G187" s="161">
        <f t="shared" si="53"/>
        <v>0</v>
      </c>
      <c r="H187" s="161">
        <f t="shared" si="53"/>
        <v>0</v>
      </c>
      <c r="I187" s="161">
        <f t="shared" si="53"/>
        <v>0</v>
      </c>
      <c r="J187" s="161">
        <f t="shared" si="53"/>
        <v>0</v>
      </c>
      <c r="K187" s="161">
        <f t="shared" si="53"/>
        <v>0</v>
      </c>
      <c r="L187" s="161">
        <f t="shared" si="53"/>
        <v>0</v>
      </c>
      <c r="M187" s="161">
        <f t="shared" si="53"/>
        <v>0</v>
      </c>
      <c r="N187" s="161">
        <f t="shared" si="53"/>
        <v>0</v>
      </c>
      <c r="O187" s="161">
        <f t="shared" si="53"/>
        <v>0</v>
      </c>
      <c r="P187" s="161">
        <f t="shared" si="53"/>
        <v>0</v>
      </c>
      <c r="Q187" s="161">
        <f t="shared" si="53"/>
        <v>0</v>
      </c>
      <c r="R187" s="161">
        <f t="shared" si="53"/>
        <v>0</v>
      </c>
      <c r="S187" s="161">
        <f t="shared" si="52"/>
        <v>0</v>
      </c>
      <c r="T187" s="161">
        <f t="shared" si="52"/>
        <v>0</v>
      </c>
      <c r="U187" s="161">
        <f t="shared" si="52"/>
        <v>0</v>
      </c>
      <c r="V187" s="161">
        <f t="shared" si="52"/>
        <v>0</v>
      </c>
      <c r="W187" s="161">
        <f t="shared" si="52"/>
        <v>0</v>
      </c>
      <c r="X187" s="161">
        <f t="shared" si="52"/>
        <v>0</v>
      </c>
      <c r="Y187" s="161">
        <f t="shared" si="52"/>
        <v>0</v>
      </c>
      <c r="Z187" s="161">
        <f t="shared" si="52"/>
        <v>0</v>
      </c>
      <c r="AA187" s="161">
        <f t="shared" si="52"/>
        <v>0</v>
      </c>
      <c r="AB187" s="161">
        <f t="shared" si="52"/>
        <v>0</v>
      </c>
      <c r="AC187" s="161">
        <f t="shared" si="52"/>
        <v>0</v>
      </c>
      <c r="AD187" s="161">
        <f t="shared" si="52"/>
        <v>0</v>
      </c>
      <c r="AE187" s="161">
        <f t="shared" si="52"/>
        <v>0</v>
      </c>
      <c r="AF187" s="174">
        <f t="shared" si="52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3"/>
        <v>0</v>
      </c>
      <c r="D188" s="161">
        <f t="shared" si="53"/>
        <v>0</v>
      </c>
      <c r="E188" s="161">
        <f t="shared" si="53"/>
        <v>0</v>
      </c>
      <c r="F188" s="161">
        <f t="shared" si="53"/>
        <v>0</v>
      </c>
      <c r="G188" s="161">
        <f t="shared" si="53"/>
        <v>0</v>
      </c>
      <c r="H188" s="161">
        <f t="shared" si="53"/>
        <v>0</v>
      </c>
      <c r="I188" s="161">
        <f t="shared" si="53"/>
        <v>0</v>
      </c>
      <c r="J188" s="161">
        <f t="shared" si="53"/>
        <v>0</v>
      </c>
      <c r="K188" s="161">
        <f t="shared" si="53"/>
        <v>0</v>
      </c>
      <c r="L188" s="161">
        <f t="shared" si="53"/>
        <v>0</v>
      </c>
      <c r="M188" s="161">
        <f t="shared" si="53"/>
        <v>0</v>
      </c>
      <c r="N188" s="161">
        <f t="shared" si="53"/>
        <v>0</v>
      </c>
      <c r="O188" s="161">
        <f t="shared" si="53"/>
        <v>0</v>
      </c>
      <c r="P188" s="161">
        <f t="shared" si="53"/>
        <v>0</v>
      </c>
      <c r="Q188" s="161">
        <f t="shared" si="53"/>
        <v>0</v>
      </c>
      <c r="R188" s="161">
        <f t="shared" si="53"/>
        <v>0</v>
      </c>
      <c r="S188" s="161">
        <f t="shared" si="52"/>
        <v>0</v>
      </c>
      <c r="T188" s="161">
        <f t="shared" si="52"/>
        <v>0</v>
      </c>
      <c r="U188" s="161">
        <f t="shared" si="52"/>
        <v>0</v>
      </c>
      <c r="V188" s="161">
        <f t="shared" si="52"/>
        <v>0</v>
      </c>
      <c r="W188" s="161">
        <f t="shared" si="52"/>
        <v>0</v>
      </c>
      <c r="X188" s="161">
        <f t="shared" si="52"/>
        <v>0</v>
      </c>
      <c r="Y188" s="161">
        <f t="shared" si="52"/>
        <v>0</v>
      </c>
      <c r="Z188" s="161">
        <f t="shared" si="52"/>
        <v>0</v>
      </c>
      <c r="AA188" s="161">
        <f t="shared" si="52"/>
        <v>0</v>
      </c>
      <c r="AB188" s="161">
        <f t="shared" si="52"/>
        <v>0</v>
      </c>
      <c r="AC188" s="161">
        <f t="shared" si="52"/>
        <v>0</v>
      </c>
      <c r="AD188" s="161">
        <f t="shared" si="52"/>
        <v>0</v>
      </c>
      <c r="AE188" s="161">
        <f t="shared" si="52"/>
        <v>0</v>
      </c>
      <c r="AF188" s="174">
        <f t="shared" si="52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3"/>
        <v>0</v>
      </c>
      <c r="D189" s="161">
        <f t="shared" si="53"/>
        <v>0</v>
      </c>
      <c r="E189" s="161">
        <f t="shared" si="53"/>
        <v>0</v>
      </c>
      <c r="F189" s="161">
        <f t="shared" si="53"/>
        <v>0</v>
      </c>
      <c r="G189" s="161">
        <f t="shared" si="53"/>
        <v>0</v>
      </c>
      <c r="H189" s="161">
        <f t="shared" si="53"/>
        <v>0</v>
      </c>
      <c r="I189" s="161">
        <f t="shared" si="53"/>
        <v>0</v>
      </c>
      <c r="J189" s="161">
        <f t="shared" si="53"/>
        <v>0</v>
      </c>
      <c r="K189" s="161">
        <f t="shared" si="53"/>
        <v>0</v>
      </c>
      <c r="L189" s="161">
        <f t="shared" si="53"/>
        <v>0</v>
      </c>
      <c r="M189" s="161">
        <f t="shared" si="53"/>
        <v>0</v>
      </c>
      <c r="N189" s="161">
        <f t="shared" si="53"/>
        <v>0</v>
      </c>
      <c r="O189" s="161">
        <f t="shared" si="53"/>
        <v>0</v>
      </c>
      <c r="P189" s="161">
        <f t="shared" si="53"/>
        <v>0</v>
      </c>
      <c r="Q189" s="161">
        <f t="shared" si="53"/>
        <v>0</v>
      </c>
      <c r="R189" s="161">
        <f t="shared" si="53"/>
        <v>0</v>
      </c>
      <c r="S189" s="161">
        <f t="shared" si="52"/>
        <v>0</v>
      </c>
      <c r="T189" s="161">
        <f t="shared" si="52"/>
        <v>0</v>
      </c>
      <c r="U189" s="161">
        <f t="shared" si="52"/>
        <v>0</v>
      </c>
      <c r="V189" s="161">
        <f t="shared" si="52"/>
        <v>0</v>
      </c>
      <c r="W189" s="161">
        <f t="shared" si="52"/>
        <v>0</v>
      </c>
      <c r="X189" s="161">
        <f t="shared" si="52"/>
        <v>0</v>
      </c>
      <c r="Y189" s="161">
        <f t="shared" si="52"/>
        <v>0</v>
      </c>
      <c r="Z189" s="161">
        <f t="shared" si="52"/>
        <v>0</v>
      </c>
      <c r="AA189" s="161">
        <f t="shared" si="52"/>
        <v>0</v>
      </c>
      <c r="AB189" s="161">
        <f t="shared" si="52"/>
        <v>0</v>
      </c>
      <c r="AC189" s="161">
        <f t="shared" si="52"/>
        <v>0</v>
      </c>
      <c r="AD189" s="161">
        <f t="shared" si="52"/>
        <v>0</v>
      </c>
      <c r="AE189" s="161">
        <f t="shared" si="52"/>
        <v>0</v>
      </c>
      <c r="AF189" s="174">
        <f t="shared" si="52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3"/>
        <v>0</v>
      </c>
      <c r="D190" s="161">
        <f t="shared" si="53"/>
        <v>0</v>
      </c>
      <c r="E190" s="161">
        <f t="shared" si="53"/>
        <v>0</v>
      </c>
      <c r="F190" s="161">
        <f t="shared" si="53"/>
        <v>0</v>
      </c>
      <c r="G190" s="161">
        <f t="shared" si="53"/>
        <v>0</v>
      </c>
      <c r="H190" s="161">
        <f t="shared" si="53"/>
        <v>0</v>
      </c>
      <c r="I190" s="161">
        <f t="shared" si="53"/>
        <v>0</v>
      </c>
      <c r="J190" s="161">
        <f t="shared" si="53"/>
        <v>0</v>
      </c>
      <c r="K190" s="161">
        <f t="shared" si="53"/>
        <v>0</v>
      </c>
      <c r="L190" s="161">
        <f t="shared" si="53"/>
        <v>0</v>
      </c>
      <c r="M190" s="161">
        <f t="shared" si="53"/>
        <v>0</v>
      </c>
      <c r="N190" s="161">
        <f t="shared" si="53"/>
        <v>0</v>
      </c>
      <c r="O190" s="161">
        <f t="shared" si="53"/>
        <v>0</v>
      </c>
      <c r="P190" s="161">
        <f t="shared" si="53"/>
        <v>0</v>
      </c>
      <c r="Q190" s="161">
        <f t="shared" si="53"/>
        <v>0</v>
      </c>
      <c r="R190" s="161">
        <f t="shared" si="53"/>
        <v>0</v>
      </c>
      <c r="S190" s="161">
        <f t="shared" si="52"/>
        <v>0</v>
      </c>
      <c r="T190" s="161">
        <f t="shared" si="52"/>
        <v>0</v>
      </c>
      <c r="U190" s="161">
        <f t="shared" si="52"/>
        <v>0</v>
      </c>
      <c r="V190" s="161">
        <f t="shared" si="52"/>
        <v>0</v>
      </c>
      <c r="W190" s="161">
        <f t="shared" si="52"/>
        <v>0</v>
      </c>
      <c r="X190" s="161">
        <f t="shared" si="52"/>
        <v>0</v>
      </c>
      <c r="Y190" s="161">
        <f t="shared" si="52"/>
        <v>0</v>
      </c>
      <c r="Z190" s="161">
        <f t="shared" si="52"/>
        <v>0</v>
      </c>
      <c r="AA190" s="161">
        <f t="shared" si="52"/>
        <v>0</v>
      </c>
      <c r="AB190" s="161">
        <f t="shared" si="52"/>
        <v>0</v>
      </c>
      <c r="AC190" s="161">
        <f t="shared" si="52"/>
        <v>0</v>
      </c>
      <c r="AD190" s="161">
        <f t="shared" si="52"/>
        <v>0</v>
      </c>
      <c r="AE190" s="161">
        <f t="shared" si="52"/>
        <v>0</v>
      </c>
      <c r="AF190" s="174">
        <f t="shared" si="52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3"/>
        <v>0</v>
      </c>
      <c r="D191" s="161">
        <f t="shared" si="53"/>
        <v>0</v>
      </c>
      <c r="E191" s="161">
        <f t="shared" si="53"/>
        <v>0</v>
      </c>
      <c r="F191" s="161">
        <f t="shared" si="53"/>
        <v>0</v>
      </c>
      <c r="G191" s="161">
        <f t="shared" si="53"/>
        <v>0</v>
      </c>
      <c r="H191" s="161">
        <f t="shared" si="53"/>
        <v>0</v>
      </c>
      <c r="I191" s="161">
        <f t="shared" si="53"/>
        <v>0</v>
      </c>
      <c r="J191" s="161">
        <f t="shared" si="53"/>
        <v>0</v>
      </c>
      <c r="K191" s="161">
        <f t="shared" si="53"/>
        <v>0</v>
      </c>
      <c r="L191" s="161">
        <f t="shared" si="53"/>
        <v>0</v>
      </c>
      <c r="M191" s="161">
        <f t="shared" si="53"/>
        <v>0</v>
      </c>
      <c r="N191" s="161">
        <f t="shared" si="53"/>
        <v>0</v>
      </c>
      <c r="O191" s="161">
        <f t="shared" si="53"/>
        <v>0</v>
      </c>
      <c r="P191" s="161">
        <f t="shared" si="53"/>
        <v>0</v>
      </c>
      <c r="Q191" s="161">
        <f t="shared" si="53"/>
        <v>0</v>
      </c>
      <c r="R191" s="161">
        <f t="shared" si="53"/>
        <v>0</v>
      </c>
      <c r="S191" s="161">
        <f t="shared" si="52"/>
        <v>0</v>
      </c>
      <c r="T191" s="161">
        <f t="shared" si="52"/>
        <v>0</v>
      </c>
      <c r="U191" s="161">
        <f t="shared" si="52"/>
        <v>0</v>
      </c>
      <c r="V191" s="161">
        <f t="shared" si="52"/>
        <v>0</v>
      </c>
      <c r="W191" s="161">
        <f t="shared" si="52"/>
        <v>0</v>
      </c>
      <c r="X191" s="161">
        <f t="shared" si="52"/>
        <v>0</v>
      </c>
      <c r="Y191" s="161">
        <f t="shared" si="52"/>
        <v>0</v>
      </c>
      <c r="Z191" s="161">
        <f t="shared" si="52"/>
        <v>0</v>
      </c>
      <c r="AA191" s="161">
        <f t="shared" si="52"/>
        <v>0</v>
      </c>
      <c r="AB191" s="161">
        <f t="shared" si="52"/>
        <v>0</v>
      </c>
      <c r="AC191" s="161">
        <f t="shared" si="52"/>
        <v>0</v>
      </c>
      <c r="AD191" s="161">
        <f t="shared" si="52"/>
        <v>0</v>
      </c>
      <c r="AE191" s="161">
        <f t="shared" si="52"/>
        <v>0</v>
      </c>
      <c r="AF191" s="174">
        <f t="shared" si="52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3"/>
        <v>0</v>
      </c>
      <c r="D192" s="161">
        <f t="shared" si="53"/>
        <v>0</v>
      </c>
      <c r="E192" s="161">
        <f t="shared" si="53"/>
        <v>0</v>
      </c>
      <c r="F192" s="161">
        <f t="shared" si="53"/>
        <v>0</v>
      </c>
      <c r="G192" s="161">
        <f t="shared" si="53"/>
        <v>0</v>
      </c>
      <c r="H192" s="161">
        <f t="shared" si="53"/>
        <v>0</v>
      </c>
      <c r="I192" s="161">
        <f t="shared" si="53"/>
        <v>0</v>
      </c>
      <c r="J192" s="161">
        <f t="shared" si="53"/>
        <v>0</v>
      </c>
      <c r="K192" s="161">
        <f t="shared" si="53"/>
        <v>0</v>
      </c>
      <c r="L192" s="161">
        <f t="shared" si="53"/>
        <v>0</v>
      </c>
      <c r="M192" s="161">
        <f t="shared" si="53"/>
        <v>0</v>
      </c>
      <c r="N192" s="161">
        <f t="shared" si="53"/>
        <v>0</v>
      </c>
      <c r="O192" s="161">
        <f t="shared" si="53"/>
        <v>0</v>
      </c>
      <c r="P192" s="161">
        <f t="shared" si="53"/>
        <v>0</v>
      </c>
      <c r="Q192" s="161">
        <f t="shared" si="53"/>
        <v>0</v>
      </c>
      <c r="R192" s="161">
        <f t="shared" si="53"/>
        <v>0</v>
      </c>
      <c r="S192" s="161">
        <f t="shared" si="52"/>
        <v>0</v>
      </c>
      <c r="T192" s="161">
        <f t="shared" si="52"/>
        <v>0</v>
      </c>
      <c r="U192" s="161">
        <f t="shared" si="52"/>
        <v>0</v>
      </c>
      <c r="V192" s="161">
        <f t="shared" si="52"/>
        <v>0</v>
      </c>
      <c r="W192" s="161">
        <f t="shared" si="52"/>
        <v>0</v>
      </c>
      <c r="X192" s="161">
        <f t="shared" si="52"/>
        <v>0</v>
      </c>
      <c r="Y192" s="161">
        <f t="shared" si="52"/>
        <v>0</v>
      </c>
      <c r="Z192" s="161">
        <f t="shared" si="52"/>
        <v>0</v>
      </c>
      <c r="AA192" s="161">
        <f t="shared" si="52"/>
        <v>0</v>
      </c>
      <c r="AB192" s="161">
        <f t="shared" si="52"/>
        <v>0</v>
      </c>
      <c r="AC192" s="161">
        <f t="shared" si="52"/>
        <v>0</v>
      </c>
      <c r="AD192" s="161">
        <f t="shared" si="52"/>
        <v>0</v>
      </c>
      <c r="AE192" s="161">
        <f t="shared" si="52"/>
        <v>0</v>
      </c>
      <c r="AF192" s="174">
        <f t="shared" si="52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3"/>
        <v>0</v>
      </c>
      <c r="D193" s="161">
        <f t="shared" si="53"/>
        <v>0</v>
      </c>
      <c r="E193" s="161">
        <f t="shared" si="53"/>
        <v>0</v>
      </c>
      <c r="F193" s="161">
        <f t="shared" si="53"/>
        <v>0</v>
      </c>
      <c r="G193" s="161">
        <f t="shared" si="53"/>
        <v>0</v>
      </c>
      <c r="H193" s="161">
        <f t="shared" si="53"/>
        <v>0</v>
      </c>
      <c r="I193" s="161">
        <f t="shared" si="53"/>
        <v>0</v>
      </c>
      <c r="J193" s="161">
        <f t="shared" si="53"/>
        <v>0</v>
      </c>
      <c r="K193" s="161">
        <f t="shared" si="53"/>
        <v>0</v>
      </c>
      <c r="L193" s="161">
        <f t="shared" si="53"/>
        <v>0</v>
      </c>
      <c r="M193" s="161">
        <f t="shared" si="53"/>
        <v>0</v>
      </c>
      <c r="N193" s="161">
        <f t="shared" si="53"/>
        <v>0</v>
      </c>
      <c r="O193" s="161">
        <f t="shared" si="53"/>
        <v>0</v>
      </c>
      <c r="P193" s="161">
        <f t="shared" si="53"/>
        <v>0</v>
      </c>
      <c r="Q193" s="161">
        <f t="shared" si="53"/>
        <v>0</v>
      </c>
      <c r="R193" s="161">
        <f t="shared" si="53"/>
        <v>0</v>
      </c>
      <c r="S193" s="161">
        <f t="shared" si="52"/>
        <v>0</v>
      </c>
      <c r="T193" s="161">
        <f t="shared" si="52"/>
        <v>0</v>
      </c>
      <c r="U193" s="161">
        <f t="shared" si="52"/>
        <v>0</v>
      </c>
      <c r="V193" s="161">
        <f t="shared" si="52"/>
        <v>0</v>
      </c>
      <c r="W193" s="161">
        <f t="shared" si="52"/>
        <v>0</v>
      </c>
      <c r="X193" s="161">
        <f t="shared" si="52"/>
        <v>0</v>
      </c>
      <c r="Y193" s="161">
        <f t="shared" si="52"/>
        <v>0</v>
      </c>
      <c r="Z193" s="161">
        <f t="shared" si="52"/>
        <v>0</v>
      </c>
      <c r="AA193" s="161">
        <f t="shared" si="52"/>
        <v>0</v>
      </c>
      <c r="AB193" s="161">
        <f t="shared" si="52"/>
        <v>0</v>
      </c>
      <c r="AC193" s="161">
        <f t="shared" si="52"/>
        <v>0</v>
      </c>
      <c r="AD193" s="161">
        <f t="shared" si="52"/>
        <v>0</v>
      </c>
      <c r="AE193" s="161">
        <f t="shared" si="52"/>
        <v>0</v>
      </c>
      <c r="AF193" s="174">
        <f t="shared" si="52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3"/>
        <v>0</v>
      </c>
      <c r="D194" s="161">
        <f t="shared" si="53"/>
        <v>0</v>
      </c>
      <c r="E194" s="161">
        <f t="shared" si="53"/>
        <v>0</v>
      </c>
      <c r="F194" s="161">
        <f t="shared" si="53"/>
        <v>0</v>
      </c>
      <c r="G194" s="161">
        <f t="shared" si="53"/>
        <v>0</v>
      </c>
      <c r="H194" s="161">
        <f t="shared" si="53"/>
        <v>0</v>
      </c>
      <c r="I194" s="161">
        <f t="shared" si="53"/>
        <v>0</v>
      </c>
      <c r="J194" s="161">
        <f t="shared" si="53"/>
        <v>0</v>
      </c>
      <c r="K194" s="161">
        <f t="shared" si="53"/>
        <v>0</v>
      </c>
      <c r="L194" s="161">
        <f t="shared" si="53"/>
        <v>0</v>
      </c>
      <c r="M194" s="161">
        <f t="shared" si="53"/>
        <v>0</v>
      </c>
      <c r="N194" s="161">
        <f t="shared" si="53"/>
        <v>0</v>
      </c>
      <c r="O194" s="161">
        <f t="shared" si="53"/>
        <v>0</v>
      </c>
      <c r="P194" s="161">
        <f t="shared" si="53"/>
        <v>0</v>
      </c>
      <c r="Q194" s="161">
        <f t="shared" si="53"/>
        <v>0</v>
      </c>
      <c r="R194" s="161">
        <f t="shared" si="53"/>
        <v>0</v>
      </c>
      <c r="S194" s="161">
        <f t="shared" si="52"/>
        <v>0</v>
      </c>
      <c r="T194" s="161">
        <f t="shared" si="52"/>
        <v>0</v>
      </c>
      <c r="U194" s="161">
        <f t="shared" si="52"/>
        <v>0</v>
      </c>
      <c r="V194" s="161">
        <f t="shared" si="52"/>
        <v>0</v>
      </c>
      <c r="W194" s="161">
        <f t="shared" si="52"/>
        <v>0</v>
      </c>
      <c r="X194" s="161">
        <f t="shared" si="52"/>
        <v>0</v>
      </c>
      <c r="Y194" s="161">
        <f t="shared" si="52"/>
        <v>0</v>
      </c>
      <c r="Z194" s="161">
        <f t="shared" si="52"/>
        <v>0</v>
      </c>
      <c r="AA194" s="161">
        <f t="shared" si="52"/>
        <v>0</v>
      </c>
      <c r="AB194" s="161">
        <f t="shared" si="52"/>
        <v>0</v>
      </c>
      <c r="AC194" s="161">
        <f t="shared" si="52"/>
        <v>0</v>
      </c>
      <c r="AD194" s="161">
        <f t="shared" si="52"/>
        <v>0</v>
      </c>
      <c r="AE194" s="161">
        <f t="shared" si="52"/>
        <v>0</v>
      </c>
      <c r="AF194" s="174">
        <f t="shared" si="52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3"/>
        <v>0</v>
      </c>
      <c r="D195" s="161">
        <f t="shared" si="53"/>
        <v>0</v>
      </c>
      <c r="E195" s="161">
        <f t="shared" si="53"/>
        <v>0</v>
      </c>
      <c r="F195" s="161">
        <f t="shared" si="53"/>
        <v>0</v>
      </c>
      <c r="G195" s="161">
        <f t="shared" si="53"/>
        <v>0</v>
      </c>
      <c r="H195" s="161">
        <f t="shared" si="53"/>
        <v>0</v>
      </c>
      <c r="I195" s="161">
        <f t="shared" si="53"/>
        <v>0</v>
      </c>
      <c r="J195" s="161">
        <f t="shared" si="53"/>
        <v>0</v>
      </c>
      <c r="K195" s="161">
        <f t="shared" si="53"/>
        <v>0</v>
      </c>
      <c r="L195" s="161">
        <f t="shared" si="53"/>
        <v>0</v>
      </c>
      <c r="M195" s="161">
        <f t="shared" si="53"/>
        <v>0</v>
      </c>
      <c r="N195" s="161">
        <f t="shared" si="53"/>
        <v>0</v>
      </c>
      <c r="O195" s="161">
        <f t="shared" si="53"/>
        <v>0</v>
      </c>
      <c r="P195" s="161">
        <f t="shared" si="53"/>
        <v>0</v>
      </c>
      <c r="Q195" s="161">
        <f t="shared" si="53"/>
        <v>0</v>
      </c>
      <c r="R195" s="161">
        <f t="shared" si="53"/>
        <v>0</v>
      </c>
      <c r="S195" s="161">
        <f t="shared" si="52"/>
        <v>0</v>
      </c>
      <c r="T195" s="161">
        <f t="shared" si="52"/>
        <v>0</v>
      </c>
      <c r="U195" s="161">
        <f t="shared" si="52"/>
        <v>0</v>
      </c>
      <c r="V195" s="161">
        <f t="shared" si="52"/>
        <v>0</v>
      </c>
      <c r="W195" s="161">
        <f t="shared" si="52"/>
        <v>0</v>
      </c>
      <c r="X195" s="161">
        <f t="shared" si="52"/>
        <v>0</v>
      </c>
      <c r="Y195" s="161">
        <f t="shared" si="52"/>
        <v>0</v>
      </c>
      <c r="Z195" s="161">
        <f t="shared" si="52"/>
        <v>0</v>
      </c>
      <c r="AA195" s="161">
        <f t="shared" si="52"/>
        <v>0</v>
      </c>
      <c r="AB195" s="161">
        <f t="shared" si="52"/>
        <v>0</v>
      </c>
      <c r="AC195" s="161">
        <f t="shared" si="52"/>
        <v>0</v>
      </c>
      <c r="AD195" s="161">
        <f t="shared" si="52"/>
        <v>0</v>
      </c>
      <c r="AE195" s="161">
        <f t="shared" si="52"/>
        <v>0</v>
      </c>
      <c r="AF195" s="174">
        <f t="shared" si="52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3"/>
        <v>0</v>
      </c>
      <c r="D196" s="161">
        <f t="shared" si="53"/>
        <v>0</v>
      </c>
      <c r="E196" s="161">
        <f t="shared" si="53"/>
        <v>0</v>
      </c>
      <c r="F196" s="161">
        <f t="shared" si="53"/>
        <v>0</v>
      </c>
      <c r="G196" s="161">
        <f t="shared" si="53"/>
        <v>0</v>
      </c>
      <c r="H196" s="161">
        <f t="shared" si="53"/>
        <v>0</v>
      </c>
      <c r="I196" s="161">
        <f t="shared" si="53"/>
        <v>0</v>
      </c>
      <c r="J196" s="161">
        <f t="shared" si="53"/>
        <v>0</v>
      </c>
      <c r="K196" s="161">
        <f t="shared" si="53"/>
        <v>0</v>
      </c>
      <c r="L196" s="161">
        <f t="shared" si="53"/>
        <v>0</v>
      </c>
      <c r="M196" s="161">
        <f t="shared" si="53"/>
        <v>0</v>
      </c>
      <c r="N196" s="161">
        <f t="shared" si="53"/>
        <v>0</v>
      </c>
      <c r="O196" s="161">
        <f t="shared" si="53"/>
        <v>0</v>
      </c>
      <c r="P196" s="161">
        <f t="shared" si="53"/>
        <v>0</v>
      </c>
      <c r="Q196" s="161">
        <f t="shared" si="53"/>
        <v>0</v>
      </c>
      <c r="R196" s="161">
        <f t="shared" si="53"/>
        <v>0</v>
      </c>
      <c r="S196" s="161">
        <f t="shared" si="52"/>
        <v>0</v>
      </c>
      <c r="T196" s="161">
        <f t="shared" si="52"/>
        <v>0</v>
      </c>
      <c r="U196" s="161">
        <f t="shared" si="52"/>
        <v>0</v>
      </c>
      <c r="V196" s="161">
        <f t="shared" si="52"/>
        <v>0</v>
      </c>
      <c r="W196" s="161">
        <f t="shared" si="52"/>
        <v>0</v>
      </c>
      <c r="X196" s="161">
        <f t="shared" si="52"/>
        <v>0</v>
      </c>
      <c r="Y196" s="161">
        <f t="shared" si="52"/>
        <v>0</v>
      </c>
      <c r="Z196" s="161">
        <f t="shared" si="52"/>
        <v>0</v>
      </c>
      <c r="AA196" s="161">
        <f t="shared" si="52"/>
        <v>0</v>
      </c>
      <c r="AB196" s="161">
        <f t="shared" si="52"/>
        <v>0</v>
      </c>
      <c r="AC196" s="161">
        <f t="shared" si="52"/>
        <v>0</v>
      </c>
      <c r="AD196" s="161">
        <f t="shared" si="52"/>
        <v>0</v>
      </c>
      <c r="AE196" s="161">
        <f t="shared" si="52"/>
        <v>0</v>
      </c>
      <c r="AF196" s="174">
        <f t="shared" si="52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3"/>
        <v>0</v>
      </c>
      <c r="D197" s="161">
        <f t="shared" si="53"/>
        <v>0</v>
      </c>
      <c r="E197" s="161">
        <f t="shared" si="53"/>
        <v>0</v>
      </c>
      <c r="F197" s="161">
        <f t="shared" si="53"/>
        <v>0</v>
      </c>
      <c r="G197" s="161">
        <f t="shared" si="53"/>
        <v>0</v>
      </c>
      <c r="H197" s="161">
        <f t="shared" si="53"/>
        <v>0</v>
      </c>
      <c r="I197" s="161">
        <f t="shared" si="53"/>
        <v>0</v>
      </c>
      <c r="J197" s="161">
        <f t="shared" si="53"/>
        <v>0</v>
      </c>
      <c r="K197" s="161">
        <f t="shared" si="53"/>
        <v>0</v>
      </c>
      <c r="L197" s="161">
        <f t="shared" si="53"/>
        <v>0</v>
      </c>
      <c r="M197" s="161">
        <f t="shared" si="53"/>
        <v>0</v>
      </c>
      <c r="N197" s="161">
        <f t="shared" si="53"/>
        <v>0</v>
      </c>
      <c r="O197" s="161">
        <f t="shared" si="53"/>
        <v>0</v>
      </c>
      <c r="P197" s="161">
        <f t="shared" si="53"/>
        <v>0</v>
      </c>
      <c r="Q197" s="161">
        <f t="shared" si="53"/>
        <v>0</v>
      </c>
      <c r="R197" s="161">
        <f t="shared" si="53"/>
        <v>0</v>
      </c>
      <c r="S197" s="161">
        <f t="shared" si="52"/>
        <v>0</v>
      </c>
      <c r="T197" s="161">
        <f t="shared" si="52"/>
        <v>0</v>
      </c>
      <c r="U197" s="161">
        <f t="shared" si="52"/>
        <v>0</v>
      </c>
      <c r="V197" s="161">
        <f t="shared" si="52"/>
        <v>0</v>
      </c>
      <c r="W197" s="161">
        <f t="shared" si="52"/>
        <v>0</v>
      </c>
      <c r="X197" s="161">
        <f t="shared" si="52"/>
        <v>0</v>
      </c>
      <c r="Y197" s="161">
        <f t="shared" si="52"/>
        <v>0</v>
      </c>
      <c r="Z197" s="161">
        <f t="shared" si="52"/>
        <v>0</v>
      </c>
      <c r="AA197" s="161">
        <f t="shared" si="52"/>
        <v>0</v>
      </c>
      <c r="AB197" s="161">
        <f t="shared" si="52"/>
        <v>0</v>
      </c>
      <c r="AC197" s="161">
        <f t="shared" si="52"/>
        <v>0</v>
      </c>
      <c r="AD197" s="161">
        <f t="shared" si="52"/>
        <v>0</v>
      </c>
      <c r="AE197" s="161">
        <f t="shared" si="52"/>
        <v>0</v>
      </c>
      <c r="AF197" s="174">
        <f t="shared" si="52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3"/>
        <v>0</v>
      </c>
      <c r="D198" s="161">
        <f t="shared" si="53"/>
        <v>0</v>
      </c>
      <c r="E198" s="161">
        <f t="shared" si="53"/>
        <v>0</v>
      </c>
      <c r="F198" s="161">
        <f t="shared" si="53"/>
        <v>0</v>
      </c>
      <c r="G198" s="161">
        <f t="shared" si="53"/>
        <v>0</v>
      </c>
      <c r="H198" s="161">
        <f t="shared" si="53"/>
        <v>0</v>
      </c>
      <c r="I198" s="161">
        <f t="shared" si="53"/>
        <v>0</v>
      </c>
      <c r="J198" s="161">
        <f t="shared" si="53"/>
        <v>0</v>
      </c>
      <c r="K198" s="161">
        <f t="shared" si="53"/>
        <v>0</v>
      </c>
      <c r="L198" s="161">
        <f t="shared" si="53"/>
        <v>0</v>
      </c>
      <c r="M198" s="161">
        <f t="shared" si="53"/>
        <v>0</v>
      </c>
      <c r="N198" s="161">
        <f t="shared" si="53"/>
        <v>0</v>
      </c>
      <c r="O198" s="161">
        <f t="shared" si="53"/>
        <v>0</v>
      </c>
      <c r="P198" s="161">
        <f t="shared" si="53"/>
        <v>0</v>
      </c>
      <c r="Q198" s="161">
        <f t="shared" si="53"/>
        <v>0</v>
      </c>
      <c r="R198" s="161">
        <f t="shared" si="53"/>
        <v>0</v>
      </c>
      <c r="S198" s="161">
        <f t="shared" si="52"/>
        <v>0</v>
      </c>
      <c r="T198" s="161">
        <f t="shared" si="52"/>
        <v>0</v>
      </c>
      <c r="U198" s="161">
        <f t="shared" si="52"/>
        <v>0</v>
      </c>
      <c r="V198" s="161">
        <f t="shared" si="52"/>
        <v>0</v>
      </c>
      <c r="W198" s="161">
        <f t="shared" si="52"/>
        <v>0</v>
      </c>
      <c r="X198" s="161">
        <f t="shared" si="52"/>
        <v>0</v>
      </c>
      <c r="Y198" s="161">
        <f t="shared" si="52"/>
        <v>0</v>
      </c>
      <c r="Z198" s="161">
        <f t="shared" si="52"/>
        <v>0</v>
      </c>
      <c r="AA198" s="161">
        <f t="shared" si="52"/>
        <v>0</v>
      </c>
      <c r="AB198" s="161">
        <f t="shared" si="52"/>
        <v>0</v>
      </c>
      <c r="AC198" s="161">
        <f t="shared" si="52"/>
        <v>0</v>
      </c>
      <c r="AD198" s="161">
        <f t="shared" si="52"/>
        <v>0</v>
      </c>
      <c r="AE198" s="161">
        <f t="shared" si="52"/>
        <v>0</v>
      </c>
      <c r="AF198" s="174">
        <f t="shared" si="52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3"/>
        <v>0</v>
      </c>
      <c r="D199" s="161">
        <f t="shared" si="53"/>
        <v>0</v>
      </c>
      <c r="E199" s="161">
        <f t="shared" si="53"/>
        <v>0</v>
      </c>
      <c r="F199" s="161">
        <f t="shared" si="53"/>
        <v>0</v>
      </c>
      <c r="G199" s="161">
        <f t="shared" si="53"/>
        <v>0</v>
      </c>
      <c r="H199" s="161">
        <f t="shared" si="53"/>
        <v>0</v>
      </c>
      <c r="I199" s="161">
        <f t="shared" si="53"/>
        <v>0</v>
      </c>
      <c r="J199" s="161">
        <f t="shared" si="53"/>
        <v>0</v>
      </c>
      <c r="K199" s="161">
        <f t="shared" si="53"/>
        <v>0</v>
      </c>
      <c r="L199" s="161">
        <f t="shared" si="53"/>
        <v>0</v>
      </c>
      <c r="M199" s="161">
        <f t="shared" si="53"/>
        <v>0</v>
      </c>
      <c r="N199" s="161">
        <f t="shared" si="53"/>
        <v>0</v>
      </c>
      <c r="O199" s="161">
        <f t="shared" si="53"/>
        <v>0</v>
      </c>
      <c r="P199" s="161">
        <f t="shared" si="53"/>
        <v>0</v>
      </c>
      <c r="Q199" s="161">
        <f t="shared" si="53"/>
        <v>0</v>
      </c>
      <c r="R199" s="161">
        <f t="shared" si="53"/>
        <v>0</v>
      </c>
      <c r="S199" s="161">
        <f t="shared" si="52"/>
        <v>0</v>
      </c>
      <c r="T199" s="161">
        <f t="shared" si="52"/>
        <v>0</v>
      </c>
      <c r="U199" s="161">
        <f t="shared" si="52"/>
        <v>0</v>
      </c>
      <c r="V199" s="161">
        <f t="shared" si="52"/>
        <v>0</v>
      </c>
      <c r="W199" s="161">
        <f t="shared" si="52"/>
        <v>0</v>
      </c>
      <c r="X199" s="161">
        <f t="shared" si="52"/>
        <v>0</v>
      </c>
      <c r="Y199" s="161">
        <f t="shared" si="52"/>
        <v>0</v>
      </c>
      <c r="Z199" s="161">
        <f t="shared" si="52"/>
        <v>0</v>
      </c>
      <c r="AA199" s="161">
        <f t="shared" si="52"/>
        <v>0</v>
      </c>
      <c r="AB199" s="161">
        <f t="shared" si="52"/>
        <v>0</v>
      </c>
      <c r="AC199" s="161">
        <f t="shared" si="52"/>
        <v>0</v>
      </c>
      <c r="AD199" s="161">
        <f t="shared" si="52"/>
        <v>0</v>
      </c>
      <c r="AE199" s="161">
        <f t="shared" si="52"/>
        <v>0</v>
      </c>
      <c r="AF199" s="174">
        <f t="shared" si="52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3"/>
        <v>0</v>
      </c>
      <c r="D200" s="161">
        <f t="shared" si="53"/>
        <v>0</v>
      </c>
      <c r="E200" s="161">
        <f t="shared" si="53"/>
        <v>0</v>
      </c>
      <c r="F200" s="161">
        <f t="shared" si="53"/>
        <v>0</v>
      </c>
      <c r="G200" s="161">
        <f t="shared" si="53"/>
        <v>0</v>
      </c>
      <c r="H200" s="161">
        <f t="shared" si="53"/>
        <v>0</v>
      </c>
      <c r="I200" s="161">
        <f t="shared" si="53"/>
        <v>0</v>
      </c>
      <c r="J200" s="161">
        <f t="shared" si="53"/>
        <v>0</v>
      </c>
      <c r="K200" s="161">
        <f t="shared" si="53"/>
        <v>0</v>
      </c>
      <c r="L200" s="161">
        <f t="shared" si="53"/>
        <v>0</v>
      </c>
      <c r="M200" s="161">
        <f t="shared" si="53"/>
        <v>0</v>
      </c>
      <c r="N200" s="161">
        <f t="shared" si="53"/>
        <v>0</v>
      </c>
      <c r="O200" s="161">
        <f t="shared" si="53"/>
        <v>0</v>
      </c>
      <c r="P200" s="161">
        <f t="shared" si="53"/>
        <v>0</v>
      </c>
      <c r="Q200" s="161">
        <f t="shared" si="53"/>
        <v>0</v>
      </c>
      <c r="R200" s="161">
        <f t="shared" ref="R200:AF215" si="54">Q200</f>
        <v>0</v>
      </c>
      <c r="S200" s="161">
        <f t="shared" si="54"/>
        <v>0</v>
      </c>
      <c r="T200" s="161">
        <f t="shared" si="54"/>
        <v>0</v>
      </c>
      <c r="U200" s="161">
        <f t="shared" si="54"/>
        <v>0</v>
      </c>
      <c r="V200" s="161">
        <f t="shared" si="54"/>
        <v>0</v>
      </c>
      <c r="W200" s="161">
        <f t="shared" si="54"/>
        <v>0</v>
      </c>
      <c r="X200" s="161">
        <f t="shared" si="54"/>
        <v>0</v>
      </c>
      <c r="Y200" s="161">
        <f t="shared" si="54"/>
        <v>0</v>
      </c>
      <c r="Z200" s="161">
        <f t="shared" si="54"/>
        <v>0</v>
      </c>
      <c r="AA200" s="161">
        <f t="shared" si="54"/>
        <v>0</v>
      </c>
      <c r="AB200" s="161">
        <f t="shared" si="54"/>
        <v>0</v>
      </c>
      <c r="AC200" s="161">
        <f t="shared" si="54"/>
        <v>0</v>
      </c>
      <c r="AD200" s="161">
        <f t="shared" si="54"/>
        <v>0</v>
      </c>
      <c r="AE200" s="161">
        <f t="shared" si="54"/>
        <v>0</v>
      </c>
      <c r="AF200" s="174">
        <f t="shared" si="5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5">B201</f>
        <v>0</v>
      </c>
      <c r="D201" s="161">
        <f t="shared" si="55"/>
        <v>0</v>
      </c>
      <c r="E201" s="161">
        <f t="shared" si="55"/>
        <v>0</v>
      </c>
      <c r="F201" s="161">
        <f t="shared" si="55"/>
        <v>0</v>
      </c>
      <c r="G201" s="161">
        <f t="shared" si="55"/>
        <v>0</v>
      </c>
      <c r="H201" s="161">
        <f t="shared" si="55"/>
        <v>0</v>
      </c>
      <c r="I201" s="161">
        <f t="shared" si="55"/>
        <v>0</v>
      </c>
      <c r="J201" s="161">
        <f t="shared" si="55"/>
        <v>0</v>
      </c>
      <c r="K201" s="161">
        <f t="shared" si="55"/>
        <v>0</v>
      </c>
      <c r="L201" s="161">
        <f t="shared" si="55"/>
        <v>0</v>
      </c>
      <c r="M201" s="161">
        <f t="shared" si="55"/>
        <v>0</v>
      </c>
      <c r="N201" s="161">
        <f t="shared" si="55"/>
        <v>0</v>
      </c>
      <c r="O201" s="161">
        <f t="shared" si="55"/>
        <v>0</v>
      </c>
      <c r="P201" s="161">
        <f t="shared" si="55"/>
        <v>0</v>
      </c>
      <c r="Q201" s="161">
        <f t="shared" si="55"/>
        <v>0</v>
      </c>
      <c r="R201" s="161">
        <f t="shared" si="55"/>
        <v>0</v>
      </c>
      <c r="S201" s="161">
        <f t="shared" si="54"/>
        <v>0</v>
      </c>
      <c r="T201" s="161">
        <f t="shared" si="54"/>
        <v>0</v>
      </c>
      <c r="U201" s="161">
        <f t="shared" si="54"/>
        <v>0</v>
      </c>
      <c r="V201" s="161">
        <f t="shared" si="54"/>
        <v>0</v>
      </c>
      <c r="W201" s="161">
        <f t="shared" si="54"/>
        <v>0</v>
      </c>
      <c r="X201" s="161">
        <f t="shared" si="54"/>
        <v>0</v>
      </c>
      <c r="Y201" s="161">
        <f t="shared" si="54"/>
        <v>0</v>
      </c>
      <c r="Z201" s="161">
        <f t="shared" si="54"/>
        <v>0</v>
      </c>
      <c r="AA201" s="161">
        <f t="shared" si="54"/>
        <v>0</v>
      </c>
      <c r="AB201" s="161">
        <f t="shared" si="54"/>
        <v>0</v>
      </c>
      <c r="AC201" s="161">
        <f t="shared" si="54"/>
        <v>0</v>
      </c>
      <c r="AD201" s="161">
        <f t="shared" si="54"/>
        <v>0</v>
      </c>
      <c r="AE201" s="161">
        <f t="shared" si="54"/>
        <v>0</v>
      </c>
      <c r="AF201" s="174">
        <f t="shared" si="5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5"/>
        <v>0</v>
      </c>
      <c r="D202" s="161">
        <f t="shared" si="55"/>
        <v>0</v>
      </c>
      <c r="E202" s="161">
        <f t="shared" si="55"/>
        <v>0</v>
      </c>
      <c r="F202" s="161">
        <f t="shared" si="55"/>
        <v>0</v>
      </c>
      <c r="G202" s="161">
        <f t="shared" si="55"/>
        <v>0</v>
      </c>
      <c r="H202" s="161">
        <f t="shared" si="55"/>
        <v>0</v>
      </c>
      <c r="I202" s="161">
        <f t="shared" si="55"/>
        <v>0</v>
      </c>
      <c r="J202" s="161">
        <f t="shared" si="55"/>
        <v>0</v>
      </c>
      <c r="K202" s="161">
        <f t="shared" si="55"/>
        <v>0</v>
      </c>
      <c r="L202" s="161">
        <f t="shared" si="55"/>
        <v>0</v>
      </c>
      <c r="M202" s="161">
        <f t="shared" si="55"/>
        <v>0</v>
      </c>
      <c r="N202" s="161">
        <f t="shared" si="55"/>
        <v>0</v>
      </c>
      <c r="O202" s="161">
        <f t="shared" si="55"/>
        <v>0</v>
      </c>
      <c r="P202" s="161">
        <f t="shared" si="55"/>
        <v>0</v>
      </c>
      <c r="Q202" s="161">
        <f t="shared" si="55"/>
        <v>0</v>
      </c>
      <c r="R202" s="161">
        <f t="shared" si="55"/>
        <v>0</v>
      </c>
      <c r="S202" s="161">
        <f t="shared" si="54"/>
        <v>0</v>
      </c>
      <c r="T202" s="161">
        <f t="shared" si="54"/>
        <v>0</v>
      </c>
      <c r="U202" s="161">
        <f t="shared" si="54"/>
        <v>0</v>
      </c>
      <c r="V202" s="161">
        <f t="shared" si="54"/>
        <v>0</v>
      </c>
      <c r="W202" s="161">
        <f t="shared" si="54"/>
        <v>0</v>
      </c>
      <c r="X202" s="161">
        <f t="shared" si="54"/>
        <v>0</v>
      </c>
      <c r="Y202" s="161">
        <f t="shared" si="54"/>
        <v>0</v>
      </c>
      <c r="Z202" s="161">
        <f t="shared" si="54"/>
        <v>0</v>
      </c>
      <c r="AA202" s="161">
        <f t="shared" si="54"/>
        <v>0</v>
      </c>
      <c r="AB202" s="161">
        <f t="shared" si="54"/>
        <v>0</v>
      </c>
      <c r="AC202" s="161">
        <f t="shared" si="54"/>
        <v>0</v>
      </c>
      <c r="AD202" s="161">
        <f t="shared" si="54"/>
        <v>0</v>
      </c>
      <c r="AE202" s="161">
        <f t="shared" si="54"/>
        <v>0</v>
      </c>
      <c r="AF202" s="174">
        <f t="shared" si="5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5"/>
        <v>0</v>
      </c>
      <c r="D203" s="161">
        <f t="shared" si="55"/>
        <v>0</v>
      </c>
      <c r="E203" s="161">
        <f t="shared" si="55"/>
        <v>0</v>
      </c>
      <c r="F203" s="161">
        <f t="shared" si="55"/>
        <v>0</v>
      </c>
      <c r="G203" s="161">
        <f t="shared" si="55"/>
        <v>0</v>
      </c>
      <c r="H203" s="161">
        <f t="shared" si="55"/>
        <v>0</v>
      </c>
      <c r="I203" s="161">
        <f t="shared" si="55"/>
        <v>0</v>
      </c>
      <c r="J203" s="161">
        <f t="shared" si="55"/>
        <v>0</v>
      </c>
      <c r="K203" s="161">
        <f t="shared" si="55"/>
        <v>0</v>
      </c>
      <c r="L203" s="161">
        <f t="shared" si="55"/>
        <v>0</v>
      </c>
      <c r="M203" s="161">
        <f t="shared" si="55"/>
        <v>0</v>
      </c>
      <c r="N203" s="161">
        <f t="shared" si="55"/>
        <v>0</v>
      </c>
      <c r="O203" s="161">
        <f t="shared" si="55"/>
        <v>0</v>
      </c>
      <c r="P203" s="161">
        <f t="shared" si="55"/>
        <v>0</v>
      </c>
      <c r="Q203" s="161">
        <f t="shared" si="55"/>
        <v>0</v>
      </c>
      <c r="R203" s="161">
        <f t="shared" si="55"/>
        <v>0</v>
      </c>
      <c r="S203" s="161">
        <f t="shared" si="54"/>
        <v>0</v>
      </c>
      <c r="T203" s="161">
        <f t="shared" si="54"/>
        <v>0</v>
      </c>
      <c r="U203" s="161">
        <f t="shared" si="54"/>
        <v>0</v>
      </c>
      <c r="V203" s="161">
        <f t="shared" si="54"/>
        <v>0</v>
      </c>
      <c r="W203" s="161">
        <f t="shared" si="54"/>
        <v>0</v>
      </c>
      <c r="X203" s="161">
        <f t="shared" si="54"/>
        <v>0</v>
      </c>
      <c r="Y203" s="161">
        <f t="shared" si="54"/>
        <v>0</v>
      </c>
      <c r="Z203" s="161">
        <f t="shared" si="54"/>
        <v>0</v>
      </c>
      <c r="AA203" s="161">
        <f t="shared" si="54"/>
        <v>0</v>
      </c>
      <c r="AB203" s="161">
        <f t="shared" si="54"/>
        <v>0</v>
      </c>
      <c r="AC203" s="161">
        <f t="shared" si="54"/>
        <v>0</v>
      </c>
      <c r="AD203" s="161">
        <f t="shared" si="54"/>
        <v>0</v>
      </c>
      <c r="AE203" s="161">
        <f t="shared" si="54"/>
        <v>0</v>
      </c>
      <c r="AF203" s="174">
        <f t="shared" si="5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5"/>
        <v>0</v>
      </c>
      <c r="D204" s="161">
        <f t="shared" si="55"/>
        <v>0</v>
      </c>
      <c r="E204" s="161">
        <f t="shared" si="55"/>
        <v>0</v>
      </c>
      <c r="F204" s="161">
        <f t="shared" si="55"/>
        <v>0</v>
      </c>
      <c r="G204" s="161">
        <f t="shared" si="55"/>
        <v>0</v>
      </c>
      <c r="H204" s="161">
        <f t="shared" si="55"/>
        <v>0</v>
      </c>
      <c r="I204" s="161">
        <f t="shared" si="55"/>
        <v>0</v>
      </c>
      <c r="J204" s="161">
        <f t="shared" si="55"/>
        <v>0</v>
      </c>
      <c r="K204" s="161">
        <f t="shared" si="55"/>
        <v>0</v>
      </c>
      <c r="L204" s="161">
        <f t="shared" si="55"/>
        <v>0</v>
      </c>
      <c r="M204" s="161">
        <f t="shared" si="55"/>
        <v>0</v>
      </c>
      <c r="N204" s="161">
        <f t="shared" si="55"/>
        <v>0</v>
      </c>
      <c r="O204" s="161">
        <f t="shared" si="55"/>
        <v>0</v>
      </c>
      <c r="P204" s="161">
        <f t="shared" si="55"/>
        <v>0</v>
      </c>
      <c r="Q204" s="161">
        <f t="shared" si="55"/>
        <v>0</v>
      </c>
      <c r="R204" s="161">
        <f t="shared" si="55"/>
        <v>0</v>
      </c>
      <c r="S204" s="161">
        <f t="shared" si="54"/>
        <v>0</v>
      </c>
      <c r="T204" s="161">
        <f t="shared" si="54"/>
        <v>0</v>
      </c>
      <c r="U204" s="161">
        <f t="shared" si="54"/>
        <v>0</v>
      </c>
      <c r="V204" s="161">
        <f t="shared" si="54"/>
        <v>0</v>
      </c>
      <c r="W204" s="161">
        <f t="shared" si="54"/>
        <v>0</v>
      </c>
      <c r="X204" s="161">
        <f t="shared" si="54"/>
        <v>0</v>
      </c>
      <c r="Y204" s="161">
        <f t="shared" si="54"/>
        <v>0</v>
      </c>
      <c r="Z204" s="161">
        <f t="shared" si="54"/>
        <v>0</v>
      </c>
      <c r="AA204" s="161">
        <f t="shared" si="54"/>
        <v>0</v>
      </c>
      <c r="AB204" s="161">
        <f t="shared" si="54"/>
        <v>0</v>
      </c>
      <c r="AC204" s="161">
        <f t="shared" si="54"/>
        <v>0</v>
      </c>
      <c r="AD204" s="161">
        <f t="shared" si="54"/>
        <v>0</v>
      </c>
      <c r="AE204" s="161">
        <f t="shared" si="54"/>
        <v>0</v>
      </c>
      <c r="AF204" s="174">
        <f t="shared" si="5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5"/>
        <v>0</v>
      </c>
      <c r="D205" s="161">
        <f t="shared" si="55"/>
        <v>0</v>
      </c>
      <c r="E205" s="161">
        <f t="shared" si="55"/>
        <v>0</v>
      </c>
      <c r="F205" s="161">
        <f t="shared" si="55"/>
        <v>0</v>
      </c>
      <c r="G205" s="161">
        <f t="shared" si="55"/>
        <v>0</v>
      </c>
      <c r="H205" s="161">
        <f t="shared" si="55"/>
        <v>0</v>
      </c>
      <c r="I205" s="161">
        <f t="shared" si="55"/>
        <v>0</v>
      </c>
      <c r="J205" s="161">
        <f t="shared" si="55"/>
        <v>0</v>
      </c>
      <c r="K205" s="161">
        <f t="shared" si="55"/>
        <v>0</v>
      </c>
      <c r="L205" s="161">
        <f t="shared" si="55"/>
        <v>0</v>
      </c>
      <c r="M205" s="161">
        <f t="shared" si="55"/>
        <v>0</v>
      </c>
      <c r="N205" s="161">
        <f t="shared" si="55"/>
        <v>0</v>
      </c>
      <c r="O205" s="161">
        <f t="shared" si="55"/>
        <v>0</v>
      </c>
      <c r="P205" s="161">
        <f t="shared" si="55"/>
        <v>0</v>
      </c>
      <c r="Q205" s="161">
        <f t="shared" si="55"/>
        <v>0</v>
      </c>
      <c r="R205" s="161">
        <f t="shared" si="55"/>
        <v>0</v>
      </c>
      <c r="S205" s="161">
        <f t="shared" si="54"/>
        <v>0</v>
      </c>
      <c r="T205" s="161">
        <f t="shared" si="54"/>
        <v>0</v>
      </c>
      <c r="U205" s="161">
        <f t="shared" si="54"/>
        <v>0</v>
      </c>
      <c r="V205" s="161">
        <f t="shared" si="54"/>
        <v>0</v>
      </c>
      <c r="W205" s="161">
        <f t="shared" si="54"/>
        <v>0</v>
      </c>
      <c r="X205" s="161">
        <f t="shared" si="54"/>
        <v>0</v>
      </c>
      <c r="Y205" s="161">
        <f t="shared" si="54"/>
        <v>0</v>
      </c>
      <c r="Z205" s="161">
        <f t="shared" si="54"/>
        <v>0</v>
      </c>
      <c r="AA205" s="161">
        <f t="shared" si="54"/>
        <v>0</v>
      </c>
      <c r="AB205" s="161">
        <f t="shared" si="54"/>
        <v>0</v>
      </c>
      <c r="AC205" s="161">
        <f t="shared" si="54"/>
        <v>0</v>
      </c>
      <c r="AD205" s="161">
        <f t="shared" si="54"/>
        <v>0</v>
      </c>
      <c r="AE205" s="161">
        <f t="shared" si="54"/>
        <v>0</v>
      </c>
      <c r="AF205" s="174">
        <f t="shared" si="5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5"/>
        <v>0</v>
      </c>
      <c r="D206" s="161">
        <f t="shared" si="55"/>
        <v>0</v>
      </c>
      <c r="E206" s="161">
        <f t="shared" si="55"/>
        <v>0</v>
      </c>
      <c r="F206" s="161">
        <f t="shared" si="55"/>
        <v>0</v>
      </c>
      <c r="G206" s="161">
        <f t="shared" si="55"/>
        <v>0</v>
      </c>
      <c r="H206" s="161">
        <f t="shared" si="55"/>
        <v>0</v>
      </c>
      <c r="I206" s="161">
        <f t="shared" si="55"/>
        <v>0</v>
      </c>
      <c r="J206" s="161">
        <f t="shared" si="55"/>
        <v>0</v>
      </c>
      <c r="K206" s="161">
        <f t="shared" si="55"/>
        <v>0</v>
      </c>
      <c r="L206" s="161">
        <f t="shared" si="55"/>
        <v>0</v>
      </c>
      <c r="M206" s="161">
        <f t="shared" si="55"/>
        <v>0</v>
      </c>
      <c r="N206" s="161">
        <f t="shared" si="55"/>
        <v>0</v>
      </c>
      <c r="O206" s="161">
        <f t="shared" si="55"/>
        <v>0</v>
      </c>
      <c r="P206" s="161">
        <f t="shared" si="55"/>
        <v>0</v>
      </c>
      <c r="Q206" s="161">
        <f t="shared" si="55"/>
        <v>0</v>
      </c>
      <c r="R206" s="161">
        <f t="shared" si="55"/>
        <v>0</v>
      </c>
      <c r="S206" s="161">
        <f t="shared" si="54"/>
        <v>0</v>
      </c>
      <c r="T206" s="161">
        <f t="shared" si="54"/>
        <v>0</v>
      </c>
      <c r="U206" s="161">
        <f t="shared" si="54"/>
        <v>0</v>
      </c>
      <c r="V206" s="161">
        <f t="shared" si="54"/>
        <v>0</v>
      </c>
      <c r="W206" s="161">
        <f t="shared" si="54"/>
        <v>0</v>
      </c>
      <c r="X206" s="161">
        <f t="shared" si="54"/>
        <v>0</v>
      </c>
      <c r="Y206" s="161">
        <f t="shared" si="54"/>
        <v>0</v>
      </c>
      <c r="Z206" s="161">
        <f t="shared" si="54"/>
        <v>0</v>
      </c>
      <c r="AA206" s="161">
        <f t="shared" si="54"/>
        <v>0</v>
      </c>
      <c r="AB206" s="161">
        <f t="shared" si="54"/>
        <v>0</v>
      </c>
      <c r="AC206" s="161">
        <f t="shared" si="54"/>
        <v>0</v>
      </c>
      <c r="AD206" s="161">
        <f t="shared" si="54"/>
        <v>0</v>
      </c>
      <c r="AE206" s="161">
        <f t="shared" si="54"/>
        <v>0</v>
      </c>
      <c r="AF206" s="174">
        <f t="shared" si="5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5"/>
        <v>0</v>
      </c>
      <c r="D207" s="161">
        <f t="shared" si="55"/>
        <v>0</v>
      </c>
      <c r="E207" s="161">
        <f t="shared" si="55"/>
        <v>0</v>
      </c>
      <c r="F207" s="161">
        <f t="shared" si="55"/>
        <v>0</v>
      </c>
      <c r="G207" s="161">
        <f t="shared" si="55"/>
        <v>0</v>
      </c>
      <c r="H207" s="161">
        <f t="shared" si="55"/>
        <v>0</v>
      </c>
      <c r="I207" s="161">
        <f t="shared" si="55"/>
        <v>0</v>
      </c>
      <c r="J207" s="161">
        <f t="shared" si="55"/>
        <v>0</v>
      </c>
      <c r="K207" s="161">
        <f t="shared" si="55"/>
        <v>0</v>
      </c>
      <c r="L207" s="161">
        <f t="shared" si="55"/>
        <v>0</v>
      </c>
      <c r="M207" s="161">
        <f t="shared" si="55"/>
        <v>0</v>
      </c>
      <c r="N207" s="161">
        <f t="shared" si="55"/>
        <v>0</v>
      </c>
      <c r="O207" s="161">
        <f t="shared" si="55"/>
        <v>0</v>
      </c>
      <c r="P207" s="161">
        <f t="shared" si="55"/>
        <v>0</v>
      </c>
      <c r="Q207" s="161">
        <f t="shared" si="55"/>
        <v>0</v>
      </c>
      <c r="R207" s="161">
        <f t="shared" si="55"/>
        <v>0</v>
      </c>
      <c r="S207" s="161">
        <f t="shared" si="54"/>
        <v>0</v>
      </c>
      <c r="T207" s="161">
        <f t="shared" si="54"/>
        <v>0</v>
      </c>
      <c r="U207" s="161">
        <f t="shared" si="54"/>
        <v>0</v>
      </c>
      <c r="V207" s="161">
        <f t="shared" si="54"/>
        <v>0</v>
      </c>
      <c r="W207" s="161">
        <f t="shared" si="54"/>
        <v>0</v>
      </c>
      <c r="X207" s="161">
        <f t="shared" si="54"/>
        <v>0</v>
      </c>
      <c r="Y207" s="161">
        <f t="shared" si="54"/>
        <v>0</v>
      </c>
      <c r="Z207" s="161">
        <f t="shared" si="54"/>
        <v>0</v>
      </c>
      <c r="AA207" s="161">
        <f t="shared" si="54"/>
        <v>0</v>
      </c>
      <c r="AB207" s="161">
        <f t="shared" si="54"/>
        <v>0</v>
      </c>
      <c r="AC207" s="161">
        <f t="shared" si="54"/>
        <v>0</v>
      </c>
      <c r="AD207" s="161">
        <f t="shared" si="54"/>
        <v>0</v>
      </c>
      <c r="AE207" s="161">
        <f t="shared" si="54"/>
        <v>0</v>
      </c>
      <c r="AF207" s="174">
        <f t="shared" si="5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5"/>
        <v>0</v>
      </c>
      <c r="D208" s="161">
        <f t="shared" si="55"/>
        <v>0</v>
      </c>
      <c r="E208" s="161">
        <f t="shared" si="55"/>
        <v>0</v>
      </c>
      <c r="F208" s="161">
        <f t="shared" si="55"/>
        <v>0</v>
      </c>
      <c r="G208" s="161">
        <f t="shared" si="55"/>
        <v>0</v>
      </c>
      <c r="H208" s="161">
        <f t="shared" si="55"/>
        <v>0</v>
      </c>
      <c r="I208" s="161">
        <f t="shared" si="55"/>
        <v>0</v>
      </c>
      <c r="J208" s="161">
        <f t="shared" si="55"/>
        <v>0</v>
      </c>
      <c r="K208" s="161">
        <f t="shared" si="55"/>
        <v>0</v>
      </c>
      <c r="L208" s="161">
        <f t="shared" si="55"/>
        <v>0</v>
      </c>
      <c r="M208" s="161">
        <f t="shared" si="55"/>
        <v>0</v>
      </c>
      <c r="N208" s="161">
        <f t="shared" si="55"/>
        <v>0</v>
      </c>
      <c r="O208" s="161">
        <f t="shared" si="55"/>
        <v>0</v>
      </c>
      <c r="P208" s="161">
        <f t="shared" si="55"/>
        <v>0</v>
      </c>
      <c r="Q208" s="161">
        <f t="shared" si="55"/>
        <v>0</v>
      </c>
      <c r="R208" s="161">
        <f t="shared" si="55"/>
        <v>0</v>
      </c>
      <c r="S208" s="161">
        <f t="shared" si="54"/>
        <v>0</v>
      </c>
      <c r="T208" s="161">
        <f t="shared" si="54"/>
        <v>0</v>
      </c>
      <c r="U208" s="161">
        <f t="shared" si="54"/>
        <v>0</v>
      </c>
      <c r="V208" s="161">
        <f t="shared" si="54"/>
        <v>0</v>
      </c>
      <c r="W208" s="161">
        <f t="shared" si="54"/>
        <v>0</v>
      </c>
      <c r="X208" s="161">
        <f t="shared" si="54"/>
        <v>0</v>
      </c>
      <c r="Y208" s="161">
        <f t="shared" si="54"/>
        <v>0</v>
      </c>
      <c r="Z208" s="161">
        <f t="shared" si="54"/>
        <v>0</v>
      </c>
      <c r="AA208" s="161">
        <f t="shared" si="54"/>
        <v>0</v>
      </c>
      <c r="AB208" s="161">
        <f t="shared" si="54"/>
        <v>0</v>
      </c>
      <c r="AC208" s="161">
        <f t="shared" si="54"/>
        <v>0</v>
      </c>
      <c r="AD208" s="161">
        <f t="shared" si="54"/>
        <v>0</v>
      </c>
      <c r="AE208" s="161">
        <f t="shared" si="54"/>
        <v>0</v>
      </c>
      <c r="AF208" s="174">
        <f t="shared" si="5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5"/>
        <v>0</v>
      </c>
      <c r="D209" s="161">
        <f t="shared" si="55"/>
        <v>0</v>
      </c>
      <c r="E209" s="161">
        <f t="shared" si="55"/>
        <v>0</v>
      </c>
      <c r="F209" s="161">
        <f t="shared" si="55"/>
        <v>0</v>
      </c>
      <c r="G209" s="161">
        <f t="shared" si="55"/>
        <v>0</v>
      </c>
      <c r="H209" s="161">
        <f t="shared" si="55"/>
        <v>0</v>
      </c>
      <c r="I209" s="161">
        <f t="shared" si="55"/>
        <v>0</v>
      </c>
      <c r="J209" s="161">
        <f t="shared" si="55"/>
        <v>0</v>
      </c>
      <c r="K209" s="161">
        <f t="shared" si="55"/>
        <v>0</v>
      </c>
      <c r="L209" s="161">
        <f t="shared" si="55"/>
        <v>0</v>
      </c>
      <c r="M209" s="161">
        <f t="shared" si="55"/>
        <v>0</v>
      </c>
      <c r="N209" s="161">
        <f t="shared" si="55"/>
        <v>0</v>
      </c>
      <c r="O209" s="161">
        <f t="shared" si="55"/>
        <v>0</v>
      </c>
      <c r="P209" s="161">
        <f t="shared" si="55"/>
        <v>0</v>
      </c>
      <c r="Q209" s="161">
        <f t="shared" si="55"/>
        <v>0</v>
      </c>
      <c r="R209" s="161">
        <f t="shared" si="55"/>
        <v>0</v>
      </c>
      <c r="S209" s="161">
        <f t="shared" si="54"/>
        <v>0</v>
      </c>
      <c r="T209" s="161">
        <f t="shared" si="54"/>
        <v>0</v>
      </c>
      <c r="U209" s="161">
        <f t="shared" si="54"/>
        <v>0</v>
      </c>
      <c r="V209" s="161">
        <f t="shared" si="54"/>
        <v>0</v>
      </c>
      <c r="W209" s="161">
        <f t="shared" si="54"/>
        <v>0</v>
      </c>
      <c r="X209" s="161">
        <f t="shared" si="54"/>
        <v>0</v>
      </c>
      <c r="Y209" s="161">
        <f t="shared" si="54"/>
        <v>0</v>
      </c>
      <c r="Z209" s="161">
        <f t="shared" si="54"/>
        <v>0</v>
      </c>
      <c r="AA209" s="161">
        <f t="shared" si="54"/>
        <v>0</v>
      </c>
      <c r="AB209" s="161">
        <f t="shared" si="54"/>
        <v>0</v>
      </c>
      <c r="AC209" s="161">
        <f t="shared" si="54"/>
        <v>0</v>
      </c>
      <c r="AD209" s="161">
        <f t="shared" si="54"/>
        <v>0</v>
      </c>
      <c r="AE209" s="161">
        <f t="shared" si="54"/>
        <v>0</v>
      </c>
      <c r="AF209" s="174">
        <f t="shared" si="5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5"/>
        <v>0</v>
      </c>
      <c r="D210" s="161">
        <f t="shared" si="55"/>
        <v>0</v>
      </c>
      <c r="E210" s="161">
        <f t="shared" si="55"/>
        <v>0</v>
      </c>
      <c r="F210" s="161">
        <f t="shared" si="55"/>
        <v>0</v>
      </c>
      <c r="G210" s="161">
        <f t="shared" si="55"/>
        <v>0</v>
      </c>
      <c r="H210" s="161">
        <f t="shared" si="55"/>
        <v>0</v>
      </c>
      <c r="I210" s="161">
        <f t="shared" si="55"/>
        <v>0</v>
      </c>
      <c r="J210" s="161">
        <f t="shared" si="55"/>
        <v>0</v>
      </c>
      <c r="K210" s="161">
        <f t="shared" si="55"/>
        <v>0</v>
      </c>
      <c r="L210" s="161">
        <f t="shared" si="55"/>
        <v>0</v>
      </c>
      <c r="M210" s="161">
        <f t="shared" si="55"/>
        <v>0</v>
      </c>
      <c r="N210" s="161">
        <f t="shared" si="55"/>
        <v>0</v>
      </c>
      <c r="O210" s="161">
        <f t="shared" si="55"/>
        <v>0</v>
      </c>
      <c r="P210" s="161">
        <f t="shared" si="55"/>
        <v>0</v>
      </c>
      <c r="Q210" s="161">
        <f t="shared" si="55"/>
        <v>0</v>
      </c>
      <c r="R210" s="161">
        <f t="shared" si="55"/>
        <v>0</v>
      </c>
      <c r="S210" s="161">
        <f t="shared" si="54"/>
        <v>0</v>
      </c>
      <c r="T210" s="161">
        <f t="shared" si="54"/>
        <v>0</v>
      </c>
      <c r="U210" s="161">
        <f t="shared" si="54"/>
        <v>0</v>
      </c>
      <c r="V210" s="161">
        <f t="shared" si="54"/>
        <v>0</v>
      </c>
      <c r="W210" s="161">
        <f t="shared" si="54"/>
        <v>0</v>
      </c>
      <c r="X210" s="161">
        <f t="shared" si="54"/>
        <v>0</v>
      </c>
      <c r="Y210" s="161">
        <f t="shared" si="54"/>
        <v>0</v>
      </c>
      <c r="Z210" s="161">
        <f t="shared" si="54"/>
        <v>0</v>
      </c>
      <c r="AA210" s="161">
        <f t="shared" si="54"/>
        <v>0</v>
      </c>
      <c r="AB210" s="161">
        <f t="shared" si="54"/>
        <v>0</v>
      </c>
      <c r="AC210" s="161">
        <f t="shared" si="54"/>
        <v>0</v>
      </c>
      <c r="AD210" s="161">
        <f t="shared" si="54"/>
        <v>0</v>
      </c>
      <c r="AE210" s="161">
        <f t="shared" si="54"/>
        <v>0</v>
      </c>
      <c r="AF210" s="174">
        <f t="shared" si="5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5"/>
        <v>0</v>
      </c>
      <c r="D211" s="161">
        <f t="shared" si="55"/>
        <v>0</v>
      </c>
      <c r="E211" s="161">
        <f t="shared" si="55"/>
        <v>0</v>
      </c>
      <c r="F211" s="161">
        <f t="shared" si="55"/>
        <v>0</v>
      </c>
      <c r="G211" s="161">
        <f t="shared" si="55"/>
        <v>0</v>
      </c>
      <c r="H211" s="161">
        <f t="shared" si="55"/>
        <v>0</v>
      </c>
      <c r="I211" s="161">
        <f t="shared" si="55"/>
        <v>0</v>
      </c>
      <c r="J211" s="161">
        <f t="shared" si="55"/>
        <v>0</v>
      </c>
      <c r="K211" s="161">
        <f t="shared" si="55"/>
        <v>0</v>
      </c>
      <c r="L211" s="161">
        <f t="shared" si="55"/>
        <v>0</v>
      </c>
      <c r="M211" s="161">
        <f t="shared" si="55"/>
        <v>0</v>
      </c>
      <c r="N211" s="161">
        <f t="shared" si="55"/>
        <v>0</v>
      </c>
      <c r="O211" s="161">
        <f t="shared" si="55"/>
        <v>0</v>
      </c>
      <c r="P211" s="161">
        <f t="shared" si="55"/>
        <v>0</v>
      </c>
      <c r="Q211" s="161">
        <f t="shared" si="55"/>
        <v>0</v>
      </c>
      <c r="R211" s="161">
        <f t="shared" si="55"/>
        <v>0</v>
      </c>
      <c r="S211" s="161">
        <f t="shared" si="54"/>
        <v>0</v>
      </c>
      <c r="T211" s="161">
        <f t="shared" si="54"/>
        <v>0</v>
      </c>
      <c r="U211" s="161">
        <f t="shared" si="54"/>
        <v>0</v>
      </c>
      <c r="V211" s="161">
        <f t="shared" si="54"/>
        <v>0</v>
      </c>
      <c r="W211" s="161">
        <f t="shared" si="54"/>
        <v>0</v>
      </c>
      <c r="X211" s="161">
        <f t="shared" si="54"/>
        <v>0</v>
      </c>
      <c r="Y211" s="161">
        <f t="shared" si="54"/>
        <v>0</v>
      </c>
      <c r="Z211" s="161">
        <f t="shared" si="54"/>
        <v>0</v>
      </c>
      <c r="AA211" s="161">
        <f t="shared" si="54"/>
        <v>0</v>
      </c>
      <c r="AB211" s="161">
        <f t="shared" si="54"/>
        <v>0</v>
      </c>
      <c r="AC211" s="161">
        <f t="shared" si="54"/>
        <v>0</v>
      </c>
      <c r="AD211" s="161">
        <f t="shared" si="54"/>
        <v>0</v>
      </c>
      <c r="AE211" s="161">
        <f t="shared" si="54"/>
        <v>0</v>
      </c>
      <c r="AF211" s="174">
        <f t="shared" si="5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5"/>
        <v>0</v>
      </c>
      <c r="D212" s="161">
        <f t="shared" si="55"/>
        <v>0</v>
      </c>
      <c r="E212" s="161">
        <f t="shared" si="55"/>
        <v>0</v>
      </c>
      <c r="F212" s="161">
        <f t="shared" si="55"/>
        <v>0</v>
      </c>
      <c r="G212" s="161">
        <f t="shared" si="55"/>
        <v>0</v>
      </c>
      <c r="H212" s="161">
        <f t="shared" si="55"/>
        <v>0</v>
      </c>
      <c r="I212" s="161">
        <f t="shared" si="55"/>
        <v>0</v>
      </c>
      <c r="J212" s="161">
        <f t="shared" si="55"/>
        <v>0</v>
      </c>
      <c r="K212" s="161">
        <f t="shared" si="55"/>
        <v>0</v>
      </c>
      <c r="L212" s="161">
        <f t="shared" si="55"/>
        <v>0</v>
      </c>
      <c r="M212" s="161">
        <f t="shared" si="55"/>
        <v>0</v>
      </c>
      <c r="N212" s="161">
        <f t="shared" si="55"/>
        <v>0</v>
      </c>
      <c r="O212" s="161">
        <f t="shared" si="55"/>
        <v>0</v>
      </c>
      <c r="P212" s="161">
        <f t="shared" si="55"/>
        <v>0</v>
      </c>
      <c r="Q212" s="161">
        <f t="shared" si="55"/>
        <v>0</v>
      </c>
      <c r="R212" s="161">
        <f t="shared" si="55"/>
        <v>0</v>
      </c>
      <c r="S212" s="161">
        <f t="shared" si="54"/>
        <v>0</v>
      </c>
      <c r="T212" s="161">
        <f t="shared" si="54"/>
        <v>0</v>
      </c>
      <c r="U212" s="161">
        <f t="shared" si="54"/>
        <v>0</v>
      </c>
      <c r="V212" s="161">
        <f t="shared" si="54"/>
        <v>0</v>
      </c>
      <c r="W212" s="161">
        <f t="shared" si="54"/>
        <v>0</v>
      </c>
      <c r="X212" s="161">
        <f t="shared" si="54"/>
        <v>0</v>
      </c>
      <c r="Y212" s="161">
        <f t="shared" si="54"/>
        <v>0</v>
      </c>
      <c r="Z212" s="161">
        <f t="shared" si="54"/>
        <v>0</v>
      </c>
      <c r="AA212" s="161">
        <f t="shared" si="54"/>
        <v>0</v>
      </c>
      <c r="AB212" s="161">
        <f t="shared" si="54"/>
        <v>0</v>
      </c>
      <c r="AC212" s="161">
        <f t="shared" si="54"/>
        <v>0</v>
      </c>
      <c r="AD212" s="161">
        <f t="shared" si="54"/>
        <v>0</v>
      </c>
      <c r="AE212" s="161">
        <f t="shared" si="54"/>
        <v>0</v>
      </c>
      <c r="AF212" s="174">
        <f t="shared" si="5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5"/>
        <v>0</v>
      </c>
      <c r="D213" s="161">
        <f t="shared" si="55"/>
        <v>0</v>
      </c>
      <c r="E213" s="161">
        <f t="shared" si="55"/>
        <v>0</v>
      </c>
      <c r="F213" s="161">
        <f t="shared" si="55"/>
        <v>0</v>
      </c>
      <c r="G213" s="161">
        <f t="shared" si="55"/>
        <v>0</v>
      </c>
      <c r="H213" s="161">
        <f t="shared" si="55"/>
        <v>0</v>
      </c>
      <c r="I213" s="161">
        <f t="shared" si="55"/>
        <v>0</v>
      </c>
      <c r="J213" s="161">
        <f t="shared" si="55"/>
        <v>0</v>
      </c>
      <c r="K213" s="161">
        <f t="shared" si="55"/>
        <v>0</v>
      </c>
      <c r="L213" s="161">
        <f t="shared" si="55"/>
        <v>0</v>
      </c>
      <c r="M213" s="161">
        <f t="shared" si="55"/>
        <v>0</v>
      </c>
      <c r="N213" s="161">
        <f t="shared" si="55"/>
        <v>0</v>
      </c>
      <c r="O213" s="161">
        <f t="shared" si="55"/>
        <v>0</v>
      </c>
      <c r="P213" s="161">
        <f t="shared" si="55"/>
        <v>0</v>
      </c>
      <c r="Q213" s="161">
        <f t="shared" si="55"/>
        <v>0</v>
      </c>
      <c r="R213" s="161">
        <f t="shared" si="55"/>
        <v>0</v>
      </c>
      <c r="S213" s="161">
        <f t="shared" si="54"/>
        <v>0</v>
      </c>
      <c r="T213" s="161">
        <f t="shared" si="54"/>
        <v>0</v>
      </c>
      <c r="U213" s="161">
        <f t="shared" si="54"/>
        <v>0</v>
      </c>
      <c r="V213" s="161">
        <f t="shared" si="54"/>
        <v>0</v>
      </c>
      <c r="W213" s="161">
        <f t="shared" si="54"/>
        <v>0</v>
      </c>
      <c r="X213" s="161">
        <f t="shared" si="54"/>
        <v>0</v>
      </c>
      <c r="Y213" s="161">
        <f t="shared" si="54"/>
        <v>0</v>
      </c>
      <c r="Z213" s="161">
        <f t="shared" si="54"/>
        <v>0</v>
      </c>
      <c r="AA213" s="161">
        <f t="shared" si="54"/>
        <v>0</v>
      </c>
      <c r="AB213" s="161">
        <f t="shared" si="54"/>
        <v>0</v>
      </c>
      <c r="AC213" s="161">
        <f t="shared" si="54"/>
        <v>0</v>
      </c>
      <c r="AD213" s="161">
        <f t="shared" si="54"/>
        <v>0</v>
      </c>
      <c r="AE213" s="161">
        <f t="shared" si="54"/>
        <v>0</v>
      </c>
      <c r="AF213" s="174">
        <f t="shared" si="5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5"/>
        <v>0</v>
      </c>
      <c r="D214" s="161">
        <f t="shared" si="55"/>
        <v>0</v>
      </c>
      <c r="E214" s="161">
        <f t="shared" si="55"/>
        <v>0</v>
      </c>
      <c r="F214" s="161">
        <f t="shared" si="55"/>
        <v>0</v>
      </c>
      <c r="G214" s="161">
        <f t="shared" si="55"/>
        <v>0</v>
      </c>
      <c r="H214" s="161">
        <f t="shared" si="55"/>
        <v>0</v>
      </c>
      <c r="I214" s="161">
        <f t="shared" si="55"/>
        <v>0</v>
      </c>
      <c r="J214" s="161">
        <f t="shared" si="55"/>
        <v>0</v>
      </c>
      <c r="K214" s="161">
        <f t="shared" si="55"/>
        <v>0</v>
      </c>
      <c r="L214" s="161">
        <f t="shared" si="55"/>
        <v>0</v>
      </c>
      <c r="M214" s="161">
        <f t="shared" si="55"/>
        <v>0</v>
      </c>
      <c r="N214" s="161">
        <f t="shared" si="55"/>
        <v>0</v>
      </c>
      <c r="O214" s="161">
        <f t="shared" si="55"/>
        <v>0</v>
      </c>
      <c r="P214" s="161">
        <f t="shared" si="55"/>
        <v>0</v>
      </c>
      <c r="Q214" s="161">
        <f t="shared" si="55"/>
        <v>0</v>
      </c>
      <c r="R214" s="161">
        <f t="shared" si="55"/>
        <v>0</v>
      </c>
      <c r="S214" s="161">
        <f t="shared" si="54"/>
        <v>0</v>
      </c>
      <c r="T214" s="161">
        <f t="shared" si="54"/>
        <v>0</v>
      </c>
      <c r="U214" s="161">
        <f t="shared" si="54"/>
        <v>0</v>
      </c>
      <c r="V214" s="161">
        <f t="shared" si="54"/>
        <v>0</v>
      </c>
      <c r="W214" s="161">
        <f t="shared" si="54"/>
        <v>0</v>
      </c>
      <c r="X214" s="161">
        <f t="shared" si="54"/>
        <v>0</v>
      </c>
      <c r="Y214" s="161">
        <f t="shared" si="54"/>
        <v>0</v>
      </c>
      <c r="Z214" s="161">
        <f t="shared" si="54"/>
        <v>0</v>
      </c>
      <c r="AA214" s="161">
        <f t="shared" si="54"/>
        <v>0</v>
      </c>
      <c r="AB214" s="161">
        <f t="shared" si="54"/>
        <v>0</v>
      </c>
      <c r="AC214" s="161">
        <f t="shared" si="54"/>
        <v>0</v>
      </c>
      <c r="AD214" s="161">
        <f t="shared" si="54"/>
        <v>0</v>
      </c>
      <c r="AE214" s="161">
        <f t="shared" si="54"/>
        <v>0</v>
      </c>
      <c r="AF214" s="174">
        <f t="shared" si="5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5"/>
        <v>0</v>
      </c>
      <c r="D215" s="161">
        <f t="shared" si="55"/>
        <v>0</v>
      </c>
      <c r="E215" s="161">
        <f t="shared" si="55"/>
        <v>0</v>
      </c>
      <c r="F215" s="161">
        <f t="shared" si="55"/>
        <v>0</v>
      </c>
      <c r="G215" s="161">
        <f t="shared" si="55"/>
        <v>0</v>
      </c>
      <c r="H215" s="161">
        <f t="shared" si="55"/>
        <v>0</v>
      </c>
      <c r="I215" s="161">
        <f t="shared" si="55"/>
        <v>0</v>
      </c>
      <c r="J215" s="161">
        <f t="shared" si="55"/>
        <v>0</v>
      </c>
      <c r="K215" s="161">
        <f t="shared" si="55"/>
        <v>0</v>
      </c>
      <c r="L215" s="161">
        <f t="shared" si="55"/>
        <v>0</v>
      </c>
      <c r="M215" s="161">
        <f t="shared" si="55"/>
        <v>0</v>
      </c>
      <c r="N215" s="161">
        <f t="shared" si="55"/>
        <v>0</v>
      </c>
      <c r="O215" s="161">
        <f t="shared" si="55"/>
        <v>0</v>
      </c>
      <c r="P215" s="161">
        <f t="shared" si="55"/>
        <v>0</v>
      </c>
      <c r="Q215" s="161">
        <f t="shared" si="55"/>
        <v>0</v>
      </c>
      <c r="R215" s="161">
        <f t="shared" si="55"/>
        <v>0</v>
      </c>
      <c r="S215" s="161">
        <f t="shared" si="54"/>
        <v>0</v>
      </c>
      <c r="T215" s="161">
        <f t="shared" si="54"/>
        <v>0</v>
      </c>
      <c r="U215" s="161">
        <f t="shared" si="54"/>
        <v>0</v>
      </c>
      <c r="V215" s="161">
        <f t="shared" si="54"/>
        <v>0</v>
      </c>
      <c r="W215" s="161">
        <f t="shared" si="54"/>
        <v>0</v>
      </c>
      <c r="X215" s="161">
        <f t="shared" si="54"/>
        <v>0</v>
      </c>
      <c r="Y215" s="161">
        <f t="shared" si="54"/>
        <v>0</v>
      </c>
      <c r="Z215" s="161">
        <f t="shared" si="54"/>
        <v>0</v>
      </c>
      <c r="AA215" s="161">
        <f t="shared" si="54"/>
        <v>0</v>
      </c>
      <c r="AB215" s="161">
        <f t="shared" si="54"/>
        <v>0</v>
      </c>
      <c r="AC215" s="161">
        <f t="shared" si="54"/>
        <v>0</v>
      </c>
      <c r="AD215" s="161">
        <f t="shared" si="54"/>
        <v>0</v>
      </c>
      <c r="AE215" s="161">
        <f t="shared" si="54"/>
        <v>0</v>
      </c>
      <c r="AF215" s="174">
        <f t="shared" si="5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5"/>
        <v>0</v>
      </c>
      <c r="D216" s="161">
        <f t="shared" si="55"/>
        <v>0</v>
      </c>
      <c r="E216" s="161">
        <f t="shared" si="55"/>
        <v>0</v>
      </c>
      <c r="F216" s="161">
        <f t="shared" si="55"/>
        <v>0</v>
      </c>
      <c r="G216" s="161">
        <f t="shared" si="55"/>
        <v>0</v>
      </c>
      <c r="H216" s="161">
        <f t="shared" si="55"/>
        <v>0</v>
      </c>
      <c r="I216" s="161">
        <f t="shared" si="55"/>
        <v>0</v>
      </c>
      <c r="J216" s="161">
        <f t="shared" si="55"/>
        <v>0</v>
      </c>
      <c r="K216" s="161">
        <f t="shared" si="55"/>
        <v>0</v>
      </c>
      <c r="L216" s="161">
        <f t="shared" si="55"/>
        <v>0</v>
      </c>
      <c r="M216" s="161">
        <f t="shared" si="55"/>
        <v>0</v>
      </c>
      <c r="N216" s="161">
        <f t="shared" si="55"/>
        <v>0</v>
      </c>
      <c r="O216" s="161">
        <f t="shared" si="55"/>
        <v>0</v>
      </c>
      <c r="P216" s="161">
        <f t="shared" si="55"/>
        <v>0</v>
      </c>
      <c r="Q216" s="161">
        <f t="shared" si="55"/>
        <v>0</v>
      </c>
      <c r="R216" s="161">
        <f t="shared" ref="R216:AF231" si="56">Q216</f>
        <v>0</v>
      </c>
      <c r="S216" s="161">
        <f t="shared" si="56"/>
        <v>0</v>
      </c>
      <c r="T216" s="161">
        <f t="shared" si="56"/>
        <v>0</v>
      </c>
      <c r="U216" s="161">
        <f t="shared" si="56"/>
        <v>0</v>
      </c>
      <c r="V216" s="161">
        <f t="shared" si="56"/>
        <v>0</v>
      </c>
      <c r="W216" s="161">
        <f t="shared" si="56"/>
        <v>0</v>
      </c>
      <c r="X216" s="161">
        <f t="shared" si="56"/>
        <v>0</v>
      </c>
      <c r="Y216" s="161">
        <f t="shared" si="56"/>
        <v>0</v>
      </c>
      <c r="Z216" s="161">
        <f t="shared" si="56"/>
        <v>0</v>
      </c>
      <c r="AA216" s="161">
        <f t="shared" si="56"/>
        <v>0</v>
      </c>
      <c r="AB216" s="161">
        <f t="shared" si="56"/>
        <v>0</v>
      </c>
      <c r="AC216" s="161">
        <f t="shared" si="56"/>
        <v>0</v>
      </c>
      <c r="AD216" s="161">
        <f t="shared" si="56"/>
        <v>0</v>
      </c>
      <c r="AE216" s="161">
        <f t="shared" si="56"/>
        <v>0</v>
      </c>
      <c r="AF216" s="174">
        <f t="shared" si="56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7">B217</f>
        <v>0</v>
      </c>
      <c r="D217" s="161">
        <f t="shared" si="57"/>
        <v>0</v>
      </c>
      <c r="E217" s="161">
        <f t="shared" si="57"/>
        <v>0</v>
      </c>
      <c r="F217" s="161">
        <f t="shared" si="57"/>
        <v>0</v>
      </c>
      <c r="G217" s="161">
        <f t="shared" si="57"/>
        <v>0</v>
      </c>
      <c r="H217" s="161">
        <f t="shared" si="57"/>
        <v>0</v>
      </c>
      <c r="I217" s="161">
        <f t="shared" si="57"/>
        <v>0</v>
      </c>
      <c r="J217" s="161">
        <f t="shared" si="57"/>
        <v>0</v>
      </c>
      <c r="K217" s="161">
        <f t="shared" si="57"/>
        <v>0</v>
      </c>
      <c r="L217" s="161">
        <f t="shared" si="57"/>
        <v>0</v>
      </c>
      <c r="M217" s="161">
        <f t="shared" si="57"/>
        <v>0</v>
      </c>
      <c r="N217" s="161">
        <f t="shared" si="57"/>
        <v>0</v>
      </c>
      <c r="O217" s="161">
        <f t="shared" si="57"/>
        <v>0</v>
      </c>
      <c r="P217" s="161">
        <f t="shared" si="57"/>
        <v>0</v>
      </c>
      <c r="Q217" s="161">
        <f t="shared" si="57"/>
        <v>0</v>
      </c>
      <c r="R217" s="161">
        <f t="shared" si="57"/>
        <v>0</v>
      </c>
      <c r="S217" s="161">
        <f t="shared" si="56"/>
        <v>0</v>
      </c>
      <c r="T217" s="161">
        <f t="shared" si="56"/>
        <v>0</v>
      </c>
      <c r="U217" s="161">
        <f t="shared" si="56"/>
        <v>0</v>
      </c>
      <c r="V217" s="161">
        <f t="shared" si="56"/>
        <v>0</v>
      </c>
      <c r="W217" s="161">
        <f t="shared" si="56"/>
        <v>0</v>
      </c>
      <c r="X217" s="161">
        <f t="shared" si="56"/>
        <v>0</v>
      </c>
      <c r="Y217" s="161">
        <f t="shared" si="56"/>
        <v>0</v>
      </c>
      <c r="Z217" s="161">
        <f t="shared" si="56"/>
        <v>0</v>
      </c>
      <c r="AA217" s="161">
        <f t="shared" si="56"/>
        <v>0</v>
      </c>
      <c r="AB217" s="161">
        <f t="shared" si="56"/>
        <v>0</v>
      </c>
      <c r="AC217" s="161">
        <f t="shared" si="56"/>
        <v>0</v>
      </c>
      <c r="AD217" s="161">
        <f t="shared" si="56"/>
        <v>0</v>
      </c>
      <c r="AE217" s="161">
        <f t="shared" si="56"/>
        <v>0</v>
      </c>
      <c r="AF217" s="174">
        <f t="shared" si="56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7"/>
        <v>0</v>
      </c>
      <c r="D218" s="161">
        <f t="shared" si="57"/>
        <v>0</v>
      </c>
      <c r="E218" s="161">
        <f t="shared" si="57"/>
        <v>0</v>
      </c>
      <c r="F218" s="161">
        <f t="shared" si="57"/>
        <v>0</v>
      </c>
      <c r="G218" s="161">
        <f t="shared" si="57"/>
        <v>0</v>
      </c>
      <c r="H218" s="161">
        <f t="shared" si="57"/>
        <v>0</v>
      </c>
      <c r="I218" s="161">
        <f t="shared" si="57"/>
        <v>0</v>
      </c>
      <c r="J218" s="161">
        <f t="shared" si="57"/>
        <v>0</v>
      </c>
      <c r="K218" s="161">
        <f t="shared" si="57"/>
        <v>0</v>
      </c>
      <c r="L218" s="161">
        <f t="shared" si="57"/>
        <v>0</v>
      </c>
      <c r="M218" s="161">
        <f t="shared" si="57"/>
        <v>0</v>
      </c>
      <c r="N218" s="161">
        <f t="shared" si="57"/>
        <v>0</v>
      </c>
      <c r="O218" s="161">
        <f t="shared" si="57"/>
        <v>0</v>
      </c>
      <c r="P218" s="161">
        <f t="shared" si="57"/>
        <v>0</v>
      </c>
      <c r="Q218" s="161">
        <f t="shared" si="57"/>
        <v>0</v>
      </c>
      <c r="R218" s="161">
        <f t="shared" si="57"/>
        <v>0</v>
      </c>
      <c r="S218" s="161">
        <f t="shared" si="56"/>
        <v>0</v>
      </c>
      <c r="T218" s="161">
        <f t="shared" si="56"/>
        <v>0</v>
      </c>
      <c r="U218" s="161">
        <f t="shared" si="56"/>
        <v>0</v>
      </c>
      <c r="V218" s="161">
        <f t="shared" si="56"/>
        <v>0</v>
      </c>
      <c r="W218" s="161">
        <f t="shared" si="56"/>
        <v>0</v>
      </c>
      <c r="X218" s="161">
        <f t="shared" si="56"/>
        <v>0</v>
      </c>
      <c r="Y218" s="161">
        <f t="shared" si="56"/>
        <v>0</v>
      </c>
      <c r="Z218" s="161">
        <f t="shared" si="56"/>
        <v>0</v>
      </c>
      <c r="AA218" s="161">
        <f t="shared" si="56"/>
        <v>0</v>
      </c>
      <c r="AB218" s="161">
        <f t="shared" si="56"/>
        <v>0</v>
      </c>
      <c r="AC218" s="161">
        <f t="shared" si="56"/>
        <v>0</v>
      </c>
      <c r="AD218" s="161">
        <f t="shared" si="56"/>
        <v>0</v>
      </c>
      <c r="AE218" s="161">
        <f t="shared" si="56"/>
        <v>0</v>
      </c>
      <c r="AF218" s="174">
        <f t="shared" si="56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7"/>
        <v>0</v>
      </c>
      <c r="D219" s="161">
        <f t="shared" si="57"/>
        <v>0</v>
      </c>
      <c r="E219" s="161">
        <f t="shared" si="57"/>
        <v>0</v>
      </c>
      <c r="F219" s="161">
        <f t="shared" si="57"/>
        <v>0</v>
      </c>
      <c r="G219" s="161">
        <f t="shared" si="57"/>
        <v>0</v>
      </c>
      <c r="H219" s="161">
        <f t="shared" si="57"/>
        <v>0</v>
      </c>
      <c r="I219" s="161">
        <f t="shared" si="57"/>
        <v>0</v>
      </c>
      <c r="J219" s="161">
        <f t="shared" si="57"/>
        <v>0</v>
      </c>
      <c r="K219" s="161">
        <f t="shared" si="57"/>
        <v>0</v>
      </c>
      <c r="L219" s="161">
        <f t="shared" si="57"/>
        <v>0</v>
      </c>
      <c r="M219" s="161">
        <f t="shared" si="57"/>
        <v>0</v>
      </c>
      <c r="N219" s="161">
        <f t="shared" si="57"/>
        <v>0</v>
      </c>
      <c r="O219" s="161">
        <f t="shared" si="57"/>
        <v>0</v>
      </c>
      <c r="P219" s="161">
        <f t="shared" si="57"/>
        <v>0</v>
      </c>
      <c r="Q219" s="161">
        <f t="shared" si="57"/>
        <v>0</v>
      </c>
      <c r="R219" s="161">
        <f t="shared" si="57"/>
        <v>0</v>
      </c>
      <c r="S219" s="161">
        <f t="shared" si="56"/>
        <v>0</v>
      </c>
      <c r="T219" s="161">
        <f t="shared" si="56"/>
        <v>0</v>
      </c>
      <c r="U219" s="161">
        <f t="shared" si="56"/>
        <v>0</v>
      </c>
      <c r="V219" s="161">
        <f t="shared" si="56"/>
        <v>0</v>
      </c>
      <c r="W219" s="161">
        <f t="shared" si="56"/>
        <v>0</v>
      </c>
      <c r="X219" s="161">
        <f t="shared" si="56"/>
        <v>0</v>
      </c>
      <c r="Y219" s="161">
        <f t="shared" si="56"/>
        <v>0</v>
      </c>
      <c r="Z219" s="161">
        <f t="shared" si="56"/>
        <v>0</v>
      </c>
      <c r="AA219" s="161">
        <f t="shared" si="56"/>
        <v>0</v>
      </c>
      <c r="AB219" s="161">
        <f t="shared" si="56"/>
        <v>0</v>
      </c>
      <c r="AC219" s="161">
        <f t="shared" si="56"/>
        <v>0</v>
      </c>
      <c r="AD219" s="161">
        <f t="shared" si="56"/>
        <v>0</v>
      </c>
      <c r="AE219" s="161">
        <f t="shared" si="56"/>
        <v>0</v>
      </c>
      <c r="AF219" s="174">
        <f t="shared" si="56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7"/>
        <v>0</v>
      </c>
      <c r="D220" s="161">
        <f t="shared" si="57"/>
        <v>0</v>
      </c>
      <c r="E220" s="161">
        <f t="shared" si="57"/>
        <v>0</v>
      </c>
      <c r="F220" s="161">
        <f t="shared" si="57"/>
        <v>0</v>
      </c>
      <c r="G220" s="161">
        <f t="shared" si="57"/>
        <v>0</v>
      </c>
      <c r="H220" s="161">
        <f t="shared" si="57"/>
        <v>0</v>
      </c>
      <c r="I220" s="161">
        <f t="shared" si="57"/>
        <v>0</v>
      </c>
      <c r="J220" s="161">
        <f t="shared" si="57"/>
        <v>0</v>
      </c>
      <c r="K220" s="161">
        <f t="shared" si="57"/>
        <v>0</v>
      </c>
      <c r="L220" s="161">
        <f t="shared" si="57"/>
        <v>0</v>
      </c>
      <c r="M220" s="161">
        <f t="shared" si="57"/>
        <v>0</v>
      </c>
      <c r="N220" s="161">
        <f t="shared" si="57"/>
        <v>0</v>
      </c>
      <c r="O220" s="161">
        <f t="shared" si="57"/>
        <v>0</v>
      </c>
      <c r="P220" s="161">
        <f t="shared" si="57"/>
        <v>0</v>
      </c>
      <c r="Q220" s="161">
        <f t="shared" si="57"/>
        <v>0</v>
      </c>
      <c r="R220" s="161">
        <f t="shared" si="57"/>
        <v>0</v>
      </c>
      <c r="S220" s="161">
        <f t="shared" si="56"/>
        <v>0</v>
      </c>
      <c r="T220" s="161">
        <f t="shared" si="56"/>
        <v>0</v>
      </c>
      <c r="U220" s="161">
        <f t="shared" si="56"/>
        <v>0</v>
      </c>
      <c r="V220" s="161">
        <f t="shared" si="56"/>
        <v>0</v>
      </c>
      <c r="W220" s="161">
        <f t="shared" si="56"/>
        <v>0</v>
      </c>
      <c r="X220" s="161">
        <f t="shared" si="56"/>
        <v>0</v>
      </c>
      <c r="Y220" s="161">
        <f t="shared" si="56"/>
        <v>0</v>
      </c>
      <c r="Z220" s="161">
        <f t="shared" si="56"/>
        <v>0</v>
      </c>
      <c r="AA220" s="161">
        <f t="shared" si="56"/>
        <v>0</v>
      </c>
      <c r="AB220" s="161">
        <f t="shared" si="56"/>
        <v>0</v>
      </c>
      <c r="AC220" s="161">
        <f t="shared" si="56"/>
        <v>0</v>
      </c>
      <c r="AD220" s="161">
        <f t="shared" si="56"/>
        <v>0</v>
      </c>
      <c r="AE220" s="161">
        <f t="shared" si="56"/>
        <v>0</v>
      </c>
      <c r="AF220" s="174">
        <f t="shared" si="56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7"/>
        <v>0</v>
      </c>
      <c r="D221" s="161">
        <f t="shared" si="57"/>
        <v>0</v>
      </c>
      <c r="E221" s="161">
        <f t="shared" si="57"/>
        <v>0</v>
      </c>
      <c r="F221" s="161">
        <f t="shared" si="57"/>
        <v>0</v>
      </c>
      <c r="G221" s="161">
        <f t="shared" si="57"/>
        <v>0</v>
      </c>
      <c r="H221" s="161">
        <f t="shared" si="57"/>
        <v>0</v>
      </c>
      <c r="I221" s="161">
        <f t="shared" si="57"/>
        <v>0</v>
      </c>
      <c r="J221" s="161">
        <f t="shared" si="57"/>
        <v>0</v>
      </c>
      <c r="K221" s="161">
        <f t="shared" si="57"/>
        <v>0</v>
      </c>
      <c r="L221" s="161">
        <f t="shared" si="57"/>
        <v>0</v>
      </c>
      <c r="M221" s="161">
        <f t="shared" si="57"/>
        <v>0</v>
      </c>
      <c r="N221" s="161">
        <f t="shared" si="57"/>
        <v>0</v>
      </c>
      <c r="O221" s="161">
        <f t="shared" si="57"/>
        <v>0</v>
      </c>
      <c r="P221" s="161">
        <f t="shared" si="57"/>
        <v>0</v>
      </c>
      <c r="Q221" s="161">
        <f t="shared" si="57"/>
        <v>0</v>
      </c>
      <c r="R221" s="161">
        <f t="shared" si="57"/>
        <v>0</v>
      </c>
      <c r="S221" s="161">
        <f t="shared" si="56"/>
        <v>0</v>
      </c>
      <c r="T221" s="161">
        <f t="shared" si="56"/>
        <v>0</v>
      </c>
      <c r="U221" s="161">
        <f t="shared" si="56"/>
        <v>0</v>
      </c>
      <c r="V221" s="161">
        <f t="shared" si="56"/>
        <v>0</v>
      </c>
      <c r="W221" s="161">
        <f t="shared" si="56"/>
        <v>0</v>
      </c>
      <c r="X221" s="161">
        <f t="shared" si="56"/>
        <v>0</v>
      </c>
      <c r="Y221" s="161">
        <f t="shared" si="56"/>
        <v>0</v>
      </c>
      <c r="Z221" s="161">
        <f t="shared" si="56"/>
        <v>0</v>
      </c>
      <c r="AA221" s="161">
        <f t="shared" si="56"/>
        <v>0</v>
      </c>
      <c r="AB221" s="161">
        <f t="shared" si="56"/>
        <v>0</v>
      </c>
      <c r="AC221" s="161">
        <f t="shared" si="56"/>
        <v>0</v>
      </c>
      <c r="AD221" s="161">
        <f t="shared" si="56"/>
        <v>0</v>
      </c>
      <c r="AE221" s="161">
        <f t="shared" si="56"/>
        <v>0</v>
      </c>
      <c r="AF221" s="174">
        <f t="shared" si="56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7"/>
        <v>0</v>
      </c>
      <c r="D222" s="161">
        <f t="shared" si="57"/>
        <v>0</v>
      </c>
      <c r="E222" s="161">
        <f t="shared" si="57"/>
        <v>0</v>
      </c>
      <c r="F222" s="161">
        <f t="shared" si="57"/>
        <v>0</v>
      </c>
      <c r="G222" s="161">
        <f t="shared" si="57"/>
        <v>0</v>
      </c>
      <c r="H222" s="161">
        <f t="shared" si="57"/>
        <v>0</v>
      </c>
      <c r="I222" s="161">
        <f t="shared" si="57"/>
        <v>0</v>
      </c>
      <c r="J222" s="161">
        <f t="shared" si="57"/>
        <v>0</v>
      </c>
      <c r="K222" s="161">
        <f t="shared" si="57"/>
        <v>0</v>
      </c>
      <c r="L222" s="161">
        <f t="shared" si="57"/>
        <v>0</v>
      </c>
      <c r="M222" s="161">
        <f t="shared" si="57"/>
        <v>0</v>
      </c>
      <c r="N222" s="161">
        <f t="shared" si="57"/>
        <v>0</v>
      </c>
      <c r="O222" s="161">
        <f t="shared" si="57"/>
        <v>0</v>
      </c>
      <c r="P222" s="161">
        <f t="shared" si="57"/>
        <v>0</v>
      </c>
      <c r="Q222" s="161">
        <f t="shared" si="57"/>
        <v>0</v>
      </c>
      <c r="R222" s="161">
        <f t="shared" si="57"/>
        <v>0</v>
      </c>
      <c r="S222" s="161">
        <f t="shared" si="56"/>
        <v>0</v>
      </c>
      <c r="T222" s="161">
        <f t="shared" si="56"/>
        <v>0</v>
      </c>
      <c r="U222" s="161">
        <f t="shared" si="56"/>
        <v>0</v>
      </c>
      <c r="V222" s="161">
        <f t="shared" si="56"/>
        <v>0</v>
      </c>
      <c r="W222" s="161">
        <f t="shared" si="56"/>
        <v>0</v>
      </c>
      <c r="X222" s="161">
        <f t="shared" si="56"/>
        <v>0</v>
      </c>
      <c r="Y222" s="161">
        <f t="shared" si="56"/>
        <v>0</v>
      </c>
      <c r="Z222" s="161">
        <f t="shared" si="56"/>
        <v>0</v>
      </c>
      <c r="AA222" s="161">
        <f t="shared" si="56"/>
        <v>0</v>
      </c>
      <c r="AB222" s="161">
        <f t="shared" si="56"/>
        <v>0</v>
      </c>
      <c r="AC222" s="161">
        <f t="shared" si="56"/>
        <v>0</v>
      </c>
      <c r="AD222" s="161">
        <f t="shared" si="56"/>
        <v>0</v>
      </c>
      <c r="AE222" s="161">
        <f t="shared" si="56"/>
        <v>0</v>
      </c>
      <c r="AF222" s="174">
        <f t="shared" si="56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7"/>
        <v>0</v>
      </c>
      <c r="D223" s="161">
        <f t="shared" si="57"/>
        <v>0</v>
      </c>
      <c r="E223" s="161">
        <f t="shared" si="57"/>
        <v>0</v>
      </c>
      <c r="F223" s="161">
        <f t="shared" si="57"/>
        <v>0</v>
      </c>
      <c r="G223" s="161">
        <f t="shared" si="57"/>
        <v>0</v>
      </c>
      <c r="H223" s="161">
        <f t="shared" si="57"/>
        <v>0</v>
      </c>
      <c r="I223" s="161">
        <f t="shared" si="57"/>
        <v>0</v>
      </c>
      <c r="J223" s="161">
        <f t="shared" si="57"/>
        <v>0</v>
      </c>
      <c r="K223" s="161">
        <f t="shared" si="57"/>
        <v>0</v>
      </c>
      <c r="L223" s="161">
        <f t="shared" si="57"/>
        <v>0</v>
      </c>
      <c r="M223" s="161">
        <f t="shared" si="57"/>
        <v>0</v>
      </c>
      <c r="N223" s="161">
        <f t="shared" si="57"/>
        <v>0</v>
      </c>
      <c r="O223" s="161">
        <f t="shared" si="57"/>
        <v>0</v>
      </c>
      <c r="P223" s="161">
        <f t="shared" si="57"/>
        <v>0</v>
      </c>
      <c r="Q223" s="161">
        <f t="shared" si="57"/>
        <v>0</v>
      </c>
      <c r="R223" s="161">
        <f t="shared" si="57"/>
        <v>0</v>
      </c>
      <c r="S223" s="161">
        <f t="shared" si="56"/>
        <v>0</v>
      </c>
      <c r="T223" s="161">
        <f t="shared" si="56"/>
        <v>0</v>
      </c>
      <c r="U223" s="161">
        <f t="shared" si="56"/>
        <v>0</v>
      </c>
      <c r="V223" s="161">
        <f t="shared" si="56"/>
        <v>0</v>
      </c>
      <c r="W223" s="161">
        <f t="shared" si="56"/>
        <v>0</v>
      </c>
      <c r="X223" s="161">
        <f t="shared" si="56"/>
        <v>0</v>
      </c>
      <c r="Y223" s="161">
        <f t="shared" si="56"/>
        <v>0</v>
      </c>
      <c r="Z223" s="161">
        <f t="shared" si="56"/>
        <v>0</v>
      </c>
      <c r="AA223" s="161">
        <f t="shared" si="56"/>
        <v>0</v>
      </c>
      <c r="AB223" s="161">
        <f t="shared" si="56"/>
        <v>0</v>
      </c>
      <c r="AC223" s="161">
        <f t="shared" si="56"/>
        <v>0</v>
      </c>
      <c r="AD223" s="161">
        <f t="shared" si="56"/>
        <v>0</v>
      </c>
      <c r="AE223" s="161">
        <f t="shared" si="56"/>
        <v>0</v>
      </c>
      <c r="AF223" s="174">
        <f t="shared" si="56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7"/>
        <v>0</v>
      </c>
      <c r="D224" s="161">
        <f t="shared" si="57"/>
        <v>0</v>
      </c>
      <c r="E224" s="161">
        <f t="shared" si="57"/>
        <v>0</v>
      </c>
      <c r="F224" s="161">
        <f t="shared" si="57"/>
        <v>0</v>
      </c>
      <c r="G224" s="161">
        <f t="shared" si="57"/>
        <v>0</v>
      </c>
      <c r="H224" s="161">
        <f t="shared" si="57"/>
        <v>0</v>
      </c>
      <c r="I224" s="161">
        <f t="shared" si="57"/>
        <v>0</v>
      </c>
      <c r="J224" s="161">
        <f t="shared" si="57"/>
        <v>0</v>
      </c>
      <c r="K224" s="161">
        <f t="shared" si="57"/>
        <v>0</v>
      </c>
      <c r="L224" s="161">
        <f t="shared" si="57"/>
        <v>0</v>
      </c>
      <c r="M224" s="161">
        <f t="shared" si="57"/>
        <v>0</v>
      </c>
      <c r="N224" s="161">
        <f t="shared" si="57"/>
        <v>0</v>
      </c>
      <c r="O224" s="161">
        <f t="shared" si="57"/>
        <v>0</v>
      </c>
      <c r="P224" s="161">
        <f t="shared" si="57"/>
        <v>0</v>
      </c>
      <c r="Q224" s="161">
        <f t="shared" si="57"/>
        <v>0</v>
      </c>
      <c r="R224" s="161">
        <f t="shared" si="57"/>
        <v>0</v>
      </c>
      <c r="S224" s="161">
        <f t="shared" si="56"/>
        <v>0</v>
      </c>
      <c r="T224" s="161">
        <f t="shared" si="56"/>
        <v>0</v>
      </c>
      <c r="U224" s="161">
        <f t="shared" si="56"/>
        <v>0</v>
      </c>
      <c r="V224" s="161">
        <f t="shared" si="56"/>
        <v>0</v>
      </c>
      <c r="W224" s="161">
        <f t="shared" si="56"/>
        <v>0</v>
      </c>
      <c r="X224" s="161">
        <f t="shared" si="56"/>
        <v>0</v>
      </c>
      <c r="Y224" s="161">
        <f t="shared" si="56"/>
        <v>0</v>
      </c>
      <c r="Z224" s="161">
        <f t="shared" si="56"/>
        <v>0</v>
      </c>
      <c r="AA224" s="161">
        <f t="shared" si="56"/>
        <v>0</v>
      </c>
      <c r="AB224" s="161">
        <f t="shared" si="56"/>
        <v>0</v>
      </c>
      <c r="AC224" s="161">
        <f t="shared" si="56"/>
        <v>0</v>
      </c>
      <c r="AD224" s="161">
        <f t="shared" si="56"/>
        <v>0</v>
      </c>
      <c r="AE224" s="161">
        <f t="shared" si="56"/>
        <v>0</v>
      </c>
      <c r="AF224" s="174">
        <f t="shared" si="56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7"/>
        <v>0</v>
      </c>
      <c r="D225" s="161">
        <f t="shared" si="57"/>
        <v>0</v>
      </c>
      <c r="E225" s="161">
        <f t="shared" si="57"/>
        <v>0</v>
      </c>
      <c r="F225" s="161">
        <f t="shared" si="57"/>
        <v>0</v>
      </c>
      <c r="G225" s="161">
        <f t="shared" si="57"/>
        <v>0</v>
      </c>
      <c r="H225" s="161">
        <f t="shared" si="57"/>
        <v>0</v>
      </c>
      <c r="I225" s="161">
        <f t="shared" si="57"/>
        <v>0</v>
      </c>
      <c r="J225" s="161">
        <f t="shared" si="57"/>
        <v>0</v>
      </c>
      <c r="K225" s="161">
        <f t="shared" si="57"/>
        <v>0</v>
      </c>
      <c r="L225" s="161">
        <f t="shared" si="57"/>
        <v>0</v>
      </c>
      <c r="M225" s="161">
        <f t="shared" si="57"/>
        <v>0</v>
      </c>
      <c r="N225" s="161">
        <f t="shared" si="57"/>
        <v>0</v>
      </c>
      <c r="O225" s="161">
        <f t="shared" si="57"/>
        <v>0</v>
      </c>
      <c r="P225" s="161">
        <f t="shared" si="57"/>
        <v>0</v>
      </c>
      <c r="Q225" s="161">
        <f t="shared" si="57"/>
        <v>0</v>
      </c>
      <c r="R225" s="161">
        <f t="shared" si="57"/>
        <v>0</v>
      </c>
      <c r="S225" s="161">
        <f t="shared" si="56"/>
        <v>0</v>
      </c>
      <c r="T225" s="161">
        <f t="shared" si="56"/>
        <v>0</v>
      </c>
      <c r="U225" s="161">
        <f t="shared" si="56"/>
        <v>0</v>
      </c>
      <c r="V225" s="161">
        <f t="shared" si="56"/>
        <v>0</v>
      </c>
      <c r="W225" s="161">
        <f t="shared" si="56"/>
        <v>0</v>
      </c>
      <c r="X225" s="161">
        <f t="shared" si="56"/>
        <v>0</v>
      </c>
      <c r="Y225" s="161">
        <f t="shared" si="56"/>
        <v>0</v>
      </c>
      <c r="Z225" s="161">
        <f t="shared" si="56"/>
        <v>0</v>
      </c>
      <c r="AA225" s="161">
        <f t="shared" si="56"/>
        <v>0</v>
      </c>
      <c r="AB225" s="161">
        <f t="shared" si="56"/>
        <v>0</v>
      </c>
      <c r="AC225" s="161">
        <f t="shared" si="56"/>
        <v>0</v>
      </c>
      <c r="AD225" s="161">
        <f t="shared" si="56"/>
        <v>0</v>
      </c>
      <c r="AE225" s="161">
        <f t="shared" si="56"/>
        <v>0</v>
      </c>
      <c r="AF225" s="174">
        <f t="shared" si="56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7"/>
        <v>0</v>
      </c>
      <c r="D226" s="161">
        <f t="shared" si="57"/>
        <v>0</v>
      </c>
      <c r="E226" s="161">
        <f t="shared" si="57"/>
        <v>0</v>
      </c>
      <c r="F226" s="161">
        <f t="shared" si="57"/>
        <v>0</v>
      </c>
      <c r="G226" s="161">
        <f t="shared" si="57"/>
        <v>0</v>
      </c>
      <c r="H226" s="161">
        <f t="shared" si="57"/>
        <v>0</v>
      </c>
      <c r="I226" s="161">
        <f t="shared" si="57"/>
        <v>0</v>
      </c>
      <c r="J226" s="161">
        <f t="shared" si="57"/>
        <v>0</v>
      </c>
      <c r="K226" s="161">
        <f t="shared" si="57"/>
        <v>0</v>
      </c>
      <c r="L226" s="161">
        <f t="shared" si="57"/>
        <v>0</v>
      </c>
      <c r="M226" s="161">
        <f t="shared" si="57"/>
        <v>0</v>
      </c>
      <c r="N226" s="161">
        <f t="shared" si="57"/>
        <v>0</v>
      </c>
      <c r="O226" s="161">
        <f t="shared" si="57"/>
        <v>0</v>
      </c>
      <c r="P226" s="161">
        <f t="shared" si="57"/>
        <v>0</v>
      </c>
      <c r="Q226" s="161">
        <f t="shared" si="57"/>
        <v>0</v>
      </c>
      <c r="R226" s="161">
        <f t="shared" si="57"/>
        <v>0</v>
      </c>
      <c r="S226" s="161">
        <f t="shared" si="56"/>
        <v>0</v>
      </c>
      <c r="T226" s="161">
        <f t="shared" si="56"/>
        <v>0</v>
      </c>
      <c r="U226" s="161">
        <f t="shared" si="56"/>
        <v>0</v>
      </c>
      <c r="V226" s="161">
        <f t="shared" si="56"/>
        <v>0</v>
      </c>
      <c r="W226" s="161">
        <f t="shared" si="56"/>
        <v>0</v>
      </c>
      <c r="X226" s="161">
        <f t="shared" si="56"/>
        <v>0</v>
      </c>
      <c r="Y226" s="161">
        <f t="shared" si="56"/>
        <v>0</v>
      </c>
      <c r="Z226" s="161">
        <f t="shared" si="56"/>
        <v>0</v>
      </c>
      <c r="AA226" s="161">
        <f t="shared" si="56"/>
        <v>0</v>
      </c>
      <c r="AB226" s="161">
        <f t="shared" si="56"/>
        <v>0</v>
      </c>
      <c r="AC226" s="161">
        <f t="shared" si="56"/>
        <v>0</v>
      </c>
      <c r="AD226" s="161">
        <f t="shared" si="56"/>
        <v>0</v>
      </c>
      <c r="AE226" s="161">
        <f t="shared" si="56"/>
        <v>0</v>
      </c>
      <c r="AF226" s="174">
        <f t="shared" si="56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7"/>
        <v>0</v>
      </c>
      <c r="D227" s="161">
        <f t="shared" si="57"/>
        <v>0</v>
      </c>
      <c r="E227" s="161">
        <f t="shared" si="57"/>
        <v>0</v>
      </c>
      <c r="F227" s="161">
        <f t="shared" si="57"/>
        <v>0</v>
      </c>
      <c r="G227" s="161">
        <f t="shared" si="57"/>
        <v>0</v>
      </c>
      <c r="H227" s="161">
        <f t="shared" si="57"/>
        <v>0</v>
      </c>
      <c r="I227" s="161">
        <f t="shared" si="57"/>
        <v>0</v>
      </c>
      <c r="J227" s="161">
        <f t="shared" si="57"/>
        <v>0</v>
      </c>
      <c r="K227" s="161">
        <f t="shared" si="57"/>
        <v>0</v>
      </c>
      <c r="L227" s="161">
        <f t="shared" si="57"/>
        <v>0</v>
      </c>
      <c r="M227" s="161">
        <f t="shared" si="57"/>
        <v>0</v>
      </c>
      <c r="N227" s="161">
        <f t="shared" si="57"/>
        <v>0</v>
      </c>
      <c r="O227" s="161">
        <f t="shared" si="57"/>
        <v>0</v>
      </c>
      <c r="P227" s="161">
        <f t="shared" si="57"/>
        <v>0</v>
      </c>
      <c r="Q227" s="161">
        <f t="shared" si="57"/>
        <v>0</v>
      </c>
      <c r="R227" s="161">
        <f t="shared" si="57"/>
        <v>0</v>
      </c>
      <c r="S227" s="161">
        <f t="shared" si="56"/>
        <v>0</v>
      </c>
      <c r="T227" s="161">
        <f t="shared" si="56"/>
        <v>0</v>
      </c>
      <c r="U227" s="161">
        <f t="shared" si="56"/>
        <v>0</v>
      </c>
      <c r="V227" s="161">
        <f t="shared" si="56"/>
        <v>0</v>
      </c>
      <c r="W227" s="161">
        <f t="shared" si="56"/>
        <v>0</v>
      </c>
      <c r="X227" s="161">
        <f t="shared" si="56"/>
        <v>0</v>
      </c>
      <c r="Y227" s="161">
        <f t="shared" si="56"/>
        <v>0</v>
      </c>
      <c r="Z227" s="161">
        <f t="shared" si="56"/>
        <v>0</v>
      </c>
      <c r="AA227" s="161">
        <f t="shared" si="56"/>
        <v>0</v>
      </c>
      <c r="AB227" s="161">
        <f t="shared" si="56"/>
        <v>0</v>
      </c>
      <c r="AC227" s="161">
        <f t="shared" si="56"/>
        <v>0</v>
      </c>
      <c r="AD227" s="161">
        <f t="shared" si="56"/>
        <v>0</v>
      </c>
      <c r="AE227" s="161">
        <f t="shared" si="56"/>
        <v>0</v>
      </c>
      <c r="AF227" s="174">
        <f t="shared" si="56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7"/>
        <v>0</v>
      </c>
      <c r="D228" s="161">
        <f t="shared" si="57"/>
        <v>0</v>
      </c>
      <c r="E228" s="161">
        <f t="shared" si="57"/>
        <v>0</v>
      </c>
      <c r="F228" s="161">
        <f t="shared" si="57"/>
        <v>0</v>
      </c>
      <c r="G228" s="161">
        <f t="shared" si="57"/>
        <v>0</v>
      </c>
      <c r="H228" s="161">
        <f t="shared" si="57"/>
        <v>0</v>
      </c>
      <c r="I228" s="161">
        <f t="shared" si="57"/>
        <v>0</v>
      </c>
      <c r="J228" s="161">
        <f t="shared" si="57"/>
        <v>0</v>
      </c>
      <c r="K228" s="161">
        <f t="shared" si="57"/>
        <v>0</v>
      </c>
      <c r="L228" s="161">
        <f t="shared" si="57"/>
        <v>0</v>
      </c>
      <c r="M228" s="161">
        <f t="shared" si="57"/>
        <v>0</v>
      </c>
      <c r="N228" s="161">
        <f t="shared" si="57"/>
        <v>0</v>
      </c>
      <c r="O228" s="161">
        <f t="shared" si="57"/>
        <v>0</v>
      </c>
      <c r="P228" s="161">
        <f t="shared" si="57"/>
        <v>0</v>
      </c>
      <c r="Q228" s="161">
        <f t="shared" si="57"/>
        <v>0</v>
      </c>
      <c r="R228" s="161">
        <f t="shared" si="57"/>
        <v>0</v>
      </c>
      <c r="S228" s="161">
        <f t="shared" si="56"/>
        <v>0</v>
      </c>
      <c r="T228" s="161">
        <f t="shared" si="56"/>
        <v>0</v>
      </c>
      <c r="U228" s="161">
        <f t="shared" si="56"/>
        <v>0</v>
      </c>
      <c r="V228" s="161">
        <f t="shared" si="56"/>
        <v>0</v>
      </c>
      <c r="W228" s="161">
        <f t="shared" si="56"/>
        <v>0</v>
      </c>
      <c r="X228" s="161">
        <f t="shared" si="56"/>
        <v>0</v>
      </c>
      <c r="Y228" s="161">
        <f t="shared" si="56"/>
        <v>0</v>
      </c>
      <c r="Z228" s="161">
        <f t="shared" si="56"/>
        <v>0</v>
      </c>
      <c r="AA228" s="161">
        <f t="shared" si="56"/>
        <v>0</v>
      </c>
      <c r="AB228" s="161">
        <f t="shared" si="56"/>
        <v>0</v>
      </c>
      <c r="AC228" s="161">
        <f t="shared" si="56"/>
        <v>0</v>
      </c>
      <c r="AD228" s="161">
        <f t="shared" si="56"/>
        <v>0</v>
      </c>
      <c r="AE228" s="161">
        <f t="shared" si="56"/>
        <v>0</v>
      </c>
      <c r="AF228" s="174">
        <f t="shared" si="56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7"/>
        <v>0</v>
      </c>
      <c r="D229" s="161">
        <f t="shared" si="57"/>
        <v>0</v>
      </c>
      <c r="E229" s="161">
        <f t="shared" si="57"/>
        <v>0</v>
      </c>
      <c r="F229" s="161">
        <f t="shared" si="57"/>
        <v>0</v>
      </c>
      <c r="G229" s="161">
        <f t="shared" si="57"/>
        <v>0</v>
      </c>
      <c r="H229" s="161">
        <f t="shared" si="57"/>
        <v>0</v>
      </c>
      <c r="I229" s="161">
        <f t="shared" si="57"/>
        <v>0</v>
      </c>
      <c r="J229" s="161">
        <f t="shared" si="57"/>
        <v>0</v>
      </c>
      <c r="K229" s="161">
        <f t="shared" si="57"/>
        <v>0</v>
      </c>
      <c r="L229" s="161">
        <f t="shared" si="57"/>
        <v>0</v>
      </c>
      <c r="M229" s="161">
        <f t="shared" si="57"/>
        <v>0</v>
      </c>
      <c r="N229" s="161">
        <f t="shared" si="57"/>
        <v>0</v>
      </c>
      <c r="O229" s="161">
        <f t="shared" si="57"/>
        <v>0</v>
      </c>
      <c r="P229" s="161">
        <f t="shared" si="57"/>
        <v>0</v>
      </c>
      <c r="Q229" s="161">
        <f t="shared" si="57"/>
        <v>0</v>
      </c>
      <c r="R229" s="161">
        <f t="shared" si="57"/>
        <v>0</v>
      </c>
      <c r="S229" s="161">
        <f t="shared" si="56"/>
        <v>0</v>
      </c>
      <c r="T229" s="161">
        <f t="shared" si="56"/>
        <v>0</v>
      </c>
      <c r="U229" s="161">
        <f t="shared" si="56"/>
        <v>0</v>
      </c>
      <c r="V229" s="161">
        <f t="shared" si="56"/>
        <v>0</v>
      </c>
      <c r="W229" s="161">
        <f t="shared" si="56"/>
        <v>0</v>
      </c>
      <c r="X229" s="161">
        <f t="shared" si="56"/>
        <v>0</v>
      </c>
      <c r="Y229" s="161">
        <f t="shared" si="56"/>
        <v>0</v>
      </c>
      <c r="Z229" s="161">
        <f t="shared" si="56"/>
        <v>0</v>
      </c>
      <c r="AA229" s="161">
        <f t="shared" si="56"/>
        <v>0</v>
      </c>
      <c r="AB229" s="161">
        <f t="shared" si="56"/>
        <v>0</v>
      </c>
      <c r="AC229" s="161">
        <f t="shared" si="56"/>
        <v>0</v>
      </c>
      <c r="AD229" s="161">
        <f t="shared" si="56"/>
        <v>0</v>
      </c>
      <c r="AE229" s="161">
        <f t="shared" si="56"/>
        <v>0</v>
      </c>
      <c r="AF229" s="174">
        <f t="shared" si="56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7"/>
        <v>0</v>
      </c>
      <c r="D230" s="161">
        <f t="shared" si="57"/>
        <v>0</v>
      </c>
      <c r="E230" s="161">
        <f t="shared" si="57"/>
        <v>0</v>
      </c>
      <c r="F230" s="161">
        <f t="shared" si="57"/>
        <v>0</v>
      </c>
      <c r="G230" s="161">
        <f t="shared" si="57"/>
        <v>0</v>
      </c>
      <c r="H230" s="161">
        <f t="shared" si="57"/>
        <v>0</v>
      </c>
      <c r="I230" s="161">
        <f t="shared" si="57"/>
        <v>0</v>
      </c>
      <c r="J230" s="161">
        <f t="shared" si="57"/>
        <v>0</v>
      </c>
      <c r="K230" s="161">
        <f t="shared" si="57"/>
        <v>0</v>
      </c>
      <c r="L230" s="161">
        <f t="shared" si="57"/>
        <v>0</v>
      </c>
      <c r="M230" s="161">
        <f t="shared" si="57"/>
        <v>0</v>
      </c>
      <c r="N230" s="161">
        <f t="shared" si="57"/>
        <v>0</v>
      </c>
      <c r="O230" s="161">
        <f t="shared" si="57"/>
        <v>0</v>
      </c>
      <c r="P230" s="161">
        <f t="shared" si="57"/>
        <v>0</v>
      </c>
      <c r="Q230" s="161">
        <f t="shared" si="57"/>
        <v>0</v>
      </c>
      <c r="R230" s="161">
        <f t="shared" si="57"/>
        <v>0</v>
      </c>
      <c r="S230" s="161">
        <f t="shared" si="56"/>
        <v>0</v>
      </c>
      <c r="T230" s="161">
        <f t="shared" si="56"/>
        <v>0</v>
      </c>
      <c r="U230" s="161">
        <f t="shared" si="56"/>
        <v>0</v>
      </c>
      <c r="V230" s="161">
        <f t="shared" si="56"/>
        <v>0</v>
      </c>
      <c r="W230" s="161">
        <f t="shared" si="56"/>
        <v>0</v>
      </c>
      <c r="X230" s="161">
        <f t="shared" si="56"/>
        <v>0</v>
      </c>
      <c r="Y230" s="161">
        <f t="shared" si="56"/>
        <v>0</v>
      </c>
      <c r="Z230" s="161">
        <f t="shared" si="56"/>
        <v>0</v>
      </c>
      <c r="AA230" s="161">
        <f t="shared" si="56"/>
        <v>0</v>
      </c>
      <c r="AB230" s="161">
        <f t="shared" si="56"/>
        <v>0</v>
      </c>
      <c r="AC230" s="161">
        <f t="shared" si="56"/>
        <v>0</v>
      </c>
      <c r="AD230" s="161">
        <f t="shared" si="56"/>
        <v>0</v>
      </c>
      <c r="AE230" s="161">
        <f t="shared" si="56"/>
        <v>0</v>
      </c>
      <c r="AF230" s="174">
        <f t="shared" si="56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7"/>
        <v>0</v>
      </c>
      <c r="D231" s="161">
        <f t="shared" si="57"/>
        <v>0</v>
      </c>
      <c r="E231" s="161">
        <f t="shared" si="57"/>
        <v>0</v>
      </c>
      <c r="F231" s="161">
        <f t="shared" si="57"/>
        <v>0</v>
      </c>
      <c r="G231" s="161">
        <f t="shared" si="57"/>
        <v>0</v>
      </c>
      <c r="H231" s="161">
        <f t="shared" si="57"/>
        <v>0</v>
      </c>
      <c r="I231" s="161">
        <f t="shared" si="57"/>
        <v>0</v>
      </c>
      <c r="J231" s="161">
        <f t="shared" si="57"/>
        <v>0</v>
      </c>
      <c r="K231" s="161">
        <f t="shared" si="57"/>
        <v>0</v>
      </c>
      <c r="L231" s="161">
        <f t="shared" si="57"/>
        <v>0</v>
      </c>
      <c r="M231" s="161">
        <f t="shared" si="57"/>
        <v>0</v>
      </c>
      <c r="N231" s="161">
        <f t="shared" si="57"/>
        <v>0</v>
      </c>
      <c r="O231" s="161">
        <f t="shared" si="57"/>
        <v>0</v>
      </c>
      <c r="P231" s="161">
        <f t="shared" si="57"/>
        <v>0</v>
      </c>
      <c r="Q231" s="161">
        <f t="shared" si="57"/>
        <v>0</v>
      </c>
      <c r="R231" s="161">
        <f t="shared" si="57"/>
        <v>0</v>
      </c>
      <c r="S231" s="161">
        <f t="shared" si="56"/>
        <v>0</v>
      </c>
      <c r="T231" s="161">
        <f t="shared" si="56"/>
        <v>0</v>
      </c>
      <c r="U231" s="161">
        <f t="shared" si="56"/>
        <v>0</v>
      </c>
      <c r="V231" s="161">
        <f t="shared" si="56"/>
        <v>0</v>
      </c>
      <c r="W231" s="161">
        <f t="shared" si="56"/>
        <v>0</v>
      </c>
      <c r="X231" s="161">
        <f t="shared" si="56"/>
        <v>0</v>
      </c>
      <c r="Y231" s="161">
        <f t="shared" si="56"/>
        <v>0</v>
      </c>
      <c r="Z231" s="161">
        <f t="shared" si="56"/>
        <v>0</v>
      </c>
      <c r="AA231" s="161">
        <f t="shared" si="56"/>
        <v>0</v>
      </c>
      <c r="AB231" s="161">
        <f t="shared" si="56"/>
        <v>0</v>
      </c>
      <c r="AC231" s="161">
        <f t="shared" si="56"/>
        <v>0</v>
      </c>
      <c r="AD231" s="161">
        <f t="shared" si="56"/>
        <v>0</v>
      </c>
      <c r="AE231" s="161">
        <f t="shared" si="56"/>
        <v>0</v>
      </c>
      <c r="AF231" s="174">
        <f t="shared" si="56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7"/>
        <v>0</v>
      </c>
      <c r="D232" s="161">
        <f t="shared" si="57"/>
        <v>0</v>
      </c>
      <c r="E232" s="161">
        <f t="shared" si="57"/>
        <v>0</v>
      </c>
      <c r="F232" s="161">
        <f t="shared" si="57"/>
        <v>0</v>
      </c>
      <c r="G232" s="161">
        <f t="shared" si="57"/>
        <v>0</v>
      </c>
      <c r="H232" s="161">
        <f t="shared" si="57"/>
        <v>0</v>
      </c>
      <c r="I232" s="161">
        <f t="shared" si="57"/>
        <v>0</v>
      </c>
      <c r="J232" s="161">
        <f t="shared" si="57"/>
        <v>0</v>
      </c>
      <c r="K232" s="161">
        <f t="shared" si="57"/>
        <v>0</v>
      </c>
      <c r="L232" s="161">
        <f t="shared" si="57"/>
        <v>0</v>
      </c>
      <c r="M232" s="161">
        <f t="shared" si="57"/>
        <v>0</v>
      </c>
      <c r="N232" s="161">
        <f t="shared" si="57"/>
        <v>0</v>
      </c>
      <c r="O232" s="161">
        <f t="shared" si="57"/>
        <v>0</v>
      </c>
      <c r="P232" s="161">
        <f t="shared" si="57"/>
        <v>0</v>
      </c>
      <c r="Q232" s="161">
        <f t="shared" si="57"/>
        <v>0</v>
      </c>
      <c r="R232" s="161">
        <f t="shared" ref="R232:AF247" si="58">Q232</f>
        <v>0</v>
      </c>
      <c r="S232" s="161">
        <f t="shared" si="58"/>
        <v>0</v>
      </c>
      <c r="T232" s="161">
        <f t="shared" si="58"/>
        <v>0</v>
      </c>
      <c r="U232" s="161">
        <f t="shared" si="58"/>
        <v>0</v>
      </c>
      <c r="V232" s="161">
        <f t="shared" si="58"/>
        <v>0</v>
      </c>
      <c r="W232" s="161">
        <f t="shared" si="58"/>
        <v>0</v>
      </c>
      <c r="X232" s="161">
        <f t="shared" si="58"/>
        <v>0</v>
      </c>
      <c r="Y232" s="161">
        <f t="shared" si="58"/>
        <v>0</v>
      </c>
      <c r="Z232" s="161">
        <f t="shared" si="58"/>
        <v>0</v>
      </c>
      <c r="AA232" s="161">
        <f t="shared" si="58"/>
        <v>0</v>
      </c>
      <c r="AB232" s="161">
        <f t="shared" si="58"/>
        <v>0</v>
      </c>
      <c r="AC232" s="161">
        <f t="shared" si="58"/>
        <v>0</v>
      </c>
      <c r="AD232" s="161">
        <f t="shared" si="58"/>
        <v>0</v>
      </c>
      <c r="AE232" s="161">
        <f t="shared" si="58"/>
        <v>0</v>
      </c>
      <c r="AF232" s="174">
        <f t="shared" si="58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9">B233</f>
        <v>0</v>
      </c>
      <c r="D233" s="161">
        <f t="shared" si="59"/>
        <v>0</v>
      </c>
      <c r="E233" s="161">
        <f t="shared" si="59"/>
        <v>0</v>
      </c>
      <c r="F233" s="161">
        <f t="shared" si="59"/>
        <v>0</v>
      </c>
      <c r="G233" s="161">
        <f t="shared" si="59"/>
        <v>0</v>
      </c>
      <c r="H233" s="161">
        <f t="shared" si="59"/>
        <v>0</v>
      </c>
      <c r="I233" s="161">
        <f t="shared" si="59"/>
        <v>0</v>
      </c>
      <c r="J233" s="161">
        <f t="shared" si="59"/>
        <v>0</v>
      </c>
      <c r="K233" s="161">
        <f t="shared" si="59"/>
        <v>0</v>
      </c>
      <c r="L233" s="161">
        <f t="shared" si="59"/>
        <v>0</v>
      </c>
      <c r="M233" s="161">
        <f t="shared" si="59"/>
        <v>0</v>
      </c>
      <c r="N233" s="161">
        <f t="shared" si="59"/>
        <v>0</v>
      </c>
      <c r="O233" s="161">
        <f t="shared" si="59"/>
        <v>0</v>
      </c>
      <c r="P233" s="161">
        <f t="shared" si="59"/>
        <v>0</v>
      </c>
      <c r="Q233" s="161">
        <f t="shared" si="59"/>
        <v>0</v>
      </c>
      <c r="R233" s="161">
        <f t="shared" si="59"/>
        <v>0</v>
      </c>
      <c r="S233" s="161">
        <f t="shared" si="58"/>
        <v>0</v>
      </c>
      <c r="T233" s="161">
        <f t="shared" si="58"/>
        <v>0</v>
      </c>
      <c r="U233" s="161">
        <f t="shared" si="58"/>
        <v>0</v>
      </c>
      <c r="V233" s="161">
        <f t="shared" si="58"/>
        <v>0</v>
      </c>
      <c r="W233" s="161">
        <f t="shared" si="58"/>
        <v>0</v>
      </c>
      <c r="X233" s="161">
        <f t="shared" si="58"/>
        <v>0</v>
      </c>
      <c r="Y233" s="161">
        <f t="shared" si="58"/>
        <v>0</v>
      </c>
      <c r="Z233" s="161">
        <f t="shared" si="58"/>
        <v>0</v>
      </c>
      <c r="AA233" s="161">
        <f t="shared" si="58"/>
        <v>0</v>
      </c>
      <c r="AB233" s="161">
        <f t="shared" si="58"/>
        <v>0</v>
      </c>
      <c r="AC233" s="161">
        <f t="shared" si="58"/>
        <v>0</v>
      </c>
      <c r="AD233" s="161">
        <f t="shared" si="58"/>
        <v>0</v>
      </c>
      <c r="AE233" s="161">
        <f t="shared" si="58"/>
        <v>0</v>
      </c>
      <c r="AF233" s="174">
        <f t="shared" si="58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9"/>
        <v>0</v>
      </c>
      <c r="D234" s="161">
        <f t="shared" si="59"/>
        <v>0</v>
      </c>
      <c r="E234" s="161">
        <f t="shared" si="59"/>
        <v>0</v>
      </c>
      <c r="F234" s="161">
        <f t="shared" si="59"/>
        <v>0</v>
      </c>
      <c r="G234" s="161">
        <f t="shared" si="59"/>
        <v>0</v>
      </c>
      <c r="H234" s="161">
        <f t="shared" si="59"/>
        <v>0</v>
      </c>
      <c r="I234" s="161">
        <f t="shared" si="59"/>
        <v>0</v>
      </c>
      <c r="J234" s="161">
        <f t="shared" si="59"/>
        <v>0</v>
      </c>
      <c r="K234" s="161">
        <f t="shared" si="59"/>
        <v>0</v>
      </c>
      <c r="L234" s="161">
        <f t="shared" si="59"/>
        <v>0</v>
      </c>
      <c r="M234" s="161">
        <f t="shared" si="59"/>
        <v>0</v>
      </c>
      <c r="N234" s="161">
        <f t="shared" si="59"/>
        <v>0</v>
      </c>
      <c r="O234" s="161">
        <f t="shared" si="59"/>
        <v>0</v>
      </c>
      <c r="P234" s="161">
        <f t="shared" si="59"/>
        <v>0</v>
      </c>
      <c r="Q234" s="161">
        <f t="shared" si="59"/>
        <v>0</v>
      </c>
      <c r="R234" s="161">
        <f t="shared" si="59"/>
        <v>0</v>
      </c>
      <c r="S234" s="161">
        <f t="shared" si="58"/>
        <v>0</v>
      </c>
      <c r="T234" s="161">
        <f t="shared" si="58"/>
        <v>0</v>
      </c>
      <c r="U234" s="161">
        <f t="shared" si="58"/>
        <v>0</v>
      </c>
      <c r="V234" s="161">
        <f t="shared" si="58"/>
        <v>0</v>
      </c>
      <c r="W234" s="161">
        <f t="shared" si="58"/>
        <v>0</v>
      </c>
      <c r="X234" s="161">
        <f t="shared" si="58"/>
        <v>0</v>
      </c>
      <c r="Y234" s="161">
        <f t="shared" si="58"/>
        <v>0</v>
      </c>
      <c r="Z234" s="161">
        <f t="shared" si="58"/>
        <v>0</v>
      </c>
      <c r="AA234" s="161">
        <f t="shared" si="58"/>
        <v>0</v>
      </c>
      <c r="AB234" s="161">
        <f t="shared" si="58"/>
        <v>0</v>
      </c>
      <c r="AC234" s="161">
        <f t="shared" si="58"/>
        <v>0</v>
      </c>
      <c r="AD234" s="161">
        <f t="shared" si="58"/>
        <v>0</v>
      </c>
      <c r="AE234" s="161">
        <f t="shared" si="58"/>
        <v>0</v>
      </c>
      <c r="AF234" s="174">
        <f t="shared" si="58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9"/>
        <v>0</v>
      </c>
      <c r="D235" s="161">
        <f t="shared" si="59"/>
        <v>0</v>
      </c>
      <c r="E235" s="161">
        <f t="shared" si="59"/>
        <v>0</v>
      </c>
      <c r="F235" s="161">
        <f t="shared" si="59"/>
        <v>0</v>
      </c>
      <c r="G235" s="161">
        <f t="shared" si="59"/>
        <v>0</v>
      </c>
      <c r="H235" s="161">
        <f t="shared" si="59"/>
        <v>0</v>
      </c>
      <c r="I235" s="161">
        <f t="shared" si="59"/>
        <v>0</v>
      </c>
      <c r="J235" s="161">
        <f t="shared" si="59"/>
        <v>0</v>
      </c>
      <c r="K235" s="161">
        <f t="shared" si="59"/>
        <v>0</v>
      </c>
      <c r="L235" s="161">
        <f t="shared" si="59"/>
        <v>0</v>
      </c>
      <c r="M235" s="161">
        <f t="shared" si="59"/>
        <v>0</v>
      </c>
      <c r="N235" s="161">
        <f t="shared" si="59"/>
        <v>0</v>
      </c>
      <c r="O235" s="161">
        <f t="shared" si="59"/>
        <v>0</v>
      </c>
      <c r="P235" s="161">
        <f t="shared" si="59"/>
        <v>0</v>
      </c>
      <c r="Q235" s="161">
        <f t="shared" si="59"/>
        <v>0</v>
      </c>
      <c r="R235" s="161">
        <f t="shared" si="59"/>
        <v>0</v>
      </c>
      <c r="S235" s="161">
        <f t="shared" si="58"/>
        <v>0</v>
      </c>
      <c r="T235" s="161">
        <f t="shared" si="58"/>
        <v>0</v>
      </c>
      <c r="U235" s="161">
        <f t="shared" si="58"/>
        <v>0</v>
      </c>
      <c r="V235" s="161">
        <f t="shared" si="58"/>
        <v>0</v>
      </c>
      <c r="W235" s="161">
        <f t="shared" si="58"/>
        <v>0</v>
      </c>
      <c r="X235" s="161">
        <f t="shared" si="58"/>
        <v>0</v>
      </c>
      <c r="Y235" s="161">
        <f t="shared" si="58"/>
        <v>0</v>
      </c>
      <c r="Z235" s="161">
        <f t="shared" si="58"/>
        <v>0</v>
      </c>
      <c r="AA235" s="161">
        <f t="shared" si="58"/>
        <v>0</v>
      </c>
      <c r="AB235" s="161">
        <f t="shared" si="58"/>
        <v>0</v>
      </c>
      <c r="AC235" s="161">
        <f t="shared" si="58"/>
        <v>0</v>
      </c>
      <c r="AD235" s="161">
        <f t="shared" si="58"/>
        <v>0</v>
      </c>
      <c r="AE235" s="161">
        <f t="shared" si="58"/>
        <v>0</v>
      </c>
      <c r="AF235" s="174">
        <f t="shared" si="58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9"/>
        <v>0</v>
      </c>
      <c r="D236" s="161">
        <f t="shared" si="59"/>
        <v>0</v>
      </c>
      <c r="E236" s="161">
        <f t="shared" si="59"/>
        <v>0</v>
      </c>
      <c r="F236" s="161">
        <f t="shared" si="59"/>
        <v>0</v>
      </c>
      <c r="G236" s="161">
        <f t="shared" si="59"/>
        <v>0</v>
      </c>
      <c r="H236" s="161">
        <f t="shared" si="59"/>
        <v>0</v>
      </c>
      <c r="I236" s="161">
        <f t="shared" si="59"/>
        <v>0</v>
      </c>
      <c r="J236" s="161">
        <f t="shared" si="59"/>
        <v>0</v>
      </c>
      <c r="K236" s="161">
        <f t="shared" si="59"/>
        <v>0</v>
      </c>
      <c r="L236" s="161">
        <f t="shared" si="59"/>
        <v>0</v>
      </c>
      <c r="M236" s="161">
        <f t="shared" si="59"/>
        <v>0</v>
      </c>
      <c r="N236" s="161">
        <f t="shared" si="59"/>
        <v>0</v>
      </c>
      <c r="O236" s="161">
        <f t="shared" si="59"/>
        <v>0</v>
      </c>
      <c r="P236" s="161">
        <f t="shared" si="59"/>
        <v>0</v>
      </c>
      <c r="Q236" s="161">
        <f t="shared" si="59"/>
        <v>0</v>
      </c>
      <c r="R236" s="161">
        <f t="shared" si="59"/>
        <v>0</v>
      </c>
      <c r="S236" s="161">
        <f t="shared" si="58"/>
        <v>0</v>
      </c>
      <c r="T236" s="161">
        <f t="shared" si="58"/>
        <v>0</v>
      </c>
      <c r="U236" s="161">
        <f t="shared" si="58"/>
        <v>0</v>
      </c>
      <c r="V236" s="161">
        <f t="shared" si="58"/>
        <v>0</v>
      </c>
      <c r="W236" s="161">
        <f t="shared" si="58"/>
        <v>0</v>
      </c>
      <c r="X236" s="161">
        <f t="shared" si="58"/>
        <v>0</v>
      </c>
      <c r="Y236" s="161">
        <f t="shared" si="58"/>
        <v>0</v>
      </c>
      <c r="Z236" s="161">
        <f t="shared" si="58"/>
        <v>0</v>
      </c>
      <c r="AA236" s="161">
        <f t="shared" si="58"/>
        <v>0</v>
      </c>
      <c r="AB236" s="161">
        <f t="shared" si="58"/>
        <v>0</v>
      </c>
      <c r="AC236" s="161">
        <f t="shared" si="58"/>
        <v>0</v>
      </c>
      <c r="AD236" s="161">
        <f t="shared" si="58"/>
        <v>0</v>
      </c>
      <c r="AE236" s="161">
        <f t="shared" si="58"/>
        <v>0</v>
      </c>
      <c r="AF236" s="174">
        <f t="shared" si="58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9"/>
        <v>0</v>
      </c>
      <c r="D237" s="161">
        <f t="shared" si="59"/>
        <v>0</v>
      </c>
      <c r="E237" s="161">
        <f t="shared" si="59"/>
        <v>0</v>
      </c>
      <c r="F237" s="161">
        <f t="shared" si="59"/>
        <v>0</v>
      </c>
      <c r="G237" s="161">
        <f t="shared" si="59"/>
        <v>0</v>
      </c>
      <c r="H237" s="161">
        <f t="shared" si="59"/>
        <v>0</v>
      </c>
      <c r="I237" s="161">
        <f t="shared" si="59"/>
        <v>0</v>
      </c>
      <c r="J237" s="161">
        <f t="shared" si="59"/>
        <v>0</v>
      </c>
      <c r="K237" s="161">
        <f t="shared" si="59"/>
        <v>0</v>
      </c>
      <c r="L237" s="161">
        <f t="shared" si="59"/>
        <v>0</v>
      </c>
      <c r="M237" s="161">
        <f t="shared" si="59"/>
        <v>0</v>
      </c>
      <c r="N237" s="161">
        <f t="shared" si="59"/>
        <v>0</v>
      </c>
      <c r="O237" s="161">
        <f t="shared" si="59"/>
        <v>0</v>
      </c>
      <c r="P237" s="161">
        <f t="shared" si="59"/>
        <v>0</v>
      </c>
      <c r="Q237" s="161">
        <f t="shared" si="59"/>
        <v>0</v>
      </c>
      <c r="R237" s="161">
        <f t="shared" si="59"/>
        <v>0</v>
      </c>
      <c r="S237" s="161">
        <f t="shared" si="58"/>
        <v>0</v>
      </c>
      <c r="T237" s="161">
        <f t="shared" si="58"/>
        <v>0</v>
      </c>
      <c r="U237" s="161">
        <f t="shared" si="58"/>
        <v>0</v>
      </c>
      <c r="V237" s="161">
        <f t="shared" si="58"/>
        <v>0</v>
      </c>
      <c r="W237" s="161">
        <f t="shared" si="58"/>
        <v>0</v>
      </c>
      <c r="X237" s="161">
        <f t="shared" si="58"/>
        <v>0</v>
      </c>
      <c r="Y237" s="161">
        <f t="shared" si="58"/>
        <v>0</v>
      </c>
      <c r="Z237" s="161">
        <f t="shared" si="58"/>
        <v>0</v>
      </c>
      <c r="AA237" s="161">
        <f t="shared" si="58"/>
        <v>0</v>
      </c>
      <c r="AB237" s="161">
        <f t="shared" si="58"/>
        <v>0</v>
      </c>
      <c r="AC237" s="161">
        <f t="shared" si="58"/>
        <v>0</v>
      </c>
      <c r="AD237" s="161">
        <f t="shared" si="58"/>
        <v>0</v>
      </c>
      <c r="AE237" s="161">
        <f t="shared" si="58"/>
        <v>0</v>
      </c>
      <c r="AF237" s="174">
        <f t="shared" si="58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9"/>
        <v>0</v>
      </c>
      <c r="D238" s="161">
        <f t="shared" si="59"/>
        <v>0</v>
      </c>
      <c r="E238" s="161">
        <f t="shared" si="59"/>
        <v>0</v>
      </c>
      <c r="F238" s="161">
        <f t="shared" si="59"/>
        <v>0</v>
      </c>
      <c r="G238" s="161">
        <f t="shared" si="59"/>
        <v>0</v>
      </c>
      <c r="H238" s="161">
        <f t="shared" si="59"/>
        <v>0</v>
      </c>
      <c r="I238" s="161">
        <f t="shared" si="59"/>
        <v>0</v>
      </c>
      <c r="J238" s="161">
        <f t="shared" si="59"/>
        <v>0</v>
      </c>
      <c r="K238" s="161">
        <f t="shared" si="59"/>
        <v>0</v>
      </c>
      <c r="L238" s="161">
        <f t="shared" si="59"/>
        <v>0</v>
      </c>
      <c r="M238" s="161">
        <f t="shared" si="59"/>
        <v>0</v>
      </c>
      <c r="N238" s="161">
        <f t="shared" si="59"/>
        <v>0</v>
      </c>
      <c r="O238" s="161">
        <f t="shared" si="59"/>
        <v>0</v>
      </c>
      <c r="P238" s="161">
        <f t="shared" si="59"/>
        <v>0</v>
      </c>
      <c r="Q238" s="161">
        <f t="shared" si="59"/>
        <v>0</v>
      </c>
      <c r="R238" s="161">
        <f t="shared" si="59"/>
        <v>0</v>
      </c>
      <c r="S238" s="161">
        <f t="shared" si="58"/>
        <v>0</v>
      </c>
      <c r="T238" s="161">
        <f t="shared" si="58"/>
        <v>0</v>
      </c>
      <c r="U238" s="161">
        <f t="shared" si="58"/>
        <v>0</v>
      </c>
      <c r="V238" s="161">
        <f t="shared" si="58"/>
        <v>0</v>
      </c>
      <c r="W238" s="161">
        <f t="shared" si="58"/>
        <v>0</v>
      </c>
      <c r="X238" s="161">
        <f t="shared" si="58"/>
        <v>0</v>
      </c>
      <c r="Y238" s="161">
        <f t="shared" si="58"/>
        <v>0</v>
      </c>
      <c r="Z238" s="161">
        <f t="shared" si="58"/>
        <v>0</v>
      </c>
      <c r="AA238" s="161">
        <f t="shared" si="58"/>
        <v>0</v>
      </c>
      <c r="AB238" s="161">
        <f t="shared" si="58"/>
        <v>0</v>
      </c>
      <c r="AC238" s="161">
        <f t="shared" si="58"/>
        <v>0</v>
      </c>
      <c r="AD238" s="161">
        <f t="shared" si="58"/>
        <v>0</v>
      </c>
      <c r="AE238" s="161">
        <f t="shared" si="58"/>
        <v>0</v>
      </c>
      <c r="AF238" s="174">
        <f t="shared" si="58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9"/>
        <v>0</v>
      </c>
      <c r="D239" s="161">
        <f t="shared" si="59"/>
        <v>0</v>
      </c>
      <c r="E239" s="161">
        <f t="shared" si="59"/>
        <v>0</v>
      </c>
      <c r="F239" s="161">
        <f t="shared" si="59"/>
        <v>0</v>
      </c>
      <c r="G239" s="161">
        <f t="shared" si="59"/>
        <v>0</v>
      </c>
      <c r="H239" s="161">
        <f t="shared" si="59"/>
        <v>0</v>
      </c>
      <c r="I239" s="161">
        <f t="shared" si="59"/>
        <v>0</v>
      </c>
      <c r="J239" s="161">
        <f t="shared" si="59"/>
        <v>0</v>
      </c>
      <c r="K239" s="161">
        <f t="shared" si="59"/>
        <v>0</v>
      </c>
      <c r="L239" s="161">
        <f t="shared" si="59"/>
        <v>0</v>
      </c>
      <c r="M239" s="161">
        <f t="shared" si="59"/>
        <v>0</v>
      </c>
      <c r="N239" s="161">
        <f t="shared" si="59"/>
        <v>0</v>
      </c>
      <c r="O239" s="161">
        <f t="shared" si="59"/>
        <v>0</v>
      </c>
      <c r="P239" s="161">
        <f t="shared" si="59"/>
        <v>0</v>
      </c>
      <c r="Q239" s="161">
        <f t="shared" si="59"/>
        <v>0</v>
      </c>
      <c r="R239" s="161">
        <f t="shared" si="59"/>
        <v>0</v>
      </c>
      <c r="S239" s="161">
        <f t="shared" si="58"/>
        <v>0</v>
      </c>
      <c r="T239" s="161">
        <f t="shared" si="58"/>
        <v>0</v>
      </c>
      <c r="U239" s="161">
        <f t="shared" si="58"/>
        <v>0</v>
      </c>
      <c r="V239" s="161">
        <f t="shared" si="58"/>
        <v>0</v>
      </c>
      <c r="W239" s="161">
        <f t="shared" si="58"/>
        <v>0</v>
      </c>
      <c r="X239" s="161">
        <f t="shared" si="58"/>
        <v>0</v>
      </c>
      <c r="Y239" s="161">
        <f t="shared" si="58"/>
        <v>0</v>
      </c>
      <c r="Z239" s="161">
        <f t="shared" si="58"/>
        <v>0</v>
      </c>
      <c r="AA239" s="161">
        <f t="shared" si="58"/>
        <v>0</v>
      </c>
      <c r="AB239" s="161">
        <f t="shared" si="58"/>
        <v>0</v>
      </c>
      <c r="AC239" s="161">
        <f t="shared" si="58"/>
        <v>0</v>
      </c>
      <c r="AD239" s="161">
        <f t="shared" si="58"/>
        <v>0</v>
      </c>
      <c r="AE239" s="161">
        <f t="shared" si="58"/>
        <v>0</v>
      </c>
      <c r="AF239" s="174">
        <f t="shared" si="58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9"/>
        <v>0</v>
      </c>
      <c r="D240" s="161">
        <f t="shared" si="59"/>
        <v>0</v>
      </c>
      <c r="E240" s="161">
        <f t="shared" si="59"/>
        <v>0</v>
      </c>
      <c r="F240" s="161">
        <f t="shared" si="59"/>
        <v>0</v>
      </c>
      <c r="G240" s="161">
        <f t="shared" si="59"/>
        <v>0</v>
      </c>
      <c r="H240" s="161">
        <f t="shared" si="59"/>
        <v>0</v>
      </c>
      <c r="I240" s="161">
        <f t="shared" si="59"/>
        <v>0</v>
      </c>
      <c r="J240" s="161">
        <f t="shared" si="59"/>
        <v>0</v>
      </c>
      <c r="K240" s="161">
        <f t="shared" si="59"/>
        <v>0</v>
      </c>
      <c r="L240" s="161">
        <f t="shared" si="59"/>
        <v>0</v>
      </c>
      <c r="M240" s="161">
        <f t="shared" si="59"/>
        <v>0</v>
      </c>
      <c r="N240" s="161">
        <f t="shared" si="59"/>
        <v>0</v>
      </c>
      <c r="O240" s="161">
        <f t="shared" si="59"/>
        <v>0</v>
      </c>
      <c r="P240" s="161">
        <f t="shared" si="59"/>
        <v>0</v>
      </c>
      <c r="Q240" s="161">
        <f t="shared" si="59"/>
        <v>0</v>
      </c>
      <c r="R240" s="161">
        <f t="shared" si="59"/>
        <v>0</v>
      </c>
      <c r="S240" s="161">
        <f t="shared" si="58"/>
        <v>0</v>
      </c>
      <c r="T240" s="161">
        <f t="shared" si="58"/>
        <v>0</v>
      </c>
      <c r="U240" s="161">
        <f t="shared" si="58"/>
        <v>0</v>
      </c>
      <c r="V240" s="161">
        <f t="shared" si="58"/>
        <v>0</v>
      </c>
      <c r="W240" s="161">
        <f t="shared" si="58"/>
        <v>0</v>
      </c>
      <c r="X240" s="161">
        <f t="shared" si="58"/>
        <v>0</v>
      </c>
      <c r="Y240" s="161">
        <f t="shared" si="58"/>
        <v>0</v>
      </c>
      <c r="Z240" s="161">
        <f t="shared" si="58"/>
        <v>0</v>
      </c>
      <c r="AA240" s="161">
        <f t="shared" si="58"/>
        <v>0</v>
      </c>
      <c r="AB240" s="161">
        <f t="shared" si="58"/>
        <v>0</v>
      </c>
      <c r="AC240" s="161">
        <f t="shared" si="58"/>
        <v>0</v>
      </c>
      <c r="AD240" s="161">
        <f t="shared" si="58"/>
        <v>0</v>
      </c>
      <c r="AE240" s="161">
        <f t="shared" si="58"/>
        <v>0</v>
      </c>
      <c r="AF240" s="174">
        <f t="shared" si="58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9"/>
        <v>0</v>
      </c>
      <c r="D241" s="161">
        <f t="shared" si="59"/>
        <v>0</v>
      </c>
      <c r="E241" s="161">
        <f t="shared" si="59"/>
        <v>0</v>
      </c>
      <c r="F241" s="161">
        <f t="shared" si="59"/>
        <v>0</v>
      </c>
      <c r="G241" s="161">
        <f t="shared" si="59"/>
        <v>0</v>
      </c>
      <c r="H241" s="161">
        <f t="shared" si="59"/>
        <v>0</v>
      </c>
      <c r="I241" s="161">
        <f t="shared" si="59"/>
        <v>0</v>
      </c>
      <c r="J241" s="161">
        <f t="shared" si="59"/>
        <v>0</v>
      </c>
      <c r="K241" s="161">
        <f t="shared" si="59"/>
        <v>0</v>
      </c>
      <c r="L241" s="161">
        <f t="shared" si="59"/>
        <v>0</v>
      </c>
      <c r="M241" s="161">
        <f t="shared" si="59"/>
        <v>0</v>
      </c>
      <c r="N241" s="161">
        <f t="shared" si="59"/>
        <v>0</v>
      </c>
      <c r="O241" s="161">
        <f t="shared" si="59"/>
        <v>0</v>
      </c>
      <c r="P241" s="161">
        <f t="shared" si="59"/>
        <v>0</v>
      </c>
      <c r="Q241" s="161">
        <f t="shared" si="59"/>
        <v>0</v>
      </c>
      <c r="R241" s="161">
        <f t="shared" si="59"/>
        <v>0</v>
      </c>
      <c r="S241" s="161">
        <f t="shared" si="58"/>
        <v>0</v>
      </c>
      <c r="T241" s="161">
        <f t="shared" si="58"/>
        <v>0</v>
      </c>
      <c r="U241" s="161">
        <f t="shared" si="58"/>
        <v>0</v>
      </c>
      <c r="V241" s="161">
        <f t="shared" si="58"/>
        <v>0</v>
      </c>
      <c r="W241" s="161">
        <f t="shared" si="58"/>
        <v>0</v>
      </c>
      <c r="X241" s="161">
        <f t="shared" si="58"/>
        <v>0</v>
      </c>
      <c r="Y241" s="161">
        <f t="shared" si="58"/>
        <v>0</v>
      </c>
      <c r="Z241" s="161">
        <f t="shared" si="58"/>
        <v>0</v>
      </c>
      <c r="AA241" s="161">
        <f t="shared" si="58"/>
        <v>0</v>
      </c>
      <c r="AB241" s="161">
        <f t="shared" si="58"/>
        <v>0</v>
      </c>
      <c r="AC241" s="161">
        <f t="shared" si="58"/>
        <v>0</v>
      </c>
      <c r="AD241" s="161">
        <f t="shared" si="58"/>
        <v>0</v>
      </c>
      <c r="AE241" s="161">
        <f t="shared" si="58"/>
        <v>0</v>
      </c>
      <c r="AF241" s="174">
        <f t="shared" si="58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9"/>
        <v>0</v>
      </c>
      <c r="D242" s="161">
        <f t="shared" si="59"/>
        <v>0</v>
      </c>
      <c r="E242" s="161">
        <f t="shared" si="59"/>
        <v>0</v>
      </c>
      <c r="F242" s="161">
        <f t="shared" si="59"/>
        <v>0</v>
      </c>
      <c r="G242" s="161">
        <f t="shared" si="59"/>
        <v>0</v>
      </c>
      <c r="H242" s="161">
        <f t="shared" si="59"/>
        <v>0</v>
      </c>
      <c r="I242" s="161">
        <f t="shared" si="59"/>
        <v>0</v>
      </c>
      <c r="J242" s="161">
        <f t="shared" si="59"/>
        <v>0</v>
      </c>
      <c r="K242" s="161">
        <f t="shared" si="59"/>
        <v>0</v>
      </c>
      <c r="L242" s="161">
        <f t="shared" si="59"/>
        <v>0</v>
      </c>
      <c r="M242" s="161">
        <f t="shared" si="59"/>
        <v>0</v>
      </c>
      <c r="N242" s="161">
        <f t="shared" si="59"/>
        <v>0</v>
      </c>
      <c r="O242" s="161">
        <f t="shared" si="59"/>
        <v>0</v>
      </c>
      <c r="P242" s="161">
        <f t="shared" si="59"/>
        <v>0</v>
      </c>
      <c r="Q242" s="161">
        <f t="shared" si="59"/>
        <v>0</v>
      </c>
      <c r="R242" s="161">
        <f t="shared" si="59"/>
        <v>0</v>
      </c>
      <c r="S242" s="161">
        <f t="shared" si="58"/>
        <v>0</v>
      </c>
      <c r="T242" s="161">
        <f t="shared" si="58"/>
        <v>0</v>
      </c>
      <c r="U242" s="161">
        <f t="shared" si="58"/>
        <v>0</v>
      </c>
      <c r="V242" s="161">
        <f t="shared" si="58"/>
        <v>0</v>
      </c>
      <c r="W242" s="161">
        <f t="shared" si="58"/>
        <v>0</v>
      </c>
      <c r="X242" s="161">
        <f t="shared" si="58"/>
        <v>0</v>
      </c>
      <c r="Y242" s="161">
        <f t="shared" si="58"/>
        <v>0</v>
      </c>
      <c r="Z242" s="161">
        <f t="shared" si="58"/>
        <v>0</v>
      </c>
      <c r="AA242" s="161">
        <f t="shared" si="58"/>
        <v>0</v>
      </c>
      <c r="AB242" s="161">
        <f t="shared" si="58"/>
        <v>0</v>
      </c>
      <c r="AC242" s="161">
        <f t="shared" si="58"/>
        <v>0</v>
      </c>
      <c r="AD242" s="161">
        <f t="shared" si="58"/>
        <v>0</v>
      </c>
      <c r="AE242" s="161">
        <f t="shared" si="58"/>
        <v>0</v>
      </c>
      <c r="AF242" s="174">
        <f t="shared" si="58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9"/>
        <v>0</v>
      </c>
      <c r="D243" s="161">
        <f t="shared" si="59"/>
        <v>0</v>
      </c>
      <c r="E243" s="161">
        <f t="shared" si="59"/>
        <v>0</v>
      </c>
      <c r="F243" s="161">
        <f t="shared" si="59"/>
        <v>0</v>
      </c>
      <c r="G243" s="161">
        <f t="shared" si="59"/>
        <v>0</v>
      </c>
      <c r="H243" s="161">
        <f t="shared" si="59"/>
        <v>0</v>
      </c>
      <c r="I243" s="161">
        <f t="shared" si="59"/>
        <v>0</v>
      </c>
      <c r="J243" s="161">
        <f t="shared" si="59"/>
        <v>0</v>
      </c>
      <c r="K243" s="161">
        <f t="shared" si="59"/>
        <v>0</v>
      </c>
      <c r="L243" s="161">
        <f t="shared" si="59"/>
        <v>0</v>
      </c>
      <c r="M243" s="161">
        <f t="shared" si="59"/>
        <v>0</v>
      </c>
      <c r="N243" s="161">
        <f t="shared" si="59"/>
        <v>0</v>
      </c>
      <c r="O243" s="161">
        <f t="shared" si="59"/>
        <v>0</v>
      </c>
      <c r="P243" s="161">
        <f t="shared" si="59"/>
        <v>0</v>
      </c>
      <c r="Q243" s="161">
        <f t="shared" si="59"/>
        <v>0</v>
      </c>
      <c r="R243" s="161">
        <f t="shared" si="59"/>
        <v>0</v>
      </c>
      <c r="S243" s="161">
        <f t="shared" si="58"/>
        <v>0</v>
      </c>
      <c r="T243" s="161">
        <f t="shared" si="58"/>
        <v>0</v>
      </c>
      <c r="U243" s="161">
        <f t="shared" si="58"/>
        <v>0</v>
      </c>
      <c r="V243" s="161">
        <f t="shared" si="58"/>
        <v>0</v>
      </c>
      <c r="W243" s="161">
        <f t="shared" si="58"/>
        <v>0</v>
      </c>
      <c r="X243" s="161">
        <f t="shared" si="58"/>
        <v>0</v>
      </c>
      <c r="Y243" s="161">
        <f t="shared" si="58"/>
        <v>0</v>
      </c>
      <c r="Z243" s="161">
        <f t="shared" si="58"/>
        <v>0</v>
      </c>
      <c r="AA243" s="161">
        <f t="shared" si="58"/>
        <v>0</v>
      </c>
      <c r="AB243" s="161">
        <f t="shared" si="58"/>
        <v>0</v>
      </c>
      <c r="AC243" s="161">
        <f t="shared" si="58"/>
        <v>0</v>
      </c>
      <c r="AD243" s="161">
        <f t="shared" si="58"/>
        <v>0</v>
      </c>
      <c r="AE243" s="161">
        <f t="shared" si="58"/>
        <v>0</v>
      </c>
      <c r="AF243" s="174">
        <f t="shared" si="58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9"/>
        <v>0</v>
      </c>
      <c r="D244" s="161">
        <f t="shared" si="59"/>
        <v>0</v>
      </c>
      <c r="E244" s="161">
        <f t="shared" si="59"/>
        <v>0</v>
      </c>
      <c r="F244" s="161">
        <f t="shared" si="59"/>
        <v>0</v>
      </c>
      <c r="G244" s="161">
        <f t="shared" si="59"/>
        <v>0</v>
      </c>
      <c r="H244" s="161">
        <f t="shared" si="59"/>
        <v>0</v>
      </c>
      <c r="I244" s="161">
        <f t="shared" si="59"/>
        <v>0</v>
      </c>
      <c r="J244" s="161">
        <f t="shared" si="59"/>
        <v>0</v>
      </c>
      <c r="K244" s="161">
        <f t="shared" si="59"/>
        <v>0</v>
      </c>
      <c r="L244" s="161">
        <f t="shared" si="59"/>
        <v>0</v>
      </c>
      <c r="M244" s="161">
        <f t="shared" si="59"/>
        <v>0</v>
      </c>
      <c r="N244" s="161">
        <f t="shared" si="59"/>
        <v>0</v>
      </c>
      <c r="O244" s="161">
        <f t="shared" si="59"/>
        <v>0</v>
      </c>
      <c r="P244" s="161">
        <f t="shared" si="59"/>
        <v>0</v>
      </c>
      <c r="Q244" s="161">
        <f t="shared" si="59"/>
        <v>0</v>
      </c>
      <c r="R244" s="161">
        <f t="shared" si="59"/>
        <v>0</v>
      </c>
      <c r="S244" s="161">
        <f t="shared" si="58"/>
        <v>0</v>
      </c>
      <c r="T244" s="161">
        <f t="shared" si="58"/>
        <v>0</v>
      </c>
      <c r="U244" s="161">
        <f t="shared" si="58"/>
        <v>0</v>
      </c>
      <c r="V244" s="161">
        <f t="shared" si="58"/>
        <v>0</v>
      </c>
      <c r="W244" s="161">
        <f t="shared" si="58"/>
        <v>0</v>
      </c>
      <c r="X244" s="161">
        <f t="shared" si="58"/>
        <v>0</v>
      </c>
      <c r="Y244" s="161">
        <f t="shared" si="58"/>
        <v>0</v>
      </c>
      <c r="Z244" s="161">
        <f t="shared" si="58"/>
        <v>0</v>
      </c>
      <c r="AA244" s="161">
        <f t="shared" si="58"/>
        <v>0</v>
      </c>
      <c r="AB244" s="161">
        <f t="shared" si="58"/>
        <v>0</v>
      </c>
      <c r="AC244" s="161">
        <f t="shared" si="58"/>
        <v>0</v>
      </c>
      <c r="AD244" s="161">
        <f t="shared" si="58"/>
        <v>0</v>
      </c>
      <c r="AE244" s="161">
        <f t="shared" si="58"/>
        <v>0</v>
      </c>
      <c r="AF244" s="174">
        <f t="shared" si="58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9"/>
        <v>0</v>
      </c>
      <c r="D245" s="161">
        <f t="shared" si="59"/>
        <v>0</v>
      </c>
      <c r="E245" s="161">
        <f t="shared" si="59"/>
        <v>0</v>
      </c>
      <c r="F245" s="161">
        <f t="shared" si="59"/>
        <v>0</v>
      </c>
      <c r="G245" s="161">
        <f t="shared" si="59"/>
        <v>0</v>
      </c>
      <c r="H245" s="161">
        <f t="shared" si="59"/>
        <v>0</v>
      </c>
      <c r="I245" s="161">
        <f t="shared" si="59"/>
        <v>0</v>
      </c>
      <c r="J245" s="161">
        <f t="shared" si="59"/>
        <v>0</v>
      </c>
      <c r="K245" s="161">
        <f t="shared" si="59"/>
        <v>0</v>
      </c>
      <c r="L245" s="161">
        <f t="shared" si="59"/>
        <v>0</v>
      </c>
      <c r="M245" s="161">
        <f t="shared" si="59"/>
        <v>0</v>
      </c>
      <c r="N245" s="161">
        <f t="shared" si="59"/>
        <v>0</v>
      </c>
      <c r="O245" s="161">
        <f t="shared" si="59"/>
        <v>0</v>
      </c>
      <c r="P245" s="161">
        <f t="shared" si="59"/>
        <v>0</v>
      </c>
      <c r="Q245" s="161">
        <f t="shared" si="59"/>
        <v>0</v>
      </c>
      <c r="R245" s="161">
        <f t="shared" si="59"/>
        <v>0</v>
      </c>
      <c r="S245" s="161">
        <f t="shared" si="58"/>
        <v>0</v>
      </c>
      <c r="T245" s="161">
        <f t="shared" si="58"/>
        <v>0</v>
      </c>
      <c r="U245" s="161">
        <f t="shared" si="58"/>
        <v>0</v>
      </c>
      <c r="V245" s="161">
        <f t="shared" si="58"/>
        <v>0</v>
      </c>
      <c r="W245" s="161">
        <f t="shared" si="58"/>
        <v>0</v>
      </c>
      <c r="X245" s="161">
        <f t="shared" si="58"/>
        <v>0</v>
      </c>
      <c r="Y245" s="161">
        <f t="shared" si="58"/>
        <v>0</v>
      </c>
      <c r="Z245" s="161">
        <f t="shared" si="58"/>
        <v>0</v>
      </c>
      <c r="AA245" s="161">
        <f t="shared" si="58"/>
        <v>0</v>
      </c>
      <c r="AB245" s="161">
        <f t="shared" si="58"/>
        <v>0</v>
      </c>
      <c r="AC245" s="161">
        <f t="shared" si="58"/>
        <v>0</v>
      </c>
      <c r="AD245" s="161">
        <f t="shared" si="58"/>
        <v>0</v>
      </c>
      <c r="AE245" s="161">
        <f t="shared" si="58"/>
        <v>0</v>
      </c>
      <c r="AF245" s="174">
        <f t="shared" si="58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9"/>
        <v>0</v>
      </c>
      <c r="D246" s="161">
        <f t="shared" si="59"/>
        <v>0</v>
      </c>
      <c r="E246" s="161">
        <f t="shared" si="59"/>
        <v>0</v>
      </c>
      <c r="F246" s="161">
        <f t="shared" si="59"/>
        <v>0</v>
      </c>
      <c r="G246" s="161">
        <f t="shared" si="59"/>
        <v>0</v>
      </c>
      <c r="H246" s="161">
        <f t="shared" si="59"/>
        <v>0</v>
      </c>
      <c r="I246" s="161">
        <f t="shared" si="59"/>
        <v>0</v>
      </c>
      <c r="J246" s="161">
        <f t="shared" si="59"/>
        <v>0</v>
      </c>
      <c r="K246" s="161">
        <f t="shared" si="59"/>
        <v>0</v>
      </c>
      <c r="L246" s="161">
        <f t="shared" si="59"/>
        <v>0</v>
      </c>
      <c r="M246" s="161">
        <f t="shared" si="59"/>
        <v>0</v>
      </c>
      <c r="N246" s="161">
        <f t="shared" si="59"/>
        <v>0</v>
      </c>
      <c r="O246" s="161">
        <f t="shared" si="59"/>
        <v>0</v>
      </c>
      <c r="P246" s="161">
        <f t="shared" si="59"/>
        <v>0</v>
      </c>
      <c r="Q246" s="161">
        <f t="shared" si="59"/>
        <v>0</v>
      </c>
      <c r="R246" s="161">
        <f t="shared" si="59"/>
        <v>0</v>
      </c>
      <c r="S246" s="161">
        <f t="shared" si="58"/>
        <v>0</v>
      </c>
      <c r="T246" s="161">
        <f t="shared" si="58"/>
        <v>0</v>
      </c>
      <c r="U246" s="161">
        <f t="shared" si="58"/>
        <v>0</v>
      </c>
      <c r="V246" s="161">
        <f t="shared" si="58"/>
        <v>0</v>
      </c>
      <c r="W246" s="161">
        <f t="shared" si="58"/>
        <v>0</v>
      </c>
      <c r="X246" s="161">
        <f t="shared" si="58"/>
        <v>0</v>
      </c>
      <c r="Y246" s="161">
        <f t="shared" si="58"/>
        <v>0</v>
      </c>
      <c r="Z246" s="161">
        <f t="shared" si="58"/>
        <v>0</v>
      </c>
      <c r="AA246" s="161">
        <f t="shared" si="58"/>
        <v>0</v>
      </c>
      <c r="AB246" s="161">
        <f t="shared" si="58"/>
        <v>0</v>
      </c>
      <c r="AC246" s="161">
        <f t="shared" si="58"/>
        <v>0</v>
      </c>
      <c r="AD246" s="161">
        <f t="shared" si="58"/>
        <v>0</v>
      </c>
      <c r="AE246" s="161">
        <f t="shared" si="58"/>
        <v>0</v>
      </c>
      <c r="AF246" s="174">
        <f t="shared" si="58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9"/>
        <v>0</v>
      </c>
      <c r="D247" s="161">
        <f t="shared" si="59"/>
        <v>0</v>
      </c>
      <c r="E247" s="161">
        <f t="shared" si="59"/>
        <v>0</v>
      </c>
      <c r="F247" s="161">
        <f t="shared" si="59"/>
        <v>0</v>
      </c>
      <c r="G247" s="161">
        <f t="shared" si="59"/>
        <v>0</v>
      </c>
      <c r="H247" s="161">
        <f t="shared" si="59"/>
        <v>0</v>
      </c>
      <c r="I247" s="161">
        <f t="shared" si="59"/>
        <v>0</v>
      </c>
      <c r="J247" s="161">
        <f t="shared" si="59"/>
        <v>0</v>
      </c>
      <c r="K247" s="161">
        <f t="shared" si="59"/>
        <v>0</v>
      </c>
      <c r="L247" s="161">
        <f t="shared" si="59"/>
        <v>0</v>
      </c>
      <c r="M247" s="161">
        <f t="shared" si="59"/>
        <v>0</v>
      </c>
      <c r="N247" s="161">
        <f t="shared" si="59"/>
        <v>0</v>
      </c>
      <c r="O247" s="161">
        <f t="shared" si="59"/>
        <v>0</v>
      </c>
      <c r="P247" s="161">
        <f t="shared" si="59"/>
        <v>0</v>
      </c>
      <c r="Q247" s="161">
        <f t="shared" si="59"/>
        <v>0</v>
      </c>
      <c r="R247" s="161">
        <f t="shared" si="59"/>
        <v>0</v>
      </c>
      <c r="S247" s="161">
        <f t="shared" si="58"/>
        <v>0</v>
      </c>
      <c r="T247" s="161">
        <f t="shared" si="58"/>
        <v>0</v>
      </c>
      <c r="U247" s="161">
        <f t="shared" si="58"/>
        <v>0</v>
      </c>
      <c r="V247" s="161">
        <f t="shared" si="58"/>
        <v>0</v>
      </c>
      <c r="W247" s="161">
        <f t="shared" si="58"/>
        <v>0</v>
      </c>
      <c r="X247" s="161">
        <f t="shared" si="58"/>
        <v>0</v>
      </c>
      <c r="Y247" s="161">
        <f t="shared" si="58"/>
        <v>0</v>
      </c>
      <c r="Z247" s="161">
        <f t="shared" si="58"/>
        <v>0</v>
      </c>
      <c r="AA247" s="161">
        <f t="shared" si="58"/>
        <v>0</v>
      </c>
      <c r="AB247" s="161">
        <f t="shared" si="58"/>
        <v>0</v>
      </c>
      <c r="AC247" s="161">
        <f t="shared" si="58"/>
        <v>0</v>
      </c>
      <c r="AD247" s="161">
        <f t="shared" si="58"/>
        <v>0</v>
      </c>
      <c r="AE247" s="161">
        <f t="shared" si="58"/>
        <v>0</v>
      </c>
      <c r="AF247" s="174">
        <f t="shared" si="58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9"/>
        <v>0</v>
      </c>
      <c r="D248" s="161">
        <f t="shared" si="59"/>
        <v>0</v>
      </c>
      <c r="E248" s="161">
        <f t="shared" si="59"/>
        <v>0</v>
      </c>
      <c r="F248" s="161">
        <f t="shared" si="59"/>
        <v>0</v>
      </c>
      <c r="G248" s="161">
        <f t="shared" si="59"/>
        <v>0</v>
      </c>
      <c r="H248" s="161">
        <f t="shared" si="59"/>
        <v>0</v>
      </c>
      <c r="I248" s="161">
        <f t="shared" si="59"/>
        <v>0</v>
      </c>
      <c r="J248" s="161">
        <f t="shared" si="59"/>
        <v>0</v>
      </c>
      <c r="K248" s="161">
        <f t="shared" si="59"/>
        <v>0</v>
      </c>
      <c r="L248" s="161">
        <f t="shared" si="59"/>
        <v>0</v>
      </c>
      <c r="M248" s="161">
        <f t="shared" si="59"/>
        <v>0</v>
      </c>
      <c r="N248" s="161">
        <f t="shared" si="59"/>
        <v>0</v>
      </c>
      <c r="O248" s="161">
        <f t="shared" si="59"/>
        <v>0</v>
      </c>
      <c r="P248" s="161">
        <f t="shared" si="59"/>
        <v>0</v>
      </c>
      <c r="Q248" s="161">
        <f t="shared" si="59"/>
        <v>0</v>
      </c>
      <c r="R248" s="161">
        <f t="shared" ref="R248:AF263" si="60">Q248</f>
        <v>0</v>
      </c>
      <c r="S248" s="161">
        <f t="shared" si="60"/>
        <v>0</v>
      </c>
      <c r="T248" s="161">
        <f t="shared" si="60"/>
        <v>0</v>
      </c>
      <c r="U248" s="161">
        <f t="shared" si="60"/>
        <v>0</v>
      </c>
      <c r="V248" s="161">
        <f t="shared" si="60"/>
        <v>0</v>
      </c>
      <c r="W248" s="161">
        <f t="shared" si="60"/>
        <v>0</v>
      </c>
      <c r="X248" s="161">
        <f t="shared" si="60"/>
        <v>0</v>
      </c>
      <c r="Y248" s="161">
        <f t="shared" si="60"/>
        <v>0</v>
      </c>
      <c r="Z248" s="161">
        <f t="shared" si="60"/>
        <v>0</v>
      </c>
      <c r="AA248" s="161">
        <f t="shared" si="60"/>
        <v>0</v>
      </c>
      <c r="AB248" s="161">
        <f t="shared" si="60"/>
        <v>0</v>
      </c>
      <c r="AC248" s="161">
        <f t="shared" si="60"/>
        <v>0</v>
      </c>
      <c r="AD248" s="161">
        <f t="shared" si="60"/>
        <v>0</v>
      </c>
      <c r="AE248" s="161">
        <f t="shared" si="60"/>
        <v>0</v>
      </c>
      <c r="AF248" s="174">
        <f t="shared" si="60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61">B249</f>
        <v>0</v>
      </c>
      <c r="D249" s="161">
        <f t="shared" si="61"/>
        <v>0</v>
      </c>
      <c r="E249" s="161">
        <f t="shared" si="61"/>
        <v>0</v>
      </c>
      <c r="F249" s="161">
        <f t="shared" si="61"/>
        <v>0</v>
      </c>
      <c r="G249" s="161">
        <f t="shared" si="61"/>
        <v>0</v>
      </c>
      <c r="H249" s="161">
        <f t="shared" si="61"/>
        <v>0</v>
      </c>
      <c r="I249" s="161">
        <f t="shared" si="61"/>
        <v>0</v>
      </c>
      <c r="J249" s="161">
        <f t="shared" si="61"/>
        <v>0</v>
      </c>
      <c r="K249" s="161">
        <f t="shared" si="61"/>
        <v>0</v>
      </c>
      <c r="L249" s="161">
        <f t="shared" si="61"/>
        <v>0</v>
      </c>
      <c r="M249" s="161">
        <f t="shared" si="61"/>
        <v>0</v>
      </c>
      <c r="N249" s="161">
        <f t="shared" si="61"/>
        <v>0</v>
      </c>
      <c r="O249" s="161">
        <f t="shared" si="61"/>
        <v>0</v>
      </c>
      <c r="P249" s="161">
        <f t="shared" si="61"/>
        <v>0</v>
      </c>
      <c r="Q249" s="161">
        <f t="shared" si="61"/>
        <v>0</v>
      </c>
      <c r="R249" s="161">
        <f t="shared" si="60"/>
        <v>0</v>
      </c>
      <c r="S249" s="161">
        <f t="shared" si="60"/>
        <v>0</v>
      </c>
      <c r="T249" s="161">
        <f t="shared" si="60"/>
        <v>0</v>
      </c>
      <c r="U249" s="161">
        <f t="shared" si="60"/>
        <v>0</v>
      </c>
      <c r="V249" s="161">
        <f t="shared" si="60"/>
        <v>0</v>
      </c>
      <c r="W249" s="161">
        <f t="shared" si="60"/>
        <v>0</v>
      </c>
      <c r="X249" s="161">
        <f t="shared" si="60"/>
        <v>0</v>
      </c>
      <c r="Y249" s="161">
        <f t="shared" si="60"/>
        <v>0</v>
      </c>
      <c r="Z249" s="161">
        <f t="shared" si="60"/>
        <v>0</v>
      </c>
      <c r="AA249" s="161">
        <f t="shared" si="60"/>
        <v>0</v>
      </c>
      <c r="AB249" s="161">
        <f t="shared" si="60"/>
        <v>0</v>
      </c>
      <c r="AC249" s="161">
        <f t="shared" si="60"/>
        <v>0</v>
      </c>
      <c r="AD249" s="161">
        <f t="shared" si="60"/>
        <v>0</v>
      </c>
      <c r="AE249" s="161">
        <f t="shared" si="60"/>
        <v>0</v>
      </c>
      <c r="AF249" s="174">
        <f t="shared" si="60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61"/>
        <v>0</v>
      </c>
      <c r="D250" s="161">
        <f t="shared" si="61"/>
        <v>0</v>
      </c>
      <c r="E250" s="161">
        <f t="shared" si="61"/>
        <v>0</v>
      </c>
      <c r="F250" s="161">
        <f t="shared" si="61"/>
        <v>0</v>
      </c>
      <c r="G250" s="161">
        <f t="shared" si="61"/>
        <v>0</v>
      </c>
      <c r="H250" s="161">
        <f t="shared" si="61"/>
        <v>0</v>
      </c>
      <c r="I250" s="161">
        <f t="shared" si="61"/>
        <v>0</v>
      </c>
      <c r="J250" s="161">
        <f t="shared" si="61"/>
        <v>0</v>
      </c>
      <c r="K250" s="161">
        <f t="shared" si="61"/>
        <v>0</v>
      </c>
      <c r="L250" s="161">
        <f t="shared" si="61"/>
        <v>0</v>
      </c>
      <c r="M250" s="161">
        <f t="shared" si="61"/>
        <v>0</v>
      </c>
      <c r="N250" s="161">
        <f t="shared" si="61"/>
        <v>0</v>
      </c>
      <c r="O250" s="161">
        <f t="shared" si="61"/>
        <v>0</v>
      </c>
      <c r="P250" s="161">
        <f t="shared" si="61"/>
        <v>0</v>
      </c>
      <c r="Q250" s="161">
        <f t="shared" si="61"/>
        <v>0</v>
      </c>
      <c r="R250" s="161">
        <f t="shared" si="61"/>
        <v>0</v>
      </c>
      <c r="S250" s="161">
        <f t="shared" si="60"/>
        <v>0</v>
      </c>
      <c r="T250" s="161">
        <f t="shared" si="60"/>
        <v>0</v>
      </c>
      <c r="U250" s="161">
        <f t="shared" si="60"/>
        <v>0</v>
      </c>
      <c r="V250" s="161">
        <f t="shared" si="60"/>
        <v>0</v>
      </c>
      <c r="W250" s="161">
        <f t="shared" si="60"/>
        <v>0</v>
      </c>
      <c r="X250" s="161">
        <f t="shared" si="60"/>
        <v>0</v>
      </c>
      <c r="Y250" s="161">
        <f t="shared" si="60"/>
        <v>0</v>
      </c>
      <c r="Z250" s="161">
        <f t="shared" si="60"/>
        <v>0</v>
      </c>
      <c r="AA250" s="161">
        <f t="shared" si="60"/>
        <v>0</v>
      </c>
      <c r="AB250" s="161">
        <f t="shared" si="60"/>
        <v>0</v>
      </c>
      <c r="AC250" s="161">
        <f t="shared" si="60"/>
        <v>0</v>
      </c>
      <c r="AD250" s="161">
        <f t="shared" si="60"/>
        <v>0</v>
      </c>
      <c r="AE250" s="161">
        <f t="shared" si="60"/>
        <v>0</v>
      </c>
      <c r="AF250" s="174">
        <f t="shared" si="60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61"/>
        <v>0</v>
      </c>
      <c r="D251" s="161">
        <f t="shared" si="61"/>
        <v>0</v>
      </c>
      <c r="E251" s="161">
        <f t="shared" si="61"/>
        <v>0</v>
      </c>
      <c r="F251" s="161">
        <f t="shared" si="61"/>
        <v>0</v>
      </c>
      <c r="G251" s="161">
        <f t="shared" si="61"/>
        <v>0</v>
      </c>
      <c r="H251" s="161">
        <f t="shared" si="61"/>
        <v>0</v>
      </c>
      <c r="I251" s="161">
        <f t="shared" si="61"/>
        <v>0</v>
      </c>
      <c r="J251" s="161">
        <f t="shared" si="61"/>
        <v>0</v>
      </c>
      <c r="K251" s="161">
        <f t="shared" si="61"/>
        <v>0</v>
      </c>
      <c r="L251" s="161">
        <f t="shared" si="61"/>
        <v>0</v>
      </c>
      <c r="M251" s="161">
        <f t="shared" si="61"/>
        <v>0</v>
      </c>
      <c r="N251" s="161">
        <f t="shared" si="61"/>
        <v>0</v>
      </c>
      <c r="O251" s="161">
        <f t="shared" si="61"/>
        <v>0</v>
      </c>
      <c r="P251" s="161">
        <f t="shared" si="61"/>
        <v>0</v>
      </c>
      <c r="Q251" s="161">
        <f t="shared" si="61"/>
        <v>0</v>
      </c>
      <c r="R251" s="161">
        <f t="shared" si="61"/>
        <v>0</v>
      </c>
      <c r="S251" s="161">
        <f t="shared" si="60"/>
        <v>0</v>
      </c>
      <c r="T251" s="161">
        <f t="shared" si="60"/>
        <v>0</v>
      </c>
      <c r="U251" s="161">
        <f t="shared" si="60"/>
        <v>0</v>
      </c>
      <c r="V251" s="161">
        <f t="shared" si="60"/>
        <v>0</v>
      </c>
      <c r="W251" s="161">
        <f t="shared" si="60"/>
        <v>0</v>
      </c>
      <c r="X251" s="161">
        <f t="shared" si="60"/>
        <v>0</v>
      </c>
      <c r="Y251" s="161">
        <f t="shared" si="60"/>
        <v>0</v>
      </c>
      <c r="Z251" s="161">
        <f t="shared" si="60"/>
        <v>0</v>
      </c>
      <c r="AA251" s="161">
        <f t="shared" si="60"/>
        <v>0</v>
      </c>
      <c r="AB251" s="161">
        <f t="shared" si="60"/>
        <v>0</v>
      </c>
      <c r="AC251" s="161">
        <f t="shared" si="60"/>
        <v>0</v>
      </c>
      <c r="AD251" s="161">
        <f t="shared" si="60"/>
        <v>0</v>
      </c>
      <c r="AE251" s="161">
        <f t="shared" si="60"/>
        <v>0</v>
      </c>
      <c r="AF251" s="174">
        <f t="shared" si="60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61"/>
        <v>0</v>
      </c>
      <c r="D252" s="161">
        <f t="shared" si="61"/>
        <v>0</v>
      </c>
      <c r="E252" s="161">
        <f t="shared" si="61"/>
        <v>0</v>
      </c>
      <c r="F252" s="161">
        <f t="shared" si="61"/>
        <v>0</v>
      </c>
      <c r="G252" s="161">
        <f t="shared" si="61"/>
        <v>0</v>
      </c>
      <c r="H252" s="161">
        <f t="shared" si="61"/>
        <v>0</v>
      </c>
      <c r="I252" s="161">
        <f t="shared" si="61"/>
        <v>0</v>
      </c>
      <c r="J252" s="161">
        <f t="shared" si="61"/>
        <v>0</v>
      </c>
      <c r="K252" s="161">
        <f t="shared" si="61"/>
        <v>0</v>
      </c>
      <c r="L252" s="161">
        <f t="shared" si="61"/>
        <v>0</v>
      </c>
      <c r="M252" s="161">
        <f t="shared" si="61"/>
        <v>0</v>
      </c>
      <c r="N252" s="161">
        <f t="shared" si="61"/>
        <v>0</v>
      </c>
      <c r="O252" s="161">
        <f t="shared" si="61"/>
        <v>0</v>
      </c>
      <c r="P252" s="161">
        <f t="shared" si="61"/>
        <v>0</v>
      </c>
      <c r="Q252" s="161">
        <f t="shared" si="61"/>
        <v>0</v>
      </c>
      <c r="R252" s="161">
        <f t="shared" si="61"/>
        <v>0</v>
      </c>
      <c r="S252" s="161">
        <f t="shared" si="60"/>
        <v>0</v>
      </c>
      <c r="T252" s="161">
        <f t="shared" si="60"/>
        <v>0</v>
      </c>
      <c r="U252" s="161">
        <f t="shared" si="60"/>
        <v>0</v>
      </c>
      <c r="V252" s="161">
        <f t="shared" si="60"/>
        <v>0</v>
      </c>
      <c r="W252" s="161">
        <f t="shared" si="60"/>
        <v>0</v>
      </c>
      <c r="X252" s="161">
        <f t="shared" si="60"/>
        <v>0</v>
      </c>
      <c r="Y252" s="161">
        <f t="shared" si="60"/>
        <v>0</v>
      </c>
      <c r="Z252" s="161">
        <f t="shared" si="60"/>
        <v>0</v>
      </c>
      <c r="AA252" s="161">
        <f t="shared" si="60"/>
        <v>0</v>
      </c>
      <c r="AB252" s="161">
        <f t="shared" si="60"/>
        <v>0</v>
      </c>
      <c r="AC252" s="161">
        <f t="shared" si="60"/>
        <v>0</v>
      </c>
      <c r="AD252" s="161">
        <f t="shared" si="60"/>
        <v>0</v>
      </c>
      <c r="AE252" s="161">
        <f t="shared" si="60"/>
        <v>0</v>
      </c>
      <c r="AF252" s="174">
        <f t="shared" si="60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61"/>
        <v>0</v>
      </c>
      <c r="D253" s="161">
        <f t="shared" si="61"/>
        <v>0</v>
      </c>
      <c r="E253" s="161">
        <f t="shared" si="61"/>
        <v>0</v>
      </c>
      <c r="F253" s="161">
        <f t="shared" si="61"/>
        <v>0</v>
      </c>
      <c r="G253" s="161">
        <f t="shared" si="61"/>
        <v>0</v>
      </c>
      <c r="H253" s="161">
        <f t="shared" si="61"/>
        <v>0</v>
      </c>
      <c r="I253" s="161">
        <f t="shared" si="61"/>
        <v>0</v>
      </c>
      <c r="J253" s="161">
        <f t="shared" si="61"/>
        <v>0</v>
      </c>
      <c r="K253" s="161">
        <f t="shared" si="61"/>
        <v>0</v>
      </c>
      <c r="L253" s="161">
        <f t="shared" si="61"/>
        <v>0</v>
      </c>
      <c r="M253" s="161">
        <f t="shared" si="61"/>
        <v>0</v>
      </c>
      <c r="N253" s="161">
        <f t="shared" si="61"/>
        <v>0</v>
      </c>
      <c r="O253" s="161">
        <f t="shared" si="61"/>
        <v>0</v>
      </c>
      <c r="P253" s="161">
        <f t="shared" si="61"/>
        <v>0</v>
      </c>
      <c r="Q253" s="161">
        <f t="shared" si="61"/>
        <v>0</v>
      </c>
      <c r="R253" s="161">
        <f t="shared" si="61"/>
        <v>0</v>
      </c>
      <c r="S253" s="161">
        <f t="shared" si="60"/>
        <v>0</v>
      </c>
      <c r="T253" s="161">
        <f t="shared" si="60"/>
        <v>0</v>
      </c>
      <c r="U253" s="161">
        <f t="shared" si="60"/>
        <v>0</v>
      </c>
      <c r="V253" s="161">
        <f t="shared" si="60"/>
        <v>0</v>
      </c>
      <c r="W253" s="161">
        <f t="shared" si="60"/>
        <v>0</v>
      </c>
      <c r="X253" s="161">
        <f t="shared" si="60"/>
        <v>0</v>
      </c>
      <c r="Y253" s="161">
        <f t="shared" si="60"/>
        <v>0</v>
      </c>
      <c r="Z253" s="161">
        <f t="shared" si="60"/>
        <v>0</v>
      </c>
      <c r="AA253" s="161">
        <f t="shared" si="60"/>
        <v>0</v>
      </c>
      <c r="AB253" s="161">
        <f t="shared" si="60"/>
        <v>0</v>
      </c>
      <c r="AC253" s="161">
        <f t="shared" si="60"/>
        <v>0</v>
      </c>
      <c r="AD253" s="161">
        <f t="shared" si="60"/>
        <v>0</v>
      </c>
      <c r="AE253" s="161">
        <f t="shared" si="60"/>
        <v>0</v>
      </c>
      <c r="AF253" s="174">
        <f t="shared" si="60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61"/>
        <v>0</v>
      </c>
      <c r="D254" s="161">
        <f t="shared" si="61"/>
        <v>0</v>
      </c>
      <c r="E254" s="161">
        <f t="shared" si="61"/>
        <v>0</v>
      </c>
      <c r="F254" s="161">
        <f t="shared" si="61"/>
        <v>0</v>
      </c>
      <c r="G254" s="161">
        <f t="shared" si="61"/>
        <v>0</v>
      </c>
      <c r="H254" s="161">
        <f t="shared" si="61"/>
        <v>0</v>
      </c>
      <c r="I254" s="161">
        <f t="shared" si="61"/>
        <v>0</v>
      </c>
      <c r="J254" s="161">
        <f t="shared" si="61"/>
        <v>0</v>
      </c>
      <c r="K254" s="161">
        <f t="shared" si="61"/>
        <v>0</v>
      </c>
      <c r="L254" s="161">
        <f t="shared" si="61"/>
        <v>0</v>
      </c>
      <c r="M254" s="161">
        <f t="shared" si="61"/>
        <v>0</v>
      </c>
      <c r="N254" s="161">
        <f t="shared" si="61"/>
        <v>0</v>
      </c>
      <c r="O254" s="161">
        <f t="shared" si="61"/>
        <v>0</v>
      </c>
      <c r="P254" s="161">
        <f t="shared" si="61"/>
        <v>0</v>
      </c>
      <c r="Q254" s="161">
        <f t="shared" si="61"/>
        <v>0</v>
      </c>
      <c r="R254" s="161">
        <f t="shared" si="61"/>
        <v>0</v>
      </c>
      <c r="S254" s="161">
        <f t="shared" si="60"/>
        <v>0</v>
      </c>
      <c r="T254" s="161">
        <f t="shared" si="60"/>
        <v>0</v>
      </c>
      <c r="U254" s="161">
        <f t="shared" si="60"/>
        <v>0</v>
      </c>
      <c r="V254" s="161">
        <f t="shared" si="60"/>
        <v>0</v>
      </c>
      <c r="W254" s="161">
        <f t="shared" si="60"/>
        <v>0</v>
      </c>
      <c r="X254" s="161">
        <f t="shared" si="60"/>
        <v>0</v>
      </c>
      <c r="Y254" s="161">
        <f t="shared" si="60"/>
        <v>0</v>
      </c>
      <c r="Z254" s="161">
        <f t="shared" si="60"/>
        <v>0</v>
      </c>
      <c r="AA254" s="161">
        <f t="shared" si="60"/>
        <v>0</v>
      </c>
      <c r="AB254" s="161">
        <f t="shared" si="60"/>
        <v>0</v>
      </c>
      <c r="AC254" s="161">
        <f t="shared" si="60"/>
        <v>0</v>
      </c>
      <c r="AD254" s="161">
        <f t="shared" si="60"/>
        <v>0</v>
      </c>
      <c r="AE254" s="161">
        <f t="shared" si="60"/>
        <v>0</v>
      </c>
      <c r="AF254" s="174">
        <f t="shared" si="60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61"/>
        <v>0</v>
      </c>
      <c r="D255" s="161">
        <f t="shared" si="61"/>
        <v>0</v>
      </c>
      <c r="E255" s="161">
        <f t="shared" si="61"/>
        <v>0</v>
      </c>
      <c r="F255" s="161">
        <f t="shared" si="61"/>
        <v>0</v>
      </c>
      <c r="G255" s="161">
        <f t="shared" si="61"/>
        <v>0</v>
      </c>
      <c r="H255" s="161">
        <f t="shared" si="61"/>
        <v>0</v>
      </c>
      <c r="I255" s="161">
        <f t="shared" si="61"/>
        <v>0</v>
      </c>
      <c r="J255" s="161">
        <f t="shared" si="61"/>
        <v>0</v>
      </c>
      <c r="K255" s="161">
        <f t="shared" si="61"/>
        <v>0</v>
      </c>
      <c r="L255" s="161">
        <f t="shared" si="61"/>
        <v>0</v>
      </c>
      <c r="M255" s="161">
        <f t="shared" si="61"/>
        <v>0</v>
      </c>
      <c r="N255" s="161">
        <f t="shared" si="61"/>
        <v>0</v>
      </c>
      <c r="O255" s="161">
        <f t="shared" si="61"/>
        <v>0</v>
      </c>
      <c r="P255" s="161">
        <f t="shared" si="61"/>
        <v>0</v>
      </c>
      <c r="Q255" s="161">
        <f t="shared" si="61"/>
        <v>0</v>
      </c>
      <c r="R255" s="161">
        <f t="shared" si="61"/>
        <v>0</v>
      </c>
      <c r="S255" s="161">
        <f t="shared" si="60"/>
        <v>0</v>
      </c>
      <c r="T255" s="161">
        <f t="shared" si="60"/>
        <v>0</v>
      </c>
      <c r="U255" s="161">
        <f t="shared" si="60"/>
        <v>0</v>
      </c>
      <c r="V255" s="161">
        <f t="shared" si="60"/>
        <v>0</v>
      </c>
      <c r="W255" s="161">
        <f t="shared" si="60"/>
        <v>0</v>
      </c>
      <c r="X255" s="161">
        <f t="shared" si="60"/>
        <v>0</v>
      </c>
      <c r="Y255" s="161">
        <f t="shared" si="60"/>
        <v>0</v>
      </c>
      <c r="Z255" s="161">
        <f t="shared" si="60"/>
        <v>0</v>
      </c>
      <c r="AA255" s="161">
        <f t="shared" si="60"/>
        <v>0</v>
      </c>
      <c r="AB255" s="161">
        <f t="shared" si="60"/>
        <v>0</v>
      </c>
      <c r="AC255" s="161">
        <f t="shared" si="60"/>
        <v>0</v>
      </c>
      <c r="AD255" s="161">
        <f t="shared" si="60"/>
        <v>0</v>
      </c>
      <c r="AE255" s="161">
        <f t="shared" si="60"/>
        <v>0</v>
      </c>
      <c r="AF255" s="174">
        <f t="shared" si="60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61"/>
        <v>0</v>
      </c>
      <c r="D256" s="161">
        <f t="shared" si="61"/>
        <v>0</v>
      </c>
      <c r="E256" s="161">
        <f t="shared" si="61"/>
        <v>0</v>
      </c>
      <c r="F256" s="161">
        <f t="shared" si="61"/>
        <v>0</v>
      </c>
      <c r="G256" s="161">
        <f t="shared" si="61"/>
        <v>0</v>
      </c>
      <c r="H256" s="161">
        <f t="shared" si="61"/>
        <v>0</v>
      </c>
      <c r="I256" s="161">
        <f t="shared" si="61"/>
        <v>0</v>
      </c>
      <c r="J256" s="161">
        <f t="shared" si="61"/>
        <v>0</v>
      </c>
      <c r="K256" s="161">
        <f t="shared" si="61"/>
        <v>0</v>
      </c>
      <c r="L256" s="161">
        <f t="shared" si="61"/>
        <v>0</v>
      </c>
      <c r="M256" s="161">
        <f t="shared" si="61"/>
        <v>0</v>
      </c>
      <c r="N256" s="161">
        <f t="shared" si="61"/>
        <v>0</v>
      </c>
      <c r="O256" s="161">
        <f t="shared" si="61"/>
        <v>0</v>
      </c>
      <c r="P256" s="161">
        <f t="shared" si="61"/>
        <v>0</v>
      </c>
      <c r="Q256" s="161">
        <f t="shared" si="61"/>
        <v>0</v>
      </c>
      <c r="R256" s="161">
        <f t="shared" si="61"/>
        <v>0</v>
      </c>
      <c r="S256" s="161">
        <f t="shared" si="60"/>
        <v>0</v>
      </c>
      <c r="T256" s="161">
        <f t="shared" si="60"/>
        <v>0</v>
      </c>
      <c r="U256" s="161">
        <f t="shared" si="60"/>
        <v>0</v>
      </c>
      <c r="V256" s="161">
        <f t="shared" si="60"/>
        <v>0</v>
      </c>
      <c r="W256" s="161">
        <f t="shared" si="60"/>
        <v>0</v>
      </c>
      <c r="X256" s="161">
        <f t="shared" si="60"/>
        <v>0</v>
      </c>
      <c r="Y256" s="161">
        <f t="shared" si="60"/>
        <v>0</v>
      </c>
      <c r="Z256" s="161">
        <f t="shared" si="60"/>
        <v>0</v>
      </c>
      <c r="AA256" s="161">
        <f t="shared" si="60"/>
        <v>0</v>
      </c>
      <c r="AB256" s="161">
        <f t="shared" si="60"/>
        <v>0</v>
      </c>
      <c r="AC256" s="161">
        <f t="shared" si="60"/>
        <v>0</v>
      </c>
      <c r="AD256" s="161">
        <f t="shared" si="60"/>
        <v>0</v>
      </c>
      <c r="AE256" s="161">
        <f t="shared" si="60"/>
        <v>0</v>
      </c>
      <c r="AF256" s="174">
        <f t="shared" si="60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61"/>
        <v>0</v>
      </c>
      <c r="D257" s="161">
        <f t="shared" si="61"/>
        <v>0</v>
      </c>
      <c r="E257" s="161">
        <f t="shared" si="61"/>
        <v>0</v>
      </c>
      <c r="F257" s="161">
        <f t="shared" si="61"/>
        <v>0</v>
      </c>
      <c r="G257" s="161">
        <f t="shared" si="61"/>
        <v>0</v>
      </c>
      <c r="H257" s="161">
        <f t="shared" si="61"/>
        <v>0</v>
      </c>
      <c r="I257" s="161">
        <f t="shared" si="61"/>
        <v>0</v>
      </c>
      <c r="J257" s="161">
        <f t="shared" si="61"/>
        <v>0</v>
      </c>
      <c r="K257" s="161">
        <f t="shared" si="61"/>
        <v>0</v>
      </c>
      <c r="L257" s="161">
        <f t="shared" si="61"/>
        <v>0</v>
      </c>
      <c r="M257" s="161">
        <f t="shared" si="61"/>
        <v>0</v>
      </c>
      <c r="N257" s="161">
        <f t="shared" si="61"/>
        <v>0</v>
      </c>
      <c r="O257" s="161">
        <f t="shared" si="61"/>
        <v>0</v>
      </c>
      <c r="P257" s="161">
        <f t="shared" si="61"/>
        <v>0</v>
      </c>
      <c r="Q257" s="161">
        <f t="shared" si="61"/>
        <v>0</v>
      </c>
      <c r="R257" s="161">
        <f t="shared" si="61"/>
        <v>0</v>
      </c>
      <c r="S257" s="161">
        <f t="shared" si="60"/>
        <v>0</v>
      </c>
      <c r="T257" s="161">
        <f t="shared" si="60"/>
        <v>0</v>
      </c>
      <c r="U257" s="161">
        <f t="shared" si="60"/>
        <v>0</v>
      </c>
      <c r="V257" s="161">
        <f t="shared" si="60"/>
        <v>0</v>
      </c>
      <c r="W257" s="161">
        <f t="shared" si="60"/>
        <v>0</v>
      </c>
      <c r="X257" s="161">
        <f t="shared" si="60"/>
        <v>0</v>
      </c>
      <c r="Y257" s="161">
        <f t="shared" si="60"/>
        <v>0</v>
      </c>
      <c r="Z257" s="161">
        <f t="shared" si="60"/>
        <v>0</v>
      </c>
      <c r="AA257" s="161">
        <f t="shared" si="60"/>
        <v>0</v>
      </c>
      <c r="AB257" s="161">
        <f t="shared" si="60"/>
        <v>0</v>
      </c>
      <c r="AC257" s="161">
        <f t="shared" si="60"/>
        <v>0</v>
      </c>
      <c r="AD257" s="161">
        <f t="shared" si="60"/>
        <v>0</v>
      </c>
      <c r="AE257" s="161">
        <f t="shared" si="60"/>
        <v>0</v>
      </c>
      <c r="AF257" s="174">
        <f t="shared" si="60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61"/>
        <v>0</v>
      </c>
      <c r="D258" s="161">
        <f t="shared" si="61"/>
        <v>0</v>
      </c>
      <c r="E258" s="161">
        <f t="shared" si="61"/>
        <v>0</v>
      </c>
      <c r="F258" s="161">
        <f t="shared" si="61"/>
        <v>0</v>
      </c>
      <c r="G258" s="161">
        <f t="shared" si="61"/>
        <v>0</v>
      </c>
      <c r="H258" s="161">
        <f t="shared" si="61"/>
        <v>0</v>
      </c>
      <c r="I258" s="161">
        <f t="shared" si="61"/>
        <v>0</v>
      </c>
      <c r="J258" s="161">
        <f t="shared" si="61"/>
        <v>0</v>
      </c>
      <c r="K258" s="161">
        <f t="shared" si="61"/>
        <v>0</v>
      </c>
      <c r="L258" s="161">
        <f t="shared" si="61"/>
        <v>0</v>
      </c>
      <c r="M258" s="161">
        <f t="shared" si="61"/>
        <v>0</v>
      </c>
      <c r="N258" s="161">
        <f t="shared" si="61"/>
        <v>0</v>
      </c>
      <c r="O258" s="161">
        <f t="shared" si="61"/>
        <v>0</v>
      </c>
      <c r="P258" s="161">
        <f t="shared" si="61"/>
        <v>0</v>
      </c>
      <c r="Q258" s="161">
        <f t="shared" si="61"/>
        <v>0</v>
      </c>
      <c r="R258" s="161">
        <f t="shared" si="61"/>
        <v>0</v>
      </c>
      <c r="S258" s="161">
        <f t="shared" si="60"/>
        <v>0</v>
      </c>
      <c r="T258" s="161">
        <f t="shared" si="60"/>
        <v>0</v>
      </c>
      <c r="U258" s="161">
        <f t="shared" si="60"/>
        <v>0</v>
      </c>
      <c r="V258" s="161">
        <f t="shared" si="60"/>
        <v>0</v>
      </c>
      <c r="W258" s="161">
        <f t="shared" si="60"/>
        <v>0</v>
      </c>
      <c r="X258" s="161">
        <f t="shared" si="60"/>
        <v>0</v>
      </c>
      <c r="Y258" s="161">
        <f t="shared" si="60"/>
        <v>0</v>
      </c>
      <c r="Z258" s="161">
        <f t="shared" si="60"/>
        <v>0</v>
      </c>
      <c r="AA258" s="161">
        <f t="shared" si="60"/>
        <v>0</v>
      </c>
      <c r="AB258" s="161">
        <f t="shared" si="60"/>
        <v>0</v>
      </c>
      <c r="AC258" s="161">
        <f t="shared" si="60"/>
        <v>0</v>
      </c>
      <c r="AD258" s="161">
        <f t="shared" si="60"/>
        <v>0</v>
      </c>
      <c r="AE258" s="161">
        <f t="shared" si="60"/>
        <v>0</v>
      </c>
      <c r="AF258" s="174">
        <f t="shared" si="60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61"/>
        <v>0</v>
      </c>
      <c r="D259" s="161">
        <f t="shared" si="61"/>
        <v>0</v>
      </c>
      <c r="E259" s="161">
        <f t="shared" si="61"/>
        <v>0</v>
      </c>
      <c r="F259" s="161">
        <f t="shared" si="61"/>
        <v>0</v>
      </c>
      <c r="G259" s="161">
        <f t="shared" si="61"/>
        <v>0</v>
      </c>
      <c r="H259" s="161">
        <f t="shared" si="61"/>
        <v>0</v>
      </c>
      <c r="I259" s="161">
        <f t="shared" si="61"/>
        <v>0</v>
      </c>
      <c r="J259" s="161">
        <f t="shared" si="61"/>
        <v>0</v>
      </c>
      <c r="K259" s="161">
        <f t="shared" si="61"/>
        <v>0</v>
      </c>
      <c r="L259" s="161">
        <f t="shared" si="61"/>
        <v>0</v>
      </c>
      <c r="M259" s="161">
        <f t="shared" si="61"/>
        <v>0</v>
      </c>
      <c r="N259" s="161">
        <f t="shared" si="61"/>
        <v>0</v>
      </c>
      <c r="O259" s="161">
        <f t="shared" si="61"/>
        <v>0</v>
      </c>
      <c r="P259" s="161">
        <f t="shared" si="61"/>
        <v>0</v>
      </c>
      <c r="Q259" s="161">
        <f t="shared" si="61"/>
        <v>0</v>
      </c>
      <c r="R259" s="161">
        <f t="shared" si="61"/>
        <v>0</v>
      </c>
      <c r="S259" s="161">
        <f t="shared" si="60"/>
        <v>0</v>
      </c>
      <c r="T259" s="161">
        <f t="shared" si="60"/>
        <v>0</v>
      </c>
      <c r="U259" s="161">
        <f t="shared" si="60"/>
        <v>0</v>
      </c>
      <c r="V259" s="161">
        <f t="shared" si="60"/>
        <v>0</v>
      </c>
      <c r="W259" s="161">
        <f t="shared" si="60"/>
        <v>0</v>
      </c>
      <c r="X259" s="161">
        <f t="shared" si="60"/>
        <v>0</v>
      </c>
      <c r="Y259" s="161">
        <f t="shared" si="60"/>
        <v>0</v>
      </c>
      <c r="Z259" s="161">
        <f t="shared" si="60"/>
        <v>0</v>
      </c>
      <c r="AA259" s="161">
        <f t="shared" si="60"/>
        <v>0</v>
      </c>
      <c r="AB259" s="161">
        <f t="shared" si="60"/>
        <v>0</v>
      </c>
      <c r="AC259" s="161">
        <f t="shared" si="60"/>
        <v>0</v>
      </c>
      <c r="AD259" s="161">
        <f t="shared" si="60"/>
        <v>0</v>
      </c>
      <c r="AE259" s="161">
        <f t="shared" si="60"/>
        <v>0</v>
      </c>
      <c r="AF259" s="174">
        <f t="shared" si="60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61"/>
        <v>0</v>
      </c>
      <c r="D260" s="161">
        <f t="shared" si="61"/>
        <v>0</v>
      </c>
      <c r="E260" s="161">
        <f t="shared" si="61"/>
        <v>0</v>
      </c>
      <c r="F260" s="161">
        <f t="shared" si="61"/>
        <v>0</v>
      </c>
      <c r="G260" s="161">
        <f t="shared" si="61"/>
        <v>0</v>
      </c>
      <c r="H260" s="161">
        <f t="shared" si="61"/>
        <v>0</v>
      </c>
      <c r="I260" s="161">
        <f t="shared" si="61"/>
        <v>0</v>
      </c>
      <c r="J260" s="161">
        <f t="shared" si="61"/>
        <v>0</v>
      </c>
      <c r="K260" s="161">
        <f t="shared" si="61"/>
        <v>0</v>
      </c>
      <c r="L260" s="161">
        <f t="shared" si="61"/>
        <v>0</v>
      </c>
      <c r="M260" s="161">
        <f t="shared" si="61"/>
        <v>0</v>
      </c>
      <c r="N260" s="161">
        <f t="shared" si="61"/>
        <v>0</v>
      </c>
      <c r="O260" s="161">
        <f t="shared" si="61"/>
        <v>0</v>
      </c>
      <c r="P260" s="161">
        <f t="shared" si="61"/>
        <v>0</v>
      </c>
      <c r="Q260" s="161">
        <f t="shared" si="61"/>
        <v>0</v>
      </c>
      <c r="R260" s="161">
        <f t="shared" si="61"/>
        <v>0</v>
      </c>
      <c r="S260" s="161">
        <f t="shared" si="60"/>
        <v>0</v>
      </c>
      <c r="T260" s="161">
        <f t="shared" si="60"/>
        <v>0</v>
      </c>
      <c r="U260" s="161">
        <f t="shared" si="60"/>
        <v>0</v>
      </c>
      <c r="V260" s="161">
        <f t="shared" si="60"/>
        <v>0</v>
      </c>
      <c r="W260" s="161">
        <f t="shared" si="60"/>
        <v>0</v>
      </c>
      <c r="X260" s="161">
        <f t="shared" si="60"/>
        <v>0</v>
      </c>
      <c r="Y260" s="161">
        <f t="shared" si="60"/>
        <v>0</v>
      </c>
      <c r="Z260" s="161">
        <f t="shared" si="60"/>
        <v>0</v>
      </c>
      <c r="AA260" s="161">
        <f t="shared" si="60"/>
        <v>0</v>
      </c>
      <c r="AB260" s="161">
        <f t="shared" si="60"/>
        <v>0</v>
      </c>
      <c r="AC260" s="161">
        <f t="shared" si="60"/>
        <v>0</v>
      </c>
      <c r="AD260" s="161">
        <f t="shared" si="60"/>
        <v>0</v>
      </c>
      <c r="AE260" s="161">
        <f t="shared" si="60"/>
        <v>0</v>
      </c>
      <c r="AF260" s="174">
        <f t="shared" si="60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61"/>
        <v>0</v>
      </c>
      <c r="D261" s="161">
        <f t="shared" si="61"/>
        <v>0</v>
      </c>
      <c r="E261" s="161">
        <f t="shared" si="61"/>
        <v>0</v>
      </c>
      <c r="F261" s="161">
        <f t="shared" si="61"/>
        <v>0</v>
      </c>
      <c r="G261" s="161">
        <f t="shared" si="61"/>
        <v>0</v>
      </c>
      <c r="H261" s="161">
        <f t="shared" si="61"/>
        <v>0</v>
      </c>
      <c r="I261" s="161">
        <f t="shared" si="61"/>
        <v>0</v>
      </c>
      <c r="J261" s="161">
        <f t="shared" si="61"/>
        <v>0</v>
      </c>
      <c r="K261" s="161">
        <f t="shared" si="61"/>
        <v>0</v>
      </c>
      <c r="L261" s="161">
        <f t="shared" si="61"/>
        <v>0</v>
      </c>
      <c r="M261" s="161">
        <f t="shared" si="61"/>
        <v>0</v>
      </c>
      <c r="N261" s="161">
        <f t="shared" si="61"/>
        <v>0</v>
      </c>
      <c r="O261" s="161">
        <f t="shared" si="61"/>
        <v>0</v>
      </c>
      <c r="P261" s="161">
        <f t="shared" si="61"/>
        <v>0</v>
      </c>
      <c r="Q261" s="161">
        <f t="shared" si="61"/>
        <v>0</v>
      </c>
      <c r="R261" s="161">
        <f t="shared" si="61"/>
        <v>0</v>
      </c>
      <c r="S261" s="161">
        <f t="shared" si="60"/>
        <v>0</v>
      </c>
      <c r="T261" s="161">
        <f t="shared" si="60"/>
        <v>0</v>
      </c>
      <c r="U261" s="161">
        <f t="shared" si="60"/>
        <v>0</v>
      </c>
      <c r="V261" s="161">
        <f t="shared" si="60"/>
        <v>0</v>
      </c>
      <c r="W261" s="161">
        <f t="shared" si="60"/>
        <v>0</v>
      </c>
      <c r="X261" s="161">
        <f t="shared" si="60"/>
        <v>0</v>
      </c>
      <c r="Y261" s="161">
        <f t="shared" si="60"/>
        <v>0</v>
      </c>
      <c r="Z261" s="161">
        <f t="shared" si="60"/>
        <v>0</v>
      </c>
      <c r="AA261" s="161">
        <f t="shared" si="60"/>
        <v>0</v>
      </c>
      <c r="AB261" s="161">
        <f t="shared" si="60"/>
        <v>0</v>
      </c>
      <c r="AC261" s="161">
        <f t="shared" si="60"/>
        <v>0</v>
      </c>
      <c r="AD261" s="161">
        <f t="shared" si="60"/>
        <v>0</v>
      </c>
      <c r="AE261" s="161">
        <f t="shared" si="60"/>
        <v>0</v>
      </c>
      <c r="AF261" s="174">
        <f t="shared" si="60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61"/>
        <v>0</v>
      </c>
      <c r="D262" s="161">
        <f t="shared" si="61"/>
        <v>0</v>
      </c>
      <c r="E262" s="161">
        <f t="shared" si="61"/>
        <v>0</v>
      </c>
      <c r="F262" s="161">
        <f t="shared" si="61"/>
        <v>0</v>
      </c>
      <c r="G262" s="161">
        <f t="shared" si="61"/>
        <v>0</v>
      </c>
      <c r="H262" s="161">
        <f t="shared" si="61"/>
        <v>0</v>
      </c>
      <c r="I262" s="161">
        <f t="shared" si="61"/>
        <v>0</v>
      </c>
      <c r="J262" s="161">
        <f t="shared" si="61"/>
        <v>0</v>
      </c>
      <c r="K262" s="161">
        <f t="shared" si="61"/>
        <v>0</v>
      </c>
      <c r="L262" s="161">
        <f t="shared" si="61"/>
        <v>0</v>
      </c>
      <c r="M262" s="161">
        <f t="shared" si="61"/>
        <v>0</v>
      </c>
      <c r="N262" s="161">
        <f t="shared" si="61"/>
        <v>0</v>
      </c>
      <c r="O262" s="161">
        <f t="shared" si="61"/>
        <v>0</v>
      </c>
      <c r="P262" s="161">
        <f t="shared" si="61"/>
        <v>0</v>
      </c>
      <c r="Q262" s="161">
        <f t="shared" si="61"/>
        <v>0</v>
      </c>
      <c r="R262" s="161">
        <f t="shared" si="61"/>
        <v>0</v>
      </c>
      <c r="S262" s="161">
        <f t="shared" si="60"/>
        <v>0</v>
      </c>
      <c r="T262" s="161">
        <f t="shared" si="60"/>
        <v>0</v>
      </c>
      <c r="U262" s="161">
        <f t="shared" si="60"/>
        <v>0</v>
      </c>
      <c r="V262" s="161">
        <f t="shared" si="60"/>
        <v>0</v>
      </c>
      <c r="W262" s="161">
        <f t="shared" si="60"/>
        <v>0</v>
      </c>
      <c r="X262" s="161">
        <f t="shared" si="60"/>
        <v>0</v>
      </c>
      <c r="Y262" s="161">
        <f t="shared" si="60"/>
        <v>0</v>
      </c>
      <c r="Z262" s="161">
        <f t="shared" si="60"/>
        <v>0</v>
      </c>
      <c r="AA262" s="161">
        <f t="shared" si="60"/>
        <v>0</v>
      </c>
      <c r="AB262" s="161">
        <f t="shared" si="60"/>
        <v>0</v>
      </c>
      <c r="AC262" s="161">
        <f t="shared" si="60"/>
        <v>0</v>
      </c>
      <c r="AD262" s="161">
        <f t="shared" si="60"/>
        <v>0</v>
      </c>
      <c r="AE262" s="161">
        <f t="shared" si="60"/>
        <v>0</v>
      </c>
      <c r="AF262" s="174">
        <f t="shared" si="60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61"/>
        <v>0</v>
      </c>
      <c r="D263" s="161">
        <f t="shared" si="61"/>
        <v>0</v>
      </c>
      <c r="E263" s="161">
        <f t="shared" si="61"/>
        <v>0</v>
      </c>
      <c r="F263" s="161">
        <f t="shared" si="61"/>
        <v>0</v>
      </c>
      <c r="G263" s="161">
        <f t="shared" si="61"/>
        <v>0</v>
      </c>
      <c r="H263" s="161">
        <f t="shared" si="61"/>
        <v>0</v>
      </c>
      <c r="I263" s="161">
        <f t="shared" si="61"/>
        <v>0</v>
      </c>
      <c r="J263" s="161">
        <f t="shared" si="61"/>
        <v>0</v>
      </c>
      <c r="K263" s="161">
        <f t="shared" si="61"/>
        <v>0</v>
      </c>
      <c r="L263" s="161">
        <f t="shared" si="61"/>
        <v>0</v>
      </c>
      <c r="M263" s="161">
        <f t="shared" si="61"/>
        <v>0</v>
      </c>
      <c r="N263" s="161">
        <f t="shared" si="61"/>
        <v>0</v>
      </c>
      <c r="O263" s="161">
        <f t="shared" si="61"/>
        <v>0</v>
      </c>
      <c r="P263" s="161">
        <f t="shared" si="61"/>
        <v>0</v>
      </c>
      <c r="Q263" s="161">
        <f t="shared" si="61"/>
        <v>0</v>
      </c>
      <c r="R263" s="161">
        <f t="shared" si="61"/>
        <v>0</v>
      </c>
      <c r="S263" s="161">
        <f t="shared" si="60"/>
        <v>0</v>
      </c>
      <c r="T263" s="161">
        <f t="shared" si="60"/>
        <v>0</v>
      </c>
      <c r="U263" s="161">
        <f t="shared" si="60"/>
        <v>0</v>
      </c>
      <c r="V263" s="161">
        <f t="shared" si="60"/>
        <v>0</v>
      </c>
      <c r="W263" s="161">
        <f t="shared" si="60"/>
        <v>0</v>
      </c>
      <c r="X263" s="161">
        <f t="shared" si="60"/>
        <v>0</v>
      </c>
      <c r="Y263" s="161">
        <f t="shared" si="60"/>
        <v>0</v>
      </c>
      <c r="Z263" s="161">
        <f t="shared" si="60"/>
        <v>0</v>
      </c>
      <c r="AA263" s="161">
        <f t="shared" si="60"/>
        <v>0</v>
      </c>
      <c r="AB263" s="161">
        <f t="shared" si="60"/>
        <v>0</v>
      </c>
      <c r="AC263" s="161">
        <f t="shared" si="60"/>
        <v>0</v>
      </c>
      <c r="AD263" s="161">
        <f t="shared" si="60"/>
        <v>0</v>
      </c>
      <c r="AE263" s="161">
        <f t="shared" si="60"/>
        <v>0</v>
      </c>
      <c r="AF263" s="174">
        <f t="shared" si="60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61"/>
        <v>0</v>
      </c>
      <c r="D264" s="161">
        <f t="shared" si="61"/>
        <v>0</v>
      </c>
      <c r="E264" s="161">
        <f t="shared" si="61"/>
        <v>0</v>
      </c>
      <c r="F264" s="161">
        <f t="shared" si="61"/>
        <v>0</v>
      </c>
      <c r="G264" s="161">
        <f t="shared" si="61"/>
        <v>0</v>
      </c>
      <c r="H264" s="161">
        <f t="shared" si="61"/>
        <v>0</v>
      </c>
      <c r="I264" s="161">
        <f t="shared" si="61"/>
        <v>0</v>
      </c>
      <c r="J264" s="161">
        <f t="shared" si="61"/>
        <v>0</v>
      </c>
      <c r="K264" s="161">
        <f t="shared" si="61"/>
        <v>0</v>
      </c>
      <c r="L264" s="161">
        <f t="shared" si="61"/>
        <v>0</v>
      </c>
      <c r="M264" s="161">
        <f t="shared" si="61"/>
        <v>0</v>
      </c>
      <c r="N264" s="161">
        <f t="shared" si="61"/>
        <v>0</v>
      </c>
      <c r="O264" s="161">
        <f t="shared" si="61"/>
        <v>0</v>
      </c>
      <c r="P264" s="161">
        <f t="shared" si="61"/>
        <v>0</v>
      </c>
      <c r="Q264" s="161">
        <f t="shared" si="61"/>
        <v>0</v>
      </c>
      <c r="R264" s="161">
        <f t="shared" si="61"/>
        <v>0</v>
      </c>
      <c r="S264" s="161">
        <f t="shared" ref="S264:AF273" si="62">R264</f>
        <v>0</v>
      </c>
      <c r="T264" s="161">
        <f t="shared" si="62"/>
        <v>0</v>
      </c>
      <c r="U264" s="161">
        <f t="shared" si="62"/>
        <v>0</v>
      </c>
      <c r="V264" s="161">
        <f t="shared" si="62"/>
        <v>0</v>
      </c>
      <c r="W264" s="161">
        <f t="shared" si="62"/>
        <v>0</v>
      </c>
      <c r="X264" s="161">
        <f t="shared" si="62"/>
        <v>0</v>
      </c>
      <c r="Y264" s="161">
        <f t="shared" si="62"/>
        <v>0</v>
      </c>
      <c r="Z264" s="161">
        <f t="shared" si="62"/>
        <v>0</v>
      </c>
      <c r="AA264" s="161">
        <f t="shared" si="62"/>
        <v>0</v>
      </c>
      <c r="AB264" s="161">
        <f t="shared" si="62"/>
        <v>0</v>
      </c>
      <c r="AC264" s="161">
        <f t="shared" si="62"/>
        <v>0</v>
      </c>
      <c r="AD264" s="161">
        <f t="shared" si="62"/>
        <v>0</v>
      </c>
      <c r="AE264" s="161">
        <f t="shared" si="62"/>
        <v>0</v>
      </c>
      <c r="AF264" s="174">
        <f t="shared" si="62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3">B265</f>
        <v>0</v>
      </c>
      <c r="D265" s="161">
        <f t="shared" si="63"/>
        <v>0</v>
      </c>
      <c r="E265" s="161">
        <f t="shared" si="63"/>
        <v>0</v>
      </c>
      <c r="F265" s="161">
        <f t="shared" si="63"/>
        <v>0</v>
      </c>
      <c r="G265" s="161">
        <f t="shared" si="63"/>
        <v>0</v>
      </c>
      <c r="H265" s="161">
        <f t="shared" si="63"/>
        <v>0</v>
      </c>
      <c r="I265" s="161">
        <f t="shared" si="63"/>
        <v>0</v>
      </c>
      <c r="J265" s="161">
        <f t="shared" si="63"/>
        <v>0</v>
      </c>
      <c r="K265" s="161">
        <f t="shared" si="63"/>
        <v>0</v>
      </c>
      <c r="L265" s="161">
        <f t="shared" si="63"/>
        <v>0</v>
      </c>
      <c r="M265" s="161">
        <f t="shared" si="63"/>
        <v>0</v>
      </c>
      <c r="N265" s="161">
        <f t="shared" si="63"/>
        <v>0</v>
      </c>
      <c r="O265" s="161">
        <f t="shared" si="63"/>
        <v>0</v>
      </c>
      <c r="P265" s="161">
        <f t="shared" si="63"/>
        <v>0</v>
      </c>
      <c r="Q265" s="161">
        <f t="shared" si="63"/>
        <v>0</v>
      </c>
      <c r="R265" s="161">
        <f t="shared" si="63"/>
        <v>0</v>
      </c>
      <c r="S265" s="161">
        <f t="shared" si="62"/>
        <v>0</v>
      </c>
      <c r="T265" s="161">
        <f t="shared" si="62"/>
        <v>0</v>
      </c>
      <c r="U265" s="161">
        <f t="shared" si="62"/>
        <v>0</v>
      </c>
      <c r="V265" s="161">
        <f t="shared" si="62"/>
        <v>0</v>
      </c>
      <c r="W265" s="161">
        <f t="shared" si="62"/>
        <v>0</v>
      </c>
      <c r="X265" s="161">
        <f t="shared" si="62"/>
        <v>0</v>
      </c>
      <c r="Y265" s="161">
        <f t="shared" si="62"/>
        <v>0</v>
      </c>
      <c r="Z265" s="161">
        <f t="shared" si="62"/>
        <v>0</v>
      </c>
      <c r="AA265" s="161">
        <f t="shared" si="62"/>
        <v>0</v>
      </c>
      <c r="AB265" s="161">
        <f t="shared" si="62"/>
        <v>0</v>
      </c>
      <c r="AC265" s="161">
        <f t="shared" si="62"/>
        <v>0</v>
      </c>
      <c r="AD265" s="161">
        <f t="shared" si="62"/>
        <v>0</v>
      </c>
      <c r="AE265" s="161">
        <f t="shared" si="62"/>
        <v>0</v>
      </c>
      <c r="AF265" s="174">
        <f t="shared" si="62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3"/>
        <v>0</v>
      </c>
      <c r="D266" s="161">
        <f t="shared" si="63"/>
        <v>0</v>
      </c>
      <c r="E266" s="161">
        <f t="shared" si="63"/>
        <v>0</v>
      </c>
      <c r="F266" s="161">
        <f t="shared" si="63"/>
        <v>0</v>
      </c>
      <c r="G266" s="161">
        <f t="shared" si="63"/>
        <v>0</v>
      </c>
      <c r="H266" s="161">
        <f t="shared" si="63"/>
        <v>0</v>
      </c>
      <c r="I266" s="161">
        <f t="shared" si="63"/>
        <v>0</v>
      </c>
      <c r="J266" s="161">
        <f t="shared" si="63"/>
        <v>0</v>
      </c>
      <c r="K266" s="161">
        <f t="shared" si="63"/>
        <v>0</v>
      </c>
      <c r="L266" s="161">
        <f t="shared" si="63"/>
        <v>0</v>
      </c>
      <c r="M266" s="161">
        <f t="shared" si="63"/>
        <v>0</v>
      </c>
      <c r="N266" s="161">
        <f t="shared" si="63"/>
        <v>0</v>
      </c>
      <c r="O266" s="161">
        <f t="shared" si="63"/>
        <v>0</v>
      </c>
      <c r="P266" s="161">
        <f t="shared" si="63"/>
        <v>0</v>
      </c>
      <c r="Q266" s="161">
        <f t="shared" si="63"/>
        <v>0</v>
      </c>
      <c r="R266" s="161">
        <f t="shared" si="63"/>
        <v>0</v>
      </c>
      <c r="S266" s="161">
        <f t="shared" si="62"/>
        <v>0</v>
      </c>
      <c r="T266" s="161">
        <f t="shared" si="62"/>
        <v>0</v>
      </c>
      <c r="U266" s="161">
        <f t="shared" si="62"/>
        <v>0</v>
      </c>
      <c r="V266" s="161">
        <f t="shared" si="62"/>
        <v>0</v>
      </c>
      <c r="W266" s="161">
        <f t="shared" si="62"/>
        <v>0</v>
      </c>
      <c r="X266" s="161">
        <f t="shared" si="62"/>
        <v>0</v>
      </c>
      <c r="Y266" s="161">
        <f t="shared" si="62"/>
        <v>0</v>
      </c>
      <c r="Z266" s="161">
        <f t="shared" si="62"/>
        <v>0</v>
      </c>
      <c r="AA266" s="161">
        <f t="shared" si="62"/>
        <v>0</v>
      </c>
      <c r="AB266" s="161">
        <f t="shared" si="62"/>
        <v>0</v>
      </c>
      <c r="AC266" s="161">
        <f t="shared" si="62"/>
        <v>0</v>
      </c>
      <c r="AD266" s="161">
        <f t="shared" si="62"/>
        <v>0</v>
      </c>
      <c r="AE266" s="161">
        <f t="shared" si="62"/>
        <v>0</v>
      </c>
      <c r="AF266" s="174">
        <f t="shared" si="62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3"/>
        <v>0</v>
      </c>
      <c r="D267" s="161">
        <f t="shared" si="63"/>
        <v>0</v>
      </c>
      <c r="E267" s="161">
        <f t="shared" si="63"/>
        <v>0</v>
      </c>
      <c r="F267" s="161">
        <f t="shared" si="63"/>
        <v>0</v>
      </c>
      <c r="G267" s="161">
        <f t="shared" si="63"/>
        <v>0</v>
      </c>
      <c r="H267" s="161">
        <f t="shared" si="63"/>
        <v>0</v>
      </c>
      <c r="I267" s="161">
        <f t="shared" si="63"/>
        <v>0</v>
      </c>
      <c r="J267" s="161">
        <f t="shared" si="63"/>
        <v>0</v>
      </c>
      <c r="K267" s="161">
        <f t="shared" si="63"/>
        <v>0</v>
      </c>
      <c r="L267" s="161">
        <f t="shared" si="63"/>
        <v>0</v>
      </c>
      <c r="M267" s="161">
        <f t="shared" si="63"/>
        <v>0</v>
      </c>
      <c r="N267" s="161">
        <f t="shared" si="63"/>
        <v>0</v>
      </c>
      <c r="O267" s="161">
        <f t="shared" si="63"/>
        <v>0</v>
      </c>
      <c r="P267" s="161">
        <f t="shared" si="63"/>
        <v>0</v>
      </c>
      <c r="Q267" s="161">
        <f t="shared" si="63"/>
        <v>0</v>
      </c>
      <c r="R267" s="161">
        <f t="shared" si="63"/>
        <v>0</v>
      </c>
      <c r="S267" s="161">
        <f t="shared" si="62"/>
        <v>0</v>
      </c>
      <c r="T267" s="161">
        <f t="shared" si="62"/>
        <v>0</v>
      </c>
      <c r="U267" s="161">
        <f t="shared" si="62"/>
        <v>0</v>
      </c>
      <c r="V267" s="161">
        <f t="shared" si="62"/>
        <v>0</v>
      </c>
      <c r="W267" s="161">
        <f t="shared" si="62"/>
        <v>0</v>
      </c>
      <c r="X267" s="161">
        <f t="shared" si="62"/>
        <v>0</v>
      </c>
      <c r="Y267" s="161">
        <f t="shared" si="62"/>
        <v>0</v>
      </c>
      <c r="Z267" s="161">
        <f t="shared" si="62"/>
        <v>0</v>
      </c>
      <c r="AA267" s="161">
        <f t="shared" si="62"/>
        <v>0</v>
      </c>
      <c r="AB267" s="161">
        <f t="shared" si="62"/>
        <v>0</v>
      </c>
      <c r="AC267" s="161">
        <f t="shared" si="62"/>
        <v>0</v>
      </c>
      <c r="AD267" s="161">
        <f t="shared" si="62"/>
        <v>0</v>
      </c>
      <c r="AE267" s="161">
        <f t="shared" si="62"/>
        <v>0</v>
      </c>
      <c r="AF267" s="174">
        <f t="shared" si="62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3"/>
        <v>0</v>
      </c>
      <c r="D268" s="161">
        <f t="shared" si="63"/>
        <v>0</v>
      </c>
      <c r="E268" s="161">
        <f t="shared" si="63"/>
        <v>0</v>
      </c>
      <c r="F268" s="161">
        <f t="shared" si="63"/>
        <v>0</v>
      </c>
      <c r="G268" s="161">
        <f t="shared" si="63"/>
        <v>0</v>
      </c>
      <c r="H268" s="161">
        <f t="shared" si="63"/>
        <v>0</v>
      </c>
      <c r="I268" s="161">
        <f t="shared" si="63"/>
        <v>0</v>
      </c>
      <c r="J268" s="161">
        <f t="shared" si="63"/>
        <v>0</v>
      </c>
      <c r="K268" s="161">
        <f t="shared" si="63"/>
        <v>0</v>
      </c>
      <c r="L268" s="161">
        <f t="shared" si="63"/>
        <v>0</v>
      </c>
      <c r="M268" s="161">
        <f t="shared" si="63"/>
        <v>0</v>
      </c>
      <c r="N268" s="161">
        <f t="shared" si="63"/>
        <v>0</v>
      </c>
      <c r="O268" s="161">
        <f t="shared" si="63"/>
        <v>0</v>
      </c>
      <c r="P268" s="161">
        <f t="shared" si="63"/>
        <v>0</v>
      </c>
      <c r="Q268" s="161">
        <f t="shared" si="63"/>
        <v>0</v>
      </c>
      <c r="R268" s="161">
        <f t="shared" si="63"/>
        <v>0</v>
      </c>
      <c r="S268" s="161">
        <f t="shared" si="62"/>
        <v>0</v>
      </c>
      <c r="T268" s="161">
        <f t="shared" si="62"/>
        <v>0</v>
      </c>
      <c r="U268" s="161">
        <f t="shared" si="62"/>
        <v>0</v>
      </c>
      <c r="V268" s="161">
        <f t="shared" si="62"/>
        <v>0</v>
      </c>
      <c r="W268" s="161">
        <f t="shared" si="62"/>
        <v>0</v>
      </c>
      <c r="X268" s="161">
        <f t="shared" si="62"/>
        <v>0</v>
      </c>
      <c r="Y268" s="161">
        <f t="shared" si="62"/>
        <v>0</v>
      </c>
      <c r="Z268" s="161">
        <f t="shared" si="62"/>
        <v>0</v>
      </c>
      <c r="AA268" s="161">
        <f t="shared" si="62"/>
        <v>0</v>
      </c>
      <c r="AB268" s="161">
        <f t="shared" si="62"/>
        <v>0</v>
      </c>
      <c r="AC268" s="161">
        <f t="shared" si="62"/>
        <v>0</v>
      </c>
      <c r="AD268" s="161">
        <f t="shared" si="62"/>
        <v>0</v>
      </c>
      <c r="AE268" s="161">
        <f t="shared" si="62"/>
        <v>0</v>
      </c>
      <c r="AF268" s="174">
        <f t="shared" si="62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3"/>
        <v>0</v>
      </c>
      <c r="D269" s="161">
        <f t="shared" si="63"/>
        <v>0</v>
      </c>
      <c r="E269" s="161">
        <f t="shared" si="63"/>
        <v>0</v>
      </c>
      <c r="F269" s="161">
        <f t="shared" si="63"/>
        <v>0</v>
      </c>
      <c r="G269" s="161">
        <f t="shared" si="63"/>
        <v>0</v>
      </c>
      <c r="H269" s="161">
        <f t="shared" si="63"/>
        <v>0</v>
      </c>
      <c r="I269" s="161">
        <f t="shared" si="63"/>
        <v>0</v>
      </c>
      <c r="J269" s="161">
        <f t="shared" si="63"/>
        <v>0</v>
      </c>
      <c r="K269" s="161">
        <f t="shared" si="63"/>
        <v>0</v>
      </c>
      <c r="L269" s="161">
        <f t="shared" si="63"/>
        <v>0</v>
      </c>
      <c r="M269" s="161">
        <f t="shared" si="63"/>
        <v>0</v>
      </c>
      <c r="N269" s="161">
        <f t="shared" si="63"/>
        <v>0</v>
      </c>
      <c r="O269" s="161">
        <f t="shared" si="63"/>
        <v>0</v>
      </c>
      <c r="P269" s="161">
        <f t="shared" si="63"/>
        <v>0</v>
      </c>
      <c r="Q269" s="161">
        <f t="shared" si="63"/>
        <v>0</v>
      </c>
      <c r="R269" s="161">
        <f t="shared" si="63"/>
        <v>0</v>
      </c>
      <c r="S269" s="161">
        <f t="shared" si="62"/>
        <v>0</v>
      </c>
      <c r="T269" s="161">
        <f t="shared" si="62"/>
        <v>0</v>
      </c>
      <c r="U269" s="161">
        <f t="shared" si="62"/>
        <v>0</v>
      </c>
      <c r="V269" s="161">
        <f t="shared" si="62"/>
        <v>0</v>
      </c>
      <c r="W269" s="161">
        <f t="shared" si="62"/>
        <v>0</v>
      </c>
      <c r="X269" s="161">
        <f t="shared" si="62"/>
        <v>0</v>
      </c>
      <c r="Y269" s="161">
        <f t="shared" si="62"/>
        <v>0</v>
      </c>
      <c r="Z269" s="161">
        <f t="shared" si="62"/>
        <v>0</v>
      </c>
      <c r="AA269" s="161">
        <f t="shared" si="62"/>
        <v>0</v>
      </c>
      <c r="AB269" s="161">
        <f t="shared" si="62"/>
        <v>0</v>
      </c>
      <c r="AC269" s="161">
        <f t="shared" si="62"/>
        <v>0</v>
      </c>
      <c r="AD269" s="161">
        <f t="shared" si="62"/>
        <v>0</v>
      </c>
      <c r="AE269" s="161">
        <f t="shared" si="62"/>
        <v>0</v>
      </c>
      <c r="AF269" s="174">
        <f t="shared" si="62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3"/>
        <v>0</v>
      </c>
      <c r="D270" s="161">
        <f t="shared" si="63"/>
        <v>0</v>
      </c>
      <c r="E270" s="161">
        <f t="shared" si="63"/>
        <v>0</v>
      </c>
      <c r="F270" s="161">
        <f t="shared" si="63"/>
        <v>0</v>
      </c>
      <c r="G270" s="161">
        <f t="shared" si="63"/>
        <v>0</v>
      </c>
      <c r="H270" s="161">
        <f t="shared" si="63"/>
        <v>0</v>
      </c>
      <c r="I270" s="161">
        <f t="shared" si="63"/>
        <v>0</v>
      </c>
      <c r="J270" s="161">
        <f t="shared" si="63"/>
        <v>0</v>
      </c>
      <c r="K270" s="161">
        <f t="shared" si="63"/>
        <v>0</v>
      </c>
      <c r="L270" s="161">
        <f t="shared" si="63"/>
        <v>0</v>
      </c>
      <c r="M270" s="161">
        <f t="shared" si="63"/>
        <v>0</v>
      </c>
      <c r="N270" s="161">
        <f t="shared" si="63"/>
        <v>0</v>
      </c>
      <c r="O270" s="161">
        <f t="shared" si="63"/>
        <v>0</v>
      </c>
      <c r="P270" s="161">
        <f t="shared" si="63"/>
        <v>0</v>
      </c>
      <c r="Q270" s="161">
        <f t="shared" si="63"/>
        <v>0</v>
      </c>
      <c r="R270" s="161">
        <f t="shared" si="63"/>
        <v>0</v>
      </c>
      <c r="S270" s="161">
        <f t="shared" si="62"/>
        <v>0</v>
      </c>
      <c r="T270" s="161">
        <f t="shared" si="62"/>
        <v>0</v>
      </c>
      <c r="U270" s="161">
        <f t="shared" si="62"/>
        <v>0</v>
      </c>
      <c r="V270" s="161">
        <f t="shared" si="62"/>
        <v>0</v>
      </c>
      <c r="W270" s="161">
        <f t="shared" si="62"/>
        <v>0</v>
      </c>
      <c r="X270" s="161">
        <f t="shared" si="62"/>
        <v>0</v>
      </c>
      <c r="Y270" s="161">
        <f t="shared" si="62"/>
        <v>0</v>
      </c>
      <c r="Z270" s="161">
        <f t="shared" si="62"/>
        <v>0</v>
      </c>
      <c r="AA270" s="161">
        <f t="shared" si="62"/>
        <v>0</v>
      </c>
      <c r="AB270" s="161">
        <f t="shared" si="62"/>
        <v>0</v>
      </c>
      <c r="AC270" s="161">
        <f t="shared" si="62"/>
        <v>0</v>
      </c>
      <c r="AD270" s="161">
        <f t="shared" si="62"/>
        <v>0</v>
      </c>
      <c r="AE270" s="161">
        <f t="shared" si="62"/>
        <v>0</v>
      </c>
      <c r="AF270" s="174">
        <f t="shared" si="62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3"/>
        <v>0</v>
      </c>
      <c r="D271" s="161">
        <f t="shared" si="63"/>
        <v>0</v>
      </c>
      <c r="E271" s="161">
        <f t="shared" si="63"/>
        <v>0</v>
      </c>
      <c r="F271" s="161">
        <f t="shared" si="63"/>
        <v>0</v>
      </c>
      <c r="G271" s="161">
        <f t="shared" si="63"/>
        <v>0</v>
      </c>
      <c r="H271" s="161">
        <f t="shared" si="63"/>
        <v>0</v>
      </c>
      <c r="I271" s="161">
        <f t="shared" si="63"/>
        <v>0</v>
      </c>
      <c r="J271" s="161">
        <f t="shared" si="63"/>
        <v>0</v>
      </c>
      <c r="K271" s="161">
        <f t="shared" si="63"/>
        <v>0</v>
      </c>
      <c r="L271" s="161">
        <f t="shared" si="63"/>
        <v>0</v>
      </c>
      <c r="M271" s="161">
        <f t="shared" si="63"/>
        <v>0</v>
      </c>
      <c r="N271" s="161">
        <f t="shared" si="63"/>
        <v>0</v>
      </c>
      <c r="O271" s="161">
        <f t="shared" si="63"/>
        <v>0</v>
      </c>
      <c r="P271" s="161">
        <f t="shared" si="63"/>
        <v>0</v>
      </c>
      <c r="Q271" s="161">
        <f t="shared" si="63"/>
        <v>0</v>
      </c>
      <c r="R271" s="161">
        <f t="shared" si="63"/>
        <v>0</v>
      </c>
      <c r="S271" s="161">
        <f t="shared" si="62"/>
        <v>0</v>
      </c>
      <c r="T271" s="161">
        <f t="shared" si="62"/>
        <v>0</v>
      </c>
      <c r="U271" s="161">
        <f t="shared" si="62"/>
        <v>0</v>
      </c>
      <c r="V271" s="161">
        <f t="shared" si="62"/>
        <v>0</v>
      </c>
      <c r="W271" s="161">
        <f t="shared" si="62"/>
        <v>0</v>
      </c>
      <c r="X271" s="161">
        <f t="shared" si="62"/>
        <v>0</v>
      </c>
      <c r="Y271" s="161">
        <f t="shared" si="62"/>
        <v>0</v>
      </c>
      <c r="Z271" s="161">
        <f t="shared" si="62"/>
        <v>0</v>
      </c>
      <c r="AA271" s="161">
        <f t="shared" si="62"/>
        <v>0</v>
      </c>
      <c r="AB271" s="161">
        <f t="shared" si="62"/>
        <v>0</v>
      </c>
      <c r="AC271" s="161">
        <f t="shared" si="62"/>
        <v>0</v>
      </c>
      <c r="AD271" s="161">
        <f t="shared" si="62"/>
        <v>0</v>
      </c>
      <c r="AE271" s="161">
        <f t="shared" si="62"/>
        <v>0</v>
      </c>
      <c r="AF271" s="174">
        <f t="shared" si="62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3"/>
        <v>0</v>
      </c>
      <c r="D272" s="161">
        <f t="shared" si="63"/>
        <v>0</v>
      </c>
      <c r="E272" s="161">
        <f t="shared" si="63"/>
        <v>0</v>
      </c>
      <c r="F272" s="161">
        <f t="shared" si="63"/>
        <v>0</v>
      </c>
      <c r="G272" s="161">
        <f t="shared" si="63"/>
        <v>0</v>
      </c>
      <c r="H272" s="161">
        <f t="shared" si="63"/>
        <v>0</v>
      </c>
      <c r="I272" s="161">
        <f t="shared" si="63"/>
        <v>0</v>
      </c>
      <c r="J272" s="161">
        <f t="shared" si="63"/>
        <v>0</v>
      </c>
      <c r="K272" s="161">
        <f t="shared" si="63"/>
        <v>0</v>
      </c>
      <c r="L272" s="161">
        <f t="shared" si="63"/>
        <v>0</v>
      </c>
      <c r="M272" s="161">
        <f t="shared" si="63"/>
        <v>0</v>
      </c>
      <c r="N272" s="161">
        <f t="shared" si="63"/>
        <v>0</v>
      </c>
      <c r="O272" s="161">
        <f t="shared" si="63"/>
        <v>0</v>
      </c>
      <c r="P272" s="161">
        <f t="shared" si="63"/>
        <v>0</v>
      </c>
      <c r="Q272" s="161">
        <f t="shared" si="63"/>
        <v>0</v>
      </c>
      <c r="R272" s="161">
        <f t="shared" si="63"/>
        <v>0</v>
      </c>
      <c r="S272" s="161">
        <f t="shared" si="62"/>
        <v>0</v>
      </c>
      <c r="T272" s="161">
        <f t="shared" si="62"/>
        <v>0</v>
      </c>
      <c r="U272" s="161">
        <f t="shared" si="62"/>
        <v>0</v>
      </c>
      <c r="V272" s="161">
        <f t="shared" si="62"/>
        <v>0</v>
      </c>
      <c r="W272" s="161">
        <f t="shared" si="62"/>
        <v>0</v>
      </c>
      <c r="X272" s="161">
        <f t="shared" si="62"/>
        <v>0</v>
      </c>
      <c r="Y272" s="161">
        <f t="shared" si="62"/>
        <v>0</v>
      </c>
      <c r="Z272" s="161">
        <f t="shared" si="62"/>
        <v>0</v>
      </c>
      <c r="AA272" s="161">
        <f t="shared" si="62"/>
        <v>0</v>
      </c>
      <c r="AB272" s="161">
        <f t="shared" si="62"/>
        <v>0</v>
      </c>
      <c r="AC272" s="161">
        <f t="shared" si="62"/>
        <v>0</v>
      </c>
      <c r="AD272" s="161">
        <f t="shared" si="62"/>
        <v>0</v>
      </c>
      <c r="AE272" s="161">
        <f t="shared" si="62"/>
        <v>0</v>
      </c>
      <c r="AF272" s="174">
        <f t="shared" si="62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3"/>
        <v>0</v>
      </c>
      <c r="D273" s="177">
        <f t="shared" si="63"/>
        <v>0</v>
      </c>
      <c r="E273" s="177">
        <f t="shared" si="63"/>
        <v>0</v>
      </c>
      <c r="F273" s="177">
        <f t="shared" si="63"/>
        <v>0</v>
      </c>
      <c r="G273" s="177">
        <f t="shared" si="63"/>
        <v>0</v>
      </c>
      <c r="H273" s="177">
        <f t="shared" si="63"/>
        <v>0</v>
      </c>
      <c r="I273" s="177">
        <f t="shared" si="63"/>
        <v>0</v>
      </c>
      <c r="J273" s="177">
        <f t="shared" si="63"/>
        <v>0</v>
      </c>
      <c r="K273" s="177">
        <f t="shared" si="63"/>
        <v>0</v>
      </c>
      <c r="L273" s="177">
        <f t="shared" si="63"/>
        <v>0</v>
      </c>
      <c r="M273" s="177">
        <f t="shared" si="63"/>
        <v>0</v>
      </c>
      <c r="N273" s="177">
        <f t="shared" si="63"/>
        <v>0</v>
      </c>
      <c r="O273" s="177">
        <f t="shared" si="63"/>
        <v>0</v>
      </c>
      <c r="P273" s="177">
        <f t="shared" si="63"/>
        <v>0</v>
      </c>
      <c r="Q273" s="177">
        <f t="shared" si="63"/>
        <v>0</v>
      </c>
      <c r="R273" s="177">
        <f t="shared" si="63"/>
        <v>0</v>
      </c>
      <c r="S273" s="177">
        <f t="shared" si="62"/>
        <v>0</v>
      </c>
      <c r="T273" s="177">
        <f t="shared" si="62"/>
        <v>0</v>
      </c>
      <c r="U273" s="177">
        <f t="shared" si="62"/>
        <v>0</v>
      </c>
      <c r="V273" s="177">
        <f t="shared" si="62"/>
        <v>0</v>
      </c>
      <c r="W273" s="177">
        <f t="shared" si="62"/>
        <v>0</v>
      </c>
      <c r="X273" s="177">
        <f t="shared" si="62"/>
        <v>0</v>
      </c>
      <c r="Y273" s="177">
        <f t="shared" si="62"/>
        <v>0</v>
      </c>
      <c r="Z273" s="177">
        <f t="shared" si="62"/>
        <v>0</v>
      </c>
      <c r="AA273" s="177">
        <f t="shared" si="62"/>
        <v>0</v>
      </c>
      <c r="AB273" s="177">
        <f t="shared" si="62"/>
        <v>0</v>
      </c>
      <c r="AC273" s="177">
        <f t="shared" si="62"/>
        <v>0</v>
      </c>
      <c r="AD273" s="177">
        <f t="shared" si="62"/>
        <v>0</v>
      </c>
      <c r="AE273" s="177">
        <f t="shared" si="62"/>
        <v>0</v>
      </c>
      <c r="AF273" s="178">
        <f t="shared" si="62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4">SUM(B169:B273)</f>
        <v>0</v>
      </c>
      <c r="C274" s="180">
        <f t="shared" si="64"/>
        <v>0</v>
      </c>
      <c r="D274" s="180">
        <f t="shared" si="64"/>
        <v>0</v>
      </c>
      <c r="E274" s="180">
        <f t="shared" si="64"/>
        <v>0</v>
      </c>
      <c r="F274" s="180">
        <f t="shared" si="64"/>
        <v>0</v>
      </c>
      <c r="G274" s="180">
        <f t="shared" si="64"/>
        <v>0</v>
      </c>
      <c r="H274" s="180">
        <f t="shared" si="64"/>
        <v>0</v>
      </c>
      <c r="I274" s="180">
        <f t="shared" si="64"/>
        <v>0</v>
      </c>
      <c r="J274" s="180">
        <f t="shared" si="64"/>
        <v>0</v>
      </c>
      <c r="K274" s="180">
        <f t="shared" si="64"/>
        <v>0</v>
      </c>
      <c r="L274" s="180">
        <f t="shared" si="64"/>
        <v>0</v>
      </c>
      <c r="M274" s="180">
        <f t="shared" si="64"/>
        <v>0</v>
      </c>
      <c r="N274" s="180">
        <f t="shared" si="64"/>
        <v>0</v>
      </c>
      <c r="O274" s="180">
        <f t="shared" si="64"/>
        <v>0</v>
      </c>
      <c r="P274" s="180">
        <f t="shared" si="64"/>
        <v>0</v>
      </c>
      <c r="Q274" s="180">
        <f t="shared" si="64"/>
        <v>0</v>
      </c>
      <c r="R274" s="180">
        <f t="shared" si="64"/>
        <v>0</v>
      </c>
      <c r="S274" s="180">
        <f t="shared" si="64"/>
        <v>0</v>
      </c>
      <c r="T274" s="180">
        <f t="shared" si="64"/>
        <v>0</v>
      </c>
      <c r="U274" s="180">
        <f t="shared" si="64"/>
        <v>0</v>
      </c>
      <c r="V274" s="180">
        <f t="shared" si="64"/>
        <v>0</v>
      </c>
      <c r="W274" s="180">
        <f t="shared" si="64"/>
        <v>0</v>
      </c>
      <c r="X274" s="180">
        <f t="shared" si="64"/>
        <v>0</v>
      </c>
      <c r="Y274" s="180">
        <f t="shared" si="64"/>
        <v>0</v>
      </c>
      <c r="Z274" s="180">
        <f t="shared" si="64"/>
        <v>0</v>
      </c>
      <c r="AA274" s="180">
        <f t="shared" si="64"/>
        <v>0</v>
      </c>
      <c r="AB274" s="180">
        <f t="shared" si="64"/>
        <v>0</v>
      </c>
      <c r="AC274" s="180">
        <f t="shared" si="64"/>
        <v>0</v>
      </c>
      <c r="AD274" s="180">
        <f t="shared" si="64"/>
        <v>0</v>
      </c>
      <c r="AE274" s="180">
        <f t="shared" si="64"/>
        <v>0</v>
      </c>
      <c r="AF274" s="181">
        <f t="shared" si="64"/>
        <v>0</v>
      </c>
      <c r="AG274" s="182">
        <f t="shared" si="64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53" priority="97">
      <formula>$AH11=0</formula>
    </cfRule>
  </conditionalFormatting>
  <conditionalFormatting sqref="A101:A102">
    <cfRule type="expression" dxfId="252" priority="265">
      <formula>$AH106=0</formula>
    </cfRule>
  </conditionalFormatting>
  <conditionalFormatting sqref="A103:A107">
    <cfRule type="expression" dxfId="251" priority="213">
      <formula>$AH102=0</formula>
    </cfRule>
  </conditionalFormatting>
  <conditionalFormatting sqref="A160:A167">
    <cfRule type="expression" dxfId="250" priority="266">
      <formula>$AH267=0</formula>
    </cfRule>
  </conditionalFormatting>
  <conditionalFormatting sqref="A168:A275">
    <cfRule type="expression" dxfId="249" priority="136">
      <formula>$AH168=0</formula>
    </cfRule>
  </conditionalFormatting>
  <conditionalFormatting sqref="B8">
    <cfRule type="expression" dxfId="248" priority="261">
      <formula>AND(C$9&gt;=14/24,C$9&lt;20/24)</formula>
    </cfRule>
    <cfRule type="expression" dxfId="247" priority="262">
      <formula>AND(C$9&gt;=8/24,C$9&lt;14/24)</formula>
    </cfRule>
    <cfRule type="expression" dxfId="246" priority="263">
      <formula>C$9&lt;8/24</formula>
    </cfRule>
    <cfRule type="expression" dxfId="245" priority="264">
      <formula>C$9&gt;=20/24</formula>
    </cfRule>
  </conditionalFormatting>
  <conditionalFormatting sqref="G11:AA13 AB12:AF13 J84:J90 K85:AF90 B9:AF10 C117:AF125 B113:B115 C109:AF115 B108:AF108 B117:B124 C152:AF152 C154:AF159 J72:L72 B153:AF153 B96:AF96 J76:AF77 C134:D134 D126:D133 D137:AF151 E126:AF134 B78:F78 C97:AF107 E93:AF95">
    <cfRule type="expression" dxfId="244" priority="178">
      <formula>B$9&gt;=20/24</formula>
    </cfRule>
  </conditionalFormatting>
  <conditionalFormatting sqref="B9:AF10 G11:AA13 AB12:AF13 J84:J90 K85:AF90 C117:AF125 B113:B115 C109:AF115 B108:AF108 B117:B124 C152:AF152 C154:AF159 J72:L72 B153:AF153 B96:AF96 J76:AF77 C134:D134 D126:D133 D137:AF151 E126:AF134 B78:F78 C97:AF107 E93:AF95">
    <cfRule type="expression" dxfId="243" priority="179">
      <formula>AND(B$9&gt;=14/24,B$9&lt;20/24)</formula>
    </cfRule>
    <cfRule type="expression" dxfId="242" priority="180">
      <formula>AND(B$9&gt;=8/24,B$9&lt;14/24)</formula>
    </cfRule>
    <cfRule type="expression" dxfId="241" priority="181">
      <formula>B$9&lt;8/24</formula>
    </cfRule>
  </conditionalFormatting>
  <conditionalFormatting sqref="G14:AF53">
    <cfRule type="expression" dxfId="240" priority="121">
      <formula>G14&gt;$AG14*1</formula>
    </cfRule>
    <cfRule type="expression" dxfId="239" priority="122">
      <formula>G$9&gt;=20/24</formula>
    </cfRule>
    <cfRule type="expression" dxfId="238" priority="123">
      <formula>AND(G$9&gt;=14/24,G$9&lt;20/24)</formula>
    </cfRule>
    <cfRule type="expression" dxfId="237" priority="124">
      <formula>AND(G$9&gt;=8/24,G$9&lt;14/24)</formula>
    </cfRule>
    <cfRule type="expression" dxfId="236" priority="125">
      <formula>G$9&lt;8/24</formula>
    </cfRule>
  </conditionalFormatting>
  <conditionalFormatting sqref="G54:AF68">
    <cfRule type="expression" dxfId="235" priority="114">
      <formula>G$9&lt;8/24</formula>
    </cfRule>
  </conditionalFormatting>
  <conditionalFormatting sqref="G54:AF70">
    <cfRule type="expression" dxfId="234" priority="111">
      <formula>G$9&gt;=20/24</formula>
    </cfRule>
    <cfRule type="expression" dxfId="233" priority="112">
      <formula>AND(G$9&gt;=14/24,G$9&lt;20/24)</formula>
    </cfRule>
    <cfRule type="expression" dxfId="232" priority="113">
      <formula>AND(G$9&gt;=8/24,G$9&lt;14/24)</formula>
    </cfRule>
  </conditionalFormatting>
  <conditionalFormatting sqref="G63:AF65">
    <cfRule type="expression" dxfId="231" priority="115">
      <formula>G63&gt;$AG63</formula>
    </cfRule>
  </conditionalFormatting>
  <conditionalFormatting sqref="G69:AF70">
    <cfRule type="expression" dxfId="230" priority="186">
      <formula>G$9&lt;8/24</formula>
    </cfRule>
  </conditionalFormatting>
  <conditionalFormatting sqref="J72:AF75">
    <cfRule type="expression" dxfId="229" priority="102">
      <formula>J72&gt;$AG72*1</formula>
    </cfRule>
  </conditionalFormatting>
  <conditionalFormatting sqref="J73:AF75">
    <cfRule type="expression" dxfId="228" priority="103">
      <formula>J$9&gt;=20/24</formula>
    </cfRule>
    <cfRule type="expression" dxfId="227" priority="104">
      <formula>AND(J$9&gt;=14/24,J$9&lt;20/24)</formula>
    </cfRule>
    <cfRule type="expression" dxfId="226" priority="105">
      <formula>AND(J$9&gt;=8/24,J$9&lt;14/24)</formula>
    </cfRule>
    <cfRule type="expression" dxfId="225" priority="106">
      <formula>J$9&lt;8/24</formula>
    </cfRule>
  </conditionalFormatting>
  <conditionalFormatting sqref="C161:AF167">
    <cfRule type="expression" dxfId="224" priority="137">
      <formula>C$9&gt;=20/24</formula>
    </cfRule>
    <cfRule type="expression" dxfId="223" priority="138">
      <formula>AND(C$9&gt;=14/24,C$9&lt;20/24)</formula>
    </cfRule>
    <cfRule type="expression" dxfId="222" priority="139">
      <formula>AND(C$9&gt;=8/24,C$9&lt;14/24)</formula>
    </cfRule>
    <cfRule type="expression" dxfId="221" priority="140">
      <formula>C$9&lt;8/24</formula>
    </cfRule>
  </conditionalFormatting>
  <conditionalFormatting sqref="C169:AF274">
    <cfRule type="expression" dxfId="220" priority="98">
      <formula>C$9&gt;=20/24</formula>
    </cfRule>
    <cfRule type="expression" dxfId="219" priority="99">
      <formula>AND(C$9&gt;=14/24,C$9&lt;20/24)</formula>
    </cfRule>
    <cfRule type="expression" dxfId="218" priority="100">
      <formula>AND(C$9&gt;=8/24,C$9&lt;14/24)</formula>
    </cfRule>
    <cfRule type="expression" dxfId="217" priority="101">
      <formula>C$9&lt;8/24</formula>
    </cfRule>
  </conditionalFormatting>
  <conditionalFormatting sqref="AD80:AF90 AB69:AF70 AA70 G11:AA13 AB12:AF13 J79:AC90 G69:AA69 J76:AF77 B96:AG96 B91:D92 B71:AG71 B78:AG78 E91:AF95">
    <cfRule type="expression" dxfId="216" priority="177">
      <formula>B11&gt;$AG11*1</formula>
    </cfRule>
  </conditionalFormatting>
  <conditionalFormatting sqref="J80:J83 K83:O83">
    <cfRule type="expression" dxfId="215" priority="187">
      <formula>J$9&gt;=20/24</formula>
    </cfRule>
    <cfRule type="expression" dxfId="214" priority="188">
      <formula>AND(J$9&gt;=14/24,J$9&lt;20/24)</formula>
    </cfRule>
    <cfRule type="expression" dxfId="213" priority="189">
      <formula>AND(J$9&gt;=8/24,J$9&lt;14/24)</formula>
    </cfRule>
    <cfRule type="expression" dxfId="212" priority="190">
      <formula>J$9&lt;8/24</formula>
    </cfRule>
  </conditionalFormatting>
  <conditionalFormatting sqref="J84:O84">
    <cfRule type="expression" dxfId="211" priority="182">
      <formula>J$9&gt;=20/24</formula>
    </cfRule>
    <cfRule type="expression" dxfId="210" priority="183">
      <formula>AND(J$9&gt;=14/24,J$9&lt;20/24)</formula>
    </cfRule>
    <cfRule type="expression" dxfId="209" priority="184">
      <formula>AND(J$9&gt;=8/24,J$9&lt;14/24)</formula>
    </cfRule>
    <cfRule type="expression" dxfId="208" priority="185">
      <formula>J$9&lt;8/24</formula>
    </cfRule>
  </conditionalFormatting>
  <conditionalFormatting sqref="G78:AF78 J72:AF72 J76:AF77">
    <cfRule type="expression" dxfId="207" priority="197">
      <formula>G$9&gt;=20/24</formula>
    </cfRule>
    <cfRule type="expression" dxfId="206" priority="198">
      <formula>AND(G$9&gt;=14/24,G$9&lt;20/24)</formula>
    </cfRule>
    <cfRule type="expression" dxfId="205" priority="199">
      <formula>AND(G$9&gt;=8/24,G$9&lt;14/24)</formula>
    </cfRule>
    <cfRule type="expression" dxfId="204" priority="200">
      <formula>G$9&lt;8/24</formula>
    </cfRule>
  </conditionalFormatting>
  <conditionalFormatting sqref="J73:AF75">
    <cfRule type="expression" dxfId="203" priority="107">
      <formula>J$9&gt;=20/24</formula>
    </cfRule>
    <cfRule type="expression" dxfId="202" priority="108">
      <formula>AND(J$9&gt;=14/24,J$9&lt;20/24)</formula>
    </cfRule>
    <cfRule type="expression" dxfId="201" priority="109">
      <formula>AND(J$9&gt;=8/24,J$9&lt;14/24)</formula>
    </cfRule>
    <cfRule type="expression" dxfId="200" priority="110">
      <formula>J$9&lt;8/24</formula>
    </cfRule>
  </conditionalFormatting>
  <conditionalFormatting sqref="J79:O81">
    <cfRule type="expression" dxfId="199" priority="205">
      <formula>J$9&gt;=20/24</formula>
    </cfRule>
    <cfRule type="expression" dxfId="198" priority="206">
      <formula>AND(J$9&gt;=14/24,J$9&lt;20/24)</formula>
    </cfRule>
    <cfRule type="expression" dxfId="197" priority="207">
      <formula>AND(J$9&gt;=8/24,J$9&lt;14/24)</formula>
    </cfRule>
    <cfRule type="expression" dxfId="196" priority="208">
      <formula>J$9&lt;8/24</formula>
    </cfRule>
  </conditionalFormatting>
  <conditionalFormatting sqref="L84:AF84">
    <cfRule type="expression" dxfId="195" priority="201">
      <formula>L$9&gt;=20/24</formula>
    </cfRule>
    <cfRule type="expression" dxfId="194" priority="202">
      <formula>AND(L$9&gt;=14/24,L$9&lt;20/24)</formula>
    </cfRule>
    <cfRule type="expression" dxfId="193" priority="203">
      <formula>AND(L$9&gt;=8/24,L$9&lt;14/24)</formula>
    </cfRule>
    <cfRule type="expression" dxfId="192" priority="204">
      <formula>L$9&lt;8/24</formula>
    </cfRule>
  </conditionalFormatting>
  <conditionalFormatting sqref="M8 S8 AB8">
    <cfRule type="expression" dxfId="191" priority="254">
      <formula>AND(N$9&gt;=14/24,N$9&lt;20/24)</formula>
    </cfRule>
    <cfRule type="expression" dxfId="190" priority="255">
      <formula>AND(N$9&gt;=8/24,N$9&lt;14/24)</formula>
    </cfRule>
    <cfRule type="expression" dxfId="189" priority="256">
      <formula>N$9&lt;8/24</formula>
    </cfRule>
  </conditionalFormatting>
  <conditionalFormatting sqref="M79:Y83 Z80:AA83">
    <cfRule type="expression" dxfId="188" priority="209">
      <formula>M$9&gt;=20/24</formula>
    </cfRule>
    <cfRule type="expression" dxfId="187" priority="210">
      <formula>AND(M$9&gt;=14/24,M$9&lt;20/24)</formula>
    </cfRule>
    <cfRule type="expression" dxfId="186" priority="211">
      <formula>AND(M$9&gt;=8/24,M$9&lt;14/24)</formula>
    </cfRule>
    <cfRule type="expression" dxfId="185" priority="212">
      <formula>M$9&lt;8/24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84" priority="253">
      <formula>N$9&gt;=20/24</formula>
    </cfRule>
  </conditionalFormatting>
  <conditionalFormatting sqref="S8">
    <cfRule type="expression" dxfId="183" priority="244">
      <formula>U$9&gt;=20/24</formula>
    </cfRule>
    <cfRule type="expression" dxfId="182" priority="245">
      <formula>AND(U$9&gt;=14/24,U$9&lt;20/24)</formula>
    </cfRule>
    <cfRule type="expression" dxfId="181" priority="246">
      <formula>AND(U$9&gt;=8/24,U$9&lt;14/24)</formula>
    </cfRule>
    <cfRule type="expression" dxfId="180" priority="247">
      <formula>U$9&lt;8/24</formula>
    </cfRule>
  </conditionalFormatting>
  <conditionalFormatting sqref="T79:AF84">
    <cfRule type="expression" dxfId="179" priority="131">
      <formula>T$9&gt;=20/24</formula>
    </cfRule>
    <cfRule type="expression" dxfId="178" priority="132">
      <formula>AND(T$9&gt;=14/24,T$9&lt;20/24)</formula>
    </cfRule>
    <cfRule type="expression" dxfId="177" priority="133">
      <formula>AND(T$9&gt;=8/24,T$9&lt;14/24)</formula>
    </cfRule>
    <cfRule type="expression" dxfId="176" priority="134">
      <formula>T$9&lt;8/24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75" priority="116">
      <formula>Y$9&gt;=20/24</formula>
    </cfRule>
    <cfRule type="expression" dxfId="174" priority="117">
      <formula>AND(Y$9&gt;=14/24,Y$9&lt;20/24)</formula>
    </cfRule>
    <cfRule type="expression" dxfId="173" priority="118">
      <formula>AND(Y$9&gt;=8/24,Y$9&lt;14/24)</formula>
    </cfRule>
    <cfRule type="expression" dxfId="172" priority="119">
      <formula>Y$9&lt;8/24</formula>
    </cfRule>
  </conditionalFormatting>
  <conditionalFormatting sqref="Z69:Z70">
    <cfRule type="expression" dxfId="171" priority="196">
      <formula>Z69&gt;$AG69</formula>
    </cfRule>
  </conditionalFormatting>
  <conditionalFormatting sqref="Z66:AF69 AB11:AF11 G54:AF62 G66:Y70">
    <cfRule type="expression" dxfId="170" priority="191">
      <formula>G11&gt;$AG11</formula>
    </cfRule>
  </conditionalFormatting>
  <conditionalFormatting sqref="AB8">
    <cfRule type="expression" dxfId="169" priority="240">
      <formula>AD$9&gt;=20/24</formula>
    </cfRule>
    <cfRule type="expression" dxfId="168" priority="241">
      <formula>AND(AD$9&gt;=14/24,AD$9&lt;20/24)</formula>
    </cfRule>
    <cfRule type="expression" dxfId="167" priority="242">
      <formula>AND(AD$9&gt;=8/24,AD$9&lt;14/24)</formula>
    </cfRule>
    <cfRule type="expression" dxfId="166" priority="243">
      <formula>AD$9&lt;8/24</formula>
    </cfRule>
  </conditionalFormatting>
  <conditionalFormatting sqref="AB11:AF11">
    <cfRule type="expression" dxfId="165" priority="192">
      <formula>AB$9&gt;=20/24</formula>
    </cfRule>
    <cfRule type="expression" dxfId="164" priority="193">
      <formula>AND(AB$9&gt;=14/24,AB$9&lt;20/24)</formula>
    </cfRule>
    <cfRule type="expression" dxfId="163" priority="194">
      <formula>AND(AB$9&gt;=8/24,AB$9&lt;14/24)</formula>
    </cfRule>
    <cfRule type="expression" dxfId="162" priority="195">
      <formula>AB$9&lt;8/24</formula>
    </cfRule>
  </conditionalFormatting>
  <conditionalFormatting sqref="AD79:AF79">
    <cfRule type="expression" dxfId="161" priority="267">
      <formula>AD79&gt;$AG80*1</formula>
    </cfRule>
  </conditionalFormatting>
  <conditionalFormatting sqref="AG78">
    <cfRule type="expression" dxfId="160" priority="219">
      <formula>AG$9&gt;=20/24</formula>
    </cfRule>
    <cfRule type="expression" dxfId="159" priority="220">
      <formula>AND(AG$9&gt;=14/24,AG$9&lt;20/24)</formula>
    </cfRule>
    <cfRule type="expression" dxfId="158" priority="221">
      <formula>AND(AG$9&gt;=8/24,AG$9&lt;14/24)</formula>
    </cfRule>
    <cfRule type="expression" dxfId="157" priority="222">
      <formula>AG$9&lt;8/24</formula>
    </cfRule>
  </conditionalFormatting>
  <conditionalFormatting sqref="AG91:AG92">
    <cfRule type="expression" dxfId="156" priority="214">
      <formula>AG91&gt;$AG91</formula>
    </cfRule>
  </conditionalFormatting>
  <conditionalFormatting sqref="AG96">
    <cfRule type="expression" dxfId="155" priority="215">
      <formula>AG$9&gt;=20/24</formula>
    </cfRule>
    <cfRule type="expression" dxfId="154" priority="216">
      <formula>AND(AG$9&gt;=14/24,AG$9&lt;20/24)</formula>
    </cfRule>
    <cfRule type="expression" dxfId="153" priority="217">
      <formula>AND(AG$9&gt;=8/24,AG$9&lt;14/24)</formula>
    </cfRule>
    <cfRule type="expression" dxfId="152" priority="218">
      <formula>AG$9&lt;8/24</formula>
    </cfRule>
  </conditionalFormatting>
  <conditionalFormatting sqref="AG113">
    <cfRule type="expression" dxfId="151" priority="236">
      <formula>AG$9&gt;=20/24</formula>
    </cfRule>
    <cfRule type="expression" dxfId="150" priority="237">
      <formula>AND(AG$9&gt;=14/24,AG$9&lt;20/24)</formula>
    </cfRule>
    <cfRule type="expression" dxfId="149" priority="238">
      <formula>AND(AG$9&gt;=8/24,AG$9&lt;14/24)</formula>
    </cfRule>
    <cfRule type="expression" dxfId="148" priority="239">
      <formula>AG$9&lt;8/24</formula>
    </cfRule>
  </conditionalFormatting>
  <conditionalFormatting sqref="AH8:AI10">
    <cfRule type="expression" dxfId="147" priority="127">
      <formula>AH$9&gt;=20/24</formula>
    </cfRule>
    <cfRule type="expression" dxfId="146" priority="128">
      <formula>AND(AH$9&gt;=14/24,AH$9&lt;20/24)</formula>
    </cfRule>
    <cfRule type="expression" dxfId="145" priority="129">
      <formula>AND(AH$9&gt;=8/24,AH$9&lt;14/24)</formula>
    </cfRule>
    <cfRule type="expression" dxfId="14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43" priority="257">
      <formula>AJ$9&gt;=20/24</formula>
    </cfRule>
    <cfRule type="expression" dxfId="142" priority="258">
      <formula>AND(AJ$9&gt;=14/24,AJ$9&lt;20/24)</formula>
    </cfRule>
    <cfRule type="expression" dxfId="141" priority="259">
      <formula>AND(AJ$9&gt;=8/24,AJ$9&lt;14/24)</formula>
    </cfRule>
    <cfRule type="expression" dxfId="140" priority="260">
      <formula>AJ$9&lt;8/24</formula>
    </cfRule>
  </conditionalFormatting>
  <conditionalFormatting sqref="AL99:AN99 AL105:AN105">
    <cfRule type="expression" dxfId="139" priority="229">
      <formula>AL$9&gt;=20/24</formula>
    </cfRule>
    <cfRule type="expression" dxfId="138" priority="230">
      <formula>AND(AL$9&gt;=14/24,AL$9&lt;20/24)</formula>
    </cfRule>
    <cfRule type="expression" dxfId="137" priority="231">
      <formula>AND(AL$9&gt;=8/24,AL$9&lt;14/24)</formula>
    </cfRule>
    <cfRule type="expression" dxfId="136" priority="232">
      <formula>AL$9&lt;8/24</formula>
    </cfRule>
  </conditionalFormatting>
  <conditionalFormatting sqref="AM15:AM21 AN16:AR21">
    <cfRule type="expression" dxfId="135" priority="153">
      <formula>AX$9&gt;=20/24</formula>
    </cfRule>
    <cfRule type="expression" dxfId="134" priority="154">
      <formula>AND(AX$9&gt;=14/24,AX$9&lt;20/24)</formula>
    </cfRule>
    <cfRule type="expression" dxfId="133" priority="155">
      <formula>AND(AX$9&gt;=8/24,AX$9&lt;14/24)</formula>
    </cfRule>
    <cfRule type="expression" dxfId="132" priority="156">
      <formula>AX$9&lt;8/24</formula>
    </cfRule>
  </conditionalFormatting>
  <conditionalFormatting sqref="AN100:AN103">
    <cfRule type="expression" dxfId="131" priority="225">
      <formula>AN$9&gt;=20/24</formula>
    </cfRule>
    <cfRule type="expression" dxfId="130" priority="226">
      <formula>AND(AN$9&gt;=14/24,AN$9&lt;20/24)</formula>
    </cfRule>
    <cfRule type="expression" dxfId="129" priority="227">
      <formula>AND(AN$9&gt;=8/24,AN$9&lt;14/24)</formula>
    </cfRule>
    <cfRule type="expression" dxfId="128" priority="228">
      <formula>AN$9&lt;8/24</formula>
    </cfRule>
  </conditionalFormatting>
  <conditionalFormatting sqref="AN15:AR15">
    <cfRule type="expression" dxfId="127" priority="141">
      <formula>U$9&gt;=20/24</formula>
    </cfRule>
    <cfRule type="expression" dxfId="126" priority="142">
      <formula>AND(U$9&gt;=14/24,U$9&lt;20/24)</formula>
    </cfRule>
    <cfRule type="expression" dxfId="125" priority="143">
      <formula>AND(U$9&gt;=8/24,U$9&lt;14/24)</formula>
    </cfRule>
    <cfRule type="expression" dxfId="124" priority="144">
      <formula>U$9&lt;8/24</formula>
    </cfRule>
  </conditionalFormatting>
  <conditionalFormatting sqref="AS15">
    <cfRule type="expression" dxfId="123" priority="149">
      <formula>AA$9&gt;=20/24</formula>
    </cfRule>
    <cfRule type="expression" dxfId="122" priority="150">
      <formula>AND(AA$9&gt;=14/24,AA$9&lt;20/24)</formula>
    </cfRule>
    <cfRule type="expression" dxfId="121" priority="151">
      <formula>AND(AA$9&gt;=8/24,AA$9&lt;14/24)</formula>
    </cfRule>
    <cfRule type="expression" dxfId="120" priority="152">
      <formula>AA$9&lt;8/24</formula>
    </cfRule>
  </conditionalFormatting>
  <conditionalFormatting sqref="AS16:AS21">
    <cfRule type="expression" dxfId="119" priority="157">
      <formula>BE$9&gt;=20/24</formula>
    </cfRule>
    <cfRule type="expression" dxfId="118" priority="158">
      <formula>AND(BE$9&gt;=14/24,BE$9&lt;20/24)</formula>
    </cfRule>
    <cfRule type="expression" dxfId="117" priority="159">
      <formula>AND(BE$9&gt;=8/24,BE$9&lt;14/24)</formula>
    </cfRule>
    <cfRule type="expression" dxfId="116" priority="160">
      <formula>BE$9&lt;8/24</formula>
    </cfRule>
  </conditionalFormatting>
  <conditionalFormatting sqref="AT15 AX15:BJ15">
    <cfRule type="expression" dxfId="115" priority="161">
      <formula>AC$9&gt;=20/24</formula>
    </cfRule>
    <cfRule type="expression" dxfId="114" priority="162">
      <formula>AND(AC$9&gt;=14/24,AC$9&lt;20/24)</formula>
    </cfRule>
    <cfRule type="expression" dxfId="113" priority="163">
      <formula>AND(AC$9&gt;=8/24,AC$9&lt;14/24)</formula>
    </cfRule>
    <cfRule type="expression" dxfId="112" priority="164">
      <formula>AC$9&lt;8/24</formula>
    </cfRule>
  </conditionalFormatting>
  <conditionalFormatting sqref="AT16:AT21">
    <cfRule type="expression" dxfId="111" priority="165">
      <formula>BG$9&gt;=20/24</formula>
    </cfRule>
    <cfRule type="expression" dxfId="110" priority="166">
      <formula>AND(BG$9&gt;=14/24,BG$9&lt;20/24)</formula>
    </cfRule>
    <cfRule type="expression" dxfId="109" priority="167">
      <formula>AND(BG$9&gt;=8/24,BG$9&lt;14/24)</formula>
    </cfRule>
    <cfRule type="expression" dxfId="108" priority="168">
      <formula>BG$9&lt;8/24</formula>
    </cfRule>
  </conditionalFormatting>
  <conditionalFormatting sqref="AU15:AV15">
    <cfRule type="expression" dxfId="107" priority="169">
      <formula>AE$9&gt;=20/24</formula>
    </cfRule>
    <cfRule type="expression" dxfId="106" priority="170">
      <formula>AND(AE$9&gt;=14/24,AE$9&lt;20/24)</formula>
    </cfRule>
    <cfRule type="expression" dxfId="105" priority="171">
      <formula>AND(AE$9&gt;=8/24,AE$9&lt;14/24)</formula>
    </cfRule>
    <cfRule type="expression" dxfId="104" priority="172">
      <formula>AE$9&lt;8/24</formula>
    </cfRule>
  </conditionalFormatting>
  <conditionalFormatting sqref="AU16:BJ21">
    <cfRule type="expression" dxfId="103" priority="173">
      <formula>BI$9&gt;=20/24</formula>
    </cfRule>
    <cfRule type="expression" dxfId="102" priority="174">
      <formula>AND(BI$9&gt;=14/24,BI$9&lt;20/24)</formula>
    </cfRule>
    <cfRule type="expression" dxfId="101" priority="175">
      <formula>AND(BI$9&gt;=8/24,BI$9&lt;14/24)</formula>
    </cfRule>
    <cfRule type="expression" dxfId="100" priority="176">
      <formula>BI$9&lt;8/24</formula>
    </cfRule>
  </conditionalFormatting>
  <conditionalFormatting sqref="AW15">
    <cfRule type="expression" dxfId="99" priority="145">
      <formula>B$9&gt;=20/24</formula>
    </cfRule>
    <cfRule type="expression" dxfId="98" priority="146">
      <formula>AND(B$9&gt;=14/24,B$9&lt;20/24)</formula>
    </cfRule>
    <cfRule type="expression" dxfId="97" priority="147">
      <formula>AND(B$9&gt;=8/24,B$9&lt;14/24)</formula>
    </cfRule>
    <cfRule type="expression" dxfId="96" priority="148">
      <formula>B$9&lt;8/24</formula>
    </cfRule>
  </conditionalFormatting>
  <conditionalFormatting sqref="A73">
    <cfRule type="expression" dxfId="95" priority="96">
      <formula>$AH73=0</formula>
    </cfRule>
  </conditionalFormatting>
  <conditionalFormatting sqref="B97:B107 B152 B109:B112 B125 B154:B159 B134">
    <cfRule type="expression" dxfId="94" priority="92">
      <formula>B$9&gt;=20/24</formula>
    </cfRule>
  </conditionalFormatting>
  <conditionalFormatting sqref="B97:B107 B152 B109:B112 B125 B154:B159 B134">
    <cfRule type="expression" dxfId="93" priority="93">
      <formula>AND(B$9&gt;=14/24,B$9&lt;20/24)</formula>
    </cfRule>
    <cfRule type="expression" dxfId="92" priority="94">
      <formula>AND(B$9&gt;=8/24,B$9&lt;14/24)</formula>
    </cfRule>
    <cfRule type="expression" dxfId="91" priority="95">
      <formula>B$9&lt;8/24</formula>
    </cfRule>
  </conditionalFormatting>
  <conditionalFormatting sqref="B161:B167">
    <cfRule type="expression" dxfId="85" priority="87">
      <formula>B$9&gt;=20/24</formula>
    </cfRule>
    <cfRule type="expression" dxfId="84" priority="88">
      <formula>AND(B$9&gt;=14/24,B$9&lt;20/24)</formula>
    </cfRule>
    <cfRule type="expression" dxfId="83" priority="89">
      <formula>AND(B$9&gt;=8/24,B$9&lt;14/24)</formula>
    </cfRule>
    <cfRule type="expression" dxfId="82" priority="90">
      <formula>B$9&lt;8/24</formula>
    </cfRule>
  </conditionalFormatting>
  <conditionalFormatting sqref="B169:B274">
    <cfRule type="expression" dxfId="81" priority="78">
      <formula>B$9&gt;=20/24</formula>
    </cfRule>
    <cfRule type="expression" dxfId="80" priority="79">
      <formula>AND(B$9&gt;=14/24,B$9&lt;20/24)</formula>
    </cfRule>
    <cfRule type="expression" dxfId="79" priority="80">
      <formula>AND(B$9&gt;=8/24,B$9&lt;14/24)</formula>
    </cfRule>
    <cfRule type="expression" dxfId="78" priority="81">
      <formula>B$9&lt;8/24</formula>
    </cfRule>
  </conditionalFormatting>
  <conditionalFormatting sqref="A153">
    <cfRule type="expression" dxfId="76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5" priority="73">
      <formula>AL$9&gt;=20/24</formula>
    </cfRule>
  </conditionalFormatting>
  <conditionalFormatting sqref="AL153">
    <cfRule type="expression" dxfId="74" priority="74">
      <formula>AND(AL$9&gt;=14/24,AL$9&lt;20/24)</formula>
    </cfRule>
    <cfRule type="expression" dxfId="73" priority="75">
      <formula>AND(AL$9&gt;=8/24,AL$9&lt;14/24)</formula>
    </cfRule>
    <cfRule type="expression" dxfId="72" priority="76">
      <formula>AL$9&lt;8/24</formula>
    </cfRule>
  </conditionalFormatting>
  <conditionalFormatting sqref="B11:F13">
    <cfRule type="expression" dxfId="71" priority="69">
      <formula>B$9&gt;=20/24</formula>
    </cfRule>
  </conditionalFormatting>
  <conditionalFormatting sqref="B11:F13">
    <cfRule type="expression" dxfId="70" priority="70">
      <formula>AND(B$9&gt;=14/24,B$9&lt;20/24)</formula>
    </cfRule>
    <cfRule type="expression" dxfId="69" priority="71">
      <formula>AND(B$9&gt;=8/24,B$9&lt;14/24)</formula>
    </cfRule>
    <cfRule type="expression" dxfId="68" priority="72">
      <formula>B$9&lt;8/24</formula>
    </cfRule>
  </conditionalFormatting>
  <conditionalFormatting sqref="B14:F16">
    <cfRule type="expression" dxfId="67" priority="63">
      <formula>B14&gt;$AG14*1</formula>
    </cfRule>
    <cfRule type="expression" dxfId="66" priority="64">
      <formula>B$9&gt;=20/24</formula>
    </cfRule>
    <cfRule type="expression" dxfId="65" priority="65">
      <formula>AND(B$9&gt;=14/24,B$9&lt;20/24)</formula>
    </cfRule>
    <cfRule type="expression" dxfId="64" priority="66">
      <formula>AND(B$9&gt;=8/24,B$9&lt;14/24)</formula>
    </cfRule>
    <cfRule type="expression" dxfId="63" priority="67">
      <formula>B$9&lt;8/24</formula>
    </cfRule>
  </conditionalFormatting>
  <conditionalFormatting sqref="B11:F13">
    <cfRule type="expression" dxfId="62" priority="68">
      <formula>B11&gt;$AG11*1</formula>
    </cfRule>
  </conditionalFormatting>
  <conditionalFormatting sqref="B17:F53">
    <cfRule type="expression" dxfId="61" priority="55">
      <formula>B17&gt;$AG17*1</formula>
    </cfRule>
    <cfRule type="expression" dxfId="60" priority="56">
      <formula>B$9&gt;=20/24</formula>
    </cfRule>
    <cfRule type="expression" dxfId="59" priority="57">
      <formula>AND(B$9&gt;=14/24,B$9&lt;20/24)</formula>
    </cfRule>
    <cfRule type="expression" dxfId="58" priority="58">
      <formula>AND(B$9&gt;=8/24,B$9&lt;14/24)</formula>
    </cfRule>
    <cfRule type="expression" dxfId="57" priority="59">
      <formula>B$9&lt;8/24</formula>
    </cfRule>
  </conditionalFormatting>
  <conditionalFormatting sqref="B54:F55">
    <cfRule type="expression" dxfId="56" priority="54">
      <formula>B$9&lt;8/24</formula>
    </cfRule>
  </conditionalFormatting>
  <conditionalFormatting sqref="B54:F55 B69:F70">
    <cfRule type="expression" dxfId="55" priority="51">
      <formula>B$9&gt;=20/24</formula>
    </cfRule>
    <cfRule type="expression" dxfId="54" priority="52">
      <formula>AND(B$9&gt;=14/24,B$9&lt;20/24)</formula>
    </cfRule>
    <cfRule type="expression" dxfId="53" priority="53">
      <formula>AND(B$9&gt;=8/24,B$9&lt;14/24)</formula>
    </cfRule>
  </conditionalFormatting>
  <conditionalFormatting sqref="B69:F70">
    <cfRule type="expression" dxfId="52" priority="61">
      <formula>B$9&lt;8/24</formula>
    </cfRule>
  </conditionalFormatting>
  <conditionalFormatting sqref="B69:F69">
    <cfRule type="expression" dxfId="51" priority="60">
      <formula>B69&gt;$AG69*1</formula>
    </cfRule>
  </conditionalFormatting>
  <conditionalFormatting sqref="B54:F55 B69:F70">
    <cfRule type="expression" dxfId="50" priority="62">
      <formula>B54&gt;$AG54</formula>
    </cfRule>
  </conditionalFormatting>
  <conditionalFormatting sqref="B56:F68">
    <cfRule type="expression" dxfId="49" priority="48">
      <formula>B$9&lt;8/24</formula>
    </cfRule>
  </conditionalFormatting>
  <conditionalFormatting sqref="B56:F68">
    <cfRule type="expression" dxfId="48" priority="45">
      <formula>B$9&gt;=20/24</formula>
    </cfRule>
    <cfRule type="expression" dxfId="47" priority="46">
      <formula>AND(B$9&gt;=14/24,B$9&lt;20/24)</formula>
    </cfRule>
    <cfRule type="expression" dxfId="46" priority="47">
      <formula>AND(B$9&gt;=8/24,B$9&lt;14/24)</formula>
    </cfRule>
  </conditionalFormatting>
  <conditionalFormatting sqref="B63:F65">
    <cfRule type="expression" dxfId="45" priority="49">
      <formula>B63&gt;$AG63</formula>
    </cfRule>
  </conditionalFormatting>
  <conditionalFormatting sqref="B66:F68 B56:F62">
    <cfRule type="expression" dxfId="44" priority="50">
      <formula>B56&gt;$AG56</formula>
    </cfRule>
  </conditionalFormatting>
  <conditionalFormatting sqref="B76:I77">
    <cfRule type="expression" dxfId="43" priority="37">
      <formula>B$9&gt;=20/24</formula>
    </cfRule>
  </conditionalFormatting>
  <conditionalFormatting sqref="B76:I77">
    <cfRule type="expression" dxfId="42" priority="38">
      <formula>AND(B$9&gt;=14/24,B$9&lt;20/24)</formula>
    </cfRule>
    <cfRule type="expression" dxfId="41" priority="39">
      <formula>AND(B$9&gt;=8/24,B$9&lt;14/24)</formula>
    </cfRule>
    <cfRule type="expression" dxfId="40" priority="40">
      <formula>B$9&lt;8/24</formula>
    </cfRule>
  </conditionalFormatting>
  <conditionalFormatting sqref="B72:I75">
    <cfRule type="expression" dxfId="39" priority="31">
      <formula>B72&gt;$AG72*1</formula>
    </cfRule>
  </conditionalFormatting>
  <conditionalFormatting sqref="B73:I75">
    <cfRule type="expression" dxfId="38" priority="32">
      <formula>B$9&gt;=20/24</formula>
    </cfRule>
    <cfRule type="expression" dxfId="37" priority="33">
      <formula>AND(B$9&gt;=14/24,B$9&lt;20/24)</formula>
    </cfRule>
    <cfRule type="expression" dxfId="36" priority="34">
      <formula>AND(B$9&gt;=8/24,B$9&lt;14/24)</formula>
    </cfRule>
    <cfRule type="expression" dxfId="35" priority="35">
      <formula>B$9&lt;8/24</formula>
    </cfRule>
  </conditionalFormatting>
  <conditionalFormatting sqref="B76:I77">
    <cfRule type="expression" dxfId="34" priority="36">
      <formula>B76&gt;$AG76*1</formula>
    </cfRule>
  </conditionalFormatting>
  <conditionalFormatting sqref="B72:I72">
    <cfRule type="expression" dxfId="33" priority="41">
      <formula>B$9&gt;=20/24</formula>
    </cfRule>
    <cfRule type="expression" dxfId="32" priority="42">
      <formula>AND(B$9&gt;=14/24,B$9&lt;20/24)</formula>
    </cfRule>
    <cfRule type="expression" dxfId="31" priority="43">
      <formula>AND(B$9&gt;=8/24,B$9&lt;14/24)</formula>
    </cfRule>
    <cfRule type="expression" dxfId="30" priority="44">
      <formula>B$9&lt;8/24</formula>
    </cfRule>
  </conditionalFormatting>
  <conditionalFormatting sqref="B85:I90">
    <cfRule type="expression" dxfId="29" priority="19">
      <formula>B$9&gt;=20/24</formula>
    </cfRule>
  </conditionalFormatting>
  <conditionalFormatting sqref="B85:I90">
    <cfRule type="expression" dxfId="28" priority="20">
      <formula>AND(B$9&gt;=14/24,B$9&lt;20/24)</formula>
    </cfRule>
    <cfRule type="expression" dxfId="27" priority="21">
      <formula>AND(B$9&gt;=8/24,B$9&lt;14/24)</formula>
    </cfRule>
    <cfRule type="expression" dxfId="26" priority="22">
      <formula>B$9&lt;8/24</formula>
    </cfRule>
  </conditionalFormatting>
  <conditionalFormatting sqref="B79:I90">
    <cfRule type="expression" dxfId="25" priority="18">
      <formula>B79&gt;$AG79*1</formula>
    </cfRule>
  </conditionalFormatting>
  <conditionalFormatting sqref="B84:I84">
    <cfRule type="expression" dxfId="24" priority="23">
      <formula>B$9&gt;=20/24</formula>
    </cfRule>
    <cfRule type="expression" dxfId="23" priority="24">
      <formula>AND(B$9&gt;=14/24,B$9&lt;20/24)</formula>
    </cfRule>
    <cfRule type="expression" dxfId="22" priority="25">
      <formula>AND(B$9&gt;=8/24,B$9&lt;14/24)</formula>
    </cfRule>
    <cfRule type="expression" dxfId="21" priority="26">
      <formula>B$9&lt;8/24</formula>
    </cfRule>
  </conditionalFormatting>
  <conditionalFormatting sqref="B80:I83">
    <cfRule type="expression" dxfId="20" priority="27">
      <formula>B$9&gt;=20/24</formula>
    </cfRule>
    <cfRule type="expression" dxfId="19" priority="28">
      <formula>AND(B$9&gt;=14/24,B$9&lt;20/24)</formula>
    </cfRule>
    <cfRule type="expression" dxfId="18" priority="29">
      <formula>AND(B$9&gt;=8/24,B$9&lt;14/24)</formula>
    </cfRule>
    <cfRule type="expression" dxfId="17" priority="30">
      <formula>B$9&lt;8/24</formula>
    </cfRule>
  </conditionalFormatting>
  <conditionalFormatting sqref="B79:I84">
    <cfRule type="expression" dxfId="16" priority="14">
      <formula>B$9&gt;=20/24</formula>
    </cfRule>
    <cfRule type="expression" dxfId="15" priority="15">
      <formula>AND(B$9&gt;=14/24,B$9&lt;20/24)</formula>
    </cfRule>
    <cfRule type="expression" dxfId="14" priority="16">
      <formula>AND(B$9&gt;=8/24,B$9&lt;14/24)</formula>
    </cfRule>
    <cfRule type="expression" dxfId="13" priority="17">
      <formula>B$9&lt;8/24</formula>
    </cfRule>
  </conditionalFormatting>
  <conditionalFormatting sqref="B93:D95">
    <cfRule type="expression" dxfId="12" priority="10">
      <formula>B$9&gt;=20/24</formula>
    </cfRule>
  </conditionalFormatting>
  <conditionalFormatting sqref="B93:D95">
    <cfRule type="expression" dxfId="11" priority="11">
      <formula>AND(B$9&gt;=14/24,B$9&lt;20/24)</formula>
    </cfRule>
    <cfRule type="expression" dxfId="10" priority="12">
      <formula>AND(B$9&gt;=8/24,B$9&lt;14/24)</formula>
    </cfRule>
    <cfRule type="expression" dxfId="9" priority="13">
      <formula>B$9&lt;8/24</formula>
    </cfRule>
  </conditionalFormatting>
  <conditionalFormatting sqref="B93:D95">
    <cfRule type="expression" dxfId="8" priority="9">
      <formula>B93&gt;$AG93*1</formula>
    </cfRule>
  </conditionalFormatting>
  <conditionalFormatting sqref="B126:C133">
    <cfRule type="expression" dxfId="7" priority="5">
      <formula>B$9&gt;=20/24</formula>
    </cfRule>
  </conditionalFormatting>
  <conditionalFormatting sqref="B126:C133">
    <cfRule type="expression" dxfId="6" priority="6">
      <formula>AND(B$9&gt;=14/24,B$9&lt;20/24)</formula>
    </cfRule>
    <cfRule type="expression" dxfId="5" priority="7">
      <formula>AND(B$9&gt;=8/24,B$9&lt;14/24)</formula>
    </cfRule>
    <cfRule type="expression" dxfId="4" priority="8">
      <formula>B$9&lt;8/24</formula>
    </cfRule>
  </conditionalFormatting>
  <conditionalFormatting sqref="B137:C151">
    <cfRule type="expression" dxfId="3" priority="1">
      <formula>B$9&gt;=20/24</formula>
    </cfRule>
  </conditionalFormatting>
  <conditionalFormatting sqref="B137:C151">
    <cfRule type="expression" dxfId="2" priority="2">
      <formula>AND(B$9&gt;=14/24,B$9&lt;20/24)</formula>
    </cfRule>
    <cfRule type="expression" dxfId="1" priority="3">
      <formula>AND(B$9&gt;=8/24,B$9&lt;14/24)</formula>
    </cfRule>
    <cfRule type="expression" dxfId="0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e">
        <f ca="1">"2080/"&amp;"10/"&amp;INT(MID(CELL("filename",D6),FIND("]",CELL("filename",D6))+1,200))</f>
        <v>#VALUE!</v>
      </c>
      <c r="C4" s="232"/>
      <c r="D4" s="232"/>
      <c r="E4" s="233" t="e">
        <f ca="1">"2080/"&amp;"10/"&amp;INT(MID(CELL("filename",G6),FIND("]",CELL("filename",G6))+1,200))</f>
        <v>#VALUE!</v>
      </c>
      <c r="F4" s="233"/>
      <c r="G4" s="233"/>
      <c r="H4" s="233" t="e">
        <f ca="1">TEXT(E4,"dddd")</f>
        <v>#VALUE!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22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23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79" priority="37">
      <formula>$AH11=0</formula>
    </cfRule>
  </conditionalFormatting>
  <conditionalFormatting sqref="A101:A102">
    <cfRule type="expression" dxfId="478" priority="205">
      <formula>$AH106=0</formula>
    </cfRule>
  </conditionalFormatting>
  <conditionalFormatting sqref="A103:A107">
    <cfRule type="expression" dxfId="477" priority="153">
      <formula>$AH102=0</formula>
    </cfRule>
  </conditionalFormatting>
  <conditionalFormatting sqref="A160:A167">
    <cfRule type="expression" dxfId="476" priority="206">
      <formula>$AH267=0</formula>
    </cfRule>
  </conditionalFormatting>
  <conditionalFormatting sqref="A168:A275">
    <cfRule type="expression" dxfId="475" priority="76">
      <formula>$AH168=0</formula>
    </cfRule>
  </conditionalFormatting>
  <conditionalFormatting sqref="B8">
    <cfRule type="expression" dxfId="474" priority="201">
      <formula>AND(C$9&gt;=14/24,C$9&lt;20/24)</formula>
    </cfRule>
    <cfRule type="expression" dxfId="473" priority="202">
      <formula>AND(C$9&gt;=8/24,C$9&lt;14/24)</formula>
    </cfRule>
    <cfRule type="expression" dxfId="472" priority="203">
      <formula>C$9&lt;8/24</formula>
    </cfRule>
    <cfRule type="expression" dxfId="471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470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469" priority="119">
      <formula>AND(B$9&gt;=14/24,B$9&lt;20/24)</formula>
    </cfRule>
    <cfRule type="expression" dxfId="468" priority="120">
      <formula>AND(B$9&gt;=8/24,B$9&lt;14/24)</formula>
    </cfRule>
    <cfRule type="expression" dxfId="467" priority="121">
      <formula>B$9&lt;8/24</formula>
    </cfRule>
  </conditionalFormatting>
  <conditionalFormatting sqref="C14:AF28 B29:AF53">
    <cfRule type="expression" dxfId="466" priority="61">
      <formula>B14&gt;$AG14*1</formula>
    </cfRule>
    <cfRule type="expression" dxfId="465" priority="62">
      <formula>B$9&gt;=20/24</formula>
    </cfRule>
    <cfRule type="expression" dxfId="464" priority="63">
      <formula>AND(B$9&gt;=14/24,B$9&lt;20/24)</formula>
    </cfRule>
    <cfRule type="expression" dxfId="463" priority="64">
      <formula>AND(B$9&gt;=8/24,B$9&lt;14/24)</formula>
    </cfRule>
    <cfRule type="expression" dxfId="462" priority="65">
      <formula>B$9&lt;8/24</formula>
    </cfRule>
  </conditionalFormatting>
  <conditionalFormatting sqref="B54:AF68">
    <cfRule type="expression" dxfId="461" priority="54">
      <formula>B$9&lt;8/24</formula>
    </cfRule>
  </conditionalFormatting>
  <conditionalFormatting sqref="B54:AF70">
    <cfRule type="expression" dxfId="460" priority="51">
      <formula>B$9&gt;=20/24</formula>
    </cfRule>
    <cfRule type="expression" dxfId="459" priority="52">
      <formula>AND(B$9&gt;=14/24,B$9&lt;20/24)</formula>
    </cfRule>
    <cfRule type="expression" dxfId="458" priority="53">
      <formula>AND(B$9&gt;=8/24,B$9&lt;14/24)</formula>
    </cfRule>
  </conditionalFormatting>
  <conditionalFormatting sqref="B63:AF65">
    <cfRule type="expression" dxfId="457" priority="55">
      <formula>B63&gt;$AG63</formula>
    </cfRule>
  </conditionalFormatting>
  <conditionalFormatting sqref="B69:AF70">
    <cfRule type="expression" dxfId="456" priority="126">
      <formula>B$9&lt;8/24</formula>
    </cfRule>
  </conditionalFormatting>
  <conditionalFormatting sqref="B72:AF75">
    <cfRule type="expression" dxfId="455" priority="42">
      <formula>B72&gt;$AG72*1</formula>
    </cfRule>
  </conditionalFormatting>
  <conditionalFormatting sqref="B73:AF75">
    <cfRule type="expression" dxfId="454" priority="43">
      <formula>B$9&gt;=20/24</formula>
    </cfRule>
    <cfRule type="expression" dxfId="453" priority="44">
      <formula>AND(B$9&gt;=14/24,B$9&lt;20/24)</formula>
    </cfRule>
    <cfRule type="expression" dxfId="452" priority="45">
      <formula>AND(B$9&gt;=8/24,B$9&lt;14/24)</formula>
    </cfRule>
    <cfRule type="expression" dxfId="451" priority="46">
      <formula>B$9&lt;8/24</formula>
    </cfRule>
  </conditionalFormatting>
  <conditionalFormatting sqref="C161:AF167">
    <cfRule type="expression" dxfId="450" priority="77">
      <formula>C$9&gt;=20/24</formula>
    </cfRule>
    <cfRule type="expression" dxfId="449" priority="78">
      <formula>AND(C$9&gt;=14/24,C$9&lt;20/24)</formula>
    </cfRule>
    <cfRule type="expression" dxfId="448" priority="79">
      <formula>AND(C$9&gt;=8/24,C$9&lt;14/24)</formula>
    </cfRule>
    <cfRule type="expression" dxfId="447" priority="80">
      <formula>C$9&lt;8/24</formula>
    </cfRule>
  </conditionalFormatting>
  <conditionalFormatting sqref="C169:AF274">
    <cfRule type="expression" dxfId="446" priority="38">
      <formula>C$9&gt;=20/24</formula>
    </cfRule>
    <cfRule type="expression" dxfId="445" priority="39">
      <formula>AND(C$9&gt;=14/24,C$9&lt;20/24)</formula>
    </cfRule>
    <cfRule type="expression" dxfId="444" priority="40">
      <formula>AND(C$9&gt;=8/24,C$9&lt;14/24)</formula>
    </cfRule>
    <cfRule type="expression" dxfId="443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442" priority="117">
      <formula>B11&gt;$AG11*1</formula>
    </cfRule>
  </conditionalFormatting>
  <conditionalFormatting sqref="E79:I83 J80:J83 K83:O83">
    <cfRule type="expression" dxfId="441" priority="127">
      <formula>E$9&gt;=20/24</formula>
    </cfRule>
    <cfRule type="expression" dxfId="440" priority="128">
      <formula>AND(E$9&gt;=14/24,E$9&lt;20/24)</formula>
    </cfRule>
    <cfRule type="expression" dxfId="439" priority="129">
      <formula>AND(E$9&gt;=8/24,E$9&lt;14/24)</formula>
    </cfRule>
    <cfRule type="expression" dxfId="438" priority="130">
      <formula>E$9&lt;8/24</formula>
    </cfRule>
  </conditionalFormatting>
  <conditionalFormatting sqref="E84:O84">
    <cfRule type="expression" dxfId="437" priority="122">
      <formula>E$9&gt;=20/24</formula>
    </cfRule>
    <cfRule type="expression" dxfId="436" priority="123">
      <formula>AND(E$9&gt;=14/24,E$9&lt;20/24)</formula>
    </cfRule>
    <cfRule type="expression" dxfId="435" priority="124">
      <formula>AND(E$9&gt;=8/24,E$9&lt;14/24)</formula>
    </cfRule>
    <cfRule type="expression" dxfId="434" priority="125">
      <formula>E$9&lt;8/24</formula>
    </cfRule>
  </conditionalFormatting>
  <conditionalFormatting sqref="E76:AF78 B72:AF72">
    <cfRule type="expression" dxfId="433" priority="137">
      <formula>B$9&gt;=20/24</formula>
    </cfRule>
    <cfRule type="expression" dxfId="432" priority="138">
      <formula>AND(B$9&gt;=14/24,B$9&lt;20/24)</formula>
    </cfRule>
    <cfRule type="expression" dxfId="431" priority="139">
      <formula>AND(B$9&gt;=8/24,B$9&lt;14/24)</formula>
    </cfRule>
    <cfRule type="expression" dxfId="430" priority="140">
      <formula>B$9&lt;8/24</formula>
    </cfRule>
  </conditionalFormatting>
  <conditionalFormatting sqref="E73:AF75">
    <cfRule type="expression" dxfId="429" priority="47">
      <formula>E$9&gt;=20/24</formula>
    </cfRule>
    <cfRule type="expression" dxfId="428" priority="48">
      <formula>AND(E$9&gt;=14/24,E$9&lt;20/24)</formula>
    </cfRule>
    <cfRule type="expression" dxfId="427" priority="49">
      <formula>AND(E$9&gt;=8/24,E$9&lt;14/24)</formula>
    </cfRule>
    <cfRule type="expression" dxfId="426" priority="50">
      <formula>E$9&lt;8/24</formula>
    </cfRule>
  </conditionalFormatting>
  <conditionalFormatting sqref="F79:O81">
    <cfRule type="expression" dxfId="425" priority="145">
      <formula>F$9&gt;=20/24</formula>
    </cfRule>
    <cfRule type="expression" dxfId="424" priority="146">
      <formula>AND(F$9&gt;=14/24,F$9&lt;20/24)</formula>
    </cfRule>
    <cfRule type="expression" dxfId="423" priority="147">
      <formula>AND(F$9&gt;=8/24,F$9&lt;14/24)</formula>
    </cfRule>
    <cfRule type="expression" dxfId="422" priority="148">
      <formula>F$9&lt;8/24</formula>
    </cfRule>
  </conditionalFormatting>
  <conditionalFormatting sqref="L84:AF84">
    <cfRule type="expression" dxfId="421" priority="141">
      <formula>L$9&gt;=20/24</formula>
    </cfRule>
    <cfRule type="expression" dxfId="420" priority="142">
      <formula>AND(L$9&gt;=14/24,L$9&lt;20/24)</formula>
    </cfRule>
    <cfRule type="expression" dxfId="419" priority="143">
      <formula>AND(L$9&gt;=8/24,L$9&lt;14/24)</formula>
    </cfRule>
    <cfRule type="expression" dxfId="418" priority="144">
      <formula>L$9&lt;8/24</formula>
    </cfRule>
  </conditionalFormatting>
  <conditionalFormatting sqref="M8 S8 AB8">
    <cfRule type="expression" dxfId="417" priority="194">
      <formula>AND(N$9&gt;=14/24,N$9&lt;20/24)</formula>
    </cfRule>
    <cfRule type="expression" dxfId="416" priority="195">
      <formula>AND(N$9&gt;=8/24,N$9&lt;14/24)</formula>
    </cfRule>
    <cfRule type="expression" dxfId="415" priority="196">
      <formula>N$9&lt;8/24</formula>
    </cfRule>
  </conditionalFormatting>
  <conditionalFormatting sqref="M79:Y83 Z80:AA83">
    <cfRule type="expression" dxfId="414" priority="149">
      <formula>M$9&gt;=20/24</formula>
    </cfRule>
    <cfRule type="expression" dxfId="413" priority="150">
      <formula>AND(M$9&gt;=14/24,M$9&lt;20/24)</formula>
    </cfRule>
    <cfRule type="expression" dxfId="412" priority="151">
      <formula>AND(M$9&gt;=8/24,M$9&lt;14/24)</formula>
    </cfRule>
    <cfRule type="expression" dxfId="411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10" priority="193">
      <formula>N$9&gt;=20/24</formula>
    </cfRule>
  </conditionalFormatting>
  <conditionalFormatting sqref="S8">
    <cfRule type="expression" dxfId="409" priority="184">
      <formula>U$9&gt;=20/24</formula>
    </cfRule>
    <cfRule type="expression" dxfId="408" priority="185">
      <formula>AND(U$9&gt;=14/24,U$9&lt;20/24)</formula>
    </cfRule>
    <cfRule type="expression" dxfId="407" priority="186">
      <formula>AND(U$9&gt;=8/24,U$9&lt;14/24)</formula>
    </cfRule>
    <cfRule type="expression" dxfId="406" priority="187">
      <formula>U$9&lt;8/24</formula>
    </cfRule>
  </conditionalFormatting>
  <conditionalFormatting sqref="T79:AF84">
    <cfRule type="expression" dxfId="405" priority="71">
      <formula>T$9&gt;=20/24</formula>
    </cfRule>
    <cfRule type="expression" dxfId="404" priority="72">
      <formula>AND(T$9&gt;=14/24,T$9&lt;20/24)</formula>
    </cfRule>
    <cfRule type="expression" dxfId="403" priority="73">
      <formula>AND(T$9&gt;=8/24,T$9&lt;14/24)</formula>
    </cfRule>
    <cfRule type="expression" dxfId="402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401" priority="56">
      <formula>Y$9&gt;=20/24</formula>
    </cfRule>
    <cfRule type="expression" dxfId="400" priority="57">
      <formula>AND(Y$9&gt;=14/24,Y$9&lt;20/24)</formula>
    </cfRule>
    <cfRule type="expression" dxfId="399" priority="58">
      <formula>AND(Y$9&gt;=8/24,Y$9&lt;14/24)</formula>
    </cfRule>
    <cfRule type="expression" dxfId="398" priority="59">
      <formula>Y$9&lt;8/24</formula>
    </cfRule>
  </conditionalFormatting>
  <conditionalFormatting sqref="Z69:Z70">
    <cfRule type="expression" dxfId="397" priority="136">
      <formula>Z69&gt;$AG69</formula>
    </cfRule>
  </conditionalFormatting>
  <conditionalFormatting sqref="Z66:AF69 AB11:AF11 B54:AF62 B66:Y70">
    <cfRule type="expression" dxfId="396" priority="131">
      <formula>B11&gt;$AG11</formula>
    </cfRule>
  </conditionalFormatting>
  <conditionalFormatting sqref="AB8">
    <cfRule type="expression" dxfId="395" priority="180">
      <formula>AD$9&gt;=20/24</formula>
    </cfRule>
    <cfRule type="expression" dxfId="394" priority="181">
      <formula>AND(AD$9&gt;=14/24,AD$9&lt;20/24)</formula>
    </cfRule>
    <cfRule type="expression" dxfId="393" priority="182">
      <formula>AND(AD$9&gt;=8/24,AD$9&lt;14/24)</formula>
    </cfRule>
    <cfRule type="expression" dxfId="392" priority="183">
      <formula>AD$9&lt;8/24</formula>
    </cfRule>
  </conditionalFormatting>
  <conditionalFormatting sqref="AB11:AF11">
    <cfRule type="expression" dxfId="391" priority="132">
      <formula>AB$9&gt;=20/24</formula>
    </cfRule>
    <cfRule type="expression" dxfId="390" priority="133">
      <formula>AND(AB$9&gt;=14/24,AB$9&lt;20/24)</formula>
    </cfRule>
    <cfRule type="expression" dxfId="389" priority="134">
      <formula>AND(AB$9&gt;=8/24,AB$9&lt;14/24)</formula>
    </cfRule>
    <cfRule type="expression" dxfId="388" priority="135">
      <formula>AB$9&lt;8/24</formula>
    </cfRule>
  </conditionalFormatting>
  <conditionalFormatting sqref="AD79:AF79">
    <cfRule type="expression" dxfId="387" priority="207">
      <formula>AD79&gt;$AG80*1</formula>
    </cfRule>
  </conditionalFormatting>
  <conditionalFormatting sqref="AG78">
    <cfRule type="expression" dxfId="386" priority="159">
      <formula>AG$9&gt;=20/24</formula>
    </cfRule>
    <cfRule type="expression" dxfId="385" priority="160">
      <formula>AND(AG$9&gt;=14/24,AG$9&lt;20/24)</formula>
    </cfRule>
    <cfRule type="expression" dxfId="384" priority="161">
      <formula>AND(AG$9&gt;=8/24,AG$9&lt;14/24)</formula>
    </cfRule>
    <cfRule type="expression" dxfId="383" priority="162">
      <formula>AG$9&lt;8/24</formula>
    </cfRule>
  </conditionalFormatting>
  <conditionalFormatting sqref="AG91:AG92">
    <cfRule type="expression" dxfId="382" priority="154">
      <formula>AG91&gt;$AG91</formula>
    </cfRule>
  </conditionalFormatting>
  <conditionalFormatting sqref="AG96">
    <cfRule type="expression" dxfId="381" priority="155">
      <formula>AG$9&gt;=20/24</formula>
    </cfRule>
    <cfRule type="expression" dxfId="380" priority="156">
      <formula>AND(AG$9&gt;=14/24,AG$9&lt;20/24)</formula>
    </cfRule>
    <cfRule type="expression" dxfId="379" priority="157">
      <formula>AND(AG$9&gt;=8/24,AG$9&lt;14/24)</formula>
    </cfRule>
    <cfRule type="expression" dxfId="378" priority="158">
      <formula>AG$9&lt;8/24</formula>
    </cfRule>
  </conditionalFormatting>
  <conditionalFormatting sqref="AG113">
    <cfRule type="expression" dxfId="377" priority="176">
      <formula>AG$9&gt;=20/24</formula>
    </cfRule>
    <cfRule type="expression" dxfId="376" priority="177">
      <formula>AND(AG$9&gt;=14/24,AG$9&lt;20/24)</formula>
    </cfRule>
    <cfRule type="expression" dxfId="375" priority="178">
      <formula>AND(AG$9&gt;=8/24,AG$9&lt;14/24)</formula>
    </cfRule>
    <cfRule type="expression" dxfId="374" priority="179">
      <formula>AG$9&lt;8/24</formula>
    </cfRule>
  </conditionalFormatting>
  <conditionalFormatting sqref="AH8:AI10">
    <cfRule type="expression" dxfId="373" priority="67">
      <formula>AH$9&gt;=20/24</formula>
    </cfRule>
    <cfRule type="expression" dxfId="372" priority="68">
      <formula>AND(AH$9&gt;=14/24,AH$9&lt;20/24)</formula>
    </cfRule>
    <cfRule type="expression" dxfId="371" priority="69">
      <formula>AND(AH$9&gt;=8/24,AH$9&lt;14/24)</formula>
    </cfRule>
    <cfRule type="expression" dxfId="370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69" priority="197">
      <formula>AJ$9&gt;=20/24</formula>
    </cfRule>
    <cfRule type="expression" dxfId="368" priority="198">
      <formula>AND(AJ$9&gt;=14/24,AJ$9&lt;20/24)</formula>
    </cfRule>
    <cfRule type="expression" dxfId="367" priority="199">
      <formula>AND(AJ$9&gt;=8/24,AJ$9&lt;14/24)</formula>
    </cfRule>
    <cfRule type="expression" dxfId="366" priority="200">
      <formula>AJ$9&lt;8/24</formula>
    </cfRule>
  </conditionalFormatting>
  <conditionalFormatting sqref="AL99:AN99 AL105:AN105">
    <cfRule type="expression" dxfId="365" priority="169">
      <formula>AL$9&gt;=20/24</formula>
    </cfRule>
    <cfRule type="expression" dxfId="364" priority="170">
      <formula>AND(AL$9&gt;=14/24,AL$9&lt;20/24)</formula>
    </cfRule>
    <cfRule type="expression" dxfId="363" priority="171">
      <formula>AND(AL$9&gt;=8/24,AL$9&lt;14/24)</formula>
    </cfRule>
    <cfRule type="expression" dxfId="362" priority="172">
      <formula>AL$9&lt;8/24</formula>
    </cfRule>
  </conditionalFormatting>
  <conditionalFormatting sqref="AM15:AM21 AN16:AR21">
    <cfRule type="expression" dxfId="361" priority="93">
      <formula>AX$9&gt;=20/24</formula>
    </cfRule>
    <cfRule type="expression" dxfId="360" priority="94">
      <formula>AND(AX$9&gt;=14/24,AX$9&lt;20/24)</formula>
    </cfRule>
    <cfRule type="expression" dxfId="359" priority="95">
      <formula>AND(AX$9&gt;=8/24,AX$9&lt;14/24)</formula>
    </cfRule>
    <cfRule type="expression" dxfId="358" priority="96">
      <formula>AX$9&lt;8/24</formula>
    </cfRule>
  </conditionalFormatting>
  <conditionalFormatting sqref="AN100:AN103">
    <cfRule type="expression" dxfId="357" priority="165">
      <formula>AN$9&gt;=20/24</formula>
    </cfRule>
    <cfRule type="expression" dxfId="356" priority="166">
      <formula>AND(AN$9&gt;=14/24,AN$9&lt;20/24)</formula>
    </cfRule>
    <cfRule type="expression" dxfId="355" priority="167">
      <formula>AND(AN$9&gt;=8/24,AN$9&lt;14/24)</formula>
    </cfRule>
    <cfRule type="expression" dxfId="354" priority="168">
      <formula>AN$9&lt;8/24</formula>
    </cfRule>
  </conditionalFormatting>
  <conditionalFormatting sqref="AN15:AR15">
    <cfRule type="expression" dxfId="353" priority="81">
      <formula>U$9&gt;=20/24</formula>
    </cfRule>
    <cfRule type="expression" dxfId="352" priority="82">
      <formula>AND(U$9&gt;=14/24,U$9&lt;20/24)</formula>
    </cfRule>
    <cfRule type="expression" dxfId="351" priority="83">
      <formula>AND(U$9&gt;=8/24,U$9&lt;14/24)</formula>
    </cfRule>
    <cfRule type="expression" dxfId="350" priority="84">
      <formula>U$9&lt;8/24</formula>
    </cfRule>
  </conditionalFormatting>
  <conditionalFormatting sqref="AS15">
    <cfRule type="expression" dxfId="349" priority="89">
      <formula>AA$9&gt;=20/24</formula>
    </cfRule>
    <cfRule type="expression" dxfId="348" priority="90">
      <formula>AND(AA$9&gt;=14/24,AA$9&lt;20/24)</formula>
    </cfRule>
    <cfRule type="expression" dxfId="347" priority="91">
      <formula>AND(AA$9&gt;=8/24,AA$9&lt;14/24)</formula>
    </cfRule>
    <cfRule type="expression" dxfId="346" priority="92">
      <formula>AA$9&lt;8/24</formula>
    </cfRule>
  </conditionalFormatting>
  <conditionalFormatting sqref="AS16:AS21">
    <cfRule type="expression" dxfId="345" priority="97">
      <formula>BE$9&gt;=20/24</formula>
    </cfRule>
    <cfRule type="expression" dxfId="344" priority="98">
      <formula>AND(BE$9&gt;=14/24,BE$9&lt;20/24)</formula>
    </cfRule>
    <cfRule type="expression" dxfId="343" priority="99">
      <formula>AND(BE$9&gt;=8/24,BE$9&lt;14/24)</formula>
    </cfRule>
    <cfRule type="expression" dxfId="342" priority="100">
      <formula>BE$9&lt;8/24</formula>
    </cfRule>
  </conditionalFormatting>
  <conditionalFormatting sqref="AT15 AX15:BJ15">
    <cfRule type="expression" dxfId="341" priority="101">
      <formula>AC$9&gt;=20/24</formula>
    </cfRule>
    <cfRule type="expression" dxfId="340" priority="102">
      <formula>AND(AC$9&gt;=14/24,AC$9&lt;20/24)</formula>
    </cfRule>
    <cfRule type="expression" dxfId="339" priority="103">
      <formula>AND(AC$9&gt;=8/24,AC$9&lt;14/24)</formula>
    </cfRule>
    <cfRule type="expression" dxfId="338" priority="104">
      <formula>AC$9&lt;8/24</formula>
    </cfRule>
  </conditionalFormatting>
  <conditionalFormatting sqref="AT16:AT21">
    <cfRule type="expression" dxfId="337" priority="105">
      <formula>BG$9&gt;=20/24</formula>
    </cfRule>
    <cfRule type="expression" dxfId="336" priority="106">
      <formula>AND(BG$9&gt;=14/24,BG$9&lt;20/24)</formula>
    </cfRule>
    <cfRule type="expression" dxfId="335" priority="107">
      <formula>AND(BG$9&gt;=8/24,BG$9&lt;14/24)</formula>
    </cfRule>
    <cfRule type="expression" dxfId="334" priority="108">
      <formula>BG$9&lt;8/24</formula>
    </cfRule>
  </conditionalFormatting>
  <conditionalFormatting sqref="AU15:AV15">
    <cfRule type="expression" dxfId="333" priority="109">
      <formula>AE$9&gt;=20/24</formula>
    </cfRule>
    <cfRule type="expression" dxfId="332" priority="110">
      <formula>AND(AE$9&gt;=14/24,AE$9&lt;20/24)</formula>
    </cfRule>
    <cfRule type="expression" dxfId="331" priority="111">
      <formula>AND(AE$9&gt;=8/24,AE$9&lt;14/24)</formula>
    </cfRule>
    <cfRule type="expression" dxfId="330" priority="112">
      <formula>AE$9&lt;8/24</formula>
    </cfRule>
  </conditionalFormatting>
  <conditionalFormatting sqref="AU16:BJ21">
    <cfRule type="expression" dxfId="329" priority="113">
      <formula>BI$9&gt;=20/24</formula>
    </cfRule>
    <cfRule type="expression" dxfId="328" priority="114">
      <formula>AND(BI$9&gt;=14/24,BI$9&lt;20/24)</formula>
    </cfRule>
    <cfRule type="expression" dxfId="327" priority="115">
      <formula>AND(BI$9&gt;=8/24,BI$9&lt;14/24)</formula>
    </cfRule>
    <cfRule type="expression" dxfId="326" priority="116">
      <formula>BI$9&lt;8/24</formula>
    </cfRule>
  </conditionalFormatting>
  <conditionalFormatting sqref="AW15">
    <cfRule type="expression" dxfId="325" priority="85">
      <formula>B$9&gt;=20/24</formula>
    </cfRule>
    <cfRule type="expression" dxfId="324" priority="86">
      <formula>AND(B$9&gt;=14/24,B$9&lt;20/24)</formula>
    </cfRule>
    <cfRule type="expression" dxfId="323" priority="87">
      <formula>AND(B$9&gt;=8/24,B$9&lt;14/24)</formula>
    </cfRule>
    <cfRule type="expression" dxfId="322" priority="88">
      <formula>B$9&lt;8/24</formula>
    </cfRule>
  </conditionalFormatting>
  <conditionalFormatting sqref="A73">
    <cfRule type="expression" dxfId="321" priority="36">
      <formula>$AH73=0</formula>
    </cfRule>
  </conditionalFormatting>
  <conditionalFormatting sqref="B11:B13 B97:B107 B137:B152 B109:B112 B125:B134 B154:B159">
    <cfRule type="expression" dxfId="320" priority="30">
      <formula>B$9&gt;=20/24</formula>
    </cfRule>
  </conditionalFormatting>
  <conditionalFormatting sqref="B11:B13 B97:B107 B137:B152 B109:B112 B125:B134 B154:B159">
    <cfRule type="expression" dxfId="319" priority="31">
      <formula>AND(B$9&gt;=14/24,B$9&lt;20/24)</formula>
    </cfRule>
    <cfRule type="expression" dxfId="318" priority="32">
      <formula>AND(B$9&gt;=8/24,B$9&lt;14/24)</formula>
    </cfRule>
    <cfRule type="expression" dxfId="317" priority="33">
      <formula>B$9&lt;8/24</formula>
    </cfRule>
  </conditionalFormatting>
  <conditionalFormatting sqref="B14:B28">
    <cfRule type="expression" dxfId="316" priority="20">
      <formula>B14&gt;$AG14*1</formula>
    </cfRule>
    <cfRule type="expression" dxfId="315" priority="21">
      <formula>B$9&gt;=20/24</formula>
    </cfRule>
    <cfRule type="expression" dxfId="314" priority="22">
      <formula>AND(B$9&gt;=14/24,B$9&lt;20/24)</formula>
    </cfRule>
    <cfRule type="expression" dxfId="313" priority="23">
      <formula>AND(B$9&gt;=8/24,B$9&lt;14/24)</formula>
    </cfRule>
    <cfRule type="expression" dxfId="312" priority="24">
      <formula>B$9&lt;8/24</formula>
    </cfRule>
  </conditionalFormatting>
  <conditionalFormatting sqref="B161:B167">
    <cfRule type="expression" dxfId="311" priority="25">
      <formula>B$9&gt;=20/24</formula>
    </cfRule>
    <cfRule type="expression" dxfId="310" priority="26">
      <formula>AND(B$9&gt;=14/24,B$9&lt;20/24)</formula>
    </cfRule>
    <cfRule type="expression" dxfId="309" priority="27">
      <formula>AND(B$9&gt;=8/24,B$9&lt;14/24)</formula>
    </cfRule>
    <cfRule type="expression" dxfId="308" priority="28">
      <formula>B$9&lt;8/24</formula>
    </cfRule>
  </conditionalFormatting>
  <conditionalFormatting sqref="B169:B274">
    <cfRule type="expression" dxfId="307" priority="6">
      <formula>B$9&gt;=20/24</formula>
    </cfRule>
    <cfRule type="expression" dxfId="306" priority="7">
      <formula>AND(B$9&gt;=14/24,B$9&lt;20/24)</formula>
    </cfRule>
    <cfRule type="expression" dxfId="305" priority="8">
      <formula>AND(B$9&gt;=8/24,B$9&lt;14/24)</formula>
    </cfRule>
    <cfRule type="expression" dxfId="304" priority="9">
      <formula>B$9&lt;8/24</formula>
    </cfRule>
  </conditionalFormatting>
  <conditionalFormatting sqref="B11:B13">
    <cfRule type="expression" dxfId="303" priority="29">
      <formula>B11&gt;$AG11*1</formula>
    </cfRule>
  </conditionalFormatting>
  <conditionalFormatting sqref="A153">
    <cfRule type="expression" dxfId="302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01" priority="1">
      <formula>AL$9&gt;=20/24</formula>
    </cfRule>
  </conditionalFormatting>
  <conditionalFormatting sqref="AL153">
    <cfRule type="expression" dxfId="300" priority="2">
      <formula>AND(AL$9&gt;=14/24,AL$9&lt;20/24)</formula>
    </cfRule>
    <cfRule type="expression" dxfId="299" priority="3">
      <formula>AND(AL$9&gt;=8/24,AL$9&lt;14/24)</formula>
    </cfRule>
    <cfRule type="expression" dxfId="298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20" activePane="bottomLeft" state="frozen"/>
      <selection activeCell="AO100" sqref="AO100"/>
      <selection pane="bottomLeft" activeCell="G41" sqref="G41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45">
      <c r="A1" s="196" t="s">
        <v>414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413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410</v>
      </c>
      <c r="Z1" s="212" t="s">
        <v>411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-67</v>
      </c>
      <c r="D3" s="193">
        <v>-68</v>
      </c>
      <c r="E3" s="193">
        <v>-50</v>
      </c>
      <c r="F3" s="193"/>
      <c r="G3" s="193"/>
      <c r="H3" s="193"/>
      <c r="I3" s="193">
        <v>-50</v>
      </c>
      <c r="J3" s="193"/>
      <c r="K3" s="193">
        <v>-80</v>
      </c>
      <c r="L3" s="193"/>
      <c r="M3" s="193"/>
      <c r="N3" s="193"/>
      <c r="O3" s="193"/>
      <c r="P3" s="193"/>
      <c r="Q3" s="193">
        <f>SUM(B3:P3)</f>
        <v>-315</v>
      </c>
      <c r="R3" s="193"/>
      <c r="S3" s="206">
        <v>37.549999999999997</v>
      </c>
      <c r="T3" s="206">
        <v>-140</v>
      </c>
      <c r="U3" s="213">
        <f>SUM(Q3:T3)</f>
        <v>-417.45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-67</v>
      </c>
      <c r="D4" s="193">
        <v>-68</v>
      </c>
      <c r="E4" s="193">
        <v>-50</v>
      </c>
      <c r="F4" s="193"/>
      <c r="G4" s="193"/>
      <c r="H4" s="193"/>
      <c r="I4" s="193">
        <v>-50</v>
      </c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-315</v>
      </c>
      <c r="R4" s="193"/>
      <c r="S4" s="206">
        <v>37.549999999999997</v>
      </c>
      <c r="T4" s="206">
        <v>-140</v>
      </c>
      <c r="U4" s="213">
        <f t="shared" ref="U4:U67" si="1">SUM(Q4:T4)</f>
        <v>-417.45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-67</v>
      </c>
      <c r="D5" s="193">
        <v>-68</v>
      </c>
      <c r="E5" s="193">
        <v>-50</v>
      </c>
      <c r="F5" s="193"/>
      <c r="G5" s="193"/>
      <c r="H5" s="193"/>
      <c r="I5" s="193"/>
      <c r="J5" s="193"/>
      <c r="K5" s="193">
        <v>-80</v>
      </c>
      <c r="L5" s="193">
        <v>-75</v>
      </c>
      <c r="M5" s="193"/>
      <c r="N5" s="193"/>
      <c r="O5" s="193"/>
      <c r="P5" s="193"/>
      <c r="Q5" s="193">
        <f t="shared" si="0"/>
        <v>-340</v>
      </c>
      <c r="R5" s="193"/>
      <c r="S5" s="206">
        <v>37.549999999999997</v>
      </c>
      <c r="T5" s="206">
        <v>-140</v>
      </c>
      <c r="U5" s="213">
        <f t="shared" si="1"/>
        <v>-442.45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-67</v>
      </c>
      <c r="D6" s="193">
        <v>-68</v>
      </c>
      <c r="E6" s="193">
        <v>-50</v>
      </c>
      <c r="F6" s="193"/>
      <c r="G6" s="193"/>
      <c r="H6" s="193"/>
      <c r="I6" s="193"/>
      <c r="J6" s="193"/>
      <c r="K6" s="193">
        <v>-80</v>
      </c>
      <c r="L6" s="193">
        <v>-75</v>
      </c>
      <c r="M6" s="193"/>
      <c r="N6" s="193"/>
      <c r="O6" s="193"/>
      <c r="P6" s="193"/>
      <c r="Q6" s="193">
        <f t="shared" si="0"/>
        <v>-340</v>
      </c>
      <c r="R6" s="193"/>
      <c r="S6" s="206">
        <v>37.549999999999997</v>
      </c>
      <c r="T6" s="206">
        <v>-140</v>
      </c>
      <c r="U6" s="213">
        <f t="shared" si="1"/>
        <v>-442.45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-67</v>
      </c>
      <c r="D7" s="193">
        <v>-68</v>
      </c>
      <c r="E7" s="193">
        <v>-50</v>
      </c>
      <c r="F7" s="193"/>
      <c r="G7" s="193"/>
      <c r="H7" s="193"/>
      <c r="I7" s="193"/>
      <c r="J7" s="193"/>
      <c r="K7" s="193">
        <v>-80</v>
      </c>
      <c r="L7" s="193">
        <v>-75</v>
      </c>
      <c r="M7" s="193"/>
      <c r="N7" s="193"/>
      <c r="O7" s="193"/>
      <c r="P7" s="193"/>
      <c r="Q7" s="193">
        <f t="shared" si="0"/>
        <v>-340</v>
      </c>
      <c r="R7" s="193"/>
      <c r="S7" s="206">
        <v>37.549999999999997</v>
      </c>
      <c r="T7" s="206">
        <v>-140</v>
      </c>
      <c r="U7" s="213">
        <f t="shared" si="1"/>
        <v>-442.45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-67</v>
      </c>
      <c r="D8" s="193">
        <v>-68</v>
      </c>
      <c r="E8" s="193">
        <v>-50</v>
      </c>
      <c r="F8" s="193"/>
      <c r="G8" s="193"/>
      <c r="H8" s="193"/>
      <c r="I8" s="193"/>
      <c r="J8" s="193"/>
      <c r="K8" s="193">
        <v>-80</v>
      </c>
      <c r="L8" s="193">
        <v>-75</v>
      </c>
      <c r="M8" s="193"/>
      <c r="N8" s="193"/>
      <c r="O8" s="193"/>
      <c r="P8" s="193"/>
      <c r="Q8" s="193">
        <f t="shared" si="0"/>
        <v>-340</v>
      </c>
      <c r="R8" s="193"/>
      <c r="S8" s="206">
        <v>37.549999999999997</v>
      </c>
      <c r="T8" s="206">
        <v>-140</v>
      </c>
      <c r="U8" s="213">
        <f t="shared" si="1"/>
        <v>-442.45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-67</v>
      </c>
      <c r="D9" s="193">
        <v>-68</v>
      </c>
      <c r="E9" s="193">
        <v>-50</v>
      </c>
      <c r="F9" s="193"/>
      <c r="G9" s="193"/>
      <c r="H9" s="193"/>
      <c r="I9" s="193">
        <v>-50</v>
      </c>
      <c r="J9" s="193"/>
      <c r="K9" s="193">
        <v>-80</v>
      </c>
      <c r="L9" s="193">
        <v>-75</v>
      </c>
      <c r="M9" s="193"/>
      <c r="N9" s="193"/>
      <c r="O9" s="193"/>
      <c r="P9" s="193"/>
      <c r="Q9" s="193">
        <f t="shared" si="0"/>
        <v>-390</v>
      </c>
      <c r="R9" s="193"/>
      <c r="S9" s="206">
        <v>37.549999999999997</v>
      </c>
      <c r="T9" s="206">
        <v>-140</v>
      </c>
      <c r="U9" s="213">
        <f t="shared" si="1"/>
        <v>-492.45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-67</v>
      </c>
      <c r="D10" s="193">
        <v>-68</v>
      </c>
      <c r="E10" s="193">
        <v>-50</v>
      </c>
      <c r="F10" s="193"/>
      <c r="G10" s="193"/>
      <c r="H10" s="193"/>
      <c r="I10" s="193">
        <v>-50</v>
      </c>
      <c r="J10" s="193"/>
      <c r="K10" s="193">
        <v>-80</v>
      </c>
      <c r="L10" s="193">
        <v>-75</v>
      </c>
      <c r="M10" s="193"/>
      <c r="N10" s="193"/>
      <c r="O10" s="193"/>
      <c r="P10" s="193"/>
      <c r="Q10" s="193">
        <f t="shared" si="0"/>
        <v>-390</v>
      </c>
      <c r="R10" s="193"/>
      <c r="S10" s="206">
        <v>37.549999999999997</v>
      </c>
      <c r="T10" s="206">
        <v>-140</v>
      </c>
      <c r="U10" s="213">
        <f t="shared" si="1"/>
        <v>-492.45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-67</v>
      </c>
      <c r="D11" s="193">
        <v>-68</v>
      </c>
      <c r="E11" s="193">
        <v>-50</v>
      </c>
      <c r="F11" s="193"/>
      <c r="G11" s="193"/>
      <c r="H11" s="193"/>
      <c r="I11" s="193">
        <v>-50</v>
      </c>
      <c r="J11" s="193"/>
      <c r="K11" s="193">
        <v>-80</v>
      </c>
      <c r="L11" s="193">
        <v>-75</v>
      </c>
      <c r="M11" s="193"/>
      <c r="N11" s="193"/>
      <c r="O11" s="193"/>
      <c r="P11" s="193"/>
      <c r="Q11" s="193">
        <f t="shared" si="0"/>
        <v>-390</v>
      </c>
      <c r="R11" s="193"/>
      <c r="S11" s="206">
        <v>37.549999999999997</v>
      </c>
      <c r="T11" s="206">
        <v>-140</v>
      </c>
      <c r="U11" s="213">
        <f t="shared" si="1"/>
        <v>-492.45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-67</v>
      </c>
      <c r="D12" s="193">
        <v>-68</v>
      </c>
      <c r="E12" s="193">
        <v>-50</v>
      </c>
      <c r="F12" s="193"/>
      <c r="G12" s="193"/>
      <c r="H12" s="193"/>
      <c r="I12" s="193">
        <v>-50</v>
      </c>
      <c r="J12" s="193"/>
      <c r="K12" s="193">
        <v>-80</v>
      </c>
      <c r="L12" s="193">
        <v>-75</v>
      </c>
      <c r="M12" s="193"/>
      <c r="N12" s="193"/>
      <c r="O12" s="193"/>
      <c r="P12" s="193"/>
      <c r="Q12" s="193">
        <f t="shared" si="0"/>
        <v>-390</v>
      </c>
      <c r="R12" s="193"/>
      <c r="S12" s="206">
        <v>37.549999999999997</v>
      </c>
      <c r="T12" s="206">
        <v>-140</v>
      </c>
      <c r="U12" s="213">
        <f t="shared" si="1"/>
        <v>-492.45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-67</v>
      </c>
      <c r="D13" s="193">
        <v>-68</v>
      </c>
      <c r="E13" s="193">
        <v>-50</v>
      </c>
      <c r="F13" s="193"/>
      <c r="G13" s="193"/>
      <c r="H13" s="193"/>
      <c r="I13" s="193">
        <v>-50</v>
      </c>
      <c r="J13" s="193"/>
      <c r="K13" s="193">
        <v>-80</v>
      </c>
      <c r="L13" s="193">
        <v>-75</v>
      </c>
      <c r="M13" s="193"/>
      <c r="N13" s="193"/>
      <c r="O13" s="193"/>
      <c r="P13" s="193"/>
      <c r="Q13" s="193">
        <f t="shared" si="0"/>
        <v>-390</v>
      </c>
      <c r="R13" s="193"/>
      <c r="S13" s="206">
        <v>37.549999999999997</v>
      </c>
      <c r="T13" s="206">
        <v>-140</v>
      </c>
      <c r="U13" s="213">
        <f t="shared" si="1"/>
        <v>-492.45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-67</v>
      </c>
      <c r="D14" s="193">
        <v>-68</v>
      </c>
      <c r="E14" s="193">
        <v>-50</v>
      </c>
      <c r="F14" s="193"/>
      <c r="G14" s="193"/>
      <c r="H14" s="193"/>
      <c r="I14" s="193">
        <v>-50</v>
      </c>
      <c r="J14" s="193"/>
      <c r="K14" s="193">
        <v>-80</v>
      </c>
      <c r="L14" s="193">
        <v>-75</v>
      </c>
      <c r="M14" s="193"/>
      <c r="N14" s="193"/>
      <c r="O14" s="193"/>
      <c r="P14" s="193"/>
      <c r="Q14" s="193">
        <f t="shared" si="0"/>
        <v>-390</v>
      </c>
      <c r="R14" s="193"/>
      <c r="S14" s="206">
        <v>37.549999999999997</v>
      </c>
      <c r="T14" s="206">
        <v>-140</v>
      </c>
      <c r="U14" s="213">
        <f t="shared" si="1"/>
        <v>-492.45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3">
        <v>-67</v>
      </c>
      <c r="D15" s="193">
        <v>-68</v>
      </c>
      <c r="E15" s="193">
        <v>-50</v>
      </c>
      <c r="F15" s="193"/>
      <c r="G15" s="193"/>
      <c r="H15" s="193"/>
      <c r="I15" s="193">
        <v>-50</v>
      </c>
      <c r="J15" s="193"/>
      <c r="K15" s="193">
        <v>-80</v>
      </c>
      <c r="L15" s="193">
        <v>-75</v>
      </c>
      <c r="M15" s="197"/>
      <c r="N15" s="197"/>
      <c r="O15" s="197"/>
      <c r="P15" s="197"/>
      <c r="Q15" s="197">
        <f t="shared" si="0"/>
        <v>-530</v>
      </c>
      <c r="R15" s="197"/>
      <c r="S15" s="206">
        <v>70.16</v>
      </c>
      <c r="T15" s="206">
        <v>0</v>
      </c>
      <c r="U15" s="215">
        <f t="shared" si="1"/>
        <v>-459.84000000000003</v>
      </c>
      <c r="X15" s="216">
        <v>0</v>
      </c>
      <c r="Z15" s="198">
        <v>0</v>
      </c>
    </row>
    <row r="16" spans="1:26" ht="15.75">
      <c r="A16" s="195" t="s">
        <v>314</v>
      </c>
      <c r="B16" s="197">
        <v>-140</v>
      </c>
      <c r="C16" s="193">
        <v>-67</v>
      </c>
      <c r="D16" s="193">
        <v>-68</v>
      </c>
      <c r="E16" s="193">
        <v>-50</v>
      </c>
      <c r="F16" s="193"/>
      <c r="G16" s="193"/>
      <c r="H16" s="193"/>
      <c r="I16" s="193">
        <v>-50</v>
      </c>
      <c r="J16" s="193"/>
      <c r="K16" s="193">
        <v>-80</v>
      </c>
      <c r="L16" s="193">
        <v>-75</v>
      </c>
      <c r="M16" s="193"/>
      <c r="N16" s="193"/>
      <c r="O16" s="193"/>
      <c r="P16" s="193"/>
      <c r="Q16" s="193">
        <f t="shared" si="0"/>
        <v>-530</v>
      </c>
      <c r="R16" s="193"/>
      <c r="S16" s="206">
        <v>70.16</v>
      </c>
      <c r="T16" s="206">
        <v>0</v>
      </c>
      <c r="U16" s="213">
        <f t="shared" si="1"/>
        <v>-459.84000000000003</v>
      </c>
      <c r="X16" s="211">
        <v>0</v>
      </c>
      <c r="Z16">
        <v>0</v>
      </c>
    </row>
    <row r="17" spans="1:26" ht="15.75">
      <c r="A17" s="195" t="s">
        <v>315</v>
      </c>
      <c r="B17" s="197">
        <v>-140</v>
      </c>
      <c r="C17" s="193">
        <v>-67</v>
      </c>
      <c r="D17" s="193">
        <v>-68</v>
      </c>
      <c r="E17" s="193">
        <v>-50</v>
      </c>
      <c r="F17" s="193"/>
      <c r="G17" s="193"/>
      <c r="H17" s="193"/>
      <c r="I17" s="193">
        <v>-50</v>
      </c>
      <c r="J17" s="193"/>
      <c r="K17" s="193">
        <v>-80</v>
      </c>
      <c r="L17" s="193">
        <v>-75</v>
      </c>
      <c r="M17" s="193"/>
      <c r="N17" s="193"/>
      <c r="O17" s="193"/>
      <c r="P17" s="193"/>
      <c r="Q17" s="193">
        <f t="shared" si="0"/>
        <v>-530</v>
      </c>
      <c r="R17" s="193"/>
      <c r="S17" s="206">
        <v>70.16</v>
      </c>
      <c r="T17" s="206">
        <v>0</v>
      </c>
      <c r="U17" s="213">
        <f t="shared" si="1"/>
        <v>-459.84000000000003</v>
      </c>
      <c r="X17" s="211">
        <v>0</v>
      </c>
      <c r="Z17">
        <v>0</v>
      </c>
    </row>
    <row r="18" spans="1:26" ht="15.75">
      <c r="A18" s="195" t="s">
        <v>316</v>
      </c>
      <c r="B18" s="197">
        <v>-140</v>
      </c>
      <c r="C18" s="193">
        <v>-67</v>
      </c>
      <c r="D18" s="193">
        <v>-68</v>
      </c>
      <c r="E18" s="193">
        <v>-50</v>
      </c>
      <c r="F18" s="193"/>
      <c r="G18" s="193"/>
      <c r="H18" s="193"/>
      <c r="I18" s="193">
        <v>-50</v>
      </c>
      <c r="J18" s="193"/>
      <c r="K18" s="193">
        <v>-80</v>
      </c>
      <c r="L18" s="193">
        <v>-75</v>
      </c>
      <c r="M18" s="193"/>
      <c r="N18" s="193"/>
      <c r="O18" s="193"/>
      <c r="P18" s="193"/>
      <c r="Q18" s="193">
        <f t="shared" si="0"/>
        <v>-530</v>
      </c>
      <c r="R18" s="193"/>
      <c r="S18" s="206">
        <v>70.16</v>
      </c>
      <c r="T18" s="206">
        <v>0</v>
      </c>
      <c r="U18" s="213">
        <f t="shared" si="1"/>
        <v>-459.84000000000003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3">
        <v>-67</v>
      </c>
      <c r="D19" s="193">
        <v>-68</v>
      </c>
      <c r="E19" s="193">
        <v>-50</v>
      </c>
      <c r="F19" s="193"/>
      <c r="G19" s="193"/>
      <c r="H19" s="193"/>
      <c r="I19" s="193">
        <v>-50</v>
      </c>
      <c r="J19" s="193"/>
      <c r="K19" s="193">
        <v>-80</v>
      </c>
      <c r="L19" s="193">
        <v>-75</v>
      </c>
      <c r="M19" s="197"/>
      <c r="N19" s="197"/>
      <c r="O19" s="197"/>
      <c r="P19" s="197"/>
      <c r="Q19" s="197">
        <f t="shared" si="0"/>
        <v>-530</v>
      </c>
      <c r="R19" s="197"/>
      <c r="S19" s="206">
        <v>70.16</v>
      </c>
      <c r="T19" s="206">
        <v>0</v>
      </c>
      <c r="U19" s="215">
        <f t="shared" si="1"/>
        <v>-459.84000000000003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7">
        <v>-140</v>
      </c>
      <c r="C20" s="193">
        <v>-67</v>
      </c>
      <c r="D20" s="193">
        <v>-68</v>
      </c>
      <c r="E20" s="193">
        <v>-50</v>
      </c>
      <c r="F20" s="193"/>
      <c r="G20" s="193"/>
      <c r="H20" s="193"/>
      <c r="I20" s="193">
        <v>-50</v>
      </c>
      <c r="J20" s="193"/>
      <c r="K20" s="193">
        <v>-80</v>
      </c>
      <c r="L20" s="193">
        <v>-75</v>
      </c>
      <c r="M20" s="193"/>
      <c r="N20" s="193"/>
      <c r="O20" s="193"/>
      <c r="P20" s="193"/>
      <c r="Q20" s="193">
        <f>SUM(B20:P20)</f>
        <v>-530</v>
      </c>
      <c r="R20" s="193"/>
      <c r="S20" s="206">
        <v>70.16</v>
      </c>
      <c r="T20" s="206">
        <v>0</v>
      </c>
      <c r="U20" s="213">
        <f t="shared" si="1"/>
        <v>-459.84000000000003</v>
      </c>
      <c r="X20" s="211">
        <v>50</v>
      </c>
      <c r="Z20">
        <v>30</v>
      </c>
    </row>
    <row r="21" spans="1:26" ht="15.75">
      <c r="A21" s="195" t="s">
        <v>319</v>
      </c>
      <c r="B21" s="197">
        <v>-140</v>
      </c>
      <c r="C21" s="193">
        <v>-67</v>
      </c>
      <c r="D21" s="193">
        <v>-68</v>
      </c>
      <c r="E21" s="193">
        <v>-50</v>
      </c>
      <c r="F21" s="193"/>
      <c r="G21" s="193"/>
      <c r="H21" s="193"/>
      <c r="I21" s="193">
        <v>-50</v>
      </c>
      <c r="J21" s="193"/>
      <c r="K21" s="193">
        <v>-80</v>
      </c>
      <c r="L21" s="193">
        <v>-75</v>
      </c>
      <c r="M21" s="193"/>
      <c r="N21" s="193"/>
      <c r="O21" s="193"/>
      <c r="P21" s="193"/>
      <c r="Q21" s="193">
        <f t="shared" si="0"/>
        <v>-530</v>
      </c>
      <c r="R21" s="193"/>
      <c r="S21" s="206">
        <v>70.16</v>
      </c>
      <c r="T21" s="206">
        <v>0</v>
      </c>
      <c r="U21" s="213">
        <f t="shared" si="1"/>
        <v>-459.84000000000003</v>
      </c>
      <c r="X21" s="211">
        <v>50</v>
      </c>
      <c r="Z21">
        <v>30</v>
      </c>
    </row>
    <row r="22" spans="1:26" ht="15.75">
      <c r="A22" s="195" t="s">
        <v>320</v>
      </c>
      <c r="B22" s="197">
        <v>-140</v>
      </c>
      <c r="C22" s="193">
        <v>-67</v>
      </c>
      <c r="D22" s="193">
        <v>-68</v>
      </c>
      <c r="E22" s="193">
        <v>-50</v>
      </c>
      <c r="F22" s="193"/>
      <c r="G22" s="193"/>
      <c r="H22" s="193"/>
      <c r="I22" s="193">
        <v>-50</v>
      </c>
      <c r="J22" s="193"/>
      <c r="K22" s="193">
        <v>-80</v>
      </c>
      <c r="L22" s="193">
        <v>-75</v>
      </c>
      <c r="M22" s="193"/>
      <c r="N22" s="193"/>
      <c r="O22" s="193"/>
      <c r="P22" s="193"/>
      <c r="Q22" s="193">
        <f t="shared" si="0"/>
        <v>-530</v>
      </c>
      <c r="R22" s="193"/>
      <c r="S22" s="206">
        <v>70.16</v>
      </c>
      <c r="T22" s="206">
        <v>0</v>
      </c>
      <c r="U22" s="213">
        <f t="shared" si="1"/>
        <v>-459.84000000000003</v>
      </c>
      <c r="X22" s="211">
        <v>50</v>
      </c>
      <c r="Z22">
        <v>32</v>
      </c>
    </row>
    <row r="23" spans="1:26" ht="15.75">
      <c r="A23" s="195" t="s">
        <v>321</v>
      </c>
      <c r="B23" s="197">
        <v>-140</v>
      </c>
      <c r="C23" s="193">
        <v>-67</v>
      </c>
      <c r="D23" s="193">
        <v>-68</v>
      </c>
      <c r="E23" s="193">
        <v>-50</v>
      </c>
      <c r="F23" s="193"/>
      <c r="G23" s="193"/>
      <c r="H23" s="193"/>
      <c r="I23" s="193">
        <v>-50</v>
      </c>
      <c r="J23" s="193"/>
      <c r="K23" s="193">
        <v>-80</v>
      </c>
      <c r="L23" s="193">
        <v>-75</v>
      </c>
      <c r="M23" s="193"/>
      <c r="N23" s="193"/>
      <c r="O23" s="193"/>
      <c r="P23" s="193"/>
      <c r="Q23" s="193">
        <f t="shared" si="0"/>
        <v>-530</v>
      </c>
      <c r="R23" s="193"/>
      <c r="S23" s="206">
        <v>70.16</v>
      </c>
      <c r="T23" s="206">
        <v>0</v>
      </c>
      <c r="U23" s="213">
        <f>SUM(Q23:T23)</f>
        <v>-459.84000000000003</v>
      </c>
      <c r="X23" s="211">
        <v>50</v>
      </c>
      <c r="Z23">
        <v>33</v>
      </c>
    </row>
    <row r="24" spans="1:26" ht="15.75">
      <c r="A24" s="195" t="s">
        <v>322</v>
      </c>
      <c r="B24" s="197">
        <v>-140</v>
      </c>
      <c r="C24" s="193">
        <v>-67</v>
      </c>
      <c r="D24" s="193">
        <v>-68</v>
      </c>
      <c r="E24" s="193">
        <v>-50</v>
      </c>
      <c r="F24" s="193"/>
      <c r="G24" s="193"/>
      <c r="H24" s="193"/>
      <c r="I24" s="193">
        <v>-50</v>
      </c>
      <c r="J24" s="193"/>
      <c r="K24" s="193">
        <v>-80</v>
      </c>
      <c r="L24" s="193">
        <v>-75</v>
      </c>
      <c r="M24" s="193"/>
      <c r="N24" s="193"/>
      <c r="O24" s="193"/>
      <c r="P24" s="193"/>
      <c r="Q24" s="193">
        <f t="shared" si="0"/>
        <v>-530</v>
      </c>
      <c r="R24" s="193"/>
      <c r="S24" s="206">
        <v>70.16</v>
      </c>
      <c r="T24" s="206">
        <v>0</v>
      </c>
      <c r="U24" s="213">
        <f t="shared" si="1"/>
        <v>-459.84000000000003</v>
      </c>
      <c r="X24" s="211">
        <v>50</v>
      </c>
      <c r="Z24">
        <v>35</v>
      </c>
    </row>
    <row r="25" spans="1:26" ht="15.75">
      <c r="A25" s="195" t="s">
        <v>323</v>
      </c>
      <c r="B25" s="197">
        <v>-140</v>
      </c>
      <c r="C25" s="193">
        <v>-67</v>
      </c>
      <c r="D25" s="193">
        <v>-68</v>
      </c>
      <c r="E25" s="193">
        <v>-50</v>
      </c>
      <c r="F25" s="193"/>
      <c r="G25" s="193"/>
      <c r="H25" s="193"/>
      <c r="I25" s="193">
        <v>-50</v>
      </c>
      <c r="J25" s="193"/>
      <c r="K25" s="193">
        <v>-80</v>
      </c>
      <c r="L25" s="193">
        <v>-75</v>
      </c>
      <c r="M25" s="193"/>
      <c r="N25" s="193"/>
      <c r="O25" s="193"/>
      <c r="P25" s="193"/>
      <c r="Q25" s="193">
        <f t="shared" si="0"/>
        <v>-530</v>
      </c>
      <c r="R25" s="193"/>
      <c r="S25" s="206">
        <v>70.16</v>
      </c>
      <c r="T25" s="206">
        <v>0</v>
      </c>
      <c r="U25" s="213">
        <f t="shared" si="1"/>
        <v>-459.84000000000003</v>
      </c>
      <c r="X25" s="211">
        <v>50</v>
      </c>
      <c r="Z25">
        <v>35</v>
      </c>
    </row>
    <row r="26" spans="1:26" ht="15.75">
      <c r="A26" s="195" t="s">
        <v>324</v>
      </c>
      <c r="B26" s="197">
        <v>-140</v>
      </c>
      <c r="C26" s="193">
        <v>-67</v>
      </c>
      <c r="D26" s="193">
        <v>-68</v>
      </c>
      <c r="E26" s="193">
        <v>-50</v>
      </c>
      <c r="F26" s="193"/>
      <c r="G26" s="193"/>
      <c r="H26" s="193"/>
      <c r="I26" s="193">
        <v>-50</v>
      </c>
      <c r="J26" s="193"/>
      <c r="K26" s="193">
        <v>-80</v>
      </c>
      <c r="L26" s="193">
        <v>-75</v>
      </c>
      <c r="M26" s="193"/>
      <c r="N26" s="193"/>
      <c r="O26" s="193"/>
      <c r="P26" s="193"/>
      <c r="Q26" s="193">
        <f t="shared" si="0"/>
        <v>-530</v>
      </c>
      <c r="R26" s="193"/>
      <c r="S26" s="206">
        <v>70.16</v>
      </c>
      <c r="T26" s="206">
        <v>0</v>
      </c>
      <c r="U26" s="213">
        <f t="shared" si="1"/>
        <v>-459.84000000000003</v>
      </c>
      <c r="X26" s="211">
        <v>50</v>
      </c>
      <c r="Z26">
        <v>35</v>
      </c>
    </row>
    <row r="27" spans="1:26" ht="15.75">
      <c r="A27" s="195" t="s">
        <v>325</v>
      </c>
      <c r="B27" s="197">
        <v>-140</v>
      </c>
      <c r="C27" s="193">
        <v>-67</v>
      </c>
      <c r="D27" s="193">
        <v>-68</v>
      </c>
      <c r="E27" s="193">
        <v>-50</v>
      </c>
      <c r="F27" s="193"/>
      <c r="G27" s="193"/>
      <c r="H27" s="193"/>
      <c r="I27" s="193">
        <v>-50</v>
      </c>
      <c r="J27" s="193"/>
      <c r="K27" s="193">
        <v>-80</v>
      </c>
      <c r="L27" s="193">
        <v>-75</v>
      </c>
      <c r="M27" s="193"/>
      <c r="N27" s="193"/>
      <c r="O27" s="193"/>
      <c r="P27" s="193"/>
      <c r="Q27" s="193">
        <f t="shared" si="0"/>
        <v>-530</v>
      </c>
      <c r="R27" s="193"/>
      <c r="S27" s="206">
        <v>70.16</v>
      </c>
      <c r="T27" s="206">
        <v>0</v>
      </c>
      <c r="U27" s="213">
        <f t="shared" si="1"/>
        <v>-459.84000000000003</v>
      </c>
      <c r="X27" s="211">
        <v>50</v>
      </c>
      <c r="Z27">
        <v>35</v>
      </c>
    </row>
    <row r="28" spans="1:26" ht="15.75">
      <c r="A28" s="195" t="s">
        <v>326</v>
      </c>
      <c r="B28" s="197">
        <v>-140</v>
      </c>
      <c r="C28" s="193">
        <v>-67</v>
      </c>
      <c r="D28" s="193">
        <v>-68</v>
      </c>
      <c r="E28" s="193">
        <v>-50</v>
      </c>
      <c r="F28" s="193"/>
      <c r="G28" s="193"/>
      <c r="H28" s="193"/>
      <c r="I28" s="193">
        <v>-50</v>
      </c>
      <c r="J28" s="193"/>
      <c r="K28" s="193">
        <v>-80</v>
      </c>
      <c r="L28" s="193">
        <v>-75</v>
      </c>
      <c r="M28" s="193"/>
      <c r="N28" s="193"/>
      <c r="O28" s="193"/>
      <c r="P28" s="193"/>
      <c r="Q28" s="193">
        <f t="shared" si="0"/>
        <v>-530</v>
      </c>
      <c r="R28" s="193"/>
      <c r="S28" s="206">
        <v>70.16</v>
      </c>
      <c r="T28" s="206">
        <v>0</v>
      </c>
      <c r="U28" s="213">
        <f t="shared" si="1"/>
        <v>-459.84000000000003</v>
      </c>
      <c r="X28" s="211">
        <v>50</v>
      </c>
      <c r="Z28">
        <v>35</v>
      </c>
    </row>
    <row r="29" spans="1:26" ht="15.75">
      <c r="A29" s="195" t="s">
        <v>327</v>
      </c>
      <c r="B29" s="197">
        <v>-140</v>
      </c>
      <c r="C29" s="193">
        <v>-67</v>
      </c>
      <c r="D29" s="193">
        <v>-68</v>
      </c>
      <c r="E29" s="193">
        <v>-50</v>
      </c>
      <c r="F29" s="193"/>
      <c r="G29" s="193"/>
      <c r="H29" s="193"/>
      <c r="I29" s="193">
        <v>-50</v>
      </c>
      <c r="J29" s="193"/>
      <c r="K29" s="193">
        <v>-80</v>
      </c>
      <c r="L29" s="193">
        <v>-75</v>
      </c>
      <c r="M29" s="193"/>
      <c r="N29" s="193"/>
      <c r="O29" s="193"/>
      <c r="P29" s="193"/>
      <c r="Q29" s="193">
        <f t="shared" si="0"/>
        <v>-530</v>
      </c>
      <c r="R29" s="193"/>
      <c r="S29" s="206">
        <v>70.16</v>
      </c>
      <c r="T29" s="206">
        <v>0</v>
      </c>
      <c r="U29" s="213">
        <f t="shared" si="1"/>
        <v>-459.84000000000003</v>
      </c>
      <c r="X29" s="211">
        <v>50</v>
      </c>
      <c r="Z29">
        <v>35</v>
      </c>
    </row>
    <row r="30" spans="1:26" ht="15.75">
      <c r="A30" s="195" t="s">
        <v>328</v>
      </c>
      <c r="B30" s="197">
        <v>-140</v>
      </c>
      <c r="C30" s="193">
        <v>-67</v>
      </c>
      <c r="D30" s="193">
        <v>-68</v>
      </c>
      <c r="E30" s="193">
        <v>-50</v>
      </c>
      <c r="F30" s="193"/>
      <c r="G30" s="193"/>
      <c r="H30" s="193"/>
      <c r="I30" s="193">
        <v>-50</v>
      </c>
      <c r="J30" s="193"/>
      <c r="K30" s="193">
        <v>-80</v>
      </c>
      <c r="L30" s="193">
        <v>-75</v>
      </c>
      <c r="M30" s="193"/>
      <c r="N30" s="193"/>
      <c r="O30" s="193"/>
      <c r="P30" s="193"/>
      <c r="Q30" s="193">
        <f t="shared" si="0"/>
        <v>-530</v>
      </c>
      <c r="R30" s="193"/>
      <c r="S30" s="206">
        <v>70.16</v>
      </c>
      <c r="T30" s="206">
        <v>0</v>
      </c>
      <c r="U30" s="213">
        <f t="shared" si="1"/>
        <v>-459.84000000000003</v>
      </c>
      <c r="X30" s="211">
        <v>50</v>
      </c>
      <c r="Z30">
        <v>35</v>
      </c>
    </row>
    <row r="31" spans="1:26" ht="15.75">
      <c r="A31" s="195" t="s">
        <v>329</v>
      </c>
      <c r="B31" s="197">
        <v>-140</v>
      </c>
      <c r="C31" s="193">
        <v>-67</v>
      </c>
      <c r="D31" s="193">
        <v>-68</v>
      </c>
      <c r="E31" s="193"/>
      <c r="F31" s="193"/>
      <c r="G31" s="193"/>
      <c r="H31" s="193"/>
      <c r="I31" s="193"/>
      <c r="J31" s="193"/>
      <c r="K31" s="193">
        <v>-80</v>
      </c>
      <c r="L31" s="193">
        <v>-75</v>
      </c>
      <c r="M31" s="193"/>
      <c r="N31" s="193"/>
      <c r="O31" s="193"/>
      <c r="P31" s="193"/>
      <c r="Q31" s="193">
        <f t="shared" si="0"/>
        <v>-430</v>
      </c>
      <c r="R31" s="193"/>
      <c r="S31" s="206">
        <v>70.16</v>
      </c>
      <c r="T31" s="206">
        <v>0</v>
      </c>
      <c r="U31" s="213">
        <f t="shared" si="1"/>
        <v>-359.84000000000003</v>
      </c>
      <c r="X31" s="211">
        <v>50</v>
      </c>
      <c r="Z31">
        <v>40</v>
      </c>
    </row>
    <row r="32" spans="1:26" ht="15.75">
      <c r="A32" s="195" t="s">
        <v>330</v>
      </c>
      <c r="B32" s="197">
        <v>-140</v>
      </c>
      <c r="C32" s="193">
        <v>-67</v>
      </c>
      <c r="D32" s="193">
        <v>-68</v>
      </c>
      <c r="E32" s="193"/>
      <c r="F32" s="193"/>
      <c r="G32" s="193"/>
      <c r="H32" s="193"/>
      <c r="I32" s="193"/>
      <c r="J32" s="193"/>
      <c r="K32" s="193">
        <v>-80</v>
      </c>
      <c r="L32" s="193">
        <v>-75</v>
      </c>
      <c r="M32" s="193"/>
      <c r="N32" s="193"/>
      <c r="O32" s="193"/>
      <c r="P32" s="193"/>
      <c r="Q32" s="193">
        <f t="shared" si="0"/>
        <v>-430</v>
      </c>
      <c r="R32" s="193"/>
      <c r="S32" s="206">
        <v>70.16</v>
      </c>
      <c r="T32" s="206">
        <v>0</v>
      </c>
      <c r="U32" s="213">
        <f t="shared" si="1"/>
        <v>-359.84000000000003</v>
      </c>
      <c r="X32" s="211">
        <v>50</v>
      </c>
      <c r="Z32">
        <v>40</v>
      </c>
    </row>
    <row r="33" spans="1:26" ht="15.75">
      <c r="A33" s="195" t="s">
        <v>331</v>
      </c>
      <c r="B33" s="197">
        <v>-140</v>
      </c>
      <c r="C33" s="193">
        <v>-67</v>
      </c>
      <c r="D33" s="193">
        <v>-68</v>
      </c>
      <c r="E33" s="193"/>
      <c r="F33" s="193"/>
      <c r="G33" s="193"/>
      <c r="H33" s="193"/>
      <c r="I33" s="193"/>
      <c r="J33" s="193"/>
      <c r="K33" s="193">
        <v>-80</v>
      </c>
      <c r="L33" s="193">
        <v>-75</v>
      </c>
      <c r="M33" s="193"/>
      <c r="N33" s="193"/>
      <c r="O33" s="193"/>
      <c r="P33" s="193"/>
      <c r="Q33" s="193">
        <f t="shared" si="0"/>
        <v>-430</v>
      </c>
      <c r="R33" s="193"/>
      <c r="S33" s="206">
        <v>70.16</v>
      </c>
      <c r="T33" s="206">
        <v>0</v>
      </c>
      <c r="U33" s="213">
        <f t="shared" si="1"/>
        <v>-359.84000000000003</v>
      </c>
      <c r="X33" s="211">
        <v>50</v>
      </c>
      <c r="Z33">
        <v>40</v>
      </c>
    </row>
    <row r="34" spans="1:26" ht="15.75">
      <c r="A34" s="195" t="s">
        <v>332</v>
      </c>
      <c r="B34" s="197">
        <v>-140</v>
      </c>
      <c r="C34" s="193">
        <v>-67</v>
      </c>
      <c r="D34" s="193">
        <v>-68</v>
      </c>
      <c r="E34" s="193"/>
      <c r="F34" s="193"/>
      <c r="G34" s="193"/>
      <c r="H34" s="193"/>
      <c r="I34" s="193"/>
      <c r="J34" s="193"/>
      <c r="K34" s="193">
        <v>-80</v>
      </c>
      <c r="L34" s="193">
        <v>-75</v>
      </c>
      <c r="M34" s="193"/>
      <c r="N34" s="193"/>
      <c r="O34" s="193"/>
      <c r="P34" s="193"/>
      <c r="Q34" s="193">
        <f t="shared" si="0"/>
        <v>-430</v>
      </c>
      <c r="R34" s="193"/>
      <c r="S34" s="206">
        <v>70.16</v>
      </c>
      <c r="T34" s="206">
        <v>0</v>
      </c>
      <c r="U34" s="213">
        <f t="shared" si="1"/>
        <v>-359.84000000000003</v>
      </c>
      <c r="X34" s="211">
        <v>50</v>
      </c>
      <c r="Z34">
        <v>40</v>
      </c>
    </row>
    <row r="35" spans="1:26" ht="15.75">
      <c r="A35" s="195" t="s">
        <v>333</v>
      </c>
      <c r="B35" s="197">
        <v>-140</v>
      </c>
      <c r="C35" s="193">
        <v>-67</v>
      </c>
      <c r="D35" s="193">
        <v>-68</v>
      </c>
      <c r="E35" s="193"/>
      <c r="F35" s="193"/>
      <c r="G35" s="193"/>
      <c r="H35" s="193"/>
      <c r="I35" s="193"/>
      <c r="J35" s="193"/>
      <c r="K35" s="193">
        <v>-80</v>
      </c>
      <c r="L35" s="193">
        <v>-75</v>
      </c>
      <c r="M35" s="193"/>
      <c r="N35" s="193"/>
      <c r="O35" s="193"/>
      <c r="P35" s="193"/>
      <c r="Q35" s="193">
        <f t="shared" si="0"/>
        <v>-430</v>
      </c>
      <c r="R35" s="193"/>
      <c r="S35" s="206">
        <v>70.16</v>
      </c>
      <c r="T35" s="206">
        <v>0</v>
      </c>
      <c r="U35" s="213">
        <f t="shared" si="1"/>
        <v>-359.84000000000003</v>
      </c>
      <c r="X35" s="211">
        <v>50</v>
      </c>
      <c r="Z35">
        <v>40</v>
      </c>
    </row>
    <row r="36" spans="1:26" ht="15.75">
      <c r="A36" s="195" t="s">
        <v>334</v>
      </c>
      <c r="B36" s="197">
        <v>-140</v>
      </c>
      <c r="C36" s="193">
        <v>-67</v>
      </c>
      <c r="D36" s="193">
        <v>-68</v>
      </c>
      <c r="E36" s="193"/>
      <c r="F36" s="193"/>
      <c r="G36" s="193"/>
      <c r="H36" s="193"/>
      <c r="I36" s="193"/>
      <c r="J36" s="193"/>
      <c r="K36" s="193">
        <v>-80</v>
      </c>
      <c r="L36" s="193">
        <v>-75</v>
      </c>
      <c r="M36" s="193"/>
      <c r="N36" s="193"/>
      <c r="O36" s="193"/>
      <c r="P36" s="193"/>
      <c r="Q36" s="193">
        <f t="shared" si="0"/>
        <v>-430</v>
      </c>
      <c r="R36" s="193"/>
      <c r="S36" s="206">
        <v>70.16</v>
      </c>
      <c r="T36" s="206">
        <v>0</v>
      </c>
      <c r="U36" s="213">
        <f t="shared" si="1"/>
        <v>-359.84000000000003</v>
      </c>
      <c r="X36" s="211">
        <v>50</v>
      </c>
      <c r="Z36">
        <v>40</v>
      </c>
    </row>
    <row r="37" spans="1:26" ht="15.75">
      <c r="A37" s="195" t="s">
        <v>335</v>
      </c>
      <c r="B37" s="197">
        <v>-140</v>
      </c>
      <c r="C37" s="193">
        <v>-67</v>
      </c>
      <c r="D37" s="193">
        <v>-68</v>
      </c>
      <c r="E37" s="193"/>
      <c r="F37" s="193"/>
      <c r="G37" s="193"/>
      <c r="H37" s="193"/>
      <c r="I37" s="193"/>
      <c r="J37" s="193"/>
      <c r="K37" s="193">
        <v>-80</v>
      </c>
      <c r="L37" s="193">
        <v>-75</v>
      </c>
      <c r="M37" s="193"/>
      <c r="N37" s="193"/>
      <c r="O37" s="193"/>
      <c r="P37" s="193"/>
      <c r="Q37" s="193">
        <f t="shared" si="0"/>
        <v>-430</v>
      </c>
      <c r="R37" s="193"/>
      <c r="S37" s="206">
        <v>70.16</v>
      </c>
      <c r="T37" s="206">
        <v>0</v>
      </c>
      <c r="U37" s="213">
        <f t="shared" si="1"/>
        <v>-359.84000000000003</v>
      </c>
      <c r="X37" s="211">
        <v>50</v>
      </c>
      <c r="Z37">
        <v>40</v>
      </c>
    </row>
    <row r="38" spans="1:26" ht="15.75">
      <c r="A38" s="195" t="s">
        <v>336</v>
      </c>
      <c r="B38" s="197">
        <v>-140</v>
      </c>
      <c r="C38" s="193">
        <v>-67</v>
      </c>
      <c r="D38" s="193">
        <v>-68</v>
      </c>
      <c r="E38" s="193"/>
      <c r="F38" s="193"/>
      <c r="G38" s="193"/>
      <c r="H38" s="193"/>
      <c r="I38" s="193"/>
      <c r="J38" s="193"/>
      <c r="K38" s="193">
        <v>-80</v>
      </c>
      <c r="L38" s="193">
        <v>-75</v>
      </c>
      <c r="M38" s="193"/>
      <c r="N38" s="193"/>
      <c r="O38" s="193"/>
      <c r="P38" s="193"/>
      <c r="Q38" s="193">
        <f t="shared" si="0"/>
        <v>-430</v>
      </c>
      <c r="R38" s="193"/>
      <c r="S38" s="206">
        <v>70.16</v>
      </c>
      <c r="T38" s="206">
        <v>0</v>
      </c>
      <c r="U38" s="213">
        <f t="shared" si="1"/>
        <v>-359.84000000000003</v>
      </c>
      <c r="X38" s="211">
        <v>50</v>
      </c>
      <c r="Z38">
        <v>45</v>
      </c>
    </row>
    <row r="39" spans="1:26" ht="15.75">
      <c r="A39" s="195" t="s">
        <v>337</v>
      </c>
      <c r="B39" s="197">
        <v>-140</v>
      </c>
      <c r="C39" s="193">
        <v>-67</v>
      </c>
      <c r="D39" s="193">
        <v>-68</v>
      </c>
      <c r="E39" s="193"/>
      <c r="F39" s="193"/>
      <c r="G39" s="193"/>
      <c r="H39" s="193"/>
      <c r="I39" s="193"/>
      <c r="J39" s="193"/>
      <c r="K39" s="193">
        <v>-80</v>
      </c>
      <c r="L39" s="193">
        <v>-75</v>
      </c>
      <c r="M39" s="193"/>
      <c r="N39" s="193"/>
      <c r="O39" s="193"/>
      <c r="P39" s="193"/>
      <c r="Q39" s="193">
        <f t="shared" si="0"/>
        <v>-430</v>
      </c>
      <c r="R39" s="193"/>
      <c r="S39" s="206">
        <v>70.16</v>
      </c>
      <c r="T39" s="206">
        <v>0</v>
      </c>
      <c r="U39" s="213">
        <f t="shared" si="1"/>
        <v>-359.84000000000003</v>
      </c>
      <c r="X39" s="211">
        <v>50</v>
      </c>
      <c r="Z39">
        <v>45</v>
      </c>
    </row>
    <row r="40" spans="1:26" ht="15.75">
      <c r="A40" s="195" t="s">
        <v>338</v>
      </c>
      <c r="B40" s="197">
        <v>-140</v>
      </c>
      <c r="C40" s="193">
        <v>-67</v>
      </c>
      <c r="D40" s="193">
        <v>-68</v>
      </c>
      <c r="E40" s="193"/>
      <c r="F40" s="193"/>
      <c r="G40" s="193"/>
      <c r="H40" s="193"/>
      <c r="I40" s="193"/>
      <c r="J40" s="193"/>
      <c r="K40" s="193">
        <v>-80</v>
      </c>
      <c r="L40" s="193">
        <v>-75</v>
      </c>
      <c r="M40" s="193"/>
      <c r="N40" s="193"/>
      <c r="O40" s="193"/>
      <c r="P40" s="193"/>
      <c r="Q40" s="193">
        <f t="shared" si="0"/>
        <v>-430</v>
      </c>
      <c r="R40" s="193"/>
      <c r="S40" s="206">
        <v>70.16</v>
      </c>
      <c r="T40" s="206">
        <v>0</v>
      </c>
      <c r="U40" s="213">
        <f t="shared" si="1"/>
        <v>-359.84000000000003</v>
      </c>
      <c r="X40" s="211">
        <v>50</v>
      </c>
      <c r="Z40">
        <v>45</v>
      </c>
    </row>
    <row r="41" spans="1:26" ht="15.75">
      <c r="A41" s="195" t="s">
        <v>339</v>
      </c>
      <c r="B41" s="197">
        <v>-140</v>
      </c>
      <c r="C41" s="193">
        <v>-67</v>
      </c>
      <c r="D41" s="193">
        <v>-68</v>
      </c>
      <c r="E41" s="193"/>
      <c r="F41" s="193"/>
      <c r="G41" s="193"/>
      <c r="H41" s="193"/>
      <c r="I41" s="193"/>
      <c r="J41" s="193"/>
      <c r="K41" s="193">
        <v>-80</v>
      </c>
      <c r="L41" s="193">
        <v>-75</v>
      </c>
      <c r="M41" s="193"/>
      <c r="N41" s="193"/>
      <c r="O41" s="193"/>
      <c r="P41" s="193"/>
      <c r="Q41" s="193">
        <f t="shared" si="0"/>
        <v>-430</v>
      </c>
      <c r="R41" s="193"/>
      <c r="S41" s="206">
        <v>70.16</v>
      </c>
      <c r="T41" s="206">
        <v>0</v>
      </c>
      <c r="U41" s="213">
        <f t="shared" si="1"/>
        <v>-359.84000000000003</v>
      </c>
      <c r="X41" s="211">
        <v>50</v>
      </c>
      <c r="Z41">
        <v>45</v>
      </c>
    </row>
    <row r="42" spans="1:26" ht="15.75">
      <c r="A42" s="195" t="s">
        <v>340</v>
      </c>
      <c r="B42" s="197">
        <v>-140</v>
      </c>
      <c r="C42" s="193">
        <v>-67</v>
      </c>
      <c r="D42" s="193">
        <v>-68</v>
      </c>
      <c r="E42" s="193"/>
      <c r="F42" s="193"/>
      <c r="G42" s="193"/>
      <c r="H42" s="193"/>
      <c r="I42" s="193"/>
      <c r="J42" s="193"/>
      <c r="K42" s="193">
        <v>-80</v>
      </c>
      <c r="L42" s="193">
        <v>-75</v>
      </c>
      <c r="M42" s="193"/>
      <c r="N42" s="193"/>
      <c r="O42" s="193"/>
      <c r="P42" s="193"/>
      <c r="Q42" s="193">
        <f t="shared" si="0"/>
        <v>-430</v>
      </c>
      <c r="R42" s="193"/>
      <c r="S42" s="206">
        <v>70.16</v>
      </c>
      <c r="T42" s="206">
        <v>0</v>
      </c>
      <c r="U42" s="213">
        <f t="shared" si="1"/>
        <v>-359.84000000000003</v>
      </c>
      <c r="X42" s="211">
        <v>50</v>
      </c>
      <c r="Z42">
        <v>45</v>
      </c>
    </row>
    <row r="43" spans="1:26" ht="15.75">
      <c r="A43" s="195" t="s">
        <v>341</v>
      </c>
      <c r="B43" s="197">
        <v>-140</v>
      </c>
      <c r="C43" s="193">
        <v>-67</v>
      </c>
      <c r="D43" s="193">
        <v>-68</v>
      </c>
      <c r="E43" s="193"/>
      <c r="F43" s="193"/>
      <c r="G43" s="193"/>
      <c r="H43" s="193"/>
      <c r="I43" s="193"/>
      <c r="J43" s="193"/>
      <c r="K43" s="193">
        <v>-80</v>
      </c>
      <c r="L43" s="193">
        <v>-75</v>
      </c>
      <c r="M43" s="193"/>
      <c r="N43" s="193"/>
      <c r="O43" s="193"/>
      <c r="P43" s="193"/>
      <c r="Q43" s="193">
        <f t="shared" si="0"/>
        <v>-430</v>
      </c>
      <c r="R43" s="193"/>
      <c r="S43" s="206">
        <v>70.16</v>
      </c>
      <c r="T43" s="206">
        <v>0</v>
      </c>
      <c r="U43" s="213">
        <f t="shared" si="1"/>
        <v>-359.84000000000003</v>
      </c>
      <c r="X43" s="211">
        <v>50</v>
      </c>
      <c r="Z43">
        <v>45</v>
      </c>
    </row>
    <row r="44" spans="1:26" ht="15.75">
      <c r="A44" s="195" t="s">
        <v>342</v>
      </c>
      <c r="B44" s="197">
        <v>-140</v>
      </c>
      <c r="C44" s="193">
        <v>-67</v>
      </c>
      <c r="D44" s="193">
        <v>-68</v>
      </c>
      <c r="E44" s="193"/>
      <c r="F44" s="193"/>
      <c r="G44" s="193"/>
      <c r="H44" s="193"/>
      <c r="I44" s="193"/>
      <c r="J44" s="193"/>
      <c r="K44" s="193">
        <v>-80</v>
      </c>
      <c r="L44" s="193">
        <v>-75</v>
      </c>
      <c r="M44" s="193"/>
      <c r="N44" s="193"/>
      <c r="O44" s="193"/>
      <c r="P44" s="193"/>
      <c r="Q44" s="193">
        <f t="shared" si="0"/>
        <v>-430</v>
      </c>
      <c r="R44" s="193"/>
      <c r="S44" s="206">
        <v>70.16</v>
      </c>
      <c r="T44" s="206">
        <v>0</v>
      </c>
      <c r="U44" s="213">
        <f t="shared" si="1"/>
        <v>-359.84000000000003</v>
      </c>
      <c r="X44" s="211">
        <v>50</v>
      </c>
      <c r="Z44">
        <v>45</v>
      </c>
    </row>
    <row r="45" spans="1:26" ht="15.75">
      <c r="A45" s="195" t="s">
        <v>343</v>
      </c>
      <c r="B45" s="197">
        <v>-140</v>
      </c>
      <c r="C45" s="193">
        <v>-67</v>
      </c>
      <c r="D45" s="193">
        <v>-68</v>
      </c>
      <c r="E45" s="193"/>
      <c r="F45" s="193"/>
      <c r="G45" s="193"/>
      <c r="H45" s="193"/>
      <c r="I45" s="193"/>
      <c r="J45" s="193"/>
      <c r="K45" s="193">
        <v>-80</v>
      </c>
      <c r="L45" s="193">
        <v>-75</v>
      </c>
      <c r="M45" s="193"/>
      <c r="N45" s="193"/>
      <c r="O45" s="193"/>
      <c r="P45" s="193"/>
      <c r="Q45" s="193">
        <f t="shared" si="0"/>
        <v>-430</v>
      </c>
      <c r="R45" s="193"/>
      <c r="S45" s="206">
        <v>70.16</v>
      </c>
      <c r="T45" s="206">
        <v>0</v>
      </c>
      <c r="U45" s="213">
        <f t="shared" si="1"/>
        <v>-359.84000000000003</v>
      </c>
      <c r="X45" s="211">
        <v>50</v>
      </c>
      <c r="Z45">
        <v>45</v>
      </c>
    </row>
    <row r="46" spans="1:26" ht="15.75">
      <c r="A46" s="195" t="s">
        <v>344</v>
      </c>
      <c r="B46" s="197">
        <v>-140</v>
      </c>
      <c r="C46" s="193">
        <v>-67</v>
      </c>
      <c r="D46" s="193">
        <v>-68</v>
      </c>
      <c r="E46" s="193"/>
      <c r="F46" s="193"/>
      <c r="G46" s="193"/>
      <c r="H46" s="193"/>
      <c r="I46" s="193"/>
      <c r="J46" s="193"/>
      <c r="K46" s="193">
        <v>-80</v>
      </c>
      <c r="L46" s="193">
        <v>-75</v>
      </c>
      <c r="M46" s="193"/>
      <c r="N46" s="193"/>
      <c r="O46" s="193"/>
      <c r="P46" s="193"/>
      <c r="Q46" s="193">
        <f t="shared" si="0"/>
        <v>-430</v>
      </c>
      <c r="R46" s="193"/>
      <c r="S46" s="206">
        <v>70.16</v>
      </c>
      <c r="T46" s="206">
        <v>0</v>
      </c>
      <c r="U46" s="213">
        <f t="shared" si="1"/>
        <v>-359.84000000000003</v>
      </c>
      <c r="X46" s="211">
        <v>50</v>
      </c>
      <c r="Z46">
        <v>45</v>
      </c>
    </row>
    <row r="47" spans="1:26" ht="15.75">
      <c r="A47" s="195" t="s">
        <v>345</v>
      </c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0</v>
      </c>
      <c r="R47" s="193"/>
      <c r="S47" s="206">
        <v>70.16</v>
      </c>
      <c r="T47" s="206">
        <v>0</v>
      </c>
      <c r="U47" s="213">
        <f t="shared" si="1"/>
        <v>70.16</v>
      </c>
      <c r="X47" s="211">
        <v>50</v>
      </c>
      <c r="Z47">
        <v>45</v>
      </c>
    </row>
    <row r="48" spans="1:26" ht="15.75">
      <c r="A48" s="195" t="s">
        <v>346</v>
      </c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0</v>
      </c>
      <c r="R48" s="193"/>
      <c r="S48" s="206">
        <v>70.16</v>
      </c>
      <c r="T48" s="206">
        <v>0</v>
      </c>
      <c r="U48" s="213">
        <f t="shared" si="1"/>
        <v>70.16</v>
      </c>
      <c r="X48" s="211">
        <v>50</v>
      </c>
      <c r="Z48">
        <v>45</v>
      </c>
    </row>
    <row r="49" spans="1:26" ht="15.75">
      <c r="A49" s="195" t="s">
        <v>347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0</v>
      </c>
      <c r="R49" s="193"/>
      <c r="S49" s="206">
        <v>70.16</v>
      </c>
      <c r="T49" s="206">
        <v>0</v>
      </c>
      <c r="U49" s="213">
        <f t="shared" si="1"/>
        <v>70.16</v>
      </c>
      <c r="X49" s="211">
        <v>50</v>
      </c>
      <c r="Z49">
        <v>45</v>
      </c>
    </row>
    <row r="50" spans="1:26" ht="15.75">
      <c r="A50" s="195" t="s">
        <v>348</v>
      </c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0</v>
      </c>
      <c r="R50" s="193"/>
      <c r="S50" s="206">
        <v>70.16</v>
      </c>
      <c r="T50" s="206">
        <v>0</v>
      </c>
      <c r="U50" s="213">
        <f t="shared" si="1"/>
        <v>70.16</v>
      </c>
      <c r="X50" s="211">
        <v>50</v>
      </c>
      <c r="Z50">
        <v>45</v>
      </c>
    </row>
    <row r="51" spans="1:26" ht="15.75">
      <c r="A51" s="195" t="s">
        <v>349</v>
      </c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0</v>
      </c>
      <c r="R51" s="193"/>
      <c r="S51" s="206">
        <v>70.16</v>
      </c>
      <c r="T51" s="206">
        <v>0</v>
      </c>
      <c r="U51" s="213">
        <f t="shared" si="1"/>
        <v>70.16</v>
      </c>
      <c r="X51" s="211">
        <v>50</v>
      </c>
      <c r="Z51">
        <v>45</v>
      </c>
    </row>
    <row r="52" spans="1:26" ht="15.75">
      <c r="A52" s="195" t="s">
        <v>350</v>
      </c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0</v>
      </c>
      <c r="R52" s="193"/>
      <c r="S52" s="206">
        <v>70.16</v>
      </c>
      <c r="T52" s="206">
        <v>0</v>
      </c>
      <c r="U52" s="213">
        <f t="shared" si="1"/>
        <v>70.16</v>
      </c>
      <c r="X52" s="211">
        <v>50</v>
      </c>
      <c r="Z52">
        <v>45</v>
      </c>
    </row>
    <row r="53" spans="1:26" ht="15.75">
      <c r="A53" s="195" t="s">
        <v>351</v>
      </c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0</v>
      </c>
      <c r="R53" s="193"/>
      <c r="S53" s="206">
        <v>70.16</v>
      </c>
      <c r="T53" s="206">
        <v>0</v>
      </c>
      <c r="U53" s="213">
        <f t="shared" si="1"/>
        <v>70.16</v>
      </c>
      <c r="X53" s="211">
        <v>50</v>
      </c>
      <c r="Z53">
        <v>45</v>
      </c>
    </row>
    <row r="54" spans="1:26" ht="15.75">
      <c r="A54" s="195" t="s">
        <v>352</v>
      </c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0</v>
      </c>
      <c r="R54" s="193"/>
      <c r="S54" s="206">
        <v>70.16</v>
      </c>
      <c r="T54" s="206">
        <v>0</v>
      </c>
      <c r="U54" s="213">
        <f t="shared" si="1"/>
        <v>70.16</v>
      </c>
      <c r="X54" s="211">
        <v>50</v>
      </c>
      <c r="Z54">
        <v>45</v>
      </c>
    </row>
    <row r="55" spans="1:26" ht="15.75">
      <c r="A55" s="195" t="s">
        <v>353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0</v>
      </c>
      <c r="R55" s="193"/>
      <c r="S55" s="206">
        <v>70.16</v>
      </c>
      <c r="T55" s="206">
        <v>0</v>
      </c>
      <c r="U55" s="213">
        <f t="shared" si="1"/>
        <v>70.16</v>
      </c>
      <c r="X55" s="211">
        <v>50</v>
      </c>
      <c r="Z55">
        <v>45</v>
      </c>
    </row>
    <row r="56" spans="1:26" ht="15.75">
      <c r="A56" s="195" t="s">
        <v>354</v>
      </c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0</v>
      </c>
      <c r="R56" s="193"/>
      <c r="S56" s="206">
        <v>70.16</v>
      </c>
      <c r="T56" s="206">
        <v>0</v>
      </c>
      <c r="U56" s="213">
        <f t="shared" si="1"/>
        <v>70.16</v>
      </c>
      <c r="X56" s="211">
        <v>50</v>
      </c>
      <c r="Z56">
        <v>45</v>
      </c>
    </row>
    <row r="57" spans="1:26" ht="15.75">
      <c r="A57" s="195" t="s">
        <v>355</v>
      </c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0</v>
      </c>
      <c r="R57" s="193"/>
      <c r="S57" s="206">
        <v>70.16</v>
      </c>
      <c r="T57" s="206">
        <v>0</v>
      </c>
      <c r="U57" s="213">
        <f t="shared" si="1"/>
        <v>70.16</v>
      </c>
      <c r="X57" s="211">
        <v>50</v>
      </c>
      <c r="Z57">
        <v>45</v>
      </c>
    </row>
    <row r="58" spans="1:26" ht="15.75">
      <c r="A58" s="195" t="s">
        <v>356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70.16</v>
      </c>
      <c r="T67" s="206">
        <v>0</v>
      </c>
      <c r="U67" s="213">
        <f t="shared" si="1"/>
        <v>70.16</v>
      </c>
      <c r="X67" s="211">
        <v>50</v>
      </c>
      <c r="Z67">
        <v>45</v>
      </c>
    </row>
    <row r="68" spans="1:26" ht="15.75">
      <c r="A68" s="195" t="s">
        <v>366</v>
      </c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70.16</v>
      </c>
      <c r="T68" s="206">
        <v>0</v>
      </c>
      <c r="U68" s="213">
        <f t="shared" ref="U68:U98" si="3">SUM(Q68:T68)</f>
        <v>70.16</v>
      </c>
      <c r="X68" s="211">
        <v>50</v>
      </c>
      <c r="Z68">
        <v>45</v>
      </c>
    </row>
    <row r="69" spans="1:26" ht="15.75">
      <c r="A69" s="195" t="s">
        <v>367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70.16</v>
      </c>
      <c r="T69" s="206">
        <v>0</v>
      </c>
      <c r="U69" s="213">
        <f t="shared" si="3"/>
        <v>70.16</v>
      </c>
      <c r="X69" s="211">
        <v>50</v>
      </c>
      <c r="Z69">
        <v>45</v>
      </c>
    </row>
    <row r="70" spans="1:26" ht="15.75">
      <c r="A70" s="195" t="s">
        <v>368</v>
      </c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70.16</v>
      </c>
      <c r="T70" s="206">
        <v>0</v>
      </c>
      <c r="U70" s="213">
        <f t="shared" si="3"/>
        <v>70.16</v>
      </c>
      <c r="X70" s="211">
        <v>50</v>
      </c>
      <c r="Z70">
        <v>45</v>
      </c>
    </row>
    <row r="71" spans="1:26" ht="15.75">
      <c r="A71" s="195" t="s">
        <v>369</v>
      </c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70.16</v>
      </c>
      <c r="T71" s="206">
        <v>0</v>
      </c>
      <c r="U71" s="213">
        <f t="shared" si="3"/>
        <v>70.16</v>
      </c>
      <c r="X71" s="211">
        <v>50</v>
      </c>
      <c r="Z71">
        <v>45</v>
      </c>
    </row>
    <row r="72" spans="1:26" ht="15.75">
      <c r="A72" s="195" t="s">
        <v>370</v>
      </c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70.16</v>
      </c>
      <c r="T72" s="206">
        <v>0</v>
      </c>
      <c r="U72" s="213">
        <f t="shared" si="3"/>
        <v>70.16</v>
      </c>
      <c r="X72" s="211">
        <v>50</v>
      </c>
      <c r="Z72">
        <v>45</v>
      </c>
    </row>
    <row r="73" spans="1:26" ht="15.75">
      <c r="A73" s="195" t="s">
        <v>371</v>
      </c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70.16</v>
      </c>
      <c r="T73" s="206">
        <v>0</v>
      </c>
      <c r="U73" s="213">
        <f t="shared" si="3"/>
        <v>70.16</v>
      </c>
      <c r="X73" s="211">
        <v>50</v>
      </c>
      <c r="Z73">
        <v>45</v>
      </c>
    </row>
    <row r="74" spans="1:26" ht="15.75">
      <c r="A74" s="195" t="s">
        <v>372</v>
      </c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70.16</v>
      </c>
      <c r="T74" s="206">
        <v>0</v>
      </c>
      <c r="U74" s="213">
        <f t="shared" si="3"/>
        <v>70.16</v>
      </c>
      <c r="X74" s="211">
        <v>50</v>
      </c>
      <c r="Z74">
        <v>45</v>
      </c>
    </row>
    <row r="75" spans="1:26" ht="15.75">
      <c r="A75" s="195" t="s">
        <v>373</v>
      </c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70.16</v>
      </c>
      <c r="T75" s="206">
        <v>0</v>
      </c>
      <c r="U75" s="213">
        <f t="shared" si="3"/>
        <v>70.16</v>
      </c>
      <c r="X75" s="211">
        <v>50</v>
      </c>
      <c r="Z75">
        <v>45</v>
      </c>
    </row>
    <row r="76" spans="1:26" ht="15.75">
      <c r="A76" s="195" t="s">
        <v>374</v>
      </c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70.16</v>
      </c>
      <c r="T76" s="206">
        <v>0</v>
      </c>
      <c r="U76" s="213">
        <f t="shared" si="3"/>
        <v>70.16</v>
      </c>
      <c r="X76" s="211">
        <v>50</v>
      </c>
      <c r="Z76">
        <v>45</v>
      </c>
    </row>
    <row r="77" spans="1:26" ht="15.75">
      <c r="A77" s="195" t="s">
        <v>375</v>
      </c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206">
        <v>70.16</v>
      </c>
      <c r="T77" s="206">
        <v>-140</v>
      </c>
      <c r="U77" s="213">
        <f t="shared" si="3"/>
        <v>-69.84</v>
      </c>
      <c r="X77" s="211">
        <v>50</v>
      </c>
      <c r="Z77">
        <v>45</v>
      </c>
    </row>
    <row r="78" spans="1:26" ht="15.75">
      <c r="A78" s="195" t="s">
        <v>376</v>
      </c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206">
        <v>70.16</v>
      </c>
      <c r="T78" s="206">
        <v>-140</v>
      </c>
      <c r="U78" s="213">
        <f t="shared" si="3"/>
        <v>-69.84</v>
      </c>
      <c r="X78" s="211">
        <v>50</v>
      </c>
      <c r="Z78">
        <v>45</v>
      </c>
    </row>
    <row r="79" spans="1:26" ht="15.75">
      <c r="A79" s="195" t="s">
        <v>377</v>
      </c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206">
        <v>70.16</v>
      </c>
      <c r="T79" s="206">
        <v>-140</v>
      </c>
      <c r="U79" s="213">
        <f t="shared" si="3"/>
        <v>-69.84</v>
      </c>
      <c r="X79" s="211">
        <v>50</v>
      </c>
      <c r="Z79">
        <v>45</v>
      </c>
    </row>
    <row r="80" spans="1:26" ht="15.75">
      <c r="A80" s="195" t="s">
        <v>378</v>
      </c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206">
        <v>70.16</v>
      </c>
      <c r="T80" s="206">
        <v>-140</v>
      </c>
      <c r="U80" s="213">
        <f t="shared" si="3"/>
        <v>-69.84</v>
      </c>
      <c r="X80" s="211">
        <v>50</v>
      </c>
      <c r="Z80">
        <v>45</v>
      </c>
    </row>
    <row r="81" spans="1:26" ht="15.75">
      <c r="A81" s="195" t="s">
        <v>379</v>
      </c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0</v>
      </c>
      <c r="R81" s="193"/>
      <c r="S81" s="206">
        <v>70.16</v>
      </c>
      <c r="T81" s="206">
        <v>-140</v>
      </c>
      <c r="U81" s="213">
        <f>SUM(Q81:T81)</f>
        <v>-69.84</v>
      </c>
      <c r="X81" s="211">
        <v>50</v>
      </c>
      <c r="Z81">
        <v>45</v>
      </c>
    </row>
    <row r="82" spans="1:26" ht="15.75">
      <c r="A82" s="195" t="s">
        <v>380</v>
      </c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0</v>
      </c>
      <c r="R82" s="193"/>
      <c r="S82" s="206">
        <v>70.16</v>
      </c>
      <c r="T82" s="206">
        <v>-140</v>
      </c>
      <c r="U82" s="213">
        <f t="shared" si="3"/>
        <v>-69.84</v>
      </c>
      <c r="X82" s="211">
        <v>50</v>
      </c>
      <c r="Z82">
        <v>45</v>
      </c>
    </row>
    <row r="83" spans="1:26" ht="15.75">
      <c r="A83" s="195" t="s">
        <v>381</v>
      </c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0</v>
      </c>
      <c r="R83" s="193"/>
      <c r="S83" s="206">
        <v>70.16</v>
      </c>
      <c r="T83" s="206">
        <v>-140</v>
      </c>
      <c r="U83" s="213">
        <f t="shared" si="3"/>
        <v>-69.84</v>
      </c>
      <c r="X83" s="211">
        <v>0</v>
      </c>
    </row>
    <row r="84" spans="1:26" ht="15.75">
      <c r="A84" s="195" t="s">
        <v>382</v>
      </c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0</v>
      </c>
      <c r="R84" s="193"/>
      <c r="S84" s="206">
        <v>70.16</v>
      </c>
      <c r="T84" s="206">
        <v>-140</v>
      </c>
      <c r="U84" s="213">
        <f t="shared" si="3"/>
        <v>-69.84</v>
      </c>
      <c r="X84" s="211">
        <v>0</v>
      </c>
    </row>
    <row r="85" spans="1:26" ht="15.75">
      <c r="A85" s="195" t="s">
        <v>383</v>
      </c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0</v>
      </c>
      <c r="R85" s="193"/>
      <c r="S85" s="206">
        <v>70.16</v>
      </c>
      <c r="T85" s="206">
        <v>-140</v>
      </c>
      <c r="U85" s="213">
        <f t="shared" si="3"/>
        <v>-69.84</v>
      </c>
      <c r="X85" s="211">
        <v>0</v>
      </c>
    </row>
    <row r="86" spans="1:26" ht="15.75">
      <c r="A86" s="195" t="s">
        <v>384</v>
      </c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0</v>
      </c>
      <c r="R86" s="193"/>
      <c r="S86" s="206">
        <v>70.16</v>
      </c>
      <c r="T86" s="206">
        <v>-140</v>
      </c>
      <c r="U86" s="213">
        <f t="shared" si="3"/>
        <v>-69.84</v>
      </c>
      <c r="X86" s="211">
        <v>0</v>
      </c>
    </row>
    <row r="87" spans="1:26" ht="15.75">
      <c r="A87" s="195" t="s">
        <v>385</v>
      </c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0</v>
      </c>
      <c r="R87" s="193"/>
      <c r="S87" s="206">
        <v>70.16</v>
      </c>
      <c r="T87" s="206">
        <v>-140</v>
      </c>
      <c r="U87" s="213">
        <f t="shared" si="3"/>
        <v>-69.84</v>
      </c>
      <c r="X87" s="211">
        <v>0</v>
      </c>
    </row>
    <row r="88" spans="1:26" ht="15.75">
      <c r="A88" s="195" t="s">
        <v>386</v>
      </c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0</v>
      </c>
      <c r="R88" s="193"/>
      <c r="S88" s="206">
        <v>70.16</v>
      </c>
      <c r="T88" s="206">
        <v>-140</v>
      </c>
      <c r="U88" s="213">
        <f t="shared" si="3"/>
        <v>-69.84</v>
      </c>
      <c r="X88" s="211">
        <v>0</v>
      </c>
    </row>
    <row r="89" spans="1:26" ht="15.75">
      <c r="A89" s="195" t="s">
        <v>387</v>
      </c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0</v>
      </c>
      <c r="R89" s="193"/>
      <c r="S89" s="206">
        <v>70.16</v>
      </c>
      <c r="T89" s="206">
        <v>-140</v>
      </c>
      <c r="U89" s="213">
        <f t="shared" si="3"/>
        <v>-69.84</v>
      </c>
      <c r="X89" s="211">
        <v>0</v>
      </c>
    </row>
    <row r="90" spans="1:26" ht="15.75">
      <c r="A90" s="195" t="s">
        <v>388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0</v>
      </c>
      <c r="R90" s="193"/>
      <c r="S90" s="206">
        <v>70.16</v>
      </c>
      <c r="T90" s="206">
        <v>-140</v>
      </c>
      <c r="U90" s="213">
        <f t="shared" si="3"/>
        <v>-69.84</v>
      </c>
      <c r="X90" s="211">
        <v>0</v>
      </c>
    </row>
    <row r="91" spans="1:26" ht="15.75">
      <c r="A91" s="195" t="s">
        <v>389</v>
      </c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0</v>
      </c>
      <c r="R91" s="193"/>
      <c r="S91" s="206">
        <v>70.16</v>
      </c>
      <c r="T91" s="206">
        <v>-140</v>
      </c>
      <c r="U91" s="213">
        <f t="shared" si="3"/>
        <v>-69.84</v>
      </c>
      <c r="X91" s="211">
        <v>0</v>
      </c>
    </row>
    <row r="92" spans="1:26" ht="15.75">
      <c r="A92" s="195" t="s">
        <v>390</v>
      </c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0</v>
      </c>
      <c r="R92" s="193"/>
      <c r="S92" s="206">
        <v>70.16</v>
      </c>
      <c r="T92" s="206">
        <v>-140</v>
      </c>
      <c r="U92" s="213">
        <f t="shared" si="3"/>
        <v>-69.84</v>
      </c>
      <c r="X92" s="211">
        <v>0</v>
      </c>
    </row>
    <row r="93" spans="1:26" ht="15.75">
      <c r="A93" s="195" t="s">
        <v>391</v>
      </c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0</v>
      </c>
      <c r="R93" s="193"/>
      <c r="S93" s="206">
        <v>70.16</v>
      </c>
      <c r="T93" s="206">
        <v>-140</v>
      </c>
      <c r="U93" s="213">
        <f t="shared" si="3"/>
        <v>-69.84</v>
      </c>
      <c r="X93" s="211">
        <v>0</v>
      </c>
    </row>
    <row r="94" spans="1:26" ht="15.75">
      <c r="A94" s="195" t="s">
        <v>392</v>
      </c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0</v>
      </c>
      <c r="R94" s="193"/>
      <c r="S94" s="206">
        <v>70.16</v>
      </c>
      <c r="T94" s="206">
        <v>-140</v>
      </c>
      <c r="U94" s="213">
        <f t="shared" si="3"/>
        <v>-69.84</v>
      </c>
      <c r="X94" s="211">
        <v>0</v>
      </c>
    </row>
    <row r="95" spans="1:26" ht="15.75">
      <c r="A95" s="195" t="s">
        <v>393</v>
      </c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0</v>
      </c>
      <c r="R95" s="193"/>
      <c r="S95" s="206">
        <v>70.16</v>
      </c>
      <c r="T95" s="206">
        <v>-140</v>
      </c>
      <c r="U95" s="213">
        <f t="shared" si="3"/>
        <v>-69.84</v>
      </c>
      <c r="X95" s="211">
        <v>0</v>
      </c>
    </row>
    <row r="96" spans="1:26" ht="15.75">
      <c r="A96" s="195" t="s">
        <v>394</v>
      </c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0</v>
      </c>
      <c r="R96" s="193"/>
      <c r="S96" s="206">
        <v>70.16</v>
      </c>
      <c r="T96" s="206">
        <v>-139.99</v>
      </c>
      <c r="U96" s="213">
        <f t="shared" si="3"/>
        <v>-69.830000000000013</v>
      </c>
      <c r="X96" s="211">
        <v>0</v>
      </c>
    </row>
    <row r="97" spans="1:24" ht="15.75">
      <c r="A97" s="195" t="s">
        <v>395</v>
      </c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0</v>
      </c>
      <c r="R97" s="193"/>
      <c r="S97" s="206">
        <v>70.16</v>
      </c>
      <c r="T97" s="206">
        <v>-140</v>
      </c>
      <c r="U97" s="213">
        <f t="shared" si="3"/>
        <v>-69.84</v>
      </c>
      <c r="X97" s="211">
        <v>0</v>
      </c>
    </row>
    <row r="98" spans="1:24" ht="15.75">
      <c r="A98" s="195" t="s">
        <v>396</v>
      </c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0</v>
      </c>
      <c r="R98" s="193"/>
      <c r="S98" s="206">
        <v>70.16</v>
      </c>
      <c r="T98" s="206">
        <v>-140</v>
      </c>
      <c r="U98" s="213">
        <f t="shared" si="3"/>
        <v>-69.84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01</vt:lpstr>
      <vt:lpstr>02</vt:lpstr>
      <vt:lpstr>Sample</vt:lpstr>
      <vt:lpstr>Calc</vt:lpstr>
      <vt:lpstr>Sheet6</vt:lpstr>
      <vt:lpstr>Schedule@G4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2026-05-16T00:18:27Z</dcterms:modified>
</cp:coreProperties>
</file>