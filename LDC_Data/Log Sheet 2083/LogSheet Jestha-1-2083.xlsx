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/>
  </bookViews>
  <sheets>
    <sheet name="01" sheetId="72" r:id="rId1"/>
    <sheet name="Sample" sheetId="1" r:id="rId2"/>
    <sheet name="Calc" sheetId="3" r:id="rId3"/>
    <sheet name="Sheet6" sheetId="36" r:id="rId4"/>
    <sheet name="Schedule daily update" sheetId="63" r:id="rId5"/>
    <sheet name="Schedule 2026.5.11 BG" sheetId="67" state="hidden" r:id="rId6"/>
    <sheet name="Schedule 2026.5.11" sheetId="64" state="hidden" r:id="rId7"/>
  </sheets>
  <definedNames>
    <definedName name="a" localSheetId="0">#REF!</definedName>
    <definedName name="a" localSheetId="1">#REF!</definedName>
    <definedName name="a" localSheetId="6">#REF!</definedName>
    <definedName name="a" localSheetId="5">#REF!</definedName>
    <definedName name="a">#REF!</definedName>
    <definedName name="IPP" localSheetId="0">#REF!</definedName>
    <definedName name="IPP" localSheetId="1">#REF!</definedName>
    <definedName name="IPP" localSheetId="6">#REF!</definedName>
    <definedName name="IPP" localSheetId="5">#REF!</definedName>
    <definedName name="IPP">#REF!</definedName>
    <definedName name="ippp" localSheetId="0">#REF!</definedName>
    <definedName name="ippp" localSheetId="1">#REF!</definedName>
    <definedName name="ippp" localSheetId="6">#REF!</definedName>
    <definedName name="ippp" localSheetId="5">#REF!</definedName>
    <definedName name="ippp">#REF!</definedName>
    <definedName name="samolea" localSheetId="0">#REF!</definedName>
    <definedName name="samolea" localSheetId="1">#REF!</definedName>
    <definedName name="samolea" localSheetId="6">#REF!</definedName>
    <definedName name="samolea" localSheetId="5">#REF!</definedName>
    <definedName name="samolea">#REF!</definedName>
    <definedName name="sampke1" localSheetId="0">#REF!</definedName>
    <definedName name="sampke1" localSheetId="1">#REF!</definedName>
    <definedName name="sampke1" localSheetId="6">#REF!</definedName>
    <definedName name="sampke1" localSheetId="5">#REF!</definedName>
    <definedName name="sampke1">#REF!</definedName>
    <definedName name="sample" localSheetId="0">#REF!</definedName>
    <definedName name="sample" localSheetId="1">#REF!</definedName>
    <definedName name="sample" localSheetId="6">#REF!</definedName>
    <definedName name="sample" localSheetId="5">#REF!</definedName>
    <definedName name="sample">#REF!</definedName>
    <definedName name="SAMPLE1" localSheetId="0">#REF!</definedName>
    <definedName name="SAMPLE1" localSheetId="1">#REF!</definedName>
    <definedName name="SAMPLE1" localSheetId="6">#REF!</definedName>
    <definedName name="SAMPLE1" localSheetId="5">#REF!</definedName>
    <definedName name="SAMPLE1">#REF!</definedName>
    <definedName name="sdasdf" localSheetId="0">#REF!</definedName>
    <definedName name="sdasdf" localSheetId="1">#REF!</definedName>
    <definedName name="sdasdf" localSheetId="6">#REF!</definedName>
    <definedName name="sdasdf" localSheetId="5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U78" i="72" l="1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AC123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E123" i="72" s="1"/>
  <c r="BI23" i="72" s="1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F123" i="72" s="1"/>
  <c r="AE117" i="72"/>
  <c r="AD117" i="72"/>
  <c r="AD123" i="72" s="1"/>
  <c r="AC117" i="72"/>
  <c r="AB117" i="72"/>
  <c r="AB123" i="72" s="1"/>
  <c r="AB124" i="72" s="1"/>
  <c r="AA117" i="72"/>
  <c r="Z117" i="72"/>
  <c r="Z123" i="72" s="1"/>
  <c r="Z124" i="72" s="1"/>
  <c r="Y117" i="72"/>
  <c r="X117" i="72"/>
  <c r="X123" i="72" s="1"/>
  <c r="W117" i="72"/>
  <c r="V117" i="72"/>
  <c r="V123" i="72" s="1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F124" i="72" s="1"/>
  <c r="AE108" i="72"/>
  <c r="AD108" i="72"/>
  <c r="AD124" i="72" s="1"/>
  <c r="AC108" i="72"/>
  <c r="AB108" i="72"/>
  <c r="AA108" i="72"/>
  <c r="Z108" i="72"/>
  <c r="Y108" i="72"/>
  <c r="X108" i="72"/>
  <c r="X124" i="72" s="1"/>
  <c r="W108" i="72"/>
  <c r="V108" i="72"/>
  <c r="V124" i="72" s="1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AE96" i="72"/>
  <c r="AD96" i="72"/>
  <c r="AC96" i="72"/>
  <c r="AB96" i="72"/>
  <c r="AA96" i="72"/>
  <c r="Z96" i="72"/>
  <c r="Y96" i="72"/>
  <c r="X96" i="72"/>
  <c r="W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AD92" i="72"/>
  <c r="AC92" i="72"/>
  <c r="AB92" i="72"/>
  <c r="AA92" i="72"/>
  <c r="Z92" i="72"/>
  <c r="Y92" i="72"/>
  <c r="X92" i="72"/>
  <c r="W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R90" i="72"/>
  <c r="BO90" i="72"/>
  <c r="BG90" i="72"/>
  <c r="AI90" i="72"/>
  <c r="AH90" i="72"/>
  <c r="BT89" i="72"/>
  <c r="BQ89" i="72"/>
  <c r="AI89" i="72"/>
  <c r="AH89" i="72"/>
  <c r="BV88" i="72"/>
  <c r="BS88" i="72"/>
  <c r="BN88" i="72"/>
  <c r="BF88" i="72"/>
  <c r="AI88" i="72"/>
  <c r="AH88" i="72"/>
  <c r="BU87" i="72"/>
  <c r="BP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S82" i="72"/>
  <c r="BS89" i="72" s="1"/>
  <c r="BR82" i="72"/>
  <c r="BR89" i="72" s="1"/>
  <c r="BQ82" i="72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U81" i="72"/>
  <c r="BU88" i="72" s="1"/>
  <c r="BT81" i="72"/>
  <c r="BT88" i="72" s="1"/>
  <c r="BS81" i="72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AC78" i="72"/>
  <c r="AB78" i="72"/>
  <c r="AA78" i="72"/>
  <c r="Z78" i="72"/>
  <c r="Y78" i="72"/>
  <c r="X78" i="72"/>
  <c r="W78" i="72"/>
  <c r="V78" i="72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E113" i="72" s="1"/>
  <c r="AE115" i="72" s="1"/>
  <c r="AD71" i="72"/>
  <c r="AC71" i="72"/>
  <c r="AC113" i="72" s="1"/>
  <c r="AC115" i="72" s="1"/>
  <c r="AC116" i="72" s="1"/>
  <c r="AC7" i="72" s="1"/>
  <c r="AB71" i="72"/>
  <c r="AB113" i="72" s="1"/>
  <c r="AB115" i="72" s="1"/>
  <c r="AB116" i="72" s="1"/>
  <c r="AB7" i="72" s="1"/>
  <c r="AA71" i="72"/>
  <c r="Z71" i="72"/>
  <c r="Z113" i="72" s="1"/>
  <c r="Z115" i="72" s="1"/>
  <c r="Z116" i="72" s="1"/>
  <c r="Z7" i="72" s="1"/>
  <c r="Y71" i="72"/>
  <c r="Y113" i="72" s="1"/>
  <c r="Y115" i="72" s="1"/>
  <c r="X71" i="72"/>
  <c r="W71" i="72"/>
  <c r="W113" i="72" s="1"/>
  <c r="W115" i="72" s="1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BJ23" i="72"/>
  <c r="BH23" i="72"/>
  <c r="BG23" i="72"/>
  <c r="BF23" i="72"/>
  <c r="BE23" i="72"/>
  <c r="BD23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J20" i="72"/>
  <c r="BI20" i="72"/>
  <c r="BH20" i="72"/>
  <c r="BG20" i="72"/>
  <c r="BF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J19" i="72"/>
  <c r="BI19" i="72"/>
  <c r="BH19" i="72"/>
  <c r="BG19" i="72"/>
  <c r="BF19" i="72"/>
  <c r="BE19" i="72"/>
  <c r="BD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I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J22" i="72" s="1"/>
  <c r="BJ25" i="72" s="1"/>
  <c r="BH17" i="72"/>
  <c r="BG17" i="72"/>
  <c r="BF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H22" i="72" s="1"/>
  <c r="BH25" i="72" s="1"/>
  <c r="BG16" i="72"/>
  <c r="BG22" i="72" s="1"/>
  <c r="BG25" i="72" s="1"/>
  <c r="BF16" i="72"/>
  <c r="BF22" i="72" s="1"/>
  <c r="BF25" i="72" s="1"/>
  <c r="BE16" i="72"/>
  <c r="BE22" i="72" s="1"/>
  <c r="BE25" i="72" s="1"/>
  <c r="BD16" i="72"/>
  <c r="BD22" i="72" s="1"/>
  <c r="BD25" i="72" s="1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E5" i="72"/>
  <c r="AD5" i="72"/>
  <c r="AC5" i="72"/>
  <c r="AB5" i="72"/>
  <c r="AA5" i="72"/>
  <c r="Z5" i="72"/>
  <c r="Y5" i="72"/>
  <c r="X5" i="72"/>
  <c r="W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U116" i="72" l="1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Y135" i="72"/>
  <c r="AS16" i="72"/>
  <c r="AS22" i="72" s="1"/>
  <c r="BI16" i="72"/>
  <c r="BI22" i="72" s="1"/>
  <c r="BI25" i="72" s="1"/>
  <c r="AC124" i="72"/>
  <c r="I123" i="72"/>
  <c r="AS23" i="72" s="1"/>
  <c r="AY23" i="72"/>
  <c r="Y123" i="72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W116" i="72"/>
  <c r="W7" i="72" s="1"/>
  <c r="AE116" i="72"/>
  <c r="AE7" i="72" s="1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Y124" i="72"/>
  <c r="Y116" i="72"/>
  <c r="Y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A25" i="72" l="1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W135" i="72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D274" i="72"/>
  <c r="AE169" i="72"/>
  <c r="AI135" i="72"/>
  <c r="AH135" i="72"/>
  <c r="AE274" i="72" l="1"/>
  <c r="AF169" i="72"/>
  <c r="AF274" i="72" s="1"/>
  <c r="Q20" i="63" l="1"/>
  <c r="W98" i="67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50" i="63" l="1"/>
  <c r="U50" i="63" s="1"/>
  <c r="Q4" i="63"/>
  <c r="U4" i="63" s="1"/>
  <c r="Q5" i="63"/>
  <c r="U5" i="63" s="1"/>
  <c r="Q6" i="63"/>
  <c r="U6" i="63" s="1"/>
  <c r="Q7" i="63"/>
  <c r="U7" i="63" s="1"/>
  <c r="Q8" i="63"/>
  <c r="U8" i="63" s="1"/>
  <c r="Q9" i="63"/>
  <c r="U9" i="63" s="1"/>
  <c r="Q10" i="63"/>
  <c r="U10" i="63" s="1"/>
  <c r="Q11" i="63"/>
  <c r="U11" i="63" s="1"/>
  <c r="Q12" i="63"/>
  <c r="U12" i="63" s="1"/>
  <c r="Q13" i="63"/>
  <c r="U13" i="63" s="1"/>
  <c r="Q14" i="63"/>
  <c r="U14" i="63" s="1"/>
  <c r="Q15" i="63"/>
  <c r="U15" i="63" s="1"/>
  <c r="Q16" i="63"/>
  <c r="U16" i="63" s="1"/>
  <c r="Q17" i="63"/>
  <c r="U17" i="63" s="1"/>
  <c r="Q18" i="63"/>
  <c r="U18" i="63" s="1"/>
  <c r="Q19" i="63"/>
  <c r="U19" i="63" s="1"/>
  <c r="U20" i="63"/>
  <c r="Q21" i="63"/>
  <c r="U21" i="63" s="1"/>
  <c r="Q22" i="63"/>
  <c r="U22" i="63" s="1"/>
  <c r="Q23" i="63"/>
  <c r="U23" i="63" s="1"/>
  <c r="Q24" i="63"/>
  <c r="U24" i="63" s="1"/>
  <c r="Q25" i="63"/>
  <c r="U25" i="63" s="1"/>
  <c r="Q26" i="63"/>
  <c r="U26" i="63" s="1"/>
  <c r="Q27" i="63"/>
  <c r="U27" i="63" s="1"/>
  <c r="Q28" i="63"/>
  <c r="U28" i="63" s="1"/>
  <c r="Q29" i="63"/>
  <c r="U29" i="63" s="1"/>
  <c r="Q30" i="63"/>
  <c r="U30" i="63" s="1"/>
  <c r="Q31" i="63"/>
  <c r="U31" i="63" s="1"/>
  <c r="Q32" i="63"/>
  <c r="U32" i="63" s="1"/>
  <c r="Q33" i="63"/>
  <c r="U33" i="63" s="1"/>
  <c r="Q34" i="63"/>
  <c r="U34" i="63" s="1"/>
  <c r="Q35" i="63"/>
  <c r="U35" i="63" s="1"/>
  <c r="Q36" i="63"/>
  <c r="U36" i="63" s="1"/>
  <c r="Q37" i="63"/>
  <c r="U37" i="63" s="1"/>
  <c r="Q38" i="63"/>
  <c r="U38" i="63" s="1"/>
  <c r="Q39" i="63"/>
  <c r="U39" i="63" s="1"/>
  <c r="Q40" i="63"/>
  <c r="U40" i="63" s="1"/>
  <c r="Q41" i="63"/>
  <c r="U41" i="63" s="1"/>
  <c r="Q42" i="63"/>
  <c r="U42" i="63" s="1"/>
  <c r="Q43" i="63"/>
  <c r="U43" i="63" s="1"/>
  <c r="Q44" i="63"/>
  <c r="U44" i="63" s="1"/>
  <c r="Q45" i="63"/>
  <c r="U45" i="63" s="1"/>
  <c r="Q46" i="63"/>
  <c r="U46" i="63" s="1"/>
  <c r="Q47" i="63"/>
  <c r="U47" i="63" s="1"/>
  <c r="Q48" i="63"/>
  <c r="U48" i="63" s="1"/>
  <c r="Q49" i="63"/>
  <c r="U49" i="63" s="1"/>
  <c r="Q51" i="63"/>
  <c r="U51" i="63" s="1"/>
  <c r="Q52" i="63"/>
  <c r="U52" i="63" s="1"/>
  <c r="Q53" i="63"/>
  <c r="U53" i="63" s="1"/>
  <c r="Q54" i="63"/>
  <c r="U54" i="63" s="1"/>
  <c r="Q55" i="63"/>
  <c r="U55" i="63" s="1"/>
  <c r="Q56" i="63"/>
  <c r="U56" i="63" s="1"/>
  <c r="Q57" i="63"/>
  <c r="U57" i="63" s="1"/>
  <c r="Q58" i="63"/>
  <c r="U58" i="63" s="1"/>
  <c r="Q59" i="63"/>
  <c r="U59" i="63" s="1"/>
  <c r="Q60" i="63"/>
  <c r="U60" i="63" s="1"/>
  <c r="Q61" i="63"/>
  <c r="U61" i="63" s="1"/>
  <c r="Q62" i="63"/>
  <c r="U62" i="63" s="1"/>
  <c r="Q63" i="63"/>
  <c r="U63" i="63" s="1"/>
  <c r="Q64" i="63"/>
  <c r="U64" i="63" s="1"/>
  <c r="Q65" i="63"/>
  <c r="U65" i="63" s="1"/>
  <c r="Q66" i="63"/>
  <c r="U66" i="63" s="1"/>
  <c r="Q67" i="63"/>
  <c r="U67" i="63" s="1"/>
  <c r="Q68" i="63"/>
  <c r="U68" i="63" s="1"/>
  <c r="Q69" i="63"/>
  <c r="U69" i="63" s="1"/>
  <c r="Q70" i="63"/>
  <c r="U70" i="63" s="1"/>
  <c r="Q71" i="63"/>
  <c r="U71" i="63" s="1"/>
  <c r="Q72" i="63"/>
  <c r="U72" i="63" s="1"/>
  <c r="Q73" i="63"/>
  <c r="U73" i="63" s="1"/>
  <c r="Q74" i="63"/>
  <c r="U74" i="63" s="1"/>
  <c r="Q75" i="63"/>
  <c r="U75" i="63" s="1"/>
  <c r="Q76" i="63"/>
  <c r="U76" i="63" s="1"/>
  <c r="Q77" i="63"/>
  <c r="U77" i="63" s="1"/>
  <c r="Q78" i="63"/>
  <c r="U78" i="63" s="1"/>
  <c r="Q79" i="63"/>
  <c r="U79" i="63" s="1"/>
  <c r="Q80" i="63"/>
  <c r="U80" i="63" s="1"/>
  <c r="Q81" i="63"/>
  <c r="U81" i="63" s="1"/>
  <c r="Q82" i="63"/>
  <c r="U82" i="63" s="1"/>
  <c r="Q83" i="63"/>
  <c r="U83" i="63" s="1"/>
  <c r="Q84" i="63"/>
  <c r="U84" i="63" s="1"/>
  <c r="Q85" i="63"/>
  <c r="U85" i="63" s="1"/>
  <c r="Q86" i="63"/>
  <c r="U86" i="63" s="1"/>
  <c r="Q87" i="63"/>
  <c r="U87" i="63" s="1"/>
  <c r="Q88" i="63"/>
  <c r="U88" i="63" s="1"/>
  <c r="Q89" i="63"/>
  <c r="U89" i="63" s="1"/>
  <c r="Q90" i="63"/>
  <c r="U90" i="63" s="1"/>
  <c r="Q91" i="63"/>
  <c r="U91" i="63" s="1"/>
  <c r="Q92" i="63"/>
  <c r="U92" i="63" s="1"/>
  <c r="Q93" i="63"/>
  <c r="U93" i="63" s="1"/>
  <c r="Q94" i="63"/>
  <c r="U94" i="63" s="1"/>
  <c r="Q95" i="63"/>
  <c r="U95" i="63" s="1"/>
  <c r="Q96" i="63"/>
  <c r="U96" i="63" s="1"/>
  <c r="Q97" i="63"/>
  <c r="U97" i="63" s="1"/>
  <c r="Q98" i="63"/>
  <c r="U98" i="63" s="1"/>
  <c r="Q3" i="63"/>
  <c r="U3" i="63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D9" i="36" l="1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<sst xmlns="http://schemas.openxmlformats.org/spreadsheetml/2006/main" count="952" uniqueCount="413">
  <si>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</si>
  <si>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</si>
  <si>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</si>
  <si>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</si>
  <si>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</si>
  <si>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</si>
  <si>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</si>
  <si>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</si>
  <si>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</si>
  <si>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</si>
  <si>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</si>
  <si>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</si>
  <si>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</si>
  <si>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</si>
  <si>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</si>
  <si>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</si>
  <si>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</si>
  <si>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</si>
  <si>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</si>
  <si>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</si>
  <si>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</si>
  <si>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</si>
  <si>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</si>
  <si>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</si>
  <si>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</si>
  <si>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</si>
  <si>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</si>
  <si>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</si>
  <si>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</si>
  <si>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</si>
  <si>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</si>
  <si>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</si>
  <si>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</si>
  <si>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</si>
  <si>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</si>
  <si>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</si>
  <si>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</si>
  <si>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</si>
  <si>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</si>
  <si>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</si>
  <si>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</si>
  <si>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</si>
  <si>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</si>
  <si>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</si>
  <si>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</si>
  <si>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</si>
  <si>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</si>
  <si>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</si>
  <si>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</si>
  <si>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</si>
  <si>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</si>
  <si>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</si>
  <si>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</si>
  <si>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</si>
  <si>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</si>
  <si>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</si>
  <si>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</si>
  <si>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</si>
  <si>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</si>
  <si>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</si>
  <si>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</si>
  <si>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</si>
  <si>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</si>
  <si>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</si>
  <si>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</si>
  <si>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</si>
  <si>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</si>
  <si>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</si>
  <si>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</si>
  <si>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</si>
  <si>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</si>
  <si>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</si>
  <si>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</si>
  <si>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</si>
  <si>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</si>
  <si>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</si>
  <si>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</si>
  <si>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</si>
  <si>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</si>
  <si>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</si>
  <si>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</si>
  <si>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</si>
  <si>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</si>
  <si>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</si>
  <si>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</si>
  <si>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</si>
  <si>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</si>
  <si>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</si>
  <si>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</si>
  <si>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</si>
  <si>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</si>
  <si>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</si>
  <si>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</si>
  <si>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</si>
  <si>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</si>
  <si>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</si>
  <si>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</si>
  <si>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</si>
  <si>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</si>
  <si>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</si>
  <si>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</si>
  <si>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</si>
  <si>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</si>
  <si>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</si>
  <si>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</si>
  <si>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</si>
  <si>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</si>
  <si>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</si>
  <si>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</si>
  <si>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</si>
  <si>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</si>
  <si>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</si>
  <si>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</si>
  <si>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</si>
  <si>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</si>
  <si>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</si>
  <si>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</si>
  <si>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</si>
  <si>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</si>
  <si>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</si>
  <si>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</si>
  <si>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</si>
  <si>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</si>
  <si>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</si>
  <si>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</si>
  <si>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</si>
  <si>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</si>
  <si>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</si>
  <si>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</si>
  <si>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</si>
  <si>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</si>
  <si>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</si>
  <si>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</si>
  <si>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</si>
  <si>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</si>
  <si>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</si>
  <si>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</si>
  <si>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</si>
  <si>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</si>
  <si>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</si>
  <si>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</si>
  <si>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</si>
  <si>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</si>
  <si>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</si>
  <si>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</si>
  <si>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</si>
  <si>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</si>
  <si>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</si>
  <si>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</si>
  <si>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</si>
  <si>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</si>
  <si>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</si>
  <si>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</si>
  <si>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</si>
  <si>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</si>
  <si>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</si>
  <si>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</si>
  <si>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</si>
  <si>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</si>
  <si>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</si>
  <si>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</si>
  <si>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</si>
  <si>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</si>
  <si>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</si>
  <si>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</si>
  <si>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</si>
  <si>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</si>
  <si>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</si>
  <si>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</si>
  <si>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</si>
  <si>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</si>
  <si>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</si>
  <si>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</si>
  <si>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</si>
  <si>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</si>
  <si>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</si>
  <si>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</si>
  <si>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</si>
  <si>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</si>
  <si>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</si>
  <si>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</si>
  <si>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</si>
  <si>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</si>
  <si>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</si>
  <si>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</si>
  <si>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</si>
  <si>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</si>
  <si>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</si>
  <si>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</si>
  <si>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</si>
  <si>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</si>
  <si>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</si>
  <si>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</si>
  <si>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</si>
  <si>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</si>
  <si>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</si>
  <si>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</si>
  <si>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</si>
  <si>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</si>
  <si>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</si>
  <si>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</si>
  <si>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</si>
  <si>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</si>
  <si>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</si>
  <si>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</si>
  <si>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</si>
  <si>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</si>
  <si>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</si>
  <si>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</si>
  <si>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</si>
  <si>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</si>
  <si>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</si>
  <si>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</si>
  <si>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</si>
  <si>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</si>
  <si>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</si>
  <si>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</si>
  <si>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</si>
  <si>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</si>
  <si>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</si>
  <si>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</si>
  <si>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</si>
  <si>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</si>
  <si>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</si>
  <si>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</si>
  <si>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</si>
  <si>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</si>
  <si>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</si>
  <si>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</si>
  <si>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</si>
  <si>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</si>
  <si>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</si>
  <si>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</si>
  <si>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</si>
  <si>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</si>
  <si>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</si>
  <si>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</si>
  <si>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</si>
  <si>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</si>
  <si>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</si>
  <si>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</si>
  <si>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</si>
  <si>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</si>
  <si>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</si>
  <si>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</si>
  <si>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</si>
  <si>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</si>
  <si>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</si>
  <si>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</si>
  <si>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</si>
  <si>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</si>
  <si>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</si>
  <si>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</si>
  <si>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</si>
  <si>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</si>
  <si>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</si>
  <si>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</si>
  <si>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</si>
  <si>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</si>
  <si>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</si>
  <si>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</si>
  <si>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</si>
  <si>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</si>
  <si>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</si>
  <si>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</si>
  <si>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</si>
  <si>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</si>
  <si>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</si>
  <si>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</si>
  <si>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</si>
  <si>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</si>
  <si>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</si>
  <si>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</si>
  <si>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</si>
  <si>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</si>
  <si>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</si>
  <si>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</si>
  <si>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</si>
  <si>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</si>
  <si>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</si>
  <si>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</si>
  <si>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</si>
  <si>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</si>
  <si>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</si>
  <si>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</si>
  <si>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</si>
  <si>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</si>
  <si>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</si>
  <si>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</si>
  <si>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</si>
  <si>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</si>
  <si>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</si>
  <si>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</si>
  <si>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</si>
  <si>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</si>
  <si>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</si>
  <si>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</si>
  <si>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</si>
  <si>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</si>
  <si>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</si>
  <si>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</si>
  <si>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</si>
  <si>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</si>
  <si>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</si>
  <si>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</si>
  <si>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</si>
  <si>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</si>
  <si>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</si>
  <si>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</si>
  <si>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</si>
  <si>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</si>
  <si>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</si>
  <si>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</si>
  <si>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</si>
  <si>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</si>
  <si>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</si>
  <si>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</si>
  <si>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</si>
  <si>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</si>
  <si>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</si>
  <si>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</si>
  <si>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</si>
  <si>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</si>
  <si>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</si>
  <si>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</si>
  <si>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</si>
  <si>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</si>
  <si>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</si>
  <si>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</si>
  <si>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</si>
  <si>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</si>
  <si>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</si>
  <si>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</si>
  <si>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</si>
  <si>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</si>
  <si>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</si>
  <si>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</si>
  <si>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</si>
  <si>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</si>
  <si>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</si>
  <si>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</si>
  <si>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</si>
  <si>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</si>
  <si>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</si>
  <si>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</si>
  <si>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</si>
  <si>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</si>
  <si>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</si>
  <si>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</si>
  <si>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</si>
  <si>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</si>
  <si>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</si>
  <si>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</si>
  <si>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</si>
  <si>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</si>
  <si>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</si>
  <si>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</si>
  <si>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</si>
  <si>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</si>
  <si>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</si>
  <si>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</si>
  <si>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</si>
  <si>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</si>
  <si>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</si>
  <si>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</si>
  <si>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</si>
  <si>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</si>
  <si>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</si>
  <si>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</si>
  <si>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</si>
  <si>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</si>
  <si>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</si>
  <si>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</si>
  <si>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</si>
  <si>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</si>
  <si>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</si>
  <si>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</si>
  <si>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</si>
  <si>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</si>
  <si>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</si>
  <si>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</si>
  <si>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</si>
  <si>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</si>
  <si>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</si>
  <si>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</si>
  <si>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</si>
  <si>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</si>
  <si>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</si>
  <si>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</si>
  <si>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</si>
  <si>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</si>
  <si>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</si>
  <si>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</si>
  <si>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</si>
  <si>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</si>
  <si>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</si>
  <si>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</si>
  <si>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</si>
  <si>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</si>
  <si>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</si>
  <si>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</si>
  <si>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</si>
  <si>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</si>
  <si>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</si>
  <si>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</si>
  <si>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</si>
  <si>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</si>
  <si>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</si>
  <si>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</si>
  <si>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</si>
  <si>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Date: 2083-02-01</t>
  </si>
  <si>
    <t>UP(RTM)</t>
  </si>
  <si>
    <t>Tanakpur(RTM)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</si>
</sst>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sz val="11"/>
      <color rgb="FF8996A3"/>
      <name val="Ubuntu Mono"/>
      <family val="3"/>
    </font>
    <font>
      <sz val="11"/>
      <color rgb="FFB76B01"/>
      <name val="Ubuntu Mono"/>
      <family val="3"/>
    </font>
    <font>
      <sz val="11"/>
      <color rgb="FF354150"/>
      <name val="Ubuntu Mono"/>
      <family val="3"/>
    </font>
    <font>
      <sz val="10"/>
      <name val="Verdana"/>
      <family val="2"/>
    </font>
  </fonts>
  <fills count="15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9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43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0" fontId="34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0" fontId="0" fillId="0" borderId="0" xfId="0" applyAlignment="1">
      <alignment vertical="center" wrapText="1"/>
    </xf>
    <xf numFmtId="0" fontId="3" fillId="0" borderId="6" xfId="0" applyFont="1" applyBorder="1" applyAlignment="1">
      <alignment wrapText="1"/>
    </xf>
    <xf numFmtId="0" fontId="0" fillId="0" borderId="0" xfId="0" applyBorder="1"/>
    <xf numFmtId="167" fontId="13" fillId="0" borderId="17" xfId="1" applyNumberFormat="1" applyFont="1" applyBorder="1" applyAlignment="1">
      <alignment horizontal="center" vertical="center"/>
    </xf>
    <xf numFmtId="0" fontId="0" fillId="0" borderId="19" xfId="0" applyFill="1" applyBorder="1"/>
    <xf numFmtId="2" fontId="37" fillId="14" borderId="6" xfId="0" applyNumberFormat="1" applyFont="1" applyFill="1" applyBorder="1" applyAlignment="1">
      <alignment horizontal="center" vertical="center" wrapText="1"/>
    </xf>
    <xf numFmtId="0" fontId="3" fillId="0" borderId="0" xfId="0" applyFont="1"/>
    <xf numFmtId="0" fontId="19" fillId="0" borderId="6" xfId="0" applyFont="1" applyBorder="1"/>
    <xf numFmtId="0" fontId="0" fillId="5" borderId="6" xfId="0" applyFill="1" applyBorder="1" applyAlignment="1">
      <alignment vertical="center" wrapText="1"/>
    </xf>
    <xf numFmtId="0" fontId="19" fillId="5" borderId="6" xfId="0" applyFont="1" applyFill="1" applyBorder="1"/>
    <xf numFmtId="2" fontId="37" fillId="5" borderId="6" xfId="0" applyNumberFormat="1" applyFont="1" applyFill="1" applyBorder="1" applyAlignment="1">
      <alignment horizontal="center" vertical="center" wrapText="1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364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mailto:Spectrum@2" TargetMode="External"/><Relationship Id="rId1" Type="http://schemas.openxmlformats.org/officeDocument/2006/relationships/hyperlink" Target="mailto:Spectrum@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tabSelected="1" zoomScale="112" zoomScaleNormal="112" workbookViewId="0">
      <pane xSplit="1" ySplit="10" topLeftCell="G8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6" sqref="U96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36" t="s">
        <v>0</v>
      </c>
      <c r="B1" s="236"/>
      <c r="C1" s="236"/>
      <c r="D1" s="236"/>
      <c r="E1" s="236"/>
      <c r="F1" s="236"/>
      <c r="G1" s="236"/>
      <c r="H1" s="236"/>
      <c r="I1" s="236"/>
      <c r="J1" s="236"/>
      <c r="K1" s="236"/>
      <c r="L1" s="236"/>
      <c r="M1" s="236"/>
      <c r="N1" s="236"/>
      <c r="O1" s="236"/>
      <c r="P1" s="236"/>
      <c r="Q1" s="236"/>
      <c r="R1" s="236"/>
      <c r="S1" s="236"/>
      <c r="T1" s="236"/>
      <c r="U1" s="236"/>
      <c r="V1" s="236"/>
      <c r="W1" s="236"/>
      <c r="X1" s="236"/>
      <c r="Y1" s="236"/>
      <c r="Z1" s="236"/>
      <c r="AA1" s="236"/>
      <c r="AB1" s="236"/>
      <c r="AC1" s="236"/>
      <c r="AD1" s="236"/>
      <c r="AE1" s="236"/>
      <c r="AF1" s="236"/>
      <c r="AG1" s="237" t="s">
        <v>1</v>
      </c>
      <c r="AH1" s="237"/>
      <c r="AI1" s="237"/>
      <c r="AL1" s="2"/>
    </row>
    <row r="2" spans="1:88" ht="20.25" hidden="1">
      <c r="A2" s="3"/>
      <c r="B2" s="238" t="s">
        <v>2</v>
      </c>
      <c r="C2" s="4"/>
      <c r="D2" s="240" t="s">
        <v>3</v>
      </c>
      <c r="E2" s="4"/>
      <c r="F2" s="240" t="s">
        <v>4</v>
      </c>
      <c r="G2" s="4"/>
      <c r="H2" s="240" t="s">
        <v>5</v>
      </c>
      <c r="I2" s="5"/>
      <c r="J2" s="242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39"/>
      <c r="C3" s="16"/>
      <c r="D3" s="241"/>
      <c r="E3" s="16"/>
      <c r="F3" s="241"/>
      <c r="G3" s="16"/>
      <c r="H3" s="241"/>
      <c r="I3" s="17"/>
      <c r="J3" s="24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31" t="str">
        <f ca="1">"2080/"&amp;"10/"&amp;INT(MID(CELL("filename",D6),FIND("]",CELL("filename",D6))+1,200))</f>
        <v>2080/10/1</v>
      </c>
      <c r="C4" s="231"/>
      <c r="D4" s="231"/>
      <c r="E4" s="232" t="str">
        <f ca="1">"2080/"&amp;"10/"&amp;INT(MID(CELL("filename",G6),FIND("]",CELL("filename",G6))+1,200))</f>
        <v>2080/10/1</v>
      </c>
      <c r="F4" s="232"/>
      <c r="G4" s="232"/>
      <c r="H4" s="232" t="str">
        <f ca="1">TEXT(E4,"dddd")</f>
        <v>Tuesday</v>
      </c>
      <c r="I4" s="232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904.69999999999993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33" t="s">
        <v>14</v>
      </c>
      <c r="C8" s="234"/>
      <c r="D8" s="234"/>
      <c r="E8" s="234"/>
      <c r="F8" s="234"/>
      <c r="G8" s="234"/>
      <c r="H8" s="234"/>
      <c r="I8" s="234"/>
      <c r="J8" s="234"/>
      <c r="K8" s="234"/>
      <c r="L8" s="235"/>
      <c r="M8" s="226" t="s">
        <v>15</v>
      </c>
      <c r="N8" s="227"/>
      <c r="O8" s="227"/>
      <c r="P8" s="227"/>
      <c r="Q8" s="227"/>
      <c r="R8" s="228"/>
      <c r="S8" s="226" t="s">
        <v>16</v>
      </c>
      <c r="T8" s="227"/>
      <c r="U8" s="227"/>
      <c r="V8" s="227"/>
      <c r="W8" s="227"/>
      <c r="X8" s="227"/>
      <c r="Y8" s="227"/>
      <c r="Z8" s="227"/>
      <c r="AA8" s="228"/>
      <c r="AB8" s="226" t="s">
        <v>17</v>
      </c>
      <c r="AC8" s="227"/>
      <c r="AD8" s="227"/>
      <c r="AE8" s="227"/>
      <c r="AF8" s="228"/>
      <c r="AG8" s="39"/>
      <c r="AH8" s="217"/>
      <c r="AI8" s="21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23">
        <v>0</v>
      </c>
      <c r="C9" s="223">
        <v>4.1666666666666664E-2</v>
      </c>
      <c r="D9" s="223">
        <v>8.3333333333333301E-2</v>
      </c>
      <c r="E9" s="223">
        <v>0.125</v>
      </c>
      <c r="F9" s="223">
        <v>0.16666666666666699</v>
      </c>
      <c r="G9" s="223">
        <v>0.20833333333333301</v>
      </c>
      <c r="H9" s="223">
        <v>0.22916666666666699</v>
      </c>
      <c r="I9" s="223">
        <v>0.25</v>
      </c>
      <c r="J9" s="223">
        <v>0.27083333333333298</v>
      </c>
      <c r="K9" s="223">
        <v>0.29166666666666702</v>
      </c>
      <c r="L9" s="223">
        <v>0.3125</v>
      </c>
      <c r="M9" s="224">
        <v>0.33333333333333298</v>
      </c>
      <c r="N9" s="224">
        <v>0.375</v>
      </c>
      <c r="O9" s="224">
        <v>0.41666666666666702</v>
      </c>
      <c r="P9" s="224">
        <v>0.45833333333333298</v>
      </c>
      <c r="Q9" s="224">
        <v>0.5</v>
      </c>
      <c r="R9" s="224">
        <v>0.54166666666666696</v>
      </c>
      <c r="S9" s="217">
        <v>0.58333333333333304</v>
      </c>
      <c r="T9" s="217">
        <v>0.625</v>
      </c>
      <c r="U9" s="217">
        <v>0.66666666666666696</v>
      </c>
      <c r="V9" s="217">
        <v>0.70833333333333304</v>
      </c>
      <c r="W9" s="217">
        <v>0.72916666666666696</v>
      </c>
      <c r="X9" s="217">
        <v>0.75</v>
      </c>
      <c r="Y9" s="217">
        <v>0.77083333333333304</v>
      </c>
      <c r="Z9" s="217">
        <v>0.79166666666666696</v>
      </c>
      <c r="AA9" s="217">
        <v>0.8125</v>
      </c>
      <c r="AB9" s="217">
        <v>0.83333333333333304</v>
      </c>
      <c r="AC9" s="217">
        <v>0.85416666666666696</v>
      </c>
      <c r="AD9" s="217">
        <v>0.875</v>
      </c>
      <c r="AE9" s="217">
        <v>0.91666666666666696</v>
      </c>
      <c r="AF9" s="217">
        <v>0.95833333333333304</v>
      </c>
      <c r="AG9" s="219" t="s">
        <v>1</v>
      </c>
      <c r="AH9" s="218"/>
      <c r="AI9" s="21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23"/>
      <c r="C10" s="223"/>
      <c r="D10" s="223"/>
      <c r="E10" s="223"/>
      <c r="F10" s="223"/>
      <c r="G10" s="223"/>
      <c r="H10" s="218"/>
      <c r="I10" s="218"/>
      <c r="J10" s="218"/>
      <c r="K10" s="218"/>
      <c r="L10" s="218"/>
      <c r="M10" s="225"/>
      <c r="N10" s="225"/>
      <c r="O10" s="225"/>
      <c r="P10" s="225"/>
      <c r="Q10" s="225"/>
      <c r="R10" s="225"/>
      <c r="S10" s="218"/>
      <c r="T10" s="218"/>
      <c r="U10" s="218"/>
      <c r="V10" s="218"/>
      <c r="W10" s="218"/>
      <c r="X10" s="218"/>
      <c r="Y10" s="218"/>
      <c r="Z10" s="218"/>
      <c r="AA10" s="218"/>
      <c r="AB10" s="218"/>
      <c r="AC10" s="218"/>
      <c r="AD10" s="218"/>
      <c r="AE10" s="218"/>
      <c r="AF10" s="218"/>
      <c r="AG10" s="220"/>
      <c r="AH10" s="209" t="s">
        <v>19</v>
      </c>
      <c r="AI10" s="209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33.1</v>
      </c>
      <c r="AI11" s="47">
        <f t="shared" ref="AI11:AI74" si="3">MIN(B11:AF11)</f>
        <v>31.1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36.5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58.77</v>
      </c>
      <c r="AI15" s="47">
        <f t="shared" si="3"/>
        <v>58.77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25.8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31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32.700000000000003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909.7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22.1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26.7</v>
      </c>
      <c r="AI25" s="47">
        <f t="shared" si="3"/>
        <v>22.1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904.7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14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22.3</v>
      </c>
      <c r="AI27" s="47">
        <f t="shared" si="3"/>
        <v>19.600000000000001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22.8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10.6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17.3</v>
      </c>
      <c r="AI33" s="47">
        <f t="shared" si="3"/>
        <v>14.5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9.6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5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2.7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>
      <c r="A71" s="69" t="s">
        <v>90</v>
      </c>
      <c r="B71" s="70">
        <f t="shared" ref="B71:C71" si="21">SUM(B11:B69)</f>
        <v>996.27</v>
      </c>
      <c r="C71" s="70">
        <f t="shared" si="21"/>
        <v>996.27</v>
      </c>
      <c r="D71" s="70">
        <f t="shared" ref="D71:E71" si="22">SUM(D11:D69)</f>
        <v>996.27</v>
      </c>
      <c r="E71" s="70">
        <f t="shared" si="22"/>
        <v>996.27</v>
      </c>
      <c r="F71" s="70">
        <f t="shared" ref="F71:AG71" si="23">SUM(F11:F69)</f>
        <v>976.27</v>
      </c>
      <c r="G71" s="70">
        <f t="shared" si="23"/>
        <v>976.27</v>
      </c>
      <c r="H71" s="70">
        <f t="shared" si="23"/>
        <v>976.27</v>
      </c>
      <c r="I71" s="70">
        <f t="shared" si="23"/>
        <v>976.27</v>
      </c>
      <c r="J71" s="70">
        <f t="shared" si="23"/>
        <v>976.27</v>
      </c>
      <c r="K71" s="70">
        <f t="shared" si="23"/>
        <v>976.27</v>
      </c>
      <c r="L71" s="70">
        <f t="shared" si="23"/>
        <v>976.27</v>
      </c>
      <c r="M71" s="70">
        <f t="shared" ref="M71:N71" si="24">SUM(M11:M69)</f>
        <v>976.27</v>
      </c>
      <c r="N71" s="70">
        <f t="shared" si="24"/>
        <v>898.23</v>
      </c>
      <c r="O71" s="70">
        <f t="shared" ref="O71:P71" si="25">SUM(O11:O69)</f>
        <v>898.23</v>
      </c>
      <c r="P71" s="70">
        <f t="shared" si="25"/>
        <v>898.23</v>
      </c>
      <c r="Q71" s="70">
        <f t="shared" ref="Q71:R71" si="26">SUM(Q11:Q69)</f>
        <v>898.23</v>
      </c>
      <c r="R71" s="70">
        <f t="shared" si="26"/>
        <v>898.23</v>
      </c>
      <c r="S71" s="70">
        <f t="shared" si="23"/>
        <v>898.23</v>
      </c>
      <c r="T71" s="70">
        <f t="shared" si="23"/>
        <v>898.23</v>
      </c>
      <c r="U71" s="70">
        <f t="shared" si="23"/>
        <v>150</v>
      </c>
      <c r="V71" s="70">
        <f t="shared" si="23"/>
        <v>150</v>
      </c>
      <c r="W71" s="70">
        <f t="shared" si="23"/>
        <v>150</v>
      </c>
      <c r="X71" s="70">
        <f t="shared" si="23"/>
        <v>150</v>
      </c>
      <c r="Y71" s="70">
        <f t="shared" si="23"/>
        <v>150</v>
      </c>
      <c r="Z71" s="70">
        <f t="shared" si="23"/>
        <v>150</v>
      </c>
      <c r="AA71" s="70">
        <f t="shared" si="23"/>
        <v>150</v>
      </c>
      <c r="AB71" s="70">
        <f>SUM(AB11:AB69)</f>
        <v>150</v>
      </c>
      <c r="AC71" s="70">
        <f t="shared" si="23"/>
        <v>150</v>
      </c>
      <c r="AD71" s="70">
        <f t="shared" si="23"/>
        <v>150</v>
      </c>
      <c r="AE71" s="70">
        <f t="shared" si="23"/>
        <v>150</v>
      </c>
      <c r="AF71" s="70">
        <f t="shared" si="23"/>
        <v>150</v>
      </c>
      <c r="AG71" s="70">
        <f t="shared" si="23"/>
        <v>1812.2049999999999</v>
      </c>
      <c r="AH71" s="46">
        <f t="shared" si="2"/>
        <v>996.27</v>
      </c>
      <c r="AI71" s="47">
        <f t="shared" si="3"/>
        <v>150</v>
      </c>
      <c r="AK71" s="49"/>
    </row>
    <row r="72" spans="1:88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62.8</v>
      </c>
      <c r="AI73" s="47">
        <f t="shared" si="3"/>
        <v>55.9</v>
      </c>
      <c r="AK73" s="49"/>
    </row>
    <row r="74" spans="1:88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7">MAX(B75:AF75)</f>
        <v>41.1</v>
      </c>
      <c r="AI75" s="47">
        <f t="shared" ref="AI75:AI138" si="28">MIN(B75:AF75)</f>
        <v>20.6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7"/>
        <v>22.2</v>
      </c>
      <c r="AI76" s="47">
        <f t="shared" si="28"/>
        <v>19.7</v>
      </c>
      <c r="AK76" s="49"/>
    </row>
    <row r="77" spans="1:88" ht="15.75" thickBot="1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7"/>
        <v>7.7</v>
      </c>
      <c r="AI77" s="47">
        <f t="shared" si="28"/>
        <v>6</v>
      </c>
      <c r="AK77" s="49"/>
    </row>
    <row r="78" spans="1:88" ht="15.75" thickBot="1">
      <c r="A78" s="79" t="s">
        <v>97</v>
      </c>
      <c r="B78" s="70">
        <f t="shared" ref="B78:C78" si="29">SUM(B72:B77)</f>
        <v>421.4</v>
      </c>
      <c r="C78" s="70">
        <f t="shared" si="29"/>
        <v>372.1</v>
      </c>
      <c r="D78" s="70">
        <f t="shared" ref="D78:E78" si="30">SUM(D72:D77)</f>
        <v>260</v>
      </c>
      <c r="E78" s="70">
        <f t="shared" si="30"/>
        <v>239.79999999999998</v>
      </c>
      <c r="F78" s="70">
        <f t="shared" ref="F78:AG78" si="31">SUM(F72:F77)</f>
        <v>239.79999999999998</v>
      </c>
      <c r="G78" s="70">
        <f t="shared" si="31"/>
        <v>290.3</v>
      </c>
      <c r="H78" s="70">
        <f t="shared" si="31"/>
        <v>290.3</v>
      </c>
      <c r="I78" s="70">
        <f t="shared" si="31"/>
        <v>339.3</v>
      </c>
      <c r="J78" s="70">
        <f t="shared" si="31"/>
        <v>421.3</v>
      </c>
      <c r="K78" s="70">
        <f t="shared" si="31"/>
        <v>421.3</v>
      </c>
      <c r="L78" s="70">
        <f t="shared" si="31"/>
        <v>420.3</v>
      </c>
      <c r="M78" s="70">
        <f t="shared" ref="M78:N78" si="32">SUM(M72:M77)</f>
        <v>460.6</v>
      </c>
      <c r="N78" s="70">
        <f t="shared" si="32"/>
        <v>423</v>
      </c>
      <c r="O78" s="70">
        <f t="shared" ref="O78:P78" si="33">SUM(O72:O77)</f>
        <v>612</v>
      </c>
      <c r="P78" s="70">
        <f t="shared" si="33"/>
        <v>612</v>
      </c>
      <c r="Q78" s="70">
        <f t="shared" ref="Q78:R78" si="34">SUM(Q72:Q77)</f>
        <v>151.99999999999997</v>
      </c>
      <c r="R78" s="70">
        <f t="shared" si="34"/>
        <v>151.99999999999997</v>
      </c>
      <c r="S78" s="70">
        <f t="shared" ref="S78" si="35">SUM(S72:S77)</f>
        <v>145.69999999999999</v>
      </c>
      <c r="T78" s="70">
        <f t="shared" si="31"/>
        <v>143.6</v>
      </c>
      <c r="U78" s="70">
        <f t="shared" ref="U78" si="36">SUM(U72:U77)</f>
        <v>194.59999999999997</v>
      </c>
      <c r="V78" s="70">
        <f t="shared" si="31"/>
        <v>0</v>
      </c>
      <c r="W78" s="70">
        <f t="shared" si="31"/>
        <v>0</v>
      </c>
      <c r="X78" s="70">
        <f t="shared" si="31"/>
        <v>0</v>
      </c>
      <c r="Y78" s="70">
        <f t="shared" si="31"/>
        <v>0</v>
      </c>
      <c r="Z78" s="70">
        <f t="shared" si="31"/>
        <v>0</v>
      </c>
      <c r="AA78" s="70">
        <f t="shared" si="31"/>
        <v>0</v>
      </c>
      <c r="AB78" s="70">
        <f t="shared" si="31"/>
        <v>0</v>
      </c>
      <c r="AC78" s="70">
        <f t="shared" si="31"/>
        <v>0</v>
      </c>
      <c r="AD78" s="70">
        <f t="shared" si="31"/>
        <v>0</v>
      </c>
      <c r="AE78" s="70">
        <f t="shared" si="31"/>
        <v>0</v>
      </c>
      <c r="AF78" s="70">
        <f t="shared" si="31"/>
        <v>0</v>
      </c>
      <c r="AG78" s="80">
        <f t="shared" si="31"/>
        <v>706.4</v>
      </c>
      <c r="AH78" s="46">
        <f t="shared" si="27"/>
        <v>612</v>
      </c>
      <c r="AI78" s="47">
        <f t="shared" si="28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7"/>
        <v>96</v>
      </c>
      <c r="AI79" s="47">
        <f t="shared" si="28"/>
        <v>95</v>
      </c>
      <c r="AK79" s="49"/>
      <c r="AY79" s="1" t="s">
        <v>99</v>
      </c>
      <c r="AZ79" s="82">
        <f>ROUND(C97,0)</f>
        <v>-233</v>
      </c>
      <c r="BA79" s="81">
        <f t="shared" ref="BA79:BD83" si="37">D97</f>
        <v>-135.19999999999999</v>
      </c>
      <c r="BB79" s="81">
        <f t="shared" si="37"/>
        <v>-170.5</v>
      </c>
      <c r="BC79" s="81">
        <f t="shared" si="37"/>
        <v>-230</v>
      </c>
      <c r="BD79" s="81">
        <f t="shared" si="37"/>
        <v>-230</v>
      </c>
      <c r="BE79" s="82">
        <f>I97</f>
        <v>-220</v>
      </c>
      <c r="BF79" s="82">
        <f>K97</f>
        <v>-220</v>
      </c>
      <c r="BG79" s="82">
        <f t="shared" ref="BG79:BP83" si="38">M97</f>
        <v>-245.6</v>
      </c>
      <c r="BH79" s="82">
        <f t="shared" si="38"/>
        <v>-200</v>
      </c>
      <c r="BI79" s="82">
        <f t="shared" si="38"/>
        <v>-284</v>
      </c>
      <c r="BJ79" s="82">
        <f t="shared" si="38"/>
        <v>-293.60000000000002</v>
      </c>
      <c r="BK79" s="82">
        <f t="shared" si="38"/>
        <v>228.5</v>
      </c>
      <c r="BL79" s="82">
        <f t="shared" si="38"/>
        <v>112</v>
      </c>
      <c r="BM79" s="82">
        <f t="shared" si="38"/>
        <v>171.4</v>
      </c>
      <c r="BN79" s="82">
        <f t="shared" si="38"/>
        <v>142</v>
      </c>
      <c r="BO79" s="82">
        <f t="shared" si="38"/>
        <v>-5</v>
      </c>
      <c r="BP79" s="82">
        <f t="shared" si="38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39">AD97</f>
        <v>0</v>
      </c>
      <c r="BU79" s="81">
        <f t="shared" si="39"/>
        <v>0</v>
      </c>
      <c r="BV79" s="81">
        <f t="shared" si="39"/>
        <v>0</v>
      </c>
      <c r="BW79" s="81">
        <f>B97</f>
        <v>-270</v>
      </c>
    </row>
    <row r="80" spans="1:88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7"/>
        <v>69.3</v>
      </c>
      <c r="AI80" s="47">
        <f t="shared" si="28"/>
        <v>35.1</v>
      </c>
      <c r="AK80" s="49"/>
      <c r="AY80" s="1" t="s">
        <v>101</v>
      </c>
      <c r="AZ80" s="82">
        <f>ROUND(C98,0)</f>
        <v>0</v>
      </c>
      <c r="BA80" s="81">
        <f t="shared" si="37"/>
        <v>0</v>
      </c>
      <c r="BB80" s="81">
        <f t="shared" si="37"/>
        <v>0</v>
      </c>
      <c r="BC80" s="81">
        <f t="shared" si="37"/>
        <v>0</v>
      </c>
      <c r="BD80" s="81">
        <f t="shared" si="37"/>
        <v>0</v>
      </c>
      <c r="BE80" s="82">
        <f>I98</f>
        <v>22</v>
      </c>
      <c r="BF80" s="82">
        <f>K98</f>
        <v>22</v>
      </c>
      <c r="BG80" s="82">
        <f t="shared" si="38"/>
        <v>22</v>
      </c>
      <c r="BH80" s="82">
        <f t="shared" si="38"/>
        <v>23</v>
      </c>
      <c r="BI80" s="82">
        <f t="shared" si="38"/>
        <v>25</v>
      </c>
      <c r="BJ80" s="82">
        <f t="shared" si="38"/>
        <v>26.3</v>
      </c>
      <c r="BK80" s="82">
        <f t="shared" si="38"/>
        <v>27.2</v>
      </c>
      <c r="BL80" s="82">
        <f t="shared" si="38"/>
        <v>29.9</v>
      </c>
      <c r="BM80" s="82">
        <f t="shared" si="38"/>
        <v>29</v>
      </c>
      <c r="BN80" s="82">
        <f t="shared" si="38"/>
        <v>27.5</v>
      </c>
      <c r="BO80" s="82">
        <f t="shared" si="38"/>
        <v>28.2</v>
      </c>
      <c r="BP80" s="82">
        <f t="shared" si="3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39"/>
        <v>0</v>
      </c>
      <c r="BU80" s="81">
        <f t="shared" si="39"/>
        <v>0</v>
      </c>
      <c r="BV80" s="81">
        <f t="shared" si="39"/>
        <v>0</v>
      </c>
      <c r="BW80" s="81">
        <f>B98</f>
        <v>0</v>
      </c>
    </row>
    <row r="81" spans="1:7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7"/>
        <v>69.599999999999994</v>
      </c>
      <c r="AI81" s="47">
        <f t="shared" si="28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37"/>
        <v>46.6</v>
      </c>
      <c r="BB81" s="81">
        <f t="shared" si="37"/>
        <v>45.5</v>
      </c>
      <c r="BC81" s="81">
        <f t="shared" si="37"/>
        <v>45.5</v>
      </c>
      <c r="BD81" s="81">
        <f t="shared" si="37"/>
        <v>45.5</v>
      </c>
      <c r="BE81" s="82">
        <f>I99</f>
        <v>40</v>
      </c>
      <c r="BF81" s="82">
        <f>K99</f>
        <v>38</v>
      </c>
      <c r="BG81" s="82">
        <f t="shared" si="38"/>
        <v>27.3</v>
      </c>
      <c r="BH81" s="82">
        <f t="shared" si="38"/>
        <v>30</v>
      </c>
      <c r="BI81" s="82">
        <f t="shared" si="38"/>
        <v>32</v>
      </c>
      <c r="BJ81" s="82">
        <f t="shared" si="38"/>
        <v>36.299999999999997</v>
      </c>
      <c r="BK81" s="82">
        <f t="shared" si="38"/>
        <v>45.5</v>
      </c>
      <c r="BL81" s="82">
        <f t="shared" si="38"/>
        <v>40.299999999999997</v>
      </c>
      <c r="BM81" s="82">
        <f t="shared" si="38"/>
        <v>42.2</v>
      </c>
      <c r="BN81" s="82">
        <f t="shared" si="38"/>
        <v>44.3</v>
      </c>
      <c r="BO81" s="82">
        <f t="shared" si="38"/>
        <v>41.2</v>
      </c>
      <c r="BP81" s="82">
        <f t="shared" si="38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39"/>
        <v>0</v>
      </c>
      <c r="BU81" s="81">
        <f t="shared" si="39"/>
        <v>0</v>
      </c>
      <c r="BV81" s="81">
        <f t="shared" si="39"/>
        <v>0</v>
      </c>
      <c r="BW81" s="81">
        <f>B99</f>
        <v>50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7"/>
        <v>58</v>
      </c>
      <c r="AI82" s="47">
        <f t="shared" si="28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37"/>
        <v>19.100000000000001</v>
      </c>
      <c r="BB82" s="81">
        <f t="shared" si="37"/>
        <v>20.8</v>
      </c>
      <c r="BC82" s="81">
        <f t="shared" si="37"/>
        <v>20.8</v>
      </c>
      <c r="BD82" s="81">
        <f t="shared" si="37"/>
        <v>20.8</v>
      </c>
      <c r="BE82" s="82">
        <f>I100</f>
        <v>15.89</v>
      </c>
      <c r="BF82" s="82">
        <f>K100</f>
        <v>14.5</v>
      </c>
      <c r="BG82" s="82">
        <f t="shared" si="38"/>
        <v>14.5</v>
      </c>
      <c r="BH82" s="82">
        <f t="shared" si="38"/>
        <v>11.9</v>
      </c>
      <c r="BI82" s="82">
        <f t="shared" si="38"/>
        <v>10.6</v>
      </c>
      <c r="BJ82" s="82">
        <f t="shared" si="38"/>
        <v>12.3</v>
      </c>
      <c r="BK82" s="82">
        <f t="shared" si="38"/>
        <v>0</v>
      </c>
      <c r="BL82" s="82">
        <f t="shared" si="38"/>
        <v>0</v>
      </c>
      <c r="BM82" s="82">
        <f t="shared" si="38"/>
        <v>0</v>
      </c>
      <c r="BN82" s="82">
        <f t="shared" si="38"/>
        <v>0</v>
      </c>
      <c r="BO82" s="82">
        <f t="shared" si="38"/>
        <v>11.6</v>
      </c>
      <c r="BP82" s="82">
        <f t="shared" si="38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39"/>
        <v>0</v>
      </c>
      <c r="BU82" s="81">
        <f t="shared" si="39"/>
        <v>0</v>
      </c>
      <c r="BV82" s="81">
        <f t="shared" si="39"/>
        <v>0</v>
      </c>
      <c r="BW82" s="81">
        <f>B100</f>
        <v>18</v>
      </c>
    </row>
    <row r="83" spans="1:7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7"/>
        <v>15</v>
      </c>
      <c r="AI83" s="47">
        <f t="shared" si="28"/>
        <v>0</v>
      </c>
      <c r="AK83" s="49"/>
      <c r="AY83" s="1" t="s">
        <v>107</v>
      </c>
      <c r="AZ83" s="82">
        <f>ROUND(C101,0)</f>
        <v>0</v>
      </c>
      <c r="BA83" s="81">
        <f t="shared" si="37"/>
        <v>0</v>
      </c>
      <c r="BB83" s="81">
        <f t="shared" si="37"/>
        <v>0</v>
      </c>
      <c r="BC83" s="81">
        <f t="shared" si="37"/>
        <v>0</v>
      </c>
      <c r="BD83" s="81">
        <f t="shared" si="37"/>
        <v>46</v>
      </c>
      <c r="BE83" s="82">
        <f>I101</f>
        <v>38.35</v>
      </c>
      <c r="BF83" s="82">
        <f>K101</f>
        <v>46.8</v>
      </c>
      <c r="BG83" s="82">
        <f t="shared" si="38"/>
        <v>46.8</v>
      </c>
      <c r="BH83" s="82">
        <f t="shared" si="38"/>
        <v>51</v>
      </c>
      <c r="BI83" s="82">
        <f t="shared" si="38"/>
        <v>46.5</v>
      </c>
      <c r="BJ83" s="82">
        <f t="shared" si="38"/>
        <v>56.9</v>
      </c>
      <c r="BK83" s="82">
        <f t="shared" si="38"/>
        <v>54.4</v>
      </c>
      <c r="BL83" s="82">
        <f t="shared" si="38"/>
        <v>53.8</v>
      </c>
      <c r="BM83" s="82">
        <f t="shared" si="38"/>
        <v>46.7</v>
      </c>
      <c r="BN83" s="82">
        <f t="shared" si="38"/>
        <v>49.89</v>
      </c>
      <c r="BO83" s="82">
        <f t="shared" si="38"/>
        <v>51.6</v>
      </c>
      <c r="BP83" s="82">
        <f t="shared" si="38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39"/>
        <v>0</v>
      </c>
      <c r="BU83" s="81">
        <f t="shared" si="39"/>
        <v>0</v>
      </c>
      <c r="BV83" s="81">
        <f t="shared" si="39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7"/>
        <v>17.600000000000001</v>
      </c>
      <c r="AI84" s="47">
        <f t="shared" si="28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0">M107</f>
        <v>0</v>
      </c>
      <c r="BH84" s="82">
        <f t="shared" si="40"/>
        <v>0</v>
      </c>
      <c r="BI84" s="82">
        <f t="shared" si="40"/>
        <v>0</v>
      </c>
      <c r="BJ84" s="82">
        <f t="shared" si="40"/>
        <v>0</v>
      </c>
      <c r="BK84" s="82">
        <f t="shared" si="40"/>
        <v>0</v>
      </c>
      <c r="BL84" s="82">
        <f t="shared" si="40"/>
        <v>0</v>
      </c>
      <c r="BM84" s="82">
        <f t="shared" si="40"/>
        <v>0</v>
      </c>
      <c r="BN84" s="82">
        <f t="shared" si="40"/>
        <v>0</v>
      </c>
      <c r="BO84" s="82">
        <f t="shared" si="40"/>
        <v>0</v>
      </c>
      <c r="BP84" s="82">
        <f t="shared" si="4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7"/>
        <v>12.3</v>
      </c>
      <c r="AI85" s="47">
        <f t="shared" si="28"/>
        <v>11.1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7"/>
        <v>0</v>
      </c>
      <c r="AI86" s="47">
        <f t="shared" si="28"/>
        <v>0</v>
      </c>
      <c r="AK86" s="49"/>
      <c r="AZ86" s="82">
        <f t="shared" ref="AZ86:BW91" si="41">VALUE(AZ79)</f>
        <v>-233</v>
      </c>
      <c r="BA86" s="82">
        <f t="shared" si="41"/>
        <v>-135.19999999999999</v>
      </c>
      <c r="BB86" s="82">
        <f t="shared" si="41"/>
        <v>-170.5</v>
      </c>
      <c r="BC86" s="82">
        <f t="shared" si="41"/>
        <v>-230</v>
      </c>
      <c r="BD86" s="82">
        <f t="shared" si="41"/>
        <v>-230</v>
      </c>
      <c r="BE86" s="82">
        <f t="shared" si="41"/>
        <v>-220</v>
      </c>
      <c r="BF86" s="82">
        <f t="shared" si="41"/>
        <v>-220</v>
      </c>
      <c r="BG86" s="82">
        <f t="shared" si="41"/>
        <v>-245.6</v>
      </c>
      <c r="BH86" s="82">
        <f t="shared" si="41"/>
        <v>-200</v>
      </c>
      <c r="BI86" s="82">
        <f t="shared" si="41"/>
        <v>-284</v>
      </c>
      <c r="BJ86" s="82">
        <f t="shared" si="41"/>
        <v>-293.60000000000002</v>
      </c>
      <c r="BK86" s="82">
        <f t="shared" si="41"/>
        <v>228.5</v>
      </c>
      <c r="BL86" s="82">
        <f t="shared" si="41"/>
        <v>112</v>
      </c>
      <c r="BM86" s="82">
        <f t="shared" si="41"/>
        <v>171.4</v>
      </c>
      <c r="BN86" s="82">
        <f t="shared" si="41"/>
        <v>142</v>
      </c>
      <c r="BO86" s="82">
        <f t="shared" si="41"/>
        <v>-5</v>
      </c>
      <c r="BP86" s="82">
        <f t="shared" si="41"/>
        <v>0</v>
      </c>
      <c r="BQ86" s="82">
        <f t="shared" si="41"/>
        <v>0</v>
      </c>
      <c r="BR86" s="82">
        <f t="shared" si="41"/>
        <v>0</v>
      </c>
      <c r="BS86" s="82">
        <f t="shared" si="41"/>
        <v>0</v>
      </c>
      <c r="BT86" s="82">
        <f t="shared" si="41"/>
        <v>0</v>
      </c>
      <c r="BU86" s="82">
        <f t="shared" si="41"/>
        <v>0</v>
      </c>
      <c r="BV86" s="82">
        <f t="shared" si="41"/>
        <v>0</v>
      </c>
      <c r="BW86" s="82">
        <f t="shared" si="41"/>
        <v>-270</v>
      </c>
    </row>
    <row r="87" spans="1:7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7"/>
        <v>8.5</v>
      </c>
      <c r="AI87" s="47">
        <f t="shared" si="28"/>
        <v>7.6</v>
      </c>
      <c r="AK87" s="49"/>
      <c r="AZ87" s="82">
        <f t="shared" si="41"/>
        <v>0</v>
      </c>
      <c r="BA87" s="82">
        <f t="shared" si="41"/>
        <v>0</v>
      </c>
      <c r="BB87" s="82">
        <f t="shared" si="41"/>
        <v>0</v>
      </c>
      <c r="BC87" s="82">
        <f t="shared" si="41"/>
        <v>0</v>
      </c>
      <c r="BD87" s="82">
        <f t="shared" si="41"/>
        <v>0</v>
      </c>
      <c r="BE87" s="82">
        <f t="shared" si="41"/>
        <v>22</v>
      </c>
      <c r="BF87" s="82">
        <f t="shared" si="41"/>
        <v>22</v>
      </c>
      <c r="BG87" s="82">
        <f t="shared" si="41"/>
        <v>22</v>
      </c>
      <c r="BH87" s="82">
        <f t="shared" si="41"/>
        <v>23</v>
      </c>
      <c r="BI87" s="82">
        <f t="shared" si="41"/>
        <v>25</v>
      </c>
      <c r="BJ87" s="82">
        <f t="shared" si="41"/>
        <v>26.3</v>
      </c>
      <c r="BK87" s="82">
        <f t="shared" si="41"/>
        <v>27.2</v>
      </c>
      <c r="BL87" s="82">
        <f t="shared" si="41"/>
        <v>29.9</v>
      </c>
      <c r="BM87" s="82">
        <f t="shared" si="41"/>
        <v>29</v>
      </c>
      <c r="BN87" s="82">
        <f t="shared" si="41"/>
        <v>27.5</v>
      </c>
      <c r="BO87" s="82">
        <f t="shared" si="41"/>
        <v>28.2</v>
      </c>
      <c r="BP87" s="82">
        <f t="shared" si="41"/>
        <v>0</v>
      </c>
      <c r="BQ87" s="82">
        <f t="shared" si="41"/>
        <v>0</v>
      </c>
      <c r="BR87" s="82">
        <f t="shared" si="41"/>
        <v>0</v>
      </c>
      <c r="BS87" s="82">
        <f t="shared" si="41"/>
        <v>0</v>
      </c>
      <c r="BT87" s="82">
        <f t="shared" si="41"/>
        <v>0</v>
      </c>
      <c r="BU87" s="82">
        <f t="shared" si="41"/>
        <v>0</v>
      </c>
      <c r="BV87" s="82">
        <f t="shared" si="41"/>
        <v>0</v>
      </c>
      <c r="BW87" s="82">
        <f t="shared" si="41"/>
        <v>0</v>
      </c>
    </row>
    <row r="88" spans="1:7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7"/>
        <v>8.8000000000000007</v>
      </c>
      <c r="AI88" s="47">
        <f t="shared" si="28"/>
        <v>7.9</v>
      </c>
      <c r="AK88" s="49"/>
      <c r="AZ88" s="82">
        <f t="shared" si="41"/>
        <v>47</v>
      </c>
      <c r="BA88" s="82">
        <f t="shared" si="41"/>
        <v>46.6</v>
      </c>
      <c r="BB88" s="82">
        <f t="shared" si="41"/>
        <v>45.5</v>
      </c>
      <c r="BC88" s="82">
        <f t="shared" si="41"/>
        <v>45.5</v>
      </c>
      <c r="BD88" s="82">
        <f t="shared" si="41"/>
        <v>45.5</v>
      </c>
      <c r="BE88" s="82">
        <f t="shared" si="41"/>
        <v>40</v>
      </c>
      <c r="BF88" s="82">
        <f t="shared" si="41"/>
        <v>38</v>
      </c>
      <c r="BG88" s="82">
        <f t="shared" si="41"/>
        <v>27.3</v>
      </c>
      <c r="BH88" s="82">
        <f t="shared" si="41"/>
        <v>30</v>
      </c>
      <c r="BI88" s="82">
        <f t="shared" si="41"/>
        <v>32</v>
      </c>
      <c r="BJ88" s="82">
        <f t="shared" si="41"/>
        <v>36.299999999999997</v>
      </c>
      <c r="BK88" s="82">
        <f t="shared" si="41"/>
        <v>45.5</v>
      </c>
      <c r="BL88" s="82">
        <f t="shared" si="41"/>
        <v>40.299999999999997</v>
      </c>
      <c r="BM88" s="82">
        <f t="shared" si="41"/>
        <v>42.2</v>
      </c>
      <c r="BN88" s="82">
        <f t="shared" si="41"/>
        <v>44.3</v>
      </c>
      <c r="BO88" s="82">
        <f t="shared" si="41"/>
        <v>41.2</v>
      </c>
      <c r="BP88" s="82">
        <f t="shared" si="41"/>
        <v>0</v>
      </c>
      <c r="BQ88" s="82">
        <f t="shared" si="41"/>
        <v>0</v>
      </c>
      <c r="BR88" s="82">
        <f t="shared" si="41"/>
        <v>0</v>
      </c>
      <c r="BS88" s="82">
        <f t="shared" si="41"/>
        <v>0</v>
      </c>
      <c r="BT88" s="82">
        <f t="shared" si="41"/>
        <v>0</v>
      </c>
      <c r="BU88" s="82">
        <f t="shared" si="41"/>
        <v>0</v>
      </c>
      <c r="BV88" s="82">
        <f t="shared" si="41"/>
        <v>0</v>
      </c>
      <c r="BW88" s="82">
        <f t="shared" si="41"/>
        <v>50</v>
      </c>
    </row>
    <row r="89" spans="1:7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7"/>
        <v>8.5</v>
      </c>
      <c r="AI89" s="47">
        <f t="shared" si="28"/>
        <v>7.7</v>
      </c>
      <c r="AK89" s="49"/>
      <c r="AZ89" s="82">
        <f t="shared" si="41"/>
        <v>18</v>
      </c>
      <c r="BA89" s="82">
        <f t="shared" si="41"/>
        <v>19.100000000000001</v>
      </c>
      <c r="BB89" s="82">
        <f t="shared" si="41"/>
        <v>20.8</v>
      </c>
      <c r="BC89" s="82">
        <f t="shared" si="41"/>
        <v>20.8</v>
      </c>
      <c r="BD89" s="82">
        <f t="shared" si="41"/>
        <v>20.8</v>
      </c>
      <c r="BE89" s="82">
        <f t="shared" si="41"/>
        <v>15.89</v>
      </c>
      <c r="BF89" s="82">
        <f t="shared" si="41"/>
        <v>14.5</v>
      </c>
      <c r="BG89" s="82">
        <f t="shared" si="41"/>
        <v>14.5</v>
      </c>
      <c r="BH89" s="82">
        <f t="shared" si="41"/>
        <v>11.9</v>
      </c>
      <c r="BI89" s="82">
        <f t="shared" si="41"/>
        <v>10.6</v>
      </c>
      <c r="BJ89" s="82">
        <f t="shared" si="41"/>
        <v>12.3</v>
      </c>
      <c r="BK89" s="82">
        <f t="shared" si="41"/>
        <v>0</v>
      </c>
      <c r="BL89" s="82">
        <f t="shared" si="41"/>
        <v>0</v>
      </c>
      <c r="BM89" s="82">
        <f t="shared" si="41"/>
        <v>0</v>
      </c>
      <c r="BN89" s="82">
        <f t="shared" si="41"/>
        <v>0</v>
      </c>
      <c r="BO89" s="82">
        <f t="shared" si="41"/>
        <v>11.6</v>
      </c>
      <c r="BP89" s="82">
        <f t="shared" si="41"/>
        <v>0</v>
      </c>
      <c r="BQ89" s="82">
        <f t="shared" si="41"/>
        <v>0</v>
      </c>
      <c r="BR89" s="82">
        <f t="shared" si="41"/>
        <v>0</v>
      </c>
      <c r="BS89" s="82">
        <f t="shared" si="41"/>
        <v>0</v>
      </c>
      <c r="BT89" s="82">
        <f t="shared" si="41"/>
        <v>0</v>
      </c>
      <c r="BU89" s="82">
        <f t="shared" si="41"/>
        <v>0</v>
      </c>
      <c r="BV89" s="82">
        <f t="shared" si="41"/>
        <v>0</v>
      </c>
      <c r="BW89" s="82">
        <f t="shared" si="41"/>
        <v>18</v>
      </c>
    </row>
    <row r="90" spans="1:7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7"/>
        <v>3.1</v>
      </c>
      <c r="AI90" s="47">
        <f t="shared" si="28"/>
        <v>3.1</v>
      </c>
      <c r="AK90" s="49"/>
      <c r="AZ90" s="82">
        <f t="shared" si="41"/>
        <v>0</v>
      </c>
      <c r="BA90" s="82">
        <f t="shared" si="41"/>
        <v>0</v>
      </c>
      <c r="BB90" s="82">
        <f t="shared" si="41"/>
        <v>0</v>
      </c>
      <c r="BC90" s="82">
        <f t="shared" si="41"/>
        <v>0</v>
      </c>
      <c r="BD90" s="82">
        <f t="shared" si="41"/>
        <v>46</v>
      </c>
      <c r="BE90" s="82">
        <f t="shared" si="41"/>
        <v>38.35</v>
      </c>
      <c r="BF90" s="82">
        <f t="shared" si="41"/>
        <v>46.8</v>
      </c>
      <c r="BG90" s="82">
        <f t="shared" si="41"/>
        <v>46.8</v>
      </c>
      <c r="BH90" s="82">
        <f t="shared" si="41"/>
        <v>51</v>
      </c>
      <c r="BI90" s="82">
        <f t="shared" si="41"/>
        <v>46.5</v>
      </c>
      <c r="BJ90" s="82">
        <f t="shared" si="41"/>
        <v>56.9</v>
      </c>
      <c r="BK90" s="82">
        <f t="shared" si="41"/>
        <v>54.4</v>
      </c>
      <c r="BL90" s="82">
        <f t="shared" si="41"/>
        <v>53.8</v>
      </c>
      <c r="BM90" s="82">
        <f t="shared" si="41"/>
        <v>46.7</v>
      </c>
      <c r="BN90" s="82">
        <f t="shared" si="41"/>
        <v>49.89</v>
      </c>
      <c r="BO90" s="82">
        <f t="shared" si="41"/>
        <v>51.6</v>
      </c>
      <c r="BP90" s="82">
        <f t="shared" si="41"/>
        <v>0</v>
      </c>
      <c r="BQ90" s="82">
        <f t="shared" si="41"/>
        <v>0</v>
      </c>
      <c r="BR90" s="82">
        <f t="shared" si="41"/>
        <v>0</v>
      </c>
      <c r="BS90" s="82">
        <f t="shared" si="41"/>
        <v>0</v>
      </c>
      <c r="BT90" s="82">
        <f t="shared" si="41"/>
        <v>0</v>
      </c>
      <c r="BU90" s="82">
        <f t="shared" si="41"/>
        <v>0</v>
      </c>
      <c r="BV90" s="82">
        <f t="shared" si="41"/>
        <v>0</v>
      </c>
      <c r="BW90" s="82">
        <f t="shared" si="41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7"/>
        <v>2</v>
      </c>
      <c r="AI91" s="47">
        <f t="shared" si="28"/>
        <v>2</v>
      </c>
      <c r="AK91" s="49"/>
      <c r="AZ91" s="82">
        <f t="shared" si="41"/>
        <v>0</v>
      </c>
      <c r="BA91" s="82">
        <f t="shared" si="41"/>
        <v>0</v>
      </c>
      <c r="BB91" s="82">
        <f t="shared" si="41"/>
        <v>0</v>
      </c>
      <c r="BC91" s="82">
        <f t="shared" si="41"/>
        <v>0</v>
      </c>
      <c r="BD91" s="82">
        <f t="shared" si="41"/>
        <v>0</v>
      </c>
      <c r="BE91" s="82">
        <f t="shared" si="41"/>
        <v>0</v>
      </c>
      <c r="BF91" s="82">
        <f t="shared" si="41"/>
        <v>0</v>
      </c>
      <c r="BG91" s="82">
        <f t="shared" si="41"/>
        <v>0</v>
      </c>
      <c r="BH91" s="82">
        <f t="shared" si="41"/>
        <v>0</v>
      </c>
      <c r="BI91" s="82">
        <f t="shared" si="41"/>
        <v>0</v>
      </c>
      <c r="BJ91" s="82">
        <f t="shared" si="41"/>
        <v>0</v>
      </c>
      <c r="BK91" s="82">
        <f t="shared" si="41"/>
        <v>0</v>
      </c>
      <c r="BL91" s="82">
        <f t="shared" si="41"/>
        <v>0</v>
      </c>
      <c r="BM91" s="82">
        <f t="shared" si="41"/>
        <v>0</v>
      </c>
      <c r="BN91" s="82">
        <f t="shared" si="41"/>
        <v>0</v>
      </c>
      <c r="BO91" s="82">
        <f t="shared" si="41"/>
        <v>0</v>
      </c>
      <c r="BP91" s="82">
        <f t="shared" si="41"/>
        <v>0</v>
      </c>
      <c r="BQ91" s="82">
        <f t="shared" si="41"/>
        <v>0</v>
      </c>
      <c r="BR91" s="82">
        <f t="shared" si="41"/>
        <v>0</v>
      </c>
      <c r="BS91" s="82">
        <f t="shared" si="41"/>
        <v>0</v>
      </c>
      <c r="BT91" s="82">
        <f t="shared" si="41"/>
        <v>0</v>
      </c>
      <c r="BU91" s="82">
        <f t="shared" si="41"/>
        <v>0</v>
      </c>
      <c r="BV91" s="82">
        <f t="shared" si="41"/>
        <v>0</v>
      </c>
      <c r="BW91" s="82">
        <f t="shared" si="41"/>
        <v>0</v>
      </c>
    </row>
    <row r="92" spans="1:75" ht="15.75" thickBot="1">
      <c r="A92" s="87" t="s">
        <v>117</v>
      </c>
      <c r="B92" s="70">
        <f t="shared" ref="B92:C92" si="42">SUM(B79:B91)</f>
        <v>317.10000000000008</v>
      </c>
      <c r="C92" s="70">
        <f t="shared" si="42"/>
        <v>298.60000000000008</v>
      </c>
      <c r="D92" s="70">
        <f t="shared" ref="D92:E92" si="43">SUM(D79:D91)</f>
        <v>300.90000000000003</v>
      </c>
      <c r="E92" s="70">
        <f t="shared" si="43"/>
        <v>307.00000000000006</v>
      </c>
      <c r="F92" s="70">
        <f t="shared" ref="F92:AG92" si="44">SUM(F79:F91)</f>
        <v>307.00000000000006</v>
      </c>
      <c r="G92" s="70">
        <f t="shared" si="44"/>
        <v>307.00000000000006</v>
      </c>
      <c r="H92" s="70">
        <f t="shared" si="44"/>
        <v>329.90000000000003</v>
      </c>
      <c r="I92" s="70">
        <f t="shared" si="44"/>
        <v>329.90000000000003</v>
      </c>
      <c r="J92" s="70">
        <f t="shared" si="44"/>
        <v>329.90000000000003</v>
      </c>
      <c r="K92" s="70">
        <f t="shared" si="44"/>
        <v>329.90000000000003</v>
      </c>
      <c r="L92" s="70">
        <f t="shared" si="44"/>
        <v>329.90000000000003</v>
      </c>
      <c r="M92" s="70">
        <f t="shared" ref="M92:N92" si="45">SUM(M79:M91)</f>
        <v>339.50000000000006</v>
      </c>
      <c r="N92" s="70">
        <f t="shared" si="45"/>
        <v>342.17</v>
      </c>
      <c r="O92" s="70">
        <f t="shared" ref="O92:P92" si="46">SUM(O79:O91)</f>
        <v>354.37</v>
      </c>
      <c r="P92" s="70">
        <f t="shared" si="46"/>
        <v>348.77000000000004</v>
      </c>
      <c r="Q92" s="70">
        <f t="shared" ref="Q92:R92" si="47">SUM(Q79:Q91)</f>
        <v>319.37000000000006</v>
      </c>
      <c r="R92" s="70">
        <f t="shared" si="47"/>
        <v>327.87</v>
      </c>
      <c r="S92" s="70">
        <f t="shared" si="44"/>
        <v>325.70000000000005</v>
      </c>
      <c r="T92" s="70">
        <f t="shared" si="44"/>
        <v>326.7</v>
      </c>
      <c r="U92" s="70">
        <f t="shared" si="44"/>
        <v>317.39999999999998</v>
      </c>
      <c r="V92" s="70">
        <f t="shared" si="44"/>
        <v>2</v>
      </c>
      <c r="W92" s="70">
        <f t="shared" si="44"/>
        <v>2</v>
      </c>
      <c r="X92" s="70">
        <f t="shared" si="44"/>
        <v>2</v>
      </c>
      <c r="Y92" s="70">
        <f t="shared" si="44"/>
        <v>2</v>
      </c>
      <c r="Z92" s="70">
        <f t="shared" si="44"/>
        <v>2</v>
      </c>
      <c r="AA92" s="70">
        <f t="shared" si="44"/>
        <v>2</v>
      </c>
      <c r="AB92" s="70">
        <f t="shared" si="44"/>
        <v>2</v>
      </c>
      <c r="AC92" s="70">
        <f t="shared" si="44"/>
        <v>2</v>
      </c>
      <c r="AD92" s="70">
        <f t="shared" si="44"/>
        <v>2</v>
      </c>
      <c r="AE92" s="70">
        <f t="shared" si="44"/>
        <v>2</v>
      </c>
      <c r="AF92" s="70">
        <f t="shared" si="44"/>
        <v>2</v>
      </c>
      <c r="AG92" s="80">
        <f t="shared" si="44"/>
        <v>489.91</v>
      </c>
      <c r="AH92" s="46">
        <f t="shared" si="27"/>
        <v>354.37</v>
      </c>
      <c r="AI92" s="47">
        <f t="shared" si="28"/>
        <v>2</v>
      </c>
      <c r="AK92" s="49"/>
      <c r="AY92" s="82"/>
    </row>
    <row r="93" spans="1:7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7"/>
        <v>30</v>
      </c>
      <c r="AI93" s="47">
        <f t="shared" si="28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7"/>
        <v>12.6</v>
      </c>
      <c r="AI94" s="47">
        <f t="shared" si="28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7"/>
        <v>5.6</v>
      </c>
      <c r="AI95" s="47">
        <f t="shared" si="28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C96" si="48">B93+B94+B95</f>
        <v>0</v>
      </c>
      <c r="C96" s="70">
        <f t="shared" si="48"/>
        <v>0</v>
      </c>
      <c r="D96" s="70">
        <f t="shared" ref="D96:E96" si="49">D93+D94+D95</f>
        <v>0</v>
      </c>
      <c r="E96" s="70">
        <f t="shared" si="49"/>
        <v>0</v>
      </c>
      <c r="F96" s="70">
        <f t="shared" ref="F96:AF96" si="50">F93+F94+F95</f>
        <v>0</v>
      </c>
      <c r="G96" s="70">
        <f t="shared" si="50"/>
        <v>0</v>
      </c>
      <c r="H96" s="70">
        <f t="shared" si="50"/>
        <v>0</v>
      </c>
      <c r="I96" s="70">
        <f t="shared" si="50"/>
        <v>0</v>
      </c>
      <c r="J96" s="70">
        <f t="shared" si="50"/>
        <v>0</v>
      </c>
      <c r="K96" s="70">
        <f t="shared" si="50"/>
        <v>0</v>
      </c>
      <c r="L96" s="70">
        <f t="shared" si="50"/>
        <v>0</v>
      </c>
      <c r="M96" s="70">
        <f t="shared" ref="M96:N96" si="51">M93+M94+M95</f>
        <v>0</v>
      </c>
      <c r="N96" s="70">
        <f t="shared" si="51"/>
        <v>0</v>
      </c>
      <c r="O96" s="70">
        <f t="shared" ref="O96:P96" si="52">O93+O94+O95</f>
        <v>0</v>
      </c>
      <c r="P96" s="70">
        <f t="shared" si="52"/>
        <v>0</v>
      </c>
      <c r="Q96" s="70">
        <f t="shared" ref="Q96:R96" si="53">Q93+Q94+Q95</f>
        <v>0</v>
      </c>
      <c r="R96" s="70">
        <f t="shared" si="53"/>
        <v>0</v>
      </c>
      <c r="S96" s="70">
        <f t="shared" si="50"/>
        <v>0</v>
      </c>
      <c r="T96" s="70">
        <f t="shared" si="50"/>
        <v>0</v>
      </c>
      <c r="U96" s="70">
        <f t="shared" si="50"/>
        <v>48.2</v>
      </c>
      <c r="V96" s="70">
        <f t="shared" si="50"/>
        <v>0</v>
      </c>
      <c r="W96" s="70">
        <f t="shared" si="50"/>
        <v>0</v>
      </c>
      <c r="X96" s="70">
        <f t="shared" si="50"/>
        <v>0</v>
      </c>
      <c r="Y96" s="70">
        <f t="shared" si="50"/>
        <v>0</v>
      </c>
      <c r="Z96" s="70">
        <f t="shared" si="50"/>
        <v>0</v>
      </c>
      <c r="AA96" s="70">
        <f t="shared" si="50"/>
        <v>0</v>
      </c>
      <c r="AB96" s="70">
        <f t="shared" si="50"/>
        <v>0</v>
      </c>
      <c r="AC96" s="70">
        <f t="shared" si="50"/>
        <v>0</v>
      </c>
      <c r="AD96" s="70">
        <f t="shared" si="50"/>
        <v>0</v>
      </c>
      <c r="AE96" s="70">
        <f t="shared" si="50"/>
        <v>0</v>
      </c>
      <c r="AF96" s="70">
        <f t="shared" si="50"/>
        <v>0</v>
      </c>
      <c r="AG96" s="80">
        <f>SUM(AG93:AG95)</f>
        <v>106</v>
      </c>
      <c r="AH96" s="46">
        <f t="shared" si="27"/>
        <v>48.2</v>
      </c>
      <c r="AI96" s="47">
        <f t="shared" si="28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7"/>
        <v>228.5</v>
      </c>
      <c r="AI97" s="47">
        <f t="shared" si="28"/>
        <v>-293.60000000000002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7"/>
        <v>29.9</v>
      </c>
      <c r="AI98" s="47">
        <f t="shared" si="28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7"/>
        <v>50</v>
      </c>
      <c r="AI99" s="47">
        <f t="shared" si="28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7"/>
        <v>20.8</v>
      </c>
      <c r="AI100" s="47">
        <f t="shared" si="28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7"/>
        <v>56.9</v>
      </c>
      <c r="AI101" s="47">
        <f t="shared" si="28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7"/>
        <v>66.900000000000006</v>
      </c>
      <c r="AI102" s="47">
        <f t="shared" si="28"/>
        <v>47.9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7"/>
        <v>0</v>
      </c>
      <c r="AI103" s="47">
        <f t="shared" si="28"/>
        <v>0</v>
      </c>
      <c r="AK103" s="94"/>
      <c r="AL103" s="97"/>
      <c r="AM103" s="99"/>
      <c r="AN103" s="221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7"/>
        <v>0</v>
      </c>
      <c r="AI104" s="47">
        <f t="shared" si="28"/>
        <v>0</v>
      </c>
      <c r="AK104" s="94"/>
      <c r="AL104" s="97"/>
      <c r="AM104" s="97"/>
      <c r="AN104" s="222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7"/>
        <v>0</v>
      </c>
      <c r="AI105" s="47">
        <f t="shared" si="28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7"/>
        <v>0</v>
      </c>
      <c r="AI106" s="47">
        <f t="shared" si="28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7"/>
        <v>0</v>
      </c>
      <c r="AI107" s="47">
        <f t="shared" si="28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>
      <c r="A108" s="87" t="s">
        <v>136</v>
      </c>
      <c r="B108" s="70">
        <f t="shared" ref="B108:C108" si="54">SUMIF(B97:B107,"&gt;0")</f>
        <v>123</v>
      </c>
      <c r="C108" s="70">
        <f t="shared" si="54"/>
        <v>127.2</v>
      </c>
      <c r="D108" s="70">
        <f t="shared" ref="D108:E108" si="55">SUMIF(D97:D107,"&gt;0")</f>
        <v>126.2</v>
      </c>
      <c r="E108" s="70">
        <f t="shared" si="55"/>
        <v>124.69999999999999</v>
      </c>
      <c r="F108" s="70">
        <f t="shared" ref="F108:AF108" si="56">SUMIF(F97:F107,"&gt;0")</f>
        <v>124.69999999999999</v>
      </c>
      <c r="G108" s="70">
        <f t="shared" si="56"/>
        <v>170.7</v>
      </c>
      <c r="H108" s="70">
        <f t="shared" si="56"/>
        <v>148.24</v>
      </c>
      <c r="I108" s="70">
        <f t="shared" si="56"/>
        <v>170.24</v>
      </c>
      <c r="J108" s="70">
        <f t="shared" si="56"/>
        <v>170.24</v>
      </c>
      <c r="K108" s="70">
        <f t="shared" si="56"/>
        <v>177.6</v>
      </c>
      <c r="L108" s="70">
        <f t="shared" si="56"/>
        <v>177.6</v>
      </c>
      <c r="M108" s="70">
        <f t="shared" ref="M108:N108" si="57">SUMIF(M97:M107,"&gt;0")</f>
        <v>162.19999999999999</v>
      </c>
      <c r="N108" s="70">
        <f t="shared" si="57"/>
        <v>175.9</v>
      </c>
      <c r="O108" s="70">
        <f t="shared" ref="O108" si="58">SUMIF(O97:O107,"&gt;0")</f>
        <v>180.5</v>
      </c>
      <c r="P108" s="70">
        <f t="shared" si="56"/>
        <v>195.09999999999997</v>
      </c>
      <c r="Q108" s="70">
        <f t="shared" ref="Q108:R108" si="59">SUMIF(Q97:Q107,"&gt;0")</f>
        <v>420.19999999999993</v>
      </c>
      <c r="R108" s="70">
        <f t="shared" si="59"/>
        <v>283.89999999999998</v>
      </c>
      <c r="S108" s="70">
        <f t="shared" si="56"/>
        <v>355.6</v>
      </c>
      <c r="T108" s="70">
        <f t="shared" si="56"/>
        <v>330.39</v>
      </c>
      <c r="U108" s="70">
        <f t="shared" si="56"/>
        <v>199.5</v>
      </c>
      <c r="V108" s="70">
        <f t="shared" si="56"/>
        <v>0</v>
      </c>
      <c r="W108" s="70">
        <f t="shared" si="56"/>
        <v>0</v>
      </c>
      <c r="X108" s="70">
        <f t="shared" si="56"/>
        <v>0</v>
      </c>
      <c r="Y108" s="70">
        <f t="shared" si="56"/>
        <v>0</v>
      </c>
      <c r="Z108" s="70">
        <f t="shared" si="56"/>
        <v>0</v>
      </c>
      <c r="AA108" s="70">
        <f t="shared" si="56"/>
        <v>0</v>
      </c>
      <c r="AB108" s="70">
        <f t="shared" si="56"/>
        <v>0</v>
      </c>
      <c r="AC108" s="70">
        <f t="shared" si="56"/>
        <v>0</v>
      </c>
      <c r="AD108" s="70">
        <f t="shared" si="56"/>
        <v>0</v>
      </c>
      <c r="AE108" s="70">
        <f t="shared" si="56"/>
        <v>0</v>
      </c>
      <c r="AF108" s="70">
        <f t="shared" si="56"/>
        <v>0</v>
      </c>
      <c r="AG108" s="104">
        <f>SUM(AG97:AG107)</f>
        <v>0</v>
      </c>
      <c r="AH108" s="46">
        <f t="shared" si="27"/>
        <v>420.19999999999993</v>
      </c>
      <c r="AI108" s="47">
        <f t="shared" si="28"/>
        <v>0</v>
      </c>
      <c r="AJ108" s="105">
        <f t="array" ref="AJ108">MIN(IF(B108:AF108&lt;&gt;0,B108:AF108))</f>
        <v>123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7"/>
        <v>0</v>
      </c>
      <c r="AI109" s="47">
        <f t="shared" si="28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7"/>
        <v>0</v>
      </c>
      <c r="AI110" s="47">
        <f t="shared" si="28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7"/>
        <v>0</v>
      </c>
      <c r="AI111" s="47">
        <f t="shared" si="28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7"/>
        <v>0</v>
      </c>
      <c r="AI112" s="47">
        <f t="shared" si="28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C113" si="60">B71+B78+B96+B92+B108+B112</f>
        <v>1857.7700000000002</v>
      </c>
      <c r="C113" s="108">
        <f t="shared" si="60"/>
        <v>1794.17</v>
      </c>
      <c r="D113" s="108">
        <f t="shared" ref="D113:E113" si="61">D71+D78+D96+D92+D108+D112</f>
        <v>1683.3700000000001</v>
      </c>
      <c r="E113" s="108">
        <f t="shared" si="61"/>
        <v>1667.77</v>
      </c>
      <c r="F113" s="108">
        <f t="shared" ref="F113:AG113" si="62">F71+F78+F96+F92+F108+F112</f>
        <v>1647.77</v>
      </c>
      <c r="G113" s="108">
        <f t="shared" si="62"/>
        <v>1744.27</v>
      </c>
      <c r="H113" s="108">
        <f t="shared" si="62"/>
        <v>1744.71</v>
      </c>
      <c r="I113" s="108">
        <f t="shared" si="62"/>
        <v>1815.71</v>
      </c>
      <c r="J113" s="108">
        <f t="shared" si="62"/>
        <v>1897.71</v>
      </c>
      <c r="K113" s="108">
        <f t="shared" si="62"/>
        <v>1905.07</v>
      </c>
      <c r="L113" s="108">
        <f t="shared" si="62"/>
        <v>1904.07</v>
      </c>
      <c r="M113" s="108">
        <f t="shared" ref="M113:N113" si="63">M71+M78+M96+M92+M108+M112</f>
        <v>1938.57</v>
      </c>
      <c r="N113" s="108">
        <f t="shared" si="63"/>
        <v>1839.3000000000002</v>
      </c>
      <c r="O113" s="108">
        <f t="shared" ref="O113" si="64">O71+O78+O96+O92+O108+O112</f>
        <v>2045.1</v>
      </c>
      <c r="P113" s="108">
        <f t="shared" si="62"/>
        <v>2054.1</v>
      </c>
      <c r="Q113" s="108">
        <f t="shared" ref="Q113:R113" si="65">Q71+Q78+Q96+Q92+Q108+Q112</f>
        <v>1789.8000000000002</v>
      </c>
      <c r="R113" s="108">
        <f t="shared" si="65"/>
        <v>1662</v>
      </c>
      <c r="S113" s="108">
        <f t="shared" si="62"/>
        <v>1725.23</v>
      </c>
      <c r="T113" s="108">
        <f t="shared" si="62"/>
        <v>1698.92</v>
      </c>
      <c r="U113" s="108">
        <f t="shared" si="62"/>
        <v>909.69999999999993</v>
      </c>
      <c r="V113" s="108">
        <f t="shared" si="62"/>
        <v>152</v>
      </c>
      <c r="W113" s="108">
        <f t="shared" si="62"/>
        <v>152</v>
      </c>
      <c r="X113" s="108">
        <f t="shared" si="62"/>
        <v>152</v>
      </c>
      <c r="Y113" s="108">
        <f t="shared" si="62"/>
        <v>152</v>
      </c>
      <c r="Z113" s="108">
        <f t="shared" si="62"/>
        <v>152</v>
      </c>
      <c r="AA113" s="108">
        <f t="shared" si="62"/>
        <v>152</v>
      </c>
      <c r="AB113" s="108">
        <f t="shared" si="62"/>
        <v>152</v>
      </c>
      <c r="AC113" s="108">
        <f t="shared" si="62"/>
        <v>152</v>
      </c>
      <c r="AD113" s="108">
        <f t="shared" si="62"/>
        <v>152</v>
      </c>
      <c r="AE113" s="108">
        <f t="shared" si="62"/>
        <v>152</v>
      </c>
      <c r="AF113" s="108">
        <f t="shared" si="62"/>
        <v>152</v>
      </c>
      <c r="AG113" s="80">
        <f t="shared" si="62"/>
        <v>3169.915</v>
      </c>
      <c r="AH113" s="46">
        <f t="shared" si="27"/>
        <v>2054.1</v>
      </c>
      <c r="AI113" s="47">
        <f t="shared" si="28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7"/>
        <v>0</v>
      </c>
      <c r="AI114" s="47">
        <f t="shared" si="28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 t="shared" ref="B115:C115" si="66">B113+B114</f>
        <v>1857.7700000000002</v>
      </c>
      <c r="C115" s="108">
        <f t="shared" si="66"/>
        <v>1794.17</v>
      </c>
      <c r="D115" s="108">
        <f t="shared" ref="D115:E115" si="67">D113+D114</f>
        <v>1683.3700000000001</v>
      </c>
      <c r="E115" s="108">
        <f t="shared" si="67"/>
        <v>1667.77</v>
      </c>
      <c r="F115" s="108">
        <f t="shared" ref="F115:AF115" si="68">F113+F114</f>
        <v>1647.77</v>
      </c>
      <c r="G115" s="108">
        <f t="shared" si="68"/>
        <v>1744.27</v>
      </c>
      <c r="H115" s="108">
        <f t="shared" si="68"/>
        <v>1744.71</v>
      </c>
      <c r="I115" s="108">
        <f t="shared" si="68"/>
        <v>1815.71</v>
      </c>
      <c r="J115" s="108">
        <f t="shared" si="68"/>
        <v>1897.71</v>
      </c>
      <c r="K115" s="108">
        <f t="shared" si="68"/>
        <v>1905.07</v>
      </c>
      <c r="L115" s="108">
        <f t="shared" si="68"/>
        <v>1904.07</v>
      </c>
      <c r="M115" s="108">
        <f t="shared" ref="M115:N115" si="69">M113+M114</f>
        <v>1938.57</v>
      </c>
      <c r="N115" s="108">
        <f t="shared" si="69"/>
        <v>1839.3000000000002</v>
      </c>
      <c r="O115" s="108">
        <f t="shared" ref="O115" si="70">O113+O114</f>
        <v>2045.1</v>
      </c>
      <c r="P115" s="108">
        <f t="shared" si="68"/>
        <v>2054.1</v>
      </c>
      <c r="Q115" s="108">
        <f t="shared" ref="Q115:R115" si="71">Q113+Q114</f>
        <v>1789.8000000000002</v>
      </c>
      <c r="R115" s="108">
        <f t="shared" si="71"/>
        <v>1662</v>
      </c>
      <c r="S115" s="108">
        <f t="shared" si="68"/>
        <v>1725.23</v>
      </c>
      <c r="T115" s="108">
        <f t="shared" si="68"/>
        <v>1698.92</v>
      </c>
      <c r="U115" s="108">
        <f t="shared" si="68"/>
        <v>909.69999999999993</v>
      </c>
      <c r="V115" s="108">
        <f t="shared" si="68"/>
        <v>152</v>
      </c>
      <c r="W115" s="108">
        <f t="shared" si="68"/>
        <v>152</v>
      </c>
      <c r="X115" s="108">
        <f t="shared" si="68"/>
        <v>152</v>
      </c>
      <c r="Y115" s="108">
        <f t="shared" si="68"/>
        <v>152</v>
      </c>
      <c r="Z115" s="108">
        <f t="shared" si="68"/>
        <v>152</v>
      </c>
      <c r="AA115" s="108">
        <f t="shared" si="68"/>
        <v>152</v>
      </c>
      <c r="AB115" s="108">
        <f t="shared" si="68"/>
        <v>152</v>
      </c>
      <c r="AC115" s="108">
        <f t="shared" si="68"/>
        <v>152</v>
      </c>
      <c r="AD115" s="108">
        <f t="shared" si="68"/>
        <v>152</v>
      </c>
      <c r="AE115" s="108">
        <f t="shared" si="68"/>
        <v>152</v>
      </c>
      <c r="AF115" s="108">
        <f t="shared" si="68"/>
        <v>152</v>
      </c>
      <c r="AG115" s="104">
        <f>AG112+AG108+AG96+AG92+AG71+AG114</f>
        <v>2463.5149999999999</v>
      </c>
      <c r="AH115" s="46">
        <f t="shared" si="27"/>
        <v>2054.1</v>
      </c>
      <c r="AI115" s="47">
        <f t="shared" si="28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C116" si="72">B115-(B123)</f>
        <v>1587.7700000000002</v>
      </c>
      <c r="C116" s="108">
        <f t="shared" si="72"/>
        <v>1561.67</v>
      </c>
      <c r="D116" s="108">
        <f t="shared" ref="D116:E116" si="73">D115-(D123)</f>
        <v>1548.17</v>
      </c>
      <c r="E116" s="108">
        <f t="shared" si="73"/>
        <v>1497.27</v>
      </c>
      <c r="F116" s="108">
        <f t="shared" ref="F116:AF116" si="74">F115-(F123)</f>
        <v>1417.77</v>
      </c>
      <c r="G116" s="108">
        <f t="shared" si="74"/>
        <v>1514.27</v>
      </c>
      <c r="H116" s="108">
        <f t="shared" si="74"/>
        <v>1518.71</v>
      </c>
      <c r="I116" s="108">
        <f t="shared" si="74"/>
        <v>1595.71</v>
      </c>
      <c r="J116" s="108">
        <f t="shared" si="74"/>
        <v>1666.1100000000001</v>
      </c>
      <c r="K116" s="108">
        <f t="shared" si="74"/>
        <v>1685.07</v>
      </c>
      <c r="L116" s="108">
        <f t="shared" si="74"/>
        <v>1704.07</v>
      </c>
      <c r="M116" s="108">
        <f t="shared" ref="M116:N116" si="75">M115-(M123)</f>
        <v>1692.97</v>
      </c>
      <c r="N116" s="108">
        <f t="shared" si="75"/>
        <v>1639.3000000000002</v>
      </c>
      <c r="O116" s="108">
        <f t="shared" ref="O116" si="76">O115-(O123)</f>
        <v>1761.1</v>
      </c>
      <c r="P116" s="108">
        <f t="shared" si="74"/>
        <v>1760.5</v>
      </c>
      <c r="Q116" s="108">
        <f t="shared" ref="Q116:R116" si="77">Q115-(Q123)</f>
        <v>1789.8000000000002</v>
      </c>
      <c r="R116" s="108">
        <f t="shared" si="77"/>
        <v>1662</v>
      </c>
      <c r="S116" s="108">
        <f t="shared" si="74"/>
        <v>1725.23</v>
      </c>
      <c r="T116" s="108">
        <f t="shared" si="74"/>
        <v>1698.92</v>
      </c>
      <c r="U116" s="108">
        <f t="shared" si="74"/>
        <v>904.69999999999993</v>
      </c>
      <c r="V116" s="108">
        <f t="shared" si="74"/>
        <v>152</v>
      </c>
      <c r="W116" s="108">
        <f t="shared" si="74"/>
        <v>152</v>
      </c>
      <c r="X116" s="108">
        <f t="shared" si="74"/>
        <v>152</v>
      </c>
      <c r="Y116" s="108">
        <f t="shared" si="74"/>
        <v>152</v>
      </c>
      <c r="Z116" s="108">
        <f t="shared" si="74"/>
        <v>152</v>
      </c>
      <c r="AA116" s="108">
        <f t="shared" si="74"/>
        <v>152</v>
      </c>
      <c r="AB116" s="108">
        <f t="shared" si="74"/>
        <v>152</v>
      </c>
      <c r="AC116" s="108">
        <f t="shared" si="74"/>
        <v>152</v>
      </c>
      <c r="AD116" s="108">
        <f t="shared" si="74"/>
        <v>152</v>
      </c>
      <c r="AE116" s="108">
        <f t="shared" si="74"/>
        <v>152</v>
      </c>
      <c r="AF116" s="108">
        <f t="shared" si="74"/>
        <v>152</v>
      </c>
      <c r="AG116" s="104"/>
      <c r="AH116" s="46">
        <f t="shared" si="27"/>
        <v>1789.8000000000002</v>
      </c>
      <c r="AI116" s="47">
        <f t="shared" si="28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78">IF(B97&lt;0,B97*-1,0)</f>
        <v>270</v>
      </c>
      <c r="C117" s="93">
        <f t="shared" si="78"/>
        <v>232.5</v>
      </c>
      <c r="D117" s="93">
        <f t="shared" ref="D117:E117" si="79">IF(D97&lt;0,D97*-1,0)</f>
        <v>135.19999999999999</v>
      </c>
      <c r="E117" s="93">
        <f t="shared" si="79"/>
        <v>170.5</v>
      </c>
      <c r="F117" s="93">
        <f t="shared" ref="F117:AF122" si="80">IF(F97&lt;0,F97*-1,0)</f>
        <v>230</v>
      </c>
      <c r="G117" s="93">
        <f t="shared" si="80"/>
        <v>230</v>
      </c>
      <c r="H117" s="93">
        <f t="shared" si="80"/>
        <v>226</v>
      </c>
      <c r="I117" s="93">
        <f t="shared" si="80"/>
        <v>220</v>
      </c>
      <c r="J117" s="93">
        <f t="shared" si="80"/>
        <v>231.6</v>
      </c>
      <c r="K117" s="93">
        <f t="shared" si="80"/>
        <v>220</v>
      </c>
      <c r="L117" s="93">
        <f t="shared" si="80"/>
        <v>200</v>
      </c>
      <c r="M117" s="93">
        <f t="shared" ref="M117:N117" si="81">IF(M97&lt;0,M97*-1,0)</f>
        <v>245.6</v>
      </c>
      <c r="N117" s="93">
        <f t="shared" si="81"/>
        <v>200</v>
      </c>
      <c r="O117" s="93">
        <f t="shared" ref="O117" si="82">IF(O97&lt;0,O97*-1,0)</f>
        <v>284</v>
      </c>
      <c r="P117" s="93">
        <f t="shared" si="80"/>
        <v>293.60000000000002</v>
      </c>
      <c r="Q117" s="93">
        <f t="shared" ref="Q117:R117" si="83">IF(Q97&lt;0,Q97*-1,0)</f>
        <v>0</v>
      </c>
      <c r="R117" s="93">
        <f t="shared" si="83"/>
        <v>0</v>
      </c>
      <c r="S117" s="93">
        <f t="shared" si="80"/>
        <v>0</v>
      </c>
      <c r="T117" s="93">
        <f t="shared" si="80"/>
        <v>0</v>
      </c>
      <c r="U117" s="93">
        <f t="shared" si="80"/>
        <v>5</v>
      </c>
      <c r="V117" s="93">
        <f t="shared" si="80"/>
        <v>0</v>
      </c>
      <c r="W117" s="93">
        <f t="shared" si="80"/>
        <v>0</v>
      </c>
      <c r="X117" s="93">
        <f t="shared" si="80"/>
        <v>0</v>
      </c>
      <c r="Y117" s="93">
        <f t="shared" si="80"/>
        <v>0</v>
      </c>
      <c r="Z117" s="93">
        <f t="shared" si="80"/>
        <v>0</v>
      </c>
      <c r="AA117" s="93">
        <f t="shared" si="80"/>
        <v>0</v>
      </c>
      <c r="AB117" s="93">
        <f t="shared" si="80"/>
        <v>0</v>
      </c>
      <c r="AC117" s="93">
        <f t="shared" si="80"/>
        <v>0</v>
      </c>
      <c r="AD117" s="93">
        <f t="shared" si="80"/>
        <v>0</v>
      </c>
      <c r="AE117" s="93">
        <f t="shared" si="80"/>
        <v>0</v>
      </c>
      <c r="AF117" s="93">
        <f t="shared" si="80"/>
        <v>0</v>
      </c>
      <c r="AG117" s="61"/>
      <c r="AH117" s="46">
        <f t="shared" si="27"/>
        <v>293.60000000000002</v>
      </c>
      <c r="AI117" s="47">
        <f t="shared" si="28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78"/>
        <v>0</v>
      </c>
      <c r="C118" s="93">
        <f t="shared" si="78"/>
        <v>0</v>
      </c>
      <c r="D118" s="93">
        <f t="shared" ref="D118:E118" si="84">IF(D98&lt;0,D98*-1,0)</f>
        <v>0</v>
      </c>
      <c r="E118" s="93">
        <f t="shared" si="84"/>
        <v>0</v>
      </c>
      <c r="F118" s="93">
        <f t="shared" si="80"/>
        <v>0</v>
      </c>
      <c r="G118" s="93">
        <f t="shared" si="80"/>
        <v>0</v>
      </c>
      <c r="H118" s="93">
        <f t="shared" si="80"/>
        <v>0</v>
      </c>
      <c r="I118" s="93">
        <f t="shared" si="80"/>
        <v>0</v>
      </c>
      <c r="J118" s="93">
        <f t="shared" si="80"/>
        <v>0</v>
      </c>
      <c r="K118" s="93">
        <f t="shared" si="80"/>
        <v>0</v>
      </c>
      <c r="L118" s="93">
        <f t="shared" si="80"/>
        <v>0</v>
      </c>
      <c r="M118" s="93">
        <f t="shared" ref="M118:N118" si="85">IF(M98&lt;0,M98*-1,0)</f>
        <v>0</v>
      </c>
      <c r="N118" s="93">
        <f t="shared" si="85"/>
        <v>0</v>
      </c>
      <c r="O118" s="93">
        <f t="shared" ref="O118" si="86">IF(O98&lt;0,O98*-1,0)</f>
        <v>0</v>
      </c>
      <c r="P118" s="93">
        <f t="shared" si="80"/>
        <v>0</v>
      </c>
      <c r="Q118" s="93">
        <f t="shared" ref="Q118:R118" si="87">IF(Q98&lt;0,Q98*-1,0)</f>
        <v>0</v>
      </c>
      <c r="R118" s="93">
        <f t="shared" si="87"/>
        <v>0</v>
      </c>
      <c r="S118" s="93">
        <f t="shared" si="80"/>
        <v>0</v>
      </c>
      <c r="T118" s="93">
        <f t="shared" si="80"/>
        <v>0</v>
      </c>
      <c r="U118" s="93">
        <f t="shared" si="80"/>
        <v>0</v>
      </c>
      <c r="V118" s="93">
        <f t="shared" si="80"/>
        <v>0</v>
      </c>
      <c r="W118" s="93">
        <f t="shared" si="80"/>
        <v>0</v>
      </c>
      <c r="X118" s="93">
        <f t="shared" si="80"/>
        <v>0</v>
      </c>
      <c r="Y118" s="93">
        <f t="shared" si="80"/>
        <v>0</v>
      </c>
      <c r="Z118" s="93">
        <f t="shared" si="80"/>
        <v>0</v>
      </c>
      <c r="AA118" s="93">
        <f t="shared" si="80"/>
        <v>0</v>
      </c>
      <c r="AB118" s="93">
        <f t="shared" si="80"/>
        <v>0</v>
      </c>
      <c r="AC118" s="93">
        <f t="shared" si="80"/>
        <v>0</v>
      </c>
      <c r="AD118" s="93">
        <f t="shared" si="80"/>
        <v>0</v>
      </c>
      <c r="AE118" s="93">
        <f t="shared" si="80"/>
        <v>0</v>
      </c>
      <c r="AF118" s="93">
        <f t="shared" si="80"/>
        <v>0</v>
      </c>
      <c r="AG118" s="64"/>
      <c r="AH118" s="46">
        <f t="shared" si="27"/>
        <v>0</v>
      </c>
      <c r="AI118" s="47">
        <f t="shared" si="28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78"/>
        <v>0</v>
      </c>
      <c r="C119" s="93">
        <f t="shared" si="78"/>
        <v>0</v>
      </c>
      <c r="D119" s="93">
        <f t="shared" ref="D119:E119" si="88">IF(D99&lt;0,D99*-1,0)</f>
        <v>0</v>
      </c>
      <c r="E119" s="93">
        <f t="shared" si="88"/>
        <v>0</v>
      </c>
      <c r="F119" s="93">
        <f t="shared" si="80"/>
        <v>0</v>
      </c>
      <c r="G119" s="93">
        <f t="shared" si="80"/>
        <v>0</v>
      </c>
      <c r="H119" s="93">
        <f t="shared" si="80"/>
        <v>0</v>
      </c>
      <c r="I119" s="93">
        <f t="shared" si="80"/>
        <v>0</v>
      </c>
      <c r="J119" s="93">
        <f t="shared" si="80"/>
        <v>0</v>
      </c>
      <c r="K119" s="93">
        <f t="shared" si="80"/>
        <v>0</v>
      </c>
      <c r="L119" s="93">
        <f t="shared" si="80"/>
        <v>0</v>
      </c>
      <c r="M119" s="93">
        <f t="shared" ref="M119:N119" si="89">IF(M99&lt;0,M99*-1,0)</f>
        <v>0</v>
      </c>
      <c r="N119" s="93">
        <f t="shared" si="89"/>
        <v>0</v>
      </c>
      <c r="O119" s="93">
        <f t="shared" ref="O119" si="90">IF(O99&lt;0,O99*-1,0)</f>
        <v>0</v>
      </c>
      <c r="P119" s="93">
        <f t="shared" si="80"/>
        <v>0</v>
      </c>
      <c r="Q119" s="93">
        <f t="shared" ref="Q119:R119" si="91">IF(Q99&lt;0,Q99*-1,0)</f>
        <v>0</v>
      </c>
      <c r="R119" s="93">
        <f t="shared" si="91"/>
        <v>0</v>
      </c>
      <c r="S119" s="93">
        <f t="shared" si="80"/>
        <v>0</v>
      </c>
      <c r="T119" s="93">
        <f t="shared" si="80"/>
        <v>0</v>
      </c>
      <c r="U119" s="93">
        <f t="shared" si="80"/>
        <v>0</v>
      </c>
      <c r="V119" s="93">
        <f t="shared" si="80"/>
        <v>0</v>
      </c>
      <c r="W119" s="93">
        <f t="shared" si="80"/>
        <v>0</v>
      </c>
      <c r="X119" s="93">
        <f t="shared" si="80"/>
        <v>0</v>
      </c>
      <c r="Y119" s="93">
        <f t="shared" si="80"/>
        <v>0</v>
      </c>
      <c r="Z119" s="93">
        <f t="shared" si="80"/>
        <v>0</v>
      </c>
      <c r="AA119" s="93">
        <f t="shared" si="80"/>
        <v>0</v>
      </c>
      <c r="AB119" s="93">
        <f t="shared" si="80"/>
        <v>0</v>
      </c>
      <c r="AC119" s="93">
        <f t="shared" si="80"/>
        <v>0</v>
      </c>
      <c r="AD119" s="93">
        <f t="shared" si="80"/>
        <v>0</v>
      </c>
      <c r="AE119" s="93">
        <f t="shared" si="80"/>
        <v>0</v>
      </c>
      <c r="AF119" s="93">
        <f t="shared" si="80"/>
        <v>0</v>
      </c>
      <c r="AG119" s="111"/>
      <c r="AH119" s="46">
        <f t="shared" si="27"/>
        <v>0</v>
      </c>
      <c r="AI119" s="47">
        <f t="shared" si="28"/>
        <v>0</v>
      </c>
    </row>
    <row r="120" spans="1:64">
      <c r="A120" s="96" t="s">
        <v>126</v>
      </c>
      <c r="B120" s="93">
        <f t="shared" si="78"/>
        <v>0</v>
      </c>
      <c r="C120" s="93">
        <f t="shared" si="78"/>
        <v>0</v>
      </c>
      <c r="D120" s="93">
        <f t="shared" ref="D120:E120" si="92">IF(D100&lt;0,D100*-1,0)</f>
        <v>0</v>
      </c>
      <c r="E120" s="93">
        <f t="shared" si="92"/>
        <v>0</v>
      </c>
      <c r="F120" s="93">
        <f t="shared" si="80"/>
        <v>0</v>
      </c>
      <c r="G120" s="93">
        <f t="shared" si="80"/>
        <v>0</v>
      </c>
      <c r="H120" s="93">
        <f t="shared" si="80"/>
        <v>0</v>
      </c>
      <c r="I120" s="93">
        <f t="shared" si="80"/>
        <v>0</v>
      </c>
      <c r="J120" s="93">
        <f t="shared" si="80"/>
        <v>0</v>
      </c>
      <c r="K120" s="93">
        <f t="shared" si="80"/>
        <v>0</v>
      </c>
      <c r="L120" s="93">
        <f t="shared" si="80"/>
        <v>0</v>
      </c>
      <c r="M120" s="93">
        <f t="shared" ref="M120:N120" si="93">IF(M100&lt;0,M100*-1,0)</f>
        <v>0</v>
      </c>
      <c r="N120" s="93">
        <f t="shared" si="93"/>
        <v>0</v>
      </c>
      <c r="O120" s="93">
        <f t="shared" ref="O120" si="94">IF(O100&lt;0,O100*-1,0)</f>
        <v>0</v>
      </c>
      <c r="P120" s="93">
        <f t="shared" si="80"/>
        <v>0</v>
      </c>
      <c r="Q120" s="93">
        <f t="shared" ref="Q120:R120" si="95">IF(Q100&lt;0,Q100*-1,0)</f>
        <v>0</v>
      </c>
      <c r="R120" s="93">
        <f t="shared" si="95"/>
        <v>0</v>
      </c>
      <c r="S120" s="93">
        <f t="shared" si="80"/>
        <v>0</v>
      </c>
      <c r="T120" s="93">
        <f t="shared" si="80"/>
        <v>0</v>
      </c>
      <c r="U120" s="93">
        <f t="shared" si="80"/>
        <v>0</v>
      </c>
      <c r="V120" s="93">
        <f t="shared" si="80"/>
        <v>0</v>
      </c>
      <c r="W120" s="93">
        <f t="shared" si="80"/>
        <v>0</v>
      </c>
      <c r="X120" s="93">
        <f t="shared" si="80"/>
        <v>0</v>
      </c>
      <c r="Y120" s="93">
        <f t="shared" si="80"/>
        <v>0</v>
      </c>
      <c r="Z120" s="93">
        <f t="shared" si="80"/>
        <v>0</v>
      </c>
      <c r="AA120" s="93">
        <f t="shared" si="80"/>
        <v>0</v>
      </c>
      <c r="AB120" s="93">
        <f t="shared" si="80"/>
        <v>0</v>
      </c>
      <c r="AC120" s="93">
        <f t="shared" si="80"/>
        <v>0</v>
      </c>
      <c r="AD120" s="93">
        <f t="shared" si="80"/>
        <v>0</v>
      </c>
      <c r="AE120" s="93">
        <f t="shared" si="80"/>
        <v>0</v>
      </c>
      <c r="AF120" s="93">
        <f t="shared" si="80"/>
        <v>0</v>
      </c>
      <c r="AG120" s="111"/>
      <c r="AH120" s="46">
        <f t="shared" si="27"/>
        <v>0</v>
      </c>
      <c r="AI120" s="47">
        <f t="shared" si="28"/>
        <v>0</v>
      </c>
    </row>
    <row r="121" spans="1:64">
      <c r="A121" s="96" t="s">
        <v>128</v>
      </c>
      <c r="B121" s="93">
        <f t="shared" si="78"/>
        <v>0</v>
      </c>
      <c r="C121" s="93">
        <f t="shared" si="78"/>
        <v>0</v>
      </c>
      <c r="D121" s="93">
        <f t="shared" ref="D121:E121" si="96">IF(D101&lt;0,D101*-1,0)</f>
        <v>0</v>
      </c>
      <c r="E121" s="93">
        <f t="shared" si="96"/>
        <v>0</v>
      </c>
      <c r="F121" s="93">
        <f t="shared" si="80"/>
        <v>0</v>
      </c>
      <c r="G121" s="93">
        <f t="shared" si="80"/>
        <v>0</v>
      </c>
      <c r="H121" s="93">
        <f t="shared" si="80"/>
        <v>0</v>
      </c>
      <c r="I121" s="93">
        <f t="shared" si="80"/>
        <v>0</v>
      </c>
      <c r="J121" s="93">
        <f t="shared" si="80"/>
        <v>0</v>
      </c>
      <c r="K121" s="93">
        <f t="shared" si="80"/>
        <v>0</v>
      </c>
      <c r="L121" s="93">
        <f t="shared" si="80"/>
        <v>0</v>
      </c>
      <c r="M121" s="93">
        <f t="shared" ref="M121:N121" si="97">IF(M101&lt;0,M101*-1,0)</f>
        <v>0</v>
      </c>
      <c r="N121" s="93">
        <f t="shared" si="97"/>
        <v>0</v>
      </c>
      <c r="O121" s="93">
        <f t="shared" ref="O121" si="98">IF(O101&lt;0,O101*-1,0)</f>
        <v>0</v>
      </c>
      <c r="P121" s="93">
        <f t="shared" si="80"/>
        <v>0</v>
      </c>
      <c r="Q121" s="93">
        <f t="shared" ref="Q121:R121" si="99">IF(Q101&lt;0,Q101*-1,0)</f>
        <v>0</v>
      </c>
      <c r="R121" s="93">
        <f t="shared" si="99"/>
        <v>0</v>
      </c>
      <c r="S121" s="93">
        <f t="shared" si="80"/>
        <v>0</v>
      </c>
      <c r="T121" s="93">
        <f t="shared" si="80"/>
        <v>0</v>
      </c>
      <c r="U121" s="93">
        <f t="shared" si="80"/>
        <v>0</v>
      </c>
      <c r="V121" s="93">
        <f t="shared" si="80"/>
        <v>0</v>
      </c>
      <c r="W121" s="93">
        <f t="shared" si="80"/>
        <v>0</v>
      </c>
      <c r="X121" s="93">
        <f t="shared" si="80"/>
        <v>0</v>
      </c>
      <c r="Y121" s="93">
        <f t="shared" si="80"/>
        <v>0</v>
      </c>
      <c r="Z121" s="93">
        <f t="shared" si="80"/>
        <v>0</v>
      </c>
      <c r="AA121" s="93">
        <f t="shared" si="80"/>
        <v>0</v>
      </c>
      <c r="AB121" s="93">
        <f t="shared" si="80"/>
        <v>0</v>
      </c>
      <c r="AC121" s="93">
        <f t="shared" si="80"/>
        <v>0</v>
      </c>
      <c r="AD121" s="93">
        <f t="shared" si="80"/>
        <v>0</v>
      </c>
      <c r="AE121" s="93">
        <f t="shared" si="80"/>
        <v>0</v>
      </c>
      <c r="AF121" s="93">
        <f t="shared" si="80"/>
        <v>0</v>
      </c>
      <c r="AG121" s="111"/>
      <c r="AH121" s="46">
        <f t="shared" si="27"/>
        <v>0</v>
      </c>
      <c r="AI121" s="47">
        <f t="shared" si="28"/>
        <v>0</v>
      </c>
    </row>
    <row r="122" spans="1:64" ht="15.75" thickBot="1">
      <c r="A122" s="96" t="s">
        <v>130</v>
      </c>
      <c r="B122" s="93">
        <f t="shared" si="78"/>
        <v>0</v>
      </c>
      <c r="C122" s="93">
        <f t="shared" si="78"/>
        <v>0</v>
      </c>
      <c r="D122" s="93">
        <f t="shared" ref="D122:E122" si="100">IF(D102&lt;0,D102*-1,0)</f>
        <v>0</v>
      </c>
      <c r="E122" s="93">
        <f t="shared" si="100"/>
        <v>0</v>
      </c>
      <c r="F122" s="93">
        <f t="shared" si="80"/>
        <v>0</v>
      </c>
      <c r="G122" s="93">
        <f t="shared" si="80"/>
        <v>0</v>
      </c>
      <c r="H122" s="93">
        <f t="shared" si="80"/>
        <v>0</v>
      </c>
      <c r="I122" s="93">
        <f t="shared" si="80"/>
        <v>0</v>
      </c>
      <c r="J122" s="93">
        <f t="shared" si="80"/>
        <v>0</v>
      </c>
      <c r="K122" s="93">
        <f t="shared" si="80"/>
        <v>0</v>
      </c>
      <c r="L122" s="93">
        <f t="shared" si="80"/>
        <v>0</v>
      </c>
      <c r="M122" s="93">
        <f t="shared" ref="M122:N122" si="101">IF(M102&lt;0,M102*-1,0)</f>
        <v>0</v>
      </c>
      <c r="N122" s="93">
        <f t="shared" si="101"/>
        <v>0</v>
      </c>
      <c r="O122" s="93">
        <f t="shared" ref="O122" si="102">IF(O102&lt;0,O102*-1,0)</f>
        <v>0</v>
      </c>
      <c r="P122" s="93">
        <f t="shared" si="80"/>
        <v>0</v>
      </c>
      <c r="Q122" s="93">
        <f t="shared" ref="Q122:R122" si="103">IF(Q102&lt;0,Q102*-1,0)</f>
        <v>0</v>
      </c>
      <c r="R122" s="93">
        <f t="shared" si="103"/>
        <v>0</v>
      </c>
      <c r="S122" s="93">
        <f t="shared" si="80"/>
        <v>0</v>
      </c>
      <c r="T122" s="93">
        <f t="shared" si="80"/>
        <v>0</v>
      </c>
      <c r="U122" s="93">
        <f t="shared" si="80"/>
        <v>0</v>
      </c>
      <c r="V122" s="93">
        <f t="shared" si="80"/>
        <v>0</v>
      </c>
      <c r="W122" s="93">
        <f t="shared" si="80"/>
        <v>0</v>
      </c>
      <c r="X122" s="93">
        <f t="shared" si="80"/>
        <v>0</v>
      </c>
      <c r="Y122" s="93">
        <f t="shared" si="80"/>
        <v>0</v>
      </c>
      <c r="Z122" s="93">
        <f t="shared" si="80"/>
        <v>0</v>
      </c>
      <c r="AA122" s="93">
        <f t="shared" si="80"/>
        <v>0</v>
      </c>
      <c r="AB122" s="93">
        <f t="shared" si="80"/>
        <v>0</v>
      </c>
      <c r="AC122" s="93">
        <f t="shared" si="80"/>
        <v>0</v>
      </c>
      <c r="AD122" s="93">
        <f t="shared" si="80"/>
        <v>0</v>
      </c>
      <c r="AE122" s="93">
        <f t="shared" si="80"/>
        <v>0</v>
      </c>
      <c r="AF122" s="93">
        <f t="shared" si="80"/>
        <v>0</v>
      </c>
      <c r="AG122" s="103"/>
      <c r="AH122" s="46">
        <f t="shared" si="27"/>
        <v>0</v>
      </c>
      <c r="AI122" s="47">
        <f t="shared" si="28"/>
        <v>0</v>
      </c>
    </row>
    <row r="123" spans="1:64" ht="15.75" thickBot="1">
      <c r="A123" s="112" t="s">
        <v>145</v>
      </c>
      <c r="B123" s="70">
        <f t="shared" ref="B123:C123" si="104">SUM(B117:B122)</f>
        <v>270</v>
      </c>
      <c r="C123" s="70">
        <f t="shared" si="104"/>
        <v>232.5</v>
      </c>
      <c r="D123" s="70">
        <f t="shared" ref="D123:E123" si="105">SUM(D117:D122)</f>
        <v>135.19999999999999</v>
      </c>
      <c r="E123" s="70">
        <f t="shared" si="105"/>
        <v>170.5</v>
      </c>
      <c r="F123" s="70">
        <f t="shared" ref="F123:AF123" si="106">SUM(F117:F122)</f>
        <v>230</v>
      </c>
      <c r="G123" s="70">
        <f t="shared" si="106"/>
        <v>230</v>
      </c>
      <c r="H123" s="70">
        <f t="shared" si="106"/>
        <v>226</v>
      </c>
      <c r="I123" s="70">
        <f t="shared" si="106"/>
        <v>220</v>
      </c>
      <c r="J123" s="70">
        <f t="shared" si="106"/>
        <v>231.6</v>
      </c>
      <c r="K123" s="70">
        <f t="shared" si="106"/>
        <v>220</v>
      </c>
      <c r="L123" s="70">
        <f t="shared" si="106"/>
        <v>200</v>
      </c>
      <c r="M123" s="70">
        <f t="shared" ref="M123:N123" si="107">SUM(M117:M122)</f>
        <v>245.6</v>
      </c>
      <c r="N123" s="70">
        <f t="shared" si="107"/>
        <v>200</v>
      </c>
      <c r="O123" s="70">
        <f t="shared" ref="O123" si="108">SUM(O117:O122)</f>
        <v>284</v>
      </c>
      <c r="P123" s="70">
        <f t="shared" si="106"/>
        <v>293.60000000000002</v>
      </c>
      <c r="Q123" s="70">
        <f t="shared" ref="Q123:R123" si="109">SUM(Q117:Q122)</f>
        <v>0</v>
      </c>
      <c r="R123" s="70">
        <f t="shared" si="109"/>
        <v>0</v>
      </c>
      <c r="S123" s="70">
        <f t="shared" si="106"/>
        <v>0</v>
      </c>
      <c r="T123" s="70">
        <f t="shared" si="106"/>
        <v>0</v>
      </c>
      <c r="U123" s="70">
        <f t="shared" si="106"/>
        <v>5</v>
      </c>
      <c r="V123" s="70">
        <f t="shared" si="106"/>
        <v>0</v>
      </c>
      <c r="W123" s="70">
        <f t="shared" si="106"/>
        <v>0</v>
      </c>
      <c r="X123" s="70">
        <f t="shared" si="106"/>
        <v>0</v>
      </c>
      <c r="Y123" s="70">
        <f t="shared" si="106"/>
        <v>0</v>
      </c>
      <c r="Z123" s="70">
        <f t="shared" si="106"/>
        <v>0</v>
      </c>
      <c r="AA123" s="70">
        <f t="shared" si="106"/>
        <v>0</v>
      </c>
      <c r="AB123" s="70">
        <f t="shared" si="106"/>
        <v>0</v>
      </c>
      <c r="AC123" s="70">
        <f t="shared" si="106"/>
        <v>0</v>
      </c>
      <c r="AD123" s="70">
        <f t="shared" si="106"/>
        <v>0</v>
      </c>
      <c r="AE123" s="70">
        <f t="shared" si="106"/>
        <v>0</v>
      </c>
      <c r="AF123" s="70">
        <f t="shared" si="106"/>
        <v>0</v>
      </c>
      <c r="AG123" s="104"/>
      <c r="AH123" s="46">
        <f t="shared" si="27"/>
        <v>293.60000000000002</v>
      </c>
      <c r="AI123" s="47">
        <f t="shared" si="28"/>
        <v>0</v>
      </c>
      <c r="AJ123" s="105">
        <f t="array" ref="AJ123">MIN(IF(B123:AF123&lt;&gt;0,B123:AF123))</f>
        <v>5</v>
      </c>
    </row>
    <row r="124" spans="1:64" ht="15.75" thickBot="1">
      <c r="A124" s="87" t="s">
        <v>146</v>
      </c>
      <c r="B124" s="70">
        <f t="shared" ref="B124:C124" si="110">B108-B123</f>
        <v>-147</v>
      </c>
      <c r="C124" s="70">
        <f t="shared" si="110"/>
        <v>-105.3</v>
      </c>
      <c r="D124" s="70">
        <f t="shared" ref="D124:E124" si="111">D108-D123</f>
        <v>-8.9999999999999858</v>
      </c>
      <c r="E124" s="70">
        <f t="shared" si="111"/>
        <v>-45.800000000000011</v>
      </c>
      <c r="F124" s="70">
        <f t="shared" ref="F124:AF124" si="112">F108-F123</f>
        <v>-105.30000000000001</v>
      </c>
      <c r="G124" s="70">
        <f t="shared" si="112"/>
        <v>-59.300000000000011</v>
      </c>
      <c r="H124" s="70">
        <f t="shared" si="112"/>
        <v>-77.759999999999991</v>
      </c>
      <c r="I124" s="70">
        <f t="shared" si="112"/>
        <v>-49.759999999999991</v>
      </c>
      <c r="J124" s="70">
        <f t="shared" si="112"/>
        <v>-61.359999999999985</v>
      </c>
      <c r="K124" s="70">
        <f t="shared" si="112"/>
        <v>-42.400000000000006</v>
      </c>
      <c r="L124" s="70">
        <f t="shared" si="112"/>
        <v>-22.400000000000006</v>
      </c>
      <c r="M124" s="70">
        <f t="shared" ref="M124:N124" si="113">M108-M123</f>
        <v>-83.4</v>
      </c>
      <c r="N124" s="70">
        <f t="shared" si="113"/>
        <v>-24.099999999999994</v>
      </c>
      <c r="O124" s="70">
        <f t="shared" ref="O124" si="114">O108-O123</f>
        <v>-103.5</v>
      </c>
      <c r="P124" s="70">
        <f t="shared" si="112"/>
        <v>-98.500000000000057</v>
      </c>
      <c r="Q124" s="70">
        <f t="shared" ref="Q124:R124" si="115">Q108-Q123</f>
        <v>420.19999999999993</v>
      </c>
      <c r="R124" s="70">
        <f t="shared" si="115"/>
        <v>283.89999999999998</v>
      </c>
      <c r="S124" s="70">
        <f t="shared" si="112"/>
        <v>355.6</v>
      </c>
      <c r="T124" s="70">
        <f t="shared" si="112"/>
        <v>330.39</v>
      </c>
      <c r="U124" s="70">
        <f t="shared" si="112"/>
        <v>194.5</v>
      </c>
      <c r="V124" s="70">
        <f t="shared" si="112"/>
        <v>0</v>
      </c>
      <c r="W124" s="70">
        <f t="shared" si="112"/>
        <v>0</v>
      </c>
      <c r="X124" s="70">
        <f t="shared" si="112"/>
        <v>0</v>
      </c>
      <c r="Y124" s="70">
        <f t="shared" si="112"/>
        <v>0</v>
      </c>
      <c r="Z124" s="70">
        <f t="shared" si="112"/>
        <v>0</v>
      </c>
      <c r="AA124" s="70">
        <f t="shared" si="112"/>
        <v>0</v>
      </c>
      <c r="AB124" s="70">
        <f t="shared" si="112"/>
        <v>0</v>
      </c>
      <c r="AC124" s="70">
        <f t="shared" si="112"/>
        <v>0</v>
      </c>
      <c r="AD124" s="70">
        <f t="shared" si="112"/>
        <v>0</v>
      </c>
      <c r="AE124" s="70">
        <f t="shared" si="112"/>
        <v>0</v>
      </c>
      <c r="AF124" s="70">
        <f t="shared" si="112"/>
        <v>0</v>
      </c>
      <c r="AG124" s="104"/>
      <c r="AH124" s="46">
        <f t="shared" si="27"/>
        <v>420.19999999999993</v>
      </c>
      <c r="AI124" s="47">
        <f t="shared" si="28"/>
        <v>-147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7"/>
        <v>0</v>
      </c>
      <c r="AI125" s="47">
        <f t="shared" si="28"/>
        <v>0</v>
      </c>
    </row>
    <row r="126" spans="1:64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7"/>
        <v>50.15</v>
      </c>
      <c r="AI126" s="47">
        <f t="shared" si="28"/>
        <v>49.915999999999997</v>
      </c>
    </row>
    <row r="127" spans="1:64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7"/>
        <v>134.4</v>
      </c>
      <c r="AI127" s="47">
        <f t="shared" si="28"/>
        <v>128.5</v>
      </c>
    </row>
    <row r="128" spans="1:64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7"/>
        <v>133.30000000000001</v>
      </c>
      <c r="AI128" s="47">
        <f t="shared" si="28"/>
        <v>128.30000000000001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7"/>
        <v>0</v>
      </c>
      <c r="AI129" s="47">
        <f t="shared" si="28"/>
        <v>0</v>
      </c>
    </row>
    <row r="130" spans="1:3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7"/>
        <v>135.5</v>
      </c>
      <c r="AI130" s="47">
        <f t="shared" si="28"/>
        <v>131.4</v>
      </c>
    </row>
    <row r="131" spans="1:3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7"/>
        <v>137.30000000000001</v>
      </c>
      <c r="AI131" s="47">
        <f t="shared" si="28"/>
        <v>130.88</v>
      </c>
    </row>
    <row r="132" spans="1:3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7"/>
        <v>136.1</v>
      </c>
      <c r="AI132" s="47">
        <f t="shared" si="28"/>
        <v>126.1</v>
      </c>
    </row>
    <row r="133" spans="1:35" ht="15.75" thickBot="1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7"/>
        <v>67.2</v>
      </c>
      <c r="AI133" s="47">
        <f t="shared" si="28"/>
        <v>65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7"/>
        <v>0</v>
      </c>
      <c r="AI134" s="47">
        <f t="shared" si="28"/>
        <v>0</v>
      </c>
    </row>
    <row r="135" spans="1:35" ht="15.75" thickBot="1">
      <c r="A135" s="126" t="s">
        <v>157</v>
      </c>
      <c r="B135" s="114">
        <f t="shared" ref="B135:C135" si="116">SUM(B26,B32,B45:B46,B82,B84:B85,B87,B89,B137:B142,B177,B183,B189,B198,B200,B212,B219,B222:B223,B230,B232,B234,B238:B240,B242:B244,B249,B255:B256,B258:B260,B161,B166)</f>
        <v>319.04000000000002</v>
      </c>
      <c r="C135" s="114">
        <f t="shared" si="116"/>
        <v>114.24000000000004</v>
      </c>
      <c r="D135" s="114">
        <f t="shared" ref="D135:E135" si="117">SUM(D26,D32,D45:D46,D82,D84:D85,D87,D89,D137:D142,D177,D183,D189,D198,D200,D212,D219,D222:D223,D230,D232,D234,D238:D240,D242:D244,D249,D255:D256,D258:D260,D161,D166)</f>
        <v>122.44</v>
      </c>
      <c r="E135" s="114">
        <f t="shared" si="117"/>
        <v>120.64000000000004</v>
      </c>
      <c r="F135" s="114">
        <f t="shared" ref="F135:O135" si="118">SUM(F26,F32,F45:F46,F82,F84:F85,F87,F89,F137:F142,F177,F183,F189,F198,F200,F212,F219,F222:F223,F230,F232,F234,F238:F240,F242:F244,F249,F255:F256,F258:F260,F161,F166)</f>
        <v>120.64000000000004</v>
      </c>
      <c r="G135" s="114">
        <f t="shared" si="118"/>
        <v>120.64000000000004</v>
      </c>
      <c r="H135" s="114">
        <f t="shared" si="118"/>
        <v>208.24</v>
      </c>
      <c r="I135" s="114">
        <f t="shared" si="118"/>
        <v>240.34000000000003</v>
      </c>
      <c r="J135" s="114">
        <f t="shared" si="118"/>
        <v>269.24</v>
      </c>
      <c r="K135" s="114">
        <f t="shared" si="118"/>
        <v>206.44000000000003</v>
      </c>
      <c r="L135" s="114">
        <f t="shared" si="118"/>
        <v>305.04000000000002</v>
      </c>
      <c r="M135" s="114">
        <f t="shared" ref="M135:N135" si="119">SUM(M26,M32,M45:M46,M82,M84:M85,M87,M89,M137:M142,M177,M183,M189,M198,M200,M212,M219,M222:M223,M230,M232,M234,M238:M240,M242:M244,M249,M255:M256,M258:M260,M161,M166)</f>
        <v>302.84000000000003</v>
      </c>
      <c r="N135" s="114">
        <f t="shared" si="119"/>
        <v>309.61</v>
      </c>
      <c r="O135" s="114">
        <f t="shared" ref="O135" si="120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Q135:X135" si="121">SUM(S26,S32,S45:S46,S82,S84:S85,S87,S89,S137:S142,S177,S183,S189,S198,S200,S212,S219,S222:S223,S230,S232,S234,S238:S240,S242:S244,S249,S255:S256,S258:S260,S161,S166)</f>
        <v>293.74</v>
      </c>
      <c r="T135" s="114">
        <f t="shared" si="121"/>
        <v>251.83999999999997</v>
      </c>
      <c r="U135" s="114">
        <f t="shared" si="121"/>
        <v>213.73999999999998</v>
      </c>
      <c r="V135" s="114">
        <f t="shared" si="121"/>
        <v>0.94</v>
      </c>
      <c r="W135" s="114">
        <f t="shared" si="121"/>
        <v>0.94</v>
      </c>
      <c r="X135" s="114">
        <f t="shared" si="121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122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122"/>
        <v>0.94</v>
      </c>
      <c r="AC135" s="114">
        <f t="shared" si="122"/>
        <v>0.94</v>
      </c>
      <c r="AD135" s="114">
        <f t="shared" si="122"/>
        <v>0.94</v>
      </c>
      <c r="AE135" s="114">
        <f t="shared" si="122"/>
        <v>0.94</v>
      </c>
      <c r="AF135" s="114">
        <f t="shared" si="122"/>
        <v>0.94</v>
      </c>
      <c r="AG135" s="127"/>
      <c r="AH135" s="46">
        <f t="shared" si="27"/>
        <v>319.04000000000002</v>
      </c>
      <c r="AI135" s="47">
        <f t="shared" si="28"/>
        <v>0</v>
      </c>
    </row>
    <row r="136" spans="1:35" ht="15.75" thickBot="1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7"/>
        <v>0</v>
      </c>
      <c r="AI136" s="47">
        <f t="shared" si="28"/>
        <v>0</v>
      </c>
    </row>
    <row r="137" spans="1:3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7"/>
        <v>68</v>
      </c>
      <c r="AI137" s="47">
        <f t="shared" si="28"/>
        <v>2.2000000000000002</v>
      </c>
    </row>
    <row r="138" spans="1:3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7"/>
        <v>90.1</v>
      </c>
      <c r="AI138" s="47">
        <f t="shared" si="28"/>
        <v>14.2</v>
      </c>
    </row>
    <row r="139" spans="1:3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 t="shared" ref="AH139:AH145" si="123">MAX(B139:AF139)</f>
        <v>-43</v>
      </c>
      <c r="AI139" s="47">
        <f t="shared" ref="AI139:AI145" si="124">MIN(B139:AF139)</f>
        <v>-78</v>
      </c>
    </row>
    <row r="140" spans="1:3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 t="shared" si="123"/>
        <v>87.8</v>
      </c>
      <c r="AI140" s="47">
        <f t="shared" si="124"/>
        <v>41.6</v>
      </c>
    </row>
    <row r="141" spans="1:3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 t="shared" si="123"/>
        <v>38.9</v>
      </c>
      <c r="AI141" s="47">
        <f t="shared" si="124"/>
        <v>-1.7</v>
      </c>
    </row>
    <row r="142" spans="1:3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 t="shared" si="123"/>
        <v>58</v>
      </c>
      <c r="AI142" s="47">
        <f t="shared" si="124"/>
        <v>-94.9</v>
      </c>
    </row>
    <row r="143" spans="1:3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 t="shared" si="123"/>
        <v>138</v>
      </c>
      <c r="AI143" s="47">
        <f t="shared" si="124"/>
        <v>0</v>
      </c>
    </row>
    <row r="144" spans="1:3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>
        <f t="shared" si="123"/>
        <v>17</v>
      </c>
      <c r="AI144" s="47">
        <f t="shared" si="124"/>
        <v>-50</v>
      </c>
    </row>
    <row r="145" spans="1:38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>
        <f t="shared" si="123"/>
        <v>42</v>
      </c>
      <c r="AI145" s="47">
        <f t="shared" si="124"/>
        <v>-32</v>
      </c>
    </row>
    <row r="146" spans="1:38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125">MAX(B146:AF146)</f>
        <v>-55</v>
      </c>
      <c r="AI146" s="47">
        <f t="shared" ref="AI146:AI158" si="126">MIN(B146:AF146)</f>
        <v>-274</v>
      </c>
    </row>
    <row r="147" spans="1:38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125"/>
        <v>49.2</v>
      </c>
      <c r="AI147" s="47">
        <f t="shared" si="126"/>
        <v>-42</v>
      </c>
    </row>
    <row r="148" spans="1:38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25"/>
        <v>-3</v>
      </c>
      <c r="AI148" s="47">
        <f t="shared" si="126"/>
        <v>-11.1</v>
      </c>
    </row>
    <row r="149" spans="1:38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125"/>
        <v>209.5</v>
      </c>
      <c r="AI149" s="47">
        <f t="shared" si="126"/>
        <v>97</v>
      </c>
    </row>
    <row r="150" spans="1:38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125"/>
        <v>30.8</v>
      </c>
      <c r="AI150" s="47">
        <f t="shared" si="126"/>
        <v>27</v>
      </c>
    </row>
    <row r="151" spans="1:38" ht="15.75" thickBot="1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125"/>
        <v>24.47</v>
      </c>
      <c r="AI151" s="47">
        <f t="shared" si="126"/>
        <v>9.1</v>
      </c>
    </row>
    <row r="152" spans="1:38" ht="15.75" thickBot="1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25"/>
        <v>0</v>
      </c>
      <c r="AI152" s="47">
        <f t="shared" si="126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25"/>
        <v>1984.05</v>
      </c>
      <c r="AI153" s="47">
        <f t="shared" si="126"/>
        <v>1984.05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25"/>
        <v>523.91999999999996</v>
      </c>
      <c r="AI154" s="47">
        <f t="shared" si="126"/>
        <v>523.91999999999996</v>
      </c>
      <c r="AK154" s="190">
        <v>23.77</v>
      </c>
    </row>
    <row r="155" spans="1:38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25"/>
        <v>325.31</v>
      </c>
      <c r="AI155" s="47">
        <f t="shared" si="126"/>
        <v>325.31</v>
      </c>
      <c r="AK155" s="190"/>
    </row>
    <row r="156" spans="1:38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25"/>
        <v>0</v>
      </c>
      <c r="AI156" s="47">
        <f t="shared" si="126"/>
        <v>0</v>
      </c>
      <c r="AK156" s="190"/>
    </row>
    <row r="157" spans="1:38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25"/>
        <v>0</v>
      </c>
      <c r="AI157" s="47">
        <f t="shared" si="126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25"/>
        <v>0</v>
      </c>
      <c r="AI158" s="47">
        <f t="shared" si="126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27">E161</f>
        <v>0.3</v>
      </c>
      <c r="G161" s="159">
        <f t="shared" si="127"/>
        <v>0.3</v>
      </c>
      <c r="H161" s="159">
        <f t="shared" si="127"/>
        <v>0.3</v>
      </c>
      <c r="I161" s="159">
        <f t="shared" si="127"/>
        <v>0.3</v>
      </c>
      <c r="J161" s="159">
        <f t="shared" si="127"/>
        <v>0.3</v>
      </c>
      <c r="K161" s="159">
        <f t="shared" si="127"/>
        <v>0.3</v>
      </c>
      <c r="L161" s="159">
        <f t="shared" si="127"/>
        <v>0.3</v>
      </c>
      <c r="M161" s="159">
        <f t="shared" si="127"/>
        <v>0.3</v>
      </c>
      <c r="N161" s="159">
        <f t="shared" si="127"/>
        <v>0.3</v>
      </c>
      <c r="O161" s="159">
        <f t="shared" si="127"/>
        <v>0.3</v>
      </c>
      <c r="P161" s="159">
        <f t="shared" si="127"/>
        <v>0.3</v>
      </c>
      <c r="Q161" s="159">
        <f t="shared" si="127"/>
        <v>0.3</v>
      </c>
      <c r="R161" s="159">
        <f t="shared" si="127"/>
        <v>0.3</v>
      </c>
      <c r="S161" s="159">
        <f t="shared" ref="S161:AF166" si="128">R161</f>
        <v>0.3</v>
      </c>
      <c r="T161" s="159">
        <f t="shared" si="128"/>
        <v>0.3</v>
      </c>
      <c r="U161" s="159">
        <f t="shared" si="128"/>
        <v>0.3</v>
      </c>
      <c r="V161" s="159">
        <f t="shared" si="128"/>
        <v>0.3</v>
      </c>
      <c r="W161" s="159">
        <f t="shared" si="128"/>
        <v>0.3</v>
      </c>
      <c r="X161" s="159">
        <f t="shared" si="128"/>
        <v>0.3</v>
      </c>
      <c r="Y161" s="159">
        <f t="shared" si="128"/>
        <v>0.3</v>
      </c>
      <c r="Z161" s="159">
        <f t="shared" si="128"/>
        <v>0.3</v>
      </c>
      <c r="AA161" s="159">
        <f t="shared" si="128"/>
        <v>0.3</v>
      </c>
      <c r="AB161" s="159">
        <f t="shared" si="128"/>
        <v>0.3</v>
      </c>
      <c r="AC161" s="159">
        <f t="shared" si="128"/>
        <v>0.3</v>
      </c>
      <c r="AD161" s="159">
        <f t="shared" si="128"/>
        <v>0.3</v>
      </c>
      <c r="AE161" s="159">
        <f t="shared" si="128"/>
        <v>0.3</v>
      </c>
      <c r="AF161" s="159">
        <f t="shared" si="128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27"/>
        <v>0.4</v>
      </c>
      <c r="G162" s="161">
        <f t="shared" si="127"/>
        <v>0.4</v>
      </c>
      <c r="H162" s="161">
        <f t="shared" si="127"/>
        <v>0.4</v>
      </c>
      <c r="I162" s="161">
        <f t="shared" si="127"/>
        <v>0.4</v>
      </c>
      <c r="J162" s="161">
        <f t="shared" si="127"/>
        <v>0.4</v>
      </c>
      <c r="K162" s="161">
        <f t="shared" si="127"/>
        <v>0.4</v>
      </c>
      <c r="L162" s="161">
        <f t="shared" si="127"/>
        <v>0.4</v>
      </c>
      <c r="M162" s="161">
        <f t="shared" si="127"/>
        <v>0.4</v>
      </c>
      <c r="N162" s="161">
        <f t="shared" si="127"/>
        <v>0.4</v>
      </c>
      <c r="O162" s="161">
        <f t="shared" si="127"/>
        <v>0.4</v>
      </c>
      <c r="P162" s="161">
        <f t="shared" si="127"/>
        <v>0.4</v>
      </c>
      <c r="Q162" s="161">
        <f t="shared" si="127"/>
        <v>0.4</v>
      </c>
      <c r="R162" s="161">
        <f t="shared" si="127"/>
        <v>0.4</v>
      </c>
      <c r="S162" s="161">
        <f t="shared" si="128"/>
        <v>0.4</v>
      </c>
      <c r="T162" s="161">
        <f t="shared" si="128"/>
        <v>0.4</v>
      </c>
      <c r="U162" s="161">
        <f t="shared" si="128"/>
        <v>0.4</v>
      </c>
      <c r="V162" s="161">
        <f t="shared" si="128"/>
        <v>0.4</v>
      </c>
      <c r="W162" s="161">
        <f t="shared" si="128"/>
        <v>0.4</v>
      </c>
      <c r="X162" s="161">
        <f t="shared" si="128"/>
        <v>0.4</v>
      </c>
      <c r="Y162" s="161">
        <f t="shared" si="128"/>
        <v>0.4</v>
      </c>
      <c r="Z162" s="161">
        <f t="shared" si="128"/>
        <v>0.4</v>
      </c>
      <c r="AA162" s="161">
        <f t="shared" si="128"/>
        <v>0.4</v>
      </c>
      <c r="AB162" s="161">
        <f t="shared" si="128"/>
        <v>0.4</v>
      </c>
      <c r="AC162" s="161">
        <f t="shared" si="128"/>
        <v>0.4</v>
      </c>
      <c r="AD162" s="161">
        <f t="shared" si="128"/>
        <v>0.4</v>
      </c>
      <c r="AE162" s="161">
        <f t="shared" si="128"/>
        <v>0.4</v>
      </c>
      <c r="AF162" s="161">
        <f t="shared" si="128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27"/>
        <v>1.5</v>
      </c>
      <c r="G163" s="161">
        <f t="shared" si="127"/>
        <v>1.5</v>
      </c>
      <c r="H163" s="161">
        <f t="shared" si="127"/>
        <v>1.5</v>
      </c>
      <c r="I163" s="161">
        <f t="shared" si="127"/>
        <v>1.5</v>
      </c>
      <c r="J163" s="161">
        <f t="shared" si="127"/>
        <v>1.5</v>
      </c>
      <c r="K163" s="161">
        <f t="shared" si="127"/>
        <v>1.5</v>
      </c>
      <c r="L163" s="161">
        <f t="shared" si="127"/>
        <v>1.5</v>
      </c>
      <c r="M163" s="161">
        <f t="shared" si="127"/>
        <v>1.5</v>
      </c>
      <c r="N163" s="161">
        <f t="shared" si="127"/>
        <v>1.5</v>
      </c>
      <c r="O163" s="161">
        <f t="shared" si="127"/>
        <v>1.5</v>
      </c>
      <c r="P163" s="161">
        <f t="shared" si="127"/>
        <v>1.5</v>
      </c>
      <c r="Q163" s="161">
        <f t="shared" si="127"/>
        <v>1.5</v>
      </c>
      <c r="R163" s="161">
        <f t="shared" si="127"/>
        <v>1.5</v>
      </c>
      <c r="S163" s="161">
        <f t="shared" si="128"/>
        <v>1.5</v>
      </c>
      <c r="T163" s="161">
        <f t="shared" si="128"/>
        <v>1.5</v>
      </c>
      <c r="U163" s="161">
        <f t="shared" si="128"/>
        <v>1.5</v>
      </c>
      <c r="V163" s="161">
        <f t="shared" si="128"/>
        <v>1.5</v>
      </c>
      <c r="W163" s="161">
        <f t="shared" si="128"/>
        <v>1.5</v>
      </c>
      <c r="X163" s="161">
        <f t="shared" si="128"/>
        <v>1.5</v>
      </c>
      <c r="Y163" s="161">
        <f t="shared" si="128"/>
        <v>1.5</v>
      </c>
      <c r="Z163" s="161">
        <f t="shared" si="128"/>
        <v>1.5</v>
      </c>
      <c r="AA163" s="161">
        <f t="shared" si="128"/>
        <v>1.5</v>
      </c>
      <c r="AB163" s="161">
        <f t="shared" si="128"/>
        <v>1.5</v>
      </c>
      <c r="AC163" s="161">
        <f t="shared" si="128"/>
        <v>1.5</v>
      </c>
      <c r="AD163" s="161">
        <f t="shared" si="128"/>
        <v>1.5</v>
      </c>
      <c r="AE163" s="161">
        <f t="shared" si="128"/>
        <v>1.5</v>
      </c>
      <c r="AF163" s="161">
        <f t="shared" si="128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27"/>
        <v>0.3</v>
      </c>
      <c r="G164" s="161">
        <f t="shared" si="127"/>
        <v>0.3</v>
      </c>
      <c r="H164" s="161">
        <f t="shared" si="127"/>
        <v>0.3</v>
      </c>
      <c r="I164" s="161">
        <f t="shared" si="127"/>
        <v>0.3</v>
      </c>
      <c r="J164" s="161">
        <f t="shared" si="127"/>
        <v>0.3</v>
      </c>
      <c r="K164" s="161">
        <f t="shared" si="127"/>
        <v>0.3</v>
      </c>
      <c r="L164" s="161">
        <f t="shared" si="127"/>
        <v>0.3</v>
      </c>
      <c r="M164" s="161">
        <f t="shared" si="127"/>
        <v>0.3</v>
      </c>
      <c r="N164" s="161">
        <f t="shared" si="127"/>
        <v>0.3</v>
      </c>
      <c r="O164" s="161">
        <f t="shared" si="127"/>
        <v>0.3</v>
      </c>
      <c r="P164" s="161">
        <f t="shared" si="127"/>
        <v>0.3</v>
      </c>
      <c r="Q164" s="161">
        <f t="shared" si="127"/>
        <v>0.3</v>
      </c>
      <c r="R164" s="161">
        <f t="shared" si="127"/>
        <v>0.3</v>
      </c>
      <c r="S164" s="161">
        <f t="shared" si="128"/>
        <v>0.3</v>
      </c>
      <c r="T164" s="161">
        <f t="shared" si="128"/>
        <v>0.3</v>
      </c>
      <c r="U164" s="161">
        <f t="shared" si="128"/>
        <v>0.3</v>
      </c>
      <c r="V164" s="161">
        <f t="shared" si="128"/>
        <v>0.3</v>
      </c>
      <c r="W164" s="161">
        <f t="shared" si="128"/>
        <v>0.3</v>
      </c>
      <c r="X164" s="161">
        <f t="shared" si="128"/>
        <v>0.3</v>
      </c>
      <c r="Y164" s="161">
        <f t="shared" si="128"/>
        <v>0.3</v>
      </c>
      <c r="Z164" s="161">
        <f t="shared" si="128"/>
        <v>0.3</v>
      </c>
      <c r="AA164" s="161">
        <f t="shared" si="128"/>
        <v>0.3</v>
      </c>
      <c r="AB164" s="161">
        <f t="shared" si="128"/>
        <v>0.3</v>
      </c>
      <c r="AC164" s="161">
        <f t="shared" si="128"/>
        <v>0.3</v>
      </c>
      <c r="AD164" s="161">
        <f t="shared" si="128"/>
        <v>0.3</v>
      </c>
      <c r="AE164" s="161">
        <f t="shared" si="128"/>
        <v>0.3</v>
      </c>
      <c r="AF164" s="161">
        <f t="shared" si="128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27"/>
        <v>0.4</v>
      </c>
      <c r="G165" s="161">
        <f t="shared" si="127"/>
        <v>0.4</v>
      </c>
      <c r="H165" s="161">
        <f t="shared" si="127"/>
        <v>0.4</v>
      </c>
      <c r="I165" s="161">
        <f t="shared" si="127"/>
        <v>0.4</v>
      </c>
      <c r="J165" s="161">
        <f t="shared" si="127"/>
        <v>0.4</v>
      </c>
      <c r="K165" s="161">
        <f t="shared" si="127"/>
        <v>0.4</v>
      </c>
      <c r="L165" s="161">
        <f t="shared" si="127"/>
        <v>0.4</v>
      </c>
      <c r="M165" s="161">
        <f t="shared" si="127"/>
        <v>0.4</v>
      </c>
      <c r="N165" s="161">
        <f t="shared" si="127"/>
        <v>0.4</v>
      </c>
      <c r="O165" s="161">
        <f t="shared" si="127"/>
        <v>0.4</v>
      </c>
      <c r="P165" s="161">
        <f t="shared" si="127"/>
        <v>0.4</v>
      </c>
      <c r="Q165" s="161">
        <f t="shared" si="127"/>
        <v>0.4</v>
      </c>
      <c r="R165" s="161">
        <f t="shared" si="127"/>
        <v>0.4</v>
      </c>
      <c r="S165" s="161">
        <f t="shared" si="128"/>
        <v>0.4</v>
      </c>
      <c r="T165" s="161">
        <f t="shared" si="128"/>
        <v>0.4</v>
      </c>
      <c r="U165" s="161">
        <f t="shared" si="128"/>
        <v>0.4</v>
      </c>
      <c r="V165" s="161">
        <f t="shared" si="128"/>
        <v>0.4</v>
      </c>
      <c r="W165" s="161">
        <f t="shared" si="128"/>
        <v>0.4</v>
      </c>
      <c r="X165" s="161">
        <f t="shared" si="128"/>
        <v>0.4</v>
      </c>
      <c r="Y165" s="161">
        <f t="shared" si="128"/>
        <v>0.4</v>
      </c>
      <c r="Z165" s="161">
        <f t="shared" si="128"/>
        <v>0.4</v>
      </c>
      <c r="AA165" s="161">
        <f t="shared" si="128"/>
        <v>0.4</v>
      </c>
      <c r="AB165" s="161">
        <f t="shared" si="128"/>
        <v>0.4</v>
      </c>
      <c r="AC165" s="161">
        <f t="shared" si="128"/>
        <v>0.4</v>
      </c>
      <c r="AD165" s="161">
        <f t="shared" si="128"/>
        <v>0.4</v>
      </c>
      <c r="AE165" s="161">
        <f t="shared" si="128"/>
        <v>0.4</v>
      </c>
      <c r="AF165" s="161">
        <f t="shared" si="128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27"/>
        <v>0.64</v>
      </c>
      <c r="G166" s="164">
        <f t="shared" si="127"/>
        <v>0.64</v>
      </c>
      <c r="H166" s="164">
        <f t="shared" si="127"/>
        <v>0.64</v>
      </c>
      <c r="I166" s="164">
        <f t="shared" si="127"/>
        <v>0.64</v>
      </c>
      <c r="J166" s="164">
        <f t="shared" si="127"/>
        <v>0.64</v>
      </c>
      <c r="K166" s="164">
        <f t="shared" si="127"/>
        <v>0.64</v>
      </c>
      <c r="L166" s="164">
        <f t="shared" si="127"/>
        <v>0.64</v>
      </c>
      <c r="M166" s="164">
        <f t="shared" si="127"/>
        <v>0.64</v>
      </c>
      <c r="N166" s="164">
        <f t="shared" si="127"/>
        <v>0.64</v>
      </c>
      <c r="O166" s="164">
        <f t="shared" si="127"/>
        <v>0.64</v>
      </c>
      <c r="P166" s="164">
        <f t="shared" si="127"/>
        <v>0.64</v>
      </c>
      <c r="Q166" s="164">
        <f t="shared" si="127"/>
        <v>0.64</v>
      </c>
      <c r="R166" s="164">
        <f t="shared" si="127"/>
        <v>0.64</v>
      </c>
      <c r="S166" s="164">
        <f t="shared" si="128"/>
        <v>0.64</v>
      </c>
      <c r="T166" s="164">
        <f t="shared" si="128"/>
        <v>0.64</v>
      </c>
      <c r="U166" s="164">
        <f t="shared" si="128"/>
        <v>0.64</v>
      </c>
      <c r="V166" s="164">
        <f t="shared" si="128"/>
        <v>0.64</v>
      </c>
      <c r="W166" s="164">
        <f t="shared" si="128"/>
        <v>0.64</v>
      </c>
      <c r="X166" s="164">
        <f t="shared" si="128"/>
        <v>0.64</v>
      </c>
      <c r="Y166" s="164">
        <f t="shared" si="128"/>
        <v>0.64</v>
      </c>
      <c r="Z166" s="164">
        <f t="shared" si="128"/>
        <v>0.64</v>
      </c>
      <c r="AA166" s="164">
        <f t="shared" si="128"/>
        <v>0.64</v>
      </c>
      <c r="AB166" s="164">
        <f t="shared" si="128"/>
        <v>0.64</v>
      </c>
      <c r="AC166" s="164">
        <f t="shared" si="128"/>
        <v>0.64</v>
      </c>
      <c r="AD166" s="164">
        <f t="shared" si="128"/>
        <v>0.64</v>
      </c>
      <c r="AE166" s="164">
        <f t="shared" si="128"/>
        <v>0.64</v>
      </c>
      <c r="AF166" s="164">
        <f t="shared" si="128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29">SUM(F161:F166)</f>
        <v>3.54</v>
      </c>
      <c r="G167" s="167">
        <f t="shared" si="129"/>
        <v>3.54</v>
      </c>
      <c r="H167" s="167">
        <f t="shared" si="129"/>
        <v>3.54</v>
      </c>
      <c r="I167" s="167">
        <f t="shared" si="129"/>
        <v>3.54</v>
      </c>
      <c r="J167" s="167">
        <f t="shared" si="129"/>
        <v>3.54</v>
      </c>
      <c r="K167" s="167">
        <f t="shared" si="129"/>
        <v>3.54</v>
      </c>
      <c r="L167" s="167">
        <f t="shared" si="129"/>
        <v>3.54</v>
      </c>
      <c r="M167" s="167">
        <f t="shared" si="129"/>
        <v>3.54</v>
      </c>
      <c r="N167" s="167">
        <f t="shared" si="129"/>
        <v>3.54</v>
      </c>
      <c r="O167" s="167">
        <f t="shared" si="129"/>
        <v>3.54</v>
      </c>
      <c r="P167" s="167">
        <f t="shared" si="129"/>
        <v>3.54</v>
      </c>
      <c r="Q167" s="167">
        <f t="shared" si="129"/>
        <v>3.54</v>
      </c>
      <c r="R167" s="167">
        <f t="shared" si="129"/>
        <v>3.54</v>
      </c>
      <c r="S167" s="167">
        <f t="shared" si="129"/>
        <v>3.54</v>
      </c>
      <c r="T167" s="167">
        <f t="shared" si="129"/>
        <v>3.54</v>
      </c>
      <c r="U167" s="167">
        <f t="shared" si="129"/>
        <v>3.54</v>
      </c>
      <c r="V167" s="167">
        <f t="shared" si="129"/>
        <v>3.54</v>
      </c>
      <c r="W167" s="167">
        <f t="shared" si="129"/>
        <v>3.54</v>
      </c>
      <c r="X167" s="167">
        <f t="shared" si="129"/>
        <v>3.54</v>
      </c>
      <c r="Y167" s="167">
        <f t="shared" si="129"/>
        <v>3.54</v>
      </c>
      <c r="Z167" s="167">
        <f t="shared" si="129"/>
        <v>3.54</v>
      </c>
      <c r="AA167" s="167">
        <f t="shared" si="129"/>
        <v>3.54</v>
      </c>
      <c r="AB167" s="167">
        <f t="shared" si="129"/>
        <v>3.54</v>
      </c>
      <c r="AC167" s="167">
        <f t="shared" si="129"/>
        <v>3.54</v>
      </c>
      <c r="AD167" s="167">
        <f t="shared" si="129"/>
        <v>3.54</v>
      </c>
      <c r="AE167" s="167">
        <f t="shared" si="129"/>
        <v>3.54</v>
      </c>
      <c r="AF167" s="167">
        <f t="shared" si="129"/>
        <v>3.54</v>
      </c>
      <c r="AG167" s="168">
        <f t="shared" si="129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30">E169</f>
        <v>0</v>
      </c>
      <c r="G169" s="159">
        <f t="shared" si="130"/>
        <v>0</v>
      </c>
      <c r="H169" s="159">
        <f t="shared" si="130"/>
        <v>0</v>
      </c>
      <c r="I169" s="159">
        <f t="shared" si="130"/>
        <v>0</v>
      </c>
      <c r="J169" s="159">
        <f t="shared" si="130"/>
        <v>0</v>
      </c>
      <c r="K169" s="159">
        <f t="shared" si="130"/>
        <v>0</v>
      </c>
      <c r="L169" s="159">
        <f t="shared" si="130"/>
        <v>0</v>
      </c>
      <c r="M169" s="159">
        <f t="shared" si="130"/>
        <v>0</v>
      </c>
      <c r="N169" s="159">
        <f t="shared" si="130"/>
        <v>0</v>
      </c>
      <c r="O169" s="159">
        <f t="shared" si="130"/>
        <v>0</v>
      </c>
      <c r="P169" s="159">
        <f t="shared" si="130"/>
        <v>0</v>
      </c>
      <c r="Q169" s="159">
        <f t="shared" si="130"/>
        <v>0</v>
      </c>
      <c r="R169" s="159">
        <f t="shared" si="130"/>
        <v>0</v>
      </c>
      <c r="S169" s="159">
        <f t="shared" ref="S169:AF184" si="131">R169</f>
        <v>0</v>
      </c>
      <c r="T169" s="159">
        <f t="shared" si="131"/>
        <v>0</v>
      </c>
      <c r="U169" s="159">
        <f t="shared" si="131"/>
        <v>0</v>
      </c>
      <c r="V169" s="159">
        <f t="shared" si="131"/>
        <v>0</v>
      </c>
      <c r="W169" s="159">
        <f t="shared" si="131"/>
        <v>0</v>
      </c>
      <c r="X169" s="159">
        <f t="shared" si="131"/>
        <v>0</v>
      </c>
      <c r="Y169" s="159">
        <f t="shared" si="131"/>
        <v>0</v>
      </c>
      <c r="Z169" s="159">
        <f t="shared" si="131"/>
        <v>0</v>
      </c>
      <c r="AA169" s="159">
        <f t="shared" si="131"/>
        <v>0</v>
      </c>
      <c r="AB169" s="159">
        <f t="shared" si="131"/>
        <v>0</v>
      </c>
      <c r="AC169" s="159">
        <f t="shared" si="131"/>
        <v>0</v>
      </c>
      <c r="AD169" s="159">
        <f t="shared" si="131"/>
        <v>0</v>
      </c>
      <c r="AE169" s="159">
        <f t="shared" si="131"/>
        <v>0</v>
      </c>
      <c r="AF169" s="172">
        <f t="shared" si="131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30"/>
        <v>0</v>
      </c>
      <c r="G170" s="161">
        <f t="shared" si="130"/>
        <v>0</v>
      </c>
      <c r="H170" s="161">
        <f t="shared" si="130"/>
        <v>0</v>
      </c>
      <c r="I170" s="161">
        <f t="shared" si="130"/>
        <v>0</v>
      </c>
      <c r="J170" s="161">
        <f t="shared" si="130"/>
        <v>0</v>
      </c>
      <c r="K170" s="161">
        <f t="shared" si="130"/>
        <v>0</v>
      </c>
      <c r="L170" s="161">
        <f t="shared" si="130"/>
        <v>0</v>
      </c>
      <c r="M170" s="161">
        <f t="shared" si="130"/>
        <v>0</v>
      </c>
      <c r="N170" s="161">
        <f t="shared" si="130"/>
        <v>0</v>
      </c>
      <c r="O170" s="161">
        <f t="shared" si="130"/>
        <v>0</v>
      </c>
      <c r="P170" s="161">
        <f t="shared" si="130"/>
        <v>0</v>
      </c>
      <c r="Q170" s="161">
        <f t="shared" si="130"/>
        <v>0</v>
      </c>
      <c r="R170" s="161">
        <f t="shared" si="130"/>
        <v>0</v>
      </c>
      <c r="S170" s="161">
        <f t="shared" si="131"/>
        <v>0</v>
      </c>
      <c r="T170" s="161">
        <f t="shared" si="131"/>
        <v>0</v>
      </c>
      <c r="U170" s="161">
        <f t="shared" si="131"/>
        <v>0</v>
      </c>
      <c r="V170" s="161">
        <f t="shared" si="131"/>
        <v>0</v>
      </c>
      <c r="W170" s="161">
        <f t="shared" si="131"/>
        <v>0</v>
      </c>
      <c r="X170" s="161">
        <f t="shared" si="131"/>
        <v>0</v>
      </c>
      <c r="Y170" s="161">
        <f t="shared" si="131"/>
        <v>0</v>
      </c>
      <c r="Z170" s="161">
        <f t="shared" si="131"/>
        <v>0</v>
      </c>
      <c r="AA170" s="161">
        <f t="shared" si="131"/>
        <v>0</v>
      </c>
      <c r="AB170" s="161">
        <f t="shared" si="131"/>
        <v>0</v>
      </c>
      <c r="AC170" s="161">
        <f t="shared" si="131"/>
        <v>0</v>
      </c>
      <c r="AD170" s="161">
        <f t="shared" si="131"/>
        <v>0</v>
      </c>
      <c r="AE170" s="161">
        <f t="shared" si="131"/>
        <v>0</v>
      </c>
      <c r="AF170" s="174">
        <f t="shared" si="131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30"/>
        <v>0</v>
      </c>
      <c r="G171" s="161">
        <f t="shared" si="130"/>
        <v>0</v>
      </c>
      <c r="H171" s="161">
        <f t="shared" si="130"/>
        <v>0</v>
      </c>
      <c r="I171" s="161">
        <f t="shared" si="130"/>
        <v>0</v>
      </c>
      <c r="J171" s="161">
        <f t="shared" si="130"/>
        <v>0</v>
      </c>
      <c r="K171" s="161">
        <f t="shared" si="130"/>
        <v>0</v>
      </c>
      <c r="L171" s="161">
        <f t="shared" si="130"/>
        <v>0</v>
      </c>
      <c r="M171" s="161">
        <f t="shared" si="130"/>
        <v>0</v>
      </c>
      <c r="N171" s="161">
        <f t="shared" si="130"/>
        <v>0</v>
      </c>
      <c r="O171" s="161">
        <f t="shared" si="130"/>
        <v>0</v>
      </c>
      <c r="P171" s="161">
        <f t="shared" si="130"/>
        <v>0</v>
      </c>
      <c r="Q171" s="161">
        <f t="shared" si="130"/>
        <v>0</v>
      </c>
      <c r="R171" s="161">
        <f t="shared" si="130"/>
        <v>0</v>
      </c>
      <c r="S171" s="161">
        <f t="shared" si="131"/>
        <v>0</v>
      </c>
      <c r="T171" s="161">
        <f t="shared" si="131"/>
        <v>0</v>
      </c>
      <c r="U171" s="161">
        <f t="shared" si="131"/>
        <v>0</v>
      </c>
      <c r="V171" s="161">
        <f t="shared" si="131"/>
        <v>0</v>
      </c>
      <c r="W171" s="161">
        <f t="shared" si="131"/>
        <v>0</v>
      </c>
      <c r="X171" s="161">
        <f t="shared" si="131"/>
        <v>0</v>
      </c>
      <c r="Y171" s="161">
        <f t="shared" si="131"/>
        <v>0</v>
      </c>
      <c r="Z171" s="161">
        <f t="shared" si="131"/>
        <v>0</v>
      </c>
      <c r="AA171" s="161">
        <f t="shared" si="131"/>
        <v>0</v>
      </c>
      <c r="AB171" s="161">
        <f t="shared" si="131"/>
        <v>0</v>
      </c>
      <c r="AC171" s="161">
        <f t="shared" si="131"/>
        <v>0</v>
      </c>
      <c r="AD171" s="161">
        <f t="shared" si="131"/>
        <v>0</v>
      </c>
      <c r="AE171" s="161">
        <f t="shared" si="131"/>
        <v>0</v>
      </c>
      <c r="AF171" s="174">
        <f t="shared" si="131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30"/>
        <v>0</v>
      </c>
      <c r="G172" s="161">
        <f t="shared" si="130"/>
        <v>0</v>
      </c>
      <c r="H172" s="161">
        <f t="shared" si="130"/>
        <v>0</v>
      </c>
      <c r="I172" s="161">
        <f t="shared" si="130"/>
        <v>0</v>
      </c>
      <c r="J172" s="161">
        <f t="shared" si="130"/>
        <v>0</v>
      </c>
      <c r="K172" s="161">
        <f t="shared" si="130"/>
        <v>0</v>
      </c>
      <c r="L172" s="161">
        <f t="shared" si="130"/>
        <v>0</v>
      </c>
      <c r="M172" s="161">
        <f t="shared" si="130"/>
        <v>0</v>
      </c>
      <c r="N172" s="161">
        <f t="shared" si="130"/>
        <v>0</v>
      </c>
      <c r="O172" s="161">
        <f t="shared" si="130"/>
        <v>0</v>
      </c>
      <c r="P172" s="161">
        <f t="shared" si="130"/>
        <v>0</v>
      </c>
      <c r="Q172" s="161">
        <f t="shared" si="130"/>
        <v>0</v>
      </c>
      <c r="R172" s="161">
        <f t="shared" si="130"/>
        <v>0</v>
      </c>
      <c r="S172" s="161">
        <f t="shared" si="131"/>
        <v>0</v>
      </c>
      <c r="T172" s="161">
        <f t="shared" si="131"/>
        <v>0</v>
      </c>
      <c r="U172" s="161">
        <f t="shared" si="131"/>
        <v>0</v>
      </c>
      <c r="V172" s="161">
        <f t="shared" si="131"/>
        <v>0</v>
      </c>
      <c r="W172" s="161">
        <f t="shared" si="131"/>
        <v>0</v>
      </c>
      <c r="X172" s="161">
        <f t="shared" si="131"/>
        <v>0</v>
      </c>
      <c r="Y172" s="161">
        <f t="shared" si="131"/>
        <v>0</v>
      </c>
      <c r="Z172" s="161">
        <f t="shared" si="131"/>
        <v>0</v>
      </c>
      <c r="AA172" s="161">
        <f t="shared" si="131"/>
        <v>0</v>
      </c>
      <c r="AB172" s="161">
        <f t="shared" si="131"/>
        <v>0</v>
      </c>
      <c r="AC172" s="161">
        <f t="shared" si="131"/>
        <v>0</v>
      </c>
      <c r="AD172" s="161">
        <f t="shared" si="131"/>
        <v>0</v>
      </c>
      <c r="AE172" s="161">
        <f t="shared" si="131"/>
        <v>0</v>
      </c>
      <c r="AF172" s="174">
        <f t="shared" si="131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30"/>
        <v>0</v>
      </c>
      <c r="G173" s="161">
        <f t="shared" si="130"/>
        <v>0</v>
      </c>
      <c r="H173" s="161">
        <f t="shared" si="130"/>
        <v>0</v>
      </c>
      <c r="I173" s="161">
        <f t="shared" si="130"/>
        <v>0</v>
      </c>
      <c r="J173" s="161">
        <f t="shared" si="130"/>
        <v>0</v>
      </c>
      <c r="K173" s="161">
        <f t="shared" si="130"/>
        <v>0</v>
      </c>
      <c r="L173" s="161">
        <f t="shared" si="130"/>
        <v>0</v>
      </c>
      <c r="M173" s="161">
        <f t="shared" si="130"/>
        <v>0</v>
      </c>
      <c r="N173" s="161">
        <f t="shared" si="130"/>
        <v>0</v>
      </c>
      <c r="O173" s="161">
        <f t="shared" si="130"/>
        <v>0</v>
      </c>
      <c r="P173" s="161">
        <f t="shared" si="130"/>
        <v>0</v>
      </c>
      <c r="Q173" s="161">
        <f t="shared" si="130"/>
        <v>0</v>
      </c>
      <c r="R173" s="161">
        <f t="shared" si="130"/>
        <v>0</v>
      </c>
      <c r="S173" s="161">
        <f t="shared" si="131"/>
        <v>0</v>
      </c>
      <c r="T173" s="161">
        <f t="shared" si="131"/>
        <v>0</v>
      </c>
      <c r="U173" s="161">
        <f t="shared" si="131"/>
        <v>0</v>
      </c>
      <c r="V173" s="161">
        <f t="shared" si="131"/>
        <v>0</v>
      </c>
      <c r="W173" s="161">
        <f t="shared" si="131"/>
        <v>0</v>
      </c>
      <c r="X173" s="161">
        <f t="shared" si="131"/>
        <v>0</v>
      </c>
      <c r="Y173" s="161">
        <f t="shared" si="131"/>
        <v>0</v>
      </c>
      <c r="Z173" s="161">
        <f t="shared" si="131"/>
        <v>0</v>
      </c>
      <c r="AA173" s="161">
        <f t="shared" si="131"/>
        <v>0</v>
      </c>
      <c r="AB173" s="161">
        <f t="shared" si="131"/>
        <v>0</v>
      </c>
      <c r="AC173" s="161">
        <f t="shared" si="131"/>
        <v>0</v>
      </c>
      <c r="AD173" s="161">
        <f t="shared" si="131"/>
        <v>0</v>
      </c>
      <c r="AE173" s="161">
        <f t="shared" si="131"/>
        <v>0</v>
      </c>
      <c r="AF173" s="174">
        <f t="shared" si="131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30"/>
        <v>0</v>
      </c>
      <c r="G174" s="161">
        <f t="shared" si="130"/>
        <v>0</v>
      </c>
      <c r="H174" s="161">
        <f t="shared" si="130"/>
        <v>0</v>
      </c>
      <c r="I174" s="161">
        <f t="shared" si="130"/>
        <v>0</v>
      </c>
      <c r="J174" s="161">
        <f t="shared" si="130"/>
        <v>0</v>
      </c>
      <c r="K174" s="161">
        <f t="shared" si="130"/>
        <v>0</v>
      </c>
      <c r="L174" s="161">
        <f t="shared" si="130"/>
        <v>0</v>
      </c>
      <c r="M174" s="161">
        <f t="shared" si="130"/>
        <v>0</v>
      </c>
      <c r="N174" s="161">
        <f t="shared" si="130"/>
        <v>0</v>
      </c>
      <c r="O174" s="161">
        <f t="shared" si="130"/>
        <v>0</v>
      </c>
      <c r="P174" s="161">
        <f t="shared" si="130"/>
        <v>0</v>
      </c>
      <c r="Q174" s="161">
        <f t="shared" si="130"/>
        <v>0</v>
      </c>
      <c r="R174" s="161">
        <f t="shared" si="130"/>
        <v>0</v>
      </c>
      <c r="S174" s="161">
        <f t="shared" si="131"/>
        <v>0</v>
      </c>
      <c r="T174" s="161">
        <f t="shared" si="131"/>
        <v>0</v>
      </c>
      <c r="U174" s="161">
        <f t="shared" si="131"/>
        <v>0</v>
      </c>
      <c r="V174" s="161">
        <f t="shared" si="131"/>
        <v>0</v>
      </c>
      <c r="W174" s="161">
        <f t="shared" si="131"/>
        <v>0</v>
      </c>
      <c r="X174" s="161">
        <f t="shared" si="131"/>
        <v>0</v>
      </c>
      <c r="Y174" s="161">
        <f t="shared" si="131"/>
        <v>0</v>
      </c>
      <c r="Z174" s="161">
        <f t="shared" si="131"/>
        <v>0</v>
      </c>
      <c r="AA174" s="161">
        <f t="shared" si="131"/>
        <v>0</v>
      </c>
      <c r="AB174" s="161">
        <f t="shared" si="131"/>
        <v>0</v>
      </c>
      <c r="AC174" s="161">
        <f t="shared" si="131"/>
        <v>0</v>
      </c>
      <c r="AD174" s="161">
        <f t="shared" si="131"/>
        <v>0</v>
      </c>
      <c r="AE174" s="161">
        <f t="shared" si="131"/>
        <v>0</v>
      </c>
      <c r="AF174" s="174">
        <f t="shared" si="131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30"/>
        <v>0</v>
      </c>
      <c r="G175" s="161">
        <f t="shared" si="130"/>
        <v>0</v>
      </c>
      <c r="H175" s="161">
        <f t="shared" si="130"/>
        <v>0</v>
      </c>
      <c r="I175" s="161">
        <f t="shared" si="130"/>
        <v>0</v>
      </c>
      <c r="J175" s="161">
        <f t="shared" si="130"/>
        <v>0</v>
      </c>
      <c r="K175" s="161">
        <f t="shared" si="130"/>
        <v>0</v>
      </c>
      <c r="L175" s="161">
        <f t="shared" si="130"/>
        <v>0</v>
      </c>
      <c r="M175" s="161">
        <f t="shared" si="130"/>
        <v>0</v>
      </c>
      <c r="N175" s="161">
        <f t="shared" si="130"/>
        <v>0</v>
      </c>
      <c r="O175" s="161">
        <f t="shared" si="130"/>
        <v>0</v>
      </c>
      <c r="P175" s="161">
        <f t="shared" si="130"/>
        <v>0</v>
      </c>
      <c r="Q175" s="161">
        <f t="shared" si="130"/>
        <v>0</v>
      </c>
      <c r="R175" s="161">
        <f t="shared" si="130"/>
        <v>0</v>
      </c>
      <c r="S175" s="161">
        <f t="shared" si="131"/>
        <v>0</v>
      </c>
      <c r="T175" s="161">
        <f t="shared" si="131"/>
        <v>0</v>
      </c>
      <c r="U175" s="161">
        <f t="shared" si="131"/>
        <v>0</v>
      </c>
      <c r="V175" s="161">
        <f t="shared" si="131"/>
        <v>0</v>
      </c>
      <c r="W175" s="161">
        <f t="shared" si="131"/>
        <v>0</v>
      </c>
      <c r="X175" s="161">
        <f t="shared" si="131"/>
        <v>0</v>
      </c>
      <c r="Y175" s="161">
        <f t="shared" si="131"/>
        <v>0</v>
      </c>
      <c r="Z175" s="161">
        <f t="shared" si="131"/>
        <v>0</v>
      </c>
      <c r="AA175" s="161">
        <f t="shared" si="131"/>
        <v>0</v>
      </c>
      <c r="AB175" s="161">
        <f t="shared" si="131"/>
        <v>0</v>
      </c>
      <c r="AC175" s="161">
        <f t="shared" si="131"/>
        <v>0</v>
      </c>
      <c r="AD175" s="161">
        <f t="shared" si="131"/>
        <v>0</v>
      </c>
      <c r="AE175" s="161">
        <f t="shared" si="131"/>
        <v>0</v>
      </c>
      <c r="AF175" s="174">
        <f t="shared" si="131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30"/>
        <v>0</v>
      </c>
      <c r="G176" s="161">
        <f t="shared" si="130"/>
        <v>0</v>
      </c>
      <c r="H176" s="161">
        <f t="shared" si="130"/>
        <v>0</v>
      </c>
      <c r="I176" s="161">
        <f t="shared" si="130"/>
        <v>0</v>
      </c>
      <c r="J176" s="161">
        <f t="shared" si="130"/>
        <v>0</v>
      </c>
      <c r="K176" s="161">
        <f t="shared" si="130"/>
        <v>0</v>
      </c>
      <c r="L176" s="161">
        <f t="shared" si="130"/>
        <v>0</v>
      </c>
      <c r="M176" s="161">
        <f t="shared" si="130"/>
        <v>0</v>
      </c>
      <c r="N176" s="161">
        <f t="shared" si="130"/>
        <v>0</v>
      </c>
      <c r="O176" s="161">
        <f t="shared" si="130"/>
        <v>0</v>
      </c>
      <c r="P176" s="161">
        <f t="shared" si="130"/>
        <v>0</v>
      </c>
      <c r="Q176" s="161">
        <f t="shared" si="130"/>
        <v>0</v>
      </c>
      <c r="R176" s="161">
        <f t="shared" si="130"/>
        <v>0</v>
      </c>
      <c r="S176" s="161">
        <f t="shared" si="131"/>
        <v>0</v>
      </c>
      <c r="T176" s="161">
        <f t="shared" si="131"/>
        <v>0</v>
      </c>
      <c r="U176" s="161">
        <f t="shared" si="131"/>
        <v>0</v>
      </c>
      <c r="V176" s="161">
        <f t="shared" si="131"/>
        <v>0</v>
      </c>
      <c r="W176" s="161">
        <f t="shared" si="131"/>
        <v>0</v>
      </c>
      <c r="X176" s="161">
        <f t="shared" si="131"/>
        <v>0</v>
      </c>
      <c r="Y176" s="161">
        <f t="shared" si="131"/>
        <v>0</v>
      </c>
      <c r="Z176" s="161">
        <f t="shared" si="131"/>
        <v>0</v>
      </c>
      <c r="AA176" s="161">
        <f t="shared" si="131"/>
        <v>0</v>
      </c>
      <c r="AB176" s="161">
        <f t="shared" si="131"/>
        <v>0</v>
      </c>
      <c r="AC176" s="161">
        <f t="shared" si="131"/>
        <v>0</v>
      </c>
      <c r="AD176" s="161">
        <f t="shared" si="131"/>
        <v>0</v>
      </c>
      <c r="AE176" s="161">
        <f t="shared" si="131"/>
        <v>0</v>
      </c>
      <c r="AF176" s="174">
        <f t="shared" si="131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30"/>
        <v>0</v>
      </c>
      <c r="G177" s="161">
        <f t="shared" si="130"/>
        <v>0</v>
      </c>
      <c r="H177" s="161">
        <f t="shared" si="130"/>
        <v>0</v>
      </c>
      <c r="I177" s="161">
        <f t="shared" si="130"/>
        <v>0</v>
      </c>
      <c r="J177" s="161">
        <f t="shared" si="130"/>
        <v>0</v>
      </c>
      <c r="K177" s="161">
        <f t="shared" si="130"/>
        <v>0</v>
      </c>
      <c r="L177" s="161">
        <f t="shared" si="130"/>
        <v>0</v>
      </c>
      <c r="M177" s="161">
        <f t="shared" si="130"/>
        <v>0</v>
      </c>
      <c r="N177" s="161">
        <f t="shared" si="130"/>
        <v>0</v>
      </c>
      <c r="O177" s="161">
        <f t="shared" si="130"/>
        <v>0</v>
      </c>
      <c r="P177" s="161">
        <f t="shared" si="130"/>
        <v>0</v>
      </c>
      <c r="Q177" s="161">
        <f t="shared" si="130"/>
        <v>0</v>
      </c>
      <c r="R177" s="161">
        <f t="shared" si="130"/>
        <v>0</v>
      </c>
      <c r="S177" s="161">
        <f t="shared" si="131"/>
        <v>0</v>
      </c>
      <c r="T177" s="161">
        <f t="shared" si="131"/>
        <v>0</v>
      </c>
      <c r="U177" s="161">
        <f t="shared" si="131"/>
        <v>0</v>
      </c>
      <c r="V177" s="161">
        <f t="shared" si="131"/>
        <v>0</v>
      </c>
      <c r="W177" s="161">
        <f t="shared" si="131"/>
        <v>0</v>
      </c>
      <c r="X177" s="161">
        <f t="shared" si="131"/>
        <v>0</v>
      </c>
      <c r="Y177" s="161">
        <f t="shared" si="131"/>
        <v>0</v>
      </c>
      <c r="Z177" s="161">
        <f t="shared" si="131"/>
        <v>0</v>
      </c>
      <c r="AA177" s="161">
        <f t="shared" si="131"/>
        <v>0</v>
      </c>
      <c r="AB177" s="161">
        <f t="shared" si="131"/>
        <v>0</v>
      </c>
      <c r="AC177" s="161">
        <f t="shared" si="131"/>
        <v>0</v>
      </c>
      <c r="AD177" s="161">
        <f t="shared" si="131"/>
        <v>0</v>
      </c>
      <c r="AE177" s="161">
        <f t="shared" si="131"/>
        <v>0</v>
      </c>
      <c r="AF177" s="174">
        <f t="shared" si="131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30"/>
        <v>0</v>
      </c>
      <c r="G178" s="161">
        <f t="shared" si="130"/>
        <v>0</v>
      </c>
      <c r="H178" s="161">
        <f t="shared" si="130"/>
        <v>0</v>
      </c>
      <c r="I178" s="161">
        <f t="shared" si="130"/>
        <v>0</v>
      </c>
      <c r="J178" s="161">
        <f t="shared" si="130"/>
        <v>0</v>
      </c>
      <c r="K178" s="161">
        <f t="shared" si="130"/>
        <v>0</v>
      </c>
      <c r="L178" s="161">
        <f t="shared" si="130"/>
        <v>0</v>
      </c>
      <c r="M178" s="161">
        <f t="shared" si="130"/>
        <v>0</v>
      </c>
      <c r="N178" s="161">
        <f t="shared" si="130"/>
        <v>0</v>
      </c>
      <c r="O178" s="161">
        <f t="shared" si="130"/>
        <v>0</v>
      </c>
      <c r="P178" s="161">
        <f t="shared" si="130"/>
        <v>0</v>
      </c>
      <c r="Q178" s="161">
        <f t="shared" si="130"/>
        <v>0</v>
      </c>
      <c r="R178" s="161">
        <f t="shared" si="130"/>
        <v>0</v>
      </c>
      <c r="S178" s="161">
        <f t="shared" si="131"/>
        <v>0</v>
      </c>
      <c r="T178" s="161">
        <f t="shared" si="131"/>
        <v>0</v>
      </c>
      <c r="U178" s="161">
        <f t="shared" si="131"/>
        <v>0</v>
      </c>
      <c r="V178" s="161">
        <f t="shared" si="131"/>
        <v>0</v>
      </c>
      <c r="W178" s="161">
        <f t="shared" si="131"/>
        <v>0</v>
      </c>
      <c r="X178" s="161">
        <f t="shared" si="131"/>
        <v>0</v>
      </c>
      <c r="Y178" s="161">
        <f t="shared" si="131"/>
        <v>0</v>
      </c>
      <c r="Z178" s="161">
        <f t="shared" si="131"/>
        <v>0</v>
      </c>
      <c r="AA178" s="161">
        <f t="shared" si="131"/>
        <v>0</v>
      </c>
      <c r="AB178" s="161">
        <f t="shared" si="131"/>
        <v>0</v>
      </c>
      <c r="AC178" s="161">
        <f t="shared" si="131"/>
        <v>0</v>
      </c>
      <c r="AD178" s="161">
        <f t="shared" si="131"/>
        <v>0</v>
      </c>
      <c r="AE178" s="161">
        <f t="shared" si="131"/>
        <v>0</v>
      </c>
      <c r="AF178" s="174">
        <f t="shared" si="131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30"/>
        <v>0</v>
      </c>
      <c r="G179" s="161">
        <f t="shared" si="130"/>
        <v>0</v>
      </c>
      <c r="H179" s="161">
        <f t="shared" si="130"/>
        <v>0</v>
      </c>
      <c r="I179" s="161">
        <f t="shared" si="130"/>
        <v>0</v>
      </c>
      <c r="J179" s="161">
        <f t="shared" si="130"/>
        <v>0</v>
      </c>
      <c r="K179" s="161">
        <f t="shared" si="130"/>
        <v>0</v>
      </c>
      <c r="L179" s="161">
        <f t="shared" si="130"/>
        <v>0</v>
      </c>
      <c r="M179" s="161">
        <f t="shared" si="130"/>
        <v>0</v>
      </c>
      <c r="N179" s="161">
        <f t="shared" si="130"/>
        <v>0</v>
      </c>
      <c r="O179" s="161">
        <f t="shared" si="130"/>
        <v>0</v>
      </c>
      <c r="P179" s="161">
        <f t="shared" si="130"/>
        <v>0</v>
      </c>
      <c r="Q179" s="161">
        <f t="shared" si="130"/>
        <v>0</v>
      </c>
      <c r="R179" s="161">
        <f t="shared" si="130"/>
        <v>0</v>
      </c>
      <c r="S179" s="161">
        <f t="shared" si="131"/>
        <v>0</v>
      </c>
      <c r="T179" s="161">
        <f t="shared" si="131"/>
        <v>0</v>
      </c>
      <c r="U179" s="161">
        <f t="shared" si="131"/>
        <v>0</v>
      </c>
      <c r="V179" s="161">
        <f t="shared" si="131"/>
        <v>0</v>
      </c>
      <c r="W179" s="161">
        <f t="shared" si="131"/>
        <v>0</v>
      </c>
      <c r="X179" s="161">
        <f t="shared" si="131"/>
        <v>0</v>
      </c>
      <c r="Y179" s="161">
        <f t="shared" si="131"/>
        <v>0</v>
      </c>
      <c r="Z179" s="161">
        <f t="shared" si="131"/>
        <v>0</v>
      </c>
      <c r="AA179" s="161">
        <f t="shared" si="131"/>
        <v>0</v>
      </c>
      <c r="AB179" s="161">
        <f t="shared" si="131"/>
        <v>0</v>
      </c>
      <c r="AC179" s="161">
        <f t="shared" si="131"/>
        <v>0</v>
      </c>
      <c r="AD179" s="161">
        <f t="shared" si="131"/>
        <v>0</v>
      </c>
      <c r="AE179" s="161">
        <f t="shared" si="131"/>
        <v>0</v>
      </c>
      <c r="AF179" s="174">
        <f t="shared" si="131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30"/>
        <v>0</v>
      </c>
      <c r="G180" s="161">
        <f t="shared" si="130"/>
        <v>0</v>
      </c>
      <c r="H180" s="161">
        <f t="shared" si="130"/>
        <v>0</v>
      </c>
      <c r="I180" s="161">
        <f t="shared" si="130"/>
        <v>0</v>
      </c>
      <c r="J180" s="161">
        <f t="shared" si="130"/>
        <v>0</v>
      </c>
      <c r="K180" s="161">
        <f t="shared" si="130"/>
        <v>0</v>
      </c>
      <c r="L180" s="161">
        <f t="shared" si="130"/>
        <v>0</v>
      </c>
      <c r="M180" s="161">
        <f t="shared" si="130"/>
        <v>0</v>
      </c>
      <c r="N180" s="161">
        <f t="shared" si="130"/>
        <v>0</v>
      </c>
      <c r="O180" s="161">
        <f t="shared" si="130"/>
        <v>0</v>
      </c>
      <c r="P180" s="161">
        <f t="shared" si="130"/>
        <v>0</v>
      </c>
      <c r="Q180" s="161">
        <f t="shared" si="130"/>
        <v>0</v>
      </c>
      <c r="R180" s="161">
        <f t="shared" si="130"/>
        <v>0</v>
      </c>
      <c r="S180" s="161">
        <f t="shared" si="131"/>
        <v>0</v>
      </c>
      <c r="T180" s="161">
        <f t="shared" si="131"/>
        <v>0</v>
      </c>
      <c r="U180" s="161">
        <f t="shared" si="131"/>
        <v>0</v>
      </c>
      <c r="V180" s="161">
        <f t="shared" si="131"/>
        <v>0</v>
      </c>
      <c r="W180" s="161">
        <f t="shared" si="131"/>
        <v>0</v>
      </c>
      <c r="X180" s="161">
        <f t="shared" si="131"/>
        <v>0</v>
      </c>
      <c r="Y180" s="161">
        <f t="shared" si="131"/>
        <v>0</v>
      </c>
      <c r="Z180" s="161">
        <f t="shared" si="131"/>
        <v>0</v>
      </c>
      <c r="AA180" s="161">
        <f t="shared" si="131"/>
        <v>0</v>
      </c>
      <c r="AB180" s="161">
        <f t="shared" si="131"/>
        <v>0</v>
      </c>
      <c r="AC180" s="161">
        <f t="shared" si="131"/>
        <v>0</v>
      </c>
      <c r="AD180" s="161">
        <f t="shared" si="131"/>
        <v>0</v>
      </c>
      <c r="AE180" s="161">
        <f t="shared" si="131"/>
        <v>0</v>
      </c>
      <c r="AF180" s="174">
        <f t="shared" si="131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30"/>
        <v>0</v>
      </c>
      <c r="G181" s="161">
        <f t="shared" si="130"/>
        <v>0</v>
      </c>
      <c r="H181" s="161">
        <f t="shared" si="130"/>
        <v>0</v>
      </c>
      <c r="I181" s="161">
        <f t="shared" si="130"/>
        <v>0</v>
      </c>
      <c r="J181" s="161">
        <f t="shared" si="130"/>
        <v>0</v>
      </c>
      <c r="K181" s="161">
        <f t="shared" si="130"/>
        <v>0</v>
      </c>
      <c r="L181" s="161">
        <f t="shared" si="130"/>
        <v>0</v>
      </c>
      <c r="M181" s="161">
        <f t="shared" si="130"/>
        <v>0</v>
      </c>
      <c r="N181" s="161">
        <f t="shared" si="130"/>
        <v>0</v>
      </c>
      <c r="O181" s="161">
        <f t="shared" si="130"/>
        <v>0</v>
      </c>
      <c r="P181" s="161">
        <f t="shared" si="130"/>
        <v>0</v>
      </c>
      <c r="Q181" s="161">
        <f t="shared" si="130"/>
        <v>0</v>
      </c>
      <c r="R181" s="161">
        <f t="shared" si="130"/>
        <v>0</v>
      </c>
      <c r="S181" s="161">
        <f t="shared" si="131"/>
        <v>0</v>
      </c>
      <c r="T181" s="161">
        <f t="shared" si="131"/>
        <v>0</v>
      </c>
      <c r="U181" s="161">
        <f t="shared" si="131"/>
        <v>0</v>
      </c>
      <c r="V181" s="161">
        <f t="shared" si="131"/>
        <v>0</v>
      </c>
      <c r="W181" s="161">
        <f t="shared" si="131"/>
        <v>0</v>
      </c>
      <c r="X181" s="161">
        <f t="shared" si="131"/>
        <v>0</v>
      </c>
      <c r="Y181" s="161">
        <f t="shared" si="131"/>
        <v>0</v>
      </c>
      <c r="Z181" s="161">
        <f t="shared" si="131"/>
        <v>0</v>
      </c>
      <c r="AA181" s="161">
        <f t="shared" si="131"/>
        <v>0</v>
      </c>
      <c r="AB181" s="161">
        <f t="shared" si="131"/>
        <v>0</v>
      </c>
      <c r="AC181" s="161">
        <f t="shared" si="131"/>
        <v>0</v>
      </c>
      <c r="AD181" s="161">
        <f t="shared" si="131"/>
        <v>0</v>
      </c>
      <c r="AE181" s="161">
        <f t="shared" si="131"/>
        <v>0</v>
      </c>
      <c r="AF181" s="174">
        <f t="shared" si="131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30"/>
        <v>0</v>
      </c>
      <c r="G182" s="161">
        <f t="shared" si="130"/>
        <v>0</v>
      </c>
      <c r="H182" s="161">
        <f t="shared" si="130"/>
        <v>0</v>
      </c>
      <c r="I182" s="161">
        <f t="shared" si="130"/>
        <v>0</v>
      </c>
      <c r="J182" s="161">
        <f t="shared" si="130"/>
        <v>0</v>
      </c>
      <c r="K182" s="161">
        <f t="shared" si="130"/>
        <v>0</v>
      </c>
      <c r="L182" s="161">
        <f t="shared" si="130"/>
        <v>0</v>
      </c>
      <c r="M182" s="161">
        <f t="shared" si="130"/>
        <v>0</v>
      </c>
      <c r="N182" s="161">
        <f t="shared" si="130"/>
        <v>0</v>
      </c>
      <c r="O182" s="161">
        <f t="shared" si="130"/>
        <v>0</v>
      </c>
      <c r="P182" s="161">
        <f t="shared" si="130"/>
        <v>0</v>
      </c>
      <c r="Q182" s="161">
        <f t="shared" si="130"/>
        <v>0</v>
      </c>
      <c r="R182" s="161">
        <f t="shared" si="130"/>
        <v>0</v>
      </c>
      <c r="S182" s="161">
        <f t="shared" si="131"/>
        <v>0</v>
      </c>
      <c r="T182" s="161">
        <f t="shared" si="131"/>
        <v>0</v>
      </c>
      <c r="U182" s="161">
        <f t="shared" si="131"/>
        <v>0</v>
      </c>
      <c r="V182" s="161">
        <f t="shared" si="131"/>
        <v>0</v>
      </c>
      <c r="W182" s="161">
        <f t="shared" si="131"/>
        <v>0</v>
      </c>
      <c r="X182" s="161">
        <f t="shared" si="131"/>
        <v>0</v>
      </c>
      <c r="Y182" s="161">
        <f t="shared" si="131"/>
        <v>0</v>
      </c>
      <c r="Z182" s="161">
        <f t="shared" si="131"/>
        <v>0</v>
      </c>
      <c r="AA182" s="161">
        <f t="shared" si="131"/>
        <v>0</v>
      </c>
      <c r="AB182" s="161">
        <f t="shared" si="131"/>
        <v>0</v>
      </c>
      <c r="AC182" s="161">
        <f t="shared" si="131"/>
        <v>0</v>
      </c>
      <c r="AD182" s="161">
        <f t="shared" si="131"/>
        <v>0</v>
      </c>
      <c r="AE182" s="161">
        <f t="shared" si="131"/>
        <v>0</v>
      </c>
      <c r="AF182" s="174">
        <f t="shared" si="131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30"/>
        <v>0</v>
      </c>
      <c r="G183" s="161">
        <f t="shared" si="130"/>
        <v>0</v>
      </c>
      <c r="H183" s="161">
        <f t="shared" si="130"/>
        <v>0</v>
      </c>
      <c r="I183" s="161">
        <f t="shared" si="130"/>
        <v>0</v>
      </c>
      <c r="J183" s="161">
        <f t="shared" si="130"/>
        <v>0</v>
      </c>
      <c r="K183" s="161">
        <f t="shared" si="130"/>
        <v>0</v>
      </c>
      <c r="L183" s="161">
        <f t="shared" si="130"/>
        <v>0</v>
      </c>
      <c r="M183" s="161">
        <f t="shared" si="130"/>
        <v>0</v>
      </c>
      <c r="N183" s="161">
        <f t="shared" si="130"/>
        <v>0</v>
      </c>
      <c r="O183" s="161">
        <f t="shared" si="130"/>
        <v>0</v>
      </c>
      <c r="P183" s="161">
        <f t="shared" si="130"/>
        <v>0</v>
      </c>
      <c r="Q183" s="161">
        <f t="shared" si="130"/>
        <v>0</v>
      </c>
      <c r="R183" s="161">
        <f t="shared" si="130"/>
        <v>0</v>
      </c>
      <c r="S183" s="161">
        <f t="shared" si="131"/>
        <v>0</v>
      </c>
      <c r="T183" s="161">
        <f t="shared" si="131"/>
        <v>0</v>
      </c>
      <c r="U183" s="161">
        <f t="shared" si="131"/>
        <v>0</v>
      </c>
      <c r="V183" s="161">
        <f t="shared" si="131"/>
        <v>0</v>
      </c>
      <c r="W183" s="161">
        <f t="shared" si="131"/>
        <v>0</v>
      </c>
      <c r="X183" s="161">
        <f t="shared" si="131"/>
        <v>0</v>
      </c>
      <c r="Y183" s="161">
        <f t="shared" si="131"/>
        <v>0</v>
      </c>
      <c r="Z183" s="161">
        <f t="shared" si="131"/>
        <v>0</v>
      </c>
      <c r="AA183" s="161">
        <f t="shared" si="131"/>
        <v>0</v>
      </c>
      <c r="AB183" s="161">
        <f t="shared" si="131"/>
        <v>0</v>
      </c>
      <c r="AC183" s="161">
        <f t="shared" si="131"/>
        <v>0</v>
      </c>
      <c r="AD183" s="161">
        <f t="shared" si="131"/>
        <v>0</v>
      </c>
      <c r="AE183" s="161">
        <f t="shared" si="131"/>
        <v>0</v>
      </c>
      <c r="AF183" s="174">
        <f t="shared" si="131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30"/>
        <v>0</v>
      </c>
      <c r="G184" s="161">
        <f t="shared" si="130"/>
        <v>0</v>
      </c>
      <c r="H184" s="161">
        <f t="shared" si="130"/>
        <v>0</v>
      </c>
      <c r="I184" s="161">
        <f t="shared" si="130"/>
        <v>0</v>
      </c>
      <c r="J184" s="161">
        <f t="shared" si="130"/>
        <v>0</v>
      </c>
      <c r="K184" s="161">
        <f t="shared" si="130"/>
        <v>0</v>
      </c>
      <c r="L184" s="161">
        <f t="shared" si="130"/>
        <v>0</v>
      </c>
      <c r="M184" s="161">
        <f t="shared" si="130"/>
        <v>0</v>
      </c>
      <c r="N184" s="161">
        <f t="shared" si="130"/>
        <v>0</v>
      </c>
      <c r="O184" s="161">
        <f t="shared" si="130"/>
        <v>0</v>
      </c>
      <c r="P184" s="161">
        <f t="shared" si="130"/>
        <v>0</v>
      </c>
      <c r="Q184" s="161">
        <f t="shared" si="130"/>
        <v>0</v>
      </c>
      <c r="R184" s="161">
        <f t="shared" ref="R184:AF199" si="132">Q184</f>
        <v>0</v>
      </c>
      <c r="S184" s="161">
        <f t="shared" si="132"/>
        <v>0</v>
      </c>
      <c r="T184" s="161">
        <f t="shared" si="132"/>
        <v>0</v>
      </c>
      <c r="U184" s="161">
        <f t="shared" si="132"/>
        <v>0</v>
      </c>
      <c r="V184" s="161">
        <f t="shared" si="132"/>
        <v>0</v>
      </c>
      <c r="W184" s="161">
        <f t="shared" si="132"/>
        <v>0</v>
      </c>
      <c r="X184" s="161">
        <f t="shared" si="132"/>
        <v>0</v>
      </c>
      <c r="Y184" s="161">
        <f t="shared" si="132"/>
        <v>0</v>
      </c>
      <c r="Z184" s="161">
        <f t="shared" si="132"/>
        <v>0</v>
      </c>
      <c r="AA184" s="161">
        <f t="shared" si="132"/>
        <v>0</v>
      </c>
      <c r="AB184" s="161">
        <f t="shared" si="131"/>
        <v>0</v>
      </c>
      <c r="AC184" s="161">
        <f t="shared" si="131"/>
        <v>0</v>
      </c>
      <c r="AD184" s="161">
        <f t="shared" si="132"/>
        <v>0</v>
      </c>
      <c r="AE184" s="161">
        <f t="shared" si="132"/>
        <v>0</v>
      </c>
      <c r="AF184" s="174">
        <f t="shared" si="132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33">E185</f>
        <v>0</v>
      </c>
      <c r="G185" s="161">
        <f t="shared" si="133"/>
        <v>0</v>
      </c>
      <c r="H185" s="161">
        <f t="shared" si="133"/>
        <v>0</v>
      </c>
      <c r="I185" s="161">
        <f t="shared" si="133"/>
        <v>0</v>
      </c>
      <c r="J185" s="161">
        <f t="shared" si="133"/>
        <v>0</v>
      </c>
      <c r="K185" s="161">
        <f t="shared" si="133"/>
        <v>0</v>
      </c>
      <c r="L185" s="161">
        <f t="shared" si="133"/>
        <v>0</v>
      </c>
      <c r="M185" s="161">
        <f t="shared" si="133"/>
        <v>0</v>
      </c>
      <c r="N185" s="161">
        <f t="shared" si="133"/>
        <v>0</v>
      </c>
      <c r="O185" s="161">
        <f t="shared" si="133"/>
        <v>0</v>
      </c>
      <c r="P185" s="161">
        <f t="shared" si="133"/>
        <v>0</v>
      </c>
      <c r="Q185" s="161">
        <f t="shared" si="133"/>
        <v>0</v>
      </c>
      <c r="R185" s="161">
        <f t="shared" si="133"/>
        <v>0</v>
      </c>
      <c r="S185" s="161">
        <f t="shared" si="132"/>
        <v>0</v>
      </c>
      <c r="T185" s="161">
        <f t="shared" si="132"/>
        <v>0</v>
      </c>
      <c r="U185" s="161">
        <f t="shared" si="132"/>
        <v>0</v>
      </c>
      <c r="V185" s="161">
        <f t="shared" si="132"/>
        <v>0</v>
      </c>
      <c r="W185" s="161">
        <f t="shared" si="132"/>
        <v>0</v>
      </c>
      <c r="X185" s="161">
        <f t="shared" si="132"/>
        <v>0</v>
      </c>
      <c r="Y185" s="161">
        <f t="shared" si="132"/>
        <v>0</v>
      </c>
      <c r="Z185" s="161">
        <f t="shared" si="132"/>
        <v>0</v>
      </c>
      <c r="AA185" s="161">
        <f t="shared" si="132"/>
        <v>0</v>
      </c>
      <c r="AB185" s="161">
        <f t="shared" si="132"/>
        <v>0</v>
      </c>
      <c r="AC185" s="161">
        <f t="shared" si="132"/>
        <v>0</v>
      </c>
      <c r="AD185" s="161">
        <f t="shared" si="132"/>
        <v>0</v>
      </c>
      <c r="AE185" s="161">
        <f t="shared" si="132"/>
        <v>0</v>
      </c>
      <c r="AF185" s="174">
        <f t="shared" si="132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33"/>
        <v>0</v>
      </c>
      <c r="G186" s="161">
        <f t="shared" si="133"/>
        <v>0</v>
      </c>
      <c r="H186" s="161">
        <f t="shared" si="133"/>
        <v>0</v>
      </c>
      <c r="I186" s="161">
        <f t="shared" si="133"/>
        <v>0</v>
      </c>
      <c r="J186" s="161">
        <f t="shared" si="133"/>
        <v>0</v>
      </c>
      <c r="K186" s="161">
        <f t="shared" si="133"/>
        <v>0</v>
      </c>
      <c r="L186" s="161">
        <f t="shared" si="133"/>
        <v>0</v>
      </c>
      <c r="M186" s="161">
        <f t="shared" si="133"/>
        <v>0</v>
      </c>
      <c r="N186" s="161">
        <f t="shared" si="133"/>
        <v>0</v>
      </c>
      <c r="O186" s="161">
        <f t="shared" si="133"/>
        <v>0</v>
      </c>
      <c r="P186" s="161">
        <f t="shared" si="133"/>
        <v>0</v>
      </c>
      <c r="Q186" s="161">
        <f t="shared" si="133"/>
        <v>0</v>
      </c>
      <c r="R186" s="161">
        <f t="shared" si="133"/>
        <v>0</v>
      </c>
      <c r="S186" s="161">
        <f t="shared" si="132"/>
        <v>0</v>
      </c>
      <c r="T186" s="161">
        <f t="shared" si="132"/>
        <v>0</v>
      </c>
      <c r="U186" s="161">
        <f t="shared" si="132"/>
        <v>0</v>
      </c>
      <c r="V186" s="161">
        <f t="shared" si="132"/>
        <v>0</v>
      </c>
      <c r="W186" s="161">
        <f t="shared" si="132"/>
        <v>0</v>
      </c>
      <c r="X186" s="161">
        <f t="shared" si="132"/>
        <v>0</v>
      </c>
      <c r="Y186" s="161">
        <f t="shared" si="132"/>
        <v>0</v>
      </c>
      <c r="Z186" s="161">
        <f t="shared" si="132"/>
        <v>0</v>
      </c>
      <c r="AA186" s="161">
        <f t="shared" si="132"/>
        <v>0</v>
      </c>
      <c r="AB186" s="161">
        <f t="shared" si="132"/>
        <v>0</v>
      </c>
      <c r="AC186" s="161">
        <f t="shared" si="132"/>
        <v>0</v>
      </c>
      <c r="AD186" s="161">
        <f t="shared" si="132"/>
        <v>0</v>
      </c>
      <c r="AE186" s="161">
        <f t="shared" si="132"/>
        <v>0</v>
      </c>
      <c r="AF186" s="174">
        <f t="shared" si="132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33"/>
        <v>0</v>
      </c>
      <c r="G187" s="161">
        <f t="shared" si="133"/>
        <v>0</v>
      </c>
      <c r="H187" s="161">
        <f t="shared" si="133"/>
        <v>0</v>
      </c>
      <c r="I187" s="161">
        <f t="shared" si="133"/>
        <v>0</v>
      </c>
      <c r="J187" s="161">
        <f t="shared" si="133"/>
        <v>0</v>
      </c>
      <c r="K187" s="161">
        <f t="shared" si="133"/>
        <v>0</v>
      </c>
      <c r="L187" s="161">
        <f t="shared" si="133"/>
        <v>0</v>
      </c>
      <c r="M187" s="161">
        <f t="shared" si="133"/>
        <v>0</v>
      </c>
      <c r="N187" s="161">
        <f t="shared" si="133"/>
        <v>0</v>
      </c>
      <c r="O187" s="161">
        <f t="shared" si="133"/>
        <v>0</v>
      </c>
      <c r="P187" s="161">
        <f t="shared" si="133"/>
        <v>0</v>
      </c>
      <c r="Q187" s="161">
        <f t="shared" si="133"/>
        <v>0</v>
      </c>
      <c r="R187" s="161">
        <f t="shared" si="133"/>
        <v>0</v>
      </c>
      <c r="S187" s="161">
        <f t="shared" si="132"/>
        <v>0</v>
      </c>
      <c r="T187" s="161">
        <f t="shared" si="132"/>
        <v>0</v>
      </c>
      <c r="U187" s="161">
        <f t="shared" si="132"/>
        <v>0</v>
      </c>
      <c r="V187" s="161">
        <f t="shared" si="132"/>
        <v>0</v>
      </c>
      <c r="W187" s="161">
        <f t="shared" si="132"/>
        <v>0</v>
      </c>
      <c r="X187" s="161">
        <f t="shared" si="132"/>
        <v>0</v>
      </c>
      <c r="Y187" s="161">
        <f t="shared" si="132"/>
        <v>0</v>
      </c>
      <c r="Z187" s="161">
        <f t="shared" si="132"/>
        <v>0</v>
      </c>
      <c r="AA187" s="161">
        <f t="shared" si="132"/>
        <v>0</v>
      </c>
      <c r="AB187" s="161">
        <f t="shared" si="132"/>
        <v>0</v>
      </c>
      <c r="AC187" s="161">
        <f t="shared" si="132"/>
        <v>0</v>
      </c>
      <c r="AD187" s="161">
        <f t="shared" si="132"/>
        <v>0</v>
      </c>
      <c r="AE187" s="161">
        <f t="shared" si="132"/>
        <v>0</v>
      </c>
      <c r="AF187" s="174">
        <f t="shared" si="132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33"/>
        <v>0</v>
      </c>
      <c r="G188" s="161">
        <f t="shared" si="133"/>
        <v>0</v>
      </c>
      <c r="H188" s="161">
        <f t="shared" si="133"/>
        <v>0</v>
      </c>
      <c r="I188" s="161">
        <f t="shared" si="133"/>
        <v>0</v>
      </c>
      <c r="J188" s="161">
        <f t="shared" si="133"/>
        <v>0</v>
      </c>
      <c r="K188" s="161">
        <f t="shared" si="133"/>
        <v>0</v>
      </c>
      <c r="L188" s="161">
        <f t="shared" si="133"/>
        <v>0</v>
      </c>
      <c r="M188" s="161">
        <f t="shared" si="133"/>
        <v>0</v>
      </c>
      <c r="N188" s="161">
        <f t="shared" si="133"/>
        <v>0</v>
      </c>
      <c r="O188" s="161">
        <f t="shared" si="133"/>
        <v>0</v>
      </c>
      <c r="P188" s="161">
        <f t="shared" si="133"/>
        <v>0</v>
      </c>
      <c r="Q188" s="161">
        <f t="shared" si="133"/>
        <v>0</v>
      </c>
      <c r="R188" s="161">
        <f t="shared" si="133"/>
        <v>0</v>
      </c>
      <c r="S188" s="161">
        <f t="shared" si="132"/>
        <v>0</v>
      </c>
      <c r="T188" s="161">
        <f t="shared" si="132"/>
        <v>0</v>
      </c>
      <c r="U188" s="161">
        <f t="shared" si="132"/>
        <v>0</v>
      </c>
      <c r="V188" s="161">
        <f t="shared" si="132"/>
        <v>0</v>
      </c>
      <c r="W188" s="161">
        <f t="shared" si="132"/>
        <v>0</v>
      </c>
      <c r="X188" s="161">
        <f t="shared" si="132"/>
        <v>0</v>
      </c>
      <c r="Y188" s="161">
        <f t="shared" si="132"/>
        <v>0</v>
      </c>
      <c r="Z188" s="161">
        <f t="shared" si="132"/>
        <v>0</v>
      </c>
      <c r="AA188" s="161">
        <f t="shared" si="132"/>
        <v>0</v>
      </c>
      <c r="AB188" s="161">
        <f t="shared" si="132"/>
        <v>0</v>
      </c>
      <c r="AC188" s="161">
        <f t="shared" si="132"/>
        <v>0</v>
      </c>
      <c r="AD188" s="161">
        <f t="shared" si="132"/>
        <v>0</v>
      </c>
      <c r="AE188" s="161">
        <f t="shared" si="132"/>
        <v>0</v>
      </c>
      <c r="AF188" s="174">
        <f t="shared" si="132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33"/>
        <v>0</v>
      </c>
      <c r="G189" s="161">
        <f t="shared" si="133"/>
        <v>0</v>
      </c>
      <c r="H189" s="161">
        <f t="shared" si="133"/>
        <v>0</v>
      </c>
      <c r="I189" s="161">
        <f t="shared" si="133"/>
        <v>0</v>
      </c>
      <c r="J189" s="161">
        <f t="shared" si="133"/>
        <v>0</v>
      </c>
      <c r="K189" s="161">
        <f t="shared" si="133"/>
        <v>0</v>
      </c>
      <c r="L189" s="161">
        <f t="shared" si="133"/>
        <v>0</v>
      </c>
      <c r="M189" s="161">
        <f t="shared" si="133"/>
        <v>0</v>
      </c>
      <c r="N189" s="161">
        <f t="shared" si="133"/>
        <v>0</v>
      </c>
      <c r="O189" s="161">
        <f t="shared" si="133"/>
        <v>0</v>
      </c>
      <c r="P189" s="161">
        <f t="shared" si="133"/>
        <v>0</v>
      </c>
      <c r="Q189" s="161">
        <f t="shared" si="133"/>
        <v>0</v>
      </c>
      <c r="R189" s="161">
        <f t="shared" si="133"/>
        <v>0</v>
      </c>
      <c r="S189" s="161">
        <f t="shared" si="132"/>
        <v>0</v>
      </c>
      <c r="T189" s="161">
        <f t="shared" si="132"/>
        <v>0</v>
      </c>
      <c r="U189" s="161">
        <f t="shared" si="132"/>
        <v>0</v>
      </c>
      <c r="V189" s="161">
        <f t="shared" si="132"/>
        <v>0</v>
      </c>
      <c r="W189" s="161">
        <f t="shared" si="132"/>
        <v>0</v>
      </c>
      <c r="X189" s="161">
        <f t="shared" si="132"/>
        <v>0</v>
      </c>
      <c r="Y189" s="161">
        <f t="shared" si="132"/>
        <v>0</v>
      </c>
      <c r="Z189" s="161">
        <f t="shared" si="132"/>
        <v>0</v>
      </c>
      <c r="AA189" s="161">
        <f t="shared" si="132"/>
        <v>0</v>
      </c>
      <c r="AB189" s="161">
        <f t="shared" si="132"/>
        <v>0</v>
      </c>
      <c r="AC189" s="161">
        <f t="shared" si="132"/>
        <v>0</v>
      </c>
      <c r="AD189" s="161">
        <f t="shared" si="132"/>
        <v>0</v>
      </c>
      <c r="AE189" s="161">
        <f t="shared" si="132"/>
        <v>0</v>
      </c>
      <c r="AF189" s="174">
        <f t="shared" si="132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33"/>
        <v>0</v>
      </c>
      <c r="G190" s="161">
        <f t="shared" si="133"/>
        <v>0</v>
      </c>
      <c r="H190" s="161">
        <f t="shared" si="133"/>
        <v>0</v>
      </c>
      <c r="I190" s="161">
        <f t="shared" si="133"/>
        <v>0</v>
      </c>
      <c r="J190" s="161">
        <f t="shared" si="133"/>
        <v>0</v>
      </c>
      <c r="K190" s="161">
        <f t="shared" si="133"/>
        <v>0</v>
      </c>
      <c r="L190" s="161">
        <f t="shared" si="133"/>
        <v>0</v>
      </c>
      <c r="M190" s="161">
        <f t="shared" si="133"/>
        <v>0</v>
      </c>
      <c r="N190" s="161">
        <f t="shared" si="133"/>
        <v>0</v>
      </c>
      <c r="O190" s="161">
        <f t="shared" si="133"/>
        <v>0</v>
      </c>
      <c r="P190" s="161">
        <f t="shared" si="133"/>
        <v>0</v>
      </c>
      <c r="Q190" s="161">
        <f t="shared" si="133"/>
        <v>0</v>
      </c>
      <c r="R190" s="161">
        <f t="shared" si="133"/>
        <v>0</v>
      </c>
      <c r="S190" s="161">
        <f t="shared" si="132"/>
        <v>0</v>
      </c>
      <c r="T190" s="161">
        <f t="shared" si="132"/>
        <v>0</v>
      </c>
      <c r="U190" s="161">
        <f t="shared" si="132"/>
        <v>0</v>
      </c>
      <c r="V190" s="161">
        <f t="shared" si="132"/>
        <v>0</v>
      </c>
      <c r="W190" s="161">
        <f t="shared" si="132"/>
        <v>0</v>
      </c>
      <c r="X190" s="161">
        <f t="shared" si="132"/>
        <v>0</v>
      </c>
      <c r="Y190" s="161">
        <f t="shared" si="132"/>
        <v>0</v>
      </c>
      <c r="Z190" s="161">
        <f t="shared" si="132"/>
        <v>0</v>
      </c>
      <c r="AA190" s="161">
        <f t="shared" si="132"/>
        <v>0</v>
      </c>
      <c r="AB190" s="161">
        <f t="shared" si="132"/>
        <v>0</v>
      </c>
      <c r="AC190" s="161">
        <f t="shared" si="132"/>
        <v>0</v>
      </c>
      <c r="AD190" s="161">
        <f t="shared" si="132"/>
        <v>0</v>
      </c>
      <c r="AE190" s="161">
        <f t="shared" si="132"/>
        <v>0</v>
      </c>
      <c r="AF190" s="174">
        <f t="shared" si="132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33"/>
        <v>0</v>
      </c>
      <c r="G191" s="161">
        <f t="shared" si="133"/>
        <v>0</v>
      </c>
      <c r="H191" s="161">
        <f t="shared" si="133"/>
        <v>0</v>
      </c>
      <c r="I191" s="161">
        <f t="shared" si="133"/>
        <v>0</v>
      </c>
      <c r="J191" s="161">
        <f t="shared" si="133"/>
        <v>0</v>
      </c>
      <c r="K191" s="161">
        <f t="shared" si="133"/>
        <v>0</v>
      </c>
      <c r="L191" s="161">
        <f t="shared" si="133"/>
        <v>0</v>
      </c>
      <c r="M191" s="161">
        <f t="shared" si="133"/>
        <v>0</v>
      </c>
      <c r="N191" s="161">
        <f t="shared" si="133"/>
        <v>0</v>
      </c>
      <c r="O191" s="161">
        <f t="shared" si="133"/>
        <v>0</v>
      </c>
      <c r="P191" s="161">
        <f t="shared" si="133"/>
        <v>0</v>
      </c>
      <c r="Q191" s="161">
        <f t="shared" si="133"/>
        <v>0</v>
      </c>
      <c r="R191" s="161">
        <f t="shared" si="133"/>
        <v>0</v>
      </c>
      <c r="S191" s="161">
        <f t="shared" si="132"/>
        <v>0</v>
      </c>
      <c r="T191" s="161">
        <f t="shared" si="132"/>
        <v>0</v>
      </c>
      <c r="U191" s="161">
        <f t="shared" si="132"/>
        <v>0</v>
      </c>
      <c r="V191" s="161">
        <f t="shared" si="132"/>
        <v>0</v>
      </c>
      <c r="W191" s="161">
        <f t="shared" si="132"/>
        <v>0</v>
      </c>
      <c r="X191" s="161">
        <f t="shared" si="132"/>
        <v>0</v>
      </c>
      <c r="Y191" s="161">
        <f t="shared" si="132"/>
        <v>0</v>
      </c>
      <c r="Z191" s="161">
        <f t="shared" si="132"/>
        <v>0</v>
      </c>
      <c r="AA191" s="161">
        <f t="shared" si="132"/>
        <v>0</v>
      </c>
      <c r="AB191" s="161">
        <f t="shared" si="132"/>
        <v>0</v>
      </c>
      <c r="AC191" s="161">
        <f t="shared" si="132"/>
        <v>0</v>
      </c>
      <c r="AD191" s="161">
        <f t="shared" si="132"/>
        <v>0</v>
      </c>
      <c r="AE191" s="161">
        <f t="shared" si="132"/>
        <v>0</v>
      </c>
      <c r="AF191" s="174">
        <f t="shared" si="132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33"/>
        <v>0</v>
      </c>
      <c r="G192" s="161">
        <f t="shared" si="133"/>
        <v>0</v>
      </c>
      <c r="H192" s="161">
        <f t="shared" si="133"/>
        <v>0</v>
      </c>
      <c r="I192" s="161">
        <f t="shared" si="133"/>
        <v>0</v>
      </c>
      <c r="J192" s="161">
        <f t="shared" si="133"/>
        <v>0</v>
      </c>
      <c r="K192" s="161">
        <f t="shared" si="133"/>
        <v>0</v>
      </c>
      <c r="L192" s="161">
        <f t="shared" si="133"/>
        <v>0</v>
      </c>
      <c r="M192" s="161">
        <f t="shared" si="133"/>
        <v>0</v>
      </c>
      <c r="N192" s="161">
        <f t="shared" si="133"/>
        <v>0</v>
      </c>
      <c r="O192" s="161">
        <f t="shared" si="133"/>
        <v>0</v>
      </c>
      <c r="P192" s="161">
        <f t="shared" si="133"/>
        <v>0</v>
      </c>
      <c r="Q192" s="161">
        <f t="shared" si="133"/>
        <v>0</v>
      </c>
      <c r="R192" s="161">
        <f t="shared" si="133"/>
        <v>0</v>
      </c>
      <c r="S192" s="161">
        <f t="shared" si="132"/>
        <v>0</v>
      </c>
      <c r="T192" s="161">
        <f t="shared" si="132"/>
        <v>0</v>
      </c>
      <c r="U192" s="161">
        <f t="shared" si="132"/>
        <v>0</v>
      </c>
      <c r="V192" s="161">
        <f t="shared" si="132"/>
        <v>0</v>
      </c>
      <c r="W192" s="161">
        <f t="shared" si="132"/>
        <v>0</v>
      </c>
      <c r="X192" s="161">
        <f t="shared" si="132"/>
        <v>0</v>
      </c>
      <c r="Y192" s="161">
        <f t="shared" si="132"/>
        <v>0</v>
      </c>
      <c r="Z192" s="161">
        <f t="shared" si="132"/>
        <v>0</v>
      </c>
      <c r="AA192" s="161">
        <f t="shared" si="132"/>
        <v>0</v>
      </c>
      <c r="AB192" s="161">
        <f t="shared" si="132"/>
        <v>0</v>
      </c>
      <c r="AC192" s="161">
        <f t="shared" si="132"/>
        <v>0</v>
      </c>
      <c r="AD192" s="161">
        <f t="shared" si="132"/>
        <v>0</v>
      </c>
      <c r="AE192" s="161">
        <f t="shared" si="132"/>
        <v>0</v>
      </c>
      <c r="AF192" s="174">
        <f t="shared" si="132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33"/>
        <v>0</v>
      </c>
      <c r="G193" s="161">
        <f t="shared" si="133"/>
        <v>0</v>
      </c>
      <c r="H193" s="161">
        <f t="shared" si="133"/>
        <v>0</v>
      </c>
      <c r="I193" s="161">
        <f t="shared" si="133"/>
        <v>0</v>
      </c>
      <c r="J193" s="161">
        <f t="shared" si="133"/>
        <v>0</v>
      </c>
      <c r="K193" s="161">
        <f t="shared" si="133"/>
        <v>0</v>
      </c>
      <c r="L193" s="161">
        <f t="shared" si="133"/>
        <v>0</v>
      </c>
      <c r="M193" s="161">
        <f t="shared" si="133"/>
        <v>0</v>
      </c>
      <c r="N193" s="161">
        <f t="shared" si="133"/>
        <v>0</v>
      </c>
      <c r="O193" s="161">
        <f t="shared" si="133"/>
        <v>0</v>
      </c>
      <c r="P193" s="161">
        <f t="shared" si="133"/>
        <v>0</v>
      </c>
      <c r="Q193" s="161">
        <f t="shared" si="133"/>
        <v>0</v>
      </c>
      <c r="R193" s="161">
        <f t="shared" si="133"/>
        <v>0</v>
      </c>
      <c r="S193" s="161">
        <f t="shared" si="132"/>
        <v>0</v>
      </c>
      <c r="T193" s="161">
        <f t="shared" si="132"/>
        <v>0</v>
      </c>
      <c r="U193" s="161">
        <f t="shared" si="132"/>
        <v>0</v>
      </c>
      <c r="V193" s="161">
        <f t="shared" si="132"/>
        <v>0</v>
      </c>
      <c r="W193" s="161">
        <f t="shared" si="132"/>
        <v>0</v>
      </c>
      <c r="X193" s="161">
        <f t="shared" si="132"/>
        <v>0</v>
      </c>
      <c r="Y193" s="161">
        <f t="shared" si="132"/>
        <v>0</v>
      </c>
      <c r="Z193" s="161">
        <f t="shared" si="132"/>
        <v>0</v>
      </c>
      <c r="AA193" s="161">
        <f t="shared" si="132"/>
        <v>0</v>
      </c>
      <c r="AB193" s="161">
        <f t="shared" si="132"/>
        <v>0</v>
      </c>
      <c r="AC193" s="161">
        <f t="shared" si="132"/>
        <v>0</v>
      </c>
      <c r="AD193" s="161">
        <f t="shared" si="132"/>
        <v>0</v>
      </c>
      <c r="AE193" s="161">
        <f t="shared" si="132"/>
        <v>0</v>
      </c>
      <c r="AF193" s="174">
        <f t="shared" si="132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33"/>
        <v>0</v>
      </c>
      <c r="G194" s="161">
        <f t="shared" si="133"/>
        <v>0</v>
      </c>
      <c r="H194" s="161">
        <f t="shared" si="133"/>
        <v>0</v>
      </c>
      <c r="I194" s="161">
        <f t="shared" si="133"/>
        <v>0</v>
      </c>
      <c r="J194" s="161">
        <f t="shared" si="133"/>
        <v>0</v>
      </c>
      <c r="K194" s="161">
        <f t="shared" si="133"/>
        <v>0</v>
      </c>
      <c r="L194" s="161">
        <f t="shared" si="133"/>
        <v>0</v>
      </c>
      <c r="M194" s="161">
        <f t="shared" si="133"/>
        <v>0</v>
      </c>
      <c r="N194" s="161">
        <f t="shared" si="133"/>
        <v>0</v>
      </c>
      <c r="O194" s="161">
        <f t="shared" si="133"/>
        <v>0</v>
      </c>
      <c r="P194" s="161">
        <f t="shared" si="133"/>
        <v>0</v>
      </c>
      <c r="Q194" s="161">
        <f t="shared" si="133"/>
        <v>0</v>
      </c>
      <c r="R194" s="161">
        <f t="shared" si="133"/>
        <v>0</v>
      </c>
      <c r="S194" s="161">
        <f t="shared" si="132"/>
        <v>0</v>
      </c>
      <c r="T194" s="161">
        <f t="shared" si="132"/>
        <v>0</v>
      </c>
      <c r="U194" s="161">
        <f t="shared" si="132"/>
        <v>0</v>
      </c>
      <c r="V194" s="161">
        <f t="shared" si="132"/>
        <v>0</v>
      </c>
      <c r="W194" s="161">
        <f t="shared" si="132"/>
        <v>0</v>
      </c>
      <c r="X194" s="161">
        <f t="shared" si="132"/>
        <v>0</v>
      </c>
      <c r="Y194" s="161">
        <f t="shared" si="132"/>
        <v>0</v>
      </c>
      <c r="Z194" s="161">
        <f t="shared" si="132"/>
        <v>0</v>
      </c>
      <c r="AA194" s="161">
        <f t="shared" si="132"/>
        <v>0</v>
      </c>
      <c r="AB194" s="161">
        <f t="shared" si="132"/>
        <v>0</v>
      </c>
      <c r="AC194" s="161">
        <f t="shared" si="132"/>
        <v>0</v>
      </c>
      <c r="AD194" s="161">
        <f t="shared" si="132"/>
        <v>0</v>
      </c>
      <c r="AE194" s="161">
        <f t="shared" si="132"/>
        <v>0</v>
      </c>
      <c r="AF194" s="174">
        <f t="shared" si="132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33"/>
        <v>0</v>
      </c>
      <c r="G195" s="161">
        <f t="shared" si="133"/>
        <v>0</v>
      </c>
      <c r="H195" s="161">
        <f t="shared" si="133"/>
        <v>0</v>
      </c>
      <c r="I195" s="161">
        <f t="shared" si="133"/>
        <v>0</v>
      </c>
      <c r="J195" s="161">
        <f t="shared" si="133"/>
        <v>0</v>
      </c>
      <c r="K195" s="161">
        <f t="shared" si="133"/>
        <v>0</v>
      </c>
      <c r="L195" s="161">
        <f t="shared" si="133"/>
        <v>0</v>
      </c>
      <c r="M195" s="161">
        <f t="shared" si="133"/>
        <v>0</v>
      </c>
      <c r="N195" s="161">
        <f t="shared" si="133"/>
        <v>0</v>
      </c>
      <c r="O195" s="161">
        <f t="shared" si="133"/>
        <v>0</v>
      </c>
      <c r="P195" s="161">
        <f t="shared" si="133"/>
        <v>0</v>
      </c>
      <c r="Q195" s="161">
        <f t="shared" si="133"/>
        <v>0</v>
      </c>
      <c r="R195" s="161">
        <f t="shared" si="133"/>
        <v>0</v>
      </c>
      <c r="S195" s="161">
        <f t="shared" si="132"/>
        <v>0</v>
      </c>
      <c r="T195" s="161">
        <f t="shared" si="132"/>
        <v>0</v>
      </c>
      <c r="U195" s="161">
        <f t="shared" si="132"/>
        <v>0</v>
      </c>
      <c r="V195" s="161">
        <f t="shared" si="132"/>
        <v>0</v>
      </c>
      <c r="W195" s="161">
        <f t="shared" si="132"/>
        <v>0</v>
      </c>
      <c r="X195" s="161">
        <f t="shared" si="132"/>
        <v>0</v>
      </c>
      <c r="Y195" s="161">
        <f t="shared" si="132"/>
        <v>0</v>
      </c>
      <c r="Z195" s="161">
        <f t="shared" si="132"/>
        <v>0</v>
      </c>
      <c r="AA195" s="161">
        <f t="shared" si="132"/>
        <v>0</v>
      </c>
      <c r="AB195" s="161">
        <f t="shared" si="132"/>
        <v>0</v>
      </c>
      <c r="AC195" s="161">
        <f t="shared" si="132"/>
        <v>0</v>
      </c>
      <c r="AD195" s="161">
        <f t="shared" si="132"/>
        <v>0</v>
      </c>
      <c r="AE195" s="161">
        <f t="shared" si="132"/>
        <v>0</v>
      </c>
      <c r="AF195" s="174">
        <f t="shared" si="132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33"/>
        <v>0</v>
      </c>
      <c r="G196" s="161">
        <f t="shared" si="133"/>
        <v>0</v>
      </c>
      <c r="H196" s="161">
        <f t="shared" si="133"/>
        <v>0</v>
      </c>
      <c r="I196" s="161">
        <f t="shared" si="133"/>
        <v>0</v>
      </c>
      <c r="J196" s="161">
        <f t="shared" si="133"/>
        <v>0</v>
      </c>
      <c r="K196" s="161">
        <f t="shared" si="133"/>
        <v>0</v>
      </c>
      <c r="L196" s="161">
        <f t="shared" si="133"/>
        <v>0</v>
      </c>
      <c r="M196" s="161">
        <f t="shared" si="133"/>
        <v>0</v>
      </c>
      <c r="N196" s="161">
        <f t="shared" si="133"/>
        <v>0</v>
      </c>
      <c r="O196" s="161">
        <f t="shared" si="133"/>
        <v>0</v>
      </c>
      <c r="P196" s="161">
        <f t="shared" si="133"/>
        <v>0</v>
      </c>
      <c r="Q196" s="161">
        <f t="shared" si="133"/>
        <v>0</v>
      </c>
      <c r="R196" s="161">
        <f t="shared" si="133"/>
        <v>0</v>
      </c>
      <c r="S196" s="161">
        <f t="shared" si="132"/>
        <v>0</v>
      </c>
      <c r="T196" s="161">
        <f t="shared" si="132"/>
        <v>0</v>
      </c>
      <c r="U196" s="161">
        <f t="shared" si="132"/>
        <v>0</v>
      </c>
      <c r="V196" s="161">
        <f t="shared" si="132"/>
        <v>0</v>
      </c>
      <c r="W196" s="161">
        <f t="shared" si="132"/>
        <v>0</v>
      </c>
      <c r="X196" s="161">
        <f t="shared" si="132"/>
        <v>0</v>
      </c>
      <c r="Y196" s="161">
        <f t="shared" si="132"/>
        <v>0</v>
      </c>
      <c r="Z196" s="161">
        <f t="shared" si="132"/>
        <v>0</v>
      </c>
      <c r="AA196" s="161">
        <f t="shared" si="132"/>
        <v>0</v>
      </c>
      <c r="AB196" s="161">
        <f t="shared" si="132"/>
        <v>0</v>
      </c>
      <c r="AC196" s="161">
        <f t="shared" si="132"/>
        <v>0</v>
      </c>
      <c r="AD196" s="161">
        <f t="shared" si="132"/>
        <v>0</v>
      </c>
      <c r="AE196" s="161">
        <f t="shared" si="132"/>
        <v>0</v>
      </c>
      <c r="AF196" s="174">
        <f t="shared" si="132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33"/>
        <v>0</v>
      </c>
      <c r="G197" s="161">
        <f t="shared" si="133"/>
        <v>0</v>
      </c>
      <c r="H197" s="161">
        <f t="shared" si="133"/>
        <v>0</v>
      </c>
      <c r="I197" s="161">
        <f t="shared" si="133"/>
        <v>0</v>
      </c>
      <c r="J197" s="161">
        <f t="shared" si="133"/>
        <v>0</v>
      </c>
      <c r="K197" s="161">
        <f t="shared" si="133"/>
        <v>0</v>
      </c>
      <c r="L197" s="161">
        <f t="shared" si="133"/>
        <v>0</v>
      </c>
      <c r="M197" s="161">
        <f t="shared" si="133"/>
        <v>0</v>
      </c>
      <c r="N197" s="161">
        <f t="shared" si="133"/>
        <v>0</v>
      </c>
      <c r="O197" s="161">
        <f t="shared" si="133"/>
        <v>0</v>
      </c>
      <c r="P197" s="161">
        <f t="shared" si="133"/>
        <v>0</v>
      </c>
      <c r="Q197" s="161">
        <f t="shared" si="133"/>
        <v>0</v>
      </c>
      <c r="R197" s="161">
        <f t="shared" si="133"/>
        <v>0</v>
      </c>
      <c r="S197" s="161">
        <f t="shared" si="132"/>
        <v>0</v>
      </c>
      <c r="T197" s="161">
        <f t="shared" si="132"/>
        <v>0</v>
      </c>
      <c r="U197" s="161">
        <f t="shared" si="132"/>
        <v>0</v>
      </c>
      <c r="V197" s="161">
        <f t="shared" si="132"/>
        <v>0</v>
      </c>
      <c r="W197" s="161">
        <f t="shared" si="132"/>
        <v>0</v>
      </c>
      <c r="X197" s="161">
        <f t="shared" si="132"/>
        <v>0</v>
      </c>
      <c r="Y197" s="161">
        <f t="shared" si="132"/>
        <v>0</v>
      </c>
      <c r="Z197" s="161">
        <f t="shared" si="132"/>
        <v>0</v>
      </c>
      <c r="AA197" s="161">
        <f t="shared" si="132"/>
        <v>0</v>
      </c>
      <c r="AB197" s="161">
        <f t="shared" si="132"/>
        <v>0</v>
      </c>
      <c r="AC197" s="161">
        <f t="shared" si="132"/>
        <v>0</v>
      </c>
      <c r="AD197" s="161">
        <f t="shared" si="132"/>
        <v>0</v>
      </c>
      <c r="AE197" s="161">
        <f t="shared" si="132"/>
        <v>0</v>
      </c>
      <c r="AF197" s="174">
        <f t="shared" si="132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33"/>
        <v>0</v>
      </c>
      <c r="G198" s="161">
        <f t="shared" si="133"/>
        <v>0</v>
      </c>
      <c r="H198" s="161">
        <f t="shared" si="133"/>
        <v>0</v>
      </c>
      <c r="I198" s="161">
        <f t="shared" si="133"/>
        <v>0</v>
      </c>
      <c r="J198" s="161">
        <f t="shared" si="133"/>
        <v>0</v>
      </c>
      <c r="K198" s="161">
        <f t="shared" si="133"/>
        <v>0</v>
      </c>
      <c r="L198" s="161">
        <f t="shared" si="133"/>
        <v>0</v>
      </c>
      <c r="M198" s="161">
        <f t="shared" si="133"/>
        <v>0</v>
      </c>
      <c r="N198" s="161">
        <f t="shared" si="133"/>
        <v>0</v>
      </c>
      <c r="O198" s="161">
        <f t="shared" si="133"/>
        <v>0</v>
      </c>
      <c r="P198" s="161">
        <f t="shared" si="133"/>
        <v>0</v>
      </c>
      <c r="Q198" s="161">
        <f t="shared" si="133"/>
        <v>0</v>
      </c>
      <c r="R198" s="161">
        <f t="shared" si="133"/>
        <v>0</v>
      </c>
      <c r="S198" s="161">
        <f t="shared" si="132"/>
        <v>0</v>
      </c>
      <c r="T198" s="161">
        <f t="shared" si="132"/>
        <v>0</v>
      </c>
      <c r="U198" s="161">
        <f t="shared" si="132"/>
        <v>0</v>
      </c>
      <c r="V198" s="161">
        <f t="shared" si="132"/>
        <v>0</v>
      </c>
      <c r="W198" s="161">
        <f t="shared" si="132"/>
        <v>0</v>
      </c>
      <c r="X198" s="161">
        <f t="shared" si="132"/>
        <v>0</v>
      </c>
      <c r="Y198" s="161">
        <f t="shared" si="132"/>
        <v>0</v>
      </c>
      <c r="Z198" s="161">
        <f t="shared" si="132"/>
        <v>0</v>
      </c>
      <c r="AA198" s="161">
        <f t="shared" si="132"/>
        <v>0</v>
      </c>
      <c r="AB198" s="161">
        <f t="shared" si="132"/>
        <v>0</v>
      </c>
      <c r="AC198" s="161">
        <f t="shared" si="132"/>
        <v>0</v>
      </c>
      <c r="AD198" s="161">
        <f t="shared" si="132"/>
        <v>0</v>
      </c>
      <c r="AE198" s="161">
        <f t="shared" si="132"/>
        <v>0</v>
      </c>
      <c r="AF198" s="174">
        <f t="shared" si="132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33"/>
        <v>0</v>
      </c>
      <c r="G199" s="161">
        <f t="shared" si="133"/>
        <v>0</v>
      </c>
      <c r="H199" s="161">
        <f t="shared" si="133"/>
        <v>0</v>
      </c>
      <c r="I199" s="161">
        <f t="shared" si="133"/>
        <v>0</v>
      </c>
      <c r="J199" s="161">
        <f t="shared" si="133"/>
        <v>0</v>
      </c>
      <c r="K199" s="161">
        <f t="shared" si="133"/>
        <v>0</v>
      </c>
      <c r="L199" s="161">
        <f t="shared" si="133"/>
        <v>0</v>
      </c>
      <c r="M199" s="161">
        <f t="shared" si="133"/>
        <v>0</v>
      </c>
      <c r="N199" s="161">
        <f t="shared" si="133"/>
        <v>0</v>
      </c>
      <c r="O199" s="161">
        <f t="shared" si="133"/>
        <v>0</v>
      </c>
      <c r="P199" s="161">
        <f t="shared" si="133"/>
        <v>0</v>
      </c>
      <c r="Q199" s="161">
        <f t="shared" si="133"/>
        <v>0</v>
      </c>
      <c r="R199" s="161">
        <f t="shared" si="133"/>
        <v>0</v>
      </c>
      <c r="S199" s="161">
        <f t="shared" si="132"/>
        <v>0</v>
      </c>
      <c r="T199" s="161">
        <f t="shared" si="132"/>
        <v>0</v>
      </c>
      <c r="U199" s="161">
        <f t="shared" si="132"/>
        <v>0</v>
      </c>
      <c r="V199" s="161">
        <f t="shared" si="132"/>
        <v>0</v>
      </c>
      <c r="W199" s="161">
        <f t="shared" si="132"/>
        <v>0</v>
      </c>
      <c r="X199" s="161">
        <f t="shared" si="132"/>
        <v>0</v>
      </c>
      <c r="Y199" s="161">
        <f t="shared" si="132"/>
        <v>0</v>
      </c>
      <c r="Z199" s="161">
        <f t="shared" si="132"/>
        <v>0</v>
      </c>
      <c r="AA199" s="161">
        <f t="shared" si="132"/>
        <v>0</v>
      </c>
      <c r="AB199" s="161">
        <f t="shared" si="132"/>
        <v>0</v>
      </c>
      <c r="AC199" s="161">
        <f t="shared" si="132"/>
        <v>0</v>
      </c>
      <c r="AD199" s="161">
        <f t="shared" si="132"/>
        <v>0</v>
      </c>
      <c r="AE199" s="161">
        <f t="shared" si="132"/>
        <v>0</v>
      </c>
      <c r="AF199" s="174">
        <f t="shared" si="132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33"/>
        <v>0</v>
      </c>
      <c r="G200" s="161">
        <f t="shared" si="133"/>
        <v>0</v>
      </c>
      <c r="H200" s="161">
        <f t="shared" si="133"/>
        <v>0</v>
      </c>
      <c r="I200" s="161">
        <f t="shared" si="133"/>
        <v>0</v>
      </c>
      <c r="J200" s="161">
        <f t="shared" si="133"/>
        <v>0</v>
      </c>
      <c r="K200" s="161">
        <f t="shared" si="133"/>
        <v>0</v>
      </c>
      <c r="L200" s="161">
        <f t="shared" si="133"/>
        <v>0</v>
      </c>
      <c r="M200" s="161">
        <f t="shared" si="133"/>
        <v>0</v>
      </c>
      <c r="N200" s="161">
        <f t="shared" si="133"/>
        <v>0</v>
      </c>
      <c r="O200" s="161">
        <f t="shared" si="133"/>
        <v>0</v>
      </c>
      <c r="P200" s="161">
        <f t="shared" si="133"/>
        <v>0</v>
      </c>
      <c r="Q200" s="161">
        <f t="shared" si="133"/>
        <v>0</v>
      </c>
      <c r="R200" s="161">
        <f t="shared" ref="R200:AF215" si="134">Q200</f>
        <v>0</v>
      </c>
      <c r="S200" s="161">
        <f t="shared" si="134"/>
        <v>0</v>
      </c>
      <c r="T200" s="161">
        <f t="shared" si="134"/>
        <v>0</v>
      </c>
      <c r="U200" s="161">
        <f t="shared" si="134"/>
        <v>0</v>
      </c>
      <c r="V200" s="161">
        <f t="shared" si="134"/>
        <v>0</v>
      </c>
      <c r="W200" s="161">
        <f t="shared" si="134"/>
        <v>0</v>
      </c>
      <c r="X200" s="161">
        <f t="shared" si="134"/>
        <v>0</v>
      </c>
      <c r="Y200" s="161">
        <f t="shared" si="134"/>
        <v>0</v>
      </c>
      <c r="Z200" s="161">
        <f t="shared" si="134"/>
        <v>0</v>
      </c>
      <c r="AA200" s="161">
        <f t="shared" si="134"/>
        <v>0</v>
      </c>
      <c r="AB200" s="161">
        <f t="shared" si="134"/>
        <v>0</v>
      </c>
      <c r="AC200" s="161">
        <f t="shared" si="134"/>
        <v>0</v>
      </c>
      <c r="AD200" s="161">
        <f t="shared" si="134"/>
        <v>0</v>
      </c>
      <c r="AE200" s="161">
        <f t="shared" si="134"/>
        <v>0</v>
      </c>
      <c r="AF200" s="174">
        <f t="shared" si="134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35">E201</f>
        <v>0</v>
      </c>
      <c r="G201" s="161">
        <f t="shared" si="135"/>
        <v>0</v>
      </c>
      <c r="H201" s="161">
        <f t="shared" si="135"/>
        <v>0</v>
      </c>
      <c r="I201" s="161">
        <f t="shared" si="135"/>
        <v>0</v>
      </c>
      <c r="J201" s="161">
        <f t="shared" si="135"/>
        <v>0</v>
      </c>
      <c r="K201" s="161">
        <f t="shared" si="135"/>
        <v>0</v>
      </c>
      <c r="L201" s="161">
        <f t="shared" si="135"/>
        <v>0</v>
      </c>
      <c r="M201" s="161">
        <f t="shared" si="135"/>
        <v>0</v>
      </c>
      <c r="N201" s="161">
        <f t="shared" si="135"/>
        <v>0</v>
      </c>
      <c r="O201" s="161">
        <f t="shared" si="135"/>
        <v>0</v>
      </c>
      <c r="P201" s="161">
        <f t="shared" si="135"/>
        <v>0</v>
      </c>
      <c r="Q201" s="161">
        <f t="shared" si="135"/>
        <v>0</v>
      </c>
      <c r="R201" s="161">
        <f t="shared" si="135"/>
        <v>0</v>
      </c>
      <c r="S201" s="161">
        <f t="shared" si="134"/>
        <v>0</v>
      </c>
      <c r="T201" s="161">
        <f t="shared" si="134"/>
        <v>0</v>
      </c>
      <c r="U201" s="161">
        <f t="shared" si="134"/>
        <v>0</v>
      </c>
      <c r="V201" s="161">
        <f t="shared" si="134"/>
        <v>0</v>
      </c>
      <c r="W201" s="161">
        <f t="shared" si="134"/>
        <v>0</v>
      </c>
      <c r="X201" s="161">
        <f t="shared" si="134"/>
        <v>0</v>
      </c>
      <c r="Y201" s="161">
        <f t="shared" si="134"/>
        <v>0</v>
      </c>
      <c r="Z201" s="161">
        <f t="shared" si="134"/>
        <v>0</v>
      </c>
      <c r="AA201" s="161">
        <f t="shared" si="134"/>
        <v>0</v>
      </c>
      <c r="AB201" s="161">
        <f t="shared" si="134"/>
        <v>0</v>
      </c>
      <c r="AC201" s="161">
        <f t="shared" si="134"/>
        <v>0</v>
      </c>
      <c r="AD201" s="161">
        <f t="shared" si="134"/>
        <v>0</v>
      </c>
      <c r="AE201" s="161">
        <f t="shared" si="134"/>
        <v>0</v>
      </c>
      <c r="AF201" s="174">
        <f t="shared" si="134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35"/>
        <v>0</v>
      </c>
      <c r="G202" s="161">
        <f t="shared" si="135"/>
        <v>0</v>
      </c>
      <c r="H202" s="161">
        <f t="shared" si="135"/>
        <v>0</v>
      </c>
      <c r="I202" s="161">
        <f t="shared" si="135"/>
        <v>0</v>
      </c>
      <c r="J202" s="161">
        <f t="shared" si="135"/>
        <v>0</v>
      </c>
      <c r="K202" s="161">
        <f t="shared" si="135"/>
        <v>0</v>
      </c>
      <c r="L202" s="161">
        <f t="shared" si="135"/>
        <v>0</v>
      </c>
      <c r="M202" s="161">
        <f t="shared" si="135"/>
        <v>0</v>
      </c>
      <c r="N202" s="161">
        <f t="shared" si="135"/>
        <v>0</v>
      </c>
      <c r="O202" s="161">
        <f t="shared" si="135"/>
        <v>0</v>
      </c>
      <c r="P202" s="161">
        <f t="shared" si="135"/>
        <v>0</v>
      </c>
      <c r="Q202" s="161">
        <f t="shared" si="135"/>
        <v>0</v>
      </c>
      <c r="R202" s="161">
        <f t="shared" si="135"/>
        <v>0</v>
      </c>
      <c r="S202" s="161">
        <f t="shared" si="134"/>
        <v>0</v>
      </c>
      <c r="T202" s="161">
        <f t="shared" si="134"/>
        <v>0</v>
      </c>
      <c r="U202" s="161">
        <f t="shared" si="134"/>
        <v>0</v>
      </c>
      <c r="V202" s="161">
        <f t="shared" si="134"/>
        <v>0</v>
      </c>
      <c r="W202" s="161">
        <f t="shared" si="134"/>
        <v>0</v>
      </c>
      <c r="X202" s="161">
        <f t="shared" si="134"/>
        <v>0</v>
      </c>
      <c r="Y202" s="161">
        <f t="shared" si="134"/>
        <v>0</v>
      </c>
      <c r="Z202" s="161">
        <f t="shared" si="134"/>
        <v>0</v>
      </c>
      <c r="AA202" s="161">
        <f t="shared" si="134"/>
        <v>0</v>
      </c>
      <c r="AB202" s="161">
        <f t="shared" si="134"/>
        <v>0</v>
      </c>
      <c r="AC202" s="161">
        <f t="shared" si="134"/>
        <v>0</v>
      </c>
      <c r="AD202" s="161">
        <f t="shared" si="134"/>
        <v>0</v>
      </c>
      <c r="AE202" s="161">
        <f t="shared" si="134"/>
        <v>0</v>
      </c>
      <c r="AF202" s="174">
        <f t="shared" si="134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35"/>
        <v>0</v>
      </c>
      <c r="G203" s="161">
        <f t="shared" si="135"/>
        <v>0</v>
      </c>
      <c r="H203" s="161">
        <f t="shared" si="135"/>
        <v>0</v>
      </c>
      <c r="I203" s="161">
        <f t="shared" si="135"/>
        <v>0</v>
      </c>
      <c r="J203" s="161">
        <f t="shared" si="135"/>
        <v>0</v>
      </c>
      <c r="K203" s="161">
        <f t="shared" si="135"/>
        <v>0</v>
      </c>
      <c r="L203" s="161">
        <f t="shared" si="135"/>
        <v>0</v>
      </c>
      <c r="M203" s="161">
        <f t="shared" si="135"/>
        <v>0</v>
      </c>
      <c r="N203" s="161">
        <f t="shared" si="135"/>
        <v>0</v>
      </c>
      <c r="O203" s="161">
        <f t="shared" si="135"/>
        <v>0</v>
      </c>
      <c r="P203" s="161">
        <f t="shared" si="135"/>
        <v>0</v>
      </c>
      <c r="Q203" s="161">
        <f t="shared" si="135"/>
        <v>0</v>
      </c>
      <c r="R203" s="161">
        <f t="shared" si="135"/>
        <v>0</v>
      </c>
      <c r="S203" s="161">
        <f t="shared" si="134"/>
        <v>0</v>
      </c>
      <c r="T203" s="161">
        <f t="shared" si="134"/>
        <v>0</v>
      </c>
      <c r="U203" s="161">
        <f t="shared" si="134"/>
        <v>0</v>
      </c>
      <c r="V203" s="161">
        <f t="shared" si="134"/>
        <v>0</v>
      </c>
      <c r="W203" s="161">
        <f t="shared" si="134"/>
        <v>0</v>
      </c>
      <c r="X203" s="161">
        <f t="shared" si="134"/>
        <v>0</v>
      </c>
      <c r="Y203" s="161">
        <f t="shared" si="134"/>
        <v>0</v>
      </c>
      <c r="Z203" s="161">
        <f t="shared" si="134"/>
        <v>0</v>
      </c>
      <c r="AA203" s="161">
        <f t="shared" si="134"/>
        <v>0</v>
      </c>
      <c r="AB203" s="161">
        <f t="shared" si="134"/>
        <v>0</v>
      </c>
      <c r="AC203" s="161">
        <f t="shared" si="134"/>
        <v>0</v>
      </c>
      <c r="AD203" s="161">
        <f t="shared" si="134"/>
        <v>0</v>
      </c>
      <c r="AE203" s="161">
        <f t="shared" si="134"/>
        <v>0</v>
      </c>
      <c r="AF203" s="174">
        <f t="shared" si="134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35"/>
        <v>0</v>
      </c>
      <c r="G204" s="161">
        <f t="shared" si="135"/>
        <v>0</v>
      </c>
      <c r="H204" s="161">
        <f t="shared" si="135"/>
        <v>0</v>
      </c>
      <c r="I204" s="161">
        <f t="shared" si="135"/>
        <v>0</v>
      </c>
      <c r="J204" s="161">
        <f t="shared" si="135"/>
        <v>0</v>
      </c>
      <c r="K204" s="161">
        <f t="shared" si="135"/>
        <v>0</v>
      </c>
      <c r="L204" s="161">
        <f t="shared" si="135"/>
        <v>0</v>
      </c>
      <c r="M204" s="161">
        <f t="shared" si="135"/>
        <v>0</v>
      </c>
      <c r="N204" s="161">
        <f t="shared" si="135"/>
        <v>0</v>
      </c>
      <c r="O204" s="161">
        <f t="shared" si="135"/>
        <v>0</v>
      </c>
      <c r="P204" s="161">
        <f t="shared" si="135"/>
        <v>0</v>
      </c>
      <c r="Q204" s="161">
        <f t="shared" si="135"/>
        <v>0</v>
      </c>
      <c r="R204" s="161">
        <f t="shared" si="135"/>
        <v>0</v>
      </c>
      <c r="S204" s="161">
        <f t="shared" si="134"/>
        <v>0</v>
      </c>
      <c r="T204" s="161">
        <f t="shared" si="134"/>
        <v>0</v>
      </c>
      <c r="U204" s="161">
        <f t="shared" si="134"/>
        <v>0</v>
      </c>
      <c r="V204" s="161">
        <f t="shared" si="134"/>
        <v>0</v>
      </c>
      <c r="W204" s="161">
        <f t="shared" si="134"/>
        <v>0</v>
      </c>
      <c r="X204" s="161">
        <f t="shared" si="134"/>
        <v>0</v>
      </c>
      <c r="Y204" s="161">
        <f t="shared" si="134"/>
        <v>0</v>
      </c>
      <c r="Z204" s="161">
        <f t="shared" si="134"/>
        <v>0</v>
      </c>
      <c r="AA204" s="161">
        <f t="shared" si="134"/>
        <v>0</v>
      </c>
      <c r="AB204" s="161">
        <f t="shared" si="134"/>
        <v>0</v>
      </c>
      <c r="AC204" s="161">
        <f t="shared" si="134"/>
        <v>0</v>
      </c>
      <c r="AD204" s="161">
        <f t="shared" si="134"/>
        <v>0</v>
      </c>
      <c r="AE204" s="161">
        <f t="shared" si="134"/>
        <v>0</v>
      </c>
      <c r="AF204" s="174">
        <f t="shared" si="134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35"/>
        <v>0</v>
      </c>
      <c r="G205" s="161">
        <f t="shared" si="135"/>
        <v>0</v>
      </c>
      <c r="H205" s="161">
        <f t="shared" si="135"/>
        <v>0</v>
      </c>
      <c r="I205" s="161">
        <f t="shared" si="135"/>
        <v>0</v>
      </c>
      <c r="J205" s="161">
        <f t="shared" si="135"/>
        <v>0</v>
      </c>
      <c r="K205" s="161">
        <f t="shared" si="135"/>
        <v>0</v>
      </c>
      <c r="L205" s="161">
        <f t="shared" si="135"/>
        <v>0</v>
      </c>
      <c r="M205" s="161">
        <f t="shared" si="135"/>
        <v>0</v>
      </c>
      <c r="N205" s="161">
        <f t="shared" si="135"/>
        <v>0</v>
      </c>
      <c r="O205" s="161">
        <f t="shared" si="135"/>
        <v>0</v>
      </c>
      <c r="P205" s="161">
        <f t="shared" si="135"/>
        <v>0</v>
      </c>
      <c r="Q205" s="161">
        <f t="shared" si="135"/>
        <v>0</v>
      </c>
      <c r="R205" s="161">
        <f t="shared" si="135"/>
        <v>0</v>
      </c>
      <c r="S205" s="161">
        <f t="shared" si="134"/>
        <v>0</v>
      </c>
      <c r="T205" s="161">
        <f t="shared" si="134"/>
        <v>0</v>
      </c>
      <c r="U205" s="161">
        <f t="shared" si="134"/>
        <v>0</v>
      </c>
      <c r="V205" s="161">
        <f t="shared" si="134"/>
        <v>0</v>
      </c>
      <c r="W205" s="161">
        <f t="shared" si="134"/>
        <v>0</v>
      </c>
      <c r="X205" s="161">
        <f t="shared" si="134"/>
        <v>0</v>
      </c>
      <c r="Y205" s="161">
        <f t="shared" si="134"/>
        <v>0</v>
      </c>
      <c r="Z205" s="161">
        <f t="shared" si="134"/>
        <v>0</v>
      </c>
      <c r="AA205" s="161">
        <f t="shared" si="134"/>
        <v>0</v>
      </c>
      <c r="AB205" s="161">
        <f t="shared" si="134"/>
        <v>0</v>
      </c>
      <c r="AC205" s="161">
        <f t="shared" si="134"/>
        <v>0</v>
      </c>
      <c r="AD205" s="161">
        <f t="shared" si="134"/>
        <v>0</v>
      </c>
      <c r="AE205" s="161">
        <f t="shared" si="134"/>
        <v>0</v>
      </c>
      <c r="AF205" s="174">
        <f t="shared" si="134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35"/>
        <v>0</v>
      </c>
      <c r="G206" s="161">
        <f t="shared" si="135"/>
        <v>0</v>
      </c>
      <c r="H206" s="161">
        <f t="shared" si="135"/>
        <v>0</v>
      </c>
      <c r="I206" s="161">
        <f t="shared" si="135"/>
        <v>0</v>
      </c>
      <c r="J206" s="161">
        <f t="shared" si="135"/>
        <v>0</v>
      </c>
      <c r="K206" s="161">
        <f t="shared" si="135"/>
        <v>0</v>
      </c>
      <c r="L206" s="161">
        <f t="shared" si="135"/>
        <v>0</v>
      </c>
      <c r="M206" s="161">
        <f t="shared" si="135"/>
        <v>0</v>
      </c>
      <c r="N206" s="161">
        <f t="shared" si="135"/>
        <v>0</v>
      </c>
      <c r="O206" s="161">
        <f t="shared" si="135"/>
        <v>0</v>
      </c>
      <c r="P206" s="161">
        <f t="shared" si="135"/>
        <v>0</v>
      </c>
      <c r="Q206" s="161">
        <f t="shared" si="135"/>
        <v>0</v>
      </c>
      <c r="R206" s="161">
        <f t="shared" si="135"/>
        <v>0</v>
      </c>
      <c r="S206" s="161">
        <f t="shared" si="134"/>
        <v>0</v>
      </c>
      <c r="T206" s="161">
        <f t="shared" si="134"/>
        <v>0</v>
      </c>
      <c r="U206" s="161">
        <f t="shared" si="134"/>
        <v>0</v>
      </c>
      <c r="V206" s="161">
        <f t="shared" si="134"/>
        <v>0</v>
      </c>
      <c r="W206" s="161">
        <f t="shared" si="134"/>
        <v>0</v>
      </c>
      <c r="X206" s="161">
        <f t="shared" si="134"/>
        <v>0</v>
      </c>
      <c r="Y206" s="161">
        <f t="shared" si="134"/>
        <v>0</v>
      </c>
      <c r="Z206" s="161">
        <f t="shared" si="134"/>
        <v>0</v>
      </c>
      <c r="AA206" s="161">
        <f t="shared" si="134"/>
        <v>0</v>
      </c>
      <c r="AB206" s="161">
        <f t="shared" si="134"/>
        <v>0</v>
      </c>
      <c r="AC206" s="161">
        <f t="shared" si="134"/>
        <v>0</v>
      </c>
      <c r="AD206" s="161">
        <f t="shared" si="134"/>
        <v>0</v>
      </c>
      <c r="AE206" s="161">
        <f t="shared" si="134"/>
        <v>0</v>
      </c>
      <c r="AF206" s="174">
        <f t="shared" si="134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35"/>
        <v>0</v>
      </c>
      <c r="G207" s="161">
        <f t="shared" si="135"/>
        <v>0</v>
      </c>
      <c r="H207" s="161">
        <f t="shared" si="135"/>
        <v>0</v>
      </c>
      <c r="I207" s="161">
        <f t="shared" si="135"/>
        <v>0</v>
      </c>
      <c r="J207" s="161">
        <f t="shared" si="135"/>
        <v>0</v>
      </c>
      <c r="K207" s="161">
        <f t="shared" si="135"/>
        <v>0</v>
      </c>
      <c r="L207" s="161">
        <f t="shared" si="135"/>
        <v>0</v>
      </c>
      <c r="M207" s="161">
        <f t="shared" si="135"/>
        <v>0</v>
      </c>
      <c r="N207" s="161">
        <f t="shared" si="135"/>
        <v>0</v>
      </c>
      <c r="O207" s="161">
        <f t="shared" si="135"/>
        <v>0</v>
      </c>
      <c r="P207" s="161">
        <f t="shared" si="135"/>
        <v>0</v>
      </c>
      <c r="Q207" s="161">
        <f t="shared" si="135"/>
        <v>0</v>
      </c>
      <c r="R207" s="161">
        <f t="shared" si="135"/>
        <v>0</v>
      </c>
      <c r="S207" s="161">
        <f t="shared" si="134"/>
        <v>0</v>
      </c>
      <c r="T207" s="161">
        <f t="shared" si="134"/>
        <v>0</v>
      </c>
      <c r="U207" s="161">
        <f t="shared" si="134"/>
        <v>0</v>
      </c>
      <c r="V207" s="161">
        <f t="shared" si="134"/>
        <v>0</v>
      </c>
      <c r="W207" s="161">
        <f t="shared" si="134"/>
        <v>0</v>
      </c>
      <c r="X207" s="161">
        <f t="shared" si="134"/>
        <v>0</v>
      </c>
      <c r="Y207" s="161">
        <f t="shared" si="134"/>
        <v>0</v>
      </c>
      <c r="Z207" s="161">
        <f t="shared" si="134"/>
        <v>0</v>
      </c>
      <c r="AA207" s="161">
        <f t="shared" si="134"/>
        <v>0</v>
      </c>
      <c r="AB207" s="161">
        <f t="shared" si="134"/>
        <v>0</v>
      </c>
      <c r="AC207" s="161">
        <f t="shared" si="134"/>
        <v>0</v>
      </c>
      <c r="AD207" s="161">
        <f t="shared" si="134"/>
        <v>0</v>
      </c>
      <c r="AE207" s="161">
        <f t="shared" si="134"/>
        <v>0</v>
      </c>
      <c r="AF207" s="174">
        <f t="shared" si="134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35"/>
        <v>0</v>
      </c>
      <c r="G208" s="161">
        <f t="shared" si="135"/>
        <v>0</v>
      </c>
      <c r="H208" s="161">
        <f t="shared" si="135"/>
        <v>0</v>
      </c>
      <c r="I208" s="161">
        <f t="shared" si="135"/>
        <v>0</v>
      </c>
      <c r="J208" s="161">
        <f t="shared" si="135"/>
        <v>0</v>
      </c>
      <c r="K208" s="161">
        <f t="shared" si="135"/>
        <v>0</v>
      </c>
      <c r="L208" s="161">
        <f t="shared" si="135"/>
        <v>0</v>
      </c>
      <c r="M208" s="161">
        <f t="shared" si="135"/>
        <v>0</v>
      </c>
      <c r="N208" s="161">
        <f t="shared" si="135"/>
        <v>0</v>
      </c>
      <c r="O208" s="161">
        <f t="shared" si="135"/>
        <v>0</v>
      </c>
      <c r="P208" s="161">
        <f t="shared" si="135"/>
        <v>0</v>
      </c>
      <c r="Q208" s="161">
        <f t="shared" si="135"/>
        <v>0</v>
      </c>
      <c r="R208" s="161">
        <f t="shared" si="135"/>
        <v>0</v>
      </c>
      <c r="S208" s="161">
        <f t="shared" si="134"/>
        <v>0</v>
      </c>
      <c r="T208" s="161">
        <f t="shared" si="134"/>
        <v>0</v>
      </c>
      <c r="U208" s="161">
        <f t="shared" si="134"/>
        <v>0</v>
      </c>
      <c r="V208" s="161">
        <f t="shared" si="134"/>
        <v>0</v>
      </c>
      <c r="W208" s="161">
        <f t="shared" si="134"/>
        <v>0</v>
      </c>
      <c r="X208" s="161">
        <f t="shared" si="134"/>
        <v>0</v>
      </c>
      <c r="Y208" s="161">
        <f t="shared" si="134"/>
        <v>0</v>
      </c>
      <c r="Z208" s="161">
        <f t="shared" si="134"/>
        <v>0</v>
      </c>
      <c r="AA208" s="161">
        <f t="shared" si="134"/>
        <v>0</v>
      </c>
      <c r="AB208" s="161">
        <f t="shared" si="134"/>
        <v>0</v>
      </c>
      <c r="AC208" s="161">
        <f t="shared" si="134"/>
        <v>0</v>
      </c>
      <c r="AD208" s="161">
        <f t="shared" si="134"/>
        <v>0</v>
      </c>
      <c r="AE208" s="161">
        <f t="shared" si="134"/>
        <v>0</v>
      </c>
      <c r="AF208" s="174">
        <f t="shared" si="134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35"/>
        <v>0</v>
      </c>
      <c r="G209" s="161">
        <f t="shared" si="135"/>
        <v>0</v>
      </c>
      <c r="H209" s="161">
        <f t="shared" si="135"/>
        <v>0</v>
      </c>
      <c r="I209" s="161">
        <f t="shared" si="135"/>
        <v>0</v>
      </c>
      <c r="J209" s="161">
        <f t="shared" si="135"/>
        <v>0</v>
      </c>
      <c r="K209" s="161">
        <f t="shared" si="135"/>
        <v>0</v>
      </c>
      <c r="L209" s="161">
        <f t="shared" si="135"/>
        <v>0</v>
      </c>
      <c r="M209" s="161">
        <f t="shared" si="135"/>
        <v>0</v>
      </c>
      <c r="N209" s="161">
        <f t="shared" si="135"/>
        <v>0</v>
      </c>
      <c r="O209" s="161">
        <f t="shared" si="135"/>
        <v>0</v>
      </c>
      <c r="P209" s="161">
        <f t="shared" si="135"/>
        <v>0</v>
      </c>
      <c r="Q209" s="161">
        <f t="shared" si="135"/>
        <v>0</v>
      </c>
      <c r="R209" s="161">
        <f t="shared" si="135"/>
        <v>0</v>
      </c>
      <c r="S209" s="161">
        <f t="shared" si="134"/>
        <v>0</v>
      </c>
      <c r="T209" s="161">
        <f t="shared" si="134"/>
        <v>0</v>
      </c>
      <c r="U209" s="161">
        <f t="shared" si="134"/>
        <v>0</v>
      </c>
      <c r="V209" s="161">
        <f t="shared" si="134"/>
        <v>0</v>
      </c>
      <c r="W209" s="161">
        <f t="shared" si="134"/>
        <v>0</v>
      </c>
      <c r="X209" s="161">
        <f t="shared" si="134"/>
        <v>0</v>
      </c>
      <c r="Y209" s="161">
        <f t="shared" si="134"/>
        <v>0</v>
      </c>
      <c r="Z209" s="161">
        <f t="shared" si="134"/>
        <v>0</v>
      </c>
      <c r="AA209" s="161">
        <f t="shared" si="134"/>
        <v>0</v>
      </c>
      <c r="AB209" s="161">
        <f t="shared" si="134"/>
        <v>0</v>
      </c>
      <c r="AC209" s="161">
        <f t="shared" si="134"/>
        <v>0</v>
      </c>
      <c r="AD209" s="161">
        <f t="shared" si="134"/>
        <v>0</v>
      </c>
      <c r="AE209" s="161">
        <f t="shared" si="134"/>
        <v>0</v>
      </c>
      <c r="AF209" s="174">
        <f t="shared" si="134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35"/>
        <v>0</v>
      </c>
      <c r="G210" s="161">
        <f t="shared" si="135"/>
        <v>0</v>
      </c>
      <c r="H210" s="161">
        <f t="shared" si="135"/>
        <v>0</v>
      </c>
      <c r="I210" s="161">
        <f t="shared" si="135"/>
        <v>0</v>
      </c>
      <c r="J210" s="161">
        <f t="shared" si="135"/>
        <v>0</v>
      </c>
      <c r="K210" s="161">
        <f t="shared" si="135"/>
        <v>0</v>
      </c>
      <c r="L210" s="161">
        <f t="shared" si="135"/>
        <v>0</v>
      </c>
      <c r="M210" s="161">
        <f t="shared" si="135"/>
        <v>0</v>
      </c>
      <c r="N210" s="161">
        <f t="shared" si="135"/>
        <v>0</v>
      </c>
      <c r="O210" s="161">
        <f t="shared" si="135"/>
        <v>0</v>
      </c>
      <c r="P210" s="161">
        <f t="shared" si="135"/>
        <v>0</v>
      </c>
      <c r="Q210" s="161">
        <f t="shared" si="135"/>
        <v>0</v>
      </c>
      <c r="R210" s="161">
        <f t="shared" si="135"/>
        <v>0</v>
      </c>
      <c r="S210" s="161">
        <f t="shared" si="134"/>
        <v>0</v>
      </c>
      <c r="T210" s="161">
        <f t="shared" si="134"/>
        <v>0</v>
      </c>
      <c r="U210" s="161">
        <f t="shared" si="134"/>
        <v>0</v>
      </c>
      <c r="V210" s="161">
        <f t="shared" si="134"/>
        <v>0</v>
      </c>
      <c r="W210" s="161">
        <f t="shared" si="134"/>
        <v>0</v>
      </c>
      <c r="X210" s="161">
        <f t="shared" si="134"/>
        <v>0</v>
      </c>
      <c r="Y210" s="161">
        <f t="shared" si="134"/>
        <v>0</v>
      </c>
      <c r="Z210" s="161">
        <f t="shared" si="134"/>
        <v>0</v>
      </c>
      <c r="AA210" s="161">
        <f t="shared" si="134"/>
        <v>0</v>
      </c>
      <c r="AB210" s="161">
        <f t="shared" si="134"/>
        <v>0</v>
      </c>
      <c r="AC210" s="161">
        <f t="shared" si="134"/>
        <v>0</v>
      </c>
      <c r="AD210" s="161">
        <f t="shared" si="134"/>
        <v>0</v>
      </c>
      <c r="AE210" s="161">
        <f t="shared" si="134"/>
        <v>0</v>
      </c>
      <c r="AF210" s="174">
        <f t="shared" si="134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35"/>
        <v>0</v>
      </c>
      <c r="G211" s="161">
        <f t="shared" si="135"/>
        <v>0</v>
      </c>
      <c r="H211" s="161">
        <f t="shared" si="135"/>
        <v>0</v>
      </c>
      <c r="I211" s="161">
        <f t="shared" si="135"/>
        <v>0</v>
      </c>
      <c r="J211" s="161">
        <f t="shared" si="135"/>
        <v>0</v>
      </c>
      <c r="K211" s="161">
        <f t="shared" si="135"/>
        <v>0</v>
      </c>
      <c r="L211" s="161">
        <f t="shared" si="135"/>
        <v>0</v>
      </c>
      <c r="M211" s="161">
        <f t="shared" si="135"/>
        <v>0</v>
      </c>
      <c r="N211" s="161">
        <f t="shared" si="135"/>
        <v>0</v>
      </c>
      <c r="O211" s="161">
        <f t="shared" si="135"/>
        <v>0</v>
      </c>
      <c r="P211" s="161">
        <f t="shared" si="135"/>
        <v>0</v>
      </c>
      <c r="Q211" s="161">
        <f t="shared" si="135"/>
        <v>0</v>
      </c>
      <c r="R211" s="161">
        <f t="shared" si="135"/>
        <v>0</v>
      </c>
      <c r="S211" s="161">
        <f t="shared" si="134"/>
        <v>0</v>
      </c>
      <c r="T211" s="161">
        <f t="shared" si="134"/>
        <v>0</v>
      </c>
      <c r="U211" s="161">
        <f t="shared" si="134"/>
        <v>0</v>
      </c>
      <c r="V211" s="161">
        <f t="shared" si="134"/>
        <v>0</v>
      </c>
      <c r="W211" s="161">
        <f t="shared" si="134"/>
        <v>0</v>
      </c>
      <c r="X211" s="161">
        <f t="shared" si="134"/>
        <v>0</v>
      </c>
      <c r="Y211" s="161">
        <f t="shared" si="134"/>
        <v>0</v>
      </c>
      <c r="Z211" s="161">
        <f t="shared" si="134"/>
        <v>0</v>
      </c>
      <c r="AA211" s="161">
        <f t="shared" si="134"/>
        <v>0</v>
      </c>
      <c r="AB211" s="161">
        <f t="shared" si="134"/>
        <v>0</v>
      </c>
      <c r="AC211" s="161">
        <f t="shared" si="134"/>
        <v>0</v>
      </c>
      <c r="AD211" s="161">
        <f t="shared" si="134"/>
        <v>0</v>
      </c>
      <c r="AE211" s="161">
        <f t="shared" si="134"/>
        <v>0</v>
      </c>
      <c r="AF211" s="174">
        <f t="shared" si="134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35"/>
        <v>0</v>
      </c>
      <c r="G212" s="161">
        <f t="shared" si="135"/>
        <v>0</v>
      </c>
      <c r="H212" s="161">
        <f t="shared" si="135"/>
        <v>0</v>
      </c>
      <c r="I212" s="161">
        <f t="shared" si="135"/>
        <v>0</v>
      </c>
      <c r="J212" s="161">
        <f t="shared" si="135"/>
        <v>0</v>
      </c>
      <c r="K212" s="161">
        <f t="shared" si="135"/>
        <v>0</v>
      </c>
      <c r="L212" s="161">
        <f t="shared" si="135"/>
        <v>0</v>
      </c>
      <c r="M212" s="161">
        <f t="shared" si="135"/>
        <v>0</v>
      </c>
      <c r="N212" s="161">
        <f t="shared" si="135"/>
        <v>0</v>
      </c>
      <c r="O212" s="161">
        <f t="shared" si="135"/>
        <v>0</v>
      </c>
      <c r="P212" s="161">
        <f t="shared" si="135"/>
        <v>0</v>
      </c>
      <c r="Q212" s="161">
        <f t="shared" si="135"/>
        <v>0</v>
      </c>
      <c r="R212" s="161">
        <f t="shared" si="135"/>
        <v>0</v>
      </c>
      <c r="S212" s="161">
        <f t="shared" si="134"/>
        <v>0</v>
      </c>
      <c r="T212" s="161">
        <f t="shared" si="134"/>
        <v>0</v>
      </c>
      <c r="U212" s="161">
        <f t="shared" si="134"/>
        <v>0</v>
      </c>
      <c r="V212" s="161">
        <f t="shared" si="134"/>
        <v>0</v>
      </c>
      <c r="W212" s="161">
        <f t="shared" si="134"/>
        <v>0</v>
      </c>
      <c r="X212" s="161">
        <f t="shared" si="134"/>
        <v>0</v>
      </c>
      <c r="Y212" s="161">
        <f t="shared" si="134"/>
        <v>0</v>
      </c>
      <c r="Z212" s="161">
        <f t="shared" si="134"/>
        <v>0</v>
      </c>
      <c r="AA212" s="161">
        <f t="shared" si="134"/>
        <v>0</v>
      </c>
      <c r="AB212" s="161">
        <f t="shared" si="134"/>
        <v>0</v>
      </c>
      <c r="AC212" s="161">
        <f t="shared" si="134"/>
        <v>0</v>
      </c>
      <c r="AD212" s="161">
        <f t="shared" si="134"/>
        <v>0</v>
      </c>
      <c r="AE212" s="161">
        <f t="shared" si="134"/>
        <v>0</v>
      </c>
      <c r="AF212" s="174">
        <f t="shared" si="134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35"/>
        <v>0</v>
      </c>
      <c r="G213" s="161">
        <f t="shared" si="135"/>
        <v>0</v>
      </c>
      <c r="H213" s="161">
        <f t="shared" si="135"/>
        <v>0</v>
      </c>
      <c r="I213" s="161">
        <f t="shared" si="135"/>
        <v>0</v>
      </c>
      <c r="J213" s="161">
        <f t="shared" si="135"/>
        <v>0</v>
      </c>
      <c r="K213" s="161">
        <f t="shared" si="135"/>
        <v>0</v>
      </c>
      <c r="L213" s="161">
        <f t="shared" si="135"/>
        <v>0</v>
      </c>
      <c r="M213" s="161">
        <f t="shared" si="135"/>
        <v>0</v>
      </c>
      <c r="N213" s="161">
        <f t="shared" si="135"/>
        <v>0</v>
      </c>
      <c r="O213" s="161">
        <f t="shared" si="135"/>
        <v>0</v>
      </c>
      <c r="P213" s="161">
        <f t="shared" si="135"/>
        <v>0</v>
      </c>
      <c r="Q213" s="161">
        <f t="shared" si="135"/>
        <v>0</v>
      </c>
      <c r="R213" s="161">
        <f t="shared" si="135"/>
        <v>0</v>
      </c>
      <c r="S213" s="161">
        <f t="shared" si="134"/>
        <v>0</v>
      </c>
      <c r="T213" s="161">
        <f t="shared" si="134"/>
        <v>0</v>
      </c>
      <c r="U213" s="161">
        <f t="shared" si="134"/>
        <v>0</v>
      </c>
      <c r="V213" s="161">
        <f t="shared" si="134"/>
        <v>0</v>
      </c>
      <c r="W213" s="161">
        <f t="shared" si="134"/>
        <v>0</v>
      </c>
      <c r="X213" s="161">
        <f t="shared" si="134"/>
        <v>0</v>
      </c>
      <c r="Y213" s="161">
        <f t="shared" si="134"/>
        <v>0</v>
      </c>
      <c r="Z213" s="161">
        <f t="shared" si="134"/>
        <v>0</v>
      </c>
      <c r="AA213" s="161">
        <f t="shared" si="134"/>
        <v>0</v>
      </c>
      <c r="AB213" s="161">
        <f t="shared" si="134"/>
        <v>0</v>
      </c>
      <c r="AC213" s="161">
        <f t="shared" si="134"/>
        <v>0</v>
      </c>
      <c r="AD213" s="161">
        <f t="shared" si="134"/>
        <v>0</v>
      </c>
      <c r="AE213" s="161">
        <f t="shared" si="134"/>
        <v>0</v>
      </c>
      <c r="AF213" s="174">
        <f t="shared" si="134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35"/>
        <v>0</v>
      </c>
      <c r="G214" s="161">
        <f t="shared" si="135"/>
        <v>0</v>
      </c>
      <c r="H214" s="161">
        <f t="shared" si="135"/>
        <v>0</v>
      </c>
      <c r="I214" s="161">
        <f t="shared" si="135"/>
        <v>0</v>
      </c>
      <c r="J214" s="161">
        <f t="shared" si="135"/>
        <v>0</v>
      </c>
      <c r="K214" s="161">
        <f t="shared" si="135"/>
        <v>0</v>
      </c>
      <c r="L214" s="161">
        <f t="shared" si="135"/>
        <v>0</v>
      </c>
      <c r="M214" s="161">
        <f t="shared" si="135"/>
        <v>0</v>
      </c>
      <c r="N214" s="161">
        <f t="shared" si="135"/>
        <v>0</v>
      </c>
      <c r="O214" s="161">
        <f t="shared" si="135"/>
        <v>0</v>
      </c>
      <c r="P214" s="161">
        <f t="shared" si="135"/>
        <v>0</v>
      </c>
      <c r="Q214" s="161">
        <f t="shared" si="135"/>
        <v>0</v>
      </c>
      <c r="R214" s="161">
        <f t="shared" si="135"/>
        <v>0</v>
      </c>
      <c r="S214" s="161">
        <f t="shared" si="134"/>
        <v>0</v>
      </c>
      <c r="T214" s="161">
        <f t="shared" si="134"/>
        <v>0</v>
      </c>
      <c r="U214" s="161">
        <f t="shared" si="134"/>
        <v>0</v>
      </c>
      <c r="V214" s="161">
        <f t="shared" si="134"/>
        <v>0</v>
      </c>
      <c r="W214" s="161">
        <f t="shared" si="134"/>
        <v>0</v>
      </c>
      <c r="X214" s="161">
        <f t="shared" si="134"/>
        <v>0</v>
      </c>
      <c r="Y214" s="161">
        <f t="shared" si="134"/>
        <v>0</v>
      </c>
      <c r="Z214" s="161">
        <f t="shared" si="134"/>
        <v>0</v>
      </c>
      <c r="AA214" s="161">
        <f t="shared" si="134"/>
        <v>0</v>
      </c>
      <c r="AB214" s="161">
        <f t="shared" si="134"/>
        <v>0</v>
      </c>
      <c r="AC214" s="161">
        <f t="shared" si="134"/>
        <v>0</v>
      </c>
      <c r="AD214" s="161">
        <f t="shared" si="134"/>
        <v>0</v>
      </c>
      <c r="AE214" s="161">
        <f t="shared" si="134"/>
        <v>0</v>
      </c>
      <c r="AF214" s="174">
        <f t="shared" si="134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35"/>
        <v>0</v>
      </c>
      <c r="G215" s="161">
        <f t="shared" si="135"/>
        <v>0</v>
      </c>
      <c r="H215" s="161">
        <f t="shared" si="135"/>
        <v>0</v>
      </c>
      <c r="I215" s="161">
        <f t="shared" si="135"/>
        <v>0</v>
      </c>
      <c r="J215" s="161">
        <f t="shared" si="135"/>
        <v>0</v>
      </c>
      <c r="K215" s="161">
        <f t="shared" si="135"/>
        <v>0</v>
      </c>
      <c r="L215" s="161">
        <f t="shared" si="135"/>
        <v>0</v>
      </c>
      <c r="M215" s="161">
        <f t="shared" si="135"/>
        <v>0</v>
      </c>
      <c r="N215" s="161">
        <f t="shared" si="135"/>
        <v>0</v>
      </c>
      <c r="O215" s="161">
        <f t="shared" si="135"/>
        <v>0</v>
      </c>
      <c r="P215" s="161">
        <f t="shared" si="135"/>
        <v>0</v>
      </c>
      <c r="Q215" s="161">
        <f t="shared" si="135"/>
        <v>0</v>
      </c>
      <c r="R215" s="161">
        <f t="shared" si="135"/>
        <v>0</v>
      </c>
      <c r="S215" s="161">
        <f t="shared" si="134"/>
        <v>0</v>
      </c>
      <c r="T215" s="161">
        <f t="shared" si="134"/>
        <v>0</v>
      </c>
      <c r="U215" s="161">
        <f t="shared" si="134"/>
        <v>0</v>
      </c>
      <c r="V215" s="161">
        <f t="shared" si="134"/>
        <v>0</v>
      </c>
      <c r="W215" s="161">
        <f t="shared" si="134"/>
        <v>0</v>
      </c>
      <c r="X215" s="161">
        <f t="shared" si="134"/>
        <v>0</v>
      </c>
      <c r="Y215" s="161">
        <f t="shared" si="134"/>
        <v>0</v>
      </c>
      <c r="Z215" s="161">
        <f t="shared" si="134"/>
        <v>0</v>
      </c>
      <c r="AA215" s="161">
        <f t="shared" si="134"/>
        <v>0</v>
      </c>
      <c r="AB215" s="161">
        <f t="shared" si="134"/>
        <v>0</v>
      </c>
      <c r="AC215" s="161">
        <f t="shared" si="134"/>
        <v>0</v>
      </c>
      <c r="AD215" s="161">
        <f t="shared" si="134"/>
        <v>0</v>
      </c>
      <c r="AE215" s="161">
        <f t="shared" si="134"/>
        <v>0</v>
      </c>
      <c r="AF215" s="174">
        <f t="shared" si="134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35"/>
        <v>0</v>
      </c>
      <c r="G216" s="161">
        <f t="shared" si="135"/>
        <v>0</v>
      </c>
      <c r="H216" s="161">
        <f t="shared" si="135"/>
        <v>0</v>
      </c>
      <c r="I216" s="161">
        <f t="shared" si="135"/>
        <v>0</v>
      </c>
      <c r="J216" s="161">
        <f t="shared" si="135"/>
        <v>0</v>
      </c>
      <c r="K216" s="161">
        <f t="shared" si="135"/>
        <v>0</v>
      </c>
      <c r="L216" s="161">
        <f t="shared" si="135"/>
        <v>0</v>
      </c>
      <c r="M216" s="161">
        <f t="shared" si="135"/>
        <v>0</v>
      </c>
      <c r="N216" s="161">
        <f t="shared" si="135"/>
        <v>0</v>
      </c>
      <c r="O216" s="161">
        <f t="shared" si="135"/>
        <v>0</v>
      </c>
      <c r="P216" s="161">
        <f t="shared" si="135"/>
        <v>0</v>
      </c>
      <c r="Q216" s="161">
        <f t="shared" si="135"/>
        <v>0</v>
      </c>
      <c r="R216" s="161">
        <f t="shared" ref="R216:AF231" si="136">Q216</f>
        <v>0</v>
      </c>
      <c r="S216" s="161">
        <f t="shared" si="136"/>
        <v>0</v>
      </c>
      <c r="T216" s="161">
        <f t="shared" si="136"/>
        <v>0</v>
      </c>
      <c r="U216" s="161">
        <f t="shared" si="136"/>
        <v>0</v>
      </c>
      <c r="V216" s="161">
        <f t="shared" si="136"/>
        <v>0</v>
      </c>
      <c r="W216" s="161">
        <f t="shared" si="136"/>
        <v>0</v>
      </c>
      <c r="X216" s="161">
        <f t="shared" si="136"/>
        <v>0</v>
      </c>
      <c r="Y216" s="161">
        <f t="shared" si="136"/>
        <v>0</v>
      </c>
      <c r="Z216" s="161">
        <f t="shared" si="136"/>
        <v>0</v>
      </c>
      <c r="AA216" s="161">
        <f t="shared" si="136"/>
        <v>0</v>
      </c>
      <c r="AB216" s="161">
        <f t="shared" si="136"/>
        <v>0</v>
      </c>
      <c r="AC216" s="161">
        <f t="shared" si="136"/>
        <v>0</v>
      </c>
      <c r="AD216" s="161">
        <f t="shared" si="136"/>
        <v>0</v>
      </c>
      <c r="AE216" s="161">
        <f t="shared" si="136"/>
        <v>0</v>
      </c>
      <c r="AF216" s="174">
        <f t="shared" si="136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37">E217</f>
        <v>0</v>
      </c>
      <c r="G217" s="161">
        <f t="shared" si="137"/>
        <v>0</v>
      </c>
      <c r="H217" s="161">
        <f t="shared" si="137"/>
        <v>0</v>
      </c>
      <c r="I217" s="161">
        <f t="shared" si="137"/>
        <v>0</v>
      </c>
      <c r="J217" s="161">
        <f t="shared" si="137"/>
        <v>0</v>
      </c>
      <c r="K217" s="161">
        <f t="shared" si="137"/>
        <v>0</v>
      </c>
      <c r="L217" s="161">
        <f t="shared" si="137"/>
        <v>0</v>
      </c>
      <c r="M217" s="161">
        <f t="shared" si="137"/>
        <v>0</v>
      </c>
      <c r="N217" s="161">
        <f t="shared" si="137"/>
        <v>0</v>
      </c>
      <c r="O217" s="161">
        <f t="shared" si="137"/>
        <v>0</v>
      </c>
      <c r="P217" s="161">
        <f t="shared" si="137"/>
        <v>0</v>
      </c>
      <c r="Q217" s="161">
        <f t="shared" si="137"/>
        <v>0</v>
      </c>
      <c r="R217" s="161">
        <f t="shared" si="137"/>
        <v>0</v>
      </c>
      <c r="S217" s="161">
        <f t="shared" si="136"/>
        <v>0</v>
      </c>
      <c r="T217" s="161">
        <f t="shared" si="136"/>
        <v>0</v>
      </c>
      <c r="U217" s="161">
        <f t="shared" si="136"/>
        <v>0</v>
      </c>
      <c r="V217" s="161">
        <f t="shared" si="136"/>
        <v>0</v>
      </c>
      <c r="W217" s="161">
        <f t="shared" si="136"/>
        <v>0</v>
      </c>
      <c r="X217" s="161">
        <f t="shared" si="136"/>
        <v>0</v>
      </c>
      <c r="Y217" s="161">
        <f t="shared" si="136"/>
        <v>0</v>
      </c>
      <c r="Z217" s="161">
        <f t="shared" si="136"/>
        <v>0</v>
      </c>
      <c r="AA217" s="161">
        <f t="shared" si="136"/>
        <v>0</v>
      </c>
      <c r="AB217" s="161">
        <f t="shared" si="136"/>
        <v>0</v>
      </c>
      <c r="AC217" s="161">
        <f t="shared" si="136"/>
        <v>0</v>
      </c>
      <c r="AD217" s="161">
        <f t="shared" si="136"/>
        <v>0</v>
      </c>
      <c r="AE217" s="161">
        <f t="shared" si="136"/>
        <v>0</v>
      </c>
      <c r="AF217" s="174">
        <f t="shared" si="136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37"/>
        <v>0</v>
      </c>
      <c r="G218" s="161">
        <f t="shared" si="137"/>
        <v>0</v>
      </c>
      <c r="H218" s="161">
        <f t="shared" si="137"/>
        <v>0</v>
      </c>
      <c r="I218" s="161">
        <f t="shared" si="137"/>
        <v>0</v>
      </c>
      <c r="J218" s="161">
        <f t="shared" si="137"/>
        <v>0</v>
      </c>
      <c r="K218" s="161">
        <f t="shared" si="137"/>
        <v>0</v>
      </c>
      <c r="L218" s="161">
        <f t="shared" si="137"/>
        <v>0</v>
      </c>
      <c r="M218" s="161">
        <f t="shared" si="137"/>
        <v>0</v>
      </c>
      <c r="N218" s="161">
        <f t="shared" si="137"/>
        <v>0</v>
      </c>
      <c r="O218" s="161">
        <f t="shared" si="137"/>
        <v>0</v>
      </c>
      <c r="P218" s="161">
        <f t="shared" si="137"/>
        <v>0</v>
      </c>
      <c r="Q218" s="161">
        <f t="shared" si="137"/>
        <v>0</v>
      </c>
      <c r="R218" s="161">
        <f t="shared" si="137"/>
        <v>0</v>
      </c>
      <c r="S218" s="161">
        <f t="shared" si="136"/>
        <v>0</v>
      </c>
      <c r="T218" s="161">
        <f t="shared" si="136"/>
        <v>0</v>
      </c>
      <c r="U218" s="161">
        <f t="shared" si="136"/>
        <v>0</v>
      </c>
      <c r="V218" s="161">
        <f t="shared" si="136"/>
        <v>0</v>
      </c>
      <c r="W218" s="161">
        <f t="shared" si="136"/>
        <v>0</v>
      </c>
      <c r="X218" s="161">
        <f t="shared" si="136"/>
        <v>0</v>
      </c>
      <c r="Y218" s="161">
        <f t="shared" si="136"/>
        <v>0</v>
      </c>
      <c r="Z218" s="161">
        <f t="shared" si="136"/>
        <v>0</v>
      </c>
      <c r="AA218" s="161">
        <f t="shared" si="136"/>
        <v>0</v>
      </c>
      <c r="AB218" s="161">
        <f t="shared" si="136"/>
        <v>0</v>
      </c>
      <c r="AC218" s="161">
        <f t="shared" si="136"/>
        <v>0</v>
      </c>
      <c r="AD218" s="161">
        <f t="shared" si="136"/>
        <v>0</v>
      </c>
      <c r="AE218" s="161">
        <f t="shared" si="136"/>
        <v>0</v>
      </c>
      <c r="AF218" s="174">
        <f t="shared" si="136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37"/>
        <v>0</v>
      </c>
      <c r="G219" s="161">
        <f t="shared" si="137"/>
        <v>0</v>
      </c>
      <c r="H219" s="161">
        <f t="shared" si="137"/>
        <v>0</v>
      </c>
      <c r="I219" s="161">
        <f t="shared" si="137"/>
        <v>0</v>
      </c>
      <c r="J219" s="161">
        <f t="shared" si="137"/>
        <v>0</v>
      </c>
      <c r="K219" s="161">
        <f t="shared" si="137"/>
        <v>0</v>
      </c>
      <c r="L219" s="161">
        <f t="shared" si="137"/>
        <v>0</v>
      </c>
      <c r="M219" s="161">
        <f t="shared" si="137"/>
        <v>0</v>
      </c>
      <c r="N219" s="161">
        <f t="shared" si="137"/>
        <v>0</v>
      </c>
      <c r="O219" s="161">
        <f t="shared" si="137"/>
        <v>0</v>
      </c>
      <c r="P219" s="161">
        <f t="shared" si="137"/>
        <v>0</v>
      </c>
      <c r="Q219" s="161">
        <f t="shared" si="137"/>
        <v>0</v>
      </c>
      <c r="R219" s="161">
        <f t="shared" si="137"/>
        <v>0</v>
      </c>
      <c r="S219" s="161">
        <f t="shared" si="136"/>
        <v>0</v>
      </c>
      <c r="T219" s="161">
        <f t="shared" si="136"/>
        <v>0</v>
      </c>
      <c r="U219" s="161">
        <f t="shared" si="136"/>
        <v>0</v>
      </c>
      <c r="V219" s="161">
        <f t="shared" si="136"/>
        <v>0</v>
      </c>
      <c r="W219" s="161">
        <f t="shared" si="136"/>
        <v>0</v>
      </c>
      <c r="X219" s="161">
        <f t="shared" si="136"/>
        <v>0</v>
      </c>
      <c r="Y219" s="161">
        <f t="shared" si="136"/>
        <v>0</v>
      </c>
      <c r="Z219" s="161">
        <f t="shared" si="136"/>
        <v>0</v>
      </c>
      <c r="AA219" s="161">
        <f t="shared" si="136"/>
        <v>0</v>
      </c>
      <c r="AB219" s="161">
        <f t="shared" si="136"/>
        <v>0</v>
      </c>
      <c r="AC219" s="161">
        <f t="shared" si="136"/>
        <v>0</v>
      </c>
      <c r="AD219" s="161">
        <f t="shared" si="136"/>
        <v>0</v>
      </c>
      <c r="AE219" s="161">
        <f t="shared" si="136"/>
        <v>0</v>
      </c>
      <c r="AF219" s="174">
        <f t="shared" si="136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37"/>
        <v>0</v>
      </c>
      <c r="G220" s="161">
        <f t="shared" si="137"/>
        <v>0</v>
      </c>
      <c r="H220" s="161">
        <f t="shared" si="137"/>
        <v>0</v>
      </c>
      <c r="I220" s="161">
        <f t="shared" si="137"/>
        <v>0</v>
      </c>
      <c r="J220" s="161">
        <f t="shared" si="137"/>
        <v>0</v>
      </c>
      <c r="K220" s="161">
        <f t="shared" si="137"/>
        <v>0</v>
      </c>
      <c r="L220" s="161">
        <f t="shared" si="137"/>
        <v>0</v>
      </c>
      <c r="M220" s="161">
        <f t="shared" si="137"/>
        <v>0</v>
      </c>
      <c r="N220" s="161">
        <f t="shared" si="137"/>
        <v>0</v>
      </c>
      <c r="O220" s="161">
        <f t="shared" si="137"/>
        <v>0</v>
      </c>
      <c r="P220" s="161">
        <f t="shared" si="137"/>
        <v>0</v>
      </c>
      <c r="Q220" s="161">
        <f t="shared" si="137"/>
        <v>0</v>
      </c>
      <c r="R220" s="161">
        <f t="shared" si="137"/>
        <v>0</v>
      </c>
      <c r="S220" s="161">
        <f t="shared" si="136"/>
        <v>0</v>
      </c>
      <c r="T220" s="161">
        <f t="shared" si="136"/>
        <v>0</v>
      </c>
      <c r="U220" s="161">
        <f t="shared" si="136"/>
        <v>0</v>
      </c>
      <c r="V220" s="161">
        <f t="shared" si="136"/>
        <v>0</v>
      </c>
      <c r="W220" s="161">
        <f t="shared" si="136"/>
        <v>0</v>
      </c>
      <c r="X220" s="161">
        <f t="shared" si="136"/>
        <v>0</v>
      </c>
      <c r="Y220" s="161">
        <f t="shared" si="136"/>
        <v>0</v>
      </c>
      <c r="Z220" s="161">
        <f t="shared" si="136"/>
        <v>0</v>
      </c>
      <c r="AA220" s="161">
        <f t="shared" si="136"/>
        <v>0</v>
      </c>
      <c r="AB220" s="161">
        <f t="shared" si="136"/>
        <v>0</v>
      </c>
      <c r="AC220" s="161">
        <f t="shared" si="136"/>
        <v>0</v>
      </c>
      <c r="AD220" s="161">
        <f t="shared" si="136"/>
        <v>0</v>
      </c>
      <c r="AE220" s="161">
        <f t="shared" si="136"/>
        <v>0</v>
      </c>
      <c r="AF220" s="174">
        <f t="shared" si="136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37"/>
        <v>0</v>
      </c>
      <c r="G221" s="161">
        <f t="shared" si="137"/>
        <v>0</v>
      </c>
      <c r="H221" s="161">
        <f t="shared" si="137"/>
        <v>0</v>
      </c>
      <c r="I221" s="161">
        <f t="shared" si="137"/>
        <v>0</v>
      </c>
      <c r="J221" s="161">
        <f t="shared" si="137"/>
        <v>0</v>
      </c>
      <c r="K221" s="161">
        <f t="shared" si="137"/>
        <v>0</v>
      </c>
      <c r="L221" s="161">
        <f t="shared" si="137"/>
        <v>0</v>
      </c>
      <c r="M221" s="161">
        <f t="shared" si="137"/>
        <v>0</v>
      </c>
      <c r="N221" s="161">
        <f t="shared" si="137"/>
        <v>0</v>
      </c>
      <c r="O221" s="161">
        <f t="shared" si="137"/>
        <v>0</v>
      </c>
      <c r="P221" s="161">
        <f t="shared" si="137"/>
        <v>0</v>
      </c>
      <c r="Q221" s="161">
        <f t="shared" si="137"/>
        <v>0</v>
      </c>
      <c r="R221" s="161">
        <f t="shared" si="137"/>
        <v>0</v>
      </c>
      <c r="S221" s="161">
        <f t="shared" si="136"/>
        <v>0</v>
      </c>
      <c r="T221" s="161">
        <f t="shared" si="136"/>
        <v>0</v>
      </c>
      <c r="U221" s="161">
        <f t="shared" si="136"/>
        <v>0</v>
      </c>
      <c r="V221" s="161">
        <f t="shared" si="136"/>
        <v>0</v>
      </c>
      <c r="W221" s="161">
        <f t="shared" si="136"/>
        <v>0</v>
      </c>
      <c r="X221" s="161">
        <f t="shared" si="136"/>
        <v>0</v>
      </c>
      <c r="Y221" s="161">
        <f t="shared" si="136"/>
        <v>0</v>
      </c>
      <c r="Z221" s="161">
        <f t="shared" si="136"/>
        <v>0</v>
      </c>
      <c r="AA221" s="161">
        <f t="shared" si="136"/>
        <v>0</v>
      </c>
      <c r="AB221" s="161">
        <f t="shared" si="136"/>
        <v>0</v>
      </c>
      <c r="AC221" s="161">
        <f t="shared" si="136"/>
        <v>0</v>
      </c>
      <c r="AD221" s="161">
        <f t="shared" si="136"/>
        <v>0</v>
      </c>
      <c r="AE221" s="161">
        <f t="shared" si="136"/>
        <v>0</v>
      </c>
      <c r="AF221" s="174">
        <f t="shared" si="136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37"/>
        <v>0</v>
      </c>
      <c r="G222" s="161">
        <f t="shared" si="137"/>
        <v>0</v>
      </c>
      <c r="H222" s="161">
        <f t="shared" si="137"/>
        <v>0</v>
      </c>
      <c r="I222" s="161">
        <f t="shared" si="137"/>
        <v>0</v>
      </c>
      <c r="J222" s="161">
        <f t="shared" si="137"/>
        <v>0</v>
      </c>
      <c r="K222" s="161">
        <f t="shared" si="137"/>
        <v>0</v>
      </c>
      <c r="L222" s="161">
        <f t="shared" si="137"/>
        <v>0</v>
      </c>
      <c r="M222" s="161">
        <f t="shared" si="137"/>
        <v>0</v>
      </c>
      <c r="N222" s="161">
        <f t="shared" si="137"/>
        <v>0</v>
      </c>
      <c r="O222" s="161">
        <f t="shared" si="137"/>
        <v>0</v>
      </c>
      <c r="P222" s="161">
        <f t="shared" si="137"/>
        <v>0</v>
      </c>
      <c r="Q222" s="161">
        <f t="shared" si="137"/>
        <v>0</v>
      </c>
      <c r="R222" s="161">
        <f t="shared" si="137"/>
        <v>0</v>
      </c>
      <c r="S222" s="161">
        <f t="shared" si="136"/>
        <v>0</v>
      </c>
      <c r="T222" s="161">
        <f t="shared" si="136"/>
        <v>0</v>
      </c>
      <c r="U222" s="161">
        <f t="shared" si="136"/>
        <v>0</v>
      </c>
      <c r="V222" s="161">
        <f t="shared" si="136"/>
        <v>0</v>
      </c>
      <c r="W222" s="161">
        <f t="shared" si="136"/>
        <v>0</v>
      </c>
      <c r="X222" s="161">
        <f t="shared" si="136"/>
        <v>0</v>
      </c>
      <c r="Y222" s="161">
        <f t="shared" si="136"/>
        <v>0</v>
      </c>
      <c r="Z222" s="161">
        <f t="shared" si="136"/>
        <v>0</v>
      </c>
      <c r="AA222" s="161">
        <f t="shared" si="136"/>
        <v>0</v>
      </c>
      <c r="AB222" s="161">
        <f t="shared" si="136"/>
        <v>0</v>
      </c>
      <c r="AC222" s="161">
        <f t="shared" si="136"/>
        <v>0</v>
      </c>
      <c r="AD222" s="161">
        <f t="shared" si="136"/>
        <v>0</v>
      </c>
      <c r="AE222" s="161">
        <f t="shared" si="136"/>
        <v>0</v>
      </c>
      <c r="AF222" s="174">
        <f t="shared" si="136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37"/>
        <v>0</v>
      </c>
      <c r="G223" s="161">
        <f t="shared" si="137"/>
        <v>0</v>
      </c>
      <c r="H223" s="161">
        <f t="shared" si="137"/>
        <v>0</v>
      </c>
      <c r="I223" s="161">
        <f t="shared" si="137"/>
        <v>0</v>
      </c>
      <c r="J223" s="161">
        <f t="shared" si="137"/>
        <v>0</v>
      </c>
      <c r="K223" s="161">
        <f t="shared" si="137"/>
        <v>0</v>
      </c>
      <c r="L223" s="161">
        <f t="shared" si="137"/>
        <v>0</v>
      </c>
      <c r="M223" s="161">
        <f t="shared" si="137"/>
        <v>0</v>
      </c>
      <c r="N223" s="161">
        <f t="shared" si="137"/>
        <v>0</v>
      </c>
      <c r="O223" s="161">
        <f t="shared" si="137"/>
        <v>0</v>
      </c>
      <c r="P223" s="161">
        <f t="shared" si="137"/>
        <v>0</v>
      </c>
      <c r="Q223" s="161">
        <f t="shared" si="137"/>
        <v>0</v>
      </c>
      <c r="R223" s="161">
        <f t="shared" si="137"/>
        <v>0</v>
      </c>
      <c r="S223" s="161">
        <f t="shared" si="136"/>
        <v>0</v>
      </c>
      <c r="T223" s="161">
        <f t="shared" si="136"/>
        <v>0</v>
      </c>
      <c r="U223" s="161">
        <f t="shared" si="136"/>
        <v>0</v>
      </c>
      <c r="V223" s="161">
        <f t="shared" si="136"/>
        <v>0</v>
      </c>
      <c r="W223" s="161">
        <f t="shared" si="136"/>
        <v>0</v>
      </c>
      <c r="X223" s="161">
        <f t="shared" si="136"/>
        <v>0</v>
      </c>
      <c r="Y223" s="161">
        <f t="shared" si="136"/>
        <v>0</v>
      </c>
      <c r="Z223" s="161">
        <f t="shared" si="136"/>
        <v>0</v>
      </c>
      <c r="AA223" s="161">
        <f t="shared" si="136"/>
        <v>0</v>
      </c>
      <c r="AB223" s="161">
        <f t="shared" si="136"/>
        <v>0</v>
      </c>
      <c r="AC223" s="161">
        <f t="shared" si="136"/>
        <v>0</v>
      </c>
      <c r="AD223" s="161">
        <f t="shared" si="136"/>
        <v>0</v>
      </c>
      <c r="AE223" s="161">
        <f t="shared" si="136"/>
        <v>0</v>
      </c>
      <c r="AF223" s="174">
        <f t="shared" si="136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37"/>
        <v>0</v>
      </c>
      <c r="G224" s="161">
        <f t="shared" si="137"/>
        <v>0</v>
      </c>
      <c r="H224" s="161">
        <f t="shared" si="137"/>
        <v>0</v>
      </c>
      <c r="I224" s="161">
        <f t="shared" si="137"/>
        <v>0</v>
      </c>
      <c r="J224" s="161">
        <f t="shared" si="137"/>
        <v>0</v>
      </c>
      <c r="K224" s="161">
        <f t="shared" si="137"/>
        <v>0</v>
      </c>
      <c r="L224" s="161">
        <f t="shared" si="137"/>
        <v>0</v>
      </c>
      <c r="M224" s="161">
        <f t="shared" si="137"/>
        <v>0</v>
      </c>
      <c r="N224" s="161">
        <f t="shared" si="137"/>
        <v>0</v>
      </c>
      <c r="O224" s="161">
        <f t="shared" si="137"/>
        <v>0</v>
      </c>
      <c r="P224" s="161">
        <f t="shared" si="137"/>
        <v>0</v>
      </c>
      <c r="Q224" s="161">
        <f t="shared" si="137"/>
        <v>0</v>
      </c>
      <c r="R224" s="161">
        <f t="shared" si="137"/>
        <v>0</v>
      </c>
      <c r="S224" s="161">
        <f t="shared" si="136"/>
        <v>0</v>
      </c>
      <c r="T224" s="161">
        <f t="shared" si="136"/>
        <v>0</v>
      </c>
      <c r="U224" s="161">
        <f t="shared" si="136"/>
        <v>0</v>
      </c>
      <c r="V224" s="161">
        <f t="shared" si="136"/>
        <v>0</v>
      </c>
      <c r="W224" s="161">
        <f t="shared" si="136"/>
        <v>0</v>
      </c>
      <c r="X224" s="161">
        <f t="shared" si="136"/>
        <v>0</v>
      </c>
      <c r="Y224" s="161">
        <f t="shared" si="136"/>
        <v>0</v>
      </c>
      <c r="Z224" s="161">
        <f t="shared" si="136"/>
        <v>0</v>
      </c>
      <c r="AA224" s="161">
        <f t="shared" si="136"/>
        <v>0</v>
      </c>
      <c r="AB224" s="161">
        <f t="shared" si="136"/>
        <v>0</v>
      </c>
      <c r="AC224" s="161">
        <f t="shared" si="136"/>
        <v>0</v>
      </c>
      <c r="AD224" s="161">
        <f t="shared" si="136"/>
        <v>0</v>
      </c>
      <c r="AE224" s="161">
        <f t="shared" si="136"/>
        <v>0</v>
      </c>
      <c r="AF224" s="174">
        <f t="shared" si="136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37"/>
        <v>0</v>
      </c>
      <c r="G225" s="161">
        <f t="shared" si="137"/>
        <v>0</v>
      </c>
      <c r="H225" s="161">
        <f t="shared" si="137"/>
        <v>0</v>
      </c>
      <c r="I225" s="161">
        <f t="shared" si="137"/>
        <v>0</v>
      </c>
      <c r="J225" s="161">
        <f t="shared" si="137"/>
        <v>0</v>
      </c>
      <c r="K225" s="161">
        <f t="shared" si="137"/>
        <v>0</v>
      </c>
      <c r="L225" s="161">
        <f t="shared" si="137"/>
        <v>0</v>
      </c>
      <c r="M225" s="161">
        <f t="shared" si="137"/>
        <v>0</v>
      </c>
      <c r="N225" s="161">
        <f t="shared" si="137"/>
        <v>0</v>
      </c>
      <c r="O225" s="161">
        <f t="shared" si="137"/>
        <v>0</v>
      </c>
      <c r="P225" s="161">
        <f t="shared" si="137"/>
        <v>0</v>
      </c>
      <c r="Q225" s="161">
        <f t="shared" si="137"/>
        <v>0</v>
      </c>
      <c r="R225" s="161">
        <f t="shared" si="137"/>
        <v>0</v>
      </c>
      <c r="S225" s="161">
        <f t="shared" si="136"/>
        <v>0</v>
      </c>
      <c r="T225" s="161">
        <f t="shared" si="136"/>
        <v>0</v>
      </c>
      <c r="U225" s="161">
        <f t="shared" si="136"/>
        <v>0</v>
      </c>
      <c r="V225" s="161">
        <f t="shared" si="136"/>
        <v>0</v>
      </c>
      <c r="W225" s="161">
        <f t="shared" si="136"/>
        <v>0</v>
      </c>
      <c r="X225" s="161">
        <f t="shared" si="136"/>
        <v>0</v>
      </c>
      <c r="Y225" s="161">
        <f t="shared" si="136"/>
        <v>0</v>
      </c>
      <c r="Z225" s="161">
        <f t="shared" si="136"/>
        <v>0</v>
      </c>
      <c r="AA225" s="161">
        <f t="shared" si="136"/>
        <v>0</v>
      </c>
      <c r="AB225" s="161">
        <f t="shared" si="136"/>
        <v>0</v>
      </c>
      <c r="AC225" s="161">
        <f t="shared" si="136"/>
        <v>0</v>
      </c>
      <c r="AD225" s="161">
        <f t="shared" si="136"/>
        <v>0</v>
      </c>
      <c r="AE225" s="161">
        <f t="shared" si="136"/>
        <v>0</v>
      </c>
      <c r="AF225" s="174">
        <f t="shared" si="136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37"/>
        <v>0</v>
      </c>
      <c r="G226" s="161">
        <f t="shared" si="137"/>
        <v>0</v>
      </c>
      <c r="H226" s="161">
        <f t="shared" si="137"/>
        <v>0</v>
      </c>
      <c r="I226" s="161">
        <f t="shared" si="137"/>
        <v>0</v>
      </c>
      <c r="J226" s="161">
        <f t="shared" si="137"/>
        <v>0</v>
      </c>
      <c r="K226" s="161">
        <f t="shared" si="137"/>
        <v>0</v>
      </c>
      <c r="L226" s="161">
        <f t="shared" si="137"/>
        <v>0</v>
      </c>
      <c r="M226" s="161">
        <f t="shared" si="137"/>
        <v>0</v>
      </c>
      <c r="N226" s="161">
        <f t="shared" si="137"/>
        <v>0</v>
      </c>
      <c r="O226" s="161">
        <f t="shared" si="137"/>
        <v>0</v>
      </c>
      <c r="P226" s="161">
        <f t="shared" si="137"/>
        <v>0</v>
      </c>
      <c r="Q226" s="161">
        <f t="shared" si="137"/>
        <v>0</v>
      </c>
      <c r="R226" s="161">
        <f t="shared" si="137"/>
        <v>0</v>
      </c>
      <c r="S226" s="161">
        <f t="shared" si="136"/>
        <v>0</v>
      </c>
      <c r="T226" s="161">
        <f t="shared" si="136"/>
        <v>0</v>
      </c>
      <c r="U226" s="161">
        <f t="shared" si="136"/>
        <v>0</v>
      </c>
      <c r="V226" s="161">
        <f t="shared" si="136"/>
        <v>0</v>
      </c>
      <c r="W226" s="161">
        <f t="shared" si="136"/>
        <v>0</v>
      </c>
      <c r="X226" s="161">
        <f t="shared" si="136"/>
        <v>0</v>
      </c>
      <c r="Y226" s="161">
        <f t="shared" si="136"/>
        <v>0</v>
      </c>
      <c r="Z226" s="161">
        <f t="shared" si="136"/>
        <v>0</v>
      </c>
      <c r="AA226" s="161">
        <f t="shared" si="136"/>
        <v>0</v>
      </c>
      <c r="AB226" s="161">
        <f t="shared" si="136"/>
        <v>0</v>
      </c>
      <c r="AC226" s="161">
        <f t="shared" si="136"/>
        <v>0</v>
      </c>
      <c r="AD226" s="161">
        <f t="shared" si="136"/>
        <v>0</v>
      </c>
      <c r="AE226" s="161">
        <f t="shared" si="136"/>
        <v>0</v>
      </c>
      <c r="AF226" s="174">
        <f t="shared" si="136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37"/>
        <v>0</v>
      </c>
      <c r="G227" s="161">
        <f t="shared" si="137"/>
        <v>0</v>
      </c>
      <c r="H227" s="161">
        <f t="shared" si="137"/>
        <v>0</v>
      </c>
      <c r="I227" s="161">
        <f t="shared" si="137"/>
        <v>0</v>
      </c>
      <c r="J227" s="161">
        <f t="shared" si="137"/>
        <v>0</v>
      </c>
      <c r="K227" s="161">
        <f t="shared" si="137"/>
        <v>0</v>
      </c>
      <c r="L227" s="161">
        <f t="shared" si="137"/>
        <v>0</v>
      </c>
      <c r="M227" s="161">
        <f t="shared" si="137"/>
        <v>0</v>
      </c>
      <c r="N227" s="161">
        <f t="shared" si="137"/>
        <v>0</v>
      </c>
      <c r="O227" s="161">
        <f t="shared" si="137"/>
        <v>0</v>
      </c>
      <c r="P227" s="161">
        <f t="shared" si="137"/>
        <v>0</v>
      </c>
      <c r="Q227" s="161">
        <f t="shared" si="137"/>
        <v>0</v>
      </c>
      <c r="R227" s="161">
        <f t="shared" si="137"/>
        <v>0</v>
      </c>
      <c r="S227" s="161">
        <f t="shared" si="136"/>
        <v>0</v>
      </c>
      <c r="T227" s="161">
        <f t="shared" si="136"/>
        <v>0</v>
      </c>
      <c r="U227" s="161">
        <f t="shared" si="136"/>
        <v>0</v>
      </c>
      <c r="V227" s="161">
        <f t="shared" si="136"/>
        <v>0</v>
      </c>
      <c r="W227" s="161">
        <f t="shared" si="136"/>
        <v>0</v>
      </c>
      <c r="X227" s="161">
        <f t="shared" si="136"/>
        <v>0</v>
      </c>
      <c r="Y227" s="161">
        <f t="shared" si="136"/>
        <v>0</v>
      </c>
      <c r="Z227" s="161">
        <f t="shared" si="136"/>
        <v>0</v>
      </c>
      <c r="AA227" s="161">
        <f t="shared" si="136"/>
        <v>0</v>
      </c>
      <c r="AB227" s="161">
        <f t="shared" si="136"/>
        <v>0</v>
      </c>
      <c r="AC227" s="161">
        <f t="shared" si="136"/>
        <v>0</v>
      </c>
      <c r="AD227" s="161">
        <f t="shared" si="136"/>
        <v>0</v>
      </c>
      <c r="AE227" s="161">
        <f t="shared" si="136"/>
        <v>0</v>
      </c>
      <c r="AF227" s="174">
        <f t="shared" si="136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37"/>
        <v>0</v>
      </c>
      <c r="G228" s="161">
        <f t="shared" si="137"/>
        <v>0</v>
      </c>
      <c r="H228" s="161">
        <f t="shared" si="137"/>
        <v>0</v>
      </c>
      <c r="I228" s="161">
        <f t="shared" si="137"/>
        <v>0</v>
      </c>
      <c r="J228" s="161">
        <f t="shared" si="137"/>
        <v>0</v>
      </c>
      <c r="K228" s="161">
        <f t="shared" si="137"/>
        <v>0</v>
      </c>
      <c r="L228" s="161">
        <f t="shared" si="137"/>
        <v>0</v>
      </c>
      <c r="M228" s="161">
        <f t="shared" si="137"/>
        <v>0</v>
      </c>
      <c r="N228" s="161">
        <f t="shared" si="137"/>
        <v>0</v>
      </c>
      <c r="O228" s="161">
        <f t="shared" si="137"/>
        <v>0</v>
      </c>
      <c r="P228" s="161">
        <f t="shared" si="137"/>
        <v>0</v>
      </c>
      <c r="Q228" s="161">
        <f t="shared" si="137"/>
        <v>0</v>
      </c>
      <c r="R228" s="161">
        <f t="shared" si="137"/>
        <v>0</v>
      </c>
      <c r="S228" s="161">
        <f t="shared" si="136"/>
        <v>0</v>
      </c>
      <c r="T228" s="161">
        <f t="shared" si="136"/>
        <v>0</v>
      </c>
      <c r="U228" s="161">
        <f t="shared" si="136"/>
        <v>0</v>
      </c>
      <c r="V228" s="161">
        <f t="shared" si="136"/>
        <v>0</v>
      </c>
      <c r="W228" s="161">
        <f t="shared" si="136"/>
        <v>0</v>
      </c>
      <c r="X228" s="161">
        <f t="shared" si="136"/>
        <v>0</v>
      </c>
      <c r="Y228" s="161">
        <f t="shared" si="136"/>
        <v>0</v>
      </c>
      <c r="Z228" s="161">
        <f t="shared" si="136"/>
        <v>0</v>
      </c>
      <c r="AA228" s="161">
        <f t="shared" si="136"/>
        <v>0</v>
      </c>
      <c r="AB228" s="161">
        <f t="shared" si="136"/>
        <v>0</v>
      </c>
      <c r="AC228" s="161">
        <f t="shared" si="136"/>
        <v>0</v>
      </c>
      <c r="AD228" s="161">
        <f t="shared" si="136"/>
        <v>0</v>
      </c>
      <c r="AE228" s="161">
        <f t="shared" si="136"/>
        <v>0</v>
      </c>
      <c r="AF228" s="174">
        <f t="shared" si="136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37"/>
        <v>0</v>
      </c>
      <c r="G229" s="161">
        <f t="shared" si="137"/>
        <v>0</v>
      </c>
      <c r="H229" s="161">
        <f t="shared" si="137"/>
        <v>0</v>
      </c>
      <c r="I229" s="161">
        <f t="shared" si="137"/>
        <v>0</v>
      </c>
      <c r="J229" s="161">
        <f t="shared" si="137"/>
        <v>0</v>
      </c>
      <c r="K229" s="161">
        <f t="shared" si="137"/>
        <v>0</v>
      </c>
      <c r="L229" s="161">
        <f t="shared" si="137"/>
        <v>0</v>
      </c>
      <c r="M229" s="161">
        <f t="shared" si="137"/>
        <v>0</v>
      </c>
      <c r="N229" s="161">
        <f t="shared" si="137"/>
        <v>0</v>
      </c>
      <c r="O229" s="161">
        <f t="shared" si="137"/>
        <v>0</v>
      </c>
      <c r="P229" s="161">
        <f t="shared" si="137"/>
        <v>0</v>
      </c>
      <c r="Q229" s="161">
        <f t="shared" si="137"/>
        <v>0</v>
      </c>
      <c r="R229" s="161">
        <f t="shared" si="137"/>
        <v>0</v>
      </c>
      <c r="S229" s="161">
        <f t="shared" si="136"/>
        <v>0</v>
      </c>
      <c r="T229" s="161">
        <f t="shared" si="136"/>
        <v>0</v>
      </c>
      <c r="U229" s="161">
        <f t="shared" si="136"/>
        <v>0</v>
      </c>
      <c r="V229" s="161">
        <f t="shared" si="136"/>
        <v>0</v>
      </c>
      <c r="W229" s="161">
        <f t="shared" si="136"/>
        <v>0</v>
      </c>
      <c r="X229" s="161">
        <f t="shared" si="136"/>
        <v>0</v>
      </c>
      <c r="Y229" s="161">
        <f t="shared" si="136"/>
        <v>0</v>
      </c>
      <c r="Z229" s="161">
        <f t="shared" si="136"/>
        <v>0</v>
      </c>
      <c r="AA229" s="161">
        <f t="shared" si="136"/>
        <v>0</v>
      </c>
      <c r="AB229" s="161">
        <f t="shared" si="136"/>
        <v>0</v>
      </c>
      <c r="AC229" s="161">
        <f t="shared" si="136"/>
        <v>0</v>
      </c>
      <c r="AD229" s="161">
        <f t="shared" si="136"/>
        <v>0</v>
      </c>
      <c r="AE229" s="161">
        <f t="shared" si="136"/>
        <v>0</v>
      </c>
      <c r="AF229" s="174">
        <f t="shared" si="136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37"/>
        <v>0</v>
      </c>
      <c r="G230" s="161">
        <f t="shared" si="137"/>
        <v>0</v>
      </c>
      <c r="H230" s="161">
        <f t="shared" si="137"/>
        <v>0</v>
      </c>
      <c r="I230" s="161">
        <f t="shared" si="137"/>
        <v>0</v>
      </c>
      <c r="J230" s="161">
        <f t="shared" si="137"/>
        <v>0</v>
      </c>
      <c r="K230" s="161">
        <f t="shared" si="137"/>
        <v>0</v>
      </c>
      <c r="L230" s="161">
        <f t="shared" si="137"/>
        <v>0</v>
      </c>
      <c r="M230" s="161">
        <f t="shared" si="137"/>
        <v>0</v>
      </c>
      <c r="N230" s="161">
        <f t="shared" si="137"/>
        <v>0</v>
      </c>
      <c r="O230" s="161">
        <f t="shared" si="137"/>
        <v>0</v>
      </c>
      <c r="P230" s="161">
        <f t="shared" si="137"/>
        <v>0</v>
      </c>
      <c r="Q230" s="161">
        <f t="shared" si="137"/>
        <v>0</v>
      </c>
      <c r="R230" s="161">
        <f t="shared" si="137"/>
        <v>0</v>
      </c>
      <c r="S230" s="161">
        <f t="shared" si="136"/>
        <v>0</v>
      </c>
      <c r="T230" s="161">
        <f t="shared" si="136"/>
        <v>0</v>
      </c>
      <c r="U230" s="161">
        <f t="shared" si="136"/>
        <v>0</v>
      </c>
      <c r="V230" s="161">
        <f t="shared" si="136"/>
        <v>0</v>
      </c>
      <c r="W230" s="161">
        <f t="shared" si="136"/>
        <v>0</v>
      </c>
      <c r="X230" s="161">
        <f t="shared" si="136"/>
        <v>0</v>
      </c>
      <c r="Y230" s="161">
        <f t="shared" si="136"/>
        <v>0</v>
      </c>
      <c r="Z230" s="161">
        <f t="shared" si="136"/>
        <v>0</v>
      </c>
      <c r="AA230" s="161">
        <f t="shared" si="136"/>
        <v>0</v>
      </c>
      <c r="AB230" s="161">
        <f t="shared" si="136"/>
        <v>0</v>
      </c>
      <c r="AC230" s="161">
        <f t="shared" si="136"/>
        <v>0</v>
      </c>
      <c r="AD230" s="161">
        <f t="shared" si="136"/>
        <v>0</v>
      </c>
      <c r="AE230" s="161">
        <f t="shared" si="136"/>
        <v>0</v>
      </c>
      <c r="AF230" s="174">
        <f t="shared" si="136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37"/>
        <v>0</v>
      </c>
      <c r="G231" s="161">
        <f t="shared" si="137"/>
        <v>0</v>
      </c>
      <c r="H231" s="161">
        <f t="shared" si="137"/>
        <v>0</v>
      </c>
      <c r="I231" s="161">
        <f t="shared" si="137"/>
        <v>0</v>
      </c>
      <c r="J231" s="161">
        <f t="shared" si="137"/>
        <v>0</v>
      </c>
      <c r="K231" s="161">
        <f t="shared" si="137"/>
        <v>0</v>
      </c>
      <c r="L231" s="161">
        <f t="shared" si="137"/>
        <v>0</v>
      </c>
      <c r="M231" s="161">
        <f t="shared" si="137"/>
        <v>0</v>
      </c>
      <c r="N231" s="161">
        <f t="shared" si="137"/>
        <v>0</v>
      </c>
      <c r="O231" s="161">
        <f t="shared" si="137"/>
        <v>0</v>
      </c>
      <c r="P231" s="161">
        <f t="shared" si="137"/>
        <v>0</v>
      </c>
      <c r="Q231" s="161">
        <f t="shared" si="137"/>
        <v>0</v>
      </c>
      <c r="R231" s="161">
        <f t="shared" si="137"/>
        <v>0</v>
      </c>
      <c r="S231" s="161">
        <f t="shared" si="136"/>
        <v>0</v>
      </c>
      <c r="T231" s="161">
        <f t="shared" si="136"/>
        <v>0</v>
      </c>
      <c r="U231" s="161">
        <f t="shared" si="136"/>
        <v>0</v>
      </c>
      <c r="V231" s="161">
        <f t="shared" si="136"/>
        <v>0</v>
      </c>
      <c r="W231" s="161">
        <f t="shared" si="136"/>
        <v>0</v>
      </c>
      <c r="X231" s="161">
        <f t="shared" si="136"/>
        <v>0</v>
      </c>
      <c r="Y231" s="161">
        <f t="shared" si="136"/>
        <v>0</v>
      </c>
      <c r="Z231" s="161">
        <f t="shared" si="136"/>
        <v>0</v>
      </c>
      <c r="AA231" s="161">
        <f t="shared" si="136"/>
        <v>0</v>
      </c>
      <c r="AB231" s="161">
        <f t="shared" si="136"/>
        <v>0</v>
      </c>
      <c r="AC231" s="161">
        <f t="shared" si="136"/>
        <v>0</v>
      </c>
      <c r="AD231" s="161">
        <f t="shared" si="136"/>
        <v>0</v>
      </c>
      <c r="AE231" s="161">
        <f t="shared" si="136"/>
        <v>0</v>
      </c>
      <c r="AF231" s="174">
        <f t="shared" si="136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37"/>
        <v>0</v>
      </c>
      <c r="G232" s="161">
        <f t="shared" si="137"/>
        <v>0</v>
      </c>
      <c r="H232" s="161">
        <f t="shared" si="137"/>
        <v>0</v>
      </c>
      <c r="I232" s="161">
        <f t="shared" si="137"/>
        <v>0</v>
      </c>
      <c r="J232" s="161">
        <f t="shared" si="137"/>
        <v>0</v>
      </c>
      <c r="K232" s="161">
        <f t="shared" si="137"/>
        <v>0</v>
      </c>
      <c r="L232" s="161">
        <f t="shared" si="137"/>
        <v>0</v>
      </c>
      <c r="M232" s="161">
        <f t="shared" si="137"/>
        <v>0</v>
      </c>
      <c r="N232" s="161">
        <f t="shared" si="137"/>
        <v>0</v>
      </c>
      <c r="O232" s="161">
        <f t="shared" si="137"/>
        <v>0</v>
      </c>
      <c r="P232" s="161">
        <f t="shared" si="137"/>
        <v>0</v>
      </c>
      <c r="Q232" s="161">
        <f t="shared" si="137"/>
        <v>0</v>
      </c>
      <c r="R232" s="161">
        <f t="shared" ref="R232:AF247" si="138">Q232</f>
        <v>0</v>
      </c>
      <c r="S232" s="161">
        <f t="shared" si="138"/>
        <v>0</v>
      </c>
      <c r="T232" s="161">
        <f t="shared" si="138"/>
        <v>0</v>
      </c>
      <c r="U232" s="161">
        <f t="shared" si="138"/>
        <v>0</v>
      </c>
      <c r="V232" s="161">
        <f t="shared" si="138"/>
        <v>0</v>
      </c>
      <c r="W232" s="161">
        <f t="shared" si="138"/>
        <v>0</v>
      </c>
      <c r="X232" s="161">
        <f t="shared" si="138"/>
        <v>0</v>
      </c>
      <c r="Y232" s="161">
        <f t="shared" si="138"/>
        <v>0</v>
      </c>
      <c r="Z232" s="161">
        <f t="shared" si="138"/>
        <v>0</v>
      </c>
      <c r="AA232" s="161">
        <f t="shared" si="138"/>
        <v>0</v>
      </c>
      <c r="AB232" s="161">
        <f t="shared" si="138"/>
        <v>0</v>
      </c>
      <c r="AC232" s="161">
        <f t="shared" si="138"/>
        <v>0</v>
      </c>
      <c r="AD232" s="161">
        <f t="shared" si="138"/>
        <v>0</v>
      </c>
      <c r="AE232" s="161">
        <f t="shared" si="138"/>
        <v>0</v>
      </c>
      <c r="AF232" s="174">
        <f t="shared" si="138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39">E233</f>
        <v>0</v>
      </c>
      <c r="G233" s="161">
        <f t="shared" si="139"/>
        <v>0</v>
      </c>
      <c r="H233" s="161">
        <f t="shared" si="139"/>
        <v>0</v>
      </c>
      <c r="I233" s="161">
        <f t="shared" si="139"/>
        <v>0</v>
      </c>
      <c r="J233" s="161">
        <f t="shared" si="139"/>
        <v>0</v>
      </c>
      <c r="K233" s="161">
        <f t="shared" si="139"/>
        <v>0</v>
      </c>
      <c r="L233" s="161">
        <f t="shared" si="139"/>
        <v>0</v>
      </c>
      <c r="M233" s="161">
        <f t="shared" si="139"/>
        <v>0</v>
      </c>
      <c r="N233" s="161">
        <f t="shared" si="139"/>
        <v>0</v>
      </c>
      <c r="O233" s="161">
        <f t="shared" si="139"/>
        <v>0</v>
      </c>
      <c r="P233" s="161">
        <f t="shared" si="139"/>
        <v>0</v>
      </c>
      <c r="Q233" s="161">
        <f t="shared" si="139"/>
        <v>0</v>
      </c>
      <c r="R233" s="161">
        <f t="shared" si="139"/>
        <v>0</v>
      </c>
      <c r="S233" s="161">
        <f t="shared" si="138"/>
        <v>0</v>
      </c>
      <c r="T233" s="161">
        <f t="shared" si="138"/>
        <v>0</v>
      </c>
      <c r="U233" s="161">
        <f t="shared" si="138"/>
        <v>0</v>
      </c>
      <c r="V233" s="161">
        <f t="shared" si="138"/>
        <v>0</v>
      </c>
      <c r="W233" s="161">
        <f t="shared" si="138"/>
        <v>0</v>
      </c>
      <c r="X233" s="161">
        <f t="shared" si="138"/>
        <v>0</v>
      </c>
      <c r="Y233" s="161">
        <f t="shared" si="138"/>
        <v>0</v>
      </c>
      <c r="Z233" s="161">
        <f t="shared" si="138"/>
        <v>0</v>
      </c>
      <c r="AA233" s="161">
        <f t="shared" si="138"/>
        <v>0</v>
      </c>
      <c r="AB233" s="161">
        <f t="shared" si="138"/>
        <v>0</v>
      </c>
      <c r="AC233" s="161">
        <f t="shared" si="138"/>
        <v>0</v>
      </c>
      <c r="AD233" s="161">
        <f t="shared" si="138"/>
        <v>0</v>
      </c>
      <c r="AE233" s="161">
        <f t="shared" si="138"/>
        <v>0</v>
      </c>
      <c r="AF233" s="174">
        <f t="shared" si="138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39"/>
        <v>0</v>
      </c>
      <c r="G234" s="161">
        <f t="shared" si="139"/>
        <v>0</v>
      </c>
      <c r="H234" s="161">
        <f t="shared" si="139"/>
        <v>0</v>
      </c>
      <c r="I234" s="161">
        <f t="shared" si="139"/>
        <v>0</v>
      </c>
      <c r="J234" s="161">
        <f t="shared" si="139"/>
        <v>0</v>
      </c>
      <c r="K234" s="161">
        <f t="shared" si="139"/>
        <v>0</v>
      </c>
      <c r="L234" s="161">
        <f t="shared" si="139"/>
        <v>0</v>
      </c>
      <c r="M234" s="161">
        <f t="shared" si="139"/>
        <v>0</v>
      </c>
      <c r="N234" s="161">
        <f t="shared" si="139"/>
        <v>0</v>
      </c>
      <c r="O234" s="161">
        <f t="shared" si="139"/>
        <v>0</v>
      </c>
      <c r="P234" s="161">
        <f t="shared" si="139"/>
        <v>0</v>
      </c>
      <c r="Q234" s="161">
        <f t="shared" si="139"/>
        <v>0</v>
      </c>
      <c r="R234" s="161">
        <f t="shared" si="139"/>
        <v>0</v>
      </c>
      <c r="S234" s="161">
        <f t="shared" si="138"/>
        <v>0</v>
      </c>
      <c r="T234" s="161">
        <f t="shared" si="138"/>
        <v>0</v>
      </c>
      <c r="U234" s="161">
        <f t="shared" si="138"/>
        <v>0</v>
      </c>
      <c r="V234" s="161">
        <f t="shared" si="138"/>
        <v>0</v>
      </c>
      <c r="W234" s="161">
        <f t="shared" si="138"/>
        <v>0</v>
      </c>
      <c r="X234" s="161">
        <f t="shared" si="138"/>
        <v>0</v>
      </c>
      <c r="Y234" s="161">
        <f t="shared" si="138"/>
        <v>0</v>
      </c>
      <c r="Z234" s="161">
        <f t="shared" si="138"/>
        <v>0</v>
      </c>
      <c r="AA234" s="161">
        <f t="shared" si="138"/>
        <v>0</v>
      </c>
      <c r="AB234" s="161">
        <f t="shared" si="138"/>
        <v>0</v>
      </c>
      <c r="AC234" s="161">
        <f t="shared" si="138"/>
        <v>0</v>
      </c>
      <c r="AD234" s="161">
        <f t="shared" si="138"/>
        <v>0</v>
      </c>
      <c r="AE234" s="161">
        <f t="shared" si="138"/>
        <v>0</v>
      </c>
      <c r="AF234" s="174">
        <f t="shared" si="138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39"/>
        <v>0</v>
      </c>
      <c r="G235" s="161">
        <f t="shared" si="139"/>
        <v>0</v>
      </c>
      <c r="H235" s="161">
        <f t="shared" si="139"/>
        <v>0</v>
      </c>
      <c r="I235" s="161">
        <f t="shared" si="139"/>
        <v>0</v>
      </c>
      <c r="J235" s="161">
        <f t="shared" si="139"/>
        <v>0</v>
      </c>
      <c r="K235" s="161">
        <f t="shared" si="139"/>
        <v>0</v>
      </c>
      <c r="L235" s="161">
        <f t="shared" si="139"/>
        <v>0</v>
      </c>
      <c r="M235" s="161">
        <f t="shared" si="139"/>
        <v>0</v>
      </c>
      <c r="N235" s="161">
        <f t="shared" si="139"/>
        <v>0</v>
      </c>
      <c r="O235" s="161">
        <f t="shared" si="139"/>
        <v>0</v>
      </c>
      <c r="P235" s="161">
        <f t="shared" si="139"/>
        <v>0</v>
      </c>
      <c r="Q235" s="161">
        <f t="shared" si="139"/>
        <v>0</v>
      </c>
      <c r="R235" s="161">
        <f t="shared" si="139"/>
        <v>0</v>
      </c>
      <c r="S235" s="161">
        <f t="shared" si="138"/>
        <v>0</v>
      </c>
      <c r="T235" s="161">
        <f t="shared" si="138"/>
        <v>0</v>
      </c>
      <c r="U235" s="161">
        <f t="shared" si="138"/>
        <v>0</v>
      </c>
      <c r="V235" s="161">
        <f t="shared" si="138"/>
        <v>0</v>
      </c>
      <c r="W235" s="161">
        <f t="shared" si="138"/>
        <v>0</v>
      </c>
      <c r="X235" s="161">
        <f t="shared" si="138"/>
        <v>0</v>
      </c>
      <c r="Y235" s="161">
        <f t="shared" si="138"/>
        <v>0</v>
      </c>
      <c r="Z235" s="161">
        <f t="shared" si="138"/>
        <v>0</v>
      </c>
      <c r="AA235" s="161">
        <f t="shared" si="138"/>
        <v>0</v>
      </c>
      <c r="AB235" s="161">
        <f t="shared" si="138"/>
        <v>0</v>
      </c>
      <c r="AC235" s="161">
        <f t="shared" si="138"/>
        <v>0</v>
      </c>
      <c r="AD235" s="161">
        <f t="shared" si="138"/>
        <v>0</v>
      </c>
      <c r="AE235" s="161">
        <f t="shared" si="138"/>
        <v>0</v>
      </c>
      <c r="AF235" s="174">
        <f t="shared" si="138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39"/>
        <v>0</v>
      </c>
      <c r="G236" s="161">
        <f t="shared" si="139"/>
        <v>0</v>
      </c>
      <c r="H236" s="161">
        <f t="shared" si="139"/>
        <v>0</v>
      </c>
      <c r="I236" s="161">
        <f t="shared" si="139"/>
        <v>0</v>
      </c>
      <c r="J236" s="161">
        <f t="shared" si="139"/>
        <v>0</v>
      </c>
      <c r="K236" s="161">
        <f t="shared" si="139"/>
        <v>0</v>
      </c>
      <c r="L236" s="161">
        <f t="shared" si="139"/>
        <v>0</v>
      </c>
      <c r="M236" s="161">
        <f t="shared" si="139"/>
        <v>0</v>
      </c>
      <c r="N236" s="161">
        <f t="shared" si="139"/>
        <v>0</v>
      </c>
      <c r="O236" s="161">
        <f t="shared" si="139"/>
        <v>0</v>
      </c>
      <c r="P236" s="161">
        <f t="shared" si="139"/>
        <v>0</v>
      </c>
      <c r="Q236" s="161">
        <f t="shared" si="139"/>
        <v>0</v>
      </c>
      <c r="R236" s="161">
        <f t="shared" si="139"/>
        <v>0</v>
      </c>
      <c r="S236" s="161">
        <f t="shared" si="138"/>
        <v>0</v>
      </c>
      <c r="T236" s="161">
        <f t="shared" si="138"/>
        <v>0</v>
      </c>
      <c r="U236" s="161">
        <f t="shared" si="138"/>
        <v>0</v>
      </c>
      <c r="V236" s="161">
        <f t="shared" si="138"/>
        <v>0</v>
      </c>
      <c r="W236" s="161">
        <f t="shared" si="138"/>
        <v>0</v>
      </c>
      <c r="X236" s="161">
        <f t="shared" si="138"/>
        <v>0</v>
      </c>
      <c r="Y236" s="161">
        <f t="shared" si="138"/>
        <v>0</v>
      </c>
      <c r="Z236" s="161">
        <f t="shared" si="138"/>
        <v>0</v>
      </c>
      <c r="AA236" s="161">
        <f t="shared" si="138"/>
        <v>0</v>
      </c>
      <c r="AB236" s="161">
        <f t="shared" si="138"/>
        <v>0</v>
      </c>
      <c r="AC236" s="161">
        <f t="shared" si="138"/>
        <v>0</v>
      </c>
      <c r="AD236" s="161">
        <f t="shared" si="138"/>
        <v>0</v>
      </c>
      <c r="AE236" s="161">
        <f t="shared" si="138"/>
        <v>0</v>
      </c>
      <c r="AF236" s="174">
        <f t="shared" si="138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39"/>
        <v>0</v>
      </c>
      <c r="G237" s="161">
        <f t="shared" si="139"/>
        <v>0</v>
      </c>
      <c r="H237" s="161">
        <f t="shared" si="139"/>
        <v>0</v>
      </c>
      <c r="I237" s="161">
        <f t="shared" si="139"/>
        <v>0</v>
      </c>
      <c r="J237" s="161">
        <f t="shared" si="139"/>
        <v>0</v>
      </c>
      <c r="K237" s="161">
        <f t="shared" si="139"/>
        <v>0</v>
      </c>
      <c r="L237" s="161">
        <f t="shared" si="139"/>
        <v>0</v>
      </c>
      <c r="M237" s="161">
        <f t="shared" si="139"/>
        <v>0</v>
      </c>
      <c r="N237" s="161">
        <f t="shared" si="139"/>
        <v>0</v>
      </c>
      <c r="O237" s="161">
        <f t="shared" si="139"/>
        <v>0</v>
      </c>
      <c r="P237" s="161">
        <f t="shared" si="139"/>
        <v>0</v>
      </c>
      <c r="Q237" s="161">
        <f t="shared" si="139"/>
        <v>0</v>
      </c>
      <c r="R237" s="161">
        <f t="shared" si="139"/>
        <v>0</v>
      </c>
      <c r="S237" s="161">
        <f t="shared" si="138"/>
        <v>0</v>
      </c>
      <c r="T237" s="161">
        <f t="shared" si="138"/>
        <v>0</v>
      </c>
      <c r="U237" s="161">
        <f t="shared" si="138"/>
        <v>0</v>
      </c>
      <c r="V237" s="161">
        <f t="shared" si="138"/>
        <v>0</v>
      </c>
      <c r="W237" s="161">
        <f t="shared" si="138"/>
        <v>0</v>
      </c>
      <c r="X237" s="161">
        <f t="shared" si="138"/>
        <v>0</v>
      </c>
      <c r="Y237" s="161">
        <f t="shared" si="138"/>
        <v>0</v>
      </c>
      <c r="Z237" s="161">
        <f t="shared" si="138"/>
        <v>0</v>
      </c>
      <c r="AA237" s="161">
        <f t="shared" si="138"/>
        <v>0</v>
      </c>
      <c r="AB237" s="161">
        <f t="shared" si="138"/>
        <v>0</v>
      </c>
      <c r="AC237" s="161">
        <f t="shared" si="138"/>
        <v>0</v>
      </c>
      <c r="AD237" s="161">
        <f t="shared" si="138"/>
        <v>0</v>
      </c>
      <c r="AE237" s="161">
        <f t="shared" si="138"/>
        <v>0</v>
      </c>
      <c r="AF237" s="174">
        <f t="shared" si="138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39"/>
        <v>0</v>
      </c>
      <c r="G238" s="161">
        <f t="shared" si="139"/>
        <v>0</v>
      </c>
      <c r="H238" s="161">
        <f t="shared" si="139"/>
        <v>0</v>
      </c>
      <c r="I238" s="161">
        <f t="shared" si="139"/>
        <v>0</v>
      </c>
      <c r="J238" s="161">
        <f t="shared" si="139"/>
        <v>0</v>
      </c>
      <c r="K238" s="161">
        <f t="shared" si="139"/>
        <v>0</v>
      </c>
      <c r="L238" s="161">
        <f t="shared" si="139"/>
        <v>0</v>
      </c>
      <c r="M238" s="161">
        <f t="shared" si="139"/>
        <v>0</v>
      </c>
      <c r="N238" s="161">
        <f t="shared" si="139"/>
        <v>0</v>
      </c>
      <c r="O238" s="161">
        <f t="shared" si="139"/>
        <v>0</v>
      </c>
      <c r="P238" s="161">
        <f t="shared" si="139"/>
        <v>0</v>
      </c>
      <c r="Q238" s="161">
        <f t="shared" si="139"/>
        <v>0</v>
      </c>
      <c r="R238" s="161">
        <f t="shared" si="139"/>
        <v>0</v>
      </c>
      <c r="S238" s="161">
        <f t="shared" si="138"/>
        <v>0</v>
      </c>
      <c r="T238" s="161">
        <f t="shared" si="138"/>
        <v>0</v>
      </c>
      <c r="U238" s="161">
        <f t="shared" si="138"/>
        <v>0</v>
      </c>
      <c r="V238" s="161">
        <f t="shared" si="138"/>
        <v>0</v>
      </c>
      <c r="W238" s="161">
        <f t="shared" si="138"/>
        <v>0</v>
      </c>
      <c r="X238" s="161">
        <f t="shared" si="138"/>
        <v>0</v>
      </c>
      <c r="Y238" s="161">
        <f t="shared" si="138"/>
        <v>0</v>
      </c>
      <c r="Z238" s="161">
        <f t="shared" si="138"/>
        <v>0</v>
      </c>
      <c r="AA238" s="161">
        <f t="shared" si="138"/>
        <v>0</v>
      </c>
      <c r="AB238" s="161">
        <f t="shared" si="138"/>
        <v>0</v>
      </c>
      <c r="AC238" s="161">
        <f t="shared" si="138"/>
        <v>0</v>
      </c>
      <c r="AD238" s="161">
        <f t="shared" si="138"/>
        <v>0</v>
      </c>
      <c r="AE238" s="161">
        <f t="shared" si="138"/>
        <v>0</v>
      </c>
      <c r="AF238" s="174">
        <f t="shared" si="138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39"/>
        <v>0</v>
      </c>
      <c r="G239" s="161">
        <f t="shared" si="139"/>
        <v>0</v>
      </c>
      <c r="H239" s="161">
        <f t="shared" si="139"/>
        <v>0</v>
      </c>
      <c r="I239" s="161">
        <f t="shared" si="139"/>
        <v>0</v>
      </c>
      <c r="J239" s="161">
        <f t="shared" si="139"/>
        <v>0</v>
      </c>
      <c r="K239" s="161">
        <f t="shared" si="139"/>
        <v>0</v>
      </c>
      <c r="L239" s="161">
        <f t="shared" si="139"/>
        <v>0</v>
      </c>
      <c r="M239" s="161">
        <f t="shared" si="139"/>
        <v>0</v>
      </c>
      <c r="N239" s="161">
        <f t="shared" si="139"/>
        <v>0</v>
      </c>
      <c r="O239" s="161">
        <f t="shared" si="139"/>
        <v>0</v>
      </c>
      <c r="P239" s="161">
        <f t="shared" si="139"/>
        <v>0</v>
      </c>
      <c r="Q239" s="161">
        <f t="shared" si="139"/>
        <v>0</v>
      </c>
      <c r="R239" s="161">
        <f t="shared" si="139"/>
        <v>0</v>
      </c>
      <c r="S239" s="161">
        <f t="shared" si="138"/>
        <v>0</v>
      </c>
      <c r="T239" s="161">
        <f t="shared" si="138"/>
        <v>0</v>
      </c>
      <c r="U239" s="161">
        <f t="shared" si="138"/>
        <v>0</v>
      </c>
      <c r="V239" s="161">
        <f t="shared" si="138"/>
        <v>0</v>
      </c>
      <c r="W239" s="161">
        <f t="shared" si="138"/>
        <v>0</v>
      </c>
      <c r="X239" s="161">
        <f t="shared" si="138"/>
        <v>0</v>
      </c>
      <c r="Y239" s="161">
        <f t="shared" si="138"/>
        <v>0</v>
      </c>
      <c r="Z239" s="161">
        <f t="shared" si="138"/>
        <v>0</v>
      </c>
      <c r="AA239" s="161">
        <f t="shared" si="138"/>
        <v>0</v>
      </c>
      <c r="AB239" s="161">
        <f t="shared" si="138"/>
        <v>0</v>
      </c>
      <c r="AC239" s="161">
        <f t="shared" si="138"/>
        <v>0</v>
      </c>
      <c r="AD239" s="161">
        <f t="shared" si="138"/>
        <v>0</v>
      </c>
      <c r="AE239" s="161">
        <f t="shared" si="138"/>
        <v>0</v>
      </c>
      <c r="AF239" s="174">
        <f t="shared" si="138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39"/>
        <v>0</v>
      </c>
      <c r="G240" s="161">
        <f t="shared" si="139"/>
        <v>0</v>
      </c>
      <c r="H240" s="161">
        <f t="shared" si="139"/>
        <v>0</v>
      </c>
      <c r="I240" s="161">
        <f t="shared" si="139"/>
        <v>0</v>
      </c>
      <c r="J240" s="161">
        <f t="shared" si="139"/>
        <v>0</v>
      </c>
      <c r="K240" s="161">
        <f t="shared" si="139"/>
        <v>0</v>
      </c>
      <c r="L240" s="161">
        <f t="shared" si="139"/>
        <v>0</v>
      </c>
      <c r="M240" s="161">
        <f t="shared" si="139"/>
        <v>0</v>
      </c>
      <c r="N240" s="161">
        <f t="shared" si="139"/>
        <v>0</v>
      </c>
      <c r="O240" s="161">
        <f t="shared" si="139"/>
        <v>0</v>
      </c>
      <c r="P240" s="161">
        <f t="shared" si="139"/>
        <v>0</v>
      </c>
      <c r="Q240" s="161">
        <f t="shared" si="139"/>
        <v>0</v>
      </c>
      <c r="R240" s="161">
        <f t="shared" si="139"/>
        <v>0</v>
      </c>
      <c r="S240" s="161">
        <f t="shared" si="138"/>
        <v>0</v>
      </c>
      <c r="T240" s="161">
        <f t="shared" si="138"/>
        <v>0</v>
      </c>
      <c r="U240" s="161">
        <f t="shared" si="138"/>
        <v>0</v>
      </c>
      <c r="V240" s="161">
        <f t="shared" si="138"/>
        <v>0</v>
      </c>
      <c r="W240" s="161">
        <f t="shared" si="138"/>
        <v>0</v>
      </c>
      <c r="X240" s="161">
        <f t="shared" si="138"/>
        <v>0</v>
      </c>
      <c r="Y240" s="161">
        <f t="shared" si="138"/>
        <v>0</v>
      </c>
      <c r="Z240" s="161">
        <f t="shared" si="138"/>
        <v>0</v>
      </c>
      <c r="AA240" s="161">
        <f t="shared" si="138"/>
        <v>0</v>
      </c>
      <c r="AB240" s="161">
        <f t="shared" si="138"/>
        <v>0</v>
      </c>
      <c r="AC240" s="161">
        <f t="shared" si="138"/>
        <v>0</v>
      </c>
      <c r="AD240" s="161">
        <f t="shared" si="138"/>
        <v>0</v>
      </c>
      <c r="AE240" s="161">
        <f t="shared" si="138"/>
        <v>0</v>
      </c>
      <c r="AF240" s="174">
        <f t="shared" si="138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39"/>
        <v>0</v>
      </c>
      <c r="G241" s="161">
        <f t="shared" si="139"/>
        <v>0</v>
      </c>
      <c r="H241" s="161">
        <f t="shared" si="139"/>
        <v>0</v>
      </c>
      <c r="I241" s="161">
        <f t="shared" si="139"/>
        <v>0</v>
      </c>
      <c r="J241" s="161">
        <f t="shared" si="139"/>
        <v>0</v>
      </c>
      <c r="K241" s="161">
        <f t="shared" si="139"/>
        <v>0</v>
      </c>
      <c r="L241" s="161">
        <f t="shared" si="139"/>
        <v>0</v>
      </c>
      <c r="M241" s="161">
        <f t="shared" si="139"/>
        <v>0</v>
      </c>
      <c r="N241" s="161">
        <f t="shared" si="139"/>
        <v>0</v>
      </c>
      <c r="O241" s="161">
        <f t="shared" si="139"/>
        <v>0</v>
      </c>
      <c r="P241" s="161">
        <f t="shared" si="139"/>
        <v>0</v>
      </c>
      <c r="Q241" s="161">
        <f t="shared" si="139"/>
        <v>0</v>
      </c>
      <c r="R241" s="161">
        <f t="shared" si="139"/>
        <v>0</v>
      </c>
      <c r="S241" s="161">
        <f t="shared" si="138"/>
        <v>0</v>
      </c>
      <c r="T241" s="161">
        <f t="shared" si="138"/>
        <v>0</v>
      </c>
      <c r="U241" s="161">
        <f t="shared" si="138"/>
        <v>0</v>
      </c>
      <c r="V241" s="161">
        <f t="shared" si="138"/>
        <v>0</v>
      </c>
      <c r="W241" s="161">
        <f t="shared" si="138"/>
        <v>0</v>
      </c>
      <c r="X241" s="161">
        <f t="shared" si="138"/>
        <v>0</v>
      </c>
      <c r="Y241" s="161">
        <f t="shared" si="138"/>
        <v>0</v>
      </c>
      <c r="Z241" s="161">
        <f t="shared" si="138"/>
        <v>0</v>
      </c>
      <c r="AA241" s="161">
        <f t="shared" si="138"/>
        <v>0</v>
      </c>
      <c r="AB241" s="161">
        <f t="shared" si="138"/>
        <v>0</v>
      </c>
      <c r="AC241" s="161">
        <f t="shared" si="138"/>
        <v>0</v>
      </c>
      <c r="AD241" s="161">
        <f t="shared" si="138"/>
        <v>0</v>
      </c>
      <c r="AE241" s="161">
        <f t="shared" si="138"/>
        <v>0</v>
      </c>
      <c r="AF241" s="174">
        <f t="shared" si="138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39"/>
        <v>0</v>
      </c>
      <c r="G242" s="161">
        <f t="shared" si="139"/>
        <v>0</v>
      </c>
      <c r="H242" s="161">
        <f t="shared" si="139"/>
        <v>0</v>
      </c>
      <c r="I242" s="161">
        <f t="shared" si="139"/>
        <v>0</v>
      </c>
      <c r="J242" s="161">
        <f t="shared" si="139"/>
        <v>0</v>
      </c>
      <c r="K242" s="161">
        <f t="shared" si="139"/>
        <v>0</v>
      </c>
      <c r="L242" s="161">
        <f t="shared" si="139"/>
        <v>0</v>
      </c>
      <c r="M242" s="161">
        <f t="shared" si="139"/>
        <v>0</v>
      </c>
      <c r="N242" s="161">
        <f t="shared" si="139"/>
        <v>0</v>
      </c>
      <c r="O242" s="161">
        <f t="shared" si="139"/>
        <v>0</v>
      </c>
      <c r="P242" s="161">
        <f t="shared" si="139"/>
        <v>0</v>
      </c>
      <c r="Q242" s="161">
        <f t="shared" si="139"/>
        <v>0</v>
      </c>
      <c r="R242" s="161">
        <f t="shared" si="139"/>
        <v>0</v>
      </c>
      <c r="S242" s="161">
        <f t="shared" si="138"/>
        <v>0</v>
      </c>
      <c r="T242" s="161">
        <f t="shared" si="138"/>
        <v>0</v>
      </c>
      <c r="U242" s="161">
        <f t="shared" si="138"/>
        <v>0</v>
      </c>
      <c r="V242" s="161">
        <f t="shared" si="138"/>
        <v>0</v>
      </c>
      <c r="W242" s="161">
        <f t="shared" si="138"/>
        <v>0</v>
      </c>
      <c r="X242" s="161">
        <f t="shared" si="138"/>
        <v>0</v>
      </c>
      <c r="Y242" s="161">
        <f t="shared" si="138"/>
        <v>0</v>
      </c>
      <c r="Z242" s="161">
        <f t="shared" si="138"/>
        <v>0</v>
      </c>
      <c r="AA242" s="161">
        <f t="shared" si="138"/>
        <v>0</v>
      </c>
      <c r="AB242" s="161">
        <f t="shared" si="138"/>
        <v>0</v>
      </c>
      <c r="AC242" s="161">
        <f t="shared" si="138"/>
        <v>0</v>
      </c>
      <c r="AD242" s="161">
        <f t="shared" si="138"/>
        <v>0</v>
      </c>
      <c r="AE242" s="161">
        <f t="shared" si="138"/>
        <v>0</v>
      </c>
      <c r="AF242" s="174">
        <f t="shared" si="138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39"/>
        <v>0</v>
      </c>
      <c r="G243" s="161">
        <f t="shared" si="139"/>
        <v>0</v>
      </c>
      <c r="H243" s="161">
        <f t="shared" si="139"/>
        <v>0</v>
      </c>
      <c r="I243" s="161">
        <f t="shared" si="139"/>
        <v>0</v>
      </c>
      <c r="J243" s="161">
        <f t="shared" si="139"/>
        <v>0</v>
      </c>
      <c r="K243" s="161">
        <f t="shared" si="139"/>
        <v>0</v>
      </c>
      <c r="L243" s="161">
        <f t="shared" si="139"/>
        <v>0</v>
      </c>
      <c r="M243" s="161">
        <f t="shared" si="139"/>
        <v>0</v>
      </c>
      <c r="N243" s="161">
        <f t="shared" si="139"/>
        <v>0</v>
      </c>
      <c r="O243" s="161">
        <f t="shared" si="139"/>
        <v>0</v>
      </c>
      <c r="P243" s="161">
        <f t="shared" si="139"/>
        <v>0</v>
      </c>
      <c r="Q243" s="161">
        <f t="shared" si="139"/>
        <v>0</v>
      </c>
      <c r="R243" s="161">
        <f t="shared" si="139"/>
        <v>0</v>
      </c>
      <c r="S243" s="161">
        <f t="shared" si="138"/>
        <v>0</v>
      </c>
      <c r="T243" s="161">
        <f t="shared" si="138"/>
        <v>0</v>
      </c>
      <c r="U243" s="161">
        <f t="shared" si="138"/>
        <v>0</v>
      </c>
      <c r="V243" s="161">
        <f t="shared" si="138"/>
        <v>0</v>
      </c>
      <c r="W243" s="161">
        <f t="shared" si="138"/>
        <v>0</v>
      </c>
      <c r="X243" s="161">
        <f t="shared" si="138"/>
        <v>0</v>
      </c>
      <c r="Y243" s="161">
        <f t="shared" si="138"/>
        <v>0</v>
      </c>
      <c r="Z243" s="161">
        <f t="shared" si="138"/>
        <v>0</v>
      </c>
      <c r="AA243" s="161">
        <f t="shared" si="138"/>
        <v>0</v>
      </c>
      <c r="AB243" s="161">
        <f t="shared" si="138"/>
        <v>0</v>
      </c>
      <c r="AC243" s="161">
        <f t="shared" si="138"/>
        <v>0</v>
      </c>
      <c r="AD243" s="161">
        <f t="shared" si="138"/>
        <v>0</v>
      </c>
      <c r="AE243" s="161">
        <f t="shared" si="138"/>
        <v>0</v>
      </c>
      <c r="AF243" s="174">
        <f t="shared" si="138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39"/>
        <v>0</v>
      </c>
      <c r="G244" s="161">
        <f t="shared" si="139"/>
        <v>0</v>
      </c>
      <c r="H244" s="161">
        <f t="shared" si="139"/>
        <v>0</v>
      </c>
      <c r="I244" s="161">
        <f t="shared" si="139"/>
        <v>0</v>
      </c>
      <c r="J244" s="161">
        <f t="shared" si="139"/>
        <v>0</v>
      </c>
      <c r="K244" s="161">
        <f t="shared" si="139"/>
        <v>0</v>
      </c>
      <c r="L244" s="161">
        <f t="shared" si="139"/>
        <v>0</v>
      </c>
      <c r="M244" s="161">
        <f t="shared" si="139"/>
        <v>0</v>
      </c>
      <c r="N244" s="161">
        <f t="shared" si="139"/>
        <v>0</v>
      </c>
      <c r="O244" s="161">
        <f t="shared" si="139"/>
        <v>0</v>
      </c>
      <c r="P244" s="161">
        <f t="shared" si="139"/>
        <v>0</v>
      </c>
      <c r="Q244" s="161">
        <f t="shared" si="139"/>
        <v>0</v>
      </c>
      <c r="R244" s="161">
        <f t="shared" si="139"/>
        <v>0</v>
      </c>
      <c r="S244" s="161">
        <f t="shared" si="138"/>
        <v>0</v>
      </c>
      <c r="T244" s="161">
        <f t="shared" si="138"/>
        <v>0</v>
      </c>
      <c r="U244" s="161">
        <f t="shared" si="138"/>
        <v>0</v>
      </c>
      <c r="V244" s="161">
        <f t="shared" si="138"/>
        <v>0</v>
      </c>
      <c r="W244" s="161">
        <f t="shared" si="138"/>
        <v>0</v>
      </c>
      <c r="X244" s="161">
        <f t="shared" si="138"/>
        <v>0</v>
      </c>
      <c r="Y244" s="161">
        <f t="shared" si="138"/>
        <v>0</v>
      </c>
      <c r="Z244" s="161">
        <f t="shared" si="138"/>
        <v>0</v>
      </c>
      <c r="AA244" s="161">
        <f t="shared" si="138"/>
        <v>0</v>
      </c>
      <c r="AB244" s="161">
        <f t="shared" si="138"/>
        <v>0</v>
      </c>
      <c r="AC244" s="161">
        <f t="shared" si="138"/>
        <v>0</v>
      </c>
      <c r="AD244" s="161">
        <f t="shared" si="138"/>
        <v>0</v>
      </c>
      <c r="AE244" s="161">
        <f t="shared" si="138"/>
        <v>0</v>
      </c>
      <c r="AF244" s="174">
        <f t="shared" si="138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39"/>
        <v>0</v>
      </c>
      <c r="G245" s="161">
        <f t="shared" si="139"/>
        <v>0</v>
      </c>
      <c r="H245" s="161">
        <f t="shared" si="139"/>
        <v>0</v>
      </c>
      <c r="I245" s="161">
        <f t="shared" si="139"/>
        <v>0</v>
      </c>
      <c r="J245" s="161">
        <f t="shared" si="139"/>
        <v>0</v>
      </c>
      <c r="K245" s="161">
        <f t="shared" si="139"/>
        <v>0</v>
      </c>
      <c r="L245" s="161">
        <f t="shared" si="139"/>
        <v>0</v>
      </c>
      <c r="M245" s="161">
        <f t="shared" si="139"/>
        <v>0</v>
      </c>
      <c r="N245" s="161">
        <f t="shared" si="139"/>
        <v>0</v>
      </c>
      <c r="O245" s="161">
        <f t="shared" si="139"/>
        <v>0</v>
      </c>
      <c r="P245" s="161">
        <f t="shared" si="139"/>
        <v>0</v>
      </c>
      <c r="Q245" s="161">
        <f t="shared" si="139"/>
        <v>0</v>
      </c>
      <c r="R245" s="161">
        <f t="shared" si="139"/>
        <v>0</v>
      </c>
      <c r="S245" s="161">
        <f t="shared" si="138"/>
        <v>0</v>
      </c>
      <c r="T245" s="161">
        <f t="shared" si="138"/>
        <v>0</v>
      </c>
      <c r="U245" s="161">
        <f t="shared" si="138"/>
        <v>0</v>
      </c>
      <c r="V245" s="161">
        <f t="shared" si="138"/>
        <v>0</v>
      </c>
      <c r="W245" s="161">
        <f t="shared" si="138"/>
        <v>0</v>
      </c>
      <c r="X245" s="161">
        <f t="shared" si="138"/>
        <v>0</v>
      </c>
      <c r="Y245" s="161">
        <f t="shared" si="138"/>
        <v>0</v>
      </c>
      <c r="Z245" s="161">
        <f t="shared" si="138"/>
        <v>0</v>
      </c>
      <c r="AA245" s="161">
        <f t="shared" si="138"/>
        <v>0</v>
      </c>
      <c r="AB245" s="161">
        <f t="shared" si="138"/>
        <v>0</v>
      </c>
      <c r="AC245" s="161">
        <f t="shared" si="138"/>
        <v>0</v>
      </c>
      <c r="AD245" s="161">
        <f t="shared" si="138"/>
        <v>0</v>
      </c>
      <c r="AE245" s="161">
        <f t="shared" si="138"/>
        <v>0</v>
      </c>
      <c r="AF245" s="174">
        <f t="shared" si="138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39"/>
        <v>0</v>
      </c>
      <c r="G246" s="161">
        <f t="shared" si="139"/>
        <v>0</v>
      </c>
      <c r="H246" s="161">
        <f t="shared" si="139"/>
        <v>0</v>
      </c>
      <c r="I246" s="161">
        <f t="shared" si="139"/>
        <v>0</v>
      </c>
      <c r="J246" s="161">
        <f t="shared" si="139"/>
        <v>0</v>
      </c>
      <c r="K246" s="161">
        <f t="shared" si="139"/>
        <v>0</v>
      </c>
      <c r="L246" s="161">
        <f t="shared" si="139"/>
        <v>0</v>
      </c>
      <c r="M246" s="161">
        <f t="shared" si="139"/>
        <v>0</v>
      </c>
      <c r="N246" s="161">
        <f t="shared" si="139"/>
        <v>0</v>
      </c>
      <c r="O246" s="161">
        <f t="shared" si="139"/>
        <v>0</v>
      </c>
      <c r="P246" s="161">
        <f t="shared" si="139"/>
        <v>0</v>
      </c>
      <c r="Q246" s="161">
        <f t="shared" si="139"/>
        <v>0</v>
      </c>
      <c r="R246" s="161">
        <f t="shared" si="139"/>
        <v>0</v>
      </c>
      <c r="S246" s="161">
        <f t="shared" si="138"/>
        <v>0</v>
      </c>
      <c r="T246" s="161">
        <f t="shared" si="138"/>
        <v>0</v>
      </c>
      <c r="U246" s="161">
        <f t="shared" si="138"/>
        <v>0</v>
      </c>
      <c r="V246" s="161">
        <f t="shared" si="138"/>
        <v>0</v>
      </c>
      <c r="W246" s="161">
        <f t="shared" si="138"/>
        <v>0</v>
      </c>
      <c r="X246" s="161">
        <f t="shared" si="138"/>
        <v>0</v>
      </c>
      <c r="Y246" s="161">
        <f t="shared" si="138"/>
        <v>0</v>
      </c>
      <c r="Z246" s="161">
        <f t="shared" si="138"/>
        <v>0</v>
      </c>
      <c r="AA246" s="161">
        <f t="shared" si="138"/>
        <v>0</v>
      </c>
      <c r="AB246" s="161">
        <f t="shared" si="138"/>
        <v>0</v>
      </c>
      <c r="AC246" s="161">
        <f t="shared" si="138"/>
        <v>0</v>
      </c>
      <c r="AD246" s="161">
        <f t="shared" si="138"/>
        <v>0</v>
      </c>
      <c r="AE246" s="161">
        <f t="shared" si="138"/>
        <v>0</v>
      </c>
      <c r="AF246" s="174">
        <f t="shared" si="138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39"/>
        <v>0</v>
      </c>
      <c r="G247" s="161">
        <f t="shared" si="139"/>
        <v>0</v>
      </c>
      <c r="H247" s="161">
        <f t="shared" si="139"/>
        <v>0</v>
      </c>
      <c r="I247" s="161">
        <f t="shared" si="139"/>
        <v>0</v>
      </c>
      <c r="J247" s="161">
        <f t="shared" si="139"/>
        <v>0</v>
      </c>
      <c r="K247" s="161">
        <f t="shared" si="139"/>
        <v>0</v>
      </c>
      <c r="L247" s="161">
        <f t="shared" si="139"/>
        <v>0</v>
      </c>
      <c r="M247" s="161">
        <f t="shared" si="139"/>
        <v>0</v>
      </c>
      <c r="N247" s="161">
        <f t="shared" si="139"/>
        <v>0</v>
      </c>
      <c r="O247" s="161">
        <f t="shared" si="139"/>
        <v>0</v>
      </c>
      <c r="P247" s="161">
        <f t="shared" si="139"/>
        <v>0</v>
      </c>
      <c r="Q247" s="161">
        <f t="shared" si="139"/>
        <v>0</v>
      </c>
      <c r="R247" s="161">
        <f t="shared" si="139"/>
        <v>0</v>
      </c>
      <c r="S247" s="161">
        <f t="shared" si="138"/>
        <v>0</v>
      </c>
      <c r="T247" s="161">
        <f t="shared" si="138"/>
        <v>0</v>
      </c>
      <c r="U247" s="161">
        <f t="shared" si="138"/>
        <v>0</v>
      </c>
      <c r="V247" s="161">
        <f t="shared" si="138"/>
        <v>0</v>
      </c>
      <c r="W247" s="161">
        <f t="shared" si="138"/>
        <v>0</v>
      </c>
      <c r="X247" s="161">
        <f t="shared" si="138"/>
        <v>0</v>
      </c>
      <c r="Y247" s="161">
        <f t="shared" si="138"/>
        <v>0</v>
      </c>
      <c r="Z247" s="161">
        <f t="shared" si="138"/>
        <v>0</v>
      </c>
      <c r="AA247" s="161">
        <f t="shared" si="138"/>
        <v>0</v>
      </c>
      <c r="AB247" s="161">
        <f t="shared" si="138"/>
        <v>0</v>
      </c>
      <c r="AC247" s="161">
        <f t="shared" si="138"/>
        <v>0</v>
      </c>
      <c r="AD247" s="161">
        <f t="shared" si="138"/>
        <v>0</v>
      </c>
      <c r="AE247" s="161">
        <f t="shared" si="138"/>
        <v>0</v>
      </c>
      <c r="AF247" s="174">
        <f t="shared" si="138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39"/>
        <v>0</v>
      </c>
      <c r="G248" s="161">
        <f t="shared" si="139"/>
        <v>0</v>
      </c>
      <c r="H248" s="161">
        <f t="shared" si="139"/>
        <v>0</v>
      </c>
      <c r="I248" s="161">
        <f t="shared" si="139"/>
        <v>0</v>
      </c>
      <c r="J248" s="161">
        <f t="shared" si="139"/>
        <v>0</v>
      </c>
      <c r="K248" s="161">
        <f t="shared" si="139"/>
        <v>0</v>
      </c>
      <c r="L248" s="161">
        <f t="shared" si="139"/>
        <v>0</v>
      </c>
      <c r="M248" s="161">
        <f t="shared" si="139"/>
        <v>0</v>
      </c>
      <c r="N248" s="161">
        <f t="shared" si="139"/>
        <v>0</v>
      </c>
      <c r="O248" s="161">
        <f t="shared" si="139"/>
        <v>0</v>
      </c>
      <c r="P248" s="161">
        <f t="shared" si="139"/>
        <v>0</v>
      </c>
      <c r="Q248" s="161">
        <f t="shared" si="139"/>
        <v>0</v>
      </c>
      <c r="R248" s="161">
        <f t="shared" ref="R248:AF263" si="140">Q248</f>
        <v>0</v>
      </c>
      <c r="S248" s="161">
        <f t="shared" si="140"/>
        <v>0</v>
      </c>
      <c r="T248" s="161">
        <f t="shared" si="140"/>
        <v>0</v>
      </c>
      <c r="U248" s="161">
        <f t="shared" si="140"/>
        <v>0</v>
      </c>
      <c r="V248" s="161">
        <f t="shared" si="140"/>
        <v>0</v>
      </c>
      <c r="W248" s="161">
        <f t="shared" si="140"/>
        <v>0</v>
      </c>
      <c r="X248" s="161">
        <f t="shared" si="140"/>
        <v>0</v>
      </c>
      <c r="Y248" s="161">
        <f t="shared" si="140"/>
        <v>0</v>
      </c>
      <c r="Z248" s="161">
        <f t="shared" si="140"/>
        <v>0</v>
      </c>
      <c r="AA248" s="161">
        <f t="shared" si="140"/>
        <v>0</v>
      </c>
      <c r="AB248" s="161">
        <f t="shared" si="140"/>
        <v>0</v>
      </c>
      <c r="AC248" s="161">
        <f t="shared" si="140"/>
        <v>0</v>
      </c>
      <c r="AD248" s="161">
        <f t="shared" si="140"/>
        <v>0</v>
      </c>
      <c r="AE248" s="161">
        <f t="shared" si="140"/>
        <v>0</v>
      </c>
      <c r="AF248" s="174">
        <f t="shared" si="140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41">E249</f>
        <v>0</v>
      </c>
      <c r="G249" s="161">
        <f t="shared" si="141"/>
        <v>0</v>
      </c>
      <c r="H249" s="161">
        <f t="shared" si="141"/>
        <v>0</v>
      </c>
      <c r="I249" s="161">
        <f t="shared" si="141"/>
        <v>0</v>
      </c>
      <c r="J249" s="161">
        <f t="shared" si="141"/>
        <v>0</v>
      </c>
      <c r="K249" s="161">
        <f t="shared" si="141"/>
        <v>0</v>
      </c>
      <c r="L249" s="161">
        <f t="shared" si="141"/>
        <v>0</v>
      </c>
      <c r="M249" s="161">
        <f t="shared" si="141"/>
        <v>0</v>
      </c>
      <c r="N249" s="161">
        <f t="shared" si="141"/>
        <v>0</v>
      </c>
      <c r="O249" s="161">
        <f t="shared" si="141"/>
        <v>0</v>
      </c>
      <c r="P249" s="161">
        <f t="shared" si="141"/>
        <v>0</v>
      </c>
      <c r="Q249" s="161">
        <f t="shared" si="141"/>
        <v>0</v>
      </c>
      <c r="R249" s="161">
        <f t="shared" si="140"/>
        <v>0</v>
      </c>
      <c r="S249" s="161">
        <f t="shared" si="140"/>
        <v>0</v>
      </c>
      <c r="T249" s="161">
        <f t="shared" si="140"/>
        <v>0</v>
      </c>
      <c r="U249" s="161">
        <f t="shared" si="140"/>
        <v>0</v>
      </c>
      <c r="V249" s="161">
        <f t="shared" si="140"/>
        <v>0</v>
      </c>
      <c r="W249" s="161">
        <f t="shared" si="140"/>
        <v>0</v>
      </c>
      <c r="X249" s="161">
        <f t="shared" si="140"/>
        <v>0</v>
      </c>
      <c r="Y249" s="161">
        <f t="shared" si="140"/>
        <v>0</v>
      </c>
      <c r="Z249" s="161">
        <f t="shared" si="140"/>
        <v>0</v>
      </c>
      <c r="AA249" s="161">
        <f t="shared" si="140"/>
        <v>0</v>
      </c>
      <c r="AB249" s="161">
        <f t="shared" si="140"/>
        <v>0</v>
      </c>
      <c r="AC249" s="161">
        <f t="shared" si="140"/>
        <v>0</v>
      </c>
      <c r="AD249" s="161">
        <f t="shared" si="140"/>
        <v>0</v>
      </c>
      <c r="AE249" s="161">
        <f t="shared" si="140"/>
        <v>0</v>
      </c>
      <c r="AF249" s="174">
        <f t="shared" si="140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41"/>
        <v>0</v>
      </c>
      <c r="G250" s="161">
        <f t="shared" si="141"/>
        <v>0</v>
      </c>
      <c r="H250" s="161">
        <f t="shared" si="141"/>
        <v>0</v>
      </c>
      <c r="I250" s="161">
        <f t="shared" si="141"/>
        <v>0</v>
      </c>
      <c r="J250" s="161">
        <f t="shared" si="141"/>
        <v>0</v>
      </c>
      <c r="K250" s="161">
        <f t="shared" si="141"/>
        <v>0</v>
      </c>
      <c r="L250" s="161">
        <f t="shared" si="141"/>
        <v>0</v>
      </c>
      <c r="M250" s="161">
        <f t="shared" si="141"/>
        <v>0</v>
      </c>
      <c r="N250" s="161">
        <f t="shared" si="141"/>
        <v>0</v>
      </c>
      <c r="O250" s="161">
        <f t="shared" si="141"/>
        <v>0</v>
      </c>
      <c r="P250" s="161">
        <f t="shared" si="141"/>
        <v>0</v>
      </c>
      <c r="Q250" s="161">
        <f t="shared" si="141"/>
        <v>0</v>
      </c>
      <c r="R250" s="161">
        <f t="shared" si="141"/>
        <v>0</v>
      </c>
      <c r="S250" s="161">
        <f t="shared" si="140"/>
        <v>0</v>
      </c>
      <c r="T250" s="161">
        <f t="shared" si="140"/>
        <v>0</v>
      </c>
      <c r="U250" s="161">
        <f t="shared" si="140"/>
        <v>0</v>
      </c>
      <c r="V250" s="161">
        <f t="shared" si="140"/>
        <v>0</v>
      </c>
      <c r="W250" s="161">
        <f t="shared" si="140"/>
        <v>0</v>
      </c>
      <c r="X250" s="161">
        <f t="shared" si="140"/>
        <v>0</v>
      </c>
      <c r="Y250" s="161">
        <f t="shared" si="140"/>
        <v>0</v>
      </c>
      <c r="Z250" s="161">
        <f t="shared" si="140"/>
        <v>0</v>
      </c>
      <c r="AA250" s="161">
        <f t="shared" si="140"/>
        <v>0</v>
      </c>
      <c r="AB250" s="161">
        <f t="shared" si="140"/>
        <v>0</v>
      </c>
      <c r="AC250" s="161">
        <f t="shared" si="140"/>
        <v>0</v>
      </c>
      <c r="AD250" s="161">
        <f t="shared" si="140"/>
        <v>0</v>
      </c>
      <c r="AE250" s="161">
        <f t="shared" si="140"/>
        <v>0</v>
      </c>
      <c r="AF250" s="174">
        <f t="shared" si="140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41"/>
        <v>0</v>
      </c>
      <c r="G251" s="161">
        <f t="shared" si="141"/>
        <v>0</v>
      </c>
      <c r="H251" s="161">
        <f t="shared" si="141"/>
        <v>0</v>
      </c>
      <c r="I251" s="161">
        <f t="shared" si="141"/>
        <v>0</v>
      </c>
      <c r="J251" s="161">
        <f t="shared" si="141"/>
        <v>0</v>
      </c>
      <c r="K251" s="161">
        <f t="shared" si="141"/>
        <v>0</v>
      </c>
      <c r="L251" s="161">
        <f t="shared" si="141"/>
        <v>0</v>
      </c>
      <c r="M251" s="161">
        <f t="shared" si="141"/>
        <v>0</v>
      </c>
      <c r="N251" s="161">
        <f t="shared" si="141"/>
        <v>0</v>
      </c>
      <c r="O251" s="161">
        <f t="shared" si="141"/>
        <v>0</v>
      </c>
      <c r="P251" s="161">
        <f t="shared" si="141"/>
        <v>0</v>
      </c>
      <c r="Q251" s="161">
        <f t="shared" si="141"/>
        <v>0</v>
      </c>
      <c r="R251" s="161">
        <f t="shared" si="141"/>
        <v>0</v>
      </c>
      <c r="S251" s="161">
        <f t="shared" si="140"/>
        <v>0</v>
      </c>
      <c r="T251" s="161">
        <f t="shared" si="140"/>
        <v>0</v>
      </c>
      <c r="U251" s="161">
        <f t="shared" si="140"/>
        <v>0</v>
      </c>
      <c r="V251" s="161">
        <f t="shared" si="140"/>
        <v>0</v>
      </c>
      <c r="W251" s="161">
        <f t="shared" si="140"/>
        <v>0</v>
      </c>
      <c r="X251" s="161">
        <f t="shared" si="140"/>
        <v>0</v>
      </c>
      <c r="Y251" s="161">
        <f t="shared" si="140"/>
        <v>0</v>
      </c>
      <c r="Z251" s="161">
        <f t="shared" si="140"/>
        <v>0</v>
      </c>
      <c r="AA251" s="161">
        <f t="shared" si="140"/>
        <v>0</v>
      </c>
      <c r="AB251" s="161">
        <f t="shared" si="140"/>
        <v>0</v>
      </c>
      <c r="AC251" s="161">
        <f t="shared" si="140"/>
        <v>0</v>
      </c>
      <c r="AD251" s="161">
        <f t="shared" si="140"/>
        <v>0</v>
      </c>
      <c r="AE251" s="161">
        <f t="shared" si="140"/>
        <v>0</v>
      </c>
      <c r="AF251" s="174">
        <f t="shared" si="140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41"/>
        <v>0</v>
      </c>
      <c r="G252" s="161">
        <f t="shared" si="141"/>
        <v>0</v>
      </c>
      <c r="H252" s="161">
        <f t="shared" si="141"/>
        <v>0</v>
      </c>
      <c r="I252" s="161">
        <f t="shared" si="141"/>
        <v>0</v>
      </c>
      <c r="J252" s="161">
        <f t="shared" si="141"/>
        <v>0</v>
      </c>
      <c r="K252" s="161">
        <f t="shared" si="141"/>
        <v>0</v>
      </c>
      <c r="L252" s="161">
        <f t="shared" si="141"/>
        <v>0</v>
      </c>
      <c r="M252" s="161">
        <f t="shared" si="141"/>
        <v>0</v>
      </c>
      <c r="N252" s="161">
        <f t="shared" si="141"/>
        <v>0</v>
      </c>
      <c r="O252" s="161">
        <f t="shared" si="141"/>
        <v>0</v>
      </c>
      <c r="P252" s="161">
        <f t="shared" si="141"/>
        <v>0</v>
      </c>
      <c r="Q252" s="161">
        <f t="shared" si="141"/>
        <v>0</v>
      </c>
      <c r="R252" s="161">
        <f t="shared" si="141"/>
        <v>0</v>
      </c>
      <c r="S252" s="161">
        <f t="shared" si="140"/>
        <v>0</v>
      </c>
      <c r="T252" s="161">
        <f t="shared" si="140"/>
        <v>0</v>
      </c>
      <c r="U252" s="161">
        <f t="shared" si="140"/>
        <v>0</v>
      </c>
      <c r="V252" s="161">
        <f t="shared" si="140"/>
        <v>0</v>
      </c>
      <c r="W252" s="161">
        <f t="shared" si="140"/>
        <v>0</v>
      </c>
      <c r="X252" s="161">
        <f t="shared" si="140"/>
        <v>0</v>
      </c>
      <c r="Y252" s="161">
        <f t="shared" si="140"/>
        <v>0</v>
      </c>
      <c r="Z252" s="161">
        <f t="shared" si="140"/>
        <v>0</v>
      </c>
      <c r="AA252" s="161">
        <f t="shared" si="140"/>
        <v>0</v>
      </c>
      <c r="AB252" s="161">
        <f t="shared" si="140"/>
        <v>0</v>
      </c>
      <c r="AC252" s="161">
        <f t="shared" si="140"/>
        <v>0</v>
      </c>
      <c r="AD252" s="161">
        <f t="shared" si="140"/>
        <v>0</v>
      </c>
      <c r="AE252" s="161">
        <f t="shared" si="140"/>
        <v>0</v>
      </c>
      <c r="AF252" s="174">
        <f t="shared" si="140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41"/>
        <v>0</v>
      </c>
      <c r="G253" s="161">
        <f t="shared" si="141"/>
        <v>0</v>
      </c>
      <c r="H253" s="161">
        <f t="shared" si="141"/>
        <v>0</v>
      </c>
      <c r="I253" s="161">
        <f t="shared" si="141"/>
        <v>0</v>
      </c>
      <c r="J253" s="161">
        <f t="shared" si="141"/>
        <v>0</v>
      </c>
      <c r="K253" s="161">
        <f t="shared" si="141"/>
        <v>0</v>
      </c>
      <c r="L253" s="161">
        <f t="shared" si="141"/>
        <v>0</v>
      </c>
      <c r="M253" s="161">
        <f t="shared" si="141"/>
        <v>0</v>
      </c>
      <c r="N253" s="161">
        <f t="shared" si="141"/>
        <v>0</v>
      </c>
      <c r="O253" s="161">
        <f t="shared" si="141"/>
        <v>0</v>
      </c>
      <c r="P253" s="161">
        <f t="shared" si="141"/>
        <v>0</v>
      </c>
      <c r="Q253" s="161">
        <f t="shared" si="141"/>
        <v>0</v>
      </c>
      <c r="R253" s="161">
        <f t="shared" si="141"/>
        <v>0</v>
      </c>
      <c r="S253" s="161">
        <f t="shared" si="140"/>
        <v>0</v>
      </c>
      <c r="T253" s="161">
        <f t="shared" si="140"/>
        <v>0</v>
      </c>
      <c r="U253" s="161">
        <f t="shared" si="140"/>
        <v>0</v>
      </c>
      <c r="V253" s="161">
        <f t="shared" si="140"/>
        <v>0</v>
      </c>
      <c r="W253" s="161">
        <f t="shared" si="140"/>
        <v>0</v>
      </c>
      <c r="X253" s="161">
        <f t="shared" si="140"/>
        <v>0</v>
      </c>
      <c r="Y253" s="161">
        <f t="shared" si="140"/>
        <v>0</v>
      </c>
      <c r="Z253" s="161">
        <f t="shared" si="140"/>
        <v>0</v>
      </c>
      <c r="AA253" s="161">
        <f t="shared" si="140"/>
        <v>0</v>
      </c>
      <c r="AB253" s="161">
        <f t="shared" si="140"/>
        <v>0</v>
      </c>
      <c r="AC253" s="161">
        <f t="shared" si="140"/>
        <v>0</v>
      </c>
      <c r="AD253" s="161">
        <f t="shared" si="140"/>
        <v>0</v>
      </c>
      <c r="AE253" s="161">
        <f t="shared" si="140"/>
        <v>0</v>
      </c>
      <c r="AF253" s="174">
        <f t="shared" si="140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41"/>
        <v>0</v>
      </c>
      <c r="G254" s="161">
        <f t="shared" si="141"/>
        <v>0</v>
      </c>
      <c r="H254" s="161">
        <f t="shared" si="141"/>
        <v>0</v>
      </c>
      <c r="I254" s="161">
        <f t="shared" si="141"/>
        <v>0</v>
      </c>
      <c r="J254" s="161">
        <f t="shared" si="141"/>
        <v>0</v>
      </c>
      <c r="K254" s="161">
        <f t="shared" si="141"/>
        <v>0</v>
      </c>
      <c r="L254" s="161">
        <f t="shared" si="141"/>
        <v>0</v>
      </c>
      <c r="M254" s="161">
        <f t="shared" si="141"/>
        <v>0</v>
      </c>
      <c r="N254" s="161">
        <f t="shared" si="141"/>
        <v>0</v>
      </c>
      <c r="O254" s="161">
        <f t="shared" si="141"/>
        <v>0</v>
      </c>
      <c r="P254" s="161">
        <f t="shared" si="141"/>
        <v>0</v>
      </c>
      <c r="Q254" s="161">
        <f t="shared" si="141"/>
        <v>0</v>
      </c>
      <c r="R254" s="161">
        <f t="shared" si="141"/>
        <v>0</v>
      </c>
      <c r="S254" s="161">
        <f t="shared" si="140"/>
        <v>0</v>
      </c>
      <c r="T254" s="161">
        <f t="shared" si="140"/>
        <v>0</v>
      </c>
      <c r="U254" s="161">
        <f t="shared" si="140"/>
        <v>0</v>
      </c>
      <c r="V254" s="161">
        <f t="shared" si="140"/>
        <v>0</v>
      </c>
      <c r="W254" s="161">
        <f t="shared" si="140"/>
        <v>0</v>
      </c>
      <c r="X254" s="161">
        <f t="shared" si="140"/>
        <v>0</v>
      </c>
      <c r="Y254" s="161">
        <f t="shared" si="140"/>
        <v>0</v>
      </c>
      <c r="Z254" s="161">
        <f t="shared" si="140"/>
        <v>0</v>
      </c>
      <c r="AA254" s="161">
        <f t="shared" si="140"/>
        <v>0</v>
      </c>
      <c r="AB254" s="161">
        <f t="shared" si="140"/>
        <v>0</v>
      </c>
      <c r="AC254" s="161">
        <f t="shared" si="140"/>
        <v>0</v>
      </c>
      <c r="AD254" s="161">
        <f t="shared" si="140"/>
        <v>0</v>
      </c>
      <c r="AE254" s="161">
        <f t="shared" si="140"/>
        <v>0</v>
      </c>
      <c r="AF254" s="174">
        <f t="shared" si="140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41"/>
        <v>0</v>
      </c>
      <c r="G255" s="161">
        <f t="shared" si="141"/>
        <v>0</v>
      </c>
      <c r="H255" s="161">
        <f t="shared" si="141"/>
        <v>0</v>
      </c>
      <c r="I255" s="161">
        <f t="shared" si="141"/>
        <v>0</v>
      </c>
      <c r="J255" s="161">
        <f t="shared" si="141"/>
        <v>0</v>
      </c>
      <c r="K255" s="161">
        <f t="shared" si="141"/>
        <v>0</v>
      </c>
      <c r="L255" s="161">
        <f t="shared" si="141"/>
        <v>0</v>
      </c>
      <c r="M255" s="161">
        <f t="shared" si="141"/>
        <v>0</v>
      </c>
      <c r="N255" s="161">
        <f t="shared" si="141"/>
        <v>0</v>
      </c>
      <c r="O255" s="161">
        <f t="shared" si="141"/>
        <v>0</v>
      </c>
      <c r="P255" s="161">
        <f t="shared" si="141"/>
        <v>0</v>
      </c>
      <c r="Q255" s="161">
        <f t="shared" si="141"/>
        <v>0</v>
      </c>
      <c r="R255" s="161">
        <f t="shared" si="141"/>
        <v>0</v>
      </c>
      <c r="S255" s="161">
        <f t="shared" si="140"/>
        <v>0</v>
      </c>
      <c r="T255" s="161">
        <f t="shared" si="140"/>
        <v>0</v>
      </c>
      <c r="U255" s="161">
        <f t="shared" si="140"/>
        <v>0</v>
      </c>
      <c r="V255" s="161">
        <f t="shared" si="140"/>
        <v>0</v>
      </c>
      <c r="W255" s="161">
        <f t="shared" si="140"/>
        <v>0</v>
      </c>
      <c r="X255" s="161">
        <f t="shared" si="140"/>
        <v>0</v>
      </c>
      <c r="Y255" s="161">
        <f t="shared" si="140"/>
        <v>0</v>
      </c>
      <c r="Z255" s="161">
        <f t="shared" si="140"/>
        <v>0</v>
      </c>
      <c r="AA255" s="161">
        <f t="shared" si="140"/>
        <v>0</v>
      </c>
      <c r="AB255" s="161">
        <f t="shared" si="140"/>
        <v>0</v>
      </c>
      <c r="AC255" s="161">
        <f t="shared" si="140"/>
        <v>0</v>
      </c>
      <c r="AD255" s="161">
        <f t="shared" si="140"/>
        <v>0</v>
      </c>
      <c r="AE255" s="161">
        <f t="shared" si="140"/>
        <v>0</v>
      </c>
      <c r="AF255" s="174">
        <f t="shared" si="140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41"/>
        <v>0</v>
      </c>
      <c r="G256" s="161">
        <f t="shared" si="141"/>
        <v>0</v>
      </c>
      <c r="H256" s="161">
        <f t="shared" si="141"/>
        <v>0</v>
      </c>
      <c r="I256" s="161">
        <f t="shared" si="141"/>
        <v>0</v>
      </c>
      <c r="J256" s="161">
        <f t="shared" si="141"/>
        <v>0</v>
      </c>
      <c r="K256" s="161">
        <f t="shared" si="141"/>
        <v>0</v>
      </c>
      <c r="L256" s="161">
        <f t="shared" si="141"/>
        <v>0</v>
      </c>
      <c r="M256" s="161">
        <f t="shared" si="141"/>
        <v>0</v>
      </c>
      <c r="N256" s="161">
        <f t="shared" si="141"/>
        <v>0</v>
      </c>
      <c r="O256" s="161">
        <f t="shared" si="141"/>
        <v>0</v>
      </c>
      <c r="P256" s="161">
        <f t="shared" si="141"/>
        <v>0</v>
      </c>
      <c r="Q256" s="161">
        <f t="shared" si="141"/>
        <v>0</v>
      </c>
      <c r="R256" s="161">
        <f t="shared" si="141"/>
        <v>0</v>
      </c>
      <c r="S256" s="161">
        <f t="shared" si="140"/>
        <v>0</v>
      </c>
      <c r="T256" s="161">
        <f t="shared" si="140"/>
        <v>0</v>
      </c>
      <c r="U256" s="161">
        <f t="shared" si="140"/>
        <v>0</v>
      </c>
      <c r="V256" s="161">
        <f t="shared" si="140"/>
        <v>0</v>
      </c>
      <c r="W256" s="161">
        <f t="shared" si="140"/>
        <v>0</v>
      </c>
      <c r="X256" s="161">
        <f t="shared" si="140"/>
        <v>0</v>
      </c>
      <c r="Y256" s="161">
        <f t="shared" si="140"/>
        <v>0</v>
      </c>
      <c r="Z256" s="161">
        <f t="shared" si="140"/>
        <v>0</v>
      </c>
      <c r="AA256" s="161">
        <f t="shared" si="140"/>
        <v>0</v>
      </c>
      <c r="AB256" s="161">
        <f t="shared" si="140"/>
        <v>0</v>
      </c>
      <c r="AC256" s="161">
        <f t="shared" si="140"/>
        <v>0</v>
      </c>
      <c r="AD256" s="161">
        <f t="shared" si="140"/>
        <v>0</v>
      </c>
      <c r="AE256" s="161">
        <f t="shared" si="140"/>
        <v>0</v>
      </c>
      <c r="AF256" s="174">
        <f t="shared" si="140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41"/>
        <v>0</v>
      </c>
      <c r="G257" s="161">
        <f t="shared" si="141"/>
        <v>0</v>
      </c>
      <c r="H257" s="161">
        <f t="shared" si="141"/>
        <v>0</v>
      </c>
      <c r="I257" s="161">
        <f t="shared" si="141"/>
        <v>0</v>
      </c>
      <c r="J257" s="161">
        <f t="shared" si="141"/>
        <v>0</v>
      </c>
      <c r="K257" s="161">
        <f t="shared" si="141"/>
        <v>0</v>
      </c>
      <c r="L257" s="161">
        <f t="shared" si="141"/>
        <v>0</v>
      </c>
      <c r="M257" s="161">
        <f t="shared" si="141"/>
        <v>0</v>
      </c>
      <c r="N257" s="161">
        <f t="shared" si="141"/>
        <v>0</v>
      </c>
      <c r="O257" s="161">
        <f t="shared" si="141"/>
        <v>0</v>
      </c>
      <c r="P257" s="161">
        <f t="shared" si="141"/>
        <v>0</v>
      </c>
      <c r="Q257" s="161">
        <f t="shared" si="141"/>
        <v>0</v>
      </c>
      <c r="R257" s="161">
        <f t="shared" si="141"/>
        <v>0</v>
      </c>
      <c r="S257" s="161">
        <f t="shared" si="140"/>
        <v>0</v>
      </c>
      <c r="T257" s="161">
        <f t="shared" si="140"/>
        <v>0</v>
      </c>
      <c r="U257" s="161">
        <f t="shared" si="140"/>
        <v>0</v>
      </c>
      <c r="V257" s="161">
        <f t="shared" si="140"/>
        <v>0</v>
      </c>
      <c r="W257" s="161">
        <f t="shared" si="140"/>
        <v>0</v>
      </c>
      <c r="X257" s="161">
        <f t="shared" si="140"/>
        <v>0</v>
      </c>
      <c r="Y257" s="161">
        <f t="shared" si="140"/>
        <v>0</v>
      </c>
      <c r="Z257" s="161">
        <f t="shared" si="140"/>
        <v>0</v>
      </c>
      <c r="AA257" s="161">
        <f t="shared" si="140"/>
        <v>0</v>
      </c>
      <c r="AB257" s="161">
        <f t="shared" si="140"/>
        <v>0</v>
      </c>
      <c r="AC257" s="161">
        <f t="shared" si="140"/>
        <v>0</v>
      </c>
      <c r="AD257" s="161">
        <f t="shared" si="140"/>
        <v>0</v>
      </c>
      <c r="AE257" s="161">
        <f t="shared" si="140"/>
        <v>0</v>
      </c>
      <c r="AF257" s="174">
        <f t="shared" si="140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41"/>
        <v>0</v>
      </c>
      <c r="G258" s="161">
        <f t="shared" si="141"/>
        <v>0</v>
      </c>
      <c r="H258" s="161">
        <f t="shared" si="141"/>
        <v>0</v>
      </c>
      <c r="I258" s="161">
        <f t="shared" si="141"/>
        <v>0</v>
      </c>
      <c r="J258" s="161">
        <f t="shared" si="141"/>
        <v>0</v>
      </c>
      <c r="K258" s="161">
        <f t="shared" si="141"/>
        <v>0</v>
      </c>
      <c r="L258" s="161">
        <f t="shared" si="141"/>
        <v>0</v>
      </c>
      <c r="M258" s="161">
        <f t="shared" si="141"/>
        <v>0</v>
      </c>
      <c r="N258" s="161">
        <f t="shared" si="141"/>
        <v>0</v>
      </c>
      <c r="O258" s="161">
        <f t="shared" si="141"/>
        <v>0</v>
      </c>
      <c r="P258" s="161">
        <f t="shared" si="141"/>
        <v>0</v>
      </c>
      <c r="Q258" s="161">
        <f t="shared" si="141"/>
        <v>0</v>
      </c>
      <c r="R258" s="161">
        <f t="shared" si="141"/>
        <v>0</v>
      </c>
      <c r="S258" s="161">
        <f t="shared" si="140"/>
        <v>0</v>
      </c>
      <c r="T258" s="161">
        <f t="shared" si="140"/>
        <v>0</v>
      </c>
      <c r="U258" s="161">
        <f t="shared" si="140"/>
        <v>0</v>
      </c>
      <c r="V258" s="161">
        <f t="shared" si="140"/>
        <v>0</v>
      </c>
      <c r="W258" s="161">
        <f t="shared" si="140"/>
        <v>0</v>
      </c>
      <c r="X258" s="161">
        <f t="shared" si="140"/>
        <v>0</v>
      </c>
      <c r="Y258" s="161">
        <f t="shared" si="140"/>
        <v>0</v>
      </c>
      <c r="Z258" s="161">
        <f t="shared" si="140"/>
        <v>0</v>
      </c>
      <c r="AA258" s="161">
        <f t="shared" si="140"/>
        <v>0</v>
      </c>
      <c r="AB258" s="161">
        <f t="shared" si="140"/>
        <v>0</v>
      </c>
      <c r="AC258" s="161">
        <f t="shared" si="140"/>
        <v>0</v>
      </c>
      <c r="AD258" s="161">
        <f t="shared" si="140"/>
        <v>0</v>
      </c>
      <c r="AE258" s="161">
        <f t="shared" si="140"/>
        <v>0</v>
      </c>
      <c r="AF258" s="174">
        <f t="shared" si="140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41"/>
        <v>0</v>
      </c>
      <c r="G259" s="161">
        <f t="shared" si="141"/>
        <v>0</v>
      </c>
      <c r="H259" s="161">
        <f t="shared" si="141"/>
        <v>0</v>
      </c>
      <c r="I259" s="161">
        <f t="shared" si="141"/>
        <v>0</v>
      </c>
      <c r="J259" s="161">
        <f t="shared" si="141"/>
        <v>0</v>
      </c>
      <c r="K259" s="161">
        <f t="shared" si="141"/>
        <v>0</v>
      </c>
      <c r="L259" s="161">
        <f t="shared" si="141"/>
        <v>0</v>
      </c>
      <c r="M259" s="161">
        <f t="shared" si="141"/>
        <v>0</v>
      </c>
      <c r="N259" s="161">
        <f t="shared" si="141"/>
        <v>0</v>
      </c>
      <c r="O259" s="161">
        <f t="shared" si="141"/>
        <v>0</v>
      </c>
      <c r="P259" s="161">
        <f t="shared" si="141"/>
        <v>0</v>
      </c>
      <c r="Q259" s="161">
        <f t="shared" si="141"/>
        <v>0</v>
      </c>
      <c r="R259" s="161">
        <f t="shared" si="141"/>
        <v>0</v>
      </c>
      <c r="S259" s="161">
        <f t="shared" si="140"/>
        <v>0</v>
      </c>
      <c r="T259" s="161">
        <f t="shared" si="140"/>
        <v>0</v>
      </c>
      <c r="U259" s="161">
        <f t="shared" si="140"/>
        <v>0</v>
      </c>
      <c r="V259" s="161">
        <f t="shared" si="140"/>
        <v>0</v>
      </c>
      <c r="W259" s="161">
        <f t="shared" si="140"/>
        <v>0</v>
      </c>
      <c r="X259" s="161">
        <f t="shared" si="140"/>
        <v>0</v>
      </c>
      <c r="Y259" s="161">
        <f t="shared" si="140"/>
        <v>0</v>
      </c>
      <c r="Z259" s="161">
        <f t="shared" si="140"/>
        <v>0</v>
      </c>
      <c r="AA259" s="161">
        <f t="shared" si="140"/>
        <v>0</v>
      </c>
      <c r="AB259" s="161">
        <f t="shared" si="140"/>
        <v>0</v>
      </c>
      <c r="AC259" s="161">
        <f t="shared" si="140"/>
        <v>0</v>
      </c>
      <c r="AD259" s="161">
        <f t="shared" si="140"/>
        <v>0</v>
      </c>
      <c r="AE259" s="161">
        <f t="shared" si="140"/>
        <v>0</v>
      </c>
      <c r="AF259" s="174">
        <f t="shared" si="140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41"/>
        <v>0</v>
      </c>
      <c r="G260" s="161">
        <f t="shared" si="141"/>
        <v>0</v>
      </c>
      <c r="H260" s="161">
        <f t="shared" si="141"/>
        <v>0</v>
      </c>
      <c r="I260" s="161">
        <f t="shared" si="141"/>
        <v>0</v>
      </c>
      <c r="J260" s="161">
        <f t="shared" si="141"/>
        <v>0</v>
      </c>
      <c r="K260" s="161">
        <f t="shared" si="141"/>
        <v>0</v>
      </c>
      <c r="L260" s="161">
        <f t="shared" si="141"/>
        <v>0</v>
      </c>
      <c r="M260" s="161">
        <f t="shared" si="141"/>
        <v>0</v>
      </c>
      <c r="N260" s="161">
        <f t="shared" si="141"/>
        <v>0</v>
      </c>
      <c r="O260" s="161">
        <f t="shared" si="141"/>
        <v>0</v>
      </c>
      <c r="P260" s="161">
        <f t="shared" si="141"/>
        <v>0</v>
      </c>
      <c r="Q260" s="161">
        <f t="shared" si="141"/>
        <v>0</v>
      </c>
      <c r="R260" s="161">
        <f t="shared" si="141"/>
        <v>0</v>
      </c>
      <c r="S260" s="161">
        <f t="shared" si="140"/>
        <v>0</v>
      </c>
      <c r="T260" s="161">
        <f t="shared" si="140"/>
        <v>0</v>
      </c>
      <c r="U260" s="161">
        <f t="shared" si="140"/>
        <v>0</v>
      </c>
      <c r="V260" s="161">
        <f t="shared" si="140"/>
        <v>0</v>
      </c>
      <c r="W260" s="161">
        <f t="shared" si="140"/>
        <v>0</v>
      </c>
      <c r="X260" s="161">
        <f t="shared" si="140"/>
        <v>0</v>
      </c>
      <c r="Y260" s="161">
        <f t="shared" si="140"/>
        <v>0</v>
      </c>
      <c r="Z260" s="161">
        <f t="shared" si="140"/>
        <v>0</v>
      </c>
      <c r="AA260" s="161">
        <f t="shared" si="140"/>
        <v>0</v>
      </c>
      <c r="AB260" s="161">
        <f t="shared" si="140"/>
        <v>0</v>
      </c>
      <c r="AC260" s="161">
        <f t="shared" si="140"/>
        <v>0</v>
      </c>
      <c r="AD260" s="161">
        <f t="shared" si="140"/>
        <v>0</v>
      </c>
      <c r="AE260" s="161">
        <f t="shared" si="140"/>
        <v>0</v>
      </c>
      <c r="AF260" s="174">
        <f t="shared" si="140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41"/>
        <v>0</v>
      </c>
      <c r="G261" s="161">
        <f t="shared" si="141"/>
        <v>0</v>
      </c>
      <c r="H261" s="161">
        <f t="shared" si="141"/>
        <v>0</v>
      </c>
      <c r="I261" s="161">
        <f t="shared" si="141"/>
        <v>0</v>
      </c>
      <c r="J261" s="161">
        <f t="shared" si="141"/>
        <v>0</v>
      </c>
      <c r="K261" s="161">
        <f t="shared" si="141"/>
        <v>0</v>
      </c>
      <c r="L261" s="161">
        <f t="shared" si="141"/>
        <v>0</v>
      </c>
      <c r="M261" s="161">
        <f t="shared" si="141"/>
        <v>0</v>
      </c>
      <c r="N261" s="161">
        <f t="shared" si="141"/>
        <v>0</v>
      </c>
      <c r="O261" s="161">
        <f t="shared" si="141"/>
        <v>0</v>
      </c>
      <c r="P261" s="161">
        <f t="shared" si="141"/>
        <v>0</v>
      </c>
      <c r="Q261" s="161">
        <f t="shared" si="141"/>
        <v>0</v>
      </c>
      <c r="R261" s="161">
        <f t="shared" si="141"/>
        <v>0</v>
      </c>
      <c r="S261" s="161">
        <f t="shared" si="140"/>
        <v>0</v>
      </c>
      <c r="T261" s="161">
        <f t="shared" si="140"/>
        <v>0</v>
      </c>
      <c r="U261" s="161">
        <f t="shared" si="140"/>
        <v>0</v>
      </c>
      <c r="V261" s="161">
        <f t="shared" si="140"/>
        <v>0</v>
      </c>
      <c r="W261" s="161">
        <f t="shared" si="140"/>
        <v>0</v>
      </c>
      <c r="X261" s="161">
        <f t="shared" si="140"/>
        <v>0</v>
      </c>
      <c r="Y261" s="161">
        <f t="shared" si="140"/>
        <v>0</v>
      </c>
      <c r="Z261" s="161">
        <f t="shared" si="140"/>
        <v>0</v>
      </c>
      <c r="AA261" s="161">
        <f t="shared" si="140"/>
        <v>0</v>
      </c>
      <c r="AB261" s="161">
        <f t="shared" si="140"/>
        <v>0</v>
      </c>
      <c r="AC261" s="161">
        <f t="shared" si="140"/>
        <v>0</v>
      </c>
      <c r="AD261" s="161">
        <f t="shared" si="140"/>
        <v>0</v>
      </c>
      <c r="AE261" s="161">
        <f t="shared" si="140"/>
        <v>0</v>
      </c>
      <c r="AF261" s="174">
        <f t="shared" si="140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41"/>
        <v>0</v>
      </c>
      <c r="G262" s="161">
        <f t="shared" si="141"/>
        <v>0</v>
      </c>
      <c r="H262" s="161">
        <f t="shared" si="141"/>
        <v>0</v>
      </c>
      <c r="I262" s="161">
        <f t="shared" si="141"/>
        <v>0</v>
      </c>
      <c r="J262" s="161">
        <f t="shared" si="141"/>
        <v>0</v>
      </c>
      <c r="K262" s="161">
        <f t="shared" si="141"/>
        <v>0</v>
      </c>
      <c r="L262" s="161">
        <f t="shared" si="141"/>
        <v>0</v>
      </c>
      <c r="M262" s="161">
        <f t="shared" si="141"/>
        <v>0</v>
      </c>
      <c r="N262" s="161">
        <f t="shared" si="141"/>
        <v>0</v>
      </c>
      <c r="O262" s="161">
        <f t="shared" si="141"/>
        <v>0</v>
      </c>
      <c r="P262" s="161">
        <f t="shared" si="141"/>
        <v>0</v>
      </c>
      <c r="Q262" s="161">
        <f t="shared" si="141"/>
        <v>0</v>
      </c>
      <c r="R262" s="161">
        <f t="shared" si="141"/>
        <v>0</v>
      </c>
      <c r="S262" s="161">
        <f t="shared" si="140"/>
        <v>0</v>
      </c>
      <c r="T262" s="161">
        <f t="shared" si="140"/>
        <v>0</v>
      </c>
      <c r="U262" s="161">
        <f t="shared" si="140"/>
        <v>0</v>
      </c>
      <c r="V262" s="161">
        <f t="shared" si="140"/>
        <v>0</v>
      </c>
      <c r="W262" s="161">
        <f t="shared" si="140"/>
        <v>0</v>
      </c>
      <c r="X262" s="161">
        <f t="shared" si="140"/>
        <v>0</v>
      </c>
      <c r="Y262" s="161">
        <f t="shared" si="140"/>
        <v>0</v>
      </c>
      <c r="Z262" s="161">
        <f t="shared" si="140"/>
        <v>0</v>
      </c>
      <c r="AA262" s="161">
        <f t="shared" si="140"/>
        <v>0</v>
      </c>
      <c r="AB262" s="161">
        <f t="shared" si="140"/>
        <v>0</v>
      </c>
      <c r="AC262" s="161">
        <f t="shared" si="140"/>
        <v>0</v>
      </c>
      <c r="AD262" s="161">
        <f t="shared" si="140"/>
        <v>0</v>
      </c>
      <c r="AE262" s="161">
        <f t="shared" si="140"/>
        <v>0</v>
      </c>
      <c r="AF262" s="174">
        <f t="shared" si="140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41"/>
        <v>0</v>
      </c>
      <c r="G263" s="161">
        <f t="shared" si="141"/>
        <v>0</v>
      </c>
      <c r="H263" s="161">
        <f t="shared" si="141"/>
        <v>0</v>
      </c>
      <c r="I263" s="161">
        <f t="shared" si="141"/>
        <v>0</v>
      </c>
      <c r="J263" s="161">
        <f t="shared" si="141"/>
        <v>0</v>
      </c>
      <c r="K263" s="161">
        <f t="shared" si="141"/>
        <v>0</v>
      </c>
      <c r="L263" s="161">
        <f t="shared" si="141"/>
        <v>0</v>
      </c>
      <c r="M263" s="161">
        <f t="shared" si="141"/>
        <v>0</v>
      </c>
      <c r="N263" s="161">
        <f t="shared" si="141"/>
        <v>0</v>
      </c>
      <c r="O263" s="161">
        <f t="shared" si="141"/>
        <v>0</v>
      </c>
      <c r="P263" s="161">
        <f t="shared" si="141"/>
        <v>0</v>
      </c>
      <c r="Q263" s="161">
        <f t="shared" si="141"/>
        <v>0</v>
      </c>
      <c r="R263" s="161">
        <f t="shared" si="141"/>
        <v>0</v>
      </c>
      <c r="S263" s="161">
        <f t="shared" si="140"/>
        <v>0</v>
      </c>
      <c r="T263" s="161">
        <f t="shared" si="140"/>
        <v>0</v>
      </c>
      <c r="U263" s="161">
        <f t="shared" si="140"/>
        <v>0</v>
      </c>
      <c r="V263" s="161">
        <f t="shared" si="140"/>
        <v>0</v>
      </c>
      <c r="W263" s="161">
        <f t="shared" si="140"/>
        <v>0</v>
      </c>
      <c r="X263" s="161">
        <f t="shared" si="140"/>
        <v>0</v>
      </c>
      <c r="Y263" s="161">
        <f t="shared" si="140"/>
        <v>0</v>
      </c>
      <c r="Z263" s="161">
        <f t="shared" si="140"/>
        <v>0</v>
      </c>
      <c r="AA263" s="161">
        <f t="shared" si="140"/>
        <v>0</v>
      </c>
      <c r="AB263" s="161">
        <f t="shared" si="140"/>
        <v>0</v>
      </c>
      <c r="AC263" s="161">
        <f t="shared" si="140"/>
        <v>0</v>
      </c>
      <c r="AD263" s="161">
        <f t="shared" si="140"/>
        <v>0</v>
      </c>
      <c r="AE263" s="161">
        <f t="shared" si="140"/>
        <v>0</v>
      </c>
      <c r="AF263" s="174">
        <f t="shared" si="140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41"/>
        <v>0</v>
      </c>
      <c r="G264" s="161">
        <f t="shared" si="141"/>
        <v>0</v>
      </c>
      <c r="H264" s="161">
        <f t="shared" si="141"/>
        <v>0</v>
      </c>
      <c r="I264" s="161">
        <f t="shared" si="141"/>
        <v>0</v>
      </c>
      <c r="J264" s="161">
        <f t="shared" si="141"/>
        <v>0</v>
      </c>
      <c r="K264" s="161">
        <f t="shared" si="141"/>
        <v>0</v>
      </c>
      <c r="L264" s="161">
        <f t="shared" si="141"/>
        <v>0</v>
      </c>
      <c r="M264" s="161">
        <f t="shared" si="141"/>
        <v>0</v>
      </c>
      <c r="N264" s="161">
        <f t="shared" si="141"/>
        <v>0</v>
      </c>
      <c r="O264" s="161">
        <f t="shared" si="141"/>
        <v>0</v>
      </c>
      <c r="P264" s="161">
        <f t="shared" si="141"/>
        <v>0</v>
      </c>
      <c r="Q264" s="161">
        <f t="shared" si="141"/>
        <v>0</v>
      </c>
      <c r="R264" s="161">
        <f t="shared" si="141"/>
        <v>0</v>
      </c>
      <c r="S264" s="161">
        <f t="shared" ref="S264:AF273" si="142">R264</f>
        <v>0</v>
      </c>
      <c r="T264" s="161">
        <f t="shared" si="142"/>
        <v>0</v>
      </c>
      <c r="U264" s="161">
        <f t="shared" si="142"/>
        <v>0</v>
      </c>
      <c r="V264" s="161">
        <f t="shared" si="142"/>
        <v>0</v>
      </c>
      <c r="W264" s="161">
        <f t="shared" si="142"/>
        <v>0</v>
      </c>
      <c r="X264" s="161">
        <f t="shared" si="142"/>
        <v>0</v>
      </c>
      <c r="Y264" s="161">
        <f t="shared" si="142"/>
        <v>0</v>
      </c>
      <c r="Z264" s="161">
        <f t="shared" si="142"/>
        <v>0</v>
      </c>
      <c r="AA264" s="161">
        <f t="shared" si="142"/>
        <v>0</v>
      </c>
      <c r="AB264" s="161">
        <f t="shared" si="142"/>
        <v>0</v>
      </c>
      <c r="AC264" s="161">
        <f t="shared" si="142"/>
        <v>0</v>
      </c>
      <c r="AD264" s="161">
        <f t="shared" si="142"/>
        <v>0</v>
      </c>
      <c r="AE264" s="161">
        <f t="shared" si="142"/>
        <v>0</v>
      </c>
      <c r="AF264" s="174">
        <f t="shared" si="142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43">E265</f>
        <v>0</v>
      </c>
      <c r="G265" s="161">
        <f t="shared" si="143"/>
        <v>0</v>
      </c>
      <c r="H265" s="161">
        <f t="shared" si="143"/>
        <v>0</v>
      </c>
      <c r="I265" s="161">
        <f t="shared" si="143"/>
        <v>0</v>
      </c>
      <c r="J265" s="161">
        <f t="shared" si="143"/>
        <v>0</v>
      </c>
      <c r="K265" s="161">
        <f t="shared" si="143"/>
        <v>0</v>
      </c>
      <c r="L265" s="161">
        <f t="shared" si="143"/>
        <v>0</v>
      </c>
      <c r="M265" s="161">
        <f t="shared" si="143"/>
        <v>0</v>
      </c>
      <c r="N265" s="161">
        <f t="shared" si="143"/>
        <v>0</v>
      </c>
      <c r="O265" s="161">
        <f t="shared" si="143"/>
        <v>0</v>
      </c>
      <c r="P265" s="161">
        <f t="shared" si="143"/>
        <v>0</v>
      </c>
      <c r="Q265" s="161">
        <f t="shared" si="143"/>
        <v>0</v>
      </c>
      <c r="R265" s="161">
        <f t="shared" si="143"/>
        <v>0</v>
      </c>
      <c r="S265" s="161">
        <f t="shared" si="142"/>
        <v>0</v>
      </c>
      <c r="T265" s="161">
        <f t="shared" si="142"/>
        <v>0</v>
      </c>
      <c r="U265" s="161">
        <f t="shared" si="142"/>
        <v>0</v>
      </c>
      <c r="V265" s="161">
        <f t="shared" si="142"/>
        <v>0</v>
      </c>
      <c r="W265" s="161">
        <f t="shared" si="142"/>
        <v>0</v>
      </c>
      <c r="X265" s="161">
        <f t="shared" si="142"/>
        <v>0</v>
      </c>
      <c r="Y265" s="161">
        <f t="shared" si="142"/>
        <v>0</v>
      </c>
      <c r="Z265" s="161">
        <f t="shared" si="142"/>
        <v>0</v>
      </c>
      <c r="AA265" s="161">
        <f t="shared" si="142"/>
        <v>0</v>
      </c>
      <c r="AB265" s="161">
        <f t="shared" si="142"/>
        <v>0</v>
      </c>
      <c r="AC265" s="161">
        <f t="shared" si="142"/>
        <v>0</v>
      </c>
      <c r="AD265" s="161">
        <f t="shared" si="142"/>
        <v>0</v>
      </c>
      <c r="AE265" s="161">
        <f t="shared" si="142"/>
        <v>0</v>
      </c>
      <c r="AF265" s="174">
        <f t="shared" si="142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43"/>
        <v>0</v>
      </c>
      <c r="G266" s="161">
        <f t="shared" si="143"/>
        <v>0</v>
      </c>
      <c r="H266" s="161">
        <f t="shared" si="143"/>
        <v>0</v>
      </c>
      <c r="I266" s="161">
        <f t="shared" si="143"/>
        <v>0</v>
      </c>
      <c r="J266" s="161">
        <f t="shared" si="143"/>
        <v>0</v>
      </c>
      <c r="K266" s="161">
        <f t="shared" si="143"/>
        <v>0</v>
      </c>
      <c r="L266" s="161">
        <f t="shared" si="143"/>
        <v>0</v>
      </c>
      <c r="M266" s="161">
        <f t="shared" si="143"/>
        <v>0</v>
      </c>
      <c r="N266" s="161">
        <f t="shared" si="143"/>
        <v>0</v>
      </c>
      <c r="O266" s="161">
        <f t="shared" si="143"/>
        <v>0</v>
      </c>
      <c r="P266" s="161">
        <f t="shared" si="143"/>
        <v>0</v>
      </c>
      <c r="Q266" s="161">
        <f t="shared" si="143"/>
        <v>0</v>
      </c>
      <c r="R266" s="161">
        <f t="shared" si="143"/>
        <v>0</v>
      </c>
      <c r="S266" s="161">
        <f t="shared" si="142"/>
        <v>0</v>
      </c>
      <c r="T266" s="161">
        <f t="shared" si="142"/>
        <v>0</v>
      </c>
      <c r="U266" s="161">
        <f t="shared" si="142"/>
        <v>0</v>
      </c>
      <c r="V266" s="161">
        <f t="shared" si="142"/>
        <v>0</v>
      </c>
      <c r="W266" s="161">
        <f t="shared" si="142"/>
        <v>0</v>
      </c>
      <c r="X266" s="161">
        <f t="shared" si="142"/>
        <v>0</v>
      </c>
      <c r="Y266" s="161">
        <f t="shared" si="142"/>
        <v>0</v>
      </c>
      <c r="Z266" s="161">
        <f t="shared" si="142"/>
        <v>0</v>
      </c>
      <c r="AA266" s="161">
        <f t="shared" si="142"/>
        <v>0</v>
      </c>
      <c r="AB266" s="161">
        <f t="shared" si="142"/>
        <v>0</v>
      </c>
      <c r="AC266" s="161">
        <f t="shared" si="142"/>
        <v>0</v>
      </c>
      <c r="AD266" s="161">
        <f t="shared" si="142"/>
        <v>0</v>
      </c>
      <c r="AE266" s="161">
        <f t="shared" si="142"/>
        <v>0</v>
      </c>
      <c r="AF266" s="174">
        <f t="shared" si="142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43"/>
        <v>0</v>
      </c>
      <c r="G267" s="161">
        <f t="shared" si="143"/>
        <v>0</v>
      </c>
      <c r="H267" s="161">
        <f t="shared" si="143"/>
        <v>0</v>
      </c>
      <c r="I267" s="161">
        <f t="shared" si="143"/>
        <v>0</v>
      </c>
      <c r="J267" s="161">
        <f t="shared" si="143"/>
        <v>0</v>
      </c>
      <c r="K267" s="161">
        <f t="shared" si="143"/>
        <v>0</v>
      </c>
      <c r="L267" s="161">
        <f t="shared" si="143"/>
        <v>0</v>
      </c>
      <c r="M267" s="161">
        <f t="shared" si="143"/>
        <v>0</v>
      </c>
      <c r="N267" s="161">
        <f t="shared" si="143"/>
        <v>0</v>
      </c>
      <c r="O267" s="161">
        <f t="shared" si="143"/>
        <v>0</v>
      </c>
      <c r="P267" s="161">
        <f t="shared" si="143"/>
        <v>0</v>
      </c>
      <c r="Q267" s="161">
        <f t="shared" si="143"/>
        <v>0</v>
      </c>
      <c r="R267" s="161">
        <f t="shared" si="143"/>
        <v>0</v>
      </c>
      <c r="S267" s="161">
        <f t="shared" si="142"/>
        <v>0</v>
      </c>
      <c r="T267" s="161">
        <f t="shared" si="142"/>
        <v>0</v>
      </c>
      <c r="U267" s="161">
        <f t="shared" si="142"/>
        <v>0</v>
      </c>
      <c r="V267" s="161">
        <f t="shared" si="142"/>
        <v>0</v>
      </c>
      <c r="W267" s="161">
        <f t="shared" si="142"/>
        <v>0</v>
      </c>
      <c r="X267" s="161">
        <f t="shared" si="142"/>
        <v>0</v>
      </c>
      <c r="Y267" s="161">
        <f t="shared" si="142"/>
        <v>0</v>
      </c>
      <c r="Z267" s="161">
        <f t="shared" si="142"/>
        <v>0</v>
      </c>
      <c r="AA267" s="161">
        <f t="shared" si="142"/>
        <v>0</v>
      </c>
      <c r="AB267" s="161">
        <f t="shared" si="142"/>
        <v>0</v>
      </c>
      <c r="AC267" s="161">
        <f t="shared" si="142"/>
        <v>0</v>
      </c>
      <c r="AD267" s="161">
        <f t="shared" si="142"/>
        <v>0</v>
      </c>
      <c r="AE267" s="161">
        <f t="shared" si="142"/>
        <v>0</v>
      </c>
      <c r="AF267" s="174">
        <f t="shared" si="142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43"/>
        <v>0</v>
      </c>
      <c r="G268" s="161">
        <f t="shared" si="143"/>
        <v>0</v>
      </c>
      <c r="H268" s="161">
        <f t="shared" si="143"/>
        <v>0</v>
      </c>
      <c r="I268" s="161">
        <f t="shared" si="143"/>
        <v>0</v>
      </c>
      <c r="J268" s="161">
        <f t="shared" si="143"/>
        <v>0</v>
      </c>
      <c r="K268" s="161">
        <f t="shared" si="143"/>
        <v>0</v>
      </c>
      <c r="L268" s="161">
        <f t="shared" si="143"/>
        <v>0</v>
      </c>
      <c r="M268" s="161">
        <f t="shared" si="143"/>
        <v>0</v>
      </c>
      <c r="N268" s="161">
        <f t="shared" si="143"/>
        <v>0</v>
      </c>
      <c r="O268" s="161">
        <f t="shared" si="143"/>
        <v>0</v>
      </c>
      <c r="P268" s="161">
        <f t="shared" si="143"/>
        <v>0</v>
      </c>
      <c r="Q268" s="161">
        <f t="shared" si="143"/>
        <v>0</v>
      </c>
      <c r="R268" s="161">
        <f t="shared" si="143"/>
        <v>0</v>
      </c>
      <c r="S268" s="161">
        <f t="shared" si="142"/>
        <v>0</v>
      </c>
      <c r="T268" s="161">
        <f t="shared" si="142"/>
        <v>0</v>
      </c>
      <c r="U268" s="161">
        <f t="shared" si="142"/>
        <v>0</v>
      </c>
      <c r="V268" s="161">
        <f t="shared" si="142"/>
        <v>0</v>
      </c>
      <c r="W268" s="161">
        <f t="shared" si="142"/>
        <v>0</v>
      </c>
      <c r="X268" s="161">
        <f t="shared" si="142"/>
        <v>0</v>
      </c>
      <c r="Y268" s="161">
        <f t="shared" si="142"/>
        <v>0</v>
      </c>
      <c r="Z268" s="161">
        <f t="shared" si="142"/>
        <v>0</v>
      </c>
      <c r="AA268" s="161">
        <f t="shared" si="142"/>
        <v>0</v>
      </c>
      <c r="AB268" s="161">
        <f t="shared" si="142"/>
        <v>0</v>
      </c>
      <c r="AC268" s="161">
        <f t="shared" si="142"/>
        <v>0</v>
      </c>
      <c r="AD268" s="161">
        <f t="shared" si="142"/>
        <v>0</v>
      </c>
      <c r="AE268" s="161">
        <f t="shared" si="142"/>
        <v>0</v>
      </c>
      <c r="AF268" s="174">
        <f t="shared" si="142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43"/>
        <v>0</v>
      </c>
      <c r="G269" s="161">
        <f t="shared" si="143"/>
        <v>0</v>
      </c>
      <c r="H269" s="161">
        <f t="shared" si="143"/>
        <v>0</v>
      </c>
      <c r="I269" s="161">
        <f t="shared" si="143"/>
        <v>0</v>
      </c>
      <c r="J269" s="161">
        <f t="shared" si="143"/>
        <v>0</v>
      </c>
      <c r="K269" s="161">
        <f t="shared" si="143"/>
        <v>0</v>
      </c>
      <c r="L269" s="161">
        <f t="shared" si="143"/>
        <v>0</v>
      </c>
      <c r="M269" s="161">
        <f t="shared" si="143"/>
        <v>0</v>
      </c>
      <c r="N269" s="161">
        <f t="shared" si="143"/>
        <v>0</v>
      </c>
      <c r="O269" s="161">
        <f t="shared" si="143"/>
        <v>0</v>
      </c>
      <c r="P269" s="161">
        <f t="shared" si="143"/>
        <v>0</v>
      </c>
      <c r="Q269" s="161">
        <f t="shared" si="143"/>
        <v>0</v>
      </c>
      <c r="R269" s="161">
        <f t="shared" si="143"/>
        <v>0</v>
      </c>
      <c r="S269" s="161">
        <f t="shared" si="142"/>
        <v>0</v>
      </c>
      <c r="T269" s="161">
        <f t="shared" si="142"/>
        <v>0</v>
      </c>
      <c r="U269" s="161">
        <f t="shared" si="142"/>
        <v>0</v>
      </c>
      <c r="V269" s="161">
        <f t="shared" si="142"/>
        <v>0</v>
      </c>
      <c r="W269" s="161">
        <f t="shared" si="142"/>
        <v>0</v>
      </c>
      <c r="X269" s="161">
        <f t="shared" si="142"/>
        <v>0</v>
      </c>
      <c r="Y269" s="161">
        <f t="shared" si="142"/>
        <v>0</v>
      </c>
      <c r="Z269" s="161">
        <f t="shared" si="142"/>
        <v>0</v>
      </c>
      <c r="AA269" s="161">
        <f t="shared" si="142"/>
        <v>0</v>
      </c>
      <c r="AB269" s="161">
        <f t="shared" si="142"/>
        <v>0</v>
      </c>
      <c r="AC269" s="161">
        <f t="shared" si="142"/>
        <v>0</v>
      </c>
      <c r="AD269" s="161">
        <f t="shared" si="142"/>
        <v>0</v>
      </c>
      <c r="AE269" s="161">
        <f t="shared" si="142"/>
        <v>0</v>
      </c>
      <c r="AF269" s="174">
        <f t="shared" si="142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43"/>
        <v>0</v>
      </c>
      <c r="G270" s="161">
        <f t="shared" si="143"/>
        <v>0</v>
      </c>
      <c r="H270" s="161">
        <f t="shared" si="143"/>
        <v>0</v>
      </c>
      <c r="I270" s="161">
        <f t="shared" si="143"/>
        <v>0</v>
      </c>
      <c r="J270" s="161">
        <f t="shared" si="143"/>
        <v>0</v>
      </c>
      <c r="K270" s="161">
        <f t="shared" si="143"/>
        <v>0</v>
      </c>
      <c r="L270" s="161">
        <f t="shared" si="143"/>
        <v>0</v>
      </c>
      <c r="M270" s="161">
        <f t="shared" si="143"/>
        <v>0</v>
      </c>
      <c r="N270" s="161">
        <f t="shared" si="143"/>
        <v>0</v>
      </c>
      <c r="O270" s="161">
        <f t="shared" si="143"/>
        <v>0</v>
      </c>
      <c r="P270" s="161">
        <f t="shared" si="143"/>
        <v>0</v>
      </c>
      <c r="Q270" s="161">
        <f t="shared" si="143"/>
        <v>0</v>
      </c>
      <c r="R270" s="161">
        <f t="shared" si="143"/>
        <v>0</v>
      </c>
      <c r="S270" s="161">
        <f t="shared" si="142"/>
        <v>0</v>
      </c>
      <c r="T270" s="161">
        <f t="shared" si="142"/>
        <v>0</v>
      </c>
      <c r="U270" s="161">
        <f t="shared" si="142"/>
        <v>0</v>
      </c>
      <c r="V270" s="161">
        <f t="shared" si="142"/>
        <v>0</v>
      </c>
      <c r="W270" s="161">
        <f t="shared" si="142"/>
        <v>0</v>
      </c>
      <c r="X270" s="161">
        <f t="shared" si="142"/>
        <v>0</v>
      </c>
      <c r="Y270" s="161">
        <f t="shared" si="142"/>
        <v>0</v>
      </c>
      <c r="Z270" s="161">
        <f t="shared" si="142"/>
        <v>0</v>
      </c>
      <c r="AA270" s="161">
        <f t="shared" si="142"/>
        <v>0</v>
      </c>
      <c r="AB270" s="161">
        <f t="shared" si="142"/>
        <v>0</v>
      </c>
      <c r="AC270" s="161">
        <f t="shared" si="142"/>
        <v>0</v>
      </c>
      <c r="AD270" s="161">
        <f t="shared" si="142"/>
        <v>0</v>
      </c>
      <c r="AE270" s="161">
        <f t="shared" si="142"/>
        <v>0</v>
      </c>
      <c r="AF270" s="174">
        <f t="shared" si="142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43"/>
        <v>0</v>
      </c>
      <c r="G271" s="161">
        <f t="shared" si="143"/>
        <v>0</v>
      </c>
      <c r="H271" s="161">
        <f t="shared" si="143"/>
        <v>0</v>
      </c>
      <c r="I271" s="161">
        <f t="shared" si="143"/>
        <v>0</v>
      </c>
      <c r="J271" s="161">
        <f t="shared" si="143"/>
        <v>0</v>
      </c>
      <c r="K271" s="161">
        <f t="shared" si="143"/>
        <v>0</v>
      </c>
      <c r="L271" s="161">
        <f t="shared" si="143"/>
        <v>0</v>
      </c>
      <c r="M271" s="161">
        <f t="shared" si="143"/>
        <v>0</v>
      </c>
      <c r="N271" s="161">
        <f t="shared" si="143"/>
        <v>0</v>
      </c>
      <c r="O271" s="161">
        <f t="shared" si="143"/>
        <v>0</v>
      </c>
      <c r="P271" s="161">
        <f t="shared" si="143"/>
        <v>0</v>
      </c>
      <c r="Q271" s="161">
        <f t="shared" si="143"/>
        <v>0</v>
      </c>
      <c r="R271" s="161">
        <f t="shared" si="143"/>
        <v>0</v>
      </c>
      <c r="S271" s="161">
        <f t="shared" si="142"/>
        <v>0</v>
      </c>
      <c r="T271" s="161">
        <f t="shared" si="142"/>
        <v>0</v>
      </c>
      <c r="U271" s="161">
        <f t="shared" si="142"/>
        <v>0</v>
      </c>
      <c r="V271" s="161">
        <f t="shared" si="142"/>
        <v>0</v>
      </c>
      <c r="W271" s="161">
        <f t="shared" si="142"/>
        <v>0</v>
      </c>
      <c r="X271" s="161">
        <f t="shared" si="142"/>
        <v>0</v>
      </c>
      <c r="Y271" s="161">
        <f t="shared" si="142"/>
        <v>0</v>
      </c>
      <c r="Z271" s="161">
        <f t="shared" si="142"/>
        <v>0</v>
      </c>
      <c r="AA271" s="161">
        <f t="shared" si="142"/>
        <v>0</v>
      </c>
      <c r="AB271" s="161">
        <f t="shared" si="142"/>
        <v>0</v>
      </c>
      <c r="AC271" s="161">
        <f t="shared" si="142"/>
        <v>0</v>
      </c>
      <c r="AD271" s="161">
        <f t="shared" si="142"/>
        <v>0</v>
      </c>
      <c r="AE271" s="161">
        <f t="shared" si="142"/>
        <v>0</v>
      </c>
      <c r="AF271" s="174">
        <f t="shared" si="142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43"/>
        <v>0</v>
      </c>
      <c r="G272" s="161">
        <f t="shared" si="143"/>
        <v>0</v>
      </c>
      <c r="H272" s="161">
        <f t="shared" si="143"/>
        <v>0</v>
      </c>
      <c r="I272" s="161">
        <f t="shared" si="143"/>
        <v>0</v>
      </c>
      <c r="J272" s="161">
        <f t="shared" si="143"/>
        <v>0</v>
      </c>
      <c r="K272" s="161">
        <f t="shared" si="143"/>
        <v>0</v>
      </c>
      <c r="L272" s="161">
        <f t="shared" si="143"/>
        <v>0</v>
      </c>
      <c r="M272" s="161">
        <f t="shared" si="143"/>
        <v>0</v>
      </c>
      <c r="N272" s="161">
        <f t="shared" si="143"/>
        <v>0</v>
      </c>
      <c r="O272" s="161">
        <f t="shared" si="143"/>
        <v>0</v>
      </c>
      <c r="P272" s="161">
        <f t="shared" si="143"/>
        <v>0</v>
      </c>
      <c r="Q272" s="161">
        <f t="shared" si="143"/>
        <v>0</v>
      </c>
      <c r="R272" s="161">
        <f t="shared" si="143"/>
        <v>0</v>
      </c>
      <c r="S272" s="161">
        <f t="shared" si="142"/>
        <v>0</v>
      </c>
      <c r="T272" s="161">
        <f t="shared" si="142"/>
        <v>0</v>
      </c>
      <c r="U272" s="161">
        <f t="shared" si="142"/>
        <v>0</v>
      </c>
      <c r="V272" s="161">
        <f t="shared" si="142"/>
        <v>0</v>
      </c>
      <c r="W272" s="161">
        <f t="shared" si="142"/>
        <v>0</v>
      </c>
      <c r="X272" s="161">
        <f t="shared" si="142"/>
        <v>0</v>
      </c>
      <c r="Y272" s="161">
        <f t="shared" si="142"/>
        <v>0</v>
      </c>
      <c r="Z272" s="161">
        <f t="shared" si="142"/>
        <v>0</v>
      </c>
      <c r="AA272" s="161">
        <f t="shared" si="142"/>
        <v>0</v>
      </c>
      <c r="AB272" s="161">
        <f t="shared" si="142"/>
        <v>0</v>
      </c>
      <c r="AC272" s="161">
        <f t="shared" si="142"/>
        <v>0</v>
      </c>
      <c r="AD272" s="161">
        <f t="shared" si="142"/>
        <v>0</v>
      </c>
      <c r="AE272" s="161">
        <f t="shared" si="142"/>
        <v>0</v>
      </c>
      <c r="AF272" s="174">
        <f t="shared" si="142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43"/>
        <v>0</v>
      </c>
      <c r="G273" s="177">
        <f t="shared" si="143"/>
        <v>0</v>
      </c>
      <c r="H273" s="177">
        <f t="shared" si="143"/>
        <v>0</v>
      </c>
      <c r="I273" s="177">
        <f t="shared" si="143"/>
        <v>0</v>
      </c>
      <c r="J273" s="177">
        <f t="shared" si="143"/>
        <v>0</v>
      </c>
      <c r="K273" s="177">
        <f t="shared" si="143"/>
        <v>0</v>
      </c>
      <c r="L273" s="177">
        <f t="shared" si="143"/>
        <v>0</v>
      </c>
      <c r="M273" s="177">
        <f t="shared" si="143"/>
        <v>0</v>
      </c>
      <c r="N273" s="177">
        <f t="shared" si="143"/>
        <v>0</v>
      </c>
      <c r="O273" s="177">
        <f t="shared" si="143"/>
        <v>0</v>
      </c>
      <c r="P273" s="177">
        <f t="shared" si="143"/>
        <v>0</v>
      </c>
      <c r="Q273" s="177">
        <f t="shared" si="143"/>
        <v>0</v>
      </c>
      <c r="R273" s="177">
        <f t="shared" si="143"/>
        <v>0</v>
      </c>
      <c r="S273" s="177">
        <f t="shared" si="142"/>
        <v>0</v>
      </c>
      <c r="T273" s="177">
        <f t="shared" si="142"/>
        <v>0</v>
      </c>
      <c r="U273" s="177">
        <f t="shared" si="142"/>
        <v>0</v>
      </c>
      <c r="V273" s="177">
        <f t="shared" si="142"/>
        <v>0</v>
      </c>
      <c r="W273" s="177">
        <f t="shared" si="142"/>
        <v>0</v>
      </c>
      <c r="X273" s="177">
        <f t="shared" si="142"/>
        <v>0</v>
      </c>
      <c r="Y273" s="177">
        <f t="shared" si="142"/>
        <v>0</v>
      </c>
      <c r="Z273" s="177">
        <f t="shared" si="142"/>
        <v>0</v>
      </c>
      <c r="AA273" s="177">
        <f t="shared" si="142"/>
        <v>0</v>
      </c>
      <c r="AB273" s="177">
        <f t="shared" si="142"/>
        <v>0</v>
      </c>
      <c r="AC273" s="177">
        <f t="shared" si="142"/>
        <v>0</v>
      </c>
      <c r="AD273" s="177">
        <f t="shared" si="142"/>
        <v>0</v>
      </c>
      <c r="AE273" s="177">
        <f t="shared" si="142"/>
        <v>0</v>
      </c>
      <c r="AF273" s="178">
        <f t="shared" si="142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44">SUM(B169:B273)</f>
        <v>0</v>
      </c>
      <c r="C274" s="180">
        <f t="shared" ref="C274:D274" si="145">SUM(C169:C273)</f>
        <v>0</v>
      </c>
      <c r="D274" s="180">
        <f t="shared" si="145"/>
        <v>0</v>
      </c>
      <c r="E274" s="180">
        <f t="shared" ref="E274" si="146">SUM(E169:E273)</f>
        <v>0</v>
      </c>
      <c r="F274" s="180">
        <f t="shared" si="144"/>
        <v>0</v>
      </c>
      <c r="G274" s="180">
        <f t="shared" si="144"/>
        <v>0</v>
      </c>
      <c r="H274" s="180">
        <f t="shared" si="144"/>
        <v>0</v>
      </c>
      <c r="I274" s="180">
        <f t="shared" si="144"/>
        <v>0</v>
      </c>
      <c r="J274" s="180">
        <f t="shared" si="144"/>
        <v>0</v>
      </c>
      <c r="K274" s="180">
        <f t="shared" si="144"/>
        <v>0</v>
      </c>
      <c r="L274" s="180">
        <f t="shared" si="144"/>
        <v>0</v>
      </c>
      <c r="M274" s="180">
        <f t="shared" si="144"/>
        <v>0</v>
      </c>
      <c r="N274" s="180">
        <f t="shared" si="144"/>
        <v>0</v>
      </c>
      <c r="O274" s="180">
        <f t="shared" si="144"/>
        <v>0</v>
      </c>
      <c r="P274" s="180">
        <f t="shared" si="144"/>
        <v>0</v>
      </c>
      <c r="Q274" s="180">
        <f t="shared" si="144"/>
        <v>0</v>
      </c>
      <c r="R274" s="180">
        <f t="shared" si="144"/>
        <v>0</v>
      </c>
      <c r="S274" s="180">
        <f t="shared" si="144"/>
        <v>0</v>
      </c>
      <c r="T274" s="180">
        <f t="shared" si="144"/>
        <v>0</v>
      </c>
      <c r="U274" s="180">
        <f t="shared" si="144"/>
        <v>0</v>
      </c>
      <c r="V274" s="180">
        <f t="shared" si="144"/>
        <v>0</v>
      </c>
      <c r="W274" s="180">
        <f t="shared" si="144"/>
        <v>0</v>
      </c>
      <c r="X274" s="180">
        <f t="shared" si="144"/>
        <v>0</v>
      </c>
      <c r="Y274" s="180">
        <f t="shared" si="144"/>
        <v>0</v>
      </c>
      <c r="Z274" s="180">
        <f t="shared" si="144"/>
        <v>0</v>
      </c>
      <c r="AA274" s="180">
        <f t="shared" si="144"/>
        <v>0</v>
      </c>
      <c r="AB274" s="180">
        <f t="shared" si="144"/>
        <v>0</v>
      </c>
      <c r="AC274" s="180">
        <f t="shared" si="144"/>
        <v>0</v>
      </c>
      <c r="AD274" s="180">
        <f t="shared" si="144"/>
        <v>0</v>
      </c>
      <c r="AE274" s="180">
        <f t="shared" si="144"/>
        <v>0</v>
      </c>
      <c r="AF274" s="181">
        <f t="shared" si="144"/>
        <v>0</v>
      </c>
      <c r="AG274" s="182">
        <f t="shared" si="144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363" priority="25">
      <formula>$AH11=0</formula>
    </cfRule>
  </conditionalFormatting>
  <conditionalFormatting sqref="A101:A102">
    <cfRule type="expression" dxfId="362" priority="193">
      <formula>$AH106=0</formula>
    </cfRule>
  </conditionalFormatting>
  <conditionalFormatting sqref="A103:A107">
    <cfRule type="expression" dxfId="361" priority="141">
      <formula>$AH102=0</formula>
    </cfRule>
  </conditionalFormatting>
  <conditionalFormatting sqref="A160:A167">
    <cfRule type="expression" dxfId="360" priority="194">
      <formula>$AH267=0</formula>
    </cfRule>
  </conditionalFormatting>
  <conditionalFormatting sqref="A168:A275">
    <cfRule type="expression" dxfId="359" priority="64">
      <formula>$AH168=0</formula>
    </cfRule>
  </conditionalFormatting>
  <conditionalFormatting sqref="B8">
    <cfRule type="expression" dxfId="358" priority="189">
      <formula>AND(C$9&gt;=14/24,C$9&lt;20/24)</formula>
    </cfRule>
    <cfRule type="expression" dxfId="357" priority="190">
      <formula>AND(C$9&gt;=8/24,C$9&lt;14/24)</formula>
    </cfRule>
    <cfRule type="expression" dxfId="356" priority="191">
      <formula>C$9&lt;8/24</formula>
    </cfRule>
    <cfRule type="expression" dxfId="355" priority="192">
      <formula>C$9&gt;=20/24</formula>
    </cfRule>
  </conditionalFormatting>
  <conditionalFormatting sqref="U11:AA13 AB12:AF13 B9:AF10 F117:L125 F152:AF159 B76:E90 B113:E115 B108:E108 B117:E124 B153:E153 G97:L97 F134:L134 H126:L133 B93:L96 H98:L102 F103:P115 M93:P102 Q93:AF115 V85:AF90 F79:U90 B72:U72 F76:AF77 M117:AF134 H137:AF151">
    <cfRule type="expression" dxfId="354" priority="106">
      <formula>B$9&gt;=20/24</formula>
    </cfRule>
  </conditionalFormatting>
  <conditionalFormatting sqref="B9:AF10 U11:AA13 AB12:AF13 F117:L125 F152:AF159 B76:E90 B113:E115 B108:E108 B117:E124 B153:E153 G97:L97 F134:L134 H126:L133 B93:L96 H98:L102 F103:P115 M93:P102 Q93:AF115 V85:AF90 F79:U90 B72:U72 F76:AF77 M117:AF134 H137:AF151">
    <cfRule type="expression" dxfId="353" priority="107">
      <formula>AND(B$9&gt;=14/24,B$9&lt;20/24)</formula>
    </cfRule>
    <cfRule type="expression" dxfId="352" priority="108">
      <formula>AND(B$9&gt;=8/24,B$9&lt;14/24)</formula>
    </cfRule>
    <cfRule type="expression" dxfId="351" priority="109">
      <formula>B$9&lt;8/24</formula>
    </cfRule>
  </conditionalFormatting>
  <conditionalFormatting sqref="U14:AF53 B29:T53">
    <cfRule type="expression" dxfId="350" priority="49">
      <formula>B14&gt;$AG14*1</formula>
    </cfRule>
    <cfRule type="expression" dxfId="349" priority="50">
      <formula>B$9&gt;=20/24</formula>
    </cfRule>
    <cfRule type="expression" dxfId="348" priority="51">
      <formula>AND(B$9&gt;=14/24,B$9&lt;20/24)</formula>
    </cfRule>
    <cfRule type="expression" dxfId="347" priority="52">
      <formula>AND(B$9&gt;=8/24,B$9&lt;14/24)</formula>
    </cfRule>
    <cfRule type="expression" dxfId="346" priority="53">
      <formula>B$9&lt;8/24</formula>
    </cfRule>
  </conditionalFormatting>
  <conditionalFormatting sqref="B54:AF68">
    <cfRule type="expression" dxfId="345" priority="42">
      <formula>B$9&lt;8/24</formula>
    </cfRule>
  </conditionalFormatting>
  <conditionalFormatting sqref="B54:AF70">
    <cfRule type="expression" dxfId="344" priority="39">
      <formula>B$9&gt;=20/24</formula>
    </cfRule>
    <cfRule type="expression" dxfId="343" priority="40">
      <formula>AND(B$9&gt;=14/24,B$9&lt;20/24)</formula>
    </cfRule>
    <cfRule type="expression" dxfId="342" priority="41">
      <formula>AND(B$9&gt;=8/24,B$9&lt;14/24)</formula>
    </cfRule>
  </conditionalFormatting>
  <conditionalFormatting sqref="B63:AF65">
    <cfRule type="expression" dxfId="341" priority="43">
      <formula>B63&gt;$AG63</formula>
    </cfRule>
  </conditionalFormatting>
  <conditionalFormatting sqref="B69:AF70">
    <cfRule type="expression" dxfId="340" priority="114">
      <formula>B$9&lt;8/24</formula>
    </cfRule>
  </conditionalFormatting>
  <conditionalFormatting sqref="B72:AF75">
    <cfRule type="expression" dxfId="339" priority="30">
      <formula>B72&gt;$AG72*1</formula>
    </cfRule>
  </conditionalFormatting>
  <conditionalFormatting sqref="B73:AF75">
    <cfRule type="expression" dxfId="338" priority="31">
      <formula>B$9&gt;=20/24</formula>
    </cfRule>
    <cfRule type="expression" dxfId="337" priority="32">
      <formula>AND(B$9&gt;=14/24,B$9&lt;20/24)</formula>
    </cfRule>
    <cfRule type="expression" dxfId="336" priority="33">
      <formula>AND(B$9&gt;=8/24,B$9&lt;14/24)</formula>
    </cfRule>
    <cfRule type="expression" dxfId="335" priority="34">
      <formula>B$9&lt;8/24</formula>
    </cfRule>
  </conditionalFormatting>
  <conditionalFormatting sqref="F161:AF167">
    <cfRule type="expression" dxfId="334" priority="65">
      <formula>F$9&gt;=20/24</formula>
    </cfRule>
    <cfRule type="expression" dxfId="333" priority="66">
      <formula>AND(F$9&gt;=14/24,F$9&lt;20/24)</formula>
    </cfRule>
    <cfRule type="expression" dxfId="332" priority="67">
      <formula>AND(F$9&gt;=8/24,F$9&lt;14/24)</formula>
    </cfRule>
    <cfRule type="expression" dxfId="331" priority="68">
      <formula>F$9&lt;8/24</formula>
    </cfRule>
  </conditionalFormatting>
  <conditionalFormatting sqref="F169:AF274">
    <cfRule type="expression" dxfId="330" priority="26">
      <formula>F$9&gt;=20/24</formula>
    </cfRule>
    <cfRule type="expression" dxfId="329" priority="27">
      <formula>AND(F$9&gt;=14/24,F$9&lt;20/24)</formula>
    </cfRule>
    <cfRule type="expression" dxfId="328" priority="28">
      <formula>AND(F$9&gt;=8/24,F$9&lt;14/24)</formula>
    </cfRule>
    <cfRule type="expression" dxfId="327" priority="29">
      <formula>F$9&lt;8/24</formula>
    </cfRule>
  </conditionalFormatting>
  <conditionalFormatting sqref="AD80:AF90 AB69:AF70 AA70 U11:AA13 AB12:AF13 AF92:AF95 AF96:AG96 S92:AE96 S91:AF91 B71:AG71 B76:R96 B69:AA69 V76:AF77 V79:AC90 V78:AG78 S76:U90">
    <cfRule type="expression" dxfId="326" priority="105">
      <formula>B11&gt;$AG11*1</formula>
    </cfRule>
  </conditionalFormatting>
  <conditionalFormatting sqref="F79:U83">
    <cfRule type="expression" dxfId="325" priority="115">
      <formula>F$9&gt;=20/24</formula>
    </cfRule>
    <cfRule type="expression" dxfId="324" priority="116">
      <formula>AND(F$9&gt;=14/24,F$9&lt;20/24)</formula>
    </cfRule>
    <cfRule type="expression" dxfId="323" priority="117">
      <formula>AND(F$9&gt;=8/24,F$9&lt;14/24)</formula>
    </cfRule>
    <cfRule type="expression" dxfId="322" priority="118">
      <formula>F$9&lt;8/24</formula>
    </cfRule>
  </conditionalFormatting>
  <conditionalFormatting sqref="F84:U84">
    <cfRule type="expression" dxfId="321" priority="110">
      <formula>F$9&gt;=20/24</formula>
    </cfRule>
    <cfRule type="expression" dxfId="320" priority="111">
      <formula>AND(F$9&gt;=14/24,F$9&lt;20/24)</formula>
    </cfRule>
    <cfRule type="expression" dxfId="319" priority="112">
      <formula>AND(F$9&gt;=8/24,F$9&lt;14/24)</formula>
    </cfRule>
    <cfRule type="expression" dxfId="318" priority="113">
      <formula>F$9&lt;8/24</formula>
    </cfRule>
  </conditionalFormatting>
  <conditionalFormatting sqref="V76:AF78 F78:U78 B72:AF72">
    <cfRule type="expression" dxfId="317" priority="125">
      <formula>B$9&gt;=20/24</formula>
    </cfRule>
    <cfRule type="expression" dxfId="316" priority="126">
      <formula>AND(B$9&gt;=14/24,B$9&lt;20/24)</formula>
    </cfRule>
    <cfRule type="expression" dxfId="315" priority="127">
      <formula>AND(B$9&gt;=8/24,B$9&lt;14/24)</formula>
    </cfRule>
    <cfRule type="expression" dxfId="314" priority="128">
      <formula>B$9&lt;8/24</formula>
    </cfRule>
  </conditionalFormatting>
  <conditionalFormatting sqref="V73:AF75">
    <cfRule type="expression" dxfId="313" priority="35">
      <formula>V$9&gt;=20/24</formula>
    </cfRule>
    <cfRule type="expression" dxfId="312" priority="36">
      <formula>AND(V$9&gt;=14/24,V$9&lt;20/24)</formula>
    </cfRule>
    <cfRule type="expression" dxfId="311" priority="37">
      <formula>AND(V$9&gt;=8/24,V$9&lt;14/24)</formula>
    </cfRule>
    <cfRule type="expression" dxfId="310" priority="38">
      <formula>V$9&lt;8/24</formula>
    </cfRule>
  </conditionalFormatting>
  <conditionalFormatting sqref="F79:U81">
    <cfRule type="expression" dxfId="309" priority="133">
      <formula>F$9&gt;=20/24</formula>
    </cfRule>
    <cfRule type="expression" dxfId="308" priority="134">
      <formula>AND(F$9&gt;=14/24,F$9&lt;20/24)</formula>
    </cfRule>
    <cfRule type="expression" dxfId="307" priority="135">
      <formula>AND(F$9&gt;=8/24,F$9&lt;14/24)</formula>
    </cfRule>
    <cfRule type="expression" dxfId="306" priority="136">
      <formula>F$9&lt;8/24</formula>
    </cfRule>
  </conditionalFormatting>
  <conditionalFormatting sqref="L84:AF84">
    <cfRule type="expression" dxfId="305" priority="129">
      <formula>L$9&gt;=20/24</formula>
    </cfRule>
    <cfRule type="expression" dxfId="304" priority="130">
      <formula>AND(L$9&gt;=14/24,L$9&lt;20/24)</formula>
    </cfRule>
    <cfRule type="expression" dxfId="303" priority="131">
      <formula>AND(L$9&gt;=8/24,L$9&lt;14/24)</formula>
    </cfRule>
    <cfRule type="expression" dxfId="302" priority="132">
      <formula>L$9&lt;8/24</formula>
    </cfRule>
  </conditionalFormatting>
  <conditionalFormatting sqref="M8 S8 AB8">
    <cfRule type="expression" dxfId="301" priority="182">
      <formula>AND(N$9&gt;=14/24,N$9&lt;20/24)</formula>
    </cfRule>
    <cfRule type="expression" dxfId="300" priority="183">
      <formula>AND(N$9&gt;=8/24,N$9&lt;14/24)</formula>
    </cfRule>
    <cfRule type="expression" dxfId="299" priority="184">
      <formula>N$9&lt;8/24</formula>
    </cfRule>
  </conditionalFormatting>
  <conditionalFormatting sqref="Z80:AA83 T79:Y83">
    <cfRule type="expression" dxfId="298" priority="137">
      <formula>T$9&gt;=20/24</formula>
    </cfRule>
    <cfRule type="expression" dxfId="297" priority="138">
      <formula>AND(T$9&gt;=14/24,T$9&lt;20/24)</formula>
    </cfRule>
    <cfRule type="expression" dxfId="296" priority="139">
      <formula>AND(T$9&gt;=8/24,T$9&lt;14/24)</formula>
    </cfRule>
    <cfRule type="expression" dxfId="295" priority="140">
      <formula>T$9&lt;8/24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4" priority="181">
      <formula>N$9&gt;=20/24</formula>
    </cfRule>
  </conditionalFormatting>
  <conditionalFormatting sqref="S8">
    <cfRule type="expression" dxfId="293" priority="172">
      <formula>U$9&gt;=20/24</formula>
    </cfRule>
    <cfRule type="expression" dxfId="292" priority="173">
      <formula>AND(U$9&gt;=14/24,U$9&lt;20/24)</formula>
    </cfRule>
    <cfRule type="expression" dxfId="291" priority="174">
      <formula>AND(U$9&gt;=8/24,U$9&lt;14/24)</formula>
    </cfRule>
    <cfRule type="expression" dxfId="290" priority="175">
      <formula>U$9&lt;8/24</formula>
    </cfRule>
  </conditionalFormatting>
  <conditionalFormatting sqref="T79:AF84">
    <cfRule type="expression" dxfId="289" priority="59">
      <formula>T$9&gt;=20/24</formula>
    </cfRule>
    <cfRule type="expression" dxfId="288" priority="60">
      <formula>AND(T$9&gt;=14/24,T$9&lt;20/24)</formula>
    </cfRule>
    <cfRule type="expression" dxfId="287" priority="61">
      <formula>AND(T$9&gt;=8/24,T$9&lt;14/24)</formula>
    </cfRule>
    <cfRule type="expression" dxfId="286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285" priority="44">
      <formula>Y$9&gt;=20/24</formula>
    </cfRule>
    <cfRule type="expression" dxfId="284" priority="45">
      <formula>AND(Y$9&gt;=14/24,Y$9&lt;20/24)</formula>
    </cfRule>
    <cfRule type="expression" dxfId="283" priority="46">
      <formula>AND(Y$9&gt;=8/24,Y$9&lt;14/24)</formula>
    </cfRule>
    <cfRule type="expression" dxfId="282" priority="47">
      <formula>Y$9&lt;8/24</formula>
    </cfRule>
  </conditionalFormatting>
  <conditionalFormatting sqref="Z69:Z70">
    <cfRule type="expression" dxfId="281" priority="124">
      <formula>Z69&gt;$AG69</formula>
    </cfRule>
  </conditionalFormatting>
  <conditionalFormatting sqref="Z66:AF69 AB11:AF11 B54:AF62 B66:Y70">
    <cfRule type="expression" dxfId="280" priority="119">
      <formula>B11&gt;$AG11</formula>
    </cfRule>
  </conditionalFormatting>
  <conditionalFormatting sqref="AB8">
    <cfRule type="expression" dxfId="279" priority="168">
      <formula>AD$9&gt;=20/24</formula>
    </cfRule>
    <cfRule type="expression" dxfId="278" priority="169">
      <formula>AND(AD$9&gt;=14/24,AD$9&lt;20/24)</formula>
    </cfRule>
    <cfRule type="expression" dxfId="277" priority="170">
      <formula>AND(AD$9&gt;=8/24,AD$9&lt;14/24)</formula>
    </cfRule>
    <cfRule type="expression" dxfId="276" priority="171">
      <formula>AD$9&lt;8/24</formula>
    </cfRule>
  </conditionalFormatting>
  <conditionalFormatting sqref="AB11:AF11">
    <cfRule type="expression" dxfId="275" priority="120">
      <formula>AB$9&gt;=20/24</formula>
    </cfRule>
    <cfRule type="expression" dxfId="274" priority="121">
      <formula>AND(AB$9&gt;=14/24,AB$9&lt;20/24)</formula>
    </cfRule>
    <cfRule type="expression" dxfId="273" priority="122">
      <formula>AND(AB$9&gt;=8/24,AB$9&lt;14/24)</formula>
    </cfRule>
    <cfRule type="expression" dxfId="272" priority="123">
      <formula>AB$9&lt;8/24</formula>
    </cfRule>
  </conditionalFormatting>
  <conditionalFormatting sqref="AD79:AF79">
    <cfRule type="expression" dxfId="271" priority="195">
      <formula>AD79&gt;$AG80*1</formula>
    </cfRule>
  </conditionalFormatting>
  <conditionalFormatting sqref="AG78">
    <cfRule type="expression" dxfId="270" priority="147">
      <formula>AG$9&gt;=20/24</formula>
    </cfRule>
    <cfRule type="expression" dxfId="269" priority="148">
      <formula>AND(AG$9&gt;=14/24,AG$9&lt;20/24)</formula>
    </cfRule>
    <cfRule type="expression" dxfId="268" priority="149">
      <formula>AND(AG$9&gt;=8/24,AG$9&lt;14/24)</formula>
    </cfRule>
    <cfRule type="expression" dxfId="267" priority="150">
      <formula>AG$9&lt;8/24</formula>
    </cfRule>
  </conditionalFormatting>
  <conditionalFormatting sqref="AG91:AG92">
    <cfRule type="expression" dxfId="266" priority="142">
      <formula>AG91&gt;$AG91</formula>
    </cfRule>
  </conditionalFormatting>
  <conditionalFormatting sqref="AG96">
    <cfRule type="expression" dxfId="265" priority="143">
      <formula>AG$9&gt;=20/24</formula>
    </cfRule>
    <cfRule type="expression" dxfId="264" priority="144">
      <formula>AND(AG$9&gt;=14/24,AG$9&lt;20/24)</formula>
    </cfRule>
    <cfRule type="expression" dxfId="263" priority="145">
      <formula>AND(AG$9&gt;=8/24,AG$9&lt;14/24)</formula>
    </cfRule>
    <cfRule type="expression" dxfId="262" priority="146">
      <formula>AG$9&lt;8/24</formula>
    </cfRule>
  </conditionalFormatting>
  <conditionalFormatting sqref="AG113">
    <cfRule type="expression" dxfId="261" priority="164">
      <formula>AG$9&gt;=20/24</formula>
    </cfRule>
    <cfRule type="expression" dxfId="260" priority="165">
      <formula>AND(AG$9&gt;=14/24,AG$9&lt;20/24)</formula>
    </cfRule>
    <cfRule type="expression" dxfId="259" priority="166">
      <formula>AND(AG$9&gt;=8/24,AG$9&lt;14/24)</formula>
    </cfRule>
    <cfRule type="expression" dxfId="258" priority="167">
      <formula>AG$9&lt;8/24</formula>
    </cfRule>
  </conditionalFormatting>
  <conditionalFormatting sqref="AH8:AI10">
    <cfRule type="expression" dxfId="257" priority="55">
      <formula>AH$9&gt;=20/24</formula>
    </cfRule>
    <cfRule type="expression" dxfId="256" priority="56">
      <formula>AND(AH$9&gt;=14/24,AH$9&lt;20/24)</formula>
    </cfRule>
    <cfRule type="expression" dxfId="255" priority="57">
      <formula>AND(AH$9&gt;=8/24,AH$9&lt;14/24)</formula>
    </cfRule>
    <cfRule type="expression" dxfId="254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85">
      <formula>AJ$9&gt;=20/24</formula>
    </cfRule>
    <cfRule type="expression" dxfId="252" priority="186">
      <formula>AND(AJ$9&gt;=14/24,AJ$9&lt;20/24)</formula>
    </cfRule>
    <cfRule type="expression" dxfId="251" priority="187">
      <formula>AND(AJ$9&gt;=8/24,AJ$9&lt;14/24)</formula>
    </cfRule>
    <cfRule type="expression" dxfId="250" priority="188">
      <formula>AJ$9&lt;8/24</formula>
    </cfRule>
  </conditionalFormatting>
  <conditionalFormatting sqref="AL99:AN99 AL105:AN105">
    <cfRule type="expression" dxfId="249" priority="157">
      <formula>AL$9&gt;=20/24</formula>
    </cfRule>
    <cfRule type="expression" dxfId="248" priority="158">
      <formula>AND(AL$9&gt;=14/24,AL$9&lt;20/24)</formula>
    </cfRule>
    <cfRule type="expression" dxfId="247" priority="159">
      <formula>AND(AL$9&gt;=8/24,AL$9&lt;14/24)</formula>
    </cfRule>
    <cfRule type="expression" dxfId="246" priority="160">
      <formula>AL$9&lt;8/24</formula>
    </cfRule>
  </conditionalFormatting>
  <conditionalFormatting sqref="AM15:AM21 AN16:AR21">
    <cfRule type="expression" dxfId="245" priority="81">
      <formula>AX$9&gt;=20/24</formula>
    </cfRule>
    <cfRule type="expression" dxfId="244" priority="82">
      <formula>AND(AX$9&gt;=14/24,AX$9&lt;20/24)</formula>
    </cfRule>
    <cfRule type="expression" dxfId="243" priority="83">
      <formula>AND(AX$9&gt;=8/24,AX$9&lt;14/24)</formula>
    </cfRule>
    <cfRule type="expression" dxfId="242" priority="84">
      <formula>AX$9&lt;8/24</formula>
    </cfRule>
  </conditionalFormatting>
  <conditionalFormatting sqref="AN100:AN103">
    <cfRule type="expression" dxfId="241" priority="153">
      <formula>AN$9&gt;=20/24</formula>
    </cfRule>
    <cfRule type="expression" dxfId="240" priority="154">
      <formula>AND(AN$9&gt;=14/24,AN$9&lt;20/24)</formula>
    </cfRule>
    <cfRule type="expression" dxfId="239" priority="155">
      <formula>AND(AN$9&gt;=8/24,AN$9&lt;14/24)</formula>
    </cfRule>
    <cfRule type="expression" dxfId="238" priority="156">
      <formula>AN$9&lt;8/24</formula>
    </cfRule>
  </conditionalFormatting>
  <conditionalFormatting sqref="AN15:AR15">
    <cfRule type="expression" dxfId="237" priority="69">
      <formula>U$9&gt;=20/24</formula>
    </cfRule>
    <cfRule type="expression" dxfId="236" priority="70">
      <formula>AND(U$9&gt;=14/24,U$9&lt;20/24)</formula>
    </cfRule>
    <cfRule type="expression" dxfId="235" priority="71">
      <formula>AND(U$9&gt;=8/24,U$9&lt;14/24)</formula>
    </cfRule>
    <cfRule type="expression" dxfId="234" priority="72">
      <formula>U$9&lt;8/24</formula>
    </cfRule>
  </conditionalFormatting>
  <conditionalFormatting sqref="AS15">
    <cfRule type="expression" dxfId="233" priority="77">
      <formula>AA$9&gt;=20/24</formula>
    </cfRule>
    <cfRule type="expression" dxfId="232" priority="78">
      <formula>AND(AA$9&gt;=14/24,AA$9&lt;20/24)</formula>
    </cfRule>
    <cfRule type="expression" dxfId="231" priority="79">
      <formula>AND(AA$9&gt;=8/24,AA$9&lt;14/24)</formula>
    </cfRule>
    <cfRule type="expression" dxfId="230" priority="80">
      <formula>AA$9&lt;8/24</formula>
    </cfRule>
  </conditionalFormatting>
  <conditionalFormatting sqref="AS16:AS21">
    <cfRule type="expression" dxfId="229" priority="85">
      <formula>BE$9&gt;=20/24</formula>
    </cfRule>
    <cfRule type="expression" dxfId="228" priority="86">
      <formula>AND(BE$9&gt;=14/24,BE$9&lt;20/24)</formula>
    </cfRule>
    <cfRule type="expression" dxfId="227" priority="87">
      <formula>AND(BE$9&gt;=8/24,BE$9&lt;14/24)</formula>
    </cfRule>
    <cfRule type="expression" dxfId="226" priority="88">
      <formula>BE$9&lt;8/24</formula>
    </cfRule>
  </conditionalFormatting>
  <conditionalFormatting sqref="AT15 AX15:BJ15">
    <cfRule type="expression" dxfId="225" priority="89">
      <formula>AC$9&gt;=20/24</formula>
    </cfRule>
    <cfRule type="expression" dxfId="224" priority="90">
      <formula>AND(AC$9&gt;=14/24,AC$9&lt;20/24)</formula>
    </cfRule>
    <cfRule type="expression" dxfId="223" priority="91">
      <formula>AND(AC$9&gt;=8/24,AC$9&lt;14/24)</formula>
    </cfRule>
    <cfRule type="expression" dxfId="222" priority="92">
      <formula>AC$9&lt;8/24</formula>
    </cfRule>
  </conditionalFormatting>
  <conditionalFormatting sqref="AT16:AT21">
    <cfRule type="expression" dxfId="221" priority="93">
      <formula>BG$9&gt;=20/24</formula>
    </cfRule>
    <cfRule type="expression" dxfId="220" priority="94">
      <formula>AND(BG$9&gt;=14/24,BG$9&lt;20/24)</formula>
    </cfRule>
    <cfRule type="expression" dxfId="219" priority="95">
      <formula>AND(BG$9&gt;=8/24,BG$9&lt;14/24)</formula>
    </cfRule>
    <cfRule type="expression" dxfId="218" priority="96">
      <formula>BG$9&lt;8/24</formula>
    </cfRule>
  </conditionalFormatting>
  <conditionalFormatting sqref="AU15:AV15">
    <cfRule type="expression" dxfId="217" priority="97">
      <formula>AE$9&gt;=20/24</formula>
    </cfRule>
    <cfRule type="expression" dxfId="216" priority="98">
      <formula>AND(AE$9&gt;=14/24,AE$9&lt;20/24)</formula>
    </cfRule>
    <cfRule type="expression" dxfId="215" priority="99">
      <formula>AND(AE$9&gt;=8/24,AE$9&lt;14/24)</formula>
    </cfRule>
    <cfRule type="expression" dxfId="214" priority="100">
      <formula>AE$9&lt;8/24</formula>
    </cfRule>
  </conditionalFormatting>
  <conditionalFormatting sqref="AU16:BJ21">
    <cfRule type="expression" dxfId="213" priority="101">
      <formula>BI$9&gt;=20/24</formula>
    </cfRule>
    <cfRule type="expression" dxfId="212" priority="102">
      <formula>AND(BI$9&gt;=14/24,BI$9&lt;20/24)</formula>
    </cfRule>
    <cfRule type="expression" dxfId="211" priority="103">
      <formula>AND(BI$9&gt;=8/24,BI$9&lt;14/24)</formula>
    </cfRule>
    <cfRule type="expression" dxfId="210" priority="104">
      <formula>BI$9&lt;8/24</formula>
    </cfRule>
  </conditionalFormatting>
  <conditionalFormatting sqref="AW15">
    <cfRule type="expression" dxfId="209" priority="73">
      <formula>B$9&gt;=20/24</formula>
    </cfRule>
    <cfRule type="expression" dxfId="208" priority="74">
      <formula>AND(B$9&gt;=14/24,B$9&lt;20/24)</formula>
    </cfRule>
    <cfRule type="expression" dxfId="207" priority="75">
      <formula>AND(B$9&gt;=8/24,B$9&lt;14/24)</formula>
    </cfRule>
    <cfRule type="expression" dxfId="206" priority="76">
      <formula>B$9&lt;8/24</formula>
    </cfRule>
  </conditionalFormatting>
  <conditionalFormatting sqref="A73">
    <cfRule type="expression" dxfId="205" priority="24">
      <formula>$AH73=0</formula>
    </cfRule>
  </conditionalFormatting>
  <conditionalFormatting sqref="B97:E107 B137:E152 B109:E112 B125:E134 B154:E159 F97:F102 G98:G102 F126:G133 F137:G151 B11:T13">
    <cfRule type="expression" dxfId="204" priority="20">
      <formula>B$9&gt;=20/24</formula>
    </cfRule>
  </conditionalFormatting>
  <conditionalFormatting sqref="B97:E107 B137:E152 B109:E112 B125:E134 B154:E159 F97:F102 G98:G102 F126:G133 F137:G151 B11:T13">
    <cfRule type="expression" dxfId="203" priority="21">
      <formula>AND(B$9&gt;=14/24,B$9&lt;20/24)</formula>
    </cfRule>
    <cfRule type="expression" dxfId="202" priority="22">
      <formula>AND(B$9&gt;=8/24,B$9&lt;14/24)</formula>
    </cfRule>
    <cfRule type="expression" dxfId="201" priority="23">
      <formula>B$9&lt;8/24</formula>
    </cfRule>
  </conditionalFormatting>
  <conditionalFormatting sqref="B14:T28">
    <cfRule type="expression" dxfId="200" priority="10">
      <formula>B14&gt;$AG14*1</formula>
    </cfRule>
    <cfRule type="expression" dxfId="199" priority="11">
      <formula>B$9&gt;=20/24</formula>
    </cfRule>
    <cfRule type="expression" dxfId="198" priority="12">
      <formula>AND(B$9&gt;=14/24,B$9&lt;20/24)</formula>
    </cfRule>
    <cfRule type="expression" dxfId="197" priority="13">
      <formula>AND(B$9&gt;=8/24,B$9&lt;14/24)</formula>
    </cfRule>
    <cfRule type="expression" dxfId="196" priority="14">
      <formula>B$9&lt;8/24</formula>
    </cfRule>
  </conditionalFormatting>
  <conditionalFormatting sqref="B161:E167">
    <cfRule type="expression" dxfId="195" priority="15">
      <formula>B$9&gt;=20/24</formula>
    </cfRule>
    <cfRule type="expression" dxfId="194" priority="16">
      <formula>AND(B$9&gt;=14/24,B$9&lt;20/24)</formula>
    </cfRule>
    <cfRule type="expression" dxfId="193" priority="17">
      <formula>AND(B$9&gt;=8/24,B$9&lt;14/24)</formula>
    </cfRule>
    <cfRule type="expression" dxfId="192" priority="18">
      <formula>B$9&lt;8/24</formula>
    </cfRule>
  </conditionalFormatting>
  <conditionalFormatting sqref="B169:E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T13">
    <cfRule type="expression" dxfId="187" priority="1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36" t="s">
        <v>0</v>
      </c>
      <c r="B1" s="236"/>
      <c r="C1" s="236"/>
      <c r="D1" s="236"/>
      <c r="E1" s="236"/>
      <c r="F1" s="236"/>
      <c r="G1" s="236"/>
      <c r="H1" s="236"/>
      <c r="I1" s="236"/>
      <c r="J1" s="236"/>
      <c r="K1" s="236"/>
      <c r="L1" s="236"/>
      <c r="M1" s="236"/>
      <c r="N1" s="236"/>
      <c r="O1" s="236"/>
      <c r="P1" s="236"/>
      <c r="Q1" s="236"/>
      <c r="R1" s="236"/>
      <c r="S1" s="236"/>
      <c r="T1" s="236"/>
      <c r="U1" s="236"/>
      <c r="V1" s="236"/>
      <c r="W1" s="236"/>
      <c r="X1" s="236"/>
      <c r="Y1" s="236"/>
      <c r="Z1" s="236"/>
      <c r="AA1" s="236"/>
      <c r="AB1" s="236"/>
      <c r="AC1" s="236"/>
      <c r="AD1" s="236"/>
      <c r="AE1" s="236"/>
      <c r="AF1" s="236"/>
      <c r="AG1" s="237" t="s">
        <v>1</v>
      </c>
      <c r="AH1" s="237"/>
      <c r="AI1" s="237"/>
      <c r="AL1" s="2"/>
    </row>
    <row r="2" spans="1:88" ht="20.25" hidden="1">
      <c r="A2" s="3"/>
      <c r="B2" s="238" t="s">
        <v>2</v>
      </c>
      <c r="C2" s="4"/>
      <c r="D2" s="240" t="s">
        <v>3</v>
      </c>
      <c r="E2" s="4"/>
      <c r="F2" s="240" t="s">
        <v>4</v>
      </c>
      <c r="G2" s="4"/>
      <c r="H2" s="240" t="s">
        <v>5</v>
      </c>
      <c r="I2" s="5"/>
      <c r="J2" s="24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39"/>
      <c r="C3" s="16"/>
      <c r="D3" s="241"/>
      <c r="E3" s="16"/>
      <c r="F3" s="241"/>
      <c r="G3" s="16"/>
      <c r="H3" s="241"/>
      <c r="I3" s="17"/>
      <c r="J3" s="24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31" t="e">
        <f ca="1">"2080/"&amp;"10/"&amp;INT(MID(CELL("filename",D6),FIND("]",CELL("filename",D6))+1,200))</f>
        <v>#VALUE!</v>
      </c>
      <c r="C4" s="231"/>
      <c r="D4" s="231"/>
      <c r="E4" s="232" t="e">
        <f ca="1">"2080/"&amp;"10/"&amp;INT(MID(CELL("filename",G6),FIND("]",CELL("filename",G6))+1,200))</f>
        <v>#VALUE!</v>
      </c>
      <c r="F4" s="232"/>
      <c r="G4" s="232"/>
      <c r="H4" s="232" t="e">
        <f ca="1">TEXT(E4,"dddd")</f>
        <v>#VALUE!</v>
      </c>
      <c r="I4" s="232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33" t="s">
        <v>14</v>
      </c>
      <c r="C8" s="234"/>
      <c r="D8" s="234"/>
      <c r="E8" s="234"/>
      <c r="F8" s="234"/>
      <c r="G8" s="234"/>
      <c r="H8" s="234"/>
      <c r="I8" s="234"/>
      <c r="J8" s="234"/>
      <c r="K8" s="234"/>
      <c r="L8" s="235"/>
      <c r="M8" s="226" t="s">
        <v>15</v>
      </c>
      <c r="N8" s="227"/>
      <c r="O8" s="227"/>
      <c r="P8" s="227"/>
      <c r="Q8" s="227"/>
      <c r="R8" s="228"/>
      <c r="S8" s="226" t="s">
        <v>16</v>
      </c>
      <c r="T8" s="227"/>
      <c r="U8" s="227"/>
      <c r="V8" s="227"/>
      <c r="W8" s="227"/>
      <c r="X8" s="227"/>
      <c r="Y8" s="227"/>
      <c r="Z8" s="227"/>
      <c r="AA8" s="228"/>
      <c r="AB8" s="226" t="s">
        <v>17</v>
      </c>
      <c r="AC8" s="227"/>
      <c r="AD8" s="227"/>
      <c r="AE8" s="227"/>
      <c r="AF8" s="228"/>
      <c r="AG8" s="39"/>
      <c r="AH8" s="217"/>
      <c r="AI8" s="21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23">
        <v>0</v>
      </c>
      <c r="C9" s="223">
        <v>4.1666666666666664E-2</v>
      </c>
      <c r="D9" s="223">
        <v>8.3333333333333301E-2</v>
      </c>
      <c r="E9" s="223">
        <v>0.125</v>
      </c>
      <c r="F9" s="223">
        <v>0.16666666666666699</v>
      </c>
      <c r="G9" s="223">
        <v>0.20833333333333301</v>
      </c>
      <c r="H9" s="223">
        <v>0.22916666666666699</v>
      </c>
      <c r="I9" s="223">
        <v>0.25</v>
      </c>
      <c r="J9" s="223">
        <v>0.27083333333333298</v>
      </c>
      <c r="K9" s="223">
        <v>0.29166666666666702</v>
      </c>
      <c r="L9" s="223">
        <v>0.3125</v>
      </c>
      <c r="M9" s="224">
        <v>0.33333333333333298</v>
      </c>
      <c r="N9" s="224">
        <v>0.375</v>
      </c>
      <c r="O9" s="224">
        <v>0.41666666666666702</v>
      </c>
      <c r="P9" s="224">
        <v>0.45833333333333298</v>
      </c>
      <c r="Q9" s="224">
        <v>0.5</v>
      </c>
      <c r="R9" s="224">
        <v>0.54166666666666696</v>
      </c>
      <c r="S9" s="217">
        <v>0.58333333333333304</v>
      </c>
      <c r="T9" s="217">
        <v>0.625</v>
      </c>
      <c r="U9" s="217">
        <v>0.66666666666666696</v>
      </c>
      <c r="V9" s="217">
        <v>0.70833333333333304</v>
      </c>
      <c r="W9" s="217">
        <v>0.72916666666666696</v>
      </c>
      <c r="X9" s="217">
        <v>0.75</v>
      </c>
      <c r="Y9" s="217">
        <v>0.77083333333333304</v>
      </c>
      <c r="Z9" s="217">
        <v>0.79166666666666696</v>
      </c>
      <c r="AA9" s="217">
        <v>0.8125</v>
      </c>
      <c r="AB9" s="217">
        <v>0.83333333333333304</v>
      </c>
      <c r="AC9" s="217">
        <v>0.85416666666666696</v>
      </c>
      <c r="AD9" s="217">
        <v>0.875</v>
      </c>
      <c r="AE9" s="217">
        <v>0.91666666666666696</v>
      </c>
      <c r="AF9" s="217">
        <v>0.95833333333333304</v>
      </c>
      <c r="AG9" s="219" t="s">
        <v>1</v>
      </c>
      <c r="AH9" s="218"/>
      <c r="AI9" s="21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23"/>
      <c r="C10" s="223"/>
      <c r="D10" s="223"/>
      <c r="E10" s="223"/>
      <c r="F10" s="223"/>
      <c r="G10" s="223"/>
      <c r="H10" s="218"/>
      <c r="I10" s="218"/>
      <c r="J10" s="218"/>
      <c r="K10" s="218"/>
      <c r="L10" s="218"/>
      <c r="M10" s="225"/>
      <c r="N10" s="225"/>
      <c r="O10" s="225"/>
      <c r="P10" s="225"/>
      <c r="Q10" s="225"/>
      <c r="R10" s="225"/>
      <c r="S10" s="218"/>
      <c r="T10" s="218"/>
      <c r="U10" s="218"/>
      <c r="V10" s="218"/>
      <c r="W10" s="218"/>
      <c r="X10" s="218"/>
      <c r="Y10" s="218"/>
      <c r="Z10" s="218"/>
      <c r="AA10" s="218"/>
      <c r="AB10" s="218"/>
      <c r="AC10" s="218"/>
      <c r="AD10" s="218"/>
      <c r="AE10" s="218"/>
      <c r="AF10" s="218"/>
      <c r="AG10" s="220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21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22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1" priority="37">
      <formula>$AH11=0</formula>
    </cfRule>
  </conditionalFormatting>
  <conditionalFormatting sqref="A101:A102">
    <cfRule type="expression" dxfId="180" priority="205">
      <formula>$AH106=0</formula>
    </cfRule>
  </conditionalFormatting>
  <conditionalFormatting sqref="A103:A107">
    <cfRule type="expression" dxfId="179" priority="153">
      <formula>$AH102=0</formula>
    </cfRule>
  </conditionalFormatting>
  <conditionalFormatting sqref="A160:A167">
    <cfRule type="expression" dxfId="178" priority="206">
      <formula>$AH267=0</formula>
    </cfRule>
  </conditionalFormatting>
  <conditionalFormatting sqref="A168:A275">
    <cfRule type="expression" dxfId="177" priority="76">
      <formula>$AH168=0</formula>
    </cfRule>
  </conditionalFormatting>
  <conditionalFormatting sqref="B8">
    <cfRule type="expression" dxfId="176" priority="201">
      <formula>AND(C$9&gt;=14/24,C$9&lt;20/24)</formula>
    </cfRule>
    <cfRule type="expression" dxfId="175" priority="202">
      <formula>AND(C$9&gt;=8/24,C$9&lt;14/24)</formula>
    </cfRule>
    <cfRule type="expression" dxfId="174" priority="203">
      <formula>C$9&lt;8/24</formula>
    </cfRule>
    <cfRule type="expression" dxfId="173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172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171" priority="119">
      <formula>AND(B$9&gt;=14/24,B$9&lt;20/24)</formula>
    </cfRule>
    <cfRule type="expression" dxfId="170" priority="120">
      <formula>AND(B$9&gt;=8/24,B$9&lt;14/24)</formula>
    </cfRule>
    <cfRule type="expression" dxfId="169" priority="121">
      <formula>B$9&lt;8/24</formula>
    </cfRule>
  </conditionalFormatting>
  <conditionalFormatting sqref="C14:AF28 B29:AF53">
    <cfRule type="expression" dxfId="168" priority="61">
      <formula>B14&gt;$AG14*1</formula>
    </cfRule>
    <cfRule type="expression" dxfId="167" priority="62">
      <formula>B$9&gt;=20/24</formula>
    </cfRule>
    <cfRule type="expression" dxfId="166" priority="63">
      <formula>AND(B$9&gt;=14/24,B$9&lt;20/24)</formula>
    </cfRule>
    <cfRule type="expression" dxfId="165" priority="64">
      <formula>AND(B$9&gt;=8/24,B$9&lt;14/24)</formula>
    </cfRule>
    <cfRule type="expression" dxfId="164" priority="65">
      <formula>B$9&lt;8/24</formula>
    </cfRule>
  </conditionalFormatting>
  <conditionalFormatting sqref="B54:AF68">
    <cfRule type="expression" dxfId="163" priority="54">
      <formula>B$9&lt;8/24</formula>
    </cfRule>
  </conditionalFormatting>
  <conditionalFormatting sqref="B54:AF70">
    <cfRule type="expression" dxfId="162" priority="51">
      <formula>B$9&gt;=20/24</formula>
    </cfRule>
    <cfRule type="expression" dxfId="161" priority="52">
      <formula>AND(B$9&gt;=14/24,B$9&lt;20/24)</formula>
    </cfRule>
    <cfRule type="expression" dxfId="160" priority="53">
      <formula>AND(B$9&gt;=8/24,B$9&lt;14/24)</formula>
    </cfRule>
  </conditionalFormatting>
  <conditionalFormatting sqref="B63:AF65">
    <cfRule type="expression" dxfId="159" priority="55">
      <formula>B63&gt;$AG63</formula>
    </cfRule>
  </conditionalFormatting>
  <conditionalFormatting sqref="B69:AF70">
    <cfRule type="expression" dxfId="158" priority="126">
      <formula>B$9&lt;8/24</formula>
    </cfRule>
  </conditionalFormatting>
  <conditionalFormatting sqref="B72:AF75">
    <cfRule type="expression" dxfId="157" priority="42">
      <formula>B72&gt;$AG72*1</formula>
    </cfRule>
  </conditionalFormatting>
  <conditionalFormatting sqref="B73:AF75">
    <cfRule type="expression" dxfId="156" priority="43">
      <formula>B$9&gt;=20/24</formula>
    </cfRule>
    <cfRule type="expression" dxfId="155" priority="44">
      <formula>AND(B$9&gt;=14/24,B$9&lt;20/24)</formula>
    </cfRule>
    <cfRule type="expression" dxfId="154" priority="45">
      <formula>AND(B$9&gt;=8/24,B$9&lt;14/24)</formula>
    </cfRule>
    <cfRule type="expression" dxfId="153" priority="46">
      <formula>B$9&lt;8/24</formula>
    </cfRule>
  </conditionalFormatting>
  <conditionalFormatting sqref="C161:AF167">
    <cfRule type="expression" dxfId="152" priority="77">
      <formula>C$9&gt;=20/24</formula>
    </cfRule>
    <cfRule type="expression" dxfId="151" priority="78">
      <formula>AND(C$9&gt;=14/24,C$9&lt;20/24)</formula>
    </cfRule>
    <cfRule type="expression" dxfId="150" priority="79">
      <formula>AND(C$9&gt;=8/24,C$9&lt;14/24)</formula>
    </cfRule>
    <cfRule type="expression" dxfId="149" priority="80">
      <formula>C$9&lt;8/24</formula>
    </cfRule>
  </conditionalFormatting>
  <conditionalFormatting sqref="C169:AF274">
    <cfRule type="expression" dxfId="148" priority="38">
      <formula>C$9&gt;=20/24</formula>
    </cfRule>
    <cfRule type="expression" dxfId="147" priority="39">
      <formula>AND(C$9&gt;=14/24,C$9&lt;20/24)</formula>
    </cfRule>
    <cfRule type="expression" dxfId="146" priority="40">
      <formula>AND(C$9&gt;=8/24,C$9&lt;14/24)</formula>
    </cfRule>
    <cfRule type="expression" dxfId="145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144" priority="117">
      <formula>B11&gt;$AG11*1</formula>
    </cfRule>
  </conditionalFormatting>
  <conditionalFormatting sqref="E79:I83 J80:J83 K83:O83">
    <cfRule type="expression" dxfId="143" priority="127">
      <formula>E$9&gt;=20/24</formula>
    </cfRule>
    <cfRule type="expression" dxfId="142" priority="128">
      <formula>AND(E$9&gt;=14/24,E$9&lt;20/24)</formula>
    </cfRule>
    <cfRule type="expression" dxfId="141" priority="129">
      <formula>AND(E$9&gt;=8/24,E$9&lt;14/24)</formula>
    </cfRule>
    <cfRule type="expression" dxfId="140" priority="130">
      <formula>E$9&lt;8/24</formula>
    </cfRule>
  </conditionalFormatting>
  <conditionalFormatting sqref="E84:O84">
    <cfRule type="expression" dxfId="139" priority="122">
      <formula>E$9&gt;=20/24</formula>
    </cfRule>
    <cfRule type="expression" dxfId="138" priority="123">
      <formula>AND(E$9&gt;=14/24,E$9&lt;20/24)</formula>
    </cfRule>
    <cfRule type="expression" dxfId="137" priority="124">
      <formula>AND(E$9&gt;=8/24,E$9&lt;14/24)</formula>
    </cfRule>
    <cfRule type="expression" dxfId="136" priority="125">
      <formula>E$9&lt;8/24</formula>
    </cfRule>
  </conditionalFormatting>
  <conditionalFormatting sqref="E76:AF78 B72:AF72">
    <cfRule type="expression" dxfId="135" priority="137">
      <formula>B$9&gt;=20/24</formula>
    </cfRule>
    <cfRule type="expression" dxfId="134" priority="138">
      <formula>AND(B$9&gt;=14/24,B$9&lt;20/24)</formula>
    </cfRule>
    <cfRule type="expression" dxfId="133" priority="139">
      <formula>AND(B$9&gt;=8/24,B$9&lt;14/24)</formula>
    </cfRule>
    <cfRule type="expression" dxfId="132" priority="140">
      <formula>B$9&lt;8/24</formula>
    </cfRule>
  </conditionalFormatting>
  <conditionalFormatting sqref="E73:AF75">
    <cfRule type="expression" dxfId="131" priority="47">
      <formula>E$9&gt;=20/24</formula>
    </cfRule>
    <cfRule type="expression" dxfId="130" priority="48">
      <formula>AND(E$9&gt;=14/24,E$9&lt;20/24)</formula>
    </cfRule>
    <cfRule type="expression" dxfId="129" priority="49">
      <formula>AND(E$9&gt;=8/24,E$9&lt;14/24)</formula>
    </cfRule>
    <cfRule type="expression" dxfId="128" priority="50">
      <formula>E$9&lt;8/24</formula>
    </cfRule>
  </conditionalFormatting>
  <conditionalFormatting sqref="F79:O81">
    <cfRule type="expression" dxfId="127" priority="145">
      <formula>F$9&gt;=20/24</formula>
    </cfRule>
    <cfRule type="expression" dxfId="126" priority="146">
      <formula>AND(F$9&gt;=14/24,F$9&lt;20/24)</formula>
    </cfRule>
    <cfRule type="expression" dxfId="125" priority="147">
      <formula>AND(F$9&gt;=8/24,F$9&lt;14/24)</formula>
    </cfRule>
    <cfRule type="expression" dxfId="124" priority="148">
      <formula>F$9&lt;8/24</formula>
    </cfRule>
  </conditionalFormatting>
  <conditionalFormatting sqref="L84:AF84">
    <cfRule type="expression" dxfId="123" priority="141">
      <formula>L$9&gt;=20/24</formula>
    </cfRule>
    <cfRule type="expression" dxfId="122" priority="142">
      <formula>AND(L$9&gt;=14/24,L$9&lt;20/24)</formula>
    </cfRule>
    <cfRule type="expression" dxfId="121" priority="143">
      <formula>AND(L$9&gt;=8/24,L$9&lt;14/24)</formula>
    </cfRule>
    <cfRule type="expression" dxfId="120" priority="144">
      <formula>L$9&lt;8/24</formula>
    </cfRule>
  </conditionalFormatting>
  <conditionalFormatting sqref="M8 S8 AB8">
    <cfRule type="expression" dxfId="119" priority="194">
      <formula>AND(N$9&gt;=14/24,N$9&lt;20/24)</formula>
    </cfRule>
    <cfRule type="expression" dxfId="118" priority="195">
      <formula>AND(N$9&gt;=8/24,N$9&lt;14/24)</formula>
    </cfRule>
    <cfRule type="expression" dxfId="117" priority="196">
      <formula>N$9&lt;8/24</formula>
    </cfRule>
  </conditionalFormatting>
  <conditionalFormatting sqref="M79:Y83 Z80:AA83">
    <cfRule type="expression" dxfId="116" priority="149">
      <formula>M$9&gt;=20/24</formula>
    </cfRule>
    <cfRule type="expression" dxfId="115" priority="150">
      <formula>AND(M$9&gt;=14/24,M$9&lt;20/24)</formula>
    </cfRule>
    <cfRule type="expression" dxfId="114" priority="151">
      <formula>AND(M$9&gt;=8/24,M$9&lt;14/24)</formula>
    </cfRule>
    <cfRule type="expression" dxfId="113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93">
      <formula>N$9&gt;=20/24</formula>
    </cfRule>
  </conditionalFormatting>
  <conditionalFormatting sqref="S8">
    <cfRule type="expression" dxfId="111" priority="184">
      <formula>U$9&gt;=20/24</formula>
    </cfRule>
    <cfRule type="expression" dxfId="110" priority="185">
      <formula>AND(U$9&gt;=14/24,U$9&lt;20/24)</formula>
    </cfRule>
    <cfRule type="expression" dxfId="109" priority="186">
      <formula>AND(U$9&gt;=8/24,U$9&lt;14/24)</formula>
    </cfRule>
    <cfRule type="expression" dxfId="108" priority="187">
      <formula>U$9&lt;8/24</formula>
    </cfRule>
  </conditionalFormatting>
  <conditionalFormatting sqref="T79:AF84">
    <cfRule type="expression" dxfId="107" priority="71">
      <formula>T$9&gt;=20/24</formula>
    </cfRule>
    <cfRule type="expression" dxfId="106" priority="72">
      <formula>AND(T$9&gt;=14/24,T$9&lt;20/24)</formula>
    </cfRule>
    <cfRule type="expression" dxfId="105" priority="73">
      <formula>AND(T$9&gt;=8/24,T$9&lt;14/24)</formula>
    </cfRule>
    <cfRule type="expression" dxfId="104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56">
      <formula>Y$9&gt;=20/24</formula>
    </cfRule>
    <cfRule type="expression" dxfId="102" priority="57">
      <formula>AND(Y$9&gt;=14/24,Y$9&lt;20/24)</formula>
    </cfRule>
    <cfRule type="expression" dxfId="101" priority="58">
      <formula>AND(Y$9&gt;=8/24,Y$9&lt;14/24)</formula>
    </cfRule>
    <cfRule type="expression" dxfId="100" priority="59">
      <formula>Y$9&lt;8/24</formula>
    </cfRule>
  </conditionalFormatting>
  <conditionalFormatting sqref="Z69:Z70">
    <cfRule type="expression" dxfId="99" priority="136">
      <formula>Z69&gt;$AG69</formula>
    </cfRule>
  </conditionalFormatting>
  <conditionalFormatting sqref="Z66:AF69 AB11:AF11 B54:AF62 B66:Y70">
    <cfRule type="expression" dxfId="98" priority="131">
      <formula>B11&gt;$AG11</formula>
    </cfRule>
  </conditionalFormatting>
  <conditionalFormatting sqref="AB8">
    <cfRule type="expression" dxfId="97" priority="180">
      <formula>AD$9&gt;=20/24</formula>
    </cfRule>
    <cfRule type="expression" dxfId="96" priority="181">
      <formula>AND(AD$9&gt;=14/24,AD$9&lt;20/24)</formula>
    </cfRule>
    <cfRule type="expression" dxfId="95" priority="182">
      <formula>AND(AD$9&gt;=8/24,AD$9&lt;14/24)</formula>
    </cfRule>
    <cfRule type="expression" dxfId="94" priority="183">
      <formula>AD$9&lt;8/24</formula>
    </cfRule>
  </conditionalFormatting>
  <conditionalFormatting sqref="AB11:AF11">
    <cfRule type="expression" dxfId="93" priority="132">
      <formula>AB$9&gt;=20/24</formula>
    </cfRule>
    <cfRule type="expression" dxfId="92" priority="133">
      <formula>AND(AB$9&gt;=14/24,AB$9&lt;20/24)</formula>
    </cfRule>
    <cfRule type="expression" dxfId="91" priority="134">
      <formula>AND(AB$9&gt;=8/24,AB$9&lt;14/24)</formula>
    </cfRule>
    <cfRule type="expression" dxfId="90" priority="135">
      <formula>AB$9&lt;8/24</formula>
    </cfRule>
  </conditionalFormatting>
  <conditionalFormatting sqref="AD79:AF79">
    <cfRule type="expression" dxfId="89" priority="207">
      <formula>AD79&gt;$AG80*1</formula>
    </cfRule>
  </conditionalFormatting>
  <conditionalFormatting sqref="AG78">
    <cfRule type="expression" dxfId="88" priority="159">
      <formula>AG$9&gt;=20/24</formula>
    </cfRule>
    <cfRule type="expression" dxfId="87" priority="160">
      <formula>AND(AG$9&gt;=14/24,AG$9&lt;20/24)</formula>
    </cfRule>
    <cfRule type="expression" dxfId="86" priority="161">
      <formula>AND(AG$9&gt;=8/24,AG$9&lt;14/24)</formula>
    </cfRule>
    <cfRule type="expression" dxfId="85" priority="162">
      <formula>AG$9&lt;8/24</formula>
    </cfRule>
  </conditionalFormatting>
  <conditionalFormatting sqref="AG91:AG92">
    <cfRule type="expression" dxfId="84" priority="154">
      <formula>AG91&gt;$AG91</formula>
    </cfRule>
  </conditionalFormatting>
  <conditionalFormatting sqref="AG96">
    <cfRule type="expression" dxfId="83" priority="155">
      <formula>AG$9&gt;=20/24</formula>
    </cfRule>
    <cfRule type="expression" dxfId="82" priority="156">
      <formula>AND(AG$9&gt;=14/24,AG$9&lt;20/24)</formula>
    </cfRule>
    <cfRule type="expression" dxfId="81" priority="157">
      <formula>AND(AG$9&gt;=8/24,AG$9&lt;14/24)</formula>
    </cfRule>
    <cfRule type="expression" dxfId="80" priority="158">
      <formula>AG$9&lt;8/24</formula>
    </cfRule>
  </conditionalFormatting>
  <conditionalFormatting sqref="AG113">
    <cfRule type="expression" dxfId="79" priority="176">
      <formula>AG$9&gt;=20/24</formula>
    </cfRule>
    <cfRule type="expression" dxfId="78" priority="177">
      <formula>AND(AG$9&gt;=14/24,AG$9&lt;20/24)</formula>
    </cfRule>
    <cfRule type="expression" dxfId="77" priority="178">
      <formula>AND(AG$9&gt;=8/24,AG$9&lt;14/24)</formula>
    </cfRule>
    <cfRule type="expression" dxfId="76" priority="179">
      <formula>AG$9&lt;8/24</formula>
    </cfRule>
  </conditionalFormatting>
  <conditionalFormatting sqref="AH8:AI10">
    <cfRule type="expression" dxfId="75" priority="67">
      <formula>AH$9&gt;=20/24</formula>
    </cfRule>
    <cfRule type="expression" dxfId="74" priority="68">
      <formula>AND(AH$9&gt;=14/24,AH$9&lt;20/24)</formula>
    </cfRule>
    <cfRule type="expression" dxfId="73" priority="69">
      <formula>AND(AH$9&gt;=8/24,AH$9&lt;14/24)</formula>
    </cfRule>
    <cfRule type="expression" dxfId="72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97">
      <formula>AJ$9&gt;=20/24</formula>
    </cfRule>
    <cfRule type="expression" dxfId="70" priority="198">
      <formula>AND(AJ$9&gt;=14/24,AJ$9&lt;20/24)</formula>
    </cfRule>
    <cfRule type="expression" dxfId="69" priority="199">
      <formula>AND(AJ$9&gt;=8/24,AJ$9&lt;14/24)</formula>
    </cfRule>
    <cfRule type="expression" dxfId="68" priority="200">
      <formula>AJ$9&lt;8/24</formula>
    </cfRule>
  </conditionalFormatting>
  <conditionalFormatting sqref="AL99:AN99 AL105:AN105">
    <cfRule type="expression" dxfId="67" priority="169">
      <formula>AL$9&gt;=20/24</formula>
    </cfRule>
    <cfRule type="expression" dxfId="66" priority="170">
      <formula>AND(AL$9&gt;=14/24,AL$9&lt;20/24)</formula>
    </cfRule>
    <cfRule type="expression" dxfId="65" priority="171">
      <formula>AND(AL$9&gt;=8/24,AL$9&lt;14/24)</formula>
    </cfRule>
    <cfRule type="expression" dxfId="64" priority="172">
      <formula>AL$9&lt;8/24</formula>
    </cfRule>
  </conditionalFormatting>
  <conditionalFormatting sqref="AM15:AM21 AN16:AR21">
    <cfRule type="expression" dxfId="63" priority="93">
      <formula>AX$9&gt;=20/24</formula>
    </cfRule>
    <cfRule type="expression" dxfId="62" priority="94">
      <formula>AND(AX$9&gt;=14/24,AX$9&lt;20/24)</formula>
    </cfRule>
    <cfRule type="expression" dxfId="61" priority="95">
      <formula>AND(AX$9&gt;=8/24,AX$9&lt;14/24)</formula>
    </cfRule>
    <cfRule type="expression" dxfId="60" priority="96">
      <formula>AX$9&lt;8/24</formula>
    </cfRule>
  </conditionalFormatting>
  <conditionalFormatting sqref="AN100:AN103">
    <cfRule type="expression" dxfId="59" priority="165">
      <formula>AN$9&gt;=20/24</formula>
    </cfRule>
    <cfRule type="expression" dxfId="58" priority="166">
      <formula>AND(AN$9&gt;=14/24,AN$9&lt;20/24)</formula>
    </cfRule>
    <cfRule type="expression" dxfId="57" priority="167">
      <formula>AND(AN$9&gt;=8/24,AN$9&lt;14/24)</formula>
    </cfRule>
    <cfRule type="expression" dxfId="56" priority="168">
      <formula>AN$9&lt;8/24</formula>
    </cfRule>
  </conditionalFormatting>
  <conditionalFormatting sqref="AN15:AR15">
    <cfRule type="expression" dxfId="55" priority="81">
      <formula>U$9&gt;=20/24</formula>
    </cfRule>
    <cfRule type="expression" dxfId="54" priority="82">
      <formula>AND(U$9&gt;=14/24,U$9&lt;20/24)</formula>
    </cfRule>
    <cfRule type="expression" dxfId="53" priority="83">
      <formula>AND(U$9&gt;=8/24,U$9&lt;14/24)</formula>
    </cfRule>
    <cfRule type="expression" dxfId="52" priority="84">
      <formula>U$9&lt;8/24</formula>
    </cfRule>
  </conditionalFormatting>
  <conditionalFormatting sqref="AS15">
    <cfRule type="expression" dxfId="51" priority="89">
      <formula>AA$9&gt;=20/24</formula>
    </cfRule>
    <cfRule type="expression" dxfId="50" priority="90">
      <formula>AND(AA$9&gt;=14/24,AA$9&lt;20/24)</formula>
    </cfRule>
    <cfRule type="expression" dxfId="49" priority="91">
      <formula>AND(AA$9&gt;=8/24,AA$9&lt;14/24)</formula>
    </cfRule>
    <cfRule type="expression" dxfId="48" priority="92">
      <formula>AA$9&lt;8/24</formula>
    </cfRule>
  </conditionalFormatting>
  <conditionalFormatting sqref="AS16:AS21">
    <cfRule type="expression" dxfId="47" priority="97">
      <formula>BE$9&gt;=20/24</formula>
    </cfRule>
    <cfRule type="expression" dxfId="46" priority="98">
      <formula>AND(BE$9&gt;=14/24,BE$9&lt;20/24)</formula>
    </cfRule>
    <cfRule type="expression" dxfId="45" priority="99">
      <formula>AND(BE$9&gt;=8/24,BE$9&lt;14/24)</formula>
    </cfRule>
    <cfRule type="expression" dxfId="44" priority="100">
      <formula>BE$9&lt;8/24</formula>
    </cfRule>
  </conditionalFormatting>
  <conditionalFormatting sqref="AT15 AX15:BJ15">
    <cfRule type="expression" dxfId="43" priority="101">
      <formula>AC$9&gt;=20/24</formula>
    </cfRule>
    <cfRule type="expression" dxfId="42" priority="102">
      <formula>AND(AC$9&gt;=14/24,AC$9&lt;20/24)</formula>
    </cfRule>
    <cfRule type="expression" dxfId="41" priority="103">
      <formula>AND(AC$9&gt;=8/24,AC$9&lt;14/24)</formula>
    </cfRule>
    <cfRule type="expression" dxfId="40" priority="104">
      <formula>AC$9&lt;8/24</formula>
    </cfRule>
  </conditionalFormatting>
  <conditionalFormatting sqref="AT16:AT21">
    <cfRule type="expression" dxfId="39" priority="105">
      <formula>BG$9&gt;=20/24</formula>
    </cfRule>
    <cfRule type="expression" dxfId="38" priority="106">
      <formula>AND(BG$9&gt;=14/24,BG$9&lt;20/24)</formula>
    </cfRule>
    <cfRule type="expression" dxfId="37" priority="107">
      <formula>AND(BG$9&gt;=8/24,BG$9&lt;14/24)</formula>
    </cfRule>
    <cfRule type="expression" dxfId="36" priority="108">
      <formula>BG$9&lt;8/24</formula>
    </cfRule>
  </conditionalFormatting>
  <conditionalFormatting sqref="AU15:AV15">
    <cfRule type="expression" dxfId="35" priority="109">
      <formula>AE$9&gt;=20/24</formula>
    </cfRule>
    <cfRule type="expression" dxfId="34" priority="110">
      <formula>AND(AE$9&gt;=14/24,AE$9&lt;20/24)</formula>
    </cfRule>
    <cfRule type="expression" dxfId="33" priority="111">
      <formula>AND(AE$9&gt;=8/24,AE$9&lt;14/24)</formula>
    </cfRule>
    <cfRule type="expression" dxfId="32" priority="112">
      <formula>AE$9&lt;8/24</formula>
    </cfRule>
  </conditionalFormatting>
  <conditionalFormatting sqref="AU16:BJ21">
    <cfRule type="expression" dxfId="31" priority="113">
      <formula>BI$9&gt;=20/24</formula>
    </cfRule>
    <cfRule type="expression" dxfId="30" priority="114">
      <formula>AND(BI$9&gt;=14/24,BI$9&lt;20/24)</formula>
    </cfRule>
    <cfRule type="expression" dxfId="29" priority="115">
      <formula>AND(BI$9&gt;=8/24,BI$9&lt;14/24)</formula>
    </cfRule>
    <cfRule type="expression" dxfId="28" priority="116">
      <formula>BI$9&lt;8/24</formula>
    </cfRule>
  </conditionalFormatting>
  <conditionalFormatting sqref="AW15">
    <cfRule type="expression" dxfId="27" priority="85">
      <formula>B$9&gt;=20/24</formula>
    </cfRule>
    <cfRule type="expression" dxfId="26" priority="86">
      <formula>AND(B$9&gt;=14/24,B$9&lt;20/24)</formula>
    </cfRule>
    <cfRule type="expression" dxfId="25" priority="87">
      <formula>AND(B$9&gt;=8/24,B$9&lt;14/24)</formula>
    </cfRule>
    <cfRule type="expression" dxfId="24" priority="88">
      <formula>B$9&lt;8/24</formula>
    </cfRule>
  </conditionalFormatting>
  <conditionalFormatting sqref="A73">
    <cfRule type="expression" dxfId="23" priority="36">
      <formula>$AH73=0</formula>
    </cfRule>
  </conditionalFormatting>
  <conditionalFormatting sqref="B11:B13 B97:B107 B137:B152 B109:B112 B125:B134 B154:B159">
    <cfRule type="expression" dxfId="22" priority="30">
      <formula>B$9&gt;=20/24</formula>
    </cfRule>
  </conditionalFormatting>
  <conditionalFormatting sqref="B11:B13 B97:B107 B137:B152 B109:B112 B125:B134 B154:B159">
    <cfRule type="expression" dxfId="21" priority="31">
      <formula>AND(B$9&gt;=14/24,B$9&lt;20/24)</formula>
    </cfRule>
    <cfRule type="expression" dxfId="20" priority="32">
      <formula>AND(B$9&gt;=8/24,B$9&lt;14/24)</formula>
    </cfRule>
    <cfRule type="expression" dxfId="19" priority="33">
      <formula>B$9&lt;8/24</formula>
    </cfRule>
  </conditionalFormatting>
  <conditionalFormatting sqref="B14:B28">
    <cfRule type="expression" dxfId="18" priority="20">
      <formula>B14&gt;$AG14*1</formula>
    </cfRule>
    <cfRule type="expression" dxfId="17" priority="21">
      <formula>B$9&gt;=20/24</formula>
    </cfRule>
    <cfRule type="expression" dxfId="16" priority="22">
      <formula>AND(B$9&gt;=14/24,B$9&lt;20/24)</formula>
    </cfRule>
    <cfRule type="expression" dxfId="15" priority="23">
      <formula>AND(B$9&gt;=8/24,B$9&lt;14/24)</formula>
    </cfRule>
    <cfRule type="expression" dxfId="14" priority="24">
      <formula>B$9&lt;8/24</formula>
    </cfRule>
  </conditionalFormatting>
  <conditionalFormatting sqref="B161:B167">
    <cfRule type="expression" dxfId="13" priority="25">
      <formula>B$9&gt;=20/24</formula>
    </cfRule>
    <cfRule type="expression" dxfId="12" priority="26">
      <formula>AND(B$9&gt;=14/24,B$9&lt;20/24)</formula>
    </cfRule>
    <cfRule type="expression" dxfId="11" priority="27">
      <formula>AND(B$9&gt;=8/24,B$9&lt;14/24)</formula>
    </cfRule>
    <cfRule type="expression" dxfId="10" priority="2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B13">
    <cfRule type="expression" dxfId="5" priority="2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AO100" sqref="AO100"/>
    </sheetView>
  </sheetViews>
  <sheetFormatPr defaultRowHeight="15"/>
  <cols>
    <col min="12" max="12" width="10" bestFit="1" customWidth="1"/>
    <col min="23" max="23" width="9.5703125" bestFit="1" customWidth="1"/>
  </cols>
  <sheetData>
    <row r="1" spans="1:23">
      <c r="A1" t="s">
        <v>294</v>
      </c>
    </row>
    <row r="9" spans="1:23">
      <c r="W9" s="185"/>
    </row>
    <row r="11" spans="1:23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>
      <c r="S20">
        <f>16.16*15</f>
        <v>242.4</v>
      </c>
    </row>
    <row r="21" spans="16:22">
      <c r="S21">
        <f>S20/68</f>
        <v>3.5647058823529414</v>
      </c>
    </row>
    <row r="24" spans="16:22">
      <c r="P24">
        <v>0.45</v>
      </c>
      <c r="Q24">
        <f>0.4*0.45</f>
        <v>0.18000000000000002</v>
      </c>
    </row>
    <row r="25" spans="16:22">
      <c r="Q25">
        <f>0.45+0.18</f>
        <v>0.63</v>
      </c>
      <c r="S25">
        <f>560</f>
        <v>560</v>
      </c>
    </row>
    <row r="26" spans="16:22">
      <c r="S26">
        <f>S25/1.63</f>
        <v>343.55828220858899</v>
      </c>
    </row>
    <row r="27" spans="16:22">
      <c r="S27">
        <f>S26/13.3</f>
        <v>25.831449790119471</v>
      </c>
      <c r="V27">
        <f>700*8760</f>
        <v>6132000</v>
      </c>
    </row>
    <row r="28" spans="16:22">
      <c r="V28">
        <f>V27/365</f>
        <v>16800</v>
      </c>
    </row>
    <row r="29" spans="16:22">
      <c r="V29">
        <f>V28/24</f>
        <v>700</v>
      </c>
    </row>
    <row r="33" spans="17:17">
      <c r="Q33">
        <f>21+51+68+67-21+75+140</f>
        <v>401</v>
      </c>
    </row>
    <row r="34" spans="17:17">
      <c r="Q34">
        <f>Q33-70</f>
        <v>331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2"/>
  <dimension ref="A1:D9"/>
  <sheetViews>
    <sheetView workbookViewId="0">
      <selection activeCell="AO100" sqref="AO100"/>
    </sheetView>
  </sheetViews>
  <sheetFormatPr defaultRowHeight="15"/>
  <cols>
    <col min="4" max="4" width="131.42578125" bestFit="1" customWidth="1"/>
  </cols>
  <sheetData>
    <row r="1" spans="1:4">
      <c r="A1" s="186"/>
    </row>
    <row r="2" spans="1:4">
      <c r="D2" s="186"/>
    </row>
    <row r="3" spans="1:4">
      <c r="D3" s="187"/>
    </row>
    <row r="4" spans="1:4">
      <c r="D4" s="187"/>
    </row>
    <row r="5" spans="1:4">
      <c r="D5" s="188"/>
    </row>
    <row r="9" spans="1:4">
      <c r="D9" t="str">
        <f ca="1">"UTK (1986.5, 1982.6, 58 m3/s" &amp; IF(OFFSET($A$153, 0, HOUR(NOW()) + 1) &lt; 1900, ", Missing Level Data)", IF((((OFFSET($A$72, 0, HOUR(NOW()) + 1) / 6.96) - 58) &lt;= 0), IF(ROUND(((11153.85 * 3.9^2 + 300000 * 3.9) - (11153.85 * (OFFSET($A$153, 0, HOUR(NOW()) + 1) - 1982.6)^2 + 300000 * (OFFSET($A$153, 0, HOUR(NOW()) + 1) - 1982.6))) / ((58 - (OFFSET($A$72, 0, HOUR(NOW()) + 1) / 6.96)) * 3600), 2) &lt; 1, ", !!! CRITICAL FILL: ", ", Fill Time: ") &amp; ROUND(((11153.85 * 3.9^2 + 300000 * 3.9) - (11153.85 * (OFFSET($A$153, 0, HOUR(NOW()) + 1) - 1982.6)^2 + 300000 * (OFFSET($A$153, 0, HOUR(NOW()) + 1) - 1982.6))) / ((58 - (OFFSET($A$72, 0, HOUR(NOW()) + 1) / 6.96)) * 3600), 2) &amp; " Hrs", IF(ROUND(((11153.85 * (OFFSET($A$153, 0, HOUR(NOW()) + 1) - 1982.6)^2 + 300000 * (OFFSET($A$153, 0, HOUR(NOW()) + 1) - 1982.6))) / (((OFFSET($A$72, 0, HOUR(NOW()) + 1) / 6.96) - 58) * 3600), 2) &lt; 1, ", !!! CRITICAL DRAIN: ", ", Drain Time: ") &amp; ROUND(((11153.85 * (OFFSET($A$153, 0, HOUR(NOW()) + 1) - 1982.6)^2 + 300000 * (OFFSET($A$153, 0, HOUR(NOW()) + 1) - 1982.6))) / (((OFFSET($A$72, 0, HOUR(NOW()) + 1) / 6.96) - 58) * 3600), 2) &amp; " Hrs")) &amp; ")"</f>
        <v>UTK (1986.5, 1982.6, 58 m3/s, Missing Level Data))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15"/>
  <sheetViews>
    <sheetView workbookViewId="0">
      <pane ySplit="1" topLeftCell="A2" activePane="bottomLeft" state="frozen"/>
      <selection activeCell="AO100" sqref="AO100"/>
      <selection pane="bottomLeft" activeCell="I35" sqref="I35"/>
    </sheetView>
  </sheetViews>
  <sheetFormatPr defaultRowHeight="15"/>
  <cols>
    <col min="1" max="1" width="16" customWidth="1"/>
    <col min="19" max="19" width="8.85546875" customWidth="1"/>
    <col min="21" max="21" width="12.7109375" bestFit="1" customWidth="1"/>
    <col min="24" max="24" width="12.28515625" bestFit="1" customWidth="1"/>
    <col min="26" max="26" width="14.5703125" customWidth="1"/>
  </cols>
  <sheetData>
    <row r="1" spans="1:26" ht="26.25" customHeight="1">
      <c r="A1" s="196" t="s">
        <v>410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407</v>
      </c>
      <c r="S1" s="207" t="s">
        <v>408</v>
      </c>
      <c r="T1" s="194" t="s">
        <v>409</v>
      </c>
      <c r="U1" s="194" t="s">
        <v>397</v>
      </c>
      <c r="X1" s="212" t="s">
        <v>411</v>
      </c>
      <c r="Z1" s="212" t="s">
        <v>412</v>
      </c>
    </row>
    <row r="2" spans="1:26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193"/>
      <c r="R2" s="193"/>
      <c r="S2" s="193"/>
      <c r="T2" s="193"/>
      <c r="U2" s="193"/>
    </row>
    <row r="3" spans="1:26" ht="15.75">
      <c r="A3" s="195" t="s">
        <v>301</v>
      </c>
      <c r="B3" s="193"/>
      <c r="C3" s="193">
        <v>-65</v>
      </c>
      <c r="D3" s="193">
        <v>0</v>
      </c>
      <c r="E3" s="193"/>
      <c r="F3" s="193"/>
      <c r="G3" s="193"/>
      <c r="H3" s="193"/>
      <c r="I3" s="193"/>
      <c r="J3" s="193"/>
      <c r="K3" s="193">
        <v>-80</v>
      </c>
      <c r="L3" s="193"/>
      <c r="M3" s="193"/>
      <c r="N3" s="193"/>
      <c r="O3" s="193"/>
      <c r="P3" s="193"/>
      <c r="Q3" s="193">
        <f>SUM(B3:P3)</f>
        <v>-145</v>
      </c>
      <c r="R3" s="193"/>
      <c r="S3" s="193">
        <v>44</v>
      </c>
      <c r="T3" s="195">
        <v>-140</v>
      </c>
      <c r="U3" s="213">
        <f>SUM(Q3:T3)</f>
        <v>-241</v>
      </c>
      <c r="X3" s="211">
        <v>0</v>
      </c>
      <c r="Z3">
        <v>0</v>
      </c>
    </row>
    <row r="4" spans="1:26" ht="15.75">
      <c r="A4" s="195" t="s">
        <v>302</v>
      </c>
      <c r="B4" s="193"/>
      <c r="C4" s="193">
        <v>-65</v>
      </c>
      <c r="D4" s="193">
        <v>0</v>
      </c>
      <c r="E4" s="193"/>
      <c r="F4" s="193"/>
      <c r="G4" s="193"/>
      <c r="H4" s="193"/>
      <c r="I4" s="193"/>
      <c r="J4" s="193"/>
      <c r="K4" s="193">
        <v>-80</v>
      </c>
      <c r="L4" s="193"/>
      <c r="M4" s="193"/>
      <c r="N4" s="193"/>
      <c r="O4" s="193"/>
      <c r="P4" s="193"/>
      <c r="Q4" s="193">
        <f t="shared" ref="Q4:Q67" si="0">SUM(B4:P4)</f>
        <v>-145</v>
      </c>
      <c r="R4" s="193"/>
      <c r="S4" s="193">
        <v>44</v>
      </c>
      <c r="T4" s="195">
        <v>-140</v>
      </c>
      <c r="U4" s="213">
        <f t="shared" ref="U4:U67" si="1">SUM(Q4:T4)</f>
        <v>-241</v>
      </c>
      <c r="X4" s="211">
        <v>0</v>
      </c>
      <c r="Z4">
        <v>0</v>
      </c>
    </row>
    <row r="5" spans="1:26" ht="15.75">
      <c r="A5" s="195" t="s">
        <v>303</v>
      </c>
      <c r="B5" s="193"/>
      <c r="C5" s="193">
        <v>-65</v>
      </c>
      <c r="D5" s="193">
        <v>0</v>
      </c>
      <c r="E5" s="193"/>
      <c r="F5" s="193"/>
      <c r="G5" s="193"/>
      <c r="H5" s="193"/>
      <c r="I5" s="193"/>
      <c r="J5" s="193"/>
      <c r="K5" s="193">
        <v>-80</v>
      </c>
      <c r="L5" s="193"/>
      <c r="M5" s="193"/>
      <c r="N5" s="193"/>
      <c r="O5" s="193"/>
      <c r="P5" s="193"/>
      <c r="Q5" s="193">
        <f t="shared" si="0"/>
        <v>-145</v>
      </c>
      <c r="R5" s="193"/>
      <c r="S5" s="193">
        <v>44</v>
      </c>
      <c r="T5" s="195">
        <v>-140</v>
      </c>
      <c r="U5" s="213">
        <f t="shared" si="1"/>
        <v>-241</v>
      </c>
      <c r="X5" s="211">
        <v>0</v>
      </c>
      <c r="Z5">
        <v>0</v>
      </c>
    </row>
    <row r="6" spans="1:26" ht="15.75">
      <c r="A6" s="195" t="s">
        <v>304</v>
      </c>
      <c r="B6" s="193"/>
      <c r="C6" s="193">
        <v>-65</v>
      </c>
      <c r="D6" s="193">
        <v>0</v>
      </c>
      <c r="E6" s="193"/>
      <c r="F6" s="193"/>
      <c r="G6" s="193"/>
      <c r="H6" s="193"/>
      <c r="I6" s="193"/>
      <c r="J6" s="193"/>
      <c r="K6" s="193">
        <v>-80</v>
      </c>
      <c r="L6" s="193"/>
      <c r="M6" s="193"/>
      <c r="N6" s="193"/>
      <c r="O6" s="193"/>
      <c r="P6" s="193"/>
      <c r="Q6" s="193">
        <f t="shared" si="0"/>
        <v>-145</v>
      </c>
      <c r="R6" s="193"/>
      <c r="S6" s="193">
        <v>44</v>
      </c>
      <c r="T6" s="195">
        <v>-140</v>
      </c>
      <c r="U6" s="213">
        <f t="shared" si="1"/>
        <v>-241</v>
      </c>
      <c r="X6" s="211">
        <v>0</v>
      </c>
      <c r="Z6">
        <v>0</v>
      </c>
    </row>
    <row r="7" spans="1:26" ht="15.75">
      <c r="A7" s="195" t="s">
        <v>305</v>
      </c>
      <c r="B7" s="193"/>
      <c r="C7" s="193">
        <v>-65</v>
      </c>
      <c r="D7" s="193">
        <v>0</v>
      </c>
      <c r="E7" s="193"/>
      <c r="F7" s="193"/>
      <c r="G7" s="193"/>
      <c r="H7" s="193"/>
      <c r="I7" s="193"/>
      <c r="J7" s="193"/>
      <c r="K7" s="193">
        <v>-80</v>
      </c>
      <c r="L7" s="193"/>
      <c r="M7" s="193"/>
      <c r="N7" s="193"/>
      <c r="O7" s="193"/>
      <c r="P7" s="193"/>
      <c r="Q7" s="193">
        <f t="shared" si="0"/>
        <v>-145</v>
      </c>
      <c r="R7" s="193"/>
      <c r="S7" s="193">
        <v>44</v>
      </c>
      <c r="T7" s="195">
        <v>-140</v>
      </c>
      <c r="U7" s="213">
        <f t="shared" si="1"/>
        <v>-241</v>
      </c>
      <c r="X7" s="211">
        <v>0</v>
      </c>
      <c r="Z7">
        <v>0</v>
      </c>
    </row>
    <row r="8" spans="1:26" ht="15.75">
      <c r="A8" s="195" t="s">
        <v>306</v>
      </c>
      <c r="B8" s="193"/>
      <c r="C8" s="193">
        <v>-65</v>
      </c>
      <c r="D8" s="193">
        <v>0</v>
      </c>
      <c r="E8" s="193"/>
      <c r="F8" s="193"/>
      <c r="G8" s="193"/>
      <c r="H8" s="193"/>
      <c r="I8" s="193"/>
      <c r="J8" s="193"/>
      <c r="K8" s="193">
        <v>-80</v>
      </c>
      <c r="L8" s="193"/>
      <c r="M8" s="193"/>
      <c r="N8" s="193"/>
      <c r="O8" s="193"/>
      <c r="P8" s="193"/>
      <c r="Q8" s="193">
        <f t="shared" si="0"/>
        <v>-145</v>
      </c>
      <c r="R8" s="193"/>
      <c r="S8" s="193">
        <v>44</v>
      </c>
      <c r="T8" s="195">
        <v>-140</v>
      </c>
      <c r="U8" s="213">
        <f t="shared" si="1"/>
        <v>-241</v>
      </c>
      <c r="X8" s="211">
        <v>0</v>
      </c>
      <c r="Z8">
        <v>0</v>
      </c>
    </row>
    <row r="9" spans="1:26" ht="15.75">
      <c r="A9" s="195" t="s">
        <v>307</v>
      </c>
      <c r="B9" s="193"/>
      <c r="C9" s="193">
        <v>-65</v>
      </c>
      <c r="D9" s="193">
        <v>0</v>
      </c>
      <c r="E9" s="193"/>
      <c r="F9" s="193"/>
      <c r="G9" s="193"/>
      <c r="H9" s="193"/>
      <c r="I9" s="193"/>
      <c r="J9" s="193"/>
      <c r="K9" s="193">
        <v>-80</v>
      </c>
      <c r="L9" s="193"/>
      <c r="M9" s="193"/>
      <c r="N9" s="193"/>
      <c r="O9" s="193"/>
      <c r="P9" s="193"/>
      <c r="Q9" s="193">
        <f t="shared" si="0"/>
        <v>-145</v>
      </c>
      <c r="R9" s="193"/>
      <c r="S9" s="193">
        <v>44</v>
      </c>
      <c r="T9" s="195">
        <v>-140</v>
      </c>
      <c r="U9" s="213">
        <f t="shared" si="1"/>
        <v>-241</v>
      </c>
      <c r="X9" s="211">
        <v>0</v>
      </c>
      <c r="Z9">
        <v>0</v>
      </c>
    </row>
    <row r="10" spans="1:26" ht="15.75">
      <c r="A10" s="195" t="s">
        <v>308</v>
      </c>
      <c r="B10" s="193"/>
      <c r="C10" s="193">
        <v>-65</v>
      </c>
      <c r="D10" s="193">
        <v>0</v>
      </c>
      <c r="E10" s="193"/>
      <c r="F10" s="193"/>
      <c r="G10" s="193"/>
      <c r="H10" s="193"/>
      <c r="I10" s="193"/>
      <c r="J10" s="193"/>
      <c r="K10" s="193">
        <v>-80</v>
      </c>
      <c r="L10" s="193"/>
      <c r="M10" s="193"/>
      <c r="N10" s="193"/>
      <c r="O10" s="193"/>
      <c r="P10" s="193"/>
      <c r="Q10" s="193">
        <f t="shared" si="0"/>
        <v>-145</v>
      </c>
      <c r="R10" s="193"/>
      <c r="S10" s="193">
        <v>44</v>
      </c>
      <c r="T10" s="195">
        <v>-140</v>
      </c>
      <c r="U10" s="213">
        <f t="shared" si="1"/>
        <v>-241</v>
      </c>
      <c r="X10" s="211">
        <v>0</v>
      </c>
      <c r="Z10">
        <v>0</v>
      </c>
    </row>
    <row r="11" spans="1:26" ht="15.75">
      <c r="A11" s="195" t="s">
        <v>309</v>
      </c>
      <c r="B11" s="193"/>
      <c r="C11" s="193">
        <v>-65</v>
      </c>
      <c r="D11" s="193">
        <v>0</v>
      </c>
      <c r="E11" s="193"/>
      <c r="F11" s="193"/>
      <c r="G11" s="193"/>
      <c r="H11" s="193"/>
      <c r="I11" s="193"/>
      <c r="J11" s="193"/>
      <c r="K11" s="193">
        <v>-80</v>
      </c>
      <c r="L11" s="193"/>
      <c r="M11" s="193"/>
      <c r="N11" s="193"/>
      <c r="O11" s="193"/>
      <c r="P11" s="193"/>
      <c r="Q11" s="193">
        <f t="shared" si="0"/>
        <v>-145</v>
      </c>
      <c r="R11" s="193"/>
      <c r="S11" s="193">
        <v>44</v>
      </c>
      <c r="T11" s="195">
        <v>-140</v>
      </c>
      <c r="U11" s="213">
        <f t="shared" si="1"/>
        <v>-241</v>
      </c>
      <c r="X11" s="211">
        <v>0</v>
      </c>
      <c r="Z11">
        <v>0</v>
      </c>
    </row>
    <row r="12" spans="1:26" ht="15.75">
      <c r="A12" s="195" t="s">
        <v>310</v>
      </c>
      <c r="B12" s="193"/>
      <c r="C12" s="193">
        <v>-65</v>
      </c>
      <c r="D12" s="193">
        <v>0</v>
      </c>
      <c r="E12" s="193"/>
      <c r="F12" s="193"/>
      <c r="G12" s="193"/>
      <c r="H12" s="193"/>
      <c r="I12" s="193"/>
      <c r="J12" s="193"/>
      <c r="K12" s="193">
        <v>-80</v>
      </c>
      <c r="L12" s="193"/>
      <c r="M12" s="193"/>
      <c r="N12" s="193"/>
      <c r="O12" s="193"/>
      <c r="P12" s="193"/>
      <c r="Q12" s="193">
        <f t="shared" si="0"/>
        <v>-145</v>
      </c>
      <c r="R12" s="193"/>
      <c r="S12" s="193">
        <v>44</v>
      </c>
      <c r="T12" s="195">
        <v>-140</v>
      </c>
      <c r="U12" s="213">
        <f t="shared" si="1"/>
        <v>-241</v>
      </c>
      <c r="X12" s="211">
        <v>0</v>
      </c>
      <c r="Z12">
        <v>0</v>
      </c>
    </row>
    <row r="13" spans="1:26" ht="15.75">
      <c r="A13" s="195" t="s">
        <v>311</v>
      </c>
      <c r="B13" s="193"/>
      <c r="C13" s="193">
        <v>-65</v>
      </c>
      <c r="D13" s="193">
        <v>0</v>
      </c>
      <c r="E13" s="193"/>
      <c r="F13" s="193"/>
      <c r="G13" s="193"/>
      <c r="H13" s="193"/>
      <c r="I13" s="193"/>
      <c r="J13" s="193"/>
      <c r="K13" s="193">
        <v>-80</v>
      </c>
      <c r="L13" s="193"/>
      <c r="M13" s="193"/>
      <c r="N13" s="193"/>
      <c r="O13" s="193"/>
      <c r="P13" s="193"/>
      <c r="Q13" s="193">
        <f t="shared" si="0"/>
        <v>-145</v>
      </c>
      <c r="R13" s="193"/>
      <c r="S13" s="193">
        <v>44</v>
      </c>
      <c r="T13" s="195">
        <v>-140</v>
      </c>
      <c r="U13" s="213">
        <f t="shared" si="1"/>
        <v>-241</v>
      </c>
      <c r="X13" s="211">
        <v>0</v>
      </c>
      <c r="Z13">
        <v>0</v>
      </c>
    </row>
    <row r="14" spans="1:26" ht="15.75">
      <c r="A14" s="195" t="s">
        <v>312</v>
      </c>
      <c r="B14" s="193"/>
      <c r="C14" s="193">
        <v>-65</v>
      </c>
      <c r="D14" s="193">
        <v>0</v>
      </c>
      <c r="E14" s="193"/>
      <c r="F14" s="193"/>
      <c r="G14" s="193"/>
      <c r="H14" s="193"/>
      <c r="I14" s="193"/>
      <c r="J14" s="193"/>
      <c r="K14" s="193">
        <v>-80</v>
      </c>
      <c r="L14" s="193"/>
      <c r="M14" s="193"/>
      <c r="N14" s="193"/>
      <c r="O14" s="193"/>
      <c r="P14" s="193"/>
      <c r="Q14" s="193">
        <f t="shared" si="0"/>
        <v>-145</v>
      </c>
      <c r="R14" s="193"/>
      <c r="S14" s="193">
        <v>44</v>
      </c>
      <c r="T14" s="195">
        <v>-140</v>
      </c>
      <c r="U14" s="213">
        <f t="shared" si="1"/>
        <v>-241</v>
      </c>
      <c r="X14" s="211">
        <v>0</v>
      </c>
      <c r="Z14">
        <v>0</v>
      </c>
    </row>
    <row r="15" spans="1:26" s="198" customFormat="1" ht="15.75">
      <c r="A15" s="214" t="s">
        <v>313</v>
      </c>
      <c r="B15" s="197">
        <v>-140</v>
      </c>
      <c r="C15" s="197">
        <v>-65</v>
      </c>
      <c r="D15" s="197">
        <v>0</v>
      </c>
      <c r="E15" s="197"/>
      <c r="F15" s="197"/>
      <c r="G15" s="197"/>
      <c r="H15" s="197"/>
      <c r="I15" s="197"/>
      <c r="J15" s="197"/>
      <c r="K15" s="197">
        <v>-80</v>
      </c>
      <c r="L15" s="197"/>
      <c r="M15" s="197"/>
      <c r="N15" s="197"/>
      <c r="O15" s="197"/>
      <c r="P15" s="197"/>
      <c r="Q15" s="197">
        <f t="shared" si="0"/>
        <v>-285</v>
      </c>
      <c r="R15" s="197"/>
      <c r="S15" s="193">
        <v>44</v>
      </c>
      <c r="T15" s="214">
        <v>0</v>
      </c>
      <c r="U15" s="215">
        <f t="shared" si="1"/>
        <v>-241</v>
      </c>
      <c r="X15" s="216">
        <v>0</v>
      </c>
      <c r="Z15" s="198">
        <v>0</v>
      </c>
    </row>
    <row r="16" spans="1:26" ht="15.75">
      <c r="A16" s="195" t="s">
        <v>314</v>
      </c>
      <c r="B16" s="193">
        <v>-140</v>
      </c>
      <c r="C16" s="193">
        <v>-65</v>
      </c>
      <c r="D16" s="193">
        <v>0</v>
      </c>
      <c r="E16" s="193"/>
      <c r="F16" s="193"/>
      <c r="G16" s="193"/>
      <c r="H16" s="193"/>
      <c r="I16" s="193"/>
      <c r="J16" s="193"/>
      <c r="K16" s="193">
        <v>-80</v>
      </c>
      <c r="L16" s="193"/>
      <c r="M16" s="193"/>
      <c r="N16" s="193"/>
      <c r="O16" s="193"/>
      <c r="P16" s="193"/>
      <c r="Q16" s="193">
        <f t="shared" si="0"/>
        <v>-285</v>
      </c>
      <c r="R16" s="193"/>
      <c r="S16" s="193">
        <v>44</v>
      </c>
      <c r="T16" s="195">
        <v>0</v>
      </c>
      <c r="U16" s="213">
        <f t="shared" si="1"/>
        <v>-241</v>
      </c>
      <c r="X16" s="211">
        <v>0</v>
      </c>
      <c r="Z16">
        <v>0</v>
      </c>
    </row>
    <row r="17" spans="1:26" ht="15.75">
      <c r="A17" s="195" t="s">
        <v>315</v>
      </c>
      <c r="B17" s="193">
        <v>-140</v>
      </c>
      <c r="C17" s="193">
        <v>-65</v>
      </c>
      <c r="D17" s="193">
        <v>0</v>
      </c>
      <c r="E17" s="193"/>
      <c r="F17" s="193"/>
      <c r="G17" s="193"/>
      <c r="H17" s="193"/>
      <c r="I17" s="193"/>
      <c r="J17" s="193"/>
      <c r="K17" s="193">
        <v>-80</v>
      </c>
      <c r="L17" s="193"/>
      <c r="M17" s="193"/>
      <c r="N17" s="193"/>
      <c r="O17" s="193"/>
      <c r="P17" s="193"/>
      <c r="Q17" s="193">
        <f t="shared" si="0"/>
        <v>-285</v>
      </c>
      <c r="R17" s="193"/>
      <c r="S17" s="193">
        <v>44</v>
      </c>
      <c r="T17" s="195">
        <v>0</v>
      </c>
      <c r="U17" s="213">
        <f t="shared" si="1"/>
        <v>-241</v>
      </c>
      <c r="X17" s="211">
        <v>0</v>
      </c>
      <c r="Z17">
        <v>0</v>
      </c>
    </row>
    <row r="18" spans="1:26" ht="15.75">
      <c r="A18" s="195" t="s">
        <v>316</v>
      </c>
      <c r="B18" s="193">
        <v>-140</v>
      </c>
      <c r="C18" s="193">
        <v>-65</v>
      </c>
      <c r="D18" s="193">
        <v>0</v>
      </c>
      <c r="E18" s="193"/>
      <c r="F18" s="193"/>
      <c r="G18" s="193"/>
      <c r="H18" s="193"/>
      <c r="I18" s="193"/>
      <c r="J18" s="193"/>
      <c r="K18" s="193">
        <v>-80</v>
      </c>
      <c r="L18" s="193"/>
      <c r="M18" s="193"/>
      <c r="N18" s="193"/>
      <c r="O18" s="193"/>
      <c r="P18" s="193"/>
      <c r="Q18" s="193">
        <f t="shared" si="0"/>
        <v>-285</v>
      </c>
      <c r="R18" s="193"/>
      <c r="S18" s="193">
        <v>44</v>
      </c>
      <c r="T18" s="195">
        <v>0</v>
      </c>
      <c r="U18" s="213">
        <f t="shared" si="1"/>
        <v>-241</v>
      </c>
      <c r="X18" s="211">
        <v>0</v>
      </c>
      <c r="Z18">
        <v>0</v>
      </c>
    </row>
    <row r="19" spans="1:26" ht="15.75">
      <c r="A19" s="214" t="s">
        <v>317</v>
      </c>
      <c r="B19" s="197">
        <v>-140</v>
      </c>
      <c r="C19" s="197">
        <v>-65</v>
      </c>
      <c r="D19" s="197">
        <v>0</v>
      </c>
      <c r="E19" s="197"/>
      <c r="F19" s="197"/>
      <c r="G19" s="197">
        <v>0</v>
      </c>
      <c r="H19" s="197"/>
      <c r="I19" s="197"/>
      <c r="J19" s="197"/>
      <c r="K19" s="197">
        <v>-80</v>
      </c>
      <c r="L19" s="197"/>
      <c r="M19" s="197"/>
      <c r="N19" s="197"/>
      <c r="O19" s="197"/>
      <c r="P19" s="197"/>
      <c r="Q19" s="197">
        <f t="shared" si="0"/>
        <v>-285</v>
      </c>
      <c r="R19" s="197"/>
      <c r="S19" s="193">
        <v>44</v>
      </c>
      <c r="T19" s="214">
        <v>0</v>
      </c>
      <c r="U19" s="215">
        <f t="shared" si="1"/>
        <v>-241</v>
      </c>
      <c r="V19" s="198"/>
      <c r="W19" s="198"/>
      <c r="X19" s="216">
        <v>50</v>
      </c>
      <c r="Y19" s="198"/>
      <c r="Z19" s="198">
        <v>30</v>
      </c>
    </row>
    <row r="20" spans="1:26" ht="15.75">
      <c r="A20" s="195" t="s">
        <v>318</v>
      </c>
      <c r="B20" s="193">
        <v>-140</v>
      </c>
      <c r="C20" s="193">
        <v>-65</v>
      </c>
      <c r="D20" s="193">
        <v>0</v>
      </c>
      <c r="E20" s="193"/>
      <c r="F20" s="193"/>
      <c r="G20" s="193">
        <v>0</v>
      </c>
      <c r="H20" s="193"/>
      <c r="I20" s="193"/>
      <c r="J20" s="193"/>
      <c r="K20" s="193">
        <v>-80</v>
      </c>
      <c r="L20" s="193"/>
      <c r="M20" s="193"/>
      <c r="N20" s="193"/>
      <c r="O20" s="193"/>
      <c r="P20" s="193"/>
      <c r="Q20" s="193">
        <f>SUM(B20:P20)</f>
        <v>-285</v>
      </c>
      <c r="R20" s="193"/>
      <c r="S20" s="193">
        <v>44</v>
      </c>
      <c r="T20" s="195">
        <v>0</v>
      </c>
      <c r="U20" s="213">
        <f t="shared" si="1"/>
        <v>-241</v>
      </c>
      <c r="X20" s="211">
        <v>50</v>
      </c>
      <c r="Z20">
        <v>30</v>
      </c>
    </row>
    <row r="21" spans="1:26" ht="15.75">
      <c r="A21" s="195" t="s">
        <v>319</v>
      </c>
      <c r="B21" s="193">
        <v>-140</v>
      </c>
      <c r="C21" s="193">
        <v>-65</v>
      </c>
      <c r="D21" s="193">
        <v>0</v>
      </c>
      <c r="E21" s="193"/>
      <c r="F21" s="193"/>
      <c r="G21" s="193">
        <v>0</v>
      </c>
      <c r="H21" s="193"/>
      <c r="I21" s="193"/>
      <c r="J21" s="193"/>
      <c r="K21" s="193">
        <v>-80</v>
      </c>
      <c r="L21" s="193"/>
      <c r="M21" s="193"/>
      <c r="N21" s="193"/>
      <c r="O21" s="193"/>
      <c r="P21" s="193"/>
      <c r="Q21" s="193">
        <f t="shared" si="0"/>
        <v>-285</v>
      </c>
      <c r="R21" s="193"/>
      <c r="S21" s="193">
        <v>44</v>
      </c>
      <c r="T21" s="195">
        <v>0</v>
      </c>
      <c r="U21" s="213">
        <f t="shared" si="1"/>
        <v>-241</v>
      </c>
      <c r="X21" s="211">
        <v>50</v>
      </c>
      <c r="Z21">
        <v>30</v>
      </c>
    </row>
    <row r="22" spans="1:26" ht="15.75">
      <c r="A22" s="195" t="s">
        <v>320</v>
      </c>
      <c r="B22" s="193">
        <v>-140</v>
      </c>
      <c r="C22" s="193">
        <v>-65</v>
      </c>
      <c r="D22" s="193">
        <v>0</v>
      </c>
      <c r="E22" s="193"/>
      <c r="F22" s="193"/>
      <c r="G22" s="193">
        <v>0</v>
      </c>
      <c r="H22" s="193"/>
      <c r="I22" s="193"/>
      <c r="J22" s="193"/>
      <c r="K22" s="193">
        <v>-80</v>
      </c>
      <c r="L22" s="193"/>
      <c r="M22" s="193"/>
      <c r="N22" s="193"/>
      <c r="O22" s="193"/>
      <c r="P22" s="193"/>
      <c r="Q22" s="193">
        <f t="shared" si="0"/>
        <v>-285</v>
      </c>
      <c r="R22" s="193"/>
      <c r="S22" s="193">
        <v>44</v>
      </c>
      <c r="T22" s="195">
        <v>0</v>
      </c>
      <c r="U22" s="213">
        <f t="shared" si="1"/>
        <v>-241</v>
      </c>
      <c r="X22" s="211">
        <v>50</v>
      </c>
      <c r="Z22">
        <v>32</v>
      </c>
    </row>
    <row r="23" spans="1:26" ht="15.75">
      <c r="A23" s="195" t="s">
        <v>321</v>
      </c>
      <c r="B23" s="193">
        <v>-140</v>
      </c>
      <c r="C23" s="193">
        <v>-65</v>
      </c>
      <c r="D23" s="193">
        <v>0</v>
      </c>
      <c r="E23" s="193"/>
      <c r="F23" s="193"/>
      <c r="G23" s="193">
        <v>0</v>
      </c>
      <c r="H23" s="193"/>
      <c r="I23" s="193"/>
      <c r="J23" s="193"/>
      <c r="K23" s="193">
        <v>-80</v>
      </c>
      <c r="L23" s="193"/>
      <c r="M23" s="193"/>
      <c r="N23" s="193"/>
      <c r="O23" s="193"/>
      <c r="P23" s="193"/>
      <c r="Q23" s="193">
        <f t="shared" si="0"/>
        <v>-285</v>
      </c>
      <c r="R23" s="193"/>
      <c r="S23" s="193">
        <v>70.510000000000005</v>
      </c>
      <c r="T23" s="195">
        <v>0</v>
      </c>
      <c r="U23" s="213">
        <f>SUM(Q23:T23)</f>
        <v>-214.49</v>
      </c>
      <c r="X23" s="211">
        <v>50</v>
      </c>
      <c r="Z23">
        <v>33</v>
      </c>
    </row>
    <row r="24" spans="1:26" ht="15.75">
      <c r="A24" s="195" t="s">
        <v>322</v>
      </c>
      <c r="B24" s="193">
        <v>-140</v>
      </c>
      <c r="C24" s="193">
        <v>-65</v>
      </c>
      <c r="D24" s="193">
        <v>0</v>
      </c>
      <c r="E24" s="193"/>
      <c r="F24" s="193"/>
      <c r="G24" s="193">
        <v>0</v>
      </c>
      <c r="H24" s="193"/>
      <c r="I24" s="193"/>
      <c r="J24" s="193"/>
      <c r="K24" s="193">
        <v>-80</v>
      </c>
      <c r="L24" s="193"/>
      <c r="M24" s="193"/>
      <c r="N24" s="193"/>
      <c r="O24" s="193"/>
      <c r="P24" s="193"/>
      <c r="Q24" s="193">
        <f t="shared" si="0"/>
        <v>-285</v>
      </c>
      <c r="R24" s="193"/>
      <c r="S24" s="193">
        <v>70.510000000000005</v>
      </c>
      <c r="T24" s="195">
        <v>0</v>
      </c>
      <c r="U24" s="213">
        <f t="shared" si="1"/>
        <v>-214.49</v>
      </c>
      <c r="X24" s="211">
        <v>50</v>
      </c>
      <c r="Z24">
        <v>35</v>
      </c>
    </row>
    <row r="25" spans="1:26" ht="15.75">
      <c r="A25" s="195" t="s">
        <v>323</v>
      </c>
      <c r="B25" s="193">
        <v>-140</v>
      </c>
      <c r="C25" s="193">
        <v>-65</v>
      </c>
      <c r="D25" s="193">
        <v>0</v>
      </c>
      <c r="E25" s="193"/>
      <c r="F25" s="193"/>
      <c r="G25" s="193">
        <v>0</v>
      </c>
      <c r="H25" s="193"/>
      <c r="I25" s="193"/>
      <c r="J25" s="193"/>
      <c r="K25" s="193">
        <v>-80</v>
      </c>
      <c r="L25" s="193"/>
      <c r="M25" s="193"/>
      <c r="N25" s="193"/>
      <c r="O25" s="193"/>
      <c r="P25" s="193"/>
      <c r="Q25" s="193">
        <f t="shared" si="0"/>
        <v>-285</v>
      </c>
      <c r="R25" s="193"/>
      <c r="S25" s="193">
        <v>70.510000000000005</v>
      </c>
      <c r="T25" s="195">
        <v>0</v>
      </c>
      <c r="U25" s="213">
        <f t="shared" si="1"/>
        <v>-214.49</v>
      </c>
      <c r="X25" s="211">
        <v>50</v>
      </c>
      <c r="Z25">
        <v>35</v>
      </c>
    </row>
    <row r="26" spans="1:26" ht="15.75">
      <c r="A26" s="195" t="s">
        <v>324</v>
      </c>
      <c r="B26" s="193">
        <v>-140</v>
      </c>
      <c r="C26" s="193">
        <v>-65</v>
      </c>
      <c r="D26" s="193">
        <v>0</v>
      </c>
      <c r="E26" s="193"/>
      <c r="F26" s="193"/>
      <c r="G26" s="193">
        <v>0</v>
      </c>
      <c r="H26" s="193"/>
      <c r="I26" s="193"/>
      <c r="J26" s="193"/>
      <c r="K26" s="193">
        <v>-80</v>
      </c>
      <c r="L26" s="193"/>
      <c r="M26" s="193"/>
      <c r="N26" s="193"/>
      <c r="O26" s="193"/>
      <c r="P26" s="193"/>
      <c r="Q26" s="193">
        <f t="shared" si="0"/>
        <v>-285</v>
      </c>
      <c r="R26" s="193"/>
      <c r="S26" s="193">
        <v>70.510000000000005</v>
      </c>
      <c r="T26" s="195">
        <v>0</v>
      </c>
      <c r="U26" s="213">
        <f t="shared" si="1"/>
        <v>-214.49</v>
      </c>
      <c r="X26" s="211">
        <v>50</v>
      </c>
      <c r="Z26">
        <v>35</v>
      </c>
    </row>
    <row r="27" spans="1:26" ht="15.75">
      <c r="A27" s="195" t="s">
        <v>325</v>
      </c>
      <c r="B27" s="193">
        <v>-140</v>
      </c>
      <c r="C27" s="193">
        <v>-65</v>
      </c>
      <c r="D27" s="193">
        <v>0</v>
      </c>
      <c r="E27" s="193"/>
      <c r="F27" s="193"/>
      <c r="G27" s="193">
        <v>0</v>
      </c>
      <c r="H27" s="193"/>
      <c r="I27" s="193"/>
      <c r="J27" s="193"/>
      <c r="K27" s="193">
        <v>-80</v>
      </c>
      <c r="L27" s="193"/>
      <c r="M27" s="193"/>
      <c r="N27" s="193"/>
      <c r="O27" s="193"/>
      <c r="P27" s="193"/>
      <c r="Q27" s="193">
        <f t="shared" si="0"/>
        <v>-285</v>
      </c>
      <c r="R27" s="193"/>
      <c r="S27" s="193">
        <v>70.510000000000005</v>
      </c>
      <c r="T27" s="195">
        <v>0</v>
      </c>
      <c r="U27" s="213">
        <f t="shared" si="1"/>
        <v>-214.49</v>
      </c>
      <c r="X27" s="211">
        <v>50</v>
      </c>
      <c r="Z27">
        <v>35</v>
      </c>
    </row>
    <row r="28" spans="1:26" ht="15.75">
      <c r="A28" s="195" t="s">
        <v>326</v>
      </c>
      <c r="B28" s="193">
        <v>-140</v>
      </c>
      <c r="C28" s="193">
        <v>-65</v>
      </c>
      <c r="D28" s="193">
        <v>0</v>
      </c>
      <c r="E28" s="193"/>
      <c r="F28" s="193"/>
      <c r="G28" s="193">
        <v>0</v>
      </c>
      <c r="H28" s="193"/>
      <c r="I28" s="193"/>
      <c r="J28" s="193"/>
      <c r="K28" s="193">
        <v>-80</v>
      </c>
      <c r="L28" s="193"/>
      <c r="M28" s="193"/>
      <c r="N28" s="193"/>
      <c r="O28" s="193"/>
      <c r="P28" s="193"/>
      <c r="Q28" s="193">
        <f t="shared" si="0"/>
        <v>-285</v>
      </c>
      <c r="R28" s="193"/>
      <c r="S28" s="193">
        <v>70.510000000000005</v>
      </c>
      <c r="T28" s="195">
        <v>0</v>
      </c>
      <c r="U28" s="213">
        <f t="shared" si="1"/>
        <v>-214.49</v>
      </c>
      <c r="X28" s="211">
        <v>50</v>
      </c>
      <c r="Z28">
        <v>35</v>
      </c>
    </row>
    <row r="29" spans="1:26" ht="15.75">
      <c r="A29" s="195" t="s">
        <v>327</v>
      </c>
      <c r="B29" s="193">
        <v>-140</v>
      </c>
      <c r="C29" s="193">
        <v>-65</v>
      </c>
      <c r="D29" s="193">
        <v>0</v>
      </c>
      <c r="E29" s="193"/>
      <c r="F29" s="193"/>
      <c r="G29" s="193"/>
      <c r="H29" s="193"/>
      <c r="I29" s="193"/>
      <c r="J29" s="193"/>
      <c r="K29" s="193">
        <v>-80</v>
      </c>
      <c r="L29" s="193"/>
      <c r="M29" s="193"/>
      <c r="N29" s="193"/>
      <c r="O29" s="193"/>
      <c r="P29" s="193"/>
      <c r="Q29" s="193">
        <f t="shared" si="0"/>
        <v>-285</v>
      </c>
      <c r="R29" s="193"/>
      <c r="S29" s="193">
        <v>70.510000000000005</v>
      </c>
      <c r="T29" s="195">
        <v>0</v>
      </c>
      <c r="U29" s="213">
        <f t="shared" si="1"/>
        <v>-214.49</v>
      </c>
      <c r="X29" s="211">
        <v>50</v>
      </c>
      <c r="Z29">
        <v>35</v>
      </c>
    </row>
    <row r="30" spans="1:26" ht="15.75">
      <c r="A30" s="195" t="s">
        <v>328</v>
      </c>
      <c r="B30" s="193">
        <v>-140</v>
      </c>
      <c r="C30" s="193">
        <v>-65</v>
      </c>
      <c r="D30" s="193">
        <v>0</v>
      </c>
      <c r="E30" s="193"/>
      <c r="F30" s="193"/>
      <c r="G30" s="193"/>
      <c r="H30" s="193"/>
      <c r="I30" s="193"/>
      <c r="J30" s="193"/>
      <c r="K30" s="193">
        <v>-80</v>
      </c>
      <c r="L30" s="193"/>
      <c r="M30" s="193"/>
      <c r="N30" s="193"/>
      <c r="O30" s="193"/>
      <c r="P30" s="193"/>
      <c r="Q30" s="193">
        <f t="shared" si="0"/>
        <v>-285</v>
      </c>
      <c r="R30" s="193"/>
      <c r="S30" s="193">
        <v>70.510000000000005</v>
      </c>
      <c r="T30" s="195">
        <v>0</v>
      </c>
      <c r="U30" s="213">
        <f t="shared" si="1"/>
        <v>-214.49</v>
      </c>
      <c r="X30" s="211">
        <v>50</v>
      </c>
      <c r="Z30">
        <v>35</v>
      </c>
    </row>
    <row r="31" spans="1:26" ht="15.75">
      <c r="A31" s="195" t="s">
        <v>329</v>
      </c>
      <c r="B31" s="193">
        <v>-140</v>
      </c>
      <c r="C31" s="193">
        <v>-65</v>
      </c>
      <c r="D31" s="193">
        <v>0</v>
      </c>
      <c r="E31" s="193"/>
      <c r="F31" s="193"/>
      <c r="G31" s="193"/>
      <c r="H31" s="193"/>
      <c r="I31" s="193"/>
      <c r="J31" s="193"/>
      <c r="K31" s="193">
        <v>-80</v>
      </c>
      <c r="L31" s="193">
        <v>-50</v>
      </c>
      <c r="M31" s="193"/>
      <c r="N31" s="193"/>
      <c r="O31" s="193"/>
      <c r="P31" s="193"/>
      <c r="Q31" s="193">
        <f t="shared" si="0"/>
        <v>-335</v>
      </c>
      <c r="R31" s="193"/>
      <c r="S31" s="193">
        <v>70.510000000000005</v>
      </c>
      <c r="T31" s="195">
        <v>0</v>
      </c>
      <c r="U31" s="213">
        <f t="shared" si="1"/>
        <v>-264.49</v>
      </c>
      <c r="X31" s="211">
        <v>50</v>
      </c>
      <c r="Z31">
        <v>40</v>
      </c>
    </row>
    <row r="32" spans="1:26" ht="15.75">
      <c r="A32" s="195" t="s">
        <v>330</v>
      </c>
      <c r="B32" s="193">
        <v>-140</v>
      </c>
      <c r="C32" s="193">
        <v>-65</v>
      </c>
      <c r="D32" s="193">
        <v>0</v>
      </c>
      <c r="E32" s="193"/>
      <c r="F32" s="193"/>
      <c r="G32" s="193"/>
      <c r="H32" s="193"/>
      <c r="I32" s="193"/>
      <c r="J32" s="193"/>
      <c r="K32" s="193">
        <v>-80</v>
      </c>
      <c r="L32" s="193">
        <v>-50</v>
      </c>
      <c r="M32" s="193"/>
      <c r="N32" s="193"/>
      <c r="O32" s="193"/>
      <c r="P32" s="193"/>
      <c r="Q32" s="193">
        <f t="shared" si="0"/>
        <v>-335</v>
      </c>
      <c r="R32" s="193"/>
      <c r="S32" s="193">
        <v>70.510000000000005</v>
      </c>
      <c r="T32" s="195">
        <v>0</v>
      </c>
      <c r="U32" s="213">
        <f t="shared" si="1"/>
        <v>-264.49</v>
      </c>
      <c r="X32" s="211">
        <v>50</v>
      </c>
      <c r="Z32">
        <v>40</v>
      </c>
    </row>
    <row r="33" spans="1:26" ht="15.75">
      <c r="A33" s="195" t="s">
        <v>331</v>
      </c>
      <c r="B33" s="193">
        <v>-140</v>
      </c>
      <c r="C33" s="193">
        <v>-65</v>
      </c>
      <c r="D33" s="193">
        <v>0</v>
      </c>
      <c r="E33" s="193"/>
      <c r="F33" s="193"/>
      <c r="G33" s="193"/>
      <c r="H33" s="193"/>
      <c r="I33" s="193"/>
      <c r="J33" s="193"/>
      <c r="K33" s="193">
        <v>-80</v>
      </c>
      <c r="L33" s="193">
        <v>-50</v>
      </c>
      <c r="M33" s="193"/>
      <c r="N33" s="193"/>
      <c r="O33" s="193"/>
      <c r="P33" s="193"/>
      <c r="Q33" s="193">
        <f t="shared" si="0"/>
        <v>-335</v>
      </c>
      <c r="R33" s="193"/>
      <c r="S33" s="193">
        <v>70.510000000000005</v>
      </c>
      <c r="T33" s="195">
        <v>0</v>
      </c>
      <c r="U33" s="213">
        <f t="shared" si="1"/>
        <v>-264.49</v>
      </c>
      <c r="X33" s="211">
        <v>50</v>
      </c>
      <c r="Z33">
        <v>40</v>
      </c>
    </row>
    <row r="34" spans="1:26" ht="15.75">
      <c r="A34" s="195" t="s">
        <v>332</v>
      </c>
      <c r="B34" s="193">
        <v>-140</v>
      </c>
      <c r="C34" s="193">
        <v>-65</v>
      </c>
      <c r="D34" s="193">
        <v>0</v>
      </c>
      <c r="E34" s="193"/>
      <c r="F34" s="193"/>
      <c r="G34" s="193"/>
      <c r="H34" s="193"/>
      <c r="I34" s="193"/>
      <c r="J34" s="193"/>
      <c r="K34" s="193">
        <v>-80</v>
      </c>
      <c r="L34" s="193">
        <v>-50</v>
      </c>
      <c r="M34" s="193"/>
      <c r="N34" s="193"/>
      <c r="O34" s="193"/>
      <c r="P34" s="193"/>
      <c r="Q34" s="193">
        <f t="shared" si="0"/>
        <v>-335</v>
      </c>
      <c r="R34" s="193"/>
      <c r="S34" s="193">
        <v>70.510000000000005</v>
      </c>
      <c r="T34" s="195">
        <v>0</v>
      </c>
      <c r="U34" s="213">
        <f t="shared" si="1"/>
        <v>-264.49</v>
      </c>
      <c r="X34" s="211">
        <v>50</v>
      </c>
      <c r="Z34">
        <v>40</v>
      </c>
    </row>
    <row r="35" spans="1:26" ht="15.75">
      <c r="A35" s="195" t="s">
        <v>333</v>
      </c>
      <c r="B35" s="193">
        <v>-140</v>
      </c>
      <c r="C35" s="193">
        <v>-65</v>
      </c>
      <c r="D35" s="193">
        <v>0</v>
      </c>
      <c r="E35" s="193"/>
      <c r="F35" s="193"/>
      <c r="G35" s="193"/>
      <c r="H35" s="193"/>
      <c r="I35" s="193"/>
      <c r="J35" s="193"/>
      <c r="K35" s="193">
        <v>-80</v>
      </c>
      <c r="L35" s="193">
        <v>-50</v>
      </c>
      <c r="M35" s="193"/>
      <c r="N35" s="193"/>
      <c r="O35" s="193"/>
      <c r="P35" s="193"/>
      <c r="Q35" s="193">
        <f t="shared" si="0"/>
        <v>-335</v>
      </c>
      <c r="R35" s="193"/>
      <c r="S35" s="193">
        <v>70.510000000000005</v>
      </c>
      <c r="T35" s="195">
        <v>0</v>
      </c>
      <c r="U35" s="213">
        <f t="shared" si="1"/>
        <v>-264.49</v>
      </c>
      <c r="X35" s="211">
        <v>50</v>
      </c>
      <c r="Z35">
        <v>40</v>
      </c>
    </row>
    <row r="36" spans="1:26" ht="15.75">
      <c r="A36" s="195" t="s">
        <v>334</v>
      </c>
      <c r="B36" s="193">
        <v>-140</v>
      </c>
      <c r="C36" s="193">
        <v>-65</v>
      </c>
      <c r="D36" s="193">
        <v>-68</v>
      </c>
      <c r="E36" s="193"/>
      <c r="F36" s="193"/>
      <c r="G36" s="193"/>
      <c r="H36" s="193"/>
      <c r="I36" s="193"/>
      <c r="J36" s="193"/>
      <c r="K36" s="193">
        <v>-80</v>
      </c>
      <c r="L36" s="193">
        <v>-50</v>
      </c>
      <c r="M36" s="193"/>
      <c r="N36" s="193"/>
      <c r="O36" s="193"/>
      <c r="P36" s="193"/>
      <c r="Q36" s="193">
        <f t="shared" si="0"/>
        <v>-403</v>
      </c>
      <c r="R36" s="193"/>
      <c r="S36" s="193">
        <v>70.510000000000005</v>
      </c>
      <c r="T36" s="195">
        <v>0</v>
      </c>
      <c r="U36" s="213">
        <f t="shared" si="1"/>
        <v>-332.49</v>
      </c>
      <c r="X36" s="211">
        <v>50</v>
      </c>
      <c r="Z36">
        <v>40</v>
      </c>
    </row>
    <row r="37" spans="1:26" ht="15.75">
      <c r="A37" s="195" t="s">
        <v>335</v>
      </c>
      <c r="B37" s="193">
        <v>-140</v>
      </c>
      <c r="C37" s="193">
        <v>-65</v>
      </c>
      <c r="D37" s="193">
        <v>-68</v>
      </c>
      <c r="E37" s="193"/>
      <c r="F37" s="193"/>
      <c r="G37" s="193"/>
      <c r="H37" s="193"/>
      <c r="I37" s="193"/>
      <c r="J37" s="193"/>
      <c r="K37" s="193">
        <v>-80</v>
      </c>
      <c r="L37" s="193">
        <v>-50</v>
      </c>
      <c r="M37" s="193"/>
      <c r="N37" s="193"/>
      <c r="O37" s="193"/>
      <c r="P37" s="193"/>
      <c r="Q37" s="193">
        <f t="shared" si="0"/>
        <v>-403</v>
      </c>
      <c r="R37" s="193"/>
      <c r="S37" s="193">
        <v>70.510000000000005</v>
      </c>
      <c r="T37" s="195">
        <v>0</v>
      </c>
      <c r="U37" s="213">
        <f t="shared" si="1"/>
        <v>-332.49</v>
      </c>
      <c r="X37" s="211">
        <v>50</v>
      </c>
      <c r="Z37">
        <v>40</v>
      </c>
    </row>
    <row r="38" spans="1:26" ht="15.75">
      <c r="A38" s="195" t="s">
        <v>336</v>
      </c>
      <c r="B38" s="193">
        <v>-140</v>
      </c>
      <c r="C38" s="193">
        <v>-65</v>
      </c>
      <c r="D38" s="193">
        <v>-68</v>
      </c>
      <c r="E38" s="193"/>
      <c r="F38" s="193"/>
      <c r="G38" s="193"/>
      <c r="H38" s="193"/>
      <c r="I38" s="193"/>
      <c r="J38" s="193"/>
      <c r="K38" s="193">
        <v>-80</v>
      </c>
      <c r="L38" s="193">
        <v>-50</v>
      </c>
      <c r="M38" s="193"/>
      <c r="N38" s="193"/>
      <c r="O38" s="193"/>
      <c r="P38" s="193"/>
      <c r="Q38" s="193">
        <f t="shared" si="0"/>
        <v>-403</v>
      </c>
      <c r="R38" s="193"/>
      <c r="S38" s="193">
        <v>70.510000000000005</v>
      </c>
      <c r="T38" s="195">
        <v>0</v>
      </c>
      <c r="U38" s="213">
        <f t="shared" si="1"/>
        <v>-332.49</v>
      </c>
      <c r="X38" s="211">
        <v>50</v>
      </c>
      <c r="Z38">
        <v>45</v>
      </c>
    </row>
    <row r="39" spans="1:26" ht="15.75">
      <c r="A39" s="195" t="s">
        <v>337</v>
      </c>
      <c r="B39" s="193">
        <v>-140</v>
      </c>
      <c r="C39" s="193">
        <v>-65</v>
      </c>
      <c r="D39" s="193">
        <v>-68</v>
      </c>
      <c r="E39" s="193"/>
      <c r="F39" s="193"/>
      <c r="G39" s="193"/>
      <c r="H39" s="193"/>
      <c r="I39" s="193"/>
      <c r="J39" s="193"/>
      <c r="K39" s="193">
        <v>-80</v>
      </c>
      <c r="L39" s="193">
        <v>-50</v>
      </c>
      <c r="M39" s="193"/>
      <c r="N39" s="193"/>
      <c r="O39" s="193"/>
      <c r="P39" s="193"/>
      <c r="Q39" s="193">
        <f t="shared" si="0"/>
        <v>-403</v>
      </c>
      <c r="R39" s="193"/>
      <c r="S39" s="193">
        <v>70.510000000000005</v>
      </c>
      <c r="T39" s="195">
        <v>0</v>
      </c>
      <c r="U39" s="213">
        <f t="shared" si="1"/>
        <v>-332.49</v>
      </c>
      <c r="X39" s="211">
        <v>50</v>
      </c>
      <c r="Z39">
        <v>45</v>
      </c>
    </row>
    <row r="40" spans="1:26" ht="15.75">
      <c r="A40" s="195" t="s">
        <v>338</v>
      </c>
      <c r="B40" s="193">
        <v>-140</v>
      </c>
      <c r="C40" s="193">
        <v>-65</v>
      </c>
      <c r="D40" s="193">
        <v>-68</v>
      </c>
      <c r="E40" s="193"/>
      <c r="F40" s="193"/>
      <c r="G40" s="193"/>
      <c r="H40" s="193"/>
      <c r="I40" s="193"/>
      <c r="J40" s="193"/>
      <c r="K40" s="193">
        <v>-80</v>
      </c>
      <c r="L40" s="193">
        <v>-50</v>
      </c>
      <c r="M40" s="193"/>
      <c r="N40" s="193"/>
      <c r="O40" s="193"/>
      <c r="P40" s="193"/>
      <c r="Q40" s="193">
        <f t="shared" si="0"/>
        <v>-403</v>
      </c>
      <c r="R40" s="193"/>
      <c r="S40" s="193">
        <v>70.510000000000005</v>
      </c>
      <c r="T40" s="195">
        <v>0</v>
      </c>
      <c r="U40" s="213">
        <f t="shared" si="1"/>
        <v>-332.49</v>
      </c>
      <c r="X40" s="211">
        <v>50</v>
      </c>
      <c r="Z40">
        <v>45</v>
      </c>
    </row>
    <row r="41" spans="1:26" ht="15.75">
      <c r="A41" s="195" t="s">
        <v>339</v>
      </c>
      <c r="B41" s="193">
        <v>-140</v>
      </c>
      <c r="C41" s="193">
        <v>-65</v>
      </c>
      <c r="D41" s="193">
        <v>-68</v>
      </c>
      <c r="E41" s="193"/>
      <c r="F41" s="193"/>
      <c r="G41" s="193"/>
      <c r="H41" s="193"/>
      <c r="I41" s="193"/>
      <c r="J41" s="193"/>
      <c r="K41" s="193">
        <v>-80</v>
      </c>
      <c r="L41" s="193">
        <v>-50</v>
      </c>
      <c r="M41" s="193"/>
      <c r="N41" s="193"/>
      <c r="O41" s="193"/>
      <c r="P41" s="193"/>
      <c r="Q41" s="193">
        <f t="shared" si="0"/>
        <v>-403</v>
      </c>
      <c r="R41" s="193"/>
      <c r="S41" s="193">
        <v>70.510000000000005</v>
      </c>
      <c r="T41" s="195">
        <v>0</v>
      </c>
      <c r="U41" s="213">
        <f t="shared" si="1"/>
        <v>-332.49</v>
      </c>
      <c r="X41" s="211">
        <v>50</v>
      </c>
      <c r="Z41">
        <v>45</v>
      </c>
    </row>
    <row r="42" spans="1:26" ht="15.75">
      <c r="A42" s="195" t="s">
        <v>340</v>
      </c>
      <c r="B42" s="193">
        <v>-140</v>
      </c>
      <c r="C42" s="193">
        <v>-65</v>
      </c>
      <c r="D42" s="193">
        <v>-68</v>
      </c>
      <c r="E42" s="193"/>
      <c r="F42" s="193"/>
      <c r="G42" s="193"/>
      <c r="H42" s="193"/>
      <c r="I42" s="193"/>
      <c r="J42" s="193"/>
      <c r="K42" s="193">
        <v>-80</v>
      </c>
      <c r="L42" s="193">
        <v>-50</v>
      </c>
      <c r="M42" s="193"/>
      <c r="N42" s="193"/>
      <c r="O42" s="193"/>
      <c r="P42" s="193"/>
      <c r="Q42" s="193">
        <f t="shared" si="0"/>
        <v>-403</v>
      </c>
      <c r="R42" s="193"/>
      <c r="S42" s="193">
        <v>70.510000000000005</v>
      </c>
      <c r="T42" s="195">
        <v>0</v>
      </c>
      <c r="U42" s="213">
        <f t="shared" si="1"/>
        <v>-332.49</v>
      </c>
      <c r="X42" s="211">
        <v>50</v>
      </c>
      <c r="Z42">
        <v>45</v>
      </c>
    </row>
    <row r="43" spans="1:26" ht="15.75">
      <c r="A43" s="195" t="s">
        <v>341</v>
      </c>
      <c r="B43" s="193">
        <v>-140</v>
      </c>
      <c r="C43" s="193">
        <v>-65</v>
      </c>
      <c r="D43" s="193">
        <v>-68</v>
      </c>
      <c r="E43" s="193"/>
      <c r="F43" s="193"/>
      <c r="G43" s="193"/>
      <c r="H43" s="193"/>
      <c r="I43" s="193"/>
      <c r="J43" s="193"/>
      <c r="K43" s="193">
        <v>-80</v>
      </c>
      <c r="L43" s="193">
        <v>-50</v>
      </c>
      <c r="M43" s="193"/>
      <c r="N43" s="193"/>
      <c r="O43" s="193"/>
      <c r="P43" s="193"/>
      <c r="Q43" s="193">
        <f t="shared" si="0"/>
        <v>-403</v>
      </c>
      <c r="R43" s="193"/>
      <c r="S43" s="193">
        <v>70.510000000000005</v>
      </c>
      <c r="T43" s="195">
        <v>0</v>
      </c>
      <c r="U43" s="213">
        <f t="shared" si="1"/>
        <v>-332.49</v>
      </c>
      <c r="X43" s="211">
        <v>50</v>
      </c>
      <c r="Z43">
        <v>45</v>
      </c>
    </row>
    <row r="44" spans="1:26" ht="15.75">
      <c r="A44" s="195" t="s">
        <v>342</v>
      </c>
      <c r="B44" s="193">
        <v>-140</v>
      </c>
      <c r="C44" s="193">
        <v>-65</v>
      </c>
      <c r="D44" s="193">
        <v>-68</v>
      </c>
      <c r="E44" s="193"/>
      <c r="F44" s="193"/>
      <c r="G44" s="193"/>
      <c r="H44" s="193"/>
      <c r="I44" s="193"/>
      <c r="J44" s="193"/>
      <c r="K44" s="193">
        <v>-80</v>
      </c>
      <c r="L44" s="193">
        <v>-50</v>
      </c>
      <c r="M44" s="193"/>
      <c r="N44" s="193"/>
      <c r="O44" s="193"/>
      <c r="P44" s="193"/>
      <c r="Q44" s="193">
        <f t="shared" si="0"/>
        <v>-403</v>
      </c>
      <c r="R44" s="193"/>
      <c r="S44" s="193">
        <v>70.510000000000005</v>
      </c>
      <c r="T44" s="195">
        <v>0</v>
      </c>
      <c r="U44" s="213">
        <f t="shared" si="1"/>
        <v>-332.49</v>
      </c>
      <c r="X44" s="211">
        <v>50</v>
      </c>
      <c r="Z44">
        <v>45</v>
      </c>
    </row>
    <row r="45" spans="1:26" ht="15.75">
      <c r="A45" s="195" t="s">
        <v>343</v>
      </c>
      <c r="B45" s="193">
        <v>-140</v>
      </c>
      <c r="C45" s="193">
        <v>-65</v>
      </c>
      <c r="D45" s="193">
        <v>-68</v>
      </c>
      <c r="E45" s="193"/>
      <c r="F45" s="193"/>
      <c r="G45" s="193"/>
      <c r="H45" s="193"/>
      <c r="I45" s="193"/>
      <c r="J45" s="193"/>
      <c r="K45" s="193">
        <v>-80</v>
      </c>
      <c r="L45" s="193">
        <v>-50</v>
      </c>
      <c r="M45" s="193"/>
      <c r="N45" s="193"/>
      <c r="O45" s="193"/>
      <c r="P45" s="193"/>
      <c r="Q45" s="193">
        <f t="shared" si="0"/>
        <v>-403</v>
      </c>
      <c r="R45" s="193"/>
      <c r="S45" s="193">
        <v>70.510000000000005</v>
      </c>
      <c r="T45" s="195">
        <v>0</v>
      </c>
      <c r="U45" s="213">
        <f t="shared" si="1"/>
        <v>-332.49</v>
      </c>
      <c r="X45" s="211">
        <v>50</v>
      </c>
      <c r="Z45">
        <v>45</v>
      </c>
    </row>
    <row r="46" spans="1:26" ht="15.75">
      <c r="A46" s="195" t="s">
        <v>344</v>
      </c>
      <c r="B46" s="193">
        <v>-140</v>
      </c>
      <c r="C46" s="193">
        <v>-65</v>
      </c>
      <c r="D46" s="193">
        <v>-68</v>
      </c>
      <c r="E46" s="193"/>
      <c r="F46" s="193"/>
      <c r="G46" s="193"/>
      <c r="H46" s="193"/>
      <c r="I46" s="193"/>
      <c r="J46" s="193"/>
      <c r="K46" s="193">
        <v>-80</v>
      </c>
      <c r="L46" s="193">
        <v>-50</v>
      </c>
      <c r="M46" s="193"/>
      <c r="N46" s="193"/>
      <c r="O46" s="193"/>
      <c r="P46" s="193"/>
      <c r="Q46" s="193">
        <f t="shared" si="0"/>
        <v>-403</v>
      </c>
      <c r="R46" s="193"/>
      <c r="S46" s="193">
        <v>70.510000000000005</v>
      </c>
      <c r="T46" s="195">
        <v>0</v>
      </c>
      <c r="U46" s="213">
        <f t="shared" si="1"/>
        <v>-332.49</v>
      </c>
      <c r="X46" s="211">
        <v>50</v>
      </c>
      <c r="Z46">
        <v>45</v>
      </c>
    </row>
    <row r="47" spans="1:26" ht="15.75">
      <c r="A47" s="195" t="s">
        <v>345</v>
      </c>
      <c r="B47" s="193">
        <v>-140</v>
      </c>
      <c r="C47" s="193">
        <v>-65</v>
      </c>
      <c r="D47" s="193">
        <v>-68</v>
      </c>
      <c r="E47" s="193"/>
      <c r="F47" s="193"/>
      <c r="G47" s="193"/>
      <c r="H47" s="193"/>
      <c r="I47" s="193"/>
      <c r="J47" s="193"/>
      <c r="K47" s="193">
        <v>-80</v>
      </c>
      <c r="L47" s="193">
        <v>-50</v>
      </c>
      <c r="M47" s="193"/>
      <c r="N47" s="193"/>
      <c r="O47" s="193"/>
      <c r="P47" s="193"/>
      <c r="Q47" s="193">
        <f t="shared" si="0"/>
        <v>-403</v>
      </c>
      <c r="R47" s="193"/>
      <c r="S47" s="193">
        <v>70.510000000000005</v>
      </c>
      <c r="T47" s="195">
        <v>0</v>
      </c>
      <c r="U47" s="213">
        <f t="shared" si="1"/>
        <v>-332.49</v>
      </c>
      <c r="X47" s="211">
        <v>50</v>
      </c>
      <c r="Z47">
        <v>45</v>
      </c>
    </row>
    <row r="48" spans="1:26" ht="15.75">
      <c r="A48" s="195" t="s">
        <v>346</v>
      </c>
      <c r="B48" s="193">
        <v>-140</v>
      </c>
      <c r="C48" s="193">
        <v>-65</v>
      </c>
      <c r="D48" s="193">
        <v>-68</v>
      </c>
      <c r="E48" s="193"/>
      <c r="F48" s="193"/>
      <c r="G48" s="193"/>
      <c r="H48" s="193"/>
      <c r="I48" s="193"/>
      <c r="J48" s="193"/>
      <c r="K48" s="193">
        <v>-80</v>
      </c>
      <c r="L48" s="193">
        <v>-50</v>
      </c>
      <c r="M48" s="193"/>
      <c r="N48" s="193"/>
      <c r="O48" s="193"/>
      <c r="P48" s="193"/>
      <c r="Q48" s="193">
        <f t="shared" si="0"/>
        <v>-403</v>
      </c>
      <c r="R48" s="193"/>
      <c r="S48" s="193">
        <v>70.510000000000005</v>
      </c>
      <c r="T48" s="195">
        <v>0</v>
      </c>
      <c r="U48" s="213">
        <f t="shared" si="1"/>
        <v>-332.49</v>
      </c>
      <c r="X48" s="211">
        <v>50</v>
      </c>
      <c r="Z48">
        <v>45</v>
      </c>
    </row>
    <row r="49" spans="1:26" ht="15.75">
      <c r="A49" s="195" t="s">
        <v>347</v>
      </c>
      <c r="B49" s="193">
        <v>-140</v>
      </c>
      <c r="C49" s="193">
        <v>0</v>
      </c>
      <c r="D49" s="193">
        <v>0</v>
      </c>
      <c r="E49" s="193"/>
      <c r="F49" s="193"/>
      <c r="G49" s="193"/>
      <c r="H49" s="193"/>
      <c r="I49" s="193"/>
      <c r="J49" s="193"/>
      <c r="K49" s="193"/>
      <c r="L49" s="193"/>
      <c r="M49" s="193"/>
      <c r="N49" s="193"/>
      <c r="O49" s="193"/>
      <c r="P49" s="193"/>
      <c r="Q49" s="193">
        <f t="shared" si="0"/>
        <v>-140</v>
      </c>
      <c r="R49" s="193"/>
      <c r="S49" s="193">
        <v>70.510000000000005</v>
      </c>
      <c r="T49" s="195">
        <v>0</v>
      </c>
      <c r="U49" s="213">
        <f t="shared" si="1"/>
        <v>-69.489999999999995</v>
      </c>
      <c r="X49" s="211">
        <v>50</v>
      </c>
      <c r="Z49">
        <v>45</v>
      </c>
    </row>
    <row r="50" spans="1:26" ht="15.75">
      <c r="A50" s="195" t="s">
        <v>348</v>
      </c>
      <c r="B50" s="193">
        <v>-140</v>
      </c>
      <c r="C50" s="193">
        <v>0</v>
      </c>
      <c r="D50" s="193">
        <v>0</v>
      </c>
      <c r="E50" s="193"/>
      <c r="F50" s="193"/>
      <c r="G50" s="193"/>
      <c r="H50" s="193"/>
      <c r="I50" s="193"/>
      <c r="J50" s="193"/>
      <c r="K50" s="193"/>
      <c r="L50" s="193"/>
      <c r="M50" s="193"/>
      <c r="N50" s="193"/>
      <c r="O50" s="193"/>
      <c r="P50" s="193"/>
      <c r="Q50" s="193">
        <f>SUM(B50:P50)</f>
        <v>-140</v>
      </c>
      <c r="R50" s="193"/>
      <c r="S50" s="193">
        <v>70.510000000000005</v>
      </c>
      <c r="T50" s="195">
        <v>0</v>
      </c>
      <c r="U50" s="213">
        <f t="shared" si="1"/>
        <v>-69.489999999999995</v>
      </c>
      <c r="X50" s="211">
        <v>50</v>
      </c>
      <c r="Z50">
        <v>45</v>
      </c>
    </row>
    <row r="51" spans="1:26" ht="15.75">
      <c r="A51" s="195" t="s">
        <v>349</v>
      </c>
      <c r="B51" s="193">
        <v>-140</v>
      </c>
      <c r="C51" s="193">
        <v>0</v>
      </c>
      <c r="D51" s="193">
        <v>0</v>
      </c>
      <c r="E51" s="193"/>
      <c r="F51" s="193"/>
      <c r="G51" s="193"/>
      <c r="H51" s="193"/>
      <c r="I51" s="193"/>
      <c r="J51" s="193"/>
      <c r="K51" s="193"/>
      <c r="L51" s="193"/>
      <c r="M51" s="193"/>
      <c r="N51" s="193"/>
      <c r="O51" s="193"/>
      <c r="P51" s="193"/>
      <c r="Q51" s="193">
        <f t="shared" si="0"/>
        <v>-140</v>
      </c>
      <c r="R51" s="193"/>
      <c r="S51" s="193">
        <v>70.510000000000005</v>
      </c>
      <c r="T51" s="195">
        <v>0</v>
      </c>
      <c r="U51" s="213">
        <f t="shared" si="1"/>
        <v>-69.489999999999995</v>
      </c>
      <c r="X51" s="211">
        <v>50</v>
      </c>
      <c r="Z51">
        <v>45</v>
      </c>
    </row>
    <row r="52" spans="1:26" ht="15.75">
      <c r="A52" s="195" t="s">
        <v>350</v>
      </c>
      <c r="B52" s="193">
        <v>-140</v>
      </c>
      <c r="C52" s="193">
        <v>0</v>
      </c>
      <c r="D52" s="193">
        <v>0</v>
      </c>
      <c r="E52" s="193"/>
      <c r="F52" s="193"/>
      <c r="G52" s="193"/>
      <c r="H52" s="193"/>
      <c r="I52" s="193"/>
      <c r="J52" s="193"/>
      <c r="K52" s="193"/>
      <c r="L52" s="193"/>
      <c r="M52" s="193"/>
      <c r="N52" s="193"/>
      <c r="O52" s="193"/>
      <c r="P52" s="193"/>
      <c r="Q52" s="193">
        <f t="shared" si="0"/>
        <v>-140</v>
      </c>
      <c r="R52" s="193"/>
      <c r="S52" s="193">
        <v>70.510000000000005</v>
      </c>
      <c r="T52" s="195">
        <v>0</v>
      </c>
      <c r="U52" s="213">
        <f t="shared" si="1"/>
        <v>-69.489999999999995</v>
      </c>
      <c r="X52" s="211">
        <v>50</v>
      </c>
      <c r="Z52">
        <v>45</v>
      </c>
    </row>
    <row r="53" spans="1:26" ht="15.75">
      <c r="A53" s="195" t="s">
        <v>351</v>
      </c>
      <c r="B53" s="193">
        <v>-140</v>
      </c>
      <c r="C53" s="193">
        <v>0</v>
      </c>
      <c r="D53" s="193">
        <v>0</v>
      </c>
      <c r="E53" s="193"/>
      <c r="F53" s="193"/>
      <c r="G53" s="193"/>
      <c r="H53" s="193"/>
      <c r="I53" s="193"/>
      <c r="J53" s="193"/>
      <c r="K53" s="193"/>
      <c r="L53" s="193"/>
      <c r="M53" s="193"/>
      <c r="N53" s="193"/>
      <c r="O53" s="193"/>
      <c r="P53" s="193"/>
      <c r="Q53" s="193">
        <f t="shared" si="0"/>
        <v>-140</v>
      </c>
      <c r="R53" s="193"/>
      <c r="S53" s="193">
        <v>70.510000000000005</v>
      </c>
      <c r="T53" s="195">
        <v>0</v>
      </c>
      <c r="U53" s="213">
        <f t="shared" si="1"/>
        <v>-69.489999999999995</v>
      </c>
      <c r="X53" s="211">
        <v>50</v>
      </c>
      <c r="Z53">
        <v>45</v>
      </c>
    </row>
    <row r="54" spans="1:26" ht="15.75">
      <c r="A54" s="195" t="s">
        <v>352</v>
      </c>
      <c r="B54" s="193">
        <v>-140</v>
      </c>
      <c r="C54" s="193">
        <v>0</v>
      </c>
      <c r="D54" s="193">
        <v>0</v>
      </c>
      <c r="E54" s="193"/>
      <c r="F54" s="193"/>
      <c r="G54" s="193"/>
      <c r="H54" s="193"/>
      <c r="I54" s="193"/>
      <c r="J54" s="193"/>
      <c r="K54" s="193"/>
      <c r="L54" s="193"/>
      <c r="M54" s="193"/>
      <c r="N54" s="193"/>
      <c r="O54" s="193"/>
      <c r="P54" s="193"/>
      <c r="Q54" s="193">
        <f t="shared" si="0"/>
        <v>-140</v>
      </c>
      <c r="R54" s="193"/>
      <c r="S54" s="193">
        <v>70.510000000000005</v>
      </c>
      <c r="T54" s="195">
        <v>0</v>
      </c>
      <c r="U54" s="213">
        <f t="shared" si="1"/>
        <v>-69.489999999999995</v>
      </c>
      <c r="X54" s="211">
        <v>50</v>
      </c>
      <c r="Z54">
        <v>45</v>
      </c>
    </row>
    <row r="55" spans="1:26" ht="15.75">
      <c r="A55" s="195" t="s">
        <v>353</v>
      </c>
      <c r="B55" s="193">
        <v>-140</v>
      </c>
      <c r="C55" s="193">
        <v>0</v>
      </c>
      <c r="D55" s="193">
        <v>0</v>
      </c>
      <c r="E55" s="193"/>
      <c r="F55" s="193"/>
      <c r="G55" s="193"/>
      <c r="H55" s="193"/>
      <c r="I55" s="193"/>
      <c r="J55" s="193"/>
      <c r="K55" s="193"/>
      <c r="L55" s="193"/>
      <c r="M55" s="193"/>
      <c r="N55" s="193"/>
      <c r="O55" s="193"/>
      <c r="P55" s="193"/>
      <c r="Q55" s="193">
        <f t="shared" si="0"/>
        <v>-140</v>
      </c>
      <c r="R55" s="193"/>
      <c r="S55" s="193">
        <v>70.510000000000005</v>
      </c>
      <c r="T55" s="195">
        <v>0</v>
      </c>
      <c r="U55" s="213">
        <f t="shared" si="1"/>
        <v>-69.489999999999995</v>
      </c>
      <c r="X55" s="211">
        <v>50</v>
      </c>
      <c r="Z55">
        <v>45</v>
      </c>
    </row>
    <row r="56" spans="1:26" ht="15.75">
      <c r="A56" s="195" t="s">
        <v>354</v>
      </c>
      <c r="B56" s="193">
        <v>-140</v>
      </c>
      <c r="C56" s="193">
        <v>0</v>
      </c>
      <c r="D56" s="193">
        <v>0</v>
      </c>
      <c r="E56" s="193"/>
      <c r="F56" s="193"/>
      <c r="G56" s="193"/>
      <c r="H56" s="193"/>
      <c r="I56" s="193"/>
      <c r="J56" s="193"/>
      <c r="K56" s="193"/>
      <c r="L56" s="193"/>
      <c r="M56" s="193"/>
      <c r="N56" s="193"/>
      <c r="O56" s="193"/>
      <c r="P56" s="193"/>
      <c r="Q56" s="193">
        <f t="shared" si="0"/>
        <v>-140</v>
      </c>
      <c r="R56" s="193"/>
      <c r="S56" s="193">
        <v>70.510000000000005</v>
      </c>
      <c r="T56" s="195">
        <v>0</v>
      </c>
      <c r="U56" s="213">
        <f t="shared" si="1"/>
        <v>-69.489999999999995</v>
      </c>
      <c r="X56" s="211">
        <v>50</v>
      </c>
      <c r="Z56">
        <v>45</v>
      </c>
    </row>
    <row r="57" spans="1:26" ht="15.75">
      <c r="A57" s="195" t="s">
        <v>355</v>
      </c>
      <c r="B57" s="193">
        <v>-140</v>
      </c>
      <c r="C57" s="193">
        <v>0</v>
      </c>
      <c r="D57" s="193">
        <v>0</v>
      </c>
      <c r="E57" s="193"/>
      <c r="F57" s="193"/>
      <c r="G57" s="193"/>
      <c r="H57" s="193"/>
      <c r="I57" s="193"/>
      <c r="J57" s="193"/>
      <c r="K57" s="193"/>
      <c r="L57" s="193"/>
      <c r="M57" s="193"/>
      <c r="N57" s="193"/>
      <c r="O57" s="193"/>
      <c r="P57" s="193"/>
      <c r="Q57" s="193">
        <f t="shared" si="0"/>
        <v>-140</v>
      </c>
      <c r="R57" s="193"/>
      <c r="S57" s="193">
        <v>70.510000000000005</v>
      </c>
      <c r="T57" s="195">
        <v>0</v>
      </c>
      <c r="U57" s="213">
        <f t="shared" si="1"/>
        <v>-69.489999999999995</v>
      </c>
      <c r="X57" s="211">
        <v>50</v>
      </c>
      <c r="Z57">
        <v>45</v>
      </c>
    </row>
    <row r="58" spans="1:26" ht="15.75">
      <c r="A58" s="195" t="s">
        <v>356</v>
      </c>
      <c r="B58" s="193">
        <v>0</v>
      </c>
      <c r="C58" s="193">
        <v>0</v>
      </c>
      <c r="D58" s="193">
        <v>0</v>
      </c>
      <c r="E58" s="193"/>
      <c r="F58" s="193"/>
      <c r="G58" s="193"/>
      <c r="H58" s="193"/>
      <c r="I58" s="193"/>
      <c r="J58" s="193"/>
      <c r="K58" s="193"/>
      <c r="L58" s="193"/>
      <c r="M58" s="193"/>
      <c r="N58" s="193"/>
      <c r="O58" s="193"/>
      <c r="P58" s="193"/>
      <c r="Q58" s="193">
        <f t="shared" si="0"/>
        <v>0</v>
      </c>
      <c r="R58" s="193"/>
      <c r="S58" s="193">
        <v>70.510000000000005</v>
      </c>
      <c r="T58" s="195">
        <v>0</v>
      </c>
      <c r="U58" s="213">
        <f t="shared" si="1"/>
        <v>70.510000000000005</v>
      </c>
      <c r="X58" s="211">
        <v>50</v>
      </c>
      <c r="Z58">
        <v>45</v>
      </c>
    </row>
    <row r="59" spans="1:26" ht="15.75">
      <c r="A59" s="195" t="s">
        <v>357</v>
      </c>
      <c r="B59" s="193">
        <v>0</v>
      </c>
      <c r="C59" s="193">
        <v>0</v>
      </c>
      <c r="D59" s="193">
        <v>0</v>
      </c>
      <c r="E59" s="193"/>
      <c r="F59" s="193"/>
      <c r="G59" s="193"/>
      <c r="H59" s="193"/>
      <c r="I59" s="193"/>
      <c r="J59" s="193"/>
      <c r="K59" s="193"/>
      <c r="L59" s="193"/>
      <c r="M59" s="193"/>
      <c r="N59" s="193"/>
      <c r="O59" s="193"/>
      <c r="P59" s="193"/>
      <c r="Q59" s="193">
        <f t="shared" si="0"/>
        <v>0</v>
      </c>
      <c r="R59" s="193"/>
      <c r="S59" s="193">
        <v>70.510000000000005</v>
      </c>
      <c r="T59" s="195">
        <v>0</v>
      </c>
      <c r="U59" s="213">
        <f t="shared" si="1"/>
        <v>70.510000000000005</v>
      </c>
      <c r="X59" s="211">
        <v>50</v>
      </c>
      <c r="Z59">
        <v>45</v>
      </c>
    </row>
    <row r="60" spans="1:26" ht="15.75">
      <c r="A60" s="195" t="s">
        <v>358</v>
      </c>
      <c r="B60" s="193">
        <v>0</v>
      </c>
      <c r="C60" s="193">
        <v>0</v>
      </c>
      <c r="D60" s="193">
        <v>0</v>
      </c>
      <c r="E60" s="193"/>
      <c r="F60" s="193"/>
      <c r="G60" s="193"/>
      <c r="H60" s="193"/>
      <c r="I60" s="193"/>
      <c r="J60" s="193"/>
      <c r="K60" s="193"/>
      <c r="L60" s="193"/>
      <c r="M60" s="193"/>
      <c r="N60" s="193"/>
      <c r="O60" s="193"/>
      <c r="P60" s="193"/>
      <c r="Q60" s="193">
        <f t="shared" si="0"/>
        <v>0</v>
      </c>
      <c r="R60" s="193"/>
      <c r="S60" s="193">
        <v>70.510000000000005</v>
      </c>
      <c r="T60" s="195">
        <v>0</v>
      </c>
      <c r="U60" s="213">
        <f t="shared" si="1"/>
        <v>70.510000000000005</v>
      </c>
      <c r="X60" s="211">
        <v>50</v>
      </c>
      <c r="Z60">
        <v>45</v>
      </c>
    </row>
    <row r="61" spans="1:26" ht="15.75">
      <c r="A61" s="195" t="s">
        <v>359</v>
      </c>
      <c r="B61" s="193">
        <v>0</v>
      </c>
      <c r="C61" s="193">
        <v>0</v>
      </c>
      <c r="D61" s="193">
        <v>0</v>
      </c>
      <c r="E61" s="193"/>
      <c r="F61" s="193"/>
      <c r="G61" s="193"/>
      <c r="H61" s="193"/>
      <c r="I61" s="193"/>
      <c r="J61" s="193"/>
      <c r="K61" s="193"/>
      <c r="L61" s="193"/>
      <c r="M61" s="193"/>
      <c r="N61" s="193"/>
      <c r="O61" s="193"/>
      <c r="P61" s="193"/>
      <c r="Q61" s="193">
        <f t="shared" si="0"/>
        <v>0</v>
      </c>
      <c r="R61" s="193"/>
      <c r="S61" s="193">
        <v>70.510000000000005</v>
      </c>
      <c r="T61" s="195">
        <v>0</v>
      </c>
      <c r="U61" s="213">
        <f t="shared" si="1"/>
        <v>70.510000000000005</v>
      </c>
      <c r="X61" s="211">
        <v>50</v>
      </c>
      <c r="Z61">
        <v>45</v>
      </c>
    </row>
    <row r="62" spans="1:26" ht="15.75">
      <c r="A62" s="195" t="s">
        <v>360</v>
      </c>
      <c r="B62" s="193">
        <v>0</v>
      </c>
      <c r="C62" s="193">
        <v>0</v>
      </c>
      <c r="D62" s="193">
        <v>0</v>
      </c>
      <c r="E62" s="193"/>
      <c r="F62" s="193"/>
      <c r="G62" s="193"/>
      <c r="H62" s="193"/>
      <c r="I62" s="193"/>
      <c r="J62" s="193"/>
      <c r="K62" s="193"/>
      <c r="L62" s="193"/>
      <c r="M62" s="193"/>
      <c r="N62" s="193"/>
      <c r="O62" s="193"/>
      <c r="P62" s="193"/>
      <c r="Q62" s="193">
        <f t="shared" si="0"/>
        <v>0</v>
      </c>
      <c r="R62" s="193"/>
      <c r="S62" s="193">
        <v>70.510000000000005</v>
      </c>
      <c r="T62" s="195">
        <v>0</v>
      </c>
      <c r="U62" s="213">
        <f t="shared" si="1"/>
        <v>70.510000000000005</v>
      </c>
      <c r="X62" s="211">
        <v>50</v>
      </c>
      <c r="Z62">
        <v>45</v>
      </c>
    </row>
    <row r="63" spans="1:26" ht="15.75">
      <c r="A63" s="195" t="s">
        <v>361</v>
      </c>
      <c r="B63" s="193">
        <v>0</v>
      </c>
      <c r="C63" s="193">
        <v>0</v>
      </c>
      <c r="D63" s="193">
        <v>0</v>
      </c>
      <c r="E63" s="193"/>
      <c r="F63" s="193"/>
      <c r="G63" s="193"/>
      <c r="H63" s="193"/>
      <c r="I63" s="193"/>
      <c r="J63" s="193"/>
      <c r="K63" s="193"/>
      <c r="L63" s="193"/>
      <c r="M63" s="193"/>
      <c r="N63" s="193"/>
      <c r="O63" s="193"/>
      <c r="P63" s="193"/>
      <c r="Q63" s="193">
        <f t="shared" si="0"/>
        <v>0</v>
      </c>
      <c r="R63" s="193"/>
      <c r="S63" s="193">
        <v>70.510000000000005</v>
      </c>
      <c r="T63" s="195">
        <v>0</v>
      </c>
      <c r="U63" s="213">
        <f t="shared" si="1"/>
        <v>70.510000000000005</v>
      </c>
      <c r="X63" s="211">
        <v>50</v>
      </c>
      <c r="Z63">
        <v>45</v>
      </c>
    </row>
    <row r="64" spans="1:26" ht="15.75">
      <c r="A64" s="195" t="s">
        <v>362</v>
      </c>
      <c r="B64" s="193">
        <v>0</v>
      </c>
      <c r="C64" s="193">
        <v>0</v>
      </c>
      <c r="D64" s="193">
        <v>0</v>
      </c>
      <c r="E64" s="193"/>
      <c r="F64" s="193"/>
      <c r="G64" s="193"/>
      <c r="H64" s="193"/>
      <c r="I64" s="193"/>
      <c r="J64" s="193"/>
      <c r="K64" s="193"/>
      <c r="L64" s="193"/>
      <c r="M64" s="193"/>
      <c r="N64" s="193"/>
      <c r="O64" s="193"/>
      <c r="P64" s="193"/>
      <c r="Q64" s="193">
        <f t="shared" si="0"/>
        <v>0</v>
      </c>
      <c r="R64" s="193"/>
      <c r="S64" s="193">
        <v>70.510000000000005</v>
      </c>
      <c r="T64" s="195">
        <v>0</v>
      </c>
      <c r="U64" s="213">
        <f t="shared" si="1"/>
        <v>70.510000000000005</v>
      </c>
      <c r="X64" s="211">
        <v>50</v>
      </c>
      <c r="Z64">
        <v>45</v>
      </c>
    </row>
    <row r="65" spans="1:26" ht="15.75">
      <c r="A65" s="195" t="s">
        <v>363</v>
      </c>
      <c r="B65" s="193">
        <v>0</v>
      </c>
      <c r="C65" s="193">
        <v>0</v>
      </c>
      <c r="D65" s="193">
        <v>0</v>
      </c>
      <c r="E65" s="193"/>
      <c r="F65" s="193"/>
      <c r="G65" s="193"/>
      <c r="H65" s="193"/>
      <c r="I65" s="193"/>
      <c r="J65" s="193"/>
      <c r="K65" s="193"/>
      <c r="L65" s="193"/>
      <c r="M65" s="193"/>
      <c r="N65" s="193"/>
      <c r="O65" s="193"/>
      <c r="P65" s="193"/>
      <c r="Q65" s="193">
        <f t="shared" si="0"/>
        <v>0</v>
      </c>
      <c r="R65" s="193"/>
      <c r="S65" s="193">
        <v>70.510000000000005</v>
      </c>
      <c r="T65" s="195">
        <v>0</v>
      </c>
      <c r="U65" s="213">
        <f t="shared" si="1"/>
        <v>70.510000000000005</v>
      </c>
      <c r="X65" s="211">
        <v>50</v>
      </c>
      <c r="Z65">
        <v>45</v>
      </c>
    </row>
    <row r="66" spans="1:26" ht="15.75">
      <c r="A66" s="195" t="s">
        <v>364</v>
      </c>
      <c r="B66" s="193">
        <v>0</v>
      </c>
      <c r="C66" s="193">
        <v>0</v>
      </c>
      <c r="D66" s="193">
        <v>0</v>
      </c>
      <c r="E66" s="193"/>
      <c r="F66" s="193"/>
      <c r="G66" s="193"/>
      <c r="H66" s="193"/>
      <c r="I66" s="193"/>
      <c r="J66" s="193"/>
      <c r="K66" s="193"/>
      <c r="L66" s="193"/>
      <c r="M66" s="193"/>
      <c r="N66" s="193"/>
      <c r="O66" s="193"/>
      <c r="P66" s="193"/>
      <c r="Q66" s="193">
        <f t="shared" si="0"/>
        <v>0</v>
      </c>
      <c r="R66" s="193"/>
      <c r="S66" s="193">
        <v>70.510000000000005</v>
      </c>
      <c r="T66" s="195">
        <v>0</v>
      </c>
      <c r="U66" s="213">
        <f t="shared" si="1"/>
        <v>70.510000000000005</v>
      </c>
      <c r="X66" s="211">
        <v>50</v>
      </c>
      <c r="Z66">
        <v>45</v>
      </c>
    </row>
    <row r="67" spans="1:26" ht="15.75">
      <c r="A67" s="195" t="s">
        <v>365</v>
      </c>
      <c r="B67" s="193">
        <v>0</v>
      </c>
      <c r="C67" s="193">
        <v>0</v>
      </c>
      <c r="D67" s="193">
        <v>0</v>
      </c>
      <c r="E67" s="193"/>
      <c r="F67" s="193"/>
      <c r="G67" s="193"/>
      <c r="H67" s="193"/>
      <c r="I67" s="193"/>
      <c r="J67" s="193"/>
      <c r="K67" s="193"/>
      <c r="L67" s="193"/>
      <c r="M67" s="193"/>
      <c r="N67" s="193"/>
      <c r="O67" s="193"/>
      <c r="P67" s="193"/>
      <c r="Q67" s="193">
        <f t="shared" si="0"/>
        <v>0</v>
      </c>
      <c r="R67" s="193"/>
      <c r="S67" s="193">
        <v>70.510000000000005</v>
      </c>
      <c r="T67" s="195">
        <v>0</v>
      </c>
      <c r="U67" s="213">
        <f t="shared" si="1"/>
        <v>70.510000000000005</v>
      </c>
      <c r="X67" s="211">
        <v>50</v>
      </c>
      <c r="Z67">
        <v>45</v>
      </c>
    </row>
    <row r="68" spans="1:26" ht="15.75">
      <c r="A68" s="195" t="s">
        <v>366</v>
      </c>
      <c r="B68" s="193">
        <v>0</v>
      </c>
      <c r="C68" s="193">
        <v>0</v>
      </c>
      <c r="D68" s="193">
        <v>0</v>
      </c>
      <c r="E68" s="193"/>
      <c r="F68" s="193"/>
      <c r="G68" s="193"/>
      <c r="H68" s="193"/>
      <c r="I68" s="193"/>
      <c r="J68" s="193"/>
      <c r="K68" s="193"/>
      <c r="L68" s="193"/>
      <c r="M68" s="193"/>
      <c r="N68" s="193"/>
      <c r="O68" s="193"/>
      <c r="P68" s="193"/>
      <c r="Q68" s="193">
        <f t="shared" ref="Q68:Q98" si="2">SUM(B68:P68)</f>
        <v>0</v>
      </c>
      <c r="R68" s="193"/>
      <c r="S68" s="193">
        <v>70.510000000000005</v>
      </c>
      <c r="T68" s="195">
        <v>0</v>
      </c>
      <c r="U68" s="213">
        <f t="shared" ref="U68:U98" si="3">SUM(Q68:T68)</f>
        <v>70.510000000000005</v>
      </c>
      <c r="X68" s="211">
        <v>50</v>
      </c>
      <c r="Z68">
        <v>45</v>
      </c>
    </row>
    <row r="69" spans="1:26" ht="15.75">
      <c r="A69" s="195" t="s">
        <v>367</v>
      </c>
      <c r="B69" s="193">
        <v>0</v>
      </c>
      <c r="C69" s="193">
        <v>0</v>
      </c>
      <c r="D69" s="193">
        <v>0</v>
      </c>
      <c r="E69" s="193"/>
      <c r="F69" s="193"/>
      <c r="G69" s="193"/>
      <c r="H69" s="193"/>
      <c r="I69" s="193"/>
      <c r="J69" s="193"/>
      <c r="K69" s="193"/>
      <c r="L69" s="193"/>
      <c r="M69" s="193"/>
      <c r="N69" s="193"/>
      <c r="O69" s="193"/>
      <c r="P69" s="193"/>
      <c r="Q69" s="193">
        <f t="shared" si="2"/>
        <v>0</v>
      </c>
      <c r="R69" s="193"/>
      <c r="S69" s="193">
        <v>70.510000000000005</v>
      </c>
      <c r="T69" s="195">
        <v>0</v>
      </c>
      <c r="U69" s="213">
        <f t="shared" si="3"/>
        <v>70.510000000000005</v>
      </c>
      <c r="X69" s="211">
        <v>50</v>
      </c>
      <c r="Z69">
        <v>45</v>
      </c>
    </row>
    <row r="70" spans="1:26" ht="15.75">
      <c r="A70" s="195" t="s">
        <v>368</v>
      </c>
      <c r="B70" s="193">
        <v>0</v>
      </c>
      <c r="C70" s="193">
        <v>0</v>
      </c>
      <c r="D70" s="193">
        <v>0</v>
      </c>
      <c r="E70" s="193"/>
      <c r="F70" s="193"/>
      <c r="G70" s="193"/>
      <c r="H70" s="193"/>
      <c r="I70" s="193"/>
      <c r="J70" s="193"/>
      <c r="K70" s="193"/>
      <c r="L70" s="193"/>
      <c r="M70" s="193"/>
      <c r="N70" s="193"/>
      <c r="O70" s="193"/>
      <c r="P70" s="193"/>
      <c r="Q70" s="193">
        <f t="shared" si="2"/>
        <v>0</v>
      </c>
      <c r="R70" s="193"/>
      <c r="S70" s="193">
        <v>70.510000000000005</v>
      </c>
      <c r="T70" s="195">
        <v>0</v>
      </c>
      <c r="U70" s="213">
        <f t="shared" si="3"/>
        <v>70.510000000000005</v>
      </c>
      <c r="X70" s="211">
        <v>50</v>
      </c>
      <c r="Z70">
        <v>45</v>
      </c>
    </row>
    <row r="71" spans="1:26" ht="15.75">
      <c r="A71" s="195" t="s">
        <v>369</v>
      </c>
      <c r="B71" s="193">
        <v>0</v>
      </c>
      <c r="C71" s="193">
        <v>0</v>
      </c>
      <c r="D71" s="193">
        <v>0</v>
      </c>
      <c r="E71" s="193"/>
      <c r="F71" s="193"/>
      <c r="G71" s="193"/>
      <c r="H71" s="193"/>
      <c r="I71" s="193"/>
      <c r="J71" s="193"/>
      <c r="K71" s="193"/>
      <c r="L71" s="193"/>
      <c r="M71" s="193"/>
      <c r="N71" s="193"/>
      <c r="O71" s="193"/>
      <c r="P71" s="193"/>
      <c r="Q71" s="193">
        <f t="shared" si="2"/>
        <v>0</v>
      </c>
      <c r="R71" s="193"/>
      <c r="S71" s="193">
        <v>70.510000000000005</v>
      </c>
      <c r="T71" s="195">
        <v>0</v>
      </c>
      <c r="U71" s="213">
        <f t="shared" si="3"/>
        <v>70.510000000000005</v>
      </c>
      <c r="X71" s="211">
        <v>50</v>
      </c>
      <c r="Z71">
        <v>45</v>
      </c>
    </row>
    <row r="72" spans="1:26" ht="15.75">
      <c r="A72" s="195" t="s">
        <v>370</v>
      </c>
      <c r="B72" s="193">
        <v>0</v>
      </c>
      <c r="C72" s="193">
        <v>0</v>
      </c>
      <c r="D72" s="193">
        <v>0</v>
      </c>
      <c r="E72" s="193"/>
      <c r="F72" s="193"/>
      <c r="G72" s="193"/>
      <c r="H72" s="193"/>
      <c r="I72" s="193"/>
      <c r="J72" s="193"/>
      <c r="K72" s="193"/>
      <c r="L72" s="193"/>
      <c r="M72" s="193"/>
      <c r="N72" s="193"/>
      <c r="O72" s="193"/>
      <c r="P72" s="193"/>
      <c r="Q72" s="193">
        <f t="shared" si="2"/>
        <v>0</v>
      </c>
      <c r="R72" s="193"/>
      <c r="S72" s="193">
        <v>70.510000000000005</v>
      </c>
      <c r="T72" s="195">
        <v>0</v>
      </c>
      <c r="U72" s="213">
        <f t="shared" si="3"/>
        <v>70.510000000000005</v>
      </c>
      <c r="X72" s="211">
        <v>50</v>
      </c>
      <c r="Z72">
        <v>45</v>
      </c>
    </row>
    <row r="73" spans="1:26" ht="15.75">
      <c r="A73" s="195" t="s">
        <v>371</v>
      </c>
      <c r="B73" s="193">
        <v>0</v>
      </c>
      <c r="C73" s="193">
        <v>0</v>
      </c>
      <c r="D73" s="193">
        <v>0</v>
      </c>
      <c r="E73" s="193"/>
      <c r="F73" s="193"/>
      <c r="G73" s="193"/>
      <c r="H73" s="193"/>
      <c r="I73" s="193"/>
      <c r="J73" s="193"/>
      <c r="K73" s="193"/>
      <c r="L73" s="193"/>
      <c r="M73" s="193"/>
      <c r="N73" s="193"/>
      <c r="O73" s="193"/>
      <c r="P73" s="193"/>
      <c r="Q73" s="193">
        <f t="shared" si="2"/>
        <v>0</v>
      </c>
      <c r="R73" s="193"/>
      <c r="S73" s="193">
        <v>70.510000000000005</v>
      </c>
      <c r="T73" s="195">
        <v>0</v>
      </c>
      <c r="U73" s="213">
        <f t="shared" si="3"/>
        <v>70.510000000000005</v>
      </c>
      <c r="X73" s="211">
        <v>50</v>
      </c>
      <c r="Z73">
        <v>45</v>
      </c>
    </row>
    <row r="74" spans="1:26" ht="15.75">
      <c r="A74" s="195" t="s">
        <v>372</v>
      </c>
      <c r="B74" s="193">
        <v>0</v>
      </c>
      <c r="C74" s="193">
        <v>0</v>
      </c>
      <c r="D74" s="193">
        <v>0</v>
      </c>
      <c r="E74" s="193"/>
      <c r="F74" s="193"/>
      <c r="G74" s="193"/>
      <c r="H74" s="193"/>
      <c r="I74" s="193"/>
      <c r="J74" s="193"/>
      <c r="K74" s="193"/>
      <c r="L74" s="193"/>
      <c r="M74" s="193"/>
      <c r="N74" s="193"/>
      <c r="O74" s="193"/>
      <c r="P74" s="193"/>
      <c r="Q74" s="193">
        <f t="shared" si="2"/>
        <v>0</v>
      </c>
      <c r="R74" s="193"/>
      <c r="S74" s="193">
        <v>70.510000000000005</v>
      </c>
      <c r="T74" s="195">
        <v>0</v>
      </c>
      <c r="U74" s="213">
        <f t="shared" si="3"/>
        <v>70.510000000000005</v>
      </c>
      <c r="X74" s="211">
        <v>50</v>
      </c>
      <c r="Z74">
        <v>45</v>
      </c>
    </row>
    <row r="75" spans="1:26" ht="15.75">
      <c r="A75" s="195" t="s">
        <v>373</v>
      </c>
      <c r="B75" s="193">
        <v>0</v>
      </c>
      <c r="C75" s="193">
        <v>0</v>
      </c>
      <c r="D75" s="193">
        <v>0</v>
      </c>
      <c r="E75" s="193"/>
      <c r="F75" s="193"/>
      <c r="G75" s="193"/>
      <c r="H75" s="193"/>
      <c r="I75" s="193"/>
      <c r="J75" s="193"/>
      <c r="K75" s="193"/>
      <c r="L75" s="193"/>
      <c r="M75" s="193"/>
      <c r="N75" s="193"/>
      <c r="O75" s="193"/>
      <c r="P75" s="193"/>
      <c r="Q75" s="193">
        <f t="shared" si="2"/>
        <v>0</v>
      </c>
      <c r="R75" s="193"/>
      <c r="S75" s="193">
        <v>70.510000000000005</v>
      </c>
      <c r="T75" s="195">
        <v>0</v>
      </c>
      <c r="U75" s="213">
        <f t="shared" si="3"/>
        <v>70.510000000000005</v>
      </c>
      <c r="X75" s="211">
        <v>50</v>
      </c>
      <c r="Z75">
        <v>45</v>
      </c>
    </row>
    <row r="76" spans="1:26" ht="15.75">
      <c r="A76" s="195" t="s">
        <v>374</v>
      </c>
      <c r="B76" s="193">
        <v>0</v>
      </c>
      <c r="C76" s="193">
        <v>0</v>
      </c>
      <c r="D76" s="193">
        <v>0</v>
      </c>
      <c r="E76" s="193"/>
      <c r="F76" s="193"/>
      <c r="G76" s="193"/>
      <c r="H76" s="193"/>
      <c r="I76" s="193"/>
      <c r="J76" s="193"/>
      <c r="K76" s="193"/>
      <c r="L76" s="193"/>
      <c r="M76" s="193"/>
      <c r="N76" s="193"/>
      <c r="O76" s="193"/>
      <c r="P76" s="193"/>
      <c r="Q76" s="193">
        <f t="shared" si="2"/>
        <v>0</v>
      </c>
      <c r="R76" s="193"/>
      <c r="S76" s="193">
        <v>70.510000000000005</v>
      </c>
      <c r="T76" s="195">
        <v>0</v>
      </c>
      <c r="U76" s="213">
        <f t="shared" si="3"/>
        <v>70.510000000000005</v>
      </c>
      <c r="X76" s="211">
        <v>50</v>
      </c>
      <c r="Z76">
        <v>45</v>
      </c>
    </row>
    <row r="77" spans="1:26" ht="15.75">
      <c r="A77" s="195" t="s">
        <v>375</v>
      </c>
      <c r="B77" s="193">
        <v>0</v>
      </c>
      <c r="C77" s="193">
        <v>0</v>
      </c>
      <c r="D77" s="193">
        <v>0</v>
      </c>
      <c r="E77" s="193"/>
      <c r="F77" s="193"/>
      <c r="G77" s="193"/>
      <c r="H77" s="193"/>
      <c r="I77" s="193"/>
      <c r="J77" s="193"/>
      <c r="K77" s="193"/>
      <c r="L77" s="193"/>
      <c r="M77" s="193"/>
      <c r="N77" s="193"/>
      <c r="O77" s="193"/>
      <c r="P77" s="193"/>
      <c r="Q77" s="193">
        <f t="shared" si="2"/>
        <v>0</v>
      </c>
      <c r="R77" s="193"/>
      <c r="S77" s="193">
        <v>70.510000000000005</v>
      </c>
      <c r="T77" s="195">
        <v>-140</v>
      </c>
      <c r="U77" s="213">
        <f t="shared" si="3"/>
        <v>-69.489999999999995</v>
      </c>
      <c r="X77" s="211">
        <v>50</v>
      </c>
      <c r="Z77">
        <v>45</v>
      </c>
    </row>
    <row r="78" spans="1:26" ht="15.75">
      <c r="A78" s="195" t="s">
        <v>376</v>
      </c>
      <c r="B78" s="193">
        <v>0</v>
      </c>
      <c r="C78" s="193">
        <v>0</v>
      </c>
      <c r="D78" s="193">
        <v>0</v>
      </c>
      <c r="E78" s="193"/>
      <c r="F78" s="193"/>
      <c r="G78" s="193"/>
      <c r="H78" s="193"/>
      <c r="I78" s="193"/>
      <c r="J78" s="193"/>
      <c r="K78" s="193"/>
      <c r="L78" s="193"/>
      <c r="M78" s="193"/>
      <c r="N78" s="193"/>
      <c r="O78" s="193"/>
      <c r="P78" s="193"/>
      <c r="Q78" s="193">
        <f t="shared" si="2"/>
        <v>0</v>
      </c>
      <c r="R78" s="193"/>
      <c r="S78" s="193">
        <v>70.510000000000005</v>
      </c>
      <c r="T78" s="195">
        <v>-140</v>
      </c>
      <c r="U78" s="213">
        <f t="shared" si="3"/>
        <v>-69.489999999999995</v>
      </c>
      <c r="X78" s="211">
        <v>50</v>
      </c>
      <c r="Z78">
        <v>45</v>
      </c>
    </row>
    <row r="79" spans="1:26" ht="15.75">
      <c r="A79" s="195" t="s">
        <v>377</v>
      </c>
      <c r="B79" s="193">
        <v>0</v>
      </c>
      <c r="C79" s="193">
        <v>0</v>
      </c>
      <c r="D79" s="193">
        <v>0</v>
      </c>
      <c r="E79" s="193"/>
      <c r="F79" s="193"/>
      <c r="G79" s="193"/>
      <c r="H79" s="193"/>
      <c r="I79" s="193"/>
      <c r="J79" s="193"/>
      <c r="K79" s="193"/>
      <c r="L79" s="193"/>
      <c r="M79" s="193"/>
      <c r="N79" s="193"/>
      <c r="O79" s="193"/>
      <c r="P79" s="193"/>
      <c r="Q79" s="193">
        <f t="shared" si="2"/>
        <v>0</v>
      </c>
      <c r="R79" s="193"/>
      <c r="S79" s="193">
        <v>70.510000000000005</v>
      </c>
      <c r="T79" s="195">
        <v>-140</v>
      </c>
      <c r="U79" s="213">
        <f t="shared" si="3"/>
        <v>-69.489999999999995</v>
      </c>
      <c r="X79" s="211">
        <v>50</v>
      </c>
      <c r="Z79">
        <v>45</v>
      </c>
    </row>
    <row r="80" spans="1:26" ht="15.75">
      <c r="A80" s="195" t="s">
        <v>378</v>
      </c>
      <c r="B80" s="193">
        <v>0</v>
      </c>
      <c r="C80" s="193">
        <v>0</v>
      </c>
      <c r="D80" s="193">
        <v>0</v>
      </c>
      <c r="E80" s="193"/>
      <c r="F80" s="193"/>
      <c r="G80" s="193"/>
      <c r="H80" s="193"/>
      <c r="I80" s="193"/>
      <c r="J80" s="193"/>
      <c r="K80" s="193"/>
      <c r="L80" s="193"/>
      <c r="M80" s="193"/>
      <c r="N80" s="193"/>
      <c r="O80" s="193"/>
      <c r="P80" s="193"/>
      <c r="Q80" s="193">
        <f t="shared" si="2"/>
        <v>0</v>
      </c>
      <c r="R80" s="193"/>
      <c r="S80" s="193">
        <v>70.510000000000005</v>
      </c>
      <c r="T80" s="195">
        <v>-140</v>
      </c>
      <c r="U80" s="213">
        <f t="shared" si="3"/>
        <v>-69.489999999999995</v>
      </c>
      <c r="X80" s="211">
        <v>50</v>
      </c>
      <c r="Z80">
        <v>45</v>
      </c>
    </row>
    <row r="81" spans="1:26" ht="15.75">
      <c r="A81" s="195" t="s">
        <v>379</v>
      </c>
      <c r="B81" s="193">
        <v>0</v>
      </c>
      <c r="C81" s="193">
        <v>0</v>
      </c>
      <c r="D81" s="193">
        <v>0</v>
      </c>
      <c r="E81" s="193"/>
      <c r="F81" s="193"/>
      <c r="G81" s="193"/>
      <c r="H81" s="193"/>
      <c r="I81" s="193"/>
      <c r="J81" s="193"/>
      <c r="K81" s="193">
        <v>-80</v>
      </c>
      <c r="L81" s="193"/>
      <c r="M81" s="193"/>
      <c r="N81" s="193"/>
      <c r="O81" s="193"/>
      <c r="P81" s="193"/>
      <c r="Q81" s="193">
        <f t="shared" si="2"/>
        <v>-80</v>
      </c>
      <c r="R81" s="193"/>
      <c r="S81" s="193">
        <v>70.510000000000005</v>
      </c>
      <c r="T81" s="195">
        <v>-140</v>
      </c>
      <c r="U81" s="213">
        <f>SUM(Q81:T81)</f>
        <v>-149.49</v>
      </c>
      <c r="X81" s="211">
        <v>50</v>
      </c>
      <c r="Z81">
        <v>45</v>
      </c>
    </row>
    <row r="82" spans="1:26" ht="15.75">
      <c r="A82" s="195" t="s">
        <v>380</v>
      </c>
      <c r="B82" s="193">
        <v>0</v>
      </c>
      <c r="C82" s="193">
        <v>0</v>
      </c>
      <c r="D82" s="193">
        <v>0</v>
      </c>
      <c r="E82" s="193"/>
      <c r="F82" s="193"/>
      <c r="G82" s="193"/>
      <c r="H82" s="193"/>
      <c r="I82" s="193"/>
      <c r="J82" s="193"/>
      <c r="K82" s="193">
        <v>-80</v>
      </c>
      <c r="L82" s="193"/>
      <c r="M82" s="193"/>
      <c r="N82" s="193"/>
      <c r="O82" s="193"/>
      <c r="P82" s="193"/>
      <c r="Q82" s="193">
        <f t="shared" si="2"/>
        <v>-80</v>
      </c>
      <c r="R82" s="193"/>
      <c r="S82" s="193">
        <v>70.510000000000005</v>
      </c>
      <c r="T82" s="195">
        <v>-140</v>
      </c>
      <c r="U82" s="213">
        <f t="shared" si="3"/>
        <v>-149.49</v>
      </c>
      <c r="X82" s="211">
        <v>50</v>
      </c>
      <c r="Z82">
        <v>45</v>
      </c>
    </row>
    <row r="83" spans="1:26" ht="15.75">
      <c r="A83" s="195" t="s">
        <v>381</v>
      </c>
      <c r="B83" s="193">
        <v>0</v>
      </c>
      <c r="C83" s="193">
        <v>0</v>
      </c>
      <c r="D83" s="193">
        <v>0</v>
      </c>
      <c r="E83" s="193"/>
      <c r="F83" s="193"/>
      <c r="G83" s="193"/>
      <c r="H83" s="193"/>
      <c r="I83" s="193"/>
      <c r="J83" s="193"/>
      <c r="K83" s="193">
        <v>-80</v>
      </c>
      <c r="L83" s="193"/>
      <c r="M83" s="193"/>
      <c r="N83" s="193"/>
      <c r="O83" s="193"/>
      <c r="P83" s="193"/>
      <c r="Q83" s="193">
        <f t="shared" si="2"/>
        <v>-80</v>
      </c>
      <c r="R83" s="193"/>
      <c r="S83" s="193">
        <v>70.510000000000005</v>
      </c>
      <c r="T83" s="195">
        <v>-140</v>
      </c>
      <c r="U83" s="213">
        <f t="shared" si="3"/>
        <v>-149.49</v>
      </c>
      <c r="X83" s="211">
        <v>0</v>
      </c>
    </row>
    <row r="84" spans="1:26" ht="15.75">
      <c r="A84" s="195" t="s">
        <v>382</v>
      </c>
      <c r="B84" s="193">
        <v>0</v>
      </c>
      <c r="C84" s="193">
        <v>0</v>
      </c>
      <c r="D84" s="193">
        <v>0</v>
      </c>
      <c r="E84" s="193"/>
      <c r="F84" s="193"/>
      <c r="G84" s="193"/>
      <c r="H84" s="193"/>
      <c r="I84" s="193"/>
      <c r="J84" s="193"/>
      <c r="K84" s="193">
        <v>-80</v>
      </c>
      <c r="L84" s="193"/>
      <c r="M84" s="193"/>
      <c r="N84" s="193"/>
      <c r="O84" s="193"/>
      <c r="P84" s="193"/>
      <c r="Q84" s="193">
        <f t="shared" si="2"/>
        <v>-80</v>
      </c>
      <c r="R84" s="193"/>
      <c r="S84" s="193">
        <v>70.510000000000005</v>
      </c>
      <c r="T84" s="195">
        <v>-140</v>
      </c>
      <c r="U84" s="213">
        <f t="shared" si="3"/>
        <v>-149.49</v>
      </c>
      <c r="X84" s="211">
        <v>0</v>
      </c>
    </row>
    <row r="85" spans="1:26" ht="15.75">
      <c r="A85" s="195" t="s">
        <v>383</v>
      </c>
      <c r="B85" s="193">
        <v>0</v>
      </c>
      <c r="C85" s="193">
        <v>0</v>
      </c>
      <c r="D85" s="193">
        <v>0</v>
      </c>
      <c r="E85" s="193"/>
      <c r="F85" s="193"/>
      <c r="G85" s="193"/>
      <c r="H85" s="193"/>
      <c r="I85" s="193"/>
      <c r="J85" s="193"/>
      <c r="K85" s="193">
        <v>-80</v>
      </c>
      <c r="L85" s="193"/>
      <c r="M85" s="193"/>
      <c r="N85" s="193"/>
      <c r="O85" s="193"/>
      <c r="P85" s="193"/>
      <c r="Q85" s="193">
        <f t="shared" si="2"/>
        <v>-80</v>
      </c>
      <c r="R85" s="193"/>
      <c r="S85" s="193">
        <v>70.510000000000005</v>
      </c>
      <c r="T85" s="195">
        <v>-140</v>
      </c>
      <c r="U85" s="213">
        <f t="shared" si="3"/>
        <v>-149.49</v>
      </c>
      <c r="X85" s="211">
        <v>0</v>
      </c>
    </row>
    <row r="86" spans="1:26" ht="15.75">
      <c r="A86" s="195" t="s">
        <v>384</v>
      </c>
      <c r="B86" s="193">
        <v>0</v>
      </c>
      <c r="C86" s="193">
        <v>0</v>
      </c>
      <c r="D86" s="193">
        <v>0</v>
      </c>
      <c r="E86" s="193"/>
      <c r="F86" s="193"/>
      <c r="G86" s="193"/>
      <c r="H86" s="193"/>
      <c r="I86" s="193"/>
      <c r="J86" s="193"/>
      <c r="K86" s="193">
        <v>-80</v>
      </c>
      <c r="L86" s="193"/>
      <c r="M86" s="193"/>
      <c r="N86" s="193"/>
      <c r="O86" s="193"/>
      <c r="P86" s="193"/>
      <c r="Q86" s="193">
        <f t="shared" si="2"/>
        <v>-80</v>
      </c>
      <c r="R86" s="193"/>
      <c r="S86" s="193">
        <v>70.510000000000005</v>
      </c>
      <c r="T86" s="195">
        <v>-140</v>
      </c>
      <c r="U86" s="213">
        <f t="shared" si="3"/>
        <v>-149.49</v>
      </c>
      <c r="X86" s="211">
        <v>0</v>
      </c>
    </row>
    <row r="87" spans="1:26" ht="15.75">
      <c r="A87" s="195" t="s">
        <v>385</v>
      </c>
      <c r="B87" s="193">
        <v>0</v>
      </c>
      <c r="C87" s="193">
        <v>0</v>
      </c>
      <c r="D87" s="193">
        <v>0</v>
      </c>
      <c r="E87" s="193"/>
      <c r="F87" s="193"/>
      <c r="G87" s="193"/>
      <c r="H87" s="193"/>
      <c r="I87" s="193"/>
      <c r="J87" s="193"/>
      <c r="K87" s="193">
        <v>-80</v>
      </c>
      <c r="L87" s="193"/>
      <c r="M87" s="193"/>
      <c r="N87" s="193"/>
      <c r="O87" s="193"/>
      <c r="P87" s="193"/>
      <c r="Q87" s="193">
        <f t="shared" si="2"/>
        <v>-80</v>
      </c>
      <c r="R87" s="193"/>
      <c r="S87" s="193">
        <v>70.510000000000005</v>
      </c>
      <c r="T87" s="195">
        <v>-140</v>
      </c>
      <c r="U87" s="213">
        <f t="shared" si="3"/>
        <v>-149.49</v>
      </c>
      <c r="X87" s="211">
        <v>0</v>
      </c>
    </row>
    <row r="88" spans="1:26" ht="15.75">
      <c r="A88" s="195" t="s">
        <v>386</v>
      </c>
      <c r="B88" s="193">
        <v>0</v>
      </c>
      <c r="C88" s="193">
        <v>0</v>
      </c>
      <c r="D88" s="193">
        <v>0</v>
      </c>
      <c r="E88" s="193"/>
      <c r="F88" s="193"/>
      <c r="G88" s="193"/>
      <c r="H88" s="193"/>
      <c r="I88" s="193"/>
      <c r="J88" s="193"/>
      <c r="K88" s="193">
        <v>-80</v>
      </c>
      <c r="L88" s="193"/>
      <c r="M88" s="193"/>
      <c r="N88" s="193"/>
      <c r="O88" s="193"/>
      <c r="P88" s="193"/>
      <c r="Q88" s="193">
        <f t="shared" si="2"/>
        <v>-80</v>
      </c>
      <c r="R88" s="193"/>
      <c r="S88" s="193">
        <v>70.510000000000005</v>
      </c>
      <c r="T88" s="195">
        <v>-140</v>
      </c>
      <c r="U88" s="213">
        <f t="shared" si="3"/>
        <v>-149.49</v>
      </c>
      <c r="X88" s="211">
        <v>0</v>
      </c>
    </row>
    <row r="89" spans="1:26" ht="15.75">
      <c r="A89" s="195" t="s">
        <v>387</v>
      </c>
      <c r="B89" s="193">
        <v>0</v>
      </c>
      <c r="C89" s="193">
        <v>0</v>
      </c>
      <c r="D89" s="193">
        <v>0</v>
      </c>
      <c r="E89" s="193"/>
      <c r="F89" s="193"/>
      <c r="G89" s="193"/>
      <c r="H89" s="193"/>
      <c r="I89" s="193"/>
      <c r="J89" s="193"/>
      <c r="K89" s="193">
        <v>-80</v>
      </c>
      <c r="L89" s="193"/>
      <c r="M89" s="193"/>
      <c r="N89" s="193"/>
      <c r="O89" s="193"/>
      <c r="P89" s="193"/>
      <c r="Q89" s="193">
        <f t="shared" si="2"/>
        <v>-80</v>
      </c>
      <c r="R89" s="193"/>
      <c r="S89" s="193">
        <v>70.510000000000005</v>
      </c>
      <c r="T89" s="195">
        <v>-140</v>
      </c>
      <c r="U89" s="213">
        <f t="shared" si="3"/>
        <v>-149.49</v>
      </c>
      <c r="X89" s="211">
        <v>0</v>
      </c>
    </row>
    <row r="90" spans="1:26" ht="15.75">
      <c r="A90" s="195" t="s">
        <v>388</v>
      </c>
      <c r="B90" s="193">
        <v>0</v>
      </c>
      <c r="C90" s="193">
        <v>0</v>
      </c>
      <c r="D90" s="193">
        <v>0</v>
      </c>
      <c r="E90" s="193"/>
      <c r="F90" s="193"/>
      <c r="G90" s="193"/>
      <c r="H90" s="193"/>
      <c r="I90" s="193"/>
      <c r="J90" s="193"/>
      <c r="K90" s="193">
        <v>-80</v>
      </c>
      <c r="L90" s="193"/>
      <c r="M90" s="193"/>
      <c r="N90" s="193"/>
      <c r="O90" s="193"/>
      <c r="P90" s="193"/>
      <c r="Q90" s="193">
        <f t="shared" si="2"/>
        <v>-80</v>
      </c>
      <c r="R90" s="193"/>
      <c r="S90" s="193">
        <v>70.510000000000005</v>
      </c>
      <c r="T90" s="195">
        <v>-140</v>
      </c>
      <c r="U90" s="213">
        <f t="shared" si="3"/>
        <v>-149.49</v>
      </c>
      <c r="X90" s="211">
        <v>0</v>
      </c>
    </row>
    <row r="91" spans="1:26" ht="15.75">
      <c r="A91" s="195" t="s">
        <v>389</v>
      </c>
      <c r="B91" s="193">
        <v>0</v>
      </c>
      <c r="C91" s="193">
        <v>0</v>
      </c>
      <c r="D91" s="193">
        <v>0</v>
      </c>
      <c r="E91" s="193"/>
      <c r="F91" s="193"/>
      <c r="G91" s="193"/>
      <c r="H91" s="193"/>
      <c r="I91" s="193"/>
      <c r="J91" s="193"/>
      <c r="K91" s="193">
        <v>-80</v>
      </c>
      <c r="L91" s="193"/>
      <c r="M91" s="193"/>
      <c r="N91" s="193"/>
      <c r="O91" s="193"/>
      <c r="P91" s="193"/>
      <c r="Q91" s="193">
        <f t="shared" si="2"/>
        <v>-80</v>
      </c>
      <c r="R91" s="193"/>
      <c r="S91" s="193">
        <v>70.510000000000005</v>
      </c>
      <c r="T91" s="195">
        <v>-140</v>
      </c>
      <c r="U91" s="213">
        <f t="shared" si="3"/>
        <v>-149.49</v>
      </c>
      <c r="X91" s="211">
        <v>0</v>
      </c>
    </row>
    <row r="92" spans="1:26" ht="15.75">
      <c r="A92" s="195" t="s">
        <v>390</v>
      </c>
      <c r="B92" s="193">
        <v>0</v>
      </c>
      <c r="C92" s="193">
        <v>0</v>
      </c>
      <c r="D92" s="193">
        <v>0</v>
      </c>
      <c r="E92" s="193"/>
      <c r="F92" s="193"/>
      <c r="G92" s="193"/>
      <c r="H92" s="193"/>
      <c r="I92" s="193"/>
      <c r="J92" s="193"/>
      <c r="K92" s="193">
        <v>-80</v>
      </c>
      <c r="L92" s="193"/>
      <c r="M92" s="193"/>
      <c r="N92" s="193"/>
      <c r="O92" s="193"/>
      <c r="P92" s="193"/>
      <c r="Q92" s="193">
        <f t="shared" si="2"/>
        <v>-80</v>
      </c>
      <c r="R92" s="193"/>
      <c r="S92" s="193">
        <v>70.510000000000005</v>
      </c>
      <c r="T92" s="195">
        <v>-140</v>
      </c>
      <c r="U92" s="213">
        <f t="shared" si="3"/>
        <v>-149.49</v>
      </c>
      <c r="X92" s="211">
        <v>0</v>
      </c>
    </row>
    <row r="93" spans="1:26" ht="15.75">
      <c r="A93" s="195" t="s">
        <v>391</v>
      </c>
      <c r="B93" s="193">
        <v>0</v>
      </c>
      <c r="C93" s="193">
        <v>0</v>
      </c>
      <c r="D93" s="193">
        <v>0</v>
      </c>
      <c r="E93" s="193"/>
      <c r="F93" s="193"/>
      <c r="G93" s="193"/>
      <c r="H93" s="193"/>
      <c r="I93" s="193"/>
      <c r="J93" s="193"/>
      <c r="K93" s="193">
        <v>-80</v>
      </c>
      <c r="L93" s="193"/>
      <c r="M93" s="193"/>
      <c r="N93" s="193"/>
      <c r="O93" s="193"/>
      <c r="P93" s="193"/>
      <c r="Q93" s="193">
        <f t="shared" si="2"/>
        <v>-80</v>
      </c>
      <c r="R93" s="193"/>
      <c r="S93" s="193">
        <v>70.510000000000005</v>
      </c>
      <c r="T93" s="195">
        <v>-140</v>
      </c>
      <c r="U93" s="213">
        <f t="shared" si="3"/>
        <v>-149.49</v>
      </c>
      <c r="X93" s="211">
        <v>0</v>
      </c>
    </row>
    <row r="94" spans="1:26" ht="15.75">
      <c r="A94" s="195" t="s">
        <v>392</v>
      </c>
      <c r="B94" s="193">
        <v>0</v>
      </c>
      <c r="C94" s="193">
        <v>0</v>
      </c>
      <c r="D94" s="193">
        <v>0</v>
      </c>
      <c r="E94" s="193"/>
      <c r="F94" s="193"/>
      <c r="G94" s="193"/>
      <c r="H94" s="193"/>
      <c r="I94" s="193"/>
      <c r="J94" s="193"/>
      <c r="K94" s="193">
        <v>-80</v>
      </c>
      <c r="L94" s="193"/>
      <c r="M94" s="193"/>
      <c r="N94" s="193"/>
      <c r="O94" s="193"/>
      <c r="P94" s="193"/>
      <c r="Q94" s="193">
        <f t="shared" si="2"/>
        <v>-80</v>
      </c>
      <c r="R94" s="193"/>
      <c r="S94" s="193">
        <v>70.510000000000005</v>
      </c>
      <c r="T94" s="195">
        <v>-140</v>
      </c>
      <c r="U94" s="213">
        <f t="shared" si="3"/>
        <v>-149.49</v>
      </c>
      <c r="X94" s="211">
        <v>0</v>
      </c>
    </row>
    <row r="95" spans="1:26" ht="15.75">
      <c r="A95" s="195" t="s">
        <v>393</v>
      </c>
      <c r="B95" s="193">
        <v>0</v>
      </c>
      <c r="C95" s="193">
        <v>0</v>
      </c>
      <c r="D95" s="193">
        <v>0</v>
      </c>
      <c r="E95" s="193"/>
      <c r="F95" s="193"/>
      <c r="G95" s="193"/>
      <c r="H95" s="193"/>
      <c r="I95" s="193"/>
      <c r="J95" s="193"/>
      <c r="K95" s="193">
        <v>-80</v>
      </c>
      <c r="L95" s="193"/>
      <c r="M95" s="193"/>
      <c r="N95" s="193"/>
      <c r="O95" s="193"/>
      <c r="P95" s="193"/>
      <c r="Q95" s="193">
        <f t="shared" si="2"/>
        <v>-80</v>
      </c>
      <c r="R95" s="193"/>
      <c r="S95" s="193">
        <v>70.510000000000005</v>
      </c>
      <c r="T95" s="195">
        <v>-140</v>
      </c>
      <c r="U95" s="213">
        <f t="shared" si="3"/>
        <v>-149.49</v>
      </c>
      <c r="X95" s="211">
        <v>0</v>
      </c>
    </row>
    <row r="96" spans="1:26" ht="15.75">
      <c r="A96" s="195" t="s">
        <v>394</v>
      </c>
      <c r="B96" s="193">
        <v>0</v>
      </c>
      <c r="C96" s="193">
        <v>0</v>
      </c>
      <c r="D96" s="193">
        <v>0</v>
      </c>
      <c r="E96" s="193"/>
      <c r="F96" s="193"/>
      <c r="G96" s="193"/>
      <c r="H96" s="193"/>
      <c r="I96" s="193"/>
      <c r="J96" s="193"/>
      <c r="K96" s="193">
        <v>-80</v>
      </c>
      <c r="L96" s="193"/>
      <c r="M96" s="193"/>
      <c r="N96" s="193"/>
      <c r="O96" s="193"/>
      <c r="P96" s="193"/>
      <c r="Q96" s="193">
        <f t="shared" si="2"/>
        <v>-80</v>
      </c>
      <c r="R96" s="193"/>
      <c r="S96" s="193">
        <v>70.510000000000005</v>
      </c>
      <c r="T96" s="195">
        <v>-140</v>
      </c>
      <c r="U96" s="213">
        <f t="shared" si="3"/>
        <v>-149.49</v>
      </c>
      <c r="X96" s="211">
        <v>0</v>
      </c>
    </row>
    <row r="97" spans="1:24" ht="15.75">
      <c r="A97" s="195" t="s">
        <v>395</v>
      </c>
      <c r="B97" s="193">
        <v>0</v>
      </c>
      <c r="C97" s="193">
        <v>0</v>
      </c>
      <c r="D97" s="193">
        <v>0</v>
      </c>
      <c r="E97" s="193"/>
      <c r="F97" s="193"/>
      <c r="G97" s="193"/>
      <c r="H97" s="193"/>
      <c r="I97" s="193"/>
      <c r="J97" s="193"/>
      <c r="K97" s="193">
        <v>-80</v>
      </c>
      <c r="L97" s="193"/>
      <c r="M97" s="193"/>
      <c r="N97" s="193"/>
      <c r="O97" s="193"/>
      <c r="P97" s="193"/>
      <c r="Q97" s="193">
        <f t="shared" si="2"/>
        <v>-80</v>
      </c>
      <c r="R97" s="193"/>
      <c r="S97" s="193">
        <v>70.510000000000005</v>
      </c>
      <c r="T97" s="195">
        <v>-140</v>
      </c>
      <c r="U97" s="213">
        <f t="shared" si="3"/>
        <v>-149.49</v>
      </c>
      <c r="X97" s="211">
        <v>0</v>
      </c>
    </row>
    <row r="98" spans="1:24" ht="15.75">
      <c r="A98" s="195" t="s">
        <v>396</v>
      </c>
      <c r="B98" s="193">
        <v>0</v>
      </c>
      <c r="C98" s="193">
        <v>0</v>
      </c>
      <c r="D98" s="193">
        <v>0</v>
      </c>
      <c r="E98" s="193"/>
      <c r="F98" s="193"/>
      <c r="G98" s="193"/>
      <c r="H98" s="193"/>
      <c r="I98" s="193"/>
      <c r="J98" s="193"/>
      <c r="K98" s="193">
        <v>-80</v>
      </c>
      <c r="L98" s="193"/>
      <c r="M98" s="193"/>
      <c r="N98" s="193"/>
      <c r="O98" s="193"/>
      <c r="P98" s="193"/>
      <c r="Q98" s="193">
        <f t="shared" si="2"/>
        <v>-80</v>
      </c>
      <c r="R98" s="193"/>
      <c r="S98" s="193">
        <v>70.510000000000005</v>
      </c>
      <c r="T98" s="195">
        <v>-140</v>
      </c>
      <c r="U98" s="213">
        <f t="shared" si="3"/>
        <v>-149.49</v>
      </c>
      <c r="X98" s="211">
        <v>0</v>
      </c>
    </row>
    <row r="99" spans="1:24">
      <c r="C99" s="210">
        <v>65</v>
      </c>
      <c r="D99" s="208"/>
      <c r="E99" s="208"/>
      <c r="T99" s="206"/>
    </row>
    <row r="100" spans="1:24">
      <c r="C100" s="208"/>
      <c r="D100" s="208"/>
      <c r="E100" s="208"/>
    </row>
    <row r="101" spans="1:24">
      <c r="C101" s="208"/>
      <c r="D101" s="208"/>
      <c r="E101" s="208"/>
    </row>
    <row r="102" spans="1:24">
      <c r="C102" s="208"/>
      <c r="D102" s="208"/>
      <c r="E102" s="208"/>
    </row>
    <row r="103" spans="1:24">
      <c r="C103" s="208"/>
      <c r="D103" s="208"/>
      <c r="E103" s="208"/>
    </row>
    <row r="104" spans="1:24">
      <c r="C104" s="208"/>
      <c r="D104" s="208"/>
      <c r="E104" s="208"/>
    </row>
    <row r="105" spans="1:24">
      <c r="C105" s="208"/>
      <c r="D105" s="208"/>
      <c r="E105" s="208"/>
    </row>
    <row r="106" spans="1:24">
      <c r="C106" s="208"/>
      <c r="D106" s="208"/>
      <c r="E106" s="208"/>
    </row>
    <row r="107" spans="1:24">
      <c r="C107" s="208"/>
      <c r="D107" s="208"/>
      <c r="E107" s="208"/>
    </row>
    <row r="108" spans="1:24">
      <c r="C108" s="208"/>
      <c r="D108" s="208"/>
      <c r="E108" s="208"/>
    </row>
    <row r="109" spans="1:24">
      <c r="C109" s="208"/>
      <c r="D109" s="208"/>
      <c r="E109" s="208"/>
    </row>
    <row r="110" spans="1:24">
      <c r="C110" s="208"/>
      <c r="D110" s="208"/>
      <c r="E110" s="208"/>
    </row>
    <row r="111" spans="1:24">
      <c r="C111" s="208"/>
      <c r="D111" s="208"/>
      <c r="E111" s="208"/>
    </row>
    <row r="112" spans="1:24">
      <c r="C112" s="208"/>
      <c r="D112" s="208"/>
      <c r="E112" s="208"/>
    </row>
    <row r="113" spans="3:5">
      <c r="C113" s="208"/>
      <c r="D113" s="208"/>
      <c r="E113" s="208"/>
    </row>
    <row r="114" spans="3:5">
      <c r="C114" s="208"/>
      <c r="D114" s="208"/>
      <c r="E114" s="208"/>
    </row>
    <row r="115" spans="3:5">
      <c r="C115" s="208"/>
      <c r="D115" s="208"/>
      <c r="E115" s="208"/>
    </row>
  </sheetData>
  <hyperlinks>
    <hyperlink ref="X45" r:id="rId1" display="Spectrum@2"/>
    <hyperlink ref="X46" r:id="rId2" display="Spectrum@2"/>
  </hyperlinks>
  <pageMargins left="0.7" right="0.7" top="0.75" bottom="0.75" header="0.3" footer="0.3"/>
  <pageSetup paperSize="9" orientation="portrait" verticalDpi="0"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197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7">
        <v>0</v>
      </c>
      <c r="J12" s="193"/>
      <c r="K12" s="193">
        <v>-50</v>
      </c>
      <c r="L12" s="193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7">
        <v>0</v>
      </c>
      <c r="J13" s="193"/>
      <c r="K13" s="193">
        <v>-50</v>
      </c>
      <c r="L13" s="193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7">
        <v>0</v>
      </c>
      <c r="J14" s="193"/>
      <c r="K14" s="193">
        <v>-50</v>
      </c>
      <c r="L14" s="193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7">
        <v>0</v>
      </c>
      <c r="J15" s="193"/>
      <c r="K15" s="193">
        <v>-50</v>
      </c>
      <c r="L15" s="193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7">
        <v>0</v>
      </c>
      <c r="J16" s="193"/>
      <c r="K16" s="193">
        <v>-50</v>
      </c>
      <c r="L16" s="193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7">
        <v>0</v>
      </c>
      <c r="J17" s="193"/>
      <c r="K17" s="193">
        <v>-50</v>
      </c>
      <c r="L17" s="193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7">
        <v>0</v>
      </c>
      <c r="J18" s="193"/>
      <c r="K18" s="193">
        <v>-50</v>
      </c>
      <c r="L18" s="193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7">
        <v>0</v>
      </c>
      <c r="J19" s="193"/>
      <c r="K19" s="193">
        <v>-50</v>
      </c>
      <c r="L19" s="193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7">
        <v>0</v>
      </c>
      <c r="J20" s="193"/>
      <c r="K20" s="193">
        <v>-50</v>
      </c>
      <c r="L20" s="193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193">
        <v>-50</v>
      </c>
      <c r="L21" s="193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193">
        <v>-50</v>
      </c>
      <c r="L22" s="193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193">
        <v>-50</v>
      </c>
      <c r="L23" s="193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193">
        <v>-50</v>
      </c>
      <c r="L24" s="193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193">
        <v>-50</v>
      </c>
      <c r="L25" s="193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193">
        <v>-50</v>
      </c>
      <c r="L26" s="193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193">
        <v>-50</v>
      </c>
      <c r="L27" s="193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193">
        <v>-50</v>
      </c>
      <c r="L28" s="193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193">
        <v>-50</v>
      </c>
      <c r="L29" s="193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193">
        <v>-50</v>
      </c>
      <c r="L30" s="193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193">
        <v>-50</v>
      </c>
      <c r="L31" s="193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193">
        <v>-50</v>
      </c>
      <c r="L32" s="193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193">
        <v>-50</v>
      </c>
      <c r="L33" s="193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193">
        <v>-50</v>
      </c>
      <c r="L34" s="193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193">
        <v>-50</v>
      </c>
      <c r="L35" s="193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193">
        <v>-50</v>
      </c>
      <c r="L36" s="193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193">
        <v>-50</v>
      </c>
      <c r="L37" s="193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193">
        <v>-50</v>
      </c>
      <c r="L38" s="193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200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3">
        <v>0</v>
      </c>
      <c r="J12" s="193"/>
      <c r="K12" s="202">
        <v>-50</v>
      </c>
      <c r="L12" s="202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3">
        <v>0</v>
      </c>
      <c r="J13" s="193"/>
      <c r="K13" s="202">
        <v>-50</v>
      </c>
      <c r="L13" s="202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3">
        <v>0</v>
      </c>
      <c r="J14" s="193"/>
      <c r="K14" s="202">
        <v>-50</v>
      </c>
      <c r="L14" s="202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3">
        <v>0</v>
      </c>
      <c r="J15" s="193"/>
      <c r="K15" s="202">
        <v>-50</v>
      </c>
      <c r="L15" s="202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3">
        <v>0</v>
      </c>
      <c r="J16" s="193"/>
      <c r="K16" s="202">
        <v>-50</v>
      </c>
      <c r="L16" s="202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3">
        <v>0</v>
      </c>
      <c r="J17" s="193"/>
      <c r="K17" s="202">
        <v>-50</v>
      </c>
      <c r="L17" s="202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3">
        <v>0</v>
      </c>
      <c r="J18" s="193"/>
      <c r="K18" s="202">
        <v>-50</v>
      </c>
      <c r="L18" s="202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3">
        <v>0</v>
      </c>
      <c r="J19" s="193"/>
      <c r="K19" s="202">
        <v>-50</v>
      </c>
      <c r="L19" s="202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3">
        <v>0</v>
      </c>
      <c r="J20" s="193"/>
      <c r="K20" s="202">
        <v>-50</v>
      </c>
      <c r="L20" s="202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202">
        <v>-50</v>
      </c>
      <c r="L21" s="202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202">
        <v>-50</v>
      </c>
      <c r="L22" s="202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202">
        <v>-50</v>
      </c>
      <c r="L23" s="202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202">
        <v>-50</v>
      </c>
      <c r="L24" s="202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202">
        <v>-50</v>
      </c>
      <c r="L25" s="202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202">
        <v>-50</v>
      </c>
      <c r="L26" s="202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202">
        <v>-50</v>
      </c>
      <c r="L27" s="202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202">
        <v>-50</v>
      </c>
      <c r="L28" s="202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202">
        <v>-50</v>
      </c>
      <c r="L29" s="202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202">
        <v>-50</v>
      </c>
      <c r="L30" s="202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202">
        <v>-50</v>
      </c>
      <c r="L31" s="202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202">
        <v>-50</v>
      </c>
      <c r="L32" s="202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202">
        <v>-50</v>
      </c>
      <c r="L33" s="202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202">
        <v>-50</v>
      </c>
      <c r="L34" s="202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202">
        <v>-50</v>
      </c>
      <c r="L35" s="202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202">
        <v>-50</v>
      </c>
      <c r="L36" s="202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202">
        <v>-50</v>
      </c>
      <c r="L37" s="202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202">
        <v>-50</v>
      </c>
      <c r="L38" s="202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01</vt:lpstr>
      <vt:lpstr>Sample</vt:lpstr>
      <vt:lpstr>Calc</vt:lpstr>
      <vt:lpstr>Sheet6</vt:lpstr>
      <vt:lpstr>Schedule daily update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2026-04-20T04:51:05Z</cp:lastPrinted>
  <dcterms:created xsi:type="dcterms:W3CDTF">2026-03-14T18:22:56Z</dcterms:created>
  <dcterms:modified xsi:type="dcterms:W3CDTF">2026-05-15T10:19:37Z</dcterms:modified>
</cp:coreProperties>
</file>