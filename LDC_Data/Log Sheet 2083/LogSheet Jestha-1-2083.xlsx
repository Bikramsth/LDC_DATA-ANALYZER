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35" i="72" l="1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BQ89" i="72"/>
  <c r="AI89" i="72"/>
  <c r="AH89" i="72"/>
  <c r="BV88" i="72"/>
  <c r="BS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W113" i="72" l="1"/>
  <c r="W115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AC124" i="72"/>
  <c r="I123" i="72"/>
  <c r="AS23" i="72" s="1"/>
  <c r="AY23" i="72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Y124" i="72"/>
  <c r="Y116" i="72"/>
  <c r="Y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V124" i="72" l="1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<sst xmlns="http://schemas.openxmlformats.org/spreadsheetml/2006/main" count="952" uniqueCount="413">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</sst>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13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W127" sqref="W1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904.69999999999993</v>
      </c>
      <c r="V7" s="35">
        <f t="shared" si="1"/>
        <v>858.59999999999991</v>
      </c>
      <c r="W7" s="35">
        <f t="shared" si="1"/>
        <v>832.09999999999991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909.7</v>
      </c>
      <c r="BD22" s="60">
        <f t="shared" si="16"/>
        <v>877.59999999999991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904.7</v>
      </c>
      <c r="BD25" s="60">
        <f t="shared" si="19"/>
        <v>858.59999999999991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8.1999999999999993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ref="W78" si="37">SUM(W72:W77)</f>
        <v>324.79999999999995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8">D97</f>
        <v>-135.19999999999999</v>
      </c>
      <c r="BB79" s="81">
        <f t="shared" si="38"/>
        <v>-170.5</v>
      </c>
      <c r="BC79" s="81">
        <f t="shared" si="38"/>
        <v>-230</v>
      </c>
      <c r="BD79" s="81">
        <f t="shared" si="38"/>
        <v>-230</v>
      </c>
      <c r="BE79" s="82">
        <f>I97</f>
        <v>-220</v>
      </c>
      <c r="BF79" s="82">
        <f>K97</f>
        <v>-220</v>
      </c>
      <c r="BG79" s="82">
        <f t="shared" ref="BG79:BP83" si="39">M97</f>
        <v>-245.6</v>
      </c>
      <c r="BH79" s="82">
        <f t="shared" si="39"/>
        <v>-200</v>
      </c>
      <c r="BI79" s="82">
        <f t="shared" si="39"/>
        <v>-284</v>
      </c>
      <c r="BJ79" s="82">
        <f t="shared" si="39"/>
        <v>-293.60000000000002</v>
      </c>
      <c r="BK79" s="82">
        <f t="shared" si="39"/>
        <v>228.5</v>
      </c>
      <c r="BL79" s="82">
        <f t="shared" si="39"/>
        <v>112</v>
      </c>
      <c r="BM79" s="82">
        <f t="shared" si="39"/>
        <v>171.4</v>
      </c>
      <c r="BN79" s="82">
        <f t="shared" si="39"/>
        <v>142</v>
      </c>
      <c r="BO79" s="82">
        <f t="shared" si="39"/>
        <v>-5</v>
      </c>
      <c r="BP79" s="82">
        <f t="shared" si="39"/>
        <v>-19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26.8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22</v>
      </c>
      <c r="BF80" s="82">
        <f>K98</f>
        <v>22</v>
      </c>
      <c r="BG80" s="82">
        <f t="shared" si="39"/>
        <v>22</v>
      </c>
      <c r="BH80" s="82">
        <f t="shared" si="39"/>
        <v>23</v>
      </c>
      <c r="BI80" s="82">
        <f t="shared" si="39"/>
        <v>25</v>
      </c>
      <c r="BJ80" s="82">
        <f t="shared" si="39"/>
        <v>26.3</v>
      </c>
      <c r="BK80" s="82">
        <f t="shared" si="39"/>
        <v>27.2</v>
      </c>
      <c r="BL80" s="82">
        <f t="shared" si="39"/>
        <v>29.9</v>
      </c>
      <c r="BM80" s="82">
        <f t="shared" si="39"/>
        <v>29</v>
      </c>
      <c r="BN80" s="82">
        <f t="shared" si="39"/>
        <v>27.5</v>
      </c>
      <c r="BO80" s="82">
        <f t="shared" si="39"/>
        <v>28.2</v>
      </c>
      <c r="BP80" s="82">
        <f t="shared" si="39"/>
        <v>4.8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8"/>
        <v>46.6</v>
      </c>
      <c r="BB81" s="81">
        <f t="shared" si="38"/>
        <v>45.5</v>
      </c>
      <c r="BC81" s="81">
        <f t="shared" si="38"/>
        <v>45.5</v>
      </c>
      <c r="BD81" s="81">
        <f t="shared" si="38"/>
        <v>45.5</v>
      </c>
      <c r="BE81" s="82">
        <f>I99</f>
        <v>40</v>
      </c>
      <c r="BF81" s="82">
        <f>K99</f>
        <v>38</v>
      </c>
      <c r="BG81" s="82">
        <f t="shared" si="39"/>
        <v>27.3</v>
      </c>
      <c r="BH81" s="82">
        <f t="shared" si="39"/>
        <v>30</v>
      </c>
      <c r="BI81" s="82">
        <f t="shared" si="39"/>
        <v>32</v>
      </c>
      <c r="BJ81" s="82">
        <f t="shared" si="39"/>
        <v>36.299999999999997</v>
      </c>
      <c r="BK81" s="82">
        <f t="shared" si="39"/>
        <v>45.5</v>
      </c>
      <c r="BL81" s="82">
        <f t="shared" si="39"/>
        <v>40.299999999999997</v>
      </c>
      <c r="BM81" s="82">
        <f t="shared" si="39"/>
        <v>42.2</v>
      </c>
      <c r="BN81" s="82">
        <f t="shared" si="39"/>
        <v>44.3</v>
      </c>
      <c r="BO81" s="82">
        <f t="shared" si="39"/>
        <v>41.2</v>
      </c>
      <c r="BP81" s="82">
        <f t="shared" si="39"/>
        <v>37.4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8"/>
        <v>19.100000000000001</v>
      </c>
      <c r="BB82" s="81">
        <f t="shared" si="38"/>
        <v>20.8</v>
      </c>
      <c r="BC82" s="81">
        <f t="shared" si="38"/>
        <v>20.8</v>
      </c>
      <c r="BD82" s="81">
        <f t="shared" si="38"/>
        <v>20.8</v>
      </c>
      <c r="BE82" s="82">
        <f>I100</f>
        <v>15.89</v>
      </c>
      <c r="BF82" s="82">
        <f>K100</f>
        <v>14.5</v>
      </c>
      <c r="BG82" s="82">
        <f t="shared" si="39"/>
        <v>14.5</v>
      </c>
      <c r="BH82" s="82">
        <f t="shared" si="39"/>
        <v>11.9</v>
      </c>
      <c r="BI82" s="82">
        <f t="shared" si="39"/>
        <v>10.6</v>
      </c>
      <c r="BJ82" s="82">
        <f t="shared" si="39"/>
        <v>12.3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11.6</v>
      </c>
      <c r="BP82" s="82">
        <f t="shared" si="39"/>
        <v>15.5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46</v>
      </c>
      <c r="BE83" s="82">
        <f>I101</f>
        <v>38.35</v>
      </c>
      <c r="BF83" s="82">
        <f>K101</f>
        <v>46.8</v>
      </c>
      <c r="BG83" s="82">
        <f t="shared" si="39"/>
        <v>46.8</v>
      </c>
      <c r="BH83" s="82">
        <f t="shared" si="39"/>
        <v>51</v>
      </c>
      <c r="BI83" s="82">
        <f t="shared" si="39"/>
        <v>46.5</v>
      </c>
      <c r="BJ83" s="82">
        <f t="shared" si="39"/>
        <v>56.9</v>
      </c>
      <c r="BK83" s="82">
        <f t="shared" si="39"/>
        <v>54.4</v>
      </c>
      <c r="BL83" s="82">
        <f t="shared" si="39"/>
        <v>53.8</v>
      </c>
      <c r="BM83" s="82">
        <f t="shared" si="39"/>
        <v>46.7</v>
      </c>
      <c r="BN83" s="82">
        <f t="shared" si="39"/>
        <v>49.89</v>
      </c>
      <c r="BO83" s="82">
        <f t="shared" si="39"/>
        <v>51.6</v>
      </c>
      <c r="BP83" s="82">
        <f t="shared" si="39"/>
        <v>52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2">VALUE(AZ79)</f>
        <v>-233</v>
      </c>
      <c r="BA86" s="82">
        <f t="shared" si="42"/>
        <v>-135.19999999999999</v>
      </c>
      <c r="BB86" s="82">
        <f t="shared" si="42"/>
        <v>-170.5</v>
      </c>
      <c r="BC86" s="82">
        <f t="shared" si="42"/>
        <v>-230</v>
      </c>
      <c r="BD86" s="82">
        <f t="shared" si="42"/>
        <v>-230</v>
      </c>
      <c r="BE86" s="82">
        <f t="shared" si="42"/>
        <v>-220</v>
      </c>
      <c r="BF86" s="82">
        <f t="shared" si="42"/>
        <v>-220</v>
      </c>
      <c r="BG86" s="82">
        <f t="shared" si="42"/>
        <v>-245.6</v>
      </c>
      <c r="BH86" s="82">
        <f t="shared" si="42"/>
        <v>-200</v>
      </c>
      <c r="BI86" s="82">
        <f t="shared" si="42"/>
        <v>-284</v>
      </c>
      <c r="BJ86" s="82">
        <f t="shared" si="42"/>
        <v>-293.60000000000002</v>
      </c>
      <c r="BK86" s="82">
        <f t="shared" si="42"/>
        <v>228.5</v>
      </c>
      <c r="BL86" s="82">
        <f t="shared" si="42"/>
        <v>112</v>
      </c>
      <c r="BM86" s="82">
        <f t="shared" si="42"/>
        <v>171.4</v>
      </c>
      <c r="BN86" s="82">
        <f t="shared" si="42"/>
        <v>142</v>
      </c>
      <c r="BO86" s="82">
        <f t="shared" si="42"/>
        <v>-5</v>
      </c>
      <c r="BP86" s="82">
        <f t="shared" si="42"/>
        <v>-19</v>
      </c>
      <c r="BQ86" s="82">
        <f t="shared" si="42"/>
        <v>0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22</v>
      </c>
      <c r="BF87" s="82">
        <f t="shared" si="42"/>
        <v>22</v>
      </c>
      <c r="BG87" s="82">
        <f t="shared" si="42"/>
        <v>22</v>
      </c>
      <c r="BH87" s="82">
        <f t="shared" si="42"/>
        <v>23</v>
      </c>
      <c r="BI87" s="82">
        <f t="shared" si="42"/>
        <v>25</v>
      </c>
      <c r="BJ87" s="82">
        <f t="shared" si="42"/>
        <v>26.3</v>
      </c>
      <c r="BK87" s="82">
        <f t="shared" si="42"/>
        <v>27.2</v>
      </c>
      <c r="BL87" s="82">
        <f t="shared" si="42"/>
        <v>29.9</v>
      </c>
      <c r="BM87" s="82">
        <f t="shared" si="42"/>
        <v>29</v>
      </c>
      <c r="BN87" s="82">
        <f t="shared" si="42"/>
        <v>27.5</v>
      </c>
      <c r="BO87" s="82">
        <f t="shared" si="42"/>
        <v>28.2</v>
      </c>
      <c r="BP87" s="82">
        <f t="shared" si="42"/>
        <v>4.8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7.7</v>
      </c>
      <c r="AK88" s="49"/>
      <c r="AZ88" s="82">
        <f t="shared" si="42"/>
        <v>47</v>
      </c>
      <c r="BA88" s="82">
        <f t="shared" si="42"/>
        <v>46.6</v>
      </c>
      <c r="BB88" s="82">
        <f t="shared" si="42"/>
        <v>45.5</v>
      </c>
      <c r="BC88" s="82">
        <f t="shared" si="42"/>
        <v>45.5</v>
      </c>
      <c r="BD88" s="82">
        <f t="shared" si="42"/>
        <v>45.5</v>
      </c>
      <c r="BE88" s="82">
        <f t="shared" si="42"/>
        <v>40</v>
      </c>
      <c r="BF88" s="82">
        <f t="shared" si="42"/>
        <v>38</v>
      </c>
      <c r="BG88" s="82">
        <f t="shared" si="42"/>
        <v>27.3</v>
      </c>
      <c r="BH88" s="82">
        <f t="shared" si="42"/>
        <v>30</v>
      </c>
      <c r="BI88" s="82">
        <f t="shared" si="42"/>
        <v>32</v>
      </c>
      <c r="BJ88" s="82">
        <f t="shared" si="42"/>
        <v>36.299999999999997</v>
      </c>
      <c r="BK88" s="82">
        <f t="shared" si="42"/>
        <v>45.5</v>
      </c>
      <c r="BL88" s="82">
        <f t="shared" si="42"/>
        <v>40.299999999999997</v>
      </c>
      <c r="BM88" s="82">
        <f t="shared" si="42"/>
        <v>42.2</v>
      </c>
      <c r="BN88" s="82">
        <f t="shared" si="42"/>
        <v>44.3</v>
      </c>
      <c r="BO88" s="82">
        <f t="shared" si="42"/>
        <v>41.2</v>
      </c>
      <c r="BP88" s="82">
        <f t="shared" si="42"/>
        <v>37.4</v>
      </c>
      <c r="BQ88" s="82">
        <f t="shared" si="42"/>
        <v>0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2"/>
        <v>18</v>
      </c>
      <c r="BA89" s="82">
        <f t="shared" si="42"/>
        <v>19.100000000000001</v>
      </c>
      <c r="BB89" s="82">
        <f t="shared" si="42"/>
        <v>20.8</v>
      </c>
      <c r="BC89" s="82">
        <f t="shared" si="42"/>
        <v>20.8</v>
      </c>
      <c r="BD89" s="82">
        <f t="shared" si="42"/>
        <v>20.8</v>
      </c>
      <c r="BE89" s="82">
        <f t="shared" si="42"/>
        <v>15.89</v>
      </c>
      <c r="BF89" s="82">
        <f t="shared" si="42"/>
        <v>14.5</v>
      </c>
      <c r="BG89" s="82">
        <f t="shared" si="42"/>
        <v>14.5</v>
      </c>
      <c r="BH89" s="82">
        <f t="shared" si="42"/>
        <v>11.9</v>
      </c>
      <c r="BI89" s="82">
        <f t="shared" si="42"/>
        <v>10.6</v>
      </c>
      <c r="BJ89" s="82">
        <f t="shared" si="42"/>
        <v>12.3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11.6</v>
      </c>
      <c r="BP89" s="82">
        <f t="shared" si="42"/>
        <v>15.5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46</v>
      </c>
      <c r="BE90" s="82">
        <f t="shared" si="42"/>
        <v>38.35</v>
      </c>
      <c r="BF90" s="82">
        <f t="shared" si="42"/>
        <v>46.8</v>
      </c>
      <c r="BG90" s="82">
        <f t="shared" si="42"/>
        <v>46.8</v>
      </c>
      <c r="BH90" s="82">
        <f t="shared" si="42"/>
        <v>51</v>
      </c>
      <c r="BI90" s="82">
        <f t="shared" si="42"/>
        <v>46.5</v>
      </c>
      <c r="BJ90" s="82">
        <f t="shared" si="42"/>
        <v>56.9</v>
      </c>
      <c r="BK90" s="82">
        <f t="shared" si="42"/>
        <v>54.4</v>
      </c>
      <c r="BL90" s="82">
        <f t="shared" si="42"/>
        <v>53.8</v>
      </c>
      <c r="BM90" s="82">
        <f t="shared" si="42"/>
        <v>46.7</v>
      </c>
      <c r="BN90" s="82">
        <f t="shared" si="42"/>
        <v>49.89</v>
      </c>
      <c r="BO90" s="82">
        <f t="shared" si="42"/>
        <v>51.6</v>
      </c>
      <c r="BP90" s="82">
        <f t="shared" si="42"/>
        <v>52</v>
      </c>
      <c r="BQ90" s="82">
        <f t="shared" si="42"/>
        <v>0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C92" si="43">SUM(B79:B91)</f>
        <v>317.10000000000008</v>
      </c>
      <c r="C92" s="70">
        <f t="shared" si="43"/>
        <v>298.60000000000008</v>
      </c>
      <c r="D92" s="70">
        <f t="shared" ref="D92:E92" si="44">SUM(D79:D91)</f>
        <v>300.90000000000003</v>
      </c>
      <c r="E92" s="70">
        <f t="shared" si="44"/>
        <v>307.00000000000006</v>
      </c>
      <c r="F92" s="70">
        <f t="shared" ref="F92:AG92" si="45">SUM(F79:F91)</f>
        <v>307.00000000000006</v>
      </c>
      <c r="G92" s="70">
        <f t="shared" si="45"/>
        <v>307.00000000000006</v>
      </c>
      <c r="H92" s="70">
        <f t="shared" si="45"/>
        <v>329.90000000000003</v>
      </c>
      <c r="I92" s="70">
        <f t="shared" si="45"/>
        <v>329.90000000000003</v>
      </c>
      <c r="J92" s="70">
        <f t="shared" si="45"/>
        <v>329.90000000000003</v>
      </c>
      <c r="K92" s="70">
        <f t="shared" si="45"/>
        <v>329.90000000000003</v>
      </c>
      <c r="L92" s="70">
        <f t="shared" si="45"/>
        <v>329.90000000000003</v>
      </c>
      <c r="M92" s="70">
        <f t="shared" ref="M92:N92" si="46">SUM(M79:M91)</f>
        <v>339.50000000000006</v>
      </c>
      <c r="N92" s="70">
        <f t="shared" si="46"/>
        <v>342.17</v>
      </c>
      <c r="O92" s="70">
        <f t="shared" ref="O92:P92" si="47">SUM(O79:O91)</f>
        <v>354.37</v>
      </c>
      <c r="P92" s="70">
        <f t="shared" si="47"/>
        <v>348.77000000000004</v>
      </c>
      <c r="Q92" s="70">
        <f t="shared" ref="Q92:R92" si="48">SUM(Q79:Q91)</f>
        <v>319.37000000000006</v>
      </c>
      <c r="R92" s="70">
        <f t="shared" si="48"/>
        <v>327.87</v>
      </c>
      <c r="S92" s="70">
        <f t="shared" si="45"/>
        <v>325.70000000000005</v>
      </c>
      <c r="T92" s="70">
        <f t="shared" si="45"/>
        <v>326.7</v>
      </c>
      <c r="U92" s="70">
        <f t="shared" si="45"/>
        <v>317.39999999999998</v>
      </c>
      <c r="V92" s="70">
        <f t="shared" si="45"/>
        <v>286.60000000000002</v>
      </c>
      <c r="W92" s="70">
        <f t="shared" ref="W92" si="49">SUM(W79:W91)</f>
        <v>285.39999999999998</v>
      </c>
      <c r="X92" s="70">
        <f t="shared" si="45"/>
        <v>2</v>
      </c>
      <c r="Y92" s="70">
        <f t="shared" si="45"/>
        <v>2</v>
      </c>
      <c r="Z92" s="70">
        <f t="shared" si="45"/>
        <v>2</v>
      </c>
      <c r="AA92" s="70">
        <f t="shared" si="45"/>
        <v>2</v>
      </c>
      <c r="AB92" s="70">
        <f t="shared" si="45"/>
        <v>2</v>
      </c>
      <c r="AC92" s="70">
        <f t="shared" si="45"/>
        <v>2</v>
      </c>
      <c r="AD92" s="70">
        <f t="shared" si="45"/>
        <v>2</v>
      </c>
      <c r="AE92" s="70">
        <f t="shared" si="45"/>
        <v>2</v>
      </c>
      <c r="AF92" s="70">
        <f t="shared" si="45"/>
        <v>2</v>
      </c>
      <c r="AG92" s="80">
        <f t="shared" si="45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0">B93+B94+B95</f>
        <v>0</v>
      </c>
      <c r="C96" s="70">
        <f t="shared" si="50"/>
        <v>0</v>
      </c>
      <c r="D96" s="70">
        <f t="shared" ref="D96:E96" si="51">D93+D94+D95</f>
        <v>0</v>
      </c>
      <c r="E96" s="70">
        <f t="shared" si="51"/>
        <v>0</v>
      </c>
      <c r="F96" s="70">
        <f t="shared" ref="F96:AF96" si="52">F93+F94+F95</f>
        <v>0</v>
      </c>
      <c r="G96" s="70">
        <f t="shared" si="52"/>
        <v>0</v>
      </c>
      <c r="H96" s="70">
        <f t="shared" si="52"/>
        <v>0</v>
      </c>
      <c r="I96" s="70">
        <f t="shared" si="52"/>
        <v>0</v>
      </c>
      <c r="J96" s="70">
        <f t="shared" si="52"/>
        <v>0</v>
      </c>
      <c r="K96" s="70">
        <f t="shared" si="52"/>
        <v>0</v>
      </c>
      <c r="L96" s="70">
        <f t="shared" si="52"/>
        <v>0</v>
      </c>
      <c r="M96" s="70">
        <f t="shared" ref="M96:N96" si="53">M93+M94+M95</f>
        <v>0</v>
      </c>
      <c r="N96" s="70">
        <f t="shared" si="53"/>
        <v>0</v>
      </c>
      <c r="O96" s="70">
        <f t="shared" ref="O96:P96" si="54">O93+O94+O95</f>
        <v>0</v>
      </c>
      <c r="P96" s="70">
        <f t="shared" si="54"/>
        <v>0</v>
      </c>
      <c r="Q96" s="70">
        <f t="shared" ref="Q96:R96" si="55">Q93+Q94+Q95</f>
        <v>0</v>
      </c>
      <c r="R96" s="70">
        <f t="shared" si="55"/>
        <v>0</v>
      </c>
      <c r="S96" s="70">
        <f t="shared" si="52"/>
        <v>0</v>
      </c>
      <c r="T96" s="70">
        <f t="shared" si="52"/>
        <v>0</v>
      </c>
      <c r="U96" s="70">
        <f t="shared" si="52"/>
        <v>48.2</v>
      </c>
      <c r="V96" s="70">
        <f t="shared" si="52"/>
        <v>23</v>
      </c>
      <c r="W96" s="70">
        <f t="shared" ref="W96" si="56">W93+W94+W95</f>
        <v>23</v>
      </c>
      <c r="X96" s="70">
        <f t="shared" si="52"/>
        <v>0</v>
      </c>
      <c r="Y96" s="70">
        <f t="shared" si="52"/>
        <v>0</v>
      </c>
      <c r="Z96" s="70">
        <f t="shared" si="52"/>
        <v>0</v>
      </c>
      <c r="AA96" s="70">
        <f t="shared" si="52"/>
        <v>0</v>
      </c>
      <c r="AB96" s="70">
        <f t="shared" si="52"/>
        <v>0</v>
      </c>
      <c r="AC96" s="70">
        <f t="shared" si="52"/>
        <v>0</v>
      </c>
      <c r="AD96" s="70">
        <f t="shared" si="52"/>
        <v>0</v>
      </c>
      <c r="AE96" s="70">
        <f t="shared" si="52"/>
        <v>0</v>
      </c>
      <c r="AF96" s="70">
        <f t="shared" si="52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7">SUMIF(B97:B107,"&gt;0")</f>
        <v>123</v>
      </c>
      <c r="C108" s="70">
        <f t="shared" si="57"/>
        <v>127.2</v>
      </c>
      <c r="D108" s="70">
        <f t="shared" ref="D108:E108" si="58">SUMIF(D97:D107,"&gt;0")</f>
        <v>126.2</v>
      </c>
      <c r="E108" s="70">
        <f t="shared" si="58"/>
        <v>124.69999999999999</v>
      </c>
      <c r="F108" s="70">
        <f t="shared" ref="F108:AF108" si="59">SUMIF(F97:F107,"&gt;0")</f>
        <v>124.69999999999999</v>
      </c>
      <c r="G108" s="70">
        <f t="shared" si="59"/>
        <v>170.7</v>
      </c>
      <c r="H108" s="70">
        <f t="shared" si="59"/>
        <v>148.24</v>
      </c>
      <c r="I108" s="70">
        <f t="shared" si="59"/>
        <v>170.24</v>
      </c>
      <c r="J108" s="70">
        <f t="shared" si="59"/>
        <v>170.24</v>
      </c>
      <c r="K108" s="70">
        <f t="shared" si="59"/>
        <v>177.6</v>
      </c>
      <c r="L108" s="70">
        <f t="shared" si="59"/>
        <v>177.6</v>
      </c>
      <c r="M108" s="70">
        <f t="shared" ref="M108:N108" si="60">SUMIF(M97:M107,"&gt;0")</f>
        <v>162.19999999999999</v>
      </c>
      <c r="N108" s="70">
        <f t="shared" si="60"/>
        <v>175.9</v>
      </c>
      <c r="O108" s="70">
        <f t="shared" ref="O108" si="61">SUMIF(O97:O107,"&gt;0")</f>
        <v>180.5</v>
      </c>
      <c r="P108" s="70">
        <f t="shared" si="59"/>
        <v>195.09999999999997</v>
      </c>
      <c r="Q108" s="70">
        <f t="shared" ref="Q108:R108" si="62">SUMIF(Q97:Q107,"&gt;0")</f>
        <v>420.19999999999993</v>
      </c>
      <c r="R108" s="70">
        <f t="shared" si="62"/>
        <v>283.89999999999998</v>
      </c>
      <c r="S108" s="70">
        <f t="shared" si="59"/>
        <v>355.6</v>
      </c>
      <c r="T108" s="70">
        <f t="shared" si="59"/>
        <v>330.39</v>
      </c>
      <c r="U108" s="70">
        <f t="shared" si="59"/>
        <v>199.5</v>
      </c>
      <c r="V108" s="70">
        <f t="shared" si="59"/>
        <v>173.2</v>
      </c>
      <c r="W108" s="70">
        <f t="shared" si="59"/>
        <v>193.89999999999998</v>
      </c>
      <c r="X108" s="70">
        <f t="shared" si="59"/>
        <v>0</v>
      </c>
      <c r="Y108" s="70">
        <f t="shared" si="59"/>
        <v>0</v>
      </c>
      <c r="Z108" s="70">
        <f t="shared" si="59"/>
        <v>0</v>
      </c>
      <c r="AA108" s="70">
        <f t="shared" si="59"/>
        <v>0</v>
      </c>
      <c r="AB108" s="70">
        <f t="shared" si="59"/>
        <v>0</v>
      </c>
      <c r="AC108" s="70">
        <f t="shared" si="59"/>
        <v>0</v>
      </c>
      <c r="AD108" s="70">
        <f t="shared" si="59"/>
        <v>0</v>
      </c>
      <c r="AE108" s="70">
        <f t="shared" si="59"/>
        <v>0</v>
      </c>
      <c r="AF108" s="70">
        <f t="shared" si="59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3">B71+B78+B96+B92+B108+B112</f>
        <v>1857.7700000000002</v>
      </c>
      <c r="C113" s="108">
        <f t="shared" si="63"/>
        <v>1794.17</v>
      </c>
      <c r="D113" s="108">
        <f t="shared" ref="D113:E113" si="64">D71+D78+D96+D92+D108+D112</f>
        <v>1683.3700000000001</v>
      </c>
      <c r="E113" s="108">
        <f t="shared" si="64"/>
        <v>1667.77</v>
      </c>
      <c r="F113" s="108">
        <f t="shared" ref="F113:AG113" si="65">F71+F78+F96+F92+F108+F112</f>
        <v>1647.77</v>
      </c>
      <c r="G113" s="108">
        <f t="shared" si="65"/>
        <v>1744.27</v>
      </c>
      <c r="H113" s="108">
        <f t="shared" si="65"/>
        <v>1744.71</v>
      </c>
      <c r="I113" s="108">
        <f t="shared" si="65"/>
        <v>1815.71</v>
      </c>
      <c r="J113" s="108">
        <f t="shared" si="65"/>
        <v>1897.71</v>
      </c>
      <c r="K113" s="108">
        <f t="shared" si="65"/>
        <v>1905.07</v>
      </c>
      <c r="L113" s="108">
        <f t="shared" si="65"/>
        <v>1904.07</v>
      </c>
      <c r="M113" s="108">
        <f t="shared" ref="M113:N113" si="66">M71+M78+M96+M92+M108+M112</f>
        <v>1938.57</v>
      </c>
      <c r="N113" s="108">
        <f t="shared" si="66"/>
        <v>1839.3000000000002</v>
      </c>
      <c r="O113" s="108">
        <f t="shared" ref="O113" si="67">O71+O78+O96+O92+O108+O112</f>
        <v>2045.1</v>
      </c>
      <c r="P113" s="108">
        <f t="shared" si="65"/>
        <v>2054.1</v>
      </c>
      <c r="Q113" s="108">
        <f t="shared" ref="Q113:R113" si="68">Q71+Q78+Q96+Q92+Q108+Q112</f>
        <v>1789.8000000000002</v>
      </c>
      <c r="R113" s="108">
        <f t="shared" si="68"/>
        <v>1662</v>
      </c>
      <c r="S113" s="108">
        <f t="shared" si="65"/>
        <v>1725.23</v>
      </c>
      <c r="T113" s="108">
        <f t="shared" si="65"/>
        <v>1698.92</v>
      </c>
      <c r="U113" s="108">
        <f t="shared" si="65"/>
        <v>909.69999999999993</v>
      </c>
      <c r="V113" s="108">
        <f t="shared" si="65"/>
        <v>877.59999999999991</v>
      </c>
      <c r="W113" s="108">
        <f t="shared" si="65"/>
        <v>977.09999999999991</v>
      </c>
      <c r="X113" s="108">
        <f t="shared" si="65"/>
        <v>152</v>
      </c>
      <c r="Y113" s="108">
        <f t="shared" si="65"/>
        <v>152</v>
      </c>
      <c r="Z113" s="108">
        <f t="shared" si="65"/>
        <v>152</v>
      </c>
      <c r="AA113" s="108">
        <f t="shared" si="65"/>
        <v>152</v>
      </c>
      <c r="AB113" s="108">
        <f t="shared" si="65"/>
        <v>152</v>
      </c>
      <c r="AC113" s="108">
        <f t="shared" si="65"/>
        <v>152</v>
      </c>
      <c r="AD113" s="108">
        <f t="shared" si="65"/>
        <v>152</v>
      </c>
      <c r="AE113" s="108">
        <f t="shared" si="65"/>
        <v>152</v>
      </c>
      <c r="AF113" s="108">
        <f t="shared" si="65"/>
        <v>152</v>
      </c>
      <c r="AG113" s="80">
        <f t="shared" si="65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9">B113+B114</f>
        <v>1857.7700000000002</v>
      </c>
      <c r="C115" s="108">
        <f t="shared" si="69"/>
        <v>1794.17</v>
      </c>
      <c r="D115" s="108">
        <f t="shared" ref="D115:E115" si="70">D113+D114</f>
        <v>1683.3700000000001</v>
      </c>
      <c r="E115" s="108">
        <f t="shared" si="70"/>
        <v>1667.77</v>
      </c>
      <c r="F115" s="108">
        <f t="shared" ref="F115:AF115" si="71">F113+F114</f>
        <v>1647.77</v>
      </c>
      <c r="G115" s="108">
        <f t="shared" si="71"/>
        <v>1744.27</v>
      </c>
      <c r="H115" s="108">
        <f t="shared" si="71"/>
        <v>1744.71</v>
      </c>
      <c r="I115" s="108">
        <f t="shared" si="71"/>
        <v>1815.71</v>
      </c>
      <c r="J115" s="108">
        <f t="shared" si="71"/>
        <v>1897.71</v>
      </c>
      <c r="K115" s="108">
        <f t="shared" si="71"/>
        <v>1905.07</v>
      </c>
      <c r="L115" s="108">
        <f t="shared" si="71"/>
        <v>1904.07</v>
      </c>
      <c r="M115" s="108">
        <f t="shared" ref="M115:N115" si="72">M113+M114</f>
        <v>1938.57</v>
      </c>
      <c r="N115" s="108">
        <f t="shared" si="72"/>
        <v>1839.3000000000002</v>
      </c>
      <c r="O115" s="108">
        <f t="shared" ref="O115" si="73">O113+O114</f>
        <v>2045.1</v>
      </c>
      <c r="P115" s="108">
        <f t="shared" si="71"/>
        <v>2054.1</v>
      </c>
      <c r="Q115" s="108">
        <f t="shared" ref="Q115:R115" si="74">Q113+Q114</f>
        <v>1789.8000000000002</v>
      </c>
      <c r="R115" s="108">
        <f t="shared" si="74"/>
        <v>1662</v>
      </c>
      <c r="S115" s="108">
        <f t="shared" si="71"/>
        <v>1725.23</v>
      </c>
      <c r="T115" s="108">
        <f t="shared" si="71"/>
        <v>1698.92</v>
      </c>
      <c r="U115" s="108">
        <f t="shared" si="71"/>
        <v>909.69999999999993</v>
      </c>
      <c r="V115" s="108">
        <f t="shared" si="71"/>
        <v>877.59999999999991</v>
      </c>
      <c r="W115" s="108">
        <f t="shared" si="71"/>
        <v>977.09999999999991</v>
      </c>
      <c r="X115" s="108">
        <f t="shared" si="71"/>
        <v>152</v>
      </c>
      <c r="Y115" s="108">
        <f t="shared" si="71"/>
        <v>152</v>
      </c>
      <c r="Z115" s="108">
        <f t="shared" si="71"/>
        <v>152</v>
      </c>
      <c r="AA115" s="108">
        <f t="shared" si="71"/>
        <v>152</v>
      </c>
      <c r="AB115" s="108">
        <f t="shared" si="71"/>
        <v>152</v>
      </c>
      <c r="AC115" s="108">
        <f t="shared" si="71"/>
        <v>152</v>
      </c>
      <c r="AD115" s="108">
        <f t="shared" si="71"/>
        <v>152</v>
      </c>
      <c r="AE115" s="108">
        <f t="shared" si="71"/>
        <v>152</v>
      </c>
      <c r="AF115" s="108">
        <f t="shared" si="71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5">B115-(B123)</f>
        <v>1587.7700000000002</v>
      </c>
      <c r="C116" s="108">
        <f t="shared" si="75"/>
        <v>1561.67</v>
      </c>
      <c r="D116" s="108">
        <f t="shared" ref="D116:E116" si="76">D115-(D123)</f>
        <v>1548.17</v>
      </c>
      <c r="E116" s="108">
        <f t="shared" si="76"/>
        <v>1497.27</v>
      </c>
      <c r="F116" s="108">
        <f t="shared" ref="F116:AF116" si="77">F115-(F123)</f>
        <v>1417.77</v>
      </c>
      <c r="G116" s="108">
        <f t="shared" si="77"/>
        <v>1514.27</v>
      </c>
      <c r="H116" s="108">
        <f t="shared" si="77"/>
        <v>1518.71</v>
      </c>
      <c r="I116" s="108">
        <f t="shared" si="77"/>
        <v>1595.71</v>
      </c>
      <c r="J116" s="108">
        <f t="shared" si="77"/>
        <v>1666.1100000000001</v>
      </c>
      <c r="K116" s="108">
        <f t="shared" si="77"/>
        <v>1685.07</v>
      </c>
      <c r="L116" s="108">
        <f t="shared" si="77"/>
        <v>1704.07</v>
      </c>
      <c r="M116" s="108">
        <f t="shared" ref="M116:N116" si="78">M115-(M123)</f>
        <v>1692.97</v>
      </c>
      <c r="N116" s="108">
        <f t="shared" si="78"/>
        <v>1639.3000000000002</v>
      </c>
      <c r="O116" s="108">
        <f t="shared" ref="O116" si="79">O115-(O123)</f>
        <v>1761.1</v>
      </c>
      <c r="P116" s="108">
        <f t="shared" si="77"/>
        <v>1760.5</v>
      </c>
      <c r="Q116" s="108">
        <f t="shared" ref="Q116:R116" si="80">Q115-(Q123)</f>
        <v>1789.8000000000002</v>
      </c>
      <c r="R116" s="108">
        <f t="shared" si="80"/>
        <v>1662</v>
      </c>
      <c r="S116" s="108">
        <f t="shared" si="77"/>
        <v>1725.23</v>
      </c>
      <c r="T116" s="108">
        <f t="shared" si="77"/>
        <v>1698.92</v>
      </c>
      <c r="U116" s="108">
        <f t="shared" si="77"/>
        <v>904.69999999999993</v>
      </c>
      <c r="V116" s="108">
        <f t="shared" si="77"/>
        <v>858.59999999999991</v>
      </c>
      <c r="W116" s="108">
        <f t="shared" si="77"/>
        <v>832.09999999999991</v>
      </c>
      <c r="X116" s="108">
        <f t="shared" si="77"/>
        <v>152</v>
      </c>
      <c r="Y116" s="108">
        <f t="shared" si="77"/>
        <v>152</v>
      </c>
      <c r="Z116" s="108">
        <f t="shared" si="77"/>
        <v>152</v>
      </c>
      <c r="AA116" s="108">
        <f t="shared" si="77"/>
        <v>152</v>
      </c>
      <c r="AB116" s="108">
        <f t="shared" si="77"/>
        <v>152</v>
      </c>
      <c r="AC116" s="108">
        <f t="shared" si="77"/>
        <v>152</v>
      </c>
      <c r="AD116" s="108">
        <f t="shared" si="77"/>
        <v>152</v>
      </c>
      <c r="AE116" s="108">
        <f t="shared" si="77"/>
        <v>152</v>
      </c>
      <c r="AF116" s="108">
        <f t="shared" si="77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1">IF(B97&lt;0,B97*-1,0)</f>
        <v>270</v>
      </c>
      <c r="C117" s="93">
        <f t="shared" si="81"/>
        <v>232.5</v>
      </c>
      <c r="D117" s="93">
        <f t="shared" ref="D117:E117" si="82">IF(D97&lt;0,D97*-1,0)</f>
        <v>135.19999999999999</v>
      </c>
      <c r="E117" s="93">
        <f t="shared" si="82"/>
        <v>170.5</v>
      </c>
      <c r="F117" s="93">
        <f t="shared" ref="F117:AF122" si="83">IF(F97&lt;0,F97*-1,0)</f>
        <v>230</v>
      </c>
      <c r="G117" s="93">
        <f t="shared" si="83"/>
        <v>230</v>
      </c>
      <c r="H117" s="93">
        <f t="shared" si="83"/>
        <v>226</v>
      </c>
      <c r="I117" s="93">
        <f t="shared" si="83"/>
        <v>220</v>
      </c>
      <c r="J117" s="93">
        <f t="shared" si="83"/>
        <v>231.6</v>
      </c>
      <c r="K117" s="93">
        <f t="shared" si="83"/>
        <v>220</v>
      </c>
      <c r="L117" s="93">
        <f t="shared" si="83"/>
        <v>200</v>
      </c>
      <c r="M117" s="93">
        <f t="shared" ref="M117:N117" si="84">IF(M97&lt;0,M97*-1,0)</f>
        <v>245.6</v>
      </c>
      <c r="N117" s="93">
        <f t="shared" si="84"/>
        <v>200</v>
      </c>
      <c r="O117" s="93">
        <f t="shared" ref="O117" si="85">IF(O97&lt;0,O97*-1,0)</f>
        <v>284</v>
      </c>
      <c r="P117" s="93">
        <f t="shared" si="83"/>
        <v>293.60000000000002</v>
      </c>
      <c r="Q117" s="93">
        <f t="shared" ref="Q117:R117" si="86">IF(Q97&lt;0,Q97*-1,0)</f>
        <v>0</v>
      </c>
      <c r="R117" s="93">
        <f t="shared" si="86"/>
        <v>0</v>
      </c>
      <c r="S117" s="93">
        <f t="shared" si="83"/>
        <v>0</v>
      </c>
      <c r="T117" s="93">
        <f t="shared" si="83"/>
        <v>0</v>
      </c>
      <c r="U117" s="93">
        <f t="shared" si="83"/>
        <v>5</v>
      </c>
      <c r="V117" s="93">
        <f t="shared" si="83"/>
        <v>19</v>
      </c>
      <c r="W117" s="93">
        <f t="shared" si="83"/>
        <v>145</v>
      </c>
      <c r="X117" s="93">
        <f t="shared" si="83"/>
        <v>0</v>
      </c>
      <c r="Y117" s="93">
        <f t="shared" si="83"/>
        <v>0</v>
      </c>
      <c r="Z117" s="93">
        <f t="shared" si="83"/>
        <v>0</v>
      </c>
      <c r="AA117" s="93">
        <f t="shared" si="83"/>
        <v>0</v>
      </c>
      <c r="AB117" s="93">
        <f t="shared" si="83"/>
        <v>0</v>
      </c>
      <c r="AC117" s="93">
        <f t="shared" si="83"/>
        <v>0</v>
      </c>
      <c r="AD117" s="93">
        <f t="shared" si="83"/>
        <v>0</v>
      </c>
      <c r="AE117" s="93">
        <f t="shared" si="83"/>
        <v>0</v>
      </c>
      <c r="AF117" s="93">
        <f t="shared" si="83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1"/>
        <v>0</v>
      </c>
      <c r="C118" s="93">
        <f t="shared" si="81"/>
        <v>0</v>
      </c>
      <c r="D118" s="93">
        <f t="shared" ref="D118:E118" si="87">IF(D98&lt;0,D98*-1,0)</f>
        <v>0</v>
      </c>
      <c r="E118" s="93">
        <f t="shared" si="87"/>
        <v>0</v>
      </c>
      <c r="F118" s="93">
        <f t="shared" si="83"/>
        <v>0</v>
      </c>
      <c r="G118" s="93">
        <f t="shared" si="83"/>
        <v>0</v>
      </c>
      <c r="H118" s="93">
        <f t="shared" si="83"/>
        <v>0</v>
      </c>
      <c r="I118" s="93">
        <f t="shared" si="83"/>
        <v>0</v>
      </c>
      <c r="J118" s="93">
        <f t="shared" si="83"/>
        <v>0</v>
      </c>
      <c r="K118" s="93">
        <f t="shared" si="83"/>
        <v>0</v>
      </c>
      <c r="L118" s="93">
        <f t="shared" si="83"/>
        <v>0</v>
      </c>
      <c r="M118" s="93">
        <f t="shared" ref="M118:N118" si="88">IF(M98&lt;0,M98*-1,0)</f>
        <v>0</v>
      </c>
      <c r="N118" s="93">
        <f t="shared" si="88"/>
        <v>0</v>
      </c>
      <c r="O118" s="93">
        <f t="shared" ref="O118" si="89">IF(O98&lt;0,O98*-1,0)</f>
        <v>0</v>
      </c>
      <c r="P118" s="93">
        <f t="shared" si="83"/>
        <v>0</v>
      </c>
      <c r="Q118" s="93">
        <f t="shared" ref="Q118:R118" si="90">IF(Q98&lt;0,Q98*-1,0)</f>
        <v>0</v>
      </c>
      <c r="R118" s="93">
        <f t="shared" si="90"/>
        <v>0</v>
      </c>
      <c r="S118" s="93">
        <f t="shared" si="83"/>
        <v>0</v>
      </c>
      <c r="T118" s="93">
        <f t="shared" si="83"/>
        <v>0</v>
      </c>
      <c r="U118" s="93">
        <f t="shared" si="83"/>
        <v>0</v>
      </c>
      <c r="V118" s="93">
        <f t="shared" si="83"/>
        <v>0</v>
      </c>
      <c r="W118" s="93">
        <f t="shared" si="83"/>
        <v>0</v>
      </c>
      <c r="X118" s="93">
        <f t="shared" si="83"/>
        <v>0</v>
      </c>
      <c r="Y118" s="93">
        <f t="shared" si="83"/>
        <v>0</v>
      </c>
      <c r="Z118" s="93">
        <f t="shared" si="83"/>
        <v>0</v>
      </c>
      <c r="AA118" s="93">
        <f t="shared" si="83"/>
        <v>0</v>
      </c>
      <c r="AB118" s="93">
        <f t="shared" si="83"/>
        <v>0</v>
      </c>
      <c r="AC118" s="93">
        <f t="shared" si="83"/>
        <v>0</v>
      </c>
      <c r="AD118" s="93">
        <f t="shared" si="83"/>
        <v>0</v>
      </c>
      <c r="AE118" s="93">
        <f t="shared" si="83"/>
        <v>0</v>
      </c>
      <c r="AF118" s="93">
        <f t="shared" si="83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1"/>
        <v>0</v>
      </c>
      <c r="C119" s="93">
        <f t="shared" si="81"/>
        <v>0</v>
      </c>
      <c r="D119" s="93">
        <f t="shared" ref="D119:E119" si="91">IF(D99&lt;0,D99*-1,0)</f>
        <v>0</v>
      </c>
      <c r="E119" s="93">
        <f t="shared" si="91"/>
        <v>0</v>
      </c>
      <c r="F119" s="93">
        <f t="shared" si="83"/>
        <v>0</v>
      </c>
      <c r="G119" s="93">
        <f t="shared" si="83"/>
        <v>0</v>
      </c>
      <c r="H119" s="93">
        <f t="shared" si="83"/>
        <v>0</v>
      </c>
      <c r="I119" s="93">
        <f t="shared" si="83"/>
        <v>0</v>
      </c>
      <c r="J119" s="93">
        <f t="shared" si="83"/>
        <v>0</v>
      </c>
      <c r="K119" s="93">
        <f t="shared" si="83"/>
        <v>0</v>
      </c>
      <c r="L119" s="93">
        <f t="shared" si="83"/>
        <v>0</v>
      </c>
      <c r="M119" s="93">
        <f t="shared" ref="M119:N119" si="92">IF(M99&lt;0,M99*-1,0)</f>
        <v>0</v>
      </c>
      <c r="N119" s="93">
        <f t="shared" si="92"/>
        <v>0</v>
      </c>
      <c r="O119" s="93">
        <f t="shared" ref="O119" si="93">IF(O99&lt;0,O99*-1,0)</f>
        <v>0</v>
      </c>
      <c r="P119" s="93">
        <f t="shared" si="83"/>
        <v>0</v>
      </c>
      <c r="Q119" s="93">
        <f t="shared" ref="Q119:R119" si="94">IF(Q99&lt;0,Q99*-1,0)</f>
        <v>0</v>
      </c>
      <c r="R119" s="93">
        <f t="shared" si="94"/>
        <v>0</v>
      </c>
      <c r="S119" s="93">
        <f t="shared" si="83"/>
        <v>0</v>
      </c>
      <c r="T119" s="93">
        <f t="shared" si="83"/>
        <v>0</v>
      </c>
      <c r="U119" s="93">
        <f t="shared" si="83"/>
        <v>0</v>
      </c>
      <c r="V119" s="93">
        <f t="shared" si="83"/>
        <v>0</v>
      </c>
      <c r="W119" s="93">
        <f t="shared" si="83"/>
        <v>0</v>
      </c>
      <c r="X119" s="93">
        <f t="shared" si="83"/>
        <v>0</v>
      </c>
      <c r="Y119" s="93">
        <f t="shared" si="83"/>
        <v>0</v>
      </c>
      <c r="Z119" s="93">
        <f t="shared" si="83"/>
        <v>0</v>
      </c>
      <c r="AA119" s="93">
        <f t="shared" si="83"/>
        <v>0</v>
      </c>
      <c r="AB119" s="93">
        <f t="shared" si="83"/>
        <v>0</v>
      </c>
      <c r="AC119" s="93">
        <f t="shared" si="83"/>
        <v>0</v>
      </c>
      <c r="AD119" s="93">
        <f t="shared" si="83"/>
        <v>0</v>
      </c>
      <c r="AE119" s="93">
        <f t="shared" si="83"/>
        <v>0</v>
      </c>
      <c r="AF119" s="93">
        <f t="shared" si="83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1"/>
        <v>0</v>
      </c>
      <c r="C120" s="93">
        <f t="shared" si="81"/>
        <v>0</v>
      </c>
      <c r="D120" s="93">
        <f t="shared" ref="D120:E120" si="95">IF(D100&lt;0,D100*-1,0)</f>
        <v>0</v>
      </c>
      <c r="E120" s="93">
        <f t="shared" si="95"/>
        <v>0</v>
      </c>
      <c r="F120" s="93">
        <f t="shared" si="83"/>
        <v>0</v>
      </c>
      <c r="G120" s="93">
        <f t="shared" si="83"/>
        <v>0</v>
      </c>
      <c r="H120" s="93">
        <f t="shared" si="83"/>
        <v>0</v>
      </c>
      <c r="I120" s="93">
        <f t="shared" si="83"/>
        <v>0</v>
      </c>
      <c r="J120" s="93">
        <f t="shared" si="83"/>
        <v>0</v>
      </c>
      <c r="K120" s="93">
        <f t="shared" si="83"/>
        <v>0</v>
      </c>
      <c r="L120" s="93">
        <f t="shared" si="83"/>
        <v>0</v>
      </c>
      <c r="M120" s="93">
        <f t="shared" ref="M120:N120" si="96">IF(M100&lt;0,M100*-1,0)</f>
        <v>0</v>
      </c>
      <c r="N120" s="93">
        <f t="shared" si="96"/>
        <v>0</v>
      </c>
      <c r="O120" s="93">
        <f t="shared" ref="O120" si="97">IF(O100&lt;0,O100*-1,0)</f>
        <v>0</v>
      </c>
      <c r="P120" s="93">
        <f t="shared" si="83"/>
        <v>0</v>
      </c>
      <c r="Q120" s="93">
        <f t="shared" ref="Q120:R120" si="98">IF(Q100&lt;0,Q100*-1,0)</f>
        <v>0</v>
      </c>
      <c r="R120" s="93">
        <f t="shared" si="98"/>
        <v>0</v>
      </c>
      <c r="S120" s="93">
        <f t="shared" si="83"/>
        <v>0</v>
      </c>
      <c r="T120" s="93">
        <f t="shared" si="83"/>
        <v>0</v>
      </c>
      <c r="U120" s="93">
        <f t="shared" si="83"/>
        <v>0</v>
      </c>
      <c r="V120" s="93">
        <f t="shared" si="83"/>
        <v>0</v>
      </c>
      <c r="W120" s="93">
        <f t="shared" si="83"/>
        <v>0</v>
      </c>
      <c r="X120" s="93">
        <f t="shared" si="83"/>
        <v>0</v>
      </c>
      <c r="Y120" s="93">
        <f t="shared" si="83"/>
        <v>0</v>
      </c>
      <c r="Z120" s="93">
        <f t="shared" si="83"/>
        <v>0</v>
      </c>
      <c r="AA120" s="93">
        <f t="shared" si="83"/>
        <v>0</v>
      </c>
      <c r="AB120" s="93">
        <f t="shared" si="83"/>
        <v>0</v>
      </c>
      <c r="AC120" s="93">
        <f t="shared" si="83"/>
        <v>0</v>
      </c>
      <c r="AD120" s="93">
        <f t="shared" si="83"/>
        <v>0</v>
      </c>
      <c r="AE120" s="93">
        <f t="shared" si="83"/>
        <v>0</v>
      </c>
      <c r="AF120" s="93">
        <f t="shared" si="83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1"/>
        <v>0</v>
      </c>
      <c r="C121" s="93">
        <f t="shared" si="81"/>
        <v>0</v>
      </c>
      <c r="D121" s="93">
        <f t="shared" ref="D121:E121" si="99">IF(D101&lt;0,D101*-1,0)</f>
        <v>0</v>
      </c>
      <c r="E121" s="93">
        <f t="shared" si="99"/>
        <v>0</v>
      </c>
      <c r="F121" s="93">
        <f t="shared" si="83"/>
        <v>0</v>
      </c>
      <c r="G121" s="93">
        <f t="shared" si="83"/>
        <v>0</v>
      </c>
      <c r="H121" s="93">
        <f t="shared" si="83"/>
        <v>0</v>
      </c>
      <c r="I121" s="93">
        <f t="shared" si="83"/>
        <v>0</v>
      </c>
      <c r="J121" s="93">
        <f t="shared" si="83"/>
        <v>0</v>
      </c>
      <c r="K121" s="93">
        <f t="shared" si="83"/>
        <v>0</v>
      </c>
      <c r="L121" s="93">
        <f t="shared" si="83"/>
        <v>0</v>
      </c>
      <c r="M121" s="93">
        <f t="shared" ref="M121:N121" si="100">IF(M101&lt;0,M101*-1,0)</f>
        <v>0</v>
      </c>
      <c r="N121" s="93">
        <f t="shared" si="100"/>
        <v>0</v>
      </c>
      <c r="O121" s="93">
        <f t="shared" ref="O121" si="101">IF(O101&lt;0,O101*-1,0)</f>
        <v>0</v>
      </c>
      <c r="P121" s="93">
        <f t="shared" si="83"/>
        <v>0</v>
      </c>
      <c r="Q121" s="93">
        <f t="shared" ref="Q121:R121" si="102">IF(Q101&lt;0,Q101*-1,0)</f>
        <v>0</v>
      </c>
      <c r="R121" s="93">
        <f t="shared" si="102"/>
        <v>0</v>
      </c>
      <c r="S121" s="93">
        <f t="shared" si="83"/>
        <v>0</v>
      </c>
      <c r="T121" s="93">
        <f t="shared" si="83"/>
        <v>0</v>
      </c>
      <c r="U121" s="93">
        <f t="shared" si="83"/>
        <v>0</v>
      </c>
      <c r="V121" s="93">
        <f t="shared" si="83"/>
        <v>0</v>
      </c>
      <c r="W121" s="93">
        <f t="shared" si="83"/>
        <v>0</v>
      </c>
      <c r="X121" s="93">
        <f t="shared" si="83"/>
        <v>0</v>
      </c>
      <c r="Y121" s="93">
        <f t="shared" si="83"/>
        <v>0</v>
      </c>
      <c r="Z121" s="93">
        <f t="shared" si="83"/>
        <v>0</v>
      </c>
      <c r="AA121" s="93">
        <f t="shared" si="83"/>
        <v>0</v>
      </c>
      <c r="AB121" s="93">
        <f t="shared" si="83"/>
        <v>0</v>
      </c>
      <c r="AC121" s="93">
        <f t="shared" si="83"/>
        <v>0</v>
      </c>
      <c r="AD121" s="93">
        <f t="shared" si="83"/>
        <v>0</v>
      </c>
      <c r="AE121" s="93">
        <f t="shared" si="83"/>
        <v>0</v>
      </c>
      <c r="AF121" s="93">
        <f t="shared" si="83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1"/>
        <v>0</v>
      </c>
      <c r="C122" s="93">
        <f t="shared" si="81"/>
        <v>0</v>
      </c>
      <c r="D122" s="93">
        <f t="shared" ref="D122:E122" si="103">IF(D102&lt;0,D102*-1,0)</f>
        <v>0</v>
      </c>
      <c r="E122" s="93">
        <f t="shared" si="103"/>
        <v>0</v>
      </c>
      <c r="F122" s="93">
        <f t="shared" si="83"/>
        <v>0</v>
      </c>
      <c r="G122" s="93">
        <f t="shared" si="83"/>
        <v>0</v>
      </c>
      <c r="H122" s="93">
        <f t="shared" si="83"/>
        <v>0</v>
      </c>
      <c r="I122" s="93">
        <f t="shared" si="83"/>
        <v>0</v>
      </c>
      <c r="J122" s="93">
        <f t="shared" si="83"/>
        <v>0</v>
      </c>
      <c r="K122" s="93">
        <f t="shared" si="83"/>
        <v>0</v>
      </c>
      <c r="L122" s="93">
        <f t="shared" si="83"/>
        <v>0</v>
      </c>
      <c r="M122" s="93">
        <f t="shared" ref="M122:N122" si="104">IF(M102&lt;0,M102*-1,0)</f>
        <v>0</v>
      </c>
      <c r="N122" s="93">
        <f t="shared" si="104"/>
        <v>0</v>
      </c>
      <c r="O122" s="93">
        <f t="shared" ref="O122" si="105">IF(O102&lt;0,O102*-1,0)</f>
        <v>0</v>
      </c>
      <c r="P122" s="93">
        <f t="shared" si="83"/>
        <v>0</v>
      </c>
      <c r="Q122" s="93">
        <f t="shared" ref="Q122:R122" si="106">IF(Q102&lt;0,Q102*-1,0)</f>
        <v>0</v>
      </c>
      <c r="R122" s="93">
        <f t="shared" si="106"/>
        <v>0</v>
      </c>
      <c r="S122" s="93">
        <f t="shared" si="83"/>
        <v>0</v>
      </c>
      <c r="T122" s="93">
        <f t="shared" si="83"/>
        <v>0</v>
      </c>
      <c r="U122" s="93">
        <f t="shared" si="83"/>
        <v>0</v>
      </c>
      <c r="V122" s="93">
        <f t="shared" si="83"/>
        <v>0</v>
      </c>
      <c r="W122" s="93">
        <f t="shared" si="83"/>
        <v>0</v>
      </c>
      <c r="X122" s="93">
        <f t="shared" si="83"/>
        <v>0</v>
      </c>
      <c r="Y122" s="93">
        <f t="shared" si="83"/>
        <v>0</v>
      </c>
      <c r="Z122" s="93">
        <f t="shared" si="83"/>
        <v>0</v>
      </c>
      <c r="AA122" s="93">
        <f t="shared" si="83"/>
        <v>0</v>
      </c>
      <c r="AB122" s="93">
        <f t="shared" si="83"/>
        <v>0</v>
      </c>
      <c r="AC122" s="93">
        <f t="shared" si="83"/>
        <v>0</v>
      </c>
      <c r="AD122" s="93">
        <f t="shared" si="83"/>
        <v>0</v>
      </c>
      <c r="AE122" s="93">
        <f t="shared" si="83"/>
        <v>0</v>
      </c>
      <c r="AF122" s="93">
        <f t="shared" si="83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7">SUM(B117:B122)</f>
        <v>270</v>
      </c>
      <c r="C123" s="70">
        <f t="shared" si="107"/>
        <v>232.5</v>
      </c>
      <c r="D123" s="70">
        <f t="shared" ref="D123:E123" si="108">SUM(D117:D122)</f>
        <v>135.19999999999999</v>
      </c>
      <c r="E123" s="70">
        <f t="shared" si="108"/>
        <v>170.5</v>
      </c>
      <c r="F123" s="70">
        <f t="shared" ref="F123:AF123" si="109">SUM(F117:F122)</f>
        <v>230</v>
      </c>
      <c r="G123" s="70">
        <f t="shared" si="109"/>
        <v>230</v>
      </c>
      <c r="H123" s="70">
        <f t="shared" si="109"/>
        <v>226</v>
      </c>
      <c r="I123" s="70">
        <f t="shared" si="109"/>
        <v>220</v>
      </c>
      <c r="J123" s="70">
        <f t="shared" si="109"/>
        <v>231.6</v>
      </c>
      <c r="K123" s="70">
        <f t="shared" si="109"/>
        <v>220</v>
      </c>
      <c r="L123" s="70">
        <f t="shared" si="109"/>
        <v>200</v>
      </c>
      <c r="M123" s="70">
        <f t="shared" ref="M123:N123" si="110">SUM(M117:M122)</f>
        <v>245.6</v>
      </c>
      <c r="N123" s="70">
        <f t="shared" si="110"/>
        <v>200</v>
      </c>
      <c r="O123" s="70">
        <f t="shared" ref="O123" si="111">SUM(O117:O122)</f>
        <v>284</v>
      </c>
      <c r="P123" s="70">
        <f t="shared" si="109"/>
        <v>293.60000000000002</v>
      </c>
      <c r="Q123" s="70">
        <f t="shared" ref="Q123:R123" si="112">SUM(Q117:Q122)</f>
        <v>0</v>
      </c>
      <c r="R123" s="70">
        <f t="shared" si="112"/>
        <v>0</v>
      </c>
      <c r="S123" s="70">
        <f t="shared" si="109"/>
        <v>0</v>
      </c>
      <c r="T123" s="70">
        <f t="shared" si="109"/>
        <v>0</v>
      </c>
      <c r="U123" s="70">
        <f t="shared" si="109"/>
        <v>5</v>
      </c>
      <c r="V123" s="70">
        <f t="shared" si="109"/>
        <v>19</v>
      </c>
      <c r="W123" s="70">
        <f t="shared" si="109"/>
        <v>145</v>
      </c>
      <c r="X123" s="70">
        <f t="shared" si="109"/>
        <v>0</v>
      </c>
      <c r="Y123" s="70">
        <f t="shared" si="109"/>
        <v>0</v>
      </c>
      <c r="Z123" s="70">
        <f t="shared" si="109"/>
        <v>0</v>
      </c>
      <c r="AA123" s="70">
        <f t="shared" si="109"/>
        <v>0</v>
      </c>
      <c r="AB123" s="70">
        <f t="shared" si="109"/>
        <v>0</v>
      </c>
      <c r="AC123" s="70">
        <f t="shared" si="109"/>
        <v>0</v>
      </c>
      <c r="AD123" s="70">
        <f t="shared" si="109"/>
        <v>0</v>
      </c>
      <c r="AE123" s="70">
        <f t="shared" si="109"/>
        <v>0</v>
      </c>
      <c r="AF123" s="70">
        <f t="shared" si="109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3">B108-B123</f>
        <v>-147</v>
      </c>
      <c r="C124" s="70">
        <f t="shared" si="113"/>
        <v>-105.3</v>
      </c>
      <c r="D124" s="70">
        <f t="shared" ref="D124:E124" si="114">D108-D123</f>
        <v>-8.9999999999999858</v>
      </c>
      <c r="E124" s="70">
        <f t="shared" si="114"/>
        <v>-45.800000000000011</v>
      </c>
      <c r="F124" s="70">
        <f t="shared" ref="F124:AF124" si="115">F108-F123</f>
        <v>-105.30000000000001</v>
      </c>
      <c r="G124" s="70">
        <f t="shared" si="115"/>
        <v>-59.300000000000011</v>
      </c>
      <c r="H124" s="70">
        <f t="shared" si="115"/>
        <v>-77.759999999999991</v>
      </c>
      <c r="I124" s="70">
        <f t="shared" si="115"/>
        <v>-49.759999999999991</v>
      </c>
      <c r="J124" s="70">
        <f t="shared" si="115"/>
        <v>-61.359999999999985</v>
      </c>
      <c r="K124" s="70">
        <f t="shared" si="115"/>
        <v>-42.400000000000006</v>
      </c>
      <c r="L124" s="70">
        <f t="shared" si="115"/>
        <v>-22.400000000000006</v>
      </c>
      <c r="M124" s="70">
        <f t="shared" ref="M124:N124" si="116">M108-M123</f>
        <v>-83.4</v>
      </c>
      <c r="N124" s="70">
        <f t="shared" si="116"/>
        <v>-24.099999999999994</v>
      </c>
      <c r="O124" s="70">
        <f t="shared" ref="O124" si="117">O108-O123</f>
        <v>-103.5</v>
      </c>
      <c r="P124" s="70">
        <f t="shared" si="115"/>
        <v>-98.500000000000057</v>
      </c>
      <c r="Q124" s="70">
        <f t="shared" ref="Q124:R124" si="118">Q108-Q123</f>
        <v>420.19999999999993</v>
      </c>
      <c r="R124" s="70">
        <f t="shared" si="118"/>
        <v>283.89999999999998</v>
      </c>
      <c r="S124" s="70">
        <f t="shared" si="115"/>
        <v>355.6</v>
      </c>
      <c r="T124" s="70">
        <f t="shared" si="115"/>
        <v>330.39</v>
      </c>
      <c r="U124" s="70">
        <f t="shared" si="115"/>
        <v>194.5</v>
      </c>
      <c r="V124" s="70">
        <f t="shared" si="115"/>
        <v>154.19999999999999</v>
      </c>
      <c r="W124" s="70">
        <f t="shared" si="115"/>
        <v>48.899999999999977</v>
      </c>
      <c r="X124" s="70">
        <f t="shared" si="115"/>
        <v>0</v>
      </c>
      <c r="Y124" s="70">
        <f t="shared" si="115"/>
        <v>0</v>
      </c>
      <c r="Z124" s="70">
        <f t="shared" si="115"/>
        <v>0</v>
      </c>
      <c r="AA124" s="70">
        <f t="shared" si="115"/>
        <v>0</v>
      </c>
      <c r="AB124" s="70">
        <f t="shared" si="115"/>
        <v>0</v>
      </c>
      <c r="AC124" s="70">
        <f t="shared" si="115"/>
        <v>0</v>
      </c>
      <c r="AD124" s="70">
        <f t="shared" si="115"/>
        <v>0</v>
      </c>
      <c r="AE124" s="70">
        <f t="shared" si="115"/>
        <v>0</v>
      </c>
      <c r="AF124" s="70">
        <f t="shared" si="115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19">SUM(B26,B32,B45:B46,B82,B84:B85,B87,B89,B137:B142,B177,B183,B189,B198,B200,B212,B219,B222:B223,B230,B232,B234,B238:B240,B242:B244,B249,B255:B256,B258:B260,B161,B166)</f>
        <v>319.04000000000002</v>
      </c>
      <c r="C135" s="114">
        <f t="shared" si="119"/>
        <v>114.24000000000004</v>
      </c>
      <c r="D135" s="114">
        <f t="shared" ref="D135:E135" si="120">SUM(D26,D32,D45:D46,D82,D84:D85,D87,D89,D137:D142,D177,D183,D189,D198,D200,D212,D219,D222:D223,D230,D232,D234,D238:D240,D242:D244,D249,D255:D256,D258:D260,D161,D166)</f>
        <v>122.44</v>
      </c>
      <c r="E135" s="114">
        <f t="shared" si="120"/>
        <v>120.64000000000004</v>
      </c>
      <c r="F135" s="114">
        <f t="shared" ref="F135:O135" si="121">SUM(F26,F32,F45:F46,F82,F84:F85,F87,F89,F137:F142,F177,F183,F189,F198,F200,F212,F219,F222:F223,F230,F232,F234,F238:F240,F242:F244,F249,F255:F256,F258:F260,F161,F166)</f>
        <v>120.64000000000004</v>
      </c>
      <c r="G135" s="114">
        <f t="shared" si="121"/>
        <v>120.64000000000004</v>
      </c>
      <c r="H135" s="114">
        <f t="shared" si="121"/>
        <v>208.24</v>
      </c>
      <c r="I135" s="114">
        <f t="shared" si="121"/>
        <v>240.34000000000003</v>
      </c>
      <c r="J135" s="114">
        <f t="shared" si="121"/>
        <v>269.24</v>
      </c>
      <c r="K135" s="114">
        <f t="shared" si="121"/>
        <v>206.44000000000003</v>
      </c>
      <c r="L135" s="114">
        <f t="shared" si="121"/>
        <v>305.04000000000002</v>
      </c>
      <c r="M135" s="114">
        <f t="shared" ref="M135:N135" si="122">SUM(M26,M32,M45:M46,M82,M84:M85,M87,M89,M137:M142,M177,M183,M189,M198,M200,M212,M219,M222:M223,M230,M232,M234,M238:M240,M242:M244,M249,M255:M256,M258:M260,M161,M166)</f>
        <v>302.84000000000003</v>
      </c>
      <c r="N135" s="114">
        <f t="shared" si="122"/>
        <v>309.61</v>
      </c>
      <c r="O135" s="114">
        <f t="shared" ref="O135" si="123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4">SUM(S26,S32,S45:S46,S82,S84:S85,S87,S89,S137:S142,S177,S183,S189,S198,S200,S212,S219,S222:S223,S230,S232,S234,S238:S240,S242:S244,S249,S255:S256,S258:S260,S161,S166)</f>
        <v>293.74</v>
      </c>
      <c r="T135" s="114">
        <f t="shared" si="124"/>
        <v>251.83999999999997</v>
      </c>
      <c r="U135" s="114">
        <f t="shared" si="124"/>
        <v>213.73999999999998</v>
      </c>
      <c r="V135" s="114">
        <f t="shared" si="124"/>
        <v>211.94</v>
      </c>
      <c r="W135" s="114">
        <f t="shared" ref="W135" si="125">SUM(W26,W32,W45:W46,W82,W84:W85,W87,W89,W137:W142,W177,W183,W189,W198,W200,W212,W219,W222:W223,W230,W232,W234,W238:W240,W242:W244,W249,W255:W256,W258:W260,W161,W166)</f>
        <v>211.54</v>
      </c>
      <c r="X135" s="114">
        <f t="shared" si="12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6"/>
        <v>0.94</v>
      </c>
      <c r="AC135" s="114">
        <f t="shared" si="126"/>
        <v>0.94</v>
      </c>
      <c r="AD135" s="114">
        <f t="shared" si="126"/>
        <v>0.94</v>
      </c>
      <c r="AE135" s="114">
        <f t="shared" si="126"/>
        <v>0.94</v>
      </c>
      <c r="AF135" s="114">
        <f t="shared" si="126"/>
        <v>0.94</v>
      </c>
      <c r="AG135" s="127"/>
      <c r="AH135" s="46">
        <f t="shared" si="27"/>
        <v>319.04000000000002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27">MAX(B139:AF139)</f>
        <v>-43</v>
      </c>
      <c r="AI139" s="47">
        <f t="shared" ref="AI139:AI145" si="128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27"/>
        <v>87.8</v>
      </c>
      <c r="AI140" s="47">
        <f t="shared" si="128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27"/>
        <v>38.9</v>
      </c>
      <c r="AI141" s="47">
        <f t="shared" si="128"/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27"/>
        <v>63</v>
      </c>
      <c r="AI142" s="47">
        <f t="shared" si="128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27"/>
        <v>777</v>
      </c>
      <c r="AI143" s="47">
        <f t="shared" si="128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27"/>
        <v>17</v>
      </c>
      <c r="AI144" s="47">
        <f t="shared" si="128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27"/>
        <v>42</v>
      </c>
      <c r="AI145" s="47">
        <f t="shared" si="128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9">MAX(B146:AF146)</f>
        <v>40.5</v>
      </c>
      <c r="AI146" s="47">
        <f t="shared" ref="AI146:AI158" si="130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9"/>
        <v>49.2</v>
      </c>
      <c r="AI147" s="47">
        <f t="shared" si="130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105</v>
      </c>
      <c r="W148" s="137">
        <v>105</v>
      </c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9"/>
        <v>105</v>
      </c>
      <c r="AI148" s="47">
        <f t="shared" si="130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9"/>
        <v>209.5</v>
      </c>
      <c r="AI149" s="47">
        <f t="shared" si="130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9"/>
        <v>30.8</v>
      </c>
      <c r="AI150" s="47">
        <f t="shared" si="130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9"/>
        <v>24.47</v>
      </c>
      <c r="AI151" s="47">
        <f t="shared" si="130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9"/>
        <v>0</v>
      </c>
      <c r="AI152" s="47">
        <f t="shared" si="13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9"/>
        <v>1984.05</v>
      </c>
      <c r="AI153" s="47">
        <f t="shared" si="130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9"/>
        <v>523.91999999999996</v>
      </c>
      <c r="AI154" s="47">
        <f t="shared" si="130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9"/>
        <v>325.31</v>
      </c>
      <c r="AI155" s="47">
        <f t="shared" si="130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9"/>
        <v>0</v>
      </c>
      <c r="AI156" s="47">
        <f t="shared" si="130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9"/>
        <v>0</v>
      </c>
      <c r="AI157" s="47">
        <f t="shared" si="130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9"/>
        <v>0</v>
      </c>
      <c r="AI158" s="47">
        <f t="shared" si="13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1">E161</f>
        <v>0.3</v>
      </c>
      <c r="G161" s="159">
        <f t="shared" si="131"/>
        <v>0.3</v>
      </c>
      <c r="H161" s="159">
        <f t="shared" si="131"/>
        <v>0.3</v>
      </c>
      <c r="I161" s="159">
        <f t="shared" si="131"/>
        <v>0.3</v>
      </c>
      <c r="J161" s="159">
        <f t="shared" si="131"/>
        <v>0.3</v>
      </c>
      <c r="K161" s="159">
        <f t="shared" si="131"/>
        <v>0.3</v>
      </c>
      <c r="L161" s="159">
        <f t="shared" si="131"/>
        <v>0.3</v>
      </c>
      <c r="M161" s="159">
        <f t="shared" si="131"/>
        <v>0.3</v>
      </c>
      <c r="N161" s="159">
        <f t="shared" si="131"/>
        <v>0.3</v>
      </c>
      <c r="O161" s="159">
        <f t="shared" si="131"/>
        <v>0.3</v>
      </c>
      <c r="P161" s="159">
        <f t="shared" si="131"/>
        <v>0.3</v>
      </c>
      <c r="Q161" s="159">
        <f t="shared" si="131"/>
        <v>0.3</v>
      </c>
      <c r="R161" s="159">
        <f t="shared" si="131"/>
        <v>0.3</v>
      </c>
      <c r="S161" s="159">
        <f t="shared" ref="S161:AF166" si="132">R161</f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si="132"/>
        <v>0.3</v>
      </c>
      <c r="AB161" s="159">
        <f t="shared" si="132"/>
        <v>0.3</v>
      </c>
      <c r="AC161" s="159">
        <f t="shared" si="132"/>
        <v>0.3</v>
      </c>
      <c r="AD161" s="159">
        <f t="shared" si="132"/>
        <v>0.3</v>
      </c>
      <c r="AE161" s="159">
        <f t="shared" si="132"/>
        <v>0.3</v>
      </c>
      <c r="AF161" s="159">
        <f t="shared" si="13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1"/>
        <v>0.4</v>
      </c>
      <c r="G162" s="161">
        <f t="shared" si="131"/>
        <v>0.4</v>
      </c>
      <c r="H162" s="161">
        <f t="shared" si="131"/>
        <v>0.4</v>
      </c>
      <c r="I162" s="161">
        <f t="shared" si="131"/>
        <v>0.4</v>
      </c>
      <c r="J162" s="161">
        <f t="shared" si="131"/>
        <v>0.4</v>
      </c>
      <c r="K162" s="161">
        <f t="shared" si="131"/>
        <v>0.4</v>
      </c>
      <c r="L162" s="161">
        <f t="shared" si="131"/>
        <v>0.4</v>
      </c>
      <c r="M162" s="161">
        <f t="shared" si="131"/>
        <v>0.4</v>
      </c>
      <c r="N162" s="161">
        <f t="shared" si="131"/>
        <v>0.4</v>
      </c>
      <c r="O162" s="161">
        <f t="shared" si="131"/>
        <v>0.4</v>
      </c>
      <c r="P162" s="161">
        <f t="shared" si="131"/>
        <v>0.4</v>
      </c>
      <c r="Q162" s="161">
        <f t="shared" si="131"/>
        <v>0.4</v>
      </c>
      <c r="R162" s="161">
        <f t="shared" si="131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2"/>
        <v>0.4</v>
      </c>
      <c r="AB162" s="161">
        <f t="shared" si="132"/>
        <v>0.4</v>
      </c>
      <c r="AC162" s="161">
        <f t="shared" si="132"/>
        <v>0.4</v>
      </c>
      <c r="AD162" s="161">
        <f t="shared" si="132"/>
        <v>0.4</v>
      </c>
      <c r="AE162" s="161">
        <f t="shared" si="132"/>
        <v>0.4</v>
      </c>
      <c r="AF162" s="161">
        <f t="shared" si="13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1"/>
        <v>1.5</v>
      </c>
      <c r="G163" s="161">
        <f t="shared" si="131"/>
        <v>1.5</v>
      </c>
      <c r="H163" s="161">
        <f t="shared" si="131"/>
        <v>1.5</v>
      </c>
      <c r="I163" s="161">
        <f t="shared" si="131"/>
        <v>1.5</v>
      </c>
      <c r="J163" s="161">
        <f t="shared" si="131"/>
        <v>1.5</v>
      </c>
      <c r="K163" s="161">
        <f t="shared" si="131"/>
        <v>1.5</v>
      </c>
      <c r="L163" s="161">
        <f t="shared" si="131"/>
        <v>1.5</v>
      </c>
      <c r="M163" s="161">
        <f t="shared" si="131"/>
        <v>1.5</v>
      </c>
      <c r="N163" s="161">
        <f t="shared" si="131"/>
        <v>1.5</v>
      </c>
      <c r="O163" s="161">
        <f t="shared" si="131"/>
        <v>1.5</v>
      </c>
      <c r="P163" s="161">
        <f t="shared" si="131"/>
        <v>1.5</v>
      </c>
      <c r="Q163" s="161">
        <f t="shared" si="131"/>
        <v>1.5</v>
      </c>
      <c r="R163" s="161">
        <f t="shared" si="131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2"/>
        <v>1.5</v>
      </c>
      <c r="AB163" s="161">
        <f t="shared" si="132"/>
        <v>1.5</v>
      </c>
      <c r="AC163" s="161">
        <f t="shared" si="132"/>
        <v>1.5</v>
      </c>
      <c r="AD163" s="161">
        <f t="shared" si="132"/>
        <v>1.5</v>
      </c>
      <c r="AE163" s="161">
        <f t="shared" si="132"/>
        <v>1.5</v>
      </c>
      <c r="AF163" s="161">
        <f t="shared" si="13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1"/>
        <v>0.3</v>
      </c>
      <c r="G164" s="161">
        <f t="shared" si="131"/>
        <v>0.3</v>
      </c>
      <c r="H164" s="161">
        <f t="shared" si="131"/>
        <v>0.3</v>
      </c>
      <c r="I164" s="161">
        <f t="shared" si="131"/>
        <v>0.3</v>
      </c>
      <c r="J164" s="161">
        <f t="shared" si="131"/>
        <v>0.3</v>
      </c>
      <c r="K164" s="161">
        <f t="shared" si="131"/>
        <v>0.3</v>
      </c>
      <c r="L164" s="161">
        <f t="shared" si="131"/>
        <v>0.3</v>
      </c>
      <c r="M164" s="161">
        <f t="shared" si="131"/>
        <v>0.3</v>
      </c>
      <c r="N164" s="161">
        <f t="shared" si="131"/>
        <v>0.3</v>
      </c>
      <c r="O164" s="161">
        <f t="shared" si="131"/>
        <v>0.3</v>
      </c>
      <c r="P164" s="161">
        <f t="shared" si="131"/>
        <v>0.3</v>
      </c>
      <c r="Q164" s="161">
        <f t="shared" si="131"/>
        <v>0.3</v>
      </c>
      <c r="R164" s="161">
        <f t="shared" si="131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2"/>
        <v>0.3</v>
      </c>
      <c r="AB164" s="161">
        <f t="shared" si="132"/>
        <v>0.3</v>
      </c>
      <c r="AC164" s="161">
        <f t="shared" si="132"/>
        <v>0.3</v>
      </c>
      <c r="AD164" s="161">
        <f t="shared" si="132"/>
        <v>0.3</v>
      </c>
      <c r="AE164" s="161">
        <f t="shared" si="132"/>
        <v>0.3</v>
      </c>
      <c r="AF164" s="161">
        <f t="shared" si="13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1"/>
        <v>0.4</v>
      </c>
      <c r="G165" s="161">
        <f t="shared" si="131"/>
        <v>0.4</v>
      </c>
      <c r="H165" s="161">
        <f t="shared" si="131"/>
        <v>0.4</v>
      </c>
      <c r="I165" s="161">
        <f t="shared" si="131"/>
        <v>0.4</v>
      </c>
      <c r="J165" s="161">
        <f t="shared" si="131"/>
        <v>0.4</v>
      </c>
      <c r="K165" s="161">
        <f t="shared" si="131"/>
        <v>0.4</v>
      </c>
      <c r="L165" s="161">
        <f t="shared" si="131"/>
        <v>0.4</v>
      </c>
      <c r="M165" s="161">
        <f t="shared" si="131"/>
        <v>0.4</v>
      </c>
      <c r="N165" s="161">
        <f t="shared" si="131"/>
        <v>0.4</v>
      </c>
      <c r="O165" s="161">
        <f t="shared" si="131"/>
        <v>0.4</v>
      </c>
      <c r="P165" s="161">
        <f t="shared" si="131"/>
        <v>0.4</v>
      </c>
      <c r="Q165" s="161">
        <f t="shared" si="131"/>
        <v>0.4</v>
      </c>
      <c r="R165" s="161">
        <f t="shared" si="131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2"/>
        <v>0.4</v>
      </c>
      <c r="AB165" s="161">
        <f t="shared" si="132"/>
        <v>0.4</v>
      </c>
      <c r="AC165" s="161">
        <f t="shared" si="132"/>
        <v>0.4</v>
      </c>
      <c r="AD165" s="161">
        <f t="shared" si="132"/>
        <v>0.4</v>
      </c>
      <c r="AE165" s="161">
        <f t="shared" si="132"/>
        <v>0.4</v>
      </c>
      <c r="AF165" s="161">
        <f t="shared" si="13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1"/>
        <v>0.64</v>
      </c>
      <c r="G166" s="164">
        <f t="shared" si="131"/>
        <v>0.64</v>
      </c>
      <c r="H166" s="164">
        <f t="shared" si="131"/>
        <v>0.64</v>
      </c>
      <c r="I166" s="164">
        <f t="shared" si="131"/>
        <v>0.64</v>
      </c>
      <c r="J166" s="164">
        <f t="shared" si="131"/>
        <v>0.64</v>
      </c>
      <c r="K166" s="164">
        <f t="shared" si="131"/>
        <v>0.64</v>
      </c>
      <c r="L166" s="164">
        <f t="shared" si="131"/>
        <v>0.64</v>
      </c>
      <c r="M166" s="164">
        <f t="shared" si="131"/>
        <v>0.64</v>
      </c>
      <c r="N166" s="164">
        <f t="shared" si="131"/>
        <v>0.64</v>
      </c>
      <c r="O166" s="164">
        <f t="shared" si="131"/>
        <v>0.64</v>
      </c>
      <c r="P166" s="164">
        <f t="shared" si="131"/>
        <v>0.64</v>
      </c>
      <c r="Q166" s="164">
        <f t="shared" si="131"/>
        <v>0.64</v>
      </c>
      <c r="R166" s="164">
        <f t="shared" si="131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2"/>
        <v>0.64</v>
      </c>
      <c r="AB166" s="164">
        <f t="shared" si="132"/>
        <v>0.64</v>
      </c>
      <c r="AC166" s="164">
        <f t="shared" si="132"/>
        <v>0.64</v>
      </c>
      <c r="AD166" s="164">
        <f t="shared" si="132"/>
        <v>0.64</v>
      </c>
      <c r="AE166" s="164">
        <f t="shared" si="132"/>
        <v>0.64</v>
      </c>
      <c r="AF166" s="164">
        <f t="shared" si="13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33">SUM(F161:F166)</f>
        <v>3.54</v>
      </c>
      <c r="G167" s="167">
        <f t="shared" si="133"/>
        <v>3.54</v>
      </c>
      <c r="H167" s="167">
        <f t="shared" si="133"/>
        <v>3.54</v>
      </c>
      <c r="I167" s="167">
        <f t="shared" si="133"/>
        <v>3.54</v>
      </c>
      <c r="J167" s="167">
        <f t="shared" si="133"/>
        <v>3.54</v>
      </c>
      <c r="K167" s="167">
        <f t="shared" si="133"/>
        <v>3.54</v>
      </c>
      <c r="L167" s="167">
        <f t="shared" si="133"/>
        <v>3.54</v>
      </c>
      <c r="M167" s="167">
        <f t="shared" si="133"/>
        <v>3.54</v>
      </c>
      <c r="N167" s="167">
        <f t="shared" si="133"/>
        <v>3.54</v>
      </c>
      <c r="O167" s="167">
        <f t="shared" si="133"/>
        <v>3.54</v>
      </c>
      <c r="P167" s="167">
        <f t="shared" si="133"/>
        <v>3.54</v>
      </c>
      <c r="Q167" s="167">
        <f t="shared" si="133"/>
        <v>3.54</v>
      </c>
      <c r="R167" s="167">
        <f t="shared" si="133"/>
        <v>3.54</v>
      </c>
      <c r="S167" s="167">
        <f t="shared" si="133"/>
        <v>3.54</v>
      </c>
      <c r="T167" s="167">
        <f t="shared" si="133"/>
        <v>3.54</v>
      </c>
      <c r="U167" s="167">
        <f t="shared" si="133"/>
        <v>3.54</v>
      </c>
      <c r="V167" s="167">
        <f t="shared" si="133"/>
        <v>3.54</v>
      </c>
      <c r="W167" s="167">
        <f t="shared" si="133"/>
        <v>3.54</v>
      </c>
      <c r="X167" s="167">
        <f t="shared" si="133"/>
        <v>3.54</v>
      </c>
      <c r="Y167" s="167">
        <f t="shared" si="133"/>
        <v>3.54</v>
      </c>
      <c r="Z167" s="167">
        <f t="shared" si="133"/>
        <v>3.54</v>
      </c>
      <c r="AA167" s="167">
        <f t="shared" si="133"/>
        <v>3.54</v>
      </c>
      <c r="AB167" s="167">
        <f t="shared" si="133"/>
        <v>3.54</v>
      </c>
      <c r="AC167" s="167">
        <f t="shared" si="133"/>
        <v>3.54</v>
      </c>
      <c r="AD167" s="167">
        <f t="shared" si="133"/>
        <v>3.54</v>
      </c>
      <c r="AE167" s="167">
        <f t="shared" si="133"/>
        <v>3.54</v>
      </c>
      <c r="AF167" s="167">
        <f t="shared" si="133"/>
        <v>3.54</v>
      </c>
      <c r="AG167" s="168">
        <f t="shared" si="13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4">E169</f>
        <v>0</v>
      </c>
      <c r="G169" s="159">
        <f t="shared" si="134"/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f t="shared" si="134"/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AF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4"/>
        <v>0</v>
      </c>
      <c r="G170" s="161">
        <f t="shared" si="134"/>
        <v>0</v>
      </c>
      <c r="H170" s="161">
        <f t="shared" si="134"/>
        <v>0</v>
      </c>
      <c r="I170" s="161">
        <f t="shared" si="134"/>
        <v>0</v>
      </c>
      <c r="J170" s="161">
        <f t="shared" si="134"/>
        <v>0</v>
      </c>
      <c r="K170" s="161">
        <f t="shared" si="134"/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4"/>
        <v>0</v>
      </c>
      <c r="G171" s="161">
        <f t="shared" si="134"/>
        <v>0</v>
      </c>
      <c r="H171" s="161">
        <f t="shared" si="134"/>
        <v>0</v>
      </c>
      <c r="I171" s="161">
        <f t="shared" si="134"/>
        <v>0</v>
      </c>
      <c r="J171" s="161">
        <f t="shared" si="134"/>
        <v>0</v>
      </c>
      <c r="K171" s="161">
        <f t="shared" si="134"/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4"/>
        <v>0</v>
      </c>
      <c r="G172" s="161">
        <f t="shared" si="134"/>
        <v>0</v>
      </c>
      <c r="H172" s="161">
        <f t="shared" si="134"/>
        <v>0</v>
      </c>
      <c r="I172" s="161">
        <f t="shared" si="134"/>
        <v>0</v>
      </c>
      <c r="J172" s="161">
        <f t="shared" si="134"/>
        <v>0</v>
      </c>
      <c r="K172" s="161">
        <f t="shared" si="134"/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4"/>
        <v>0</v>
      </c>
      <c r="G173" s="161">
        <f t="shared" si="134"/>
        <v>0</v>
      </c>
      <c r="H173" s="161">
        <f t="shared" si="134"/>
        <v>0</v>
      </c>
      <c r="I173" s="161">
        <f t="shared" si="134"/>
        <v>0</v>
      </c>
      <c r="J173" s="161">
        <f t="shared" si="134"/>
        <v>0</v>
      </c>
      <c r="K173" s="161">
        <f t="shared" si="134"/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4"/>
        <v>0</v>
      </c>
      <c r="G174" s="161">
        <f t="shared" si="134"/>
        <v>0</v>
      </c>
      <c r="H174" s="161">
        <f t="shared" si="134"/>
        <v>0</v>
      </c>
      <c r="I174" s="161">
        <f t="shared" si="134"/>
        <v>0</v>
      </c>
      <c r="J174" s="161">
        <f t="shared" si="134"/>
        <v>0</v>
      </c>
      <c r="K174" s="161">
        <f t="shared" si="134"/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4"/>
        <v>0</v>
      </c>
      <c r="G175" s="161">
        <f t="shared" si="134"/>
        <v>0</v>
      </c>
      <c r="H175" s="161">
        <f t="shared" si="134"/>
        <v>0</v>
      </c>
      <c r="I175" s="161">
        <f t="shared" si="134"/>
        <v>0</v>
      </c>
      <c r="J175" s="161">
        <f t="shared" si="134"/>
        <v>0</v>
      </c>
      <c r="K175" s="161">
        <f t="shared" si="134"/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4"/>
        <v>0</v>
      </c>
      <c r="G176" s="161">
        <f t="shared" si="134"/>
        <v>0</v>
      </c>
      <c r="H176" s="161">
        <f t="shared" si="134"/>
        <v>0</v>
      </c>
      <c r="I176" s="161">
        <f t="shared" si="134"/>
        <v>0</v>
      </c>
      <c r="J176" s="161">
        <f t="shared" si="134"/>
        <v>0</v>
      </c>
      <c r="K176" s="161">
        <f t="shared" si="134"/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4"/>
        <v>0</v>
      </c>
      <c r="G177" s="161">
        <f t="shared" si="134"/>
        <v>0</v>
      </c>
      <c r="H177" s="161">
        <f t="shared" si="134"/>
        <v>0</v>
      </c>
      <c r="I177" s="161">
        <f t="shared" si="134"/>
        <v>0</v>
      </c>
      <c r="J177" s="161">
        <f t="shared" si="134"/>
        <v>0</v>
      </c>
      <c r="K177" s="161">
        <f t="shared" si="134"/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4"/>
        <v>0</v>
      </c>
      <c r="G178" s="161">
        <f t="shared" si="134"/>
        <v>0</v>
      </c>
      <c r="H178" s="161">
        <f t="shared" si="134"/>
        <v>0</v>
      </c>
      <c r="I178" s="161">
        <f t="shared" si="134"/>
        <v>0</v>
      </c>
      <c r="J178" s="161">
        <f t="shared" si="134"/>
        <v>0</v>
      </c>
      <c r="K178" s="161">
        <f t="shared" si="134"/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4"/>
        <v>0</v>
      </c>
      <c r="G179" s="161">
        <f t="shared" si="134"/>
        <v>0</v>
      </c>
      <c r="H179" s="161">
        <f t="shared" si="134"/>
        <v>0</v>
      </c>
      <c r="I179" s="161">
        <f t="shared" si="134"/>
        <v>0</v>
      </c>
      <c r="J179" s="161">
        <f t="shared" si="134"/>
        <v>0</v>
      </c>
      <c r="K179" s="161">
        <f t="shared" si="134"/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4"/>
        <v>0</v>
      </c>
      <c r="G180" s="161">
        <f t="shared" si="134"/>
        <v>0</v>
      </c>
      <c r="H180" s="161">
        <f t="shared" si="134"/>
        <v>0</v>
      </c>
      <c r="I180" s="161">
        <f t="shared" si="134"/>
        <v>0</v>
      </c>
      <c r="J180" s="161">
        <f t="shared" si="134"/>
        <v>0</v>
      </c>
      <c r="K180" s="161">
        <f t="shared" si="134"/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4"/>
        <v>0</v>
      </c>
      <c r="G181" s="161">
        <f t="shared" si="134"/>
        <v>0</v>
      </c>
      <c r="H181" s="161">
        <f t="shared" si="134"/>
        <v>0</v>
      </c>
      <c r="I181" s="161">
        <f t="shared" si="134"/>
        <v>0</v>
      </c>
      <c r="J181" s="161">
        <f t="shared" si="134"/>
        <v>0</v>
      </c>
      <c r="K181" s="161">
        <f t="shared" si="134"/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4"/>
        <v>0</v>
      </c>
      <c r="G182" s="161">
        <f t="shared" si="134"/>
        <v>0</v>
      </c>
      <c r="H182" s="161">
        <f t="shared" si="134"/>
        <v>0</v>
      </c>
      <c r="I182" s="161">
        <f t="shared" si="134"/>
        <v>0</v>
      </c>
      <c r="J182" s="161">
        <f t="shared" si="134"/>
        <v>0</v>
      </c>
      <c r="K182" s="161">
        <f t="shared" si="134"/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4"/>
        <v>0</v>
      </c>
      <c r="G183" s="161">
        <f t="shared" si="134"/>
        <v>0</v>
      </c>
      <c r="H183" s="161">
        <f t="shared" si="134"/>
        <v>0</v>
      </c>
      <c r="I183" s="161">
        <f t="shared" si="134"/>
        <v>0</v>
      </c>
      <c r="J183" s="161">
        <f t="shared" si="134"/>
        <v>0</v>
      </c>
      <c r="K183" s="161">
        <f t="shared" si="134"/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4"/>
        <v>0</v>
      </c>
      <c r="G184" s="161">
        <f t="shared" si="134"/>
        <v>0</v>
      </c>
      <c r="H184" s="161">
        <f t="shared" si="134"/>
        <v>0</v>
      </c>
      <c r="I184" s="161">
        <f t="shared" si="134"/>
        <v>0</v>
      </c>
      <c r="J184" s="161">
        <f t="shared" si="134"/>
        <v>0</v>
      </c>
      <c r="K184" s="161">
        <f t="shared" si="134"/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5"/>
        <v>0</v>
      </c>
      <c r="AC184" s="161">
        <f t="shared" si="135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37">E185</f>
        <v>0</v>
      </c>
      <c r="G185" s="161">
        <f t="shared" si="137"/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7"/>
        <v>0</v>
      </c>
      <c r="N185" s="161">
        <f t="shared" si="137"/>
        <v>0</v>
      </c>
      <c r="O185" s="161">
        <f t="shared" si="137"/>
        <v>0</v>
      </c>
      <c r="P185" s="161">
        <f t="shared" si="137"/>
        <v>0</v>
      </c>
      <c r="Q185" s="161">
        <f t="shared" si="137"/>
        <v>0</v>
      </c>
      <c r="R185" s="161">
        <f t="shared" si="137"/>
        <v>0</v>
      </c>
      <c r="S185" s="161">
        <f t="shared" si="136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37"/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7"/>
        <v>0</v>
      </c>
      <c r="N186" s="161">
        <f t="shared" si="137"/>
        <v>0</v>
      </c>
      <c r="O186" s="161">
        <f t="shared" si="137"/>
        <v>0</v>
      </c>
      <c r="P186" s="161">
        <f t="shared" si="137"/>
        <v>0</v>
      </c>
      <c r="Q186" s="161">
        <f t="shared" si="137"/>
        <v>0</v>
      </c>
      <c r="R186" s="161">
        <f t="shared" si="137"/>
        <v>0</v>
      </c>
      <c r="S186" s="161">
        <f t="shared" si="136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37"/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7"/>
        <v>0</v>
      </c>
      <c r="N187" s="161">
        <f t="shared" si="137"/>
        <v>0</v>
      </c>
      <c r="O187" s="161">
        <f t="shared" si="137"/>
        <v>0</v>
      </c>
      <c r="P187" s="161">
        <f t="shared" si="137"/>
        <v>0</v>
      </c>
      <c r="Q187" s="161">
        <f t="shared" si="137"/>
        <v>0</v>
      </c>
      <c r="R187" s="161">
        <f t="shared" si="137"/>
        <v>0</v>
      </c>
      <c r="S187" s="161">
        <f t="shared" si="136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37"/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7"/>
        <v>0</v>
      </c>
      <c r="N188" s="161">
        <f t="shared" si="137"/>
        <v>0</v>
      </c>
      <c r="O188" s="161">
        <f t="shared" si="137"/>
        <v>0</v>
      </c>
      <c r="P188" s="161">
        <f t="shared" si="137"/>
        <v>0</v>
      </c>
      <c r="Q188" s="161">
        <f t="shared" si="137"/>
        <v>0</v>
      </c>
      <c r="R188" s="161">
        <f t="shared" si="137"/>
        <v>0</v>
      </c>
      <c r="S188" s="161">
        <f t="shared" si="136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37"/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7"/>
        <v>0</v>
      </c>
      <c r="N189" s="161">
        <f t="shared" si="137"/>
        <v>0</v>
      </c>
      <c r="O189" s="161">
        <f t="shared" si="137"/>
        <v>0</v>
      </c>
      <c r="P189" s="161">
        <f t="shared" si="137"/>
        <v>0</v>
      </c>
      <c r="Q189" s="161">
        <f t="shared" si="137"/>
        <v>0</v>
      </c>
      <c r="R189" s="161">
        <f t="shared" si="137"/>
        <v>0</v>
      </c>
      <c r="S189" s="161">
        <f t="shared" si="136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37"/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7"/>
        <v>0</v>
      </c>
      <c r="N190" s="161">
        <f t="shared" si="137"/>
        <v>0</v>
      </c>
      <c r="O190" s="161">
        <f t="shared" si="137"/>
        <v>0</v>
      </c>
      <c r="P190" s="161">
        <f t="shared" si="137"/>
        <v>0</v>
      </c>
      <c r="Q190" s="161">
        <f t="shared" si="137"/>
        <v>0</v>
      </c>
      <c r="R190" s="161">
        <f t="shared" si="137"/>
        <v>0</v>
      </c>
      <c r="S190" s="161">
        <f t="shared" si="136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37"/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7"/>
        <v>0</v>
      </c>
      <c r="N191" s="161">
        <f t="shared" si="137"/>
        <v>0</v>
      </c>
      <c r="O191" s="161">
        <f t="shared" si="137"/>
        <v>0</v>
      </c>
      <c r="P191" s="161">
        <f t="shared" si="137"/>
        <v>0</v>
      </c>
      <c r="Q191" s="161">
        <f t="shared" si="137"/>
        <v>0</v>
      </c>
      <c r="R191" s="161">
        <f t="shared" si="137"/>
        <v>0</v>
      </c>
      <c r="S191" s="161">
        <f t="shared" si="136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37"/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7"/>
        <v>0</v>
      </c>
      <c r="N192" s="161">
        <f t="shared" si="137"/>
        <v>0</v>
      </c>
      <c r="O192" s="161">
        <f t="shared" si="137"/>
        <v>0</v>
      </c>
      <c r="P192" s="161">
        <f t="shared" si="137"/>
        <v>0</v>
      </c>
      <c r="Q192" s="161">
        <f t="shared" si="137"/>
        <v>0</v>
      </c>
      <c r="R192" s="161">
        <f t="shared" si="137"/>
        <v>0</v>
      </c>
      <c r="S192" s="161">
        <f t="shared" si="136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37"/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7"/>
        <v>0</v>
      </c>
      <c r="N193" s="161">
        <f t="shared" si="137"/>
        <v>0</v>
      </c>
      <c r="O193" s="161">
        <f t="shared" si="137"/>
        <v>0</v>
      </c>
      <c r="P193" s="161">
        <f t="shared" si="137"/>
        <v>0</v>
      </c>
      <c r="Q193" s="161">
        <f t="shared" si="137"/>
        <v>0</v>
      </c>
      <c r="R193" s="161">
        <f t="shared" si="137"/>
        <v>0</v>
      </c>
      <c r="S193" s="161">
        <f t="shared" si="136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37"/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7"/>
        <v>0</v>
      </c>
      <c r="N194" s="161">
        <f t="shared" si="137"/>
        <v>0</v>
      </c>
      <c r="O194" s="161">
        <f t="shared" si="137"/>
        <v>0</v>
      </c>
      <c r="P194" s="161">
        <f t="shared" si="137"/>
        <v>0</v>
      </c>
      <c r="Q194" s="161">
        <f t="shared" si="137"/>
        <v>0</v>
      </c>
      <c r="R194" s="161">
        <f t="shared" si="137"/>
        <v>0</v>
      </c>
      <c r="S194" s="161">
        <f t="shared" si="136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37"/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7"/>
        <v>0</v>
      </c>
      <c r="N195" s="161">
        <f t="shared" si="137"/>
        <v>0</v>
      </c>
      <c r="O195" s="161">
        <f t="shared" si="137"/>
        <v>0</v>
      </c>
      <c r="P195" s="161">
        <f t="shared" si="137"/>
        <v>0</v>
      </c>
      <c r="Q195" s="161">
        <f t="shared" si="137"/>
        <v>0</v>
      </c>
      <c r="R195" s="161">
        <f t="shared" si="137"/>
        <v>0</v>
      </c>
      <c r="S195" s="161">
        <f t="shared" si="136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37"/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7"/>
        <v>0</v>
      </c>
      <c r="N196" s="161">
        <f t="shared" si="137"/>
        <v>0</v>
      </c>
      <c r="O196" s="161">
        <f t="shared" si="137"/>
        <v>0</v>
      </c>
      <c r="P196" s="161">
        <f t="shared" si="137"/>
        <v>0</v>
      </c>
      <c r="Q196" s="161">
        <f t="shared" si="137"/>
        <v>0</v>
      </c>
      <c r="R196" s="161">
        <f t="shared" si="137"/>
        <v>0</v>
      </c>
      <c r="S196" s="161">
        <f t="shared" si="136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37"/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7"/>
        <v>0</v>
      </c>
      <c r="N197" s="161">
        <f t="shared" si="137"/>
        <v>0</v>
      </c>
      <c r="O197" s="161">
        <f t="shared" si="137"/>
        <v>0</v>
      </c>
      <c r="P197" s="161">
        <f t="shared" si="137"/>
        <v>0</v>
      </c>
      <c r="Q197" s="161">
        <f t="shared" si="137"/>
        <v>0</v>
      </c>
      <c r="R197" s="161">
        <f t="shared" si="137"/>
        <v>0</v>
      </c>
      <c r="S197" s="161">
        <f t="shared" si="136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37"/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7"/>
        <v>0</v>
      </c>
      <c r="N198" s="161">
        <f t="shared" si="137"/>
        <v>0</v>
      </c>
      <c r="O198" s="161">
        <f t="shared" si="137"/>
        <v>0</v>
      </c>
      <c r="P198" s="161">
        <f t="shared" si="137"/>
        <v>0</v>
      </c>
      <c r="Q198" s="161">
        <f t="shared" si="137"/>
        <v>0</v>
      </c>
      <c r="R198" s="161">
        <f t="shared" si="137"/>
        <v>0</v>
      </c>
      <c r="S198" s="161">
        <f t="shared" si="136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37"/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7"/>
        <v>0</v>
      </c>
      <c r="N199" s="161">
        <f t="shared" si="137"/>
        <v>0</v>
      </c>
      <c r="O199" s="161">
        <f t="shared" si="137"/>
        <v>0</v>
      </c>
      <c r="P199" s="161">
        <f t="shared" si="137"/>
        <v>0</v>
      </c>
      <c r="Q199" s="161">
        <f t="shared" si="137"/>
        <v>0</v>
      </c>
      <c r="R199" s="161">
        <f t="shared" si="137"/>
        <v>0</v>
      </c>
      <c r="S199" s="161">
        <f t="shared" si="136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37"/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7"/>
        <v>0</v>
      </c>
      <c r="N200" s="161">
        <f t="shared" si="137"/>
        <v>0</v>
      </c>
      <c r="O200" s="161">
        <f t="shared" si="137"/>
        <v>0</v>
      </c>
      <c r="P200" s="161">
        <f t="shared" si="137"/>
        <v>0</v>
      </c>
      <c r="Q200" s="161">
        <f t="shared" si="137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39">E201</f>
        <v>0</v>
      </c>
      <c r="G201" s="161">
        <f t="shared" si="139"/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9"/>
        <v>0</v>
      </c>
      <c r="N201" s="161">
        <f t="shared" si="139"/>
        <v>0</v>
      </c>
      <c r="O201" s="161">
        <f t="shared" si="139"/>
        <v>0</v>
      </c>
      <c r="P201" s="161">
        <f t="shared" si="139"/>
        <v>0</v>
      </c>
      <c r="Q201" s="161">
        <f t="shared" si="139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39"/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9"/>
        <v>0</v>
      </c>
      <c r="N202" s="161">
        <f t="shared" si="139"/>
        <v>0</v>
      </c>
      <c r="O202" s="161">
        <f t="shared" si="139"/>
        <v>0</v>
      </c>
      <c r="P202" s="161">
        <f t="shared" si="139"/>
        <v>0</v>
      </c>
      <c r="Q202" s="161">
        <f t="shared" si="139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39"/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9"/>
        <v>0</v>
      </c>
      <c r="N203" s="161">
        <f t="shared" si="139"/>
        <v>0</v>
      </c>
      <c r="O203" s="161">
        <f t="shared" si="139"/>
        <v>0</v>
      </c>
      <c r="P203" s="161">
        <f t="shared" si="139"/>
        <v>0</v>
      </c>
      <c r="Q203" s="161">
        <f t="shared" si="139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39"/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9"/>
        <v>0</v>
      </c>
      <c r="N204" s="161">
        <f t="shared" si="139"/>
        <v>0</v>
      </c>
      <c r="O204" s="161">
        <f t="shared" si="139"/>
        <v>0</v>
      </c>
      <c r="P204" s="161">
        <f t="shared" si="139"/>
        <v>0</v>
      </c>
      <c r="Q204" s="161">
        <f t="shared" si="139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39"/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9"/>
        <v>0</v>
      </c>
      <c r="N205" s="161">
        <f t="shared" si="139"/>
        <v>0</v>
      </c>
      <c r="O205" s="161">
        <f t="shared" si="139"/>
        <v>0</v>
      </c>
      <c r="P205" s="161">
        <f t="shared" si="139"/>
        <v>0</v>
      </c>
      <c r="Q205" s="161">
        <f t="shared" si="139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39"/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9"/>
        <v>0</v>
      </c>
      <c r="N206" s="161">
        <f t="shared" si="139"/>
        <v>0</v>
      </c>
      <c r="O206" s="161">
        <f t="shared" si="139"/>
        <v>0</v>
      </c>
      <c r="P206" s="161">
        <f t="shared" si="139"/>
        <v>0</v>
      </c>
      <c r="Q206" s="161">
        <f t="shared" si="139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39"/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9"/>
        <v>0</v>
      </c>
      <c r="N207" s="161">
        <f t="shared" si="139"/>
        <v>0</v>
      </c>
      <c r="O207" s="161">
        <f t="shared" si="139"/>
        <v>0</v>
      </c>
      <c r="P207" s="161">
        <f t="shared" si="139"/>
        <v>0</v>
      </c>
      <c r="Q207" s="161">
        <f t="shared" si="139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39"/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9"/>
        <v>0</v>
      </c>
      <c r="N208" s="161">
        <f t="shared" si="139"/>
        <v>0</v>
      </c>
      <c r="O208" s="161">
        <f t="shared" si="139"/>
        <v>0</v>
      </c>
      <c r="P208" s="161">
        <f t="shared" si="139"/>
        <v>0</v>
      </c>
      <c r="Q208" s="161">
        <f t="shared" si="139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39"/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9"/>
        <v>0</v>
      </c>
      <c r="N209" s="161">
        <f t="shared" si="139"/>
        <v>0</v>
      </c>
      <c r="O209" s="161">
        <f t="shared" si="139"/>
        <v>0</v>
      </c>
      <c r="P209" s="161">
        <f t="shared" si="139"/>
        <v>0</v>
      </c>
      <c r="Q209" s="161">
        <f t="shared" si="139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39"/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9"/>
        <v>0</v>
      </c>
      <c r="N210" s="161">
        <f t="shared" si="139"/>
        <v>0</v>
      </c>
      <c r="O210" s="161">
        <f t="shared" si="139"/>
        <v>0</v>
      </c>
      <c r="P210" s="161">
        <f t="shared" si="139"/>
        <v>0</v>
      </c>
      <c r="Q210" s="161">
        <f t="shared" si="139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39"/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9"/>
        <v>0</v>
      </c>
      <c r="N211" s="161">
        <f t="shared" si="139"/>
        <v>0</v>
      </c>
      <c r="O211" s="161">
        <f t="shared" si="139"/>
        <v>0</v>
      </c>
      <c r="P211" s="161">
        <f t="shared" si="139"/>
        <v>0</v>
      </c>
      <c r="Q211" s="161">
        <f t="shared" si="139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39"/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9"/>
        <v>0</v>
      </c>
      <c r="N212" s="161">
        <f t="shared" si="139"/>
        <v>0</v>
      </c>
      <c r="O212" s="161">
        <f t="shared" si="139"/>
        <v>0</v>
      </c>
      <c r="P212" s="161">
        <f t="shared" si="139"/>
        <v>0</v>
      </c>
      <c r="Q212" s="161">
        <f t="shared" si="139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39"/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9"/>
        <v>0</v>
      </c>
      <c r="N213" s="161">
        <f t="shared" si="139"/>
        <v>0</v>
      </c>
      <c r="O213" s="161">
        <f t="shared" si="139"/>
        <v>0</v>
      </c>
      <c r="P213" s="161">
        <f t="shared" si="139"/>
        <v>0</v>
      </c>
      <c r="Q213" s="161">
        <f t="shared" si="139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39"/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9"/>
        <v>0</v>
      </c>
      <c r="N214" s="161">
        <f t="shared" si="139"/>
        <v>0</v>
      </c>
      <c r="O214" s="161">
        <f t="shared" si="139"/>
        <v>0</v>
      </c>
      <c r="P214" s="161">
        <f t="shared" si="139"/>
        <v>0</v>
      </c>
      <c r="Q214" s="161">
        <f t="shared" si="139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39"/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9"/>
        <v>0</v>
      </c>
      <c r="N215" s="161">
        <f t="shared" si="139"/>
        <v>0</v>
      </c>
      <c r="O215" s="161">
        <f t="shared" si="139"/>
        <v>0</v>
      </c>
      <c r="P215" s="161">
        <f t="shared" si="139"/>
        <v>0</v>
      </c>
      <c r="Q215" s="161">
        <f t="shared" si="139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39"/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9"/>
        <v>0</v>
      </c>
      <c r="N216" s="161">
        <f t="shared" si="139"/>
        <v>0</v>
      </c>
      <c r="O216" s="161">
        <f t="shared" si="139"/>
        <v>0</v>
      </c>
      <c r="P216" s="161">
        <f t="shared" si="139"/>
        <v>0</v>
      </c>
      <c r="Q216" s="161">
        <f t="shared" si="139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1">E217</f>
        <v>0</v>
      </c>
      <c r="G217" s="161">
        <f t="shared" si="141"/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41"/>
        <v>0</v>
      </c>
      <c r="N217" s="161">
        <f t="shared" si="141"/>
        <v>0</v>
      </c>
      <c r="O217" s="161">
        <f t="shared" si="141"/>
        <v>0</v>
      </c>
      <c r="P217" s="161">
        <f t="shared" si="141"/>
        <v>0</v>
      </c>
      <c r="Q217" s="161">
        <f t="shared" si="141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1"/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41"/>
        <v>0</v>
      </c>
      <c r="N218" s="161">
        <f t="shared" si="141"/>
        <v>0</v>
      </c>
      <c r="O218" s="161">
        <f t="shared" si="141"/>
        <v>0</v>
      </c>
      <c r="P218" s="161">
        <f t="shared" si="141"/>
        <v>0</v>
      </c>
      <c r="Q218" s="161">
        <f t="shared" si="141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1"/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41"/>
        <v>0</v>
      </c>
      <c r="N219" s="161">
        <f t="shared" si="141"/>
        <v>0</v>
      </c>
      <c r="O219" s="161">
        <f t="shared" si="141"/>
        <v>0</v>
      </c>
      <c r="P219" s="161">
        <f t="shared" si="141"/>
        <v>0</v>
      </c>
      <c r="Q219" s="161">
        <f t="shared" si="141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1"/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41"/>
        <v>0</v>
      </c>
      <c r="N220" s="161">
        <f t="shared" si="141"/>
        <v>0</v>
      </c>
      <c r="O220" s="161">
        <f t="shared" si="141"/>
        <v>0</v>
      </c>
      <c r="P220" s="161">
        <f t="shared" si="141"/>
        <v>0</v>
      </c>
      <c r="Q220" s="161">
        <f t="shared" si="141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1"/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41"/>
        <v>0</v>
      </c>
      <c r="N221" s="161">
        <f t="shared" si="141"/>
        <v>0</v>
      </c>
      <c r="O221" s="161">
        <f t="shared" si="141"/>
        <v>0</v>
      </c>
      <c r="P221" s="161">
        <f t="shared" si="141"/>
        <v>0</v>
      </c>
      <c r="Q221" s="161">
        <f t="shared" si="141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1"/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41"/>
        <v>0</v>
      </c>
      <c r="N222" s="161">
        <f t="shared" si="141"/>
        <v>0</v>
      </c>
      <c r="O222" s="161">
        <f t="shared" si="141"/>
        <v>0</v>
      </c>
      <c r="P222" s="161">
        <f t="shared" si="141"/>
        <v>0</v>
      </c>
      <c r="Q222" s="161">
        <f t="shared" si="141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1"/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41"/>
        <v>0</v>
      </c>
      <c r="N223" s="161">
        <f t="shared" si="141"/>
        <v>0</v>
      </c>
      <c r="O223" s="161">
        <f t="shared" si="141"/>
        <v>0</v>
      </c>
      <c r="P223" s="161">
        <f t="shared" si="141"/>
        <v>0</v>
      </c>
      <c r="Q223" s="161">
        <f t="shared" si="141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1"/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41"/>
        <v>0</v>
      </c>
      <c r="N224" s="161">
        <f t="shared" si="141"/>
        <v>0</v>
      </c>
      <c r="O224" s="161">
        <f t="shared" si="141"/>
        <v>0</v>
      </c>
      <c r="P224" s="161">
        <f t="shared" si="141"/>
        <v>0</v>
      </c>
      <c r="Q224" s="161">
        <f t="shared" si="141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1"/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41"/>
        <v>0</v>
      </c>
      <c r="N225" s="161">
        <f t="shared" si="141"/>
        <v>0</v>
      </c>
      <c r="O225" s="161">
        <f t="shared" si="141"/>
        <v>0</v>
      </c>
      <c r="P225" s="161">
        <f t="shared" si="141"/>
        <v>0</v>
      </c>
      <c r="Q225" s="161">
        <f t="shared" si="141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1"/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41"/>
        <v>0</v>
      </c>
      <c r="N226" s="161">
        <f t="shared" si="141"/>
        <v>0</v>
      </c>
      <c r="O226" s="161">
        <f t="shared" si="141"/>
        <v>0</v>
      </c>
      <c r="P226" s="161">
        <f t="shared" si="141"/>
        <v>0</v>
      </c>
      <c r="Q226" s="161">
        <f t="shared" si="141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1"/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41"/>
        <v>0</v>
      </c>
      <c r="N227" s="161">
        <f t="shared" si="141"/>
        <v>0</v>
      </c>
      <c r="O227" s="161">
        <f t="shared" si="141"/>
        <v>0</v>
      </c>
      <c r="P227" s="161">
        <f t="shared" si="141"/>
        <v>0</v>
      </c>
      <c r="Q227" s="161">
        <f t="shared" si="141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1"/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41"/>
        <v>0</v>
      </c>
      <c r="N228" s="161">
        <f t="shared" si="141"/>
        <v>0</v>
      </c>
      <c r="O228" s="161">
        <f t="shared" si="141"/>
        <v>0</v>
      </c>
      <c r="P228" s="161">
        <f t="shared" si="141"/>
        <v>0</v>
      </c>
      <c r="Q228" s="161">
        <f t="shared" si="141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1"/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41"/>
        <v>0</v>
      </c>
      <c r="N229" s="161">
        <f t="shared" si="141"/>
        <v>0</v>
      </c>
      <c r="O229" s="161">
        <f t="shared" si="141"/>
        <v>0</v>
      </c>
      <c r="P229" s="161">
        <f t="shared" si="141"/>
        <v>0</v>
      </c>
      <c r="Q229" s="161">
        <f t="shared" si="141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1"/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41"/>
        <v>0</v>
      </c>
      <c r="N230" s="161">
        <f t="shared" si="141"/>
        <v>0</v>
      </c>
      <c r="O230" s="161">
        <f t="shared" si="141"/>
        <v>0</v>
      </c>
      <c r="P230" s="161">
        <f t="shared" si="141"/>
        <v>0</v>
      </c>
      <c r="Q230" s="161">
        <f t="shared" si="141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1"/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41"/>
        <v>0</v>
      </c>
      <c r="N231" s="161">
        <f t="shared" si="141"/>
        <v>0</v>
      </c>
      <c r="O231" s="161">
        <f t="shared" si="141"/>
        <v>0</v>
      </c>
      <c r="P231" s="161">
        <f t="shared" si="141"/>
        <v>0</v>
      </c>
      <c r="Q231" s="161">
        <f t="shared" si="141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1"/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41"/>
        <v>0</v>
      </c>
      <c r="N232" s="161">
        <f t="shared" si="141"/>
        <v>0</v>
      </c>
      <c r="O232" s="161">
        <f t="shared" si="141"/>
        <v>0</v>
      </c>
      <c r="P232" s="161">
        <f t="shared" si="141"/>
        <v>0</v>
      </c>
      <c r="Q232" s="161">
        <f t="shared" si="141"/>
        <v>0</v>
      </c>
      <c r="R232" s="161">
        <f t="shared" ref="R232:AF247" si="142">Q232</f>
        <v>0</v>
      </c>
      <c r="S232" s="161">
        <f t="shared" si="142"/>
        <v>0</v>
      </c>
      <c r="T232" s="161">
        <f t="shared" si="142"/>
        <v>0</v>
      </c>
      <c r="U232" s="161">
        <f t="shared" si="142"/>
        <v>0</v>
      </c>
      <c r="V232" s="161">
        <f t="shared" si="142"/>
        <v>0</v>
      </c>
      <c r="W232" s="161">
        <f t="shared" si="142"/>
        <v>0</v>
      </c>
      <c r="X232" s="161">
        <f t="shared" si="142"/>
        <v>0</v>
      </c>
      <c r="Y232" s="161">
        <f t="shared" si="142"/>
        <v>0</v>
      </c>
      <c r="Z232" s="161">
        <f t="shared" si="142"/>
        <v>0</v>
      </c>
      <c r="AA232" s="161">
        <f t="shared" si="142"/>
        <v>0</v>
      </c>
      <c r="AB232" s="161">
        <f t="shared" si="142"/>
        <v>0</v>
      </c>
      <c r="AC232" s="161">
        <f t="shared" si="142"/>
        <v>0</v>
      </c>
      <c r="AD232" s="161">
        <f t="shared" si="142"/>
        <v>0</v>
      </c>
      <c r="AE232" s="161">
        <f t="shared" si="142"/>
        <v>0</v>
      </c>
      <c r="AF232" s="174">
        <f t="shared" si="142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43">E233</f>
        <v>0</v>
      </c>
      <c r="G233" s="161">
        <f t="shared" si="143"/>
        <v>0</v>
      </c>
      <c r="H233" s="161">
        <f t="shared" si="143"/>
        <v>0</v>
      </c>
      <c r="I233" s="161">
        <f t="shared" si="143"/>
        <v>0</v>
      </c>
      <c r="J233" s="161">
        <f t="shared" si="143"/>
        <v>0</v>
      </c>
      <c r="K233" s="161">
        <f t="shared" si="143"/>
        <v>0</v>
      </c>
      <c r="L233" s="161">
        <f t="shared" si="143"/>
        <v>0</v>
      </c>
      <c r="M233" s="161">
        <f t="shared" si="143"/>
        <v>0</v>
      </c>
      <c r="N233" s="161">
        <f t="shared" si="143"/>
        <v>0</v>
      </c>
      <c r="O233" s="161">
        <f t="shared" si="143"/>
        <v>0</v>
      </c>
      <c r="P233" s="161">
        <f t="shared" si="143"/>
        <v>0</v>
      </c>
      <c r="Q233" s="161">
        <f t="shared" si="143"/>
        <v>0</v>
      </c>
      <c r="R233" s="161">
        <f t="shared" si="143"/>
        <v>0</v>
      </c>
      <c r="S233" s="161">
        <f t="shared" si="142"/>
        <v>0</v>
      </c>
      <c r="T233" s="161">
        <f t="shared" si="142"/>
        <v>0</v>
      </c>
      <c r="U233" s="161">
        <f t="shared" si="142"/>
        <v>0</v>
      </c>
      <c r="V233" s="161">
        <f t="shared" si="142"/>
        <v>0</v>
      </c>
      <c r="W233" s="161">
        <f t="shared" si="142"/>
        <v>0</v>
      </c>
      <c r="X233" s="161">
        <f t="shared" si="142"/>
        <v>0</v>
      </c>
      <c r="Y233" s="161">
        <f t="shared" si="142"/>
        <v>0</v>
      </c>
      <c r="Z233" s="161">
        <f t="shared" si="142"/>
        <v>0</v>
      </c>
      <c r="AA233" s="161">
        <f t="shared" si="142"/>
        <v>0</v>
      </c>
      <c r="AB233" s="161">
        <f t="shared" si="142"/>
        <v>0</v>
      </c>
      <c r="AC233" s="161">
        <f t="shared" si="142"/>
        <v>0</v>
      </c>
      <c r="AD233" s="161">
        <f t="shared" si="142"/>
        <v>0</v>
      </c>
      <c r="AE233" s="161">
        <f t="shared" si="142"/>
        <v>0</v>
      </c>
      <c r="AF233" s="174">
        <f t="shared" si="142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43"/>
        <v>0</v>
      </c>
      <c r="G234" s="161">
        <f t="shared" si="143"/>
        <v>0</v>
      </c>
      <c r="H234" s="161">
        <f t="shared" si="143"/>
        <v>0</v>
      </c>
      <c r="I234" s="161">
        <f t="shared" si="143"/>
        <v>0</v>
      </c>
      <c r="J234" s="161">
        <f t="shared" si="143"/>
        <v>0</v>
      </c>
      <c r="K234" s="161">
        <f t="shared" si="143"/>
        <v>0</v>
      </c>
      <c r="L234" s="161">
        <f t="shared" si="143"/>
        <v>0</v>
      </c>
      <c r="M234" s="161">
        <f t="shared" si="143"/>
        <v>0</v>
      </c>
      <c r="N234" s="161">
        <f t="shared" si="143"/>
        <v>0</v>
      </c>
      <c r="O234" s="161">
        <f t="shared" si="143"/>
        <v>0</v>
      </c>
      <c r="P234" s="161">
        <f t="shared" si="143"/>
        <v>0</v>
      </c>
      <c r="Q234" s="161">
        <f t="shared" si="143"/>
        <v>0</v>
      </c>
      <c r="R234" s="161">
        <f t="shared" si="143"/>
        <v>0</v>
      </c>
      <c r="S234" s="161">
        <f t="shared" si="142"/>
        <v>0</v>
      </c>
      <c r="T234" s="161">
        <f t="shared" si="142"/>
        <v>0</v>
      </c>
      <c r="U234" s="161">
        <f t="shared" si="142"/>
        <v>0</v>
      </c>
      <c r="V234" s="161">
        <f t="shared" si="142"/>
        <v>0</v>
      </c>
      <c r="W234" s="161">
        <f t="shared" si="142"/>
        <v>0</v>
      </c>
      <c r="X234" s="161">
        <f t="shared" si="142"/>
        <v>0</v>
      </c>
      <c r="Y234" s="161">
        <f t="shared" si="142"/>
        <v>0</v>
      </c>
      <c r="Z234" s="161">
        <f t="shared" si="142"/>
        <v>0</v>
      </c>
      <c r="AA234" s="161">
        <f t="shared" si="142"/>
        <v>0</v>
      </c>
      <c r="AB234" s="161">
        <f t="shared" si="142"/>
        <v>0</v>
      </c>
      <c r="AC234" s="161">
        <f t="shared" si="142"/>
        <v>0</v>
      </c>
      <c r="AD234" s="161">
        <f t="shared" si="142"/>
        <v>0</v>
      </c>
      <c r="AE234" s="161">
        <f t="shared" si="142"/>
        <v>0</v>
      </c>
      <c r="AF234" s="174">
        <f t="shared" si="142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43"/>
        <v>0</v>
      </c>
      <c r="G235" s="161">
        <f t="shared" si="143"/>
        <v>0</v>
      </c>
      <c r="H235" s="161">
        <f t="shared" si="143"/>
        <v>0</v>
      </c>
      <c r="I235" s="161">
        <f t="shared" si="143"/>
        <v>0</v>
      </c>
      <c r="J235" s="161">
        <f t="shared" si="143"/>
        <v>0</v>
      </c>
      <c r="K235" s="161">
        <f t="shared" si="143"/>
        <v>0</v>
      </c>
      <c r="L235" s="161">
        <f t="shared" si="143"/>
        <v>0</v>
      </c>
      <c r="M235" s="161">
        <f t="shared" si="143"/>
        <v>0</v>
      </c>
      <c r="N235" s="161">
        <f t="shared" si="143"/>
        <v>0</v>
      </c>
      <c r="O235" s="161">
        <f t="shared" si="143"/>
        <v>0</v>
      </c>
      <c r="P235" s="161">
        <f t="shared" si="143"/>
        <v>0</v>
      </c>
      <c r="Q235" s="161">
        <f t="shared" si="143"/>
        <v>0</v>
      </c>
      <c r="R235" s="161">
        <f t="shared" si="143"/>
        <v>0</v>
      </c>
      <c r="S235" s="161">
        <f t="shared" si="142"/>
        <v>0</v>
      </c>
      <c r="T235" s="161">
        <f t="shared" si="142"/>
        <v>0</v>
      </c>
      <c r="U235" s="161">
        <f t="shared" si="142"/>
        <v>0</v>
      </c>
      <c r="V235" s="161">
        <f t="shared" si="142"/>
        <v>0</v>
      </c>
      <c r="W235" s="161">
        <f t="shared" si="142"/>
        <v>0</v>
      </c>
      <c r="X235" s="161">
        <f t="shared" si="142"/>
        <v>0</v>
      </c>
      <c r="Y235" s="161">
        <f t="shared" si="142"/>
        <v>0</v>
      </c>
      <c r="Z235" s="161">
        <f t="shared" si="142"/>
        <v>0</v>
      </c>
      <c r="AA235" s="161">
        <f t="shared" si="142"/>
        <v>0</v>
      </c>
      <c r="AB235" s="161">
        <f t="shared" si="142"/>
        <v>0</v>
      </c>
      <c r="AC235" s="161">
        <f t="shared" si="142"/>
        <v>0</v>
      </c>
      <c r="AD235" s="161">
        <f t="shared" si="142"/>
        <v>0</v>
      </c>
      <c r="AE235" s="161">
        <f t="shared" si="142"/>
        <v>0</v>
      </c>
      <c r="AF235" s="174">
        <f t="shared" si="142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43"/>
        <v>0</v>
      </c>
      <c r="G236" s="161">
        <f t="shared" si="143"/>
        <v>0</v>
      </c>
      <c r="H236" s="161">
        <f t="shared" si="143"/>
        <v>0</v>
      </c>
      <c r="I236" s="161">
        <f t="shared" si="143"/>
        <v>0</v>
      </c>
      <c r="J236" s="161">
        <f t="shared" si="143"/>
        <v>0</v>
      </c>
      <c r="K236" s="161">
        <f t="shared" si="143"/>
        <v>0</v>
      </c>
      <c r="L236" s="161">
        <f t="shared" si="143"/>
        <v>0</v>
      </c>
      <c r="M236" s="161">
        <f t="shared" si="143"/>
        <v>0</v>
      </c>
      <c r="N236" s="161">
        <f t="shared" si="143"/>
        <v>0</v>
      </c>
      <c r="O236" s="161">
        <f t="shared" si="143"/>
        <v>0</v>
      </c>
      <c r="P236" s="161">
        <f t="shared" si="143"/>
        <v>0</v>
      </c>
      <c r="Q236" s="161">
        <f t="shared" si="143"/>
        <v>0</v>
      </c>
      <c r="R236" s="161">
        <f t="shared" si="143"/>
        <v>0</v>
      </c>
      <c r="S236" s="161">
        <f t="shared" si="142"/>
        <v>0</v>
      </c>
      <c r="T236" s="161">
        <f t="shared" si="142"/>
        <v>0</v>
      </c>
      <c r="U236" s="161">
        <f t="shared" si="142"/>
        <v>0</v>
      </c>
      <c r="V236" s="161">
        <f t="shared" si="142"/>
        <v>0</v>
      </c>
      <c r="W236" s="161">
        <f t="shared" si="142"/>
        <v>0</v>
      </c>
      <c r="X236" s="161">
        <f t="shared" si="142"/>
        <v>0</v>
      </c>
      <c r="Y236" s="161">
        <f t="shared" si="142"/>
        <v>0</v>
      </c>
      <c r="Z236" s="161">
        <f t="shared" si="142"/>
        <v>0</v>
      </c>
      <c r="AA236" s="161">
        <f t="shared" si="142"/>
        <v>0</v>
      </c>
      <c r="AB236" s="161">
        <f t="shared" si="142"/>
        <v>0</v>
      </c>
      <c r="AC236" s="161">
        <f t="shared" si="142"/>
        <v>0</v>
      </c>
      <c r="AD236" s="161">
        <f t="shared" si="142"/>
        <v>0</v>
      </c>
      <c r="AE236" s="161">
        <f t="shared" si="142"/>
        <v>0</v>
      </c>
      <c r="AF236" s="174">
        <f t="shared" si="142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43"/>
        <v>0</v>
      </c>
      <c r="G237" s="161">
        <f t="shared" si="143"/>
        <v>0</v>
      </c>
      <c r="H237" s="161">
        <f t="shared" si="143"/>
        <v>0</v>
      </c>
      <c r="I237" s="161">
        <f t="shared" si="143"/>
        <v>0</v>
      </c>
      <c r="J237" s="161">
        <f t="shared" si="143"/>
        <v>0</v>
      </c>
      <c r="K237" s="161">
        <f t="shared" si="143"/>
        <v>0</v>
      </c>
      <c r="L237" s="161">
        <f t="shared" si="143"/>
        <v>0</v>
      </c>
      <c r="M237" s="161">
        <f t="shared" si="143"/>
        <v>0</v>
      </c>
      <c r="N237" s="161">
        <f t="shared" si="143"/>
        <v>0</v>
      </c>
      <c r="O237" s="161">
        <f t="shared" si="143"/>
        <v>0</v>
      </c>
      <c r="P237" s="161">
        <f t="shared" si="143"/>
        <v>0</v>
      </c>
      <c r="Q237" s="161">
        <f t="shared" si="143"/>
        <v>0</v>
      </c>
      <c r="R237" s="161">
        <f t="shared" si="143"/>
        <v>0</v>
      </c>
      <c r="S237" s="161">
        <f t="shared" si="142"/>
        <v>0</v>
      </c>
      <c r="T237" s="161">
        <f t="shared" si="142"/>
        <v>0</v>
      </c>
      <c r="U237" s="161">
        <f t="shared" si="142"/>
        <v>0</v>
      </c>
      <c r="V237" s="161">
        <f t="shared" si="142"/>
        <v>0</v>
      </c>
      <c r="W237" s="161">
        <f t="shared" si="142"/>
        <v>0</v>
      </c>
      <c r="X237" s="161">
        <f t="shared" si="142"/>
        <v>0</v>
      </c>
      <c r="Y237" s="161">
        <f t="shared" si="142"/>
        <v>0</v>
      </c>
      <c r="Z237" s="161">
        <f t="shared" si="142"/>
        <v>0</v>
      </c>
      <c r="AA237" s="161">
        <f t="shared" si="142"/>
        <v>0</v>
      </c>
      <c r="AB237" s="161">
        <f t="shared" si="142"/>
        <v>0</v>
      </c>
      <c r="AC237" s="161">
        <f t="shared" si="142"/>
        <v>0</v>
      </c>
      <c r="AD237" s="161">
        <f t="shared" si="142"/>
        <v>0</v>
      </c>
      <c r="AE237" s="161">
        <f t="shared" si="142"/>
        <v>0</v>
      </c>
      <c r="AF237" s="174">
        <f t="shared" si="142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43"/>
        <v>0</v>
      </c>
      <c r="G238" s="161">
        <f t="shared" si="143"/>
        <v>0</v>
      </c>
      <c r="H238" s="161">
        <f t="shared" si="143"/>
        <v>0</v>
      </c>
      <c r="I238" s="161">
        <f t="shared" si="143"/>
        <v>0</v>
      </c>
      <c r="J238" s="161">
        <f t="shared" si="143"/>
        <v>0</v>
      </c>
      <c r="K238" s="161">
        <f t="shared" si="143"/>
        <v>0</v>
      </c>
      <c r="L238" s="161">
        <f t="shared" si="143"/>
        <v>0</v>
      </c>
      <c r="M238" s="161">
        <f t="shared" si="143"/>
        <v>0</v>
      </c>
      <c r="N238" s="161">
        <f t="shared" si="143"/>
        <v>0</v>
      </c>
      <c r="O238" s="161">
        <f t="shared" si="143"/>
        <v>0</v>
      </c>
      <c r="P238" s="161">
        <f t="shared" si="143"/>
        <v>0</v>
      </c>
      <c r="Q238" s="161">
        <f t="shared" si="143"/>
        <v>0</v>
      </c>
      <c r="R238" s="161">
        <f t="shared" si="143"/>
        <v>0</v>
      </c>
      <c r="S238" s="161">
        <f t="shared" si="142"/>
        <v>0</v>
      </c>
      <c r="T238" s="161">
        <f t="shared" si="142"/>
        <v>0</v>
      </c>
      <c r="U238" s="161">
        <f t="shared" si="142"/>
        <v>0</v>
      </c>
      <c r="V238" s="161">
        <f t="shared" si="142"/>
        <v>0</v>
      </c>
      <c r="W238" s="161">
        <f t="shared" si="142"/>
        <v>0</v>
      </c>
      <c r="X238" s="161">
        <f t="shared" si="142"/>
        <v>0</v>
      </c>
      <c r="Y238" s="161">
        <f t="shared" si="142"/>
        <v>0</v>
      </c>
      <c r="Z238" s="161">
        <f t="shared" si="142"/>
        <v>0</v>
      </c>
      <c r="AA238" s="161">
        <f t="shared" si="142"/>
        <v>0</v>
      </c>
      <c r="AB238" s="161">
        <f t="shared" si="142"/>
        <v>0</v>
      </c>
      <c r="AC238" s="161">
        <f t="shared" si="142"/>
        <v>0</v>
      </c>
      <c r="AD238" s="161">
        <f t="shared" si="142"/>
        <v>0</v>
      </c>
      <c r="AE238" s="161">
        <f t="shared" si="142"/>
        <v>0</v>
      </c>
      <c r="AF238" s="174">
        <f t="shared" si="142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43"/>
        <v>0</v>
      </c>
      <c r="G239" s="161">
        <f t="shared" si="143"/>
        <v>0</v>
      </c>
      <c r="H239" s="161">
        <f t="shared" si="143"/>
        <v>0</v>
      </c>
      <c r="I239" s="161">
        <f t="shared" si="143"/>
        <v>0</v>
      </c>
      <c r="J239" s="161">
        <f t="shared" si="143"/>
        <v>0</v>
      </c>
      <c r="K239" s="161">
        <f t="shared" si="143"/>
        <v>0</v>
      </c>
      <c r="L239" s="161">
        <f t="shared" si="143"/>
        <v>0</v>
      </c>
      <c r="M239" s="161">
        <f t="shared" si="143"/>
        <v>0</v>
      </c>
      <c r="N239" s="161">
        <f t="shared" si="143"/>
        <v>0</v>
      </c>
      <c r="O239" s="161">
        <f t="shared" si="143"/>
        <v>0</v>
      </c>
      <c r="P239" s="161">
        <f t="shared" si="143"/>
        <v>0</v>
      </c>
      <c r="Q239" s="161">
        <f t="shared" si="143"/>
        <v>0</v>
      </c>
      <c r="R239" s="161">
        <f t="shared" si="143"/>
        <v>0</v>
      </c>
      <c r="S239" s="161">
        <f t="shared" si="142"/>
        <v>0</v>
      </c>
      <c r="T239" s="161">
        <f t="shared" si="142"/>
        <v>0</v>
      </c>
      <c r="U239" s="161">
        <f t="shared" si="142"/>
        <v>0</v>
      </c>
      <c r="V239" s="161">
        <f t="shared" si="142"/>
        <v>0</v>
      </c>
      <c r="W239" s="161">
        <f t="shared" si="142"/>
        <v>0</v>
      </c>
      <c r="X239" s="161">
        <f t="shared" si="142"/>
        <v>0</v>
      </c>
      <c r="Y239" s="161">
        <f t="shared" si="142"/>
        <v>0</v>
      </c>
      <c r="Z239" s="161">
        <f t="shared" si="142"/>
        <v>0</v>
      </c>
      <c r="AA239" s="161">
        <f t="shared" si="142"/>
        <v>0</v>
      </c>
      <c r="AB239" s="161">
        <f t="shared" si="142"/>
        <v>0</v>
      </c>
      <c r="AC239" s="161">
        <f t="shared" si="142"/>
        <v>0</v>
      </c>
      <c r="AD239" s="161">
        <f t="shared" si="142"/>
        <v>0</v>
      </c>
      <c r="AE239" s="161">
        <f t="shared" si="142"/>
        <v>0</v>
      </c>
      <c r="AF239" s="174">
        <f t="shared" si="142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43"/>
        <v>0</v>
      </c>
      <c r="G240" s="161">
        <f t="shared" si="143"/>
        <v>0</v>
      </c>
      <c r="H240" s="161">
        <f t="shared" si="143"/>
        <v>0</v>
      </c>
      <c r="I240" s="161">
        <f t="shared" si="143"/>
        <v>0</v>
      </c>
      <c r="J240" s="161">
        <f t="shared" si="143"/>
        <v>0</v>
      </c>
      <c r="K240" s="161">
        <f t="shared" si="143"/>
        <v>0</v>
      </c>
      <c r="L240" s="161">
        <f t="shared" si="143"/>
        <v>0</v>
      </c>
      <c r="M240" s="161">
        <f t="shared" si="143"/>
        <v>0</v>
      </c>
      <c r="N240" s="161">
        <f t="shared" si="143"/>
        <v>0</v>
      </c>
      <c r="O240" s="161">
        <f t="shared" si="143"/>
        <v>0</v>
      </c>
      <c r="P240" s="161">
        <f t="shared" si="143"/>
        <v>0</v>
      </c>
      <c r="Q240" s="161">
        <f t="shared" si="143"/>
        <v>0</v>
      </c>
      <c r="R240" s="161">
        <f t="shared" si="143"/>
        <v>0</v>
      </c>
      <c r="S240" s="161">
        <f t="shared" si="142"/>
        <v>0</v>
      </c>
      <c r="T240" s="161">
        <f t="shared" si="142"/>
        <v>0</v>
      </c>
      <c r="U240" s="161">
        <f t="shared" si="142"/>
        <v>0</v>
      </c>
      <c r="V240" s="161">
        <f t="shared" si="142"/>
        <v>0</v>
      </c>
      <c r="W240" s="161">
        <f t="shared" si="142"/>
        <v>0</v>
      </c>
      <c r="X240" s="161">
        <f t="shared" si="142"/>
        <v>0</v>
      </c>
      <c r="Y240" s="161">
        <f t="shared" si="142"/>
        <v>0</v>
      </c>
      <c r="Z240" s="161">
        <f t="shared" si="142"/>
        <v>0</v>
      </c>
      <c r="AA240" s="161">
        <f t="shared" si="142"/>
        <v>0</v>
      </c>
      <c r="AB240" s="161">
        <f t="shared" si="142"/>
        <v>0</v>
      </c>
      <c r="AC240" s="161">
        <f t="shared" si="142"/>
        <v>0</v>
      </c>
      <c r="AD240" s="161">
        <f t="shared" si="142"/>
        <v>0</v>
      </c>
      <c r="AE240" s="161">
        <f t="shared" si="142"/>
        <v>0</v>
      </c>
      <c r="AF240" s="174">
        <f t="shared" si="142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43"/>
        <v>0</v>
      </c>
      <c r="G241" s="161">
        <f t="shared" si="143"/>
        <v>0</v>
      </c>
      <c r="H241" s="161">
        <f t="shared" si="143"/>
        <v>0</v>
      </c>
      <c r="I241" s="161">
        <f t="shared" si="143"/>
        <v>0</v>
      </c>
      <c r="J241" s="161">
        <f t="shared" si="143"/>
        <v>0</v>
      </c>
      <c r="K241" s="161">
        <f t="shared" si="143"/>
        <v>0</v>
      </c>
      <c r="L241" s="161">
        <f t="shared" si="143"/>
        <v>0</v>
      </c>
      <c r="M241" s="161">
        <f t="shared" si="143"/>
        <v>0</v>
      </c>
      <c r="N241" s="161">
        <f t="shared" si="143"/>
        <v>0</v>
      </c>
      <c r="O241" s="161">
        <f t="shared" si="143"/>
        <v>0</v>
      </c>
      <c r="P241" s="161">
        <f t="shared" si="143"/>
        <v>0</v>
      </c>
      <c r="Q241" s="161">
        <f t="shared" si="143"/>
        <v>0</v>
      </c>
      <c r="R241" s="161">
        <f t="shared" si="143"/>
        <v>0</v>
      </c>
      <c r="S241" s="161">
        <f t="shared" si="142"/>
        <v>0</v>
      </c>
      <c r="T241" s="161">
        <f t="shared" si="142"/>
        <v>0</v>
      </c>
      <c r="U241" s="161">
        <f t="shared" si="142"/>
        <v>0</v>
      </c>
      <c r="V241" s="161">
        <f t="shared" si="142"/>
        <v>0</v>
      </c>
      <c r="W241" s="161">
        <f t="shared" si="142"/>
        <v>0</v>
      </c>
      <c r="X241" s="161">
        <f t="shared" si="142"/>
        <v>0</v>
      </c>
      <c r="Y241" s="161">
        <f t="shared" si="142"/>
        <v>0</v>
      </c>
      <c r="Z241" s="161">
        <f t="shared" si="142"/>
        <v>0</v>
      </c>
      <c r="AA241" s="161">
        <f t="shared" si="142"/>
        <v>0</v>
      </c>
      <c r="AB241" s="161">
        <f t="shared" si="142"/>
        <v>0</v>
      </c>
      <c r="AC241" s="161">
        <f t="shared" si="142"/>
        <v>0</v>
      </c>
      <c r="AD241" s="161">
        <f t="shared" si="142"/>
        <v>0</v>
      </c>
      <c r="AE241" s="161">
        <f t="shared" si="142"/>
        <v>0</v>
      </c>
      <c r="AF241" s="174">
        <f t="shared" si="142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43"/>
        <v>0</v>
      </c>
      <c r="G242" s="161">
        <f t="shared" si="143"/>
        <v>0</v>
      </c>
      <c r="H242" s="161">
        <f t="shared" si="143"/>
        <v>0</v>
      </c>
      <c r="I242" s="161">
        <f t="shared" si="143"/>
        <v>0</v>
      </c>
      <c r="J242" s="161">
        <f t="shared" si="143"/>
        <v>0</v>
      </c>
      <c r="K242" s="161">
        <f t="shared" si="143"/>
        <v>0</v>
      </c>
      <c r="L242" s="161">
        <f t="shared" si="143"/>
        <v>0</v>
      </c>
      <c r="M242" s="161">
        <f t="shared" si="143"/>
        <v>0</v>
      </c>
      <c r="N242" s="161">
        <f t="shared" si="143"/>
        <v>0</v>
      </c>
      <c r="O242" s="161">
        <f t="shared" si="143"/>
        <v>0</v>
      </c>
      <c r="P242" s="161">
        <f t="shared" si="143"/>
        <v>0</v>
      </c>
      <c r="Q242" s="161">
        <f t="shared" si="143"/>
        <v>0</v>
      </c>
      <c r="R242" s="161">
        <f t="shared" si="143"/>
        <v>0</v>
      </c>
      <c r="S242" s="161">
        <f t="shared" si="142"/>
        <v>0</v>
      </c>
      <c r="T242" s="161">
        <f t="shared" si="142"/>
        <v>0</v>
      </c>
      <c r="U242" s="161">
        <f t="shared" si="142"/>
        <v>0</v>
      </c>
      <c r="V242" s="161">
        <f t="shared" si="142"/>
        <v>0</v>
      </c>
      <c r="W242" s="161">
        <f t="shared" si="142"/>
        <v>0</v>
      </c>
      <c r="X242" s="161">
        <f t="shared" si="142"/>
        <v>0</v>
      </c>
      <c r="Y242" s="161">
        <f t="shared" si="142"/>
        <v>0</v>
      </c>
      <c r="Z242" s="161">
        <f t="shared" si="142"/>
        <v>0</v>
      </c>
      <c r="AA242" s="161">
        <f t="shared" si="142"/>
        <v>0</v>
      </c>
      <c r="AB242" s="161">
        <f t="shared" si="142"/>
        <v>0</v>
      </c>
      <c r="AC242" s="161">
        <f t="shared" si="142"/>
        <v>0</v>
      </c>
      <c r="AD242" s="161">
        <f t="shared" si="142"/>
        <v>0</v>
      </c>
      <c r="AE242" s="161">
        <f t="shared" si="142"/>
        <v>0</v>
      </c>
      <c r="AF242" s="174">
        <f t="shared" si="142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43"/>
        <v>0</v>
      </c>
      <c r="G243" s="161">
        <f t="shared" si="143"/>
        <v>0</v>
      </c>
      <c r="H243" s="161">
        <f t="shared" si="143"/>
        <v>0</v>
      </c>
      <c r="I243" s="161">
        <f t="shared" si="143"/>
        <v>0</v>
      </c>
      <c r="J243" s="161">
        <f t="shared" si="143"/>
        <v>0</v>
      </c>
      <c r="K243" s="161">
        <f t="shared" si="143"/>
        <v>0</v>
      </c>
      <c r="L243" s="161">
        <f t="shared" si="143"/>
        <v>0</v>
      </c>
      <c r="M243" s="161">
        <f t="shared" si="143"/>
        <v>0</v>
      </c>
      <c r="N243" s="161">
        <f t="shared" si="143"/>
        <v>0</v>
      </c>
      <c r="O243" s="161">
        <f t="shared" si="143"/>
        <v>0</v>
      </c>
      <c r="P243" s="161">
        <f t="shared" si="143"/>
        <v>0</v>
      </c>
      <c r="Q243" s="161">
        <f t="shared" si="143"/>
        <v>0</v>
      </c>
      <c r="R243" s="161">
        <f t="shared" si="143"/>
        <v>0</v>
      </c>
      <c r="S243" s="161">
        <f t="shared" si="142"/>
        <v>0</v>
      </c>
      <c r="T243" s="161">
        <f t="shared" si="142"/>
        <v>0</v>
      </c>
      <c r="U243" s="161">
        <f t="shared" si="142"/>
        <v>0</v>
      </c>
      <c r="V243" s="161">
        <f t="shared" si="142"/>
        <v>0</v>
      </c>
      <c r="W243" s="161">
        <f t="shared" si="142"/>
        <v>0</v>
      </c>
      <c r="X243" s="161">
        <f t="shared" si="142"/>
        <v>0</v>
      </c>
      <c r="Y243" s="161">
        <f t="shared" si="142"/>
        <v>0</v>
      </c>
      <c r="Z243" s="161">
        <f t="shared" si="142"/>
        <v>0</v>
      </c>
      <c r="AA243" s="161">
        <f t="shared" si="142"/>
        <v>0</v>
      </c>
      <c r="AB243" s="161">
        <f t="shared" si="142"/>
        <v>0</v>
      </c>
      <c r="AC243" s="161">
        <f t="shared" si="142"/>
        <v>0</v>
      </c>
      <c r="AD243" s="161">
        <f t="shared" si="142"/>
        <v>0</v>
      </c>
      <c r="AE243" s="161">
        <f t="shared" si="142"/>
        <v>0</v>
      </c>
      <c r="AF243" s="174">
        <f t="shared" si="142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43"/>
        <v>0</v>
      </c>
      <c r="G244" s="161">
        <f t="shared" si="143"/>
        <v>0</v>
      </c>
      <c r="H244" s="161">
        <f t="shared" si="143"/>
        <v>0</v>
      </c>
      <c r="I244" s="161">
        <f t="shared" si="143"/>
        <v>0</v>
      </c>
      <c r="J244" s="161">
        <f t="shared" si="143"/>
        <v>0</v>
      </c>
      <c r="K244" s="161">
        <f t="shared" si="143"/>
        <v>0</v>
      </c>
      <c r="L244" s="161">
        <f t="shared" si="143"/>
        <v>0</v>
      </c>
      <c r="M244" s="161">
        <f t="shared" si="143"/>
        <v>0</v>
      </c>
      <c r="N244" s="161">
        <f t="shared" si="143"/>
        <v>0</v>
      </c>
      <c r="O244" s="161">
        <f t="shared" si="143"/>
        <v>0</v>
      </c>
      <c r="P244" s="161">
        <f t="shared" si="143"/>
        <v>0</v>
      </c>
      <c r="Q244" s="161">
        <f t="shared" si="143"/>
        <v>0</v>
      </c>
      <c r="R244" s="161">
        <f t="shared" si="143"/>
        <v>0</v>
      </c>
      <c r="S244" s="161">
        <f t="shared" si="142"/>
        <v>0</v>
      </c>
      <c r="T244" s="161">
        <f t="shared" si="142"/>
        <v>0</v>
      </c>
      <c r="U244" s="161">
        <f t="shared" si="142"/>
        <v>0</v>
      </c>
      <c r="V244" s="161">
        <f t="shared" si="142"/>
        <v>0</v>
      </c>
      <c r="W244" s="161">
        <f t="shared" si="142"/>
        <v>0</v>
      </c>
      <c r="X244" s="161">
        <f t="shared" si="142"/>
        <v>0</v>
      </c>
      <c r="Y244" s="161">
        <f t="shared" si="142"/>
        <v>0</v>
      </c>
      <c r="Z244" s="161">
        <f t="shared" si="142"/>
        <v>0</v>
      </c>
      <c r="AA244" s="161">
        <f t="shared" si="142"/>
        <v>0</v>
      </c>
      <c r="AB244" s="161">
        <f t="shared" si="142"/>
        <v>0</v>
      </c>
      <c r="AC244" s="161">
        <f t="shared" si="142"/>
        <v>0</v>
      </c>
      <c r="AD244" s="161">
        <f t="shared" si="142"/>
        <v>0</v>
      </c>
      <c r="AE244" s="161">
        <f t="shared" si="142"/>
        <v>0</v>
      </c>
      <c r="AF244" s="174">
        <f t="shared" si="142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43"/>
        <v>0</v>
      </c>
      <c r="G245" s="161">
        <f t="shared" si="143"/>
        <v>0</v>
      </c>
      <c r="H245" s="161">
        <f t="shared" si="143"/>
        <v>0</v>
      </c>
      <c r="I245" s="161">
        <f t="shared" si="143"/>
        <v>0</v>
      </c>
      <c r="J245" s="161">
        <f t="shared" si="143"/>
        <v>0</v>
      </c>
      <c r="K245" s="161">
        <f t="shared" si="143"/>
        <v>0</v>
      </c>
      <c r="L245" s="161">
        <f t="shared" si="143"/>
        <v>0</v>
      </c>
      <c r="M245" s="161">
        <f t="shared" si="143"/>
        <v>0</v>
      </c>
      <c r="N245" s="161">
        <f t="shared" si="143"/>
        <v>0</v>
      </c>
      <c r="O245" s="161">
        <f t="shared" si="143"/>
        <v>0</v>
      </c>
      <c r="P245" s="161">
        <f t="shared" si="143"/>
        <v>0</v>
      </c>
      <c r="Q245" s="161">
        <f t="shared" si="143"/>
        <v>0</v>
      </c>
      <c r="R245" s="161">
        <f t="shared" si="143"/>
        <v>0</v>
      </c>
      <c r="S245" s="161">
        <f t="shared" si="142"/>
        <v>0</v>
      </c>
      <c r="T245" s="161">
        <f t="shared" si="142"/>
        <v>0</v>
      </c>
      <c r="U245" s="161">
        <f t="shared" si="142"/>
        <v>0</v>
      </c>
      <c r="V245" s="161">
        <f t="shared" si="142"/>
        <v>0</v>
      </c>
      <c r="W245" s="161">
        <f t="shared" si="142"/>
        <v>0</v>
      </c>
      <c r="X245" s="161">
        <f t="shared" si="142"/>
        <v>0</v>
      </c>
      <c r="Y245" s="161">
        <f t="shared" si="142"/>
        <v>0</v>
      </c>
      <c r="Z245" s="161">
        <f t="shared" si="142"/>
        <v>0</v>
      </c>
      <c r="AA245" s="161">
        <f t="shared" si="142"/>
        <v>0</v>
      </c>
      <c r="AB245" s="161">
        <f t="shared" si="142"/>
        <v>0</v>
      </c>
      <c r="AC245" s="161">
        <f t="shared" si="142"/>
        <v>0</v>
      </c>
      <c r="AD245" s="161">
        <f t="shared" si="142"/>
        <v>0</v>
      </c>
      <c r="AE245" s="161">
        <f t="shared" si="142"/>
        <v>0</v>
      </c>
      <c r="AF245" s="174">
        <f t="shared" si="142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43"/>
        <v>0</v>
      </c>
      <c r="G246" s="161">
        <f t="shared" si="143"/>
        <v>0</v>
      </c>
      <c r="H246" s="161">
        <f t="shared" si="143"/>
        <v>0</v>
      </c>
      <c r="I246" s="161">
        <f t="shared" si="143"/>
        <v>0</v>
      </c>
      <c r="J246" s="161">
        <f t="shared" si="143"/>
        <v>0</v>
      </c>
      <c r="K246" s="161">
        <f t="shared" si="143"/>
        <v>0</v>
      </c>
      <c r="L246" s="161">
        <f t="shared" si="143"/>
        <v>0</v>
      </c>
      <c r="M246" s="161">
        <f t="shared" si="143"/>
        <v>0</v>
      </c>
      <c r="N246" s="161">
        <f t="shared" si="143"/>
        <v>0</v>
      </c>
      <c r="O246" s="161">
        <f t="shared" si="143"/>
        <v>0</v>
      </c>
      <c r="P246" s="161">
        <f t="shared" si="143"/>
        <v>0</v>
      </c>
      <c r="Q246" s="161">
        <f t="shared" si="143"/>
        <v>0</v>
      </c>
      <c r="R246" s="161">
        <f t="shared" si="143"/>
        <v>0</v>
      </c>
      <c r="S246" s="161">
        <f t="shared" si="142"/>
        <v>0</v>
      </c>
      <c r="T246" s="161">
        <f t="shared" si="142"/>
        <v>0</v>
      </c>
      <c r="U246" s="161">
        <f t="shared" si="142"/>
        <v>0</v>
      </c>
      <c r="V246" s="161">
        <f t="shared" si="142"/>
        <v>0</v>
      </c>
      <c r="W246" s="161">
        <f t="shared" si="142"/>
        <v>0</v>
      </c>
      <c r="X246" s="161">
        <f t="shared" si="142"/>
        <v>0</v>
      </c>
      <c r="Y246" s="161">
        <f t="shared" si="142"/>
        <v>0</v>
      </c>
      <c r="Z246" s="161">
        <f t="shared" si="142"/>
        <v>0</v>
      </c>
      <c r="AA246" s="161">
        <f t="shared" si="142"/>
        <v>0</v>
      </c>
      <c r="AB246" s="161">
        <f t="shared" si="142"/>
        <v>0</v>
      </c>
      <c r="AC246" s="161">
        <f t="shared" si="142"/>
        <v>0</v>
      </c>
      <c r="AD246" s="161">
        <f t="shared" si="142"/>
        <v>0</v>
      </c>
      <c r="AE246" s="161">
        <f t="shared" si="142"/>
        <v>0</v>
      </c>
      <c r="AF246" s="174">
        <f t="shared" si="142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43"/>
        <v>0</v>
      </c>
      <c r="G247" s="161">
        <f t="shared" si="143"/>
        <v>0</v>
      </c>
      <c r="H247" s="161">
        <f t="shared" si="143"/>
        <v>0</v>
      </c>
      <c r="I247" s="161">
        <f t="shared" si="143"/>
        <v>0</v>
      </c>
      <c r="J247" s="161">
        <f t="shared" si="143"/>
        <v>0</v>
      </c>
      <c r="K247" s="161">
        <f t="shared" si="143"/>
        <v>0</v>
      </c>
      <c r="L247" s="161">
        <f t="shared" si="143"/>
        <v>0</v>
      </c>
      <c r="M247" s="161">
        <f t="shared" si="143"/>
        <v>0</v>
      </c>
      <c r="N247" s="161">
        <f t="shared" si="143"/>
        <v>0</v>
      </c>
      <c r="O247" s="161">
        <f t="shared" si="143"/>
        <v>0</v>
      </c>
      <c r="P247" s="161">
        <f t="shared" si="143"/>
        <v>0</v>
      </c>
      <c r="Q247" s="161">
        <f t="shared" si="143"/>
        <v>0</v>
      </c>
      <c r="R247" s="161">
        <f t="shared" si="143"/>
        <v>0</v>
      </c>
      <c r="S247" s="161">
        <f t="shared" si="142"/>
        <v>0</v>
      </c>
      <c r="T247" s="161">
        <f t="shared" si="142"/>
        <v>0</v>
      </c>
      <c r="U247" s="161">
        <f t="shared" si="142"/>
        <v>0</v>
      </c>
      <c r="V247" s="161">
        <f t="shared" si="142"/>
        <v>0</v>
      </c>
      <c r="W247" s="161">
        <f t="shared" si="142"/>
        <v>0</v>
      </c>
      <c r="X247" s="161">
        <f t="shared" si="142"/>
        <v>0</v>
      </c>
      <c r="Y247" s="161">
        <f t="shared" si="142"/>
        <v>0</v>
      </c>
      <c r="Z247" s="161">
        <f t="shared" si="142"/>
        <v>0</v>
      </c>
      <c r="AA247" s="161">
        <f t="shared" si="142"/>
        <v>0</v>
      </c>
      <c r="AB247" s="161">
        <f t="shared" si="142"/>
        <v>0</v>
      </c>
      <c r="AC247" s="161">
        <f t="shared" si="142"/>
        <v>0</v>
      </c>
      <c r="AD247" s="161">
        <f t="shared" si="142"/>
        <v>0</v>
      </c>
      <c r="AE247" s="161">
        <f t="shared" si="142"/>
        <v>0</v>
      </c>
      <c r="AF247" s="174">
        <f t="shared" si="142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43"/>
        <v>0</v>
      </c>
      <c r="G248" s="161">
        <f t="shared" si="143"/>
        <v>0</v>
      </c>
      <c r="H248" s="161">
        <f t="shared" si="143"/>
        <v>0</v>
      </c>
      <c r="I248" s="161">
        <f t="shared" si="143"/>
        <v>0</v>
      </c>
      <c r="J248" s="161">
        <f t="shared" si="143"/>
        <v>0</v>
      </c>
      <c r="K248" s="161">
        <f t="shared" si="143"/>
        <v>0</v>
      </c>
      <c r="L248" s="161">
        <f t="shared" si="143"/>
        <v>0</v>
      </c>
      <c r="M248" s="161">
        <f t="shared" si="143"/>
        <v>0</v>
      </c>
      <c r="N248" s="161">
        <f t="shared" si="143"/>
        <v>0</v>
      </c>
      <c r="O248" s="161">
        <f t="shared" si="143"/>
        <v>0</v>
      </c>
      <c r="P248" s="161">
        <f t="shared" si="143"/>
        <v>0</v>
      </c>
      <c r="Q248" s="161">
        <f t="shared" si="143"/>
        <v>0</v>
      </c>
      <c r="R248" s="161">
        <f t="shared" ref="R248:AF263" si="144">Q248</f>
        <v>0</v>
      </c>
      <c r="S248" s="161">
        <f t="shared" si="144"/>
        <v>0</v>
      </c>
      <c r="T248" s="161">
        <f t="shared" si="144"/>
        <v>0</v>
      </c>
      <c r="U248" s="161">
        <f t="shared" si="144"/>
        <v>0</v>
      </c>
      <c r="V248" s="161">
        <f t="shared" si="144"/>
        <v>0</v>
      </c>
      <c r="W248" s="161">
        <f t="shared" si="144"/>
        <v>0</v>
      </c>
      <c r="X248" s="161">
        <f t="shared" si="144"/>
        <v>0</v>
      </c>
      <c r="Y248" s="161">
        <f t="shared" si="144"/>
        <v>0</v>
      </c>
      <c r="Z248" s="161">
        <f t="shared" si="144"/>
        <v>0</v>
      </c>
      <c r="AA248" s="161">
        <f t="shared" si="144"/>
        <v>0</v>
      </c>
      <c r="AB248" s="161">
        <f t="shared" si="144"/>
        <v>0</v>
      </c>
      <c r="AC248" s="161">
        <f t="shared" si="144"/>
        <v>0</v>
      </c>
      <c r="AD248" s="161">
        <f t="shared" si="144"/>
        <v>0</v>
      </c>
      <c r="AE248" s="161">
        <f t="shared" si="144"/>
        <v>0</v>
      </c>
      <c r="AF248" s="174">
        <f t="shared" si="14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5">E249</f>
        <v>0</v>
      </c>
      <c r="G249" s="161">
        <f t="shared" si="145"/>
        <v>0</v>
      </c>
      <c r="H249" s="161">
        <f t="shared" si="145"/>
        <v>0</v>
      </c>
      <c r="I249" s="161">
        <f t="shared" si="145"/>
        <v>0</v>
      </c>
      <c r="J249" s="161">
        <f t="shared" si="145"/>
        <v>0</v>
      </c>
      <c r="K249" s="161">
        <f t="shared" si="145"/>
        <v>0</v>
      </c>
      <c r="L249" s="161">
        <f t="shared" si="145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4"/>
        <v>0</v>
      </c>
      <c r="S249" s="161">
        <f t="shared" si="144"/>
        <v>0</v>
      </c>
      <c r="T249" s="161">
        <f t="shared" si="144"/>
        <v>0</v>
      </c>
      <c r="U249" s="161">
        <f t="shared" si="144"/>
        <v>0</v>
      </c>
      <c r="V249" s="161">
        <f t="shared" si="144"/>
        <v>0</v>
      </c>
      <c r="W249" s="161">
        <f t="shared" si="144"/>
        <v>0</v>
      </c>
      <c r="X249" s="161">
        <f t="shared" si="144"/>
        <v>0</v>
      </c>
      <c r="Y249" s="161">
        <f t="shared" si="144"/>
        <v>0</v>
      </c>
      <c r="Z249" s="161">
        <f t="shared" si="144"/>
        <v>0</v>
      </c>
      <c r="AA249" s="161">
        <f t="shared" si="144"/>
        <v>0</v>
      </c>
      <c r="AB249" s="161">
        <f t="shared" si="144"/>
        <v>0</v>
      </c>
      <c r="AC249" s="161">
        <f t="shared" si="144"/>
        <v>0</v>
      </c>
      <c r="AD249" s="161">
        <f t="shared" si="144"/>
        <v>0</v>
      </c>
      <c r="AE249" s="161">
        <f t="shared" si="144"/>
        <v>0</v>
      </c>
      <c r="AF249" s="174">
        <f t="shared" si="14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5"/>
        <v>0</v>
      </c>
      <c r="G250" s="161">
        <f t="shared" si="145"/>
        <v>0</v>
      </c>
      <c r="H250" s="161">
        <f t="shared" si="145"/>
        <v>0</v>
      </c>
      <c r="I250" s="161">
        <f t="shared" si="145"/>
        <v>0</v>
      </c>
      <c r="J250" s="161">
        <f t="shared" si="145"/>
        <v>0</v>
      </c>
      <c r="K250" s="161">
        <f t="shared" si="145"/>
        <v>0</v>
      </c>
      <c r="L250" s="161">
        <f t="shared" si="145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5"/>
        <v>0</v>
      </c>
      <c r="S250" s="161">
        <f t="shared" si="144"/>
        <v>0</v>
      </c>
      <c r="T250" s="161">
        <f t="shared" si="144"/>
        <v>0</v>
      </c>
      <c r="U250" s="161">
        <f t="shared" si="144"/>
        <v>0</v>
      </c>
      <c r="V250" s="161">
        <f t="shared" si="144"/>
        <v>0</v>
      </c>
      <c r="W250" s="161">
        <f t="shared" si="144"/>
        <v>0</v>
      </c>
      <c r="X250" s="161">
        <f t="shared" si="144"/>
        <v>0</v>
      </c>
      <c r="Y250" s="161">
        <f t="shared" si="144"/>
        <v>0</v>
      </c>
      <c r="Z250" s="161">
        <f t="shared" si="144"/>
        <v>0</v>
      </c>
      <c r="AA250" s="161">
        <f t="shared" si="144"/>
        <v>0</v>
      </c>
      <c r="AB250" s="161">
        <f t="shared" si="144"/>
        <v>0</v>
      </c>
      <c r="AC250" s="161">
        <f t="shared" si="144"/>
        <v>0</v>
      </c>
      <c r="AD250" s="161">
        <f t="shared" si="144"/>
        <v>0</v>
      </c>
      <c r="AE250" s="161">
        <f t="shared" si="144"/>
        <v>0</v>
      </c>
      <c r="AF250" s="174">
        <f t="shared" si="14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5"/>
        <v>0</v>
      </c>
      <c r="G251" s="161">
        <f t="shared" si="145"/>
        <v>0</v>
      </c>
      <c r="H251" s="161">
        <f t="shared" si="145"/>
        <v>0</v>
      </c>
      <c r="I251" s="161">
        <f t="shared" si="145"/>
        <v>0</v>
      </c>
      <c r="J251" s="161">
        <f t="shared" si="145"/>
        <v>0</v>
      </c>
      <c r="K251" s="161">
        <f t="shared" si="145"/>
        <v>0</v>
      </c>
      <c r="L251" s="161">
        <f t="shared" si="145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5"/>
        <v>0</v>
      </c>
      <c r="S251" s="161">
        <f t="shared" si="144"/>
        <v>0</v>
      </c>
      <c r="T251" s="161">
        <f t="shared" si="144"/>
        <v>0</v>
      </c>
      <c r="U251" s="161">
        <f t="shared" si="144"/>
        <v>0</v>
      </c>
      <c r="V251" s="161">
        <f t="shared" si="144"/>
        <v>0</v>
      </c>
      <c r="W251" s="161">
        <f t="shared" si="144"/>
        <v>0</v>
      </c>
      <c r="X251" s="161">
        <f t="shared" si="144"/>
        <v>0</v>
      </c>
      <c r="Y251" s="161">
        <f t="shared" si="144"/>
        <v>0</v>
      </c>
      <c r="Z251" s="161">
        <f t="shared" si="144"/>
        <v>0</v>
      </c>
      <c r="AA251" s="161">
        <f t="shared" si="144"/>
        <v>0</v>
      </c>
      <c r="AB251" s="161">
        <f t="shared" si="144"/>
        <v>0</v>
      </c>
      <c r="AC251" s="161">
        <f t="shared" si="144"/>
        <v>0</v>
      </c>
      <c r="AD251" s="161">
        <f t="shared" si="144"/>
        <v>0</v>
      </c>
      <c r="AE251" s="161">
        <f t="shared" si="144"/>
        <v>0</v>
      </c>
      <c r="AF251" s="174">
        <f t="shared" si="14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5"/>
        <v>0</v>
      </c>
      <c r="G252" s="161">
        <f t="shared" si="145"/>
        <v>0</v>
      </c>
      <c r="H252" s="161">
        <f t="shared" si="145"/>
        <v>0</v>
      </c>
      <c r="I252" s="161">
        <f t="shared" si="145"/>
        <v>0</v>
      </c>
      <c r="J252" s="161">
        <f t="shared" si="145"/>
        <v>0</v>
      </c>
      <c r="K252" s="161">
        <f t="shared" si="145"/>
        <v>0</v>
      </c>
      <c r="L252" s="161">
        <f t="shared" si="145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5"/>
        <v>0</v>
      </c>
      <c r="S252" s="161">
        <f t="shared" si="144"/>
        <v>0</v>
      </c>
      <c r="T252" s="161">
        <f t="shared" si="144"/>
        <v>0</v>
      </c>
      <c r="U252" s="161">
        <f t="shared" si="144"/>
        <v>0</v>
      </c>
      <c r="V252" s="161">
        <f t="shared" si="144"/>
        <v>0</v>
      </c>
      <c r="W252" s="161">
        <f t="shared" si="144"/>
        <v>0</v>
      </c>
      <c r="X252" s="161">
        <f t="shared" si="144"/>
        <v>0</v>
      </c>
      <c r="Y252" s="161">
        <f t="shared" si="144"/>
        <v>0</v>
      </c>
      <c r="Z252" s="161">
        <f t="shared" si="144"/>
        <v>0</v>
      </c>
      <c r="AA252" s="161">
        <f t="shared" si="144"/>
        <v>0</v>
      </c>
      <c r="AB252" s="161">
        <f t="shared" si="144"/>
        <v>0</v>
      </c>
      <c r="AC252" s="161">
        <f t="shared" si="144"/>
        <v>0</v>
      </c>
      <c r="AD252" s="161">
        <f t="shared" si="144"/>
        <v>0</v>
      </c>
      <c r="AE252" s="161">
        <f t="shared" si="144"/>
        <v>0</v>
      </c>
      <c r="AF252" s="174">
        <f t="shared" si="14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5"/>
        <v>0</v>
      </c>
      <c r="G253" s="161">
        <f t="shared" si="145"/>
        <v>0</v>
      </c>
      <c r="H253" s="161">
        <f t="shared" si="145"/>
        <v>0</v>
      </c>
      <c r="I253" s="161">
        <f t="shared" si="145"/>
        <v>0</v>
      </c>
      <c r="J253" s="161">
        <f t="shared" si="145"/>
        <v>0</v>
      </c>
      <c r="K253" s="161">
        <f t="shared" si="145"/>
        <v>0</v>
      </c>
      <c r="L253" s="161">
        <f t="shared" si="145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5"/>
        <v>0</v>
      </c>
      <c r="S253" s="161">
        <f t="shared" si="144"/>
        <v>0</v>
      </c>
      <c r="T253" s="161">
        <f t="shared" si="144"/>
        <v>0</v>
      </c>
      <c r="U253" s="161">
        <f t="shared" si="144"/>
        <v>0</v>
      </c>
      <c r="V253" s="161">
        <f t="shared" si="144"/>
        <v>0</v>
      </c>
      <c r="W253" s="161">
        <f t="shared" si="144"/>
        <v>0</v>
      </c>
      <c r="X253" s="161">
        <f t="shared" si="144"/>
        <v>0</v>
      </c>
      <c r="Y253" s="161">
        <f t="shared" si="144"/>
        <v>0</v>
      </c>
      <c r="Z253" s="161">
        <f t="shared" si="144"/>
        <v>0</v>
      </c>
      <c r="AA253" s="161">
        <f t="shared" si="144"/>
        <v>0</v>
      </c>
      <c r="AB253" s="161">
        <f t="shared" si="144"/>
        <v>0</v>
      </c>
      <c r="AC253" s="161">
        <f t="shared" si="144"/>
        <v>0</v>
      </c>
      <c r="AD253" s="161">
        <f t="shared" si="144"/>
        <v>0</v>
      </c>
      <c r="AE253" s="161">
        <f t="shared" si="144"/>
        <v>0</v>
      </c>
      <c r="AF253" s="174">
        <f t="shared" si="14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5"/>
        <v>0</v>
      </c>
      <c r="G254" s="161">
        <f t="shared" si="145"/>
        <v>0</v>
      </c>
      <c r="H254" s="161">
        <f t="shared" si="145"/>
        <v>0</v>
      </c>
      <c r="I254" s="161">
        <f t="shared" si="145"/>
        <v>0</v>
      </c>
      <c r="J254" s="161">
        <f t="shared" si="145"/>
        <v>0</v>
      </c>
      <c r="K254" s="161">
        <f t="shared" si="145"/>
        <v>0</v>
      </c>
      <c r="L254" s="161">
        <f t="shared" si="145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5"/>
        <v>0</v>
      </c>
      <c r="S254" s="161">
        <f t="shared" si="144"/>
        <v>0</v>
      </c>
      <c r="T254" s="161">
        <f t="shared" si="144"/>
        <v>0</v>
      </c>
      <c r="U254" s="161">
        <f t="shared" si="144"/>
        <v>0</v>
      </c>
      <c r="V254" s="161">
        <f t="shared" si="144"/>
        <v>0</v>
      </c>
      <c r="W254" s="161">
        <f t="shared" si="144"/>
        <v>0</v>
      </c>
      <c r="X254" s="161">
        <f t="shared" si="144"/>
        <v>0</v>
      </c>
      <c r="Y254" s="161">
        <f t="shared" si="144"/>
        <v>0</v>
      </c>
      <c r="Z254" s="161">
        <f t="shared" si="144"/>
        <v>0</v>
      </c>
      <c r="AA254" s="161">
        <f t="shared" si="144"/>
        <v>0</v>
      </c>
      <c r="AB254" s="161">
        <f t="shared" si="144"/>
        <v>0</v>
      </c>
      <c r="AC254" s="161">
        <f t="shared" si="144"/>
        <v>0</v>
      </c>
      <c r="AD254" s="161">
        <f t="shared" si="144"/>
        <v>0</v>
      </c>
      <c r="AE254" s="161">
        <f t="shared" si="144"/>
        <v>0</v>
      </c>
      <c r="AF254" s="174">
        <f t="shared" si="14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5"/>
        <v>0</v>
      </c>
      <c r="G255" s="161">
        <f t="shared" si="145"/>
        <v>0</v>
      </c>
      <c r="H255" s="161">
        <f t="shared" si="145"/>
        <v>0</v>
      </c>
      <c r="I255" s="161">
        <f t="shared" si="145"/>
        <v>0</v>
      </c>
      <c r="J255" s="161">
        <f t="shared" si="145"/>
        <v>0</v>
      </c>
      <c r="K255" s="161">
        <f t="shared" si="145"/>
        <v>0</v>
      </c>
      <c r="L255" s="161">
        <f t="shared" si="145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5"/>
        <v>0</v>
      </c>
      <c r="S255" s="161">
        <f t="shared" si="144"/>
        <v>0</v>
      </c>
      <c r="T255" s="161">
        <f t="shared" si="144"/>
        <v>0</v>
      </c>
      <c r="U255" s="161">
        <f t="shared" si="144"/>
        <v>0</v>
      </c>
      <c r="V255" s="161">
        <f t="shared" si="144"/>
        <v>0</v>
      </c>
      <c r="W255" s="161">
        <f t="shared" si="144"/>
        <v>0</v>
      </c>
      <c r="X255" s="161">
        <f t="shared" si="144"/>
        <v>0</v>
      </c>
      <c r="Y255" s="161">
        <f t="shared" si="144"/>
        <v>0</v>
      </c>
      <c r="Z255" s="161">
        <f t="shared" si="144"/>
        <v>0</v>
      </c>
      <c r="AA255" s="161">
        <f t="shared" si="144"/>
        <v>0</v>
      </c>
      <c r="AB255" s="161">
        <f t="shared" si="144"/>
        <v>0</v>
      </c>
      <c r="AC255" s="161">
        <f t="shared" si="144"/>
        <v>0</v>
      </c>
      <c r="AD255" s="161">
        <f t="shared" si="144"/>
        <v>0</v>
      </c>
      <c r="AE255" s="161">
        <f t="shared" si="144"/>
        <v>0</v>
      </c>
      <c r="AF255" s="174">
        <f t="shared" si="14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5"/>
        <v>0</v>
      </c>
      <c r="G256" s="161">
        <f t="shared" si="145"/>
        <v>0</v>
      </c>
      <c r="H256" s="161">
        <f t="shared" si="145"/>
        <v>0</v>
      </c>
      <c r="I256" s="161">
        <f t="shared" si="145"/>
        <v>0</v>
      </c>
      <c r="J256" s="161">
        <f t="shared" si="145"/>
        <v>0</v>
      </c>
      <c r="K256" s="161">
        <f t="shared" si="145"/>
        <v>0</v>
      </c>
      <c r="L256" s="161">
        <f t="shared" si="145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5"/>
        <v>0</v>
      </c>
      <c r="S256" s="161">
        <f t="shared" si="144"/>
        <v>0</v>
      </c>
      <c r="T256" s="161">
        <f t="shared" si="144"/>
        <v>0</v>
      </c>
      <c r="U256" s="161">
        <f t="shared" si="144"/>
        <v>0</v>
      </c>
      <c r="V256" s="161">
        <f t="shared" si="144"/>
        <v>0</v>
      </c>
      <c r="W256" s="161">
        <f t="shared" si="144"/>
        <v>0</v>
      </c>
      <c r="X256" s="161">
        <f t="shared" si="144"/>
        <v>0</v>
      </c>
      <c r="Y256" s="161">
        <f t="shared" si="144"/>
        <v>0</v>
      </c>
      <c r="Z256" s="161">
        <f t="shared" si="144"/>
        <v>0</v>
      </c>
      <c r="AA256" s="161">
        <f t="shared" si="144"/>
        <v>0</v>
      </c>
      <c r="AB256" s="161">
        <f t="shared" si="144"/>
        <v>0</v>
      </c>
      <c r="AC256" s="161">
        <f t="shared" si="144"/>
        <v>0</v>
      </c>
      <c r="AD256" s="161">
        <f t="shared" si="144"/>
        <v>0</v>
      </c>
      <c r="AE256" s="161">
        <f t="shared" si="144"/>
        <v>0</v>
      </c>
      <c r="AF256" s="174">
        <f t="shared" si="14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5"/>
        <v>0</v>
      </c>
      <c r="G257" s="161">
        <f t="shared" si="145"/>
        <v>0</v>
      </c>
      <c r="H257" s="161">
        <f t="shared" si="145"/>
        <v>0</v>
      </c>
      <c r="I257" s="161">
        <f t="shared" si="145"/>
        <v>0</v>
      </c>
      <c r="J257" s="161">
        <f t="shared" si="145"/>
        <v>0</v>
      </c>
      <c r="K257" s="161">
        <f t="shared" si="145"/>
        <v>0</v>
      </c>
      <c r="L257" s="161">
        <f t="shared" si="145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5"/>
        <v>0</v>
      </c>
      <c r="S257" s="161">
        <f t="shared" si="144"/>
        <v>0</v>
      </c>
      <c r="T257" s="161">
        <f t="shared" si="144"/>
        <v>0</v>
      </c>
      <c r="U257" s="161">
        <f t="shared" si="144"/>
        <v>0</v>
      </c>
      <c r="V257" s="161">
        <f t="shared" si="144"/>
        <v>0</v>
      </c>
      <c r="W257" s="161">
        <f t="shared" si="144"/>
        <v>0</v>
      </c>
      <c r="X257" s="161">
        <f t="shared" si="144"/>
        <v>0</v>
      </c>
      <c r="Y257" s="161">
        <f t="shared" si="144"/>
        <v>0</v>
      </c>
      <c r="Z257" s="161">
        <f t="shared" si="144"/>
        <v>0</v>
      </c>
      <c r="AA257" s="161">
        <f t="shared" si="144"/>
        <v>0</v>
      </c>
      <c r="AB257" s="161">
        <f t="shared" si="144"/>
        <v>0</v>
      </c>
      <c r="AC257" s="161">
        <f t="shared" si="144"/>
        <v>0</v>
      </c>
      <c r="AD257" s="161">
        <f t="shared" si="144"/>
        <v>0</v>
      </c>
      <c r="AE257" s="161">
        <f t="shared" si="144"/>
        <v>0</v>
      </c>
      <c r="AF257" s="174">
        <f t="shared" si="14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5"/>
        <v>0</v>
      </c>
      <c r="G258" s="161">
        <f t="shared" si="145"/>
        <v>0</v>
      </c>
      <c r="H258" s="161">
        <f t="shared" si="145"/>
        <v>0</v>
      </c>
      <c r="I258" s="161">
        <f t="shared" si="145"/>
        <v>0</v>
      </c>
      <c r="J258" s="161">
        <f t="shared" si="145"/>
        <v>0</v>
      </c>
      <c r="K258" s="161">
        <f t="shared" si="145"/>
        <v>0</v>
      </c>
      <c r="L258" s="161">
        <f t="shared" si="145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5"/>
        <v>0</v>
      </c>
      <c r="S258" s="161">
        <f t="shared" si="144"/>
        <v>0</v>
      </c>
      <c r="T258" s="161">
        <f t="shared" si="144"/>
        <v>0</v>
      </c>
      <c r="U258" s="161">
        <f t="shared" si="144"/>
        <v>0</v>
      </c>
      <c r="V258" s="161">
        <f t="shared" si="144"/>
        <v>0</v>
      </c>
      <c r="W258" s="161">
        <f t="shared" si="144"/>
        <v>0</v>
      </c>
      <c r="X258" s="161">
        <f t="shared" si="144"/>
        <v>0</v>
      </c>
      <c r="Y258" s="161">
        <f t="shared" si="144"/>
        <v>0</v>
      </c>
      <c r="Z258" s="161">
        <f t="shared" si="144"/>
        <v>0</v>
      </c>
      <c r="AA258" s="161">
        <f t="shared" si="144"/>
        <v>0</v>
      </c>
      <c r="AB258" s="161">
        <f t="shared" si="144"/>
        <v>0</v>
      </c>
      <c r="AC258" s="161">
        <f t="shared" si="144"/>
        <v>0</v>
      </c>
      <c r="AD258" s="161">
        <f t="shared" si="144"/>
        <v>0</v>
      </c>
      <c r="AE258" s="161">
        <f t="shared" si="144"/>
        <v>0</v>
      </c>
      <c r="AF258" s="174">
        <f t="shared" si="14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5"/>
        <v>0</v>
      </c>
      <c r="G259" s="161">
        <f t="shared" si="145"/>
        <v>0</v>
      </c>
      <c r="H259" s="161">
        <f t="shared" si="145"/>
        <v>0</v>
      </c>
      <c r="I259" s="161">
        <f t="shared" si="145"/>
        <v>0</v>
      </c>
      <c r="J259" s="161">
        <f t="shared" si="145"/>
        <v>0</v>
      </c>
      <c r="K259" s="161">
        <f t="shared" si="145"/>
        <v>0</v>
      </c>
      <c r="L259" s="161">
        <f t="shared" si="145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5"/>
        <v>0</v>
      </c>
      <c r="S259" s="161">
        <f t="shared" si="144"/>
        <v>0</v>
      </c>
      <c r="T259" s="161">
        <f t="shared" si="144"/>
        <v>0</v>
      </c>
      <c r="U259" s="161">
        <f t="shared" si="144"/>
        <v>0</v>
      </c>
      <c r="V259" s="161">
        <f t="shared" si="144"/>
        <v>0</v>
      </c>
      <c r="W259" s="161">
        <f t="shared" si="144"/>
        <v>0</v>
      </c>
      <c r="X259" s="161">
        <f t="shared" si="144"/>
        <v>0</v>
      </c>
      <c r="Y259" s="161">
        <f t="shared" si="144"/>
        <v>0</v>
      </c>
      <c r="Z259" s="161">
        <f t="shared" si="144"/>
        <v>0</v>
      </c>
      <c r="AA259" s="161">
        <f t="shared" si="144"/>
        <v>0</v>
      </c>
      <c r="AB259" s="161">
        <f t="shared" si="144"/>
        <v>0</v>
      </c>
      <c r="AC259" s="161">
        <f t="shared" si="144"/>
        <v>0</v>
      </c>
      <c r="AD259" s="161">
        <f t="shared" si="144"/>
        <v>0</v>
      </c>
      <c r="AE259" s="161">
        <f t="shared" si="144"/>
        <v>0</v>
      </c>
      <c r="AF259" s="174">
        <f t="shared" si="14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5"/>
        <v>0</v>
      </c>
      <c r="G260" s="161">
        <f t="shared" si="145"/>
        <v>0</v>
      </c>
      <c r="H260" s="161">
        <f t="shared" si="145"/>
        <v>0</v>
      </c>
      <c r="I260" s="161">
        <f t="shared" si="145"/>
        <v>0</v>
      </c>
      <c r="J260" s="161">
        <f t="shared" si="145"/>
        <v>0</v>
      </c>
      <c r="K260" s="161">
        <f t="shared" si="145"/>
        <v>0</v>
      </c>
      <c r="L260" s="161">
        <f t="shared" si="145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5"/>
        <v>0</v>
      </c>
      <c r="S260" s="161">
        <f t="shared" si="144"/>
        <v>0</v>
      </c>
      <c r="T260" s="161">
        <f t="shared" si="144"/>
        <v>0</v>
      </c>
      <c r="U260" s="161">
        <f t="shared" si="144"/>
        <v>0</v>
      </c>
      <c r="V260" s="161">
        <f t="shared" si="144"/>
        <v>0</v>
      </c>
      <c r="W260" s="161">
        <f t="shared" si="144"/>
        <v>0</v>
      </c>
      <c r="X260" s="161">
        <f t="shared" si="144"/>
        <v>0</v>
      </c>
      <c r="Y260" s="161">
        <f t="shared" si="144"/>
        <v>0</v>
      </c>
      <c r="Z260" s="161">
        <f t="shared" si="144"/>
        <v>0</v>
      </c>
      <c r="AA260" s="161">
        <f t="shared" si="144"/>
        <v>0</v>
      </c>
      <c r="AB260" s="161">
        <f t="shared" si="144"/>
        <v>0</v>
      </c>
      <c r="AC260" s="161">
        <f t="shared" si="144"/>
        <v>0</v>
      </c>
      <c r="AD260" s="161">
        <f t="shared" si="144"/>
        <v>0</v>
      </c>
      <c r="AE260" s="161">
        <f t="shared" si="144"/>
        <v>0</v>
      </c>
      <c r="AF260" s="174">
        <f t="shared" si="14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5"/>
        <v>0</v>
      </c>
      <c r="G261" s="161">
        <f t="shared" si="145"/>
        <v>0</v>
      </c>
      <c r="H261" s="161">
        <f t="shared" si="145"/>
        <v>0</v>
      </c>
      <c r="I261" s="161">
        <f t="shared" si="145"/>
        <v>0</v>
      </c>
      <c r="J261" s="161">
        <f t="shared" si="145"/>
        <v>0</v>
      </c>
      <c r="K261" s="161">
        <f t="shared" si="145"/>
        <v>0</v>
      </c>
      <c r="L261" s="161">
        <f t="shared" si="145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5"/>
        <v>0</v>
      </c>
      <c r="S261" s="161">
        <f t="shared" si="144"/>
        <v>0</v>
      </c>
      <c r="T261" s="161">
        <f t="shared" si="144"/>
        <v>0</v>
      </c>
      <c r="U261" s="161">
        <f t="shared" si="144"/>
        <v>0</v>
      </c>
      <c r="V261" s="161">
        <f t="shared" si="144"/>
        <v>0</v>
      </c>
      <c r="W261" s="161">
        <f t="shared" si="144"/>
        <v>0</v>
      </c>
      <c r="X261" s="161">
        <f t="shared" si="144"/>
        <v>0</v>
      </c>
      <c r="Y261" s="161">
        <f t="shared" si="144"/>
        <v>0</v>
      </c>
      <c r="Z261" s="161">
        <f t="shared" si="144"/>
        <v>0</v>
      </c>
      <c r="AA261" s="161">
        <f t="shared" si="144"/>
        <v>0</v>
      </c>
      <c r="AB261" s="161">
        <f t="shared" si="144"/>
        <v>0</v>
      </c>
      <c r="AC261" s="161">
        <f t="shared" si="144"/>
        <v>0</v>
      </c>
      <c r="AD261" s="161">
        <f t="shared" si="144"/>
        <v>0</v>
      </c>
      <c r="AE261" s="161">
        <f t="shared" si="144"/>
        <v>0</v>
      </c>
      <c r="AF261" s="174">
        <f t="shared" si="14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5"/>
        <v>0</v>
      </c>
      <c r="G262" s="161">
        <f t="shared" si="145"/>
        <v>0</v>
      </c>
      <c r="H262" s="161">
        <f t="shared" si="145"/>
        <v>0</v>
      </c>
      <c r="I262" s="161">
        <f t="shared" si="145"/>
        <v>0</v>
      </c>
      <c r="J262" s="161">
        <f t="shared" si="145"/>
        <v>0</v>
      </c>
      <c r="K262" s="161">
        <f t="shared" si="145"/>
        <v>0</v>
      </c>
      <c r="L262" s="161">
        <f t="shared" si="145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5"/>
        <v>0</v>
      </c>
      <c r="S262" s="161">
        <f t="shared" si="144"/>
        <v>0</v>
      </c>
      <c r="T262" s="161">
        <f t="shared" si="144"/>
        <v>0</v>
      </c>
      <c r="U262" s="161">
        <f t="shared" si="144"/>
        <v>0</v>
      </c>
      <c r="V262" s="161">
        <f t="shared" si="144"/>
        <v>0</v>
      </c>
      <c r="W262" s="161">
        <f t="shared" si="144"/>
        <v>0</v>
      </c>
      <c r="X262" s="161">
        <f t="shared" si="144"/>
        <v>0</v>
      </c>
      <c r="Y262" s="161">
        <f t="shared" si="144"/>
        <v>0</v>
      </c>
      <c r="Z262" s="161">
        <f t="shared" si="144"/>
        <v>0</v>
      </c>
      <c r="AA262" s="161">
        <f t="shared" si="144"/>
        <v>0</v>
      </c>
      <c r="AB262" s="161">
        <f t="shared" si="144"/>
        <v>0</v>
      </c>
      <c r="AC262" s="161">
        <f t="shared" si="144"/>
        <v>0</v>
      </c>
      <c r="AD262" s="161">
        <f t="shared" si="144"/>
        <v>0</v>
      </c>
      <c r="AE262" s="161">
        <f t="shared" si="144"/>
        <v>0</v>
      </c>
      <c r="AF262" s="174">
        <f t="shared" si="14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5"/>
        <v>0</v>
      </c>
      <c r="G263" s="161">
        <f t="shared" si="145"/>
        <v>0</v>
      </c>
      <c r="H263" s="161">
        <f t="shared" si="145"/>
        <v>0</v>
      </c>
      <c r="I263" s="161">
        <f t="shared" si="145"/>
        <v>0</v>
      </c>
      <c r="J263" s="161">
        <f t="shared" si="145"/>
        <v>0</v>
      </c>
      <c r="K263" s="161">
        <f t="shared" si="145"/>
        <v>0</v>
      </c>
      <c r="L263" s="161">
        <f t="shared" si="145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5"/>
        <v>0</v>
      </c>
      <c r="S263" s="161">
        <f t="shared" si="144"/>
        <v>0</v>
      </c>
      <c r="T263" s="161">
        <f t="shared" si="144"/>
        <v>0</v>
      </c>
      <c r="U263" s="161">
        <f t="shared" si="144"/>
        <v>0</v>
      </c>
      <c r="V263" s="161">
        <f t="shared" si="144"/>
        <v>0</v>
      </c>
      <c r="W263" s="161">
        <f t="shared" si="144"/>
        <v>0</v>
      </c>
      <c r="X263" s="161">
        <f t="shared" si="144"/>
        <v>0</v>
      </c>
      <c r="Y263" s="161">
        <f t="shared" si="144"/>
        <v>0</v>
      </c>
      <c r="Z263" s="161">
        <f t="shared" si="144"/>
        <v>0</v>
      </c>
      <c r="AA263" s="161">
        <f t="shared" si="144"/>
        <v>0</v>
      </c>
      <c r="AB263" s="161">
        <f t="shared" si="144"/>
        <v>0</v>
      </c>
      <c r="AC263" s="161">
        <f t="shared" si="144"/>
        <v>0</v>
      </c>
      <c r="AD263" s="161">
        <f t="shared" si="144"/>
        <v>0</v>
      </c>
      <c r="AE263" s="161">
        <f t="shared" si="144"/>
        <v>0</v>
      </c>
      <c r="AF263" s="174">
        <f t="shared" si="14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5"/>
        <v>0</v>
      </c>
      <c r="G264" s="161">
        <f t="shared" si="145"/>
        <v>0</v>
      </c>
      <c r="H264" s="161">
        <f t="shared" si="145"/>
        <v>0</v>
      </c>
      <c r="I264" s="161">
        <f t="shared" si="145"/>
        <v>0</v>
      </c>
      <c r="J264" s="161">
        <f t="shared" si="145"/>
        <v>0</v>
      </c>
      <c r="K264" s="161">
        <f t="shared" si="145"/>
        <v>0</v>
      </c>
      <c r="L264" s="161">
        <f t="shared" si="145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5"/>
        <v>0</v>
      </c>
      <c r="S264" s="161">
        <f t="shared" ref="S264:AF273" si="146">R264</f>
        <v>0</v>
      </c>
      <c r="T264" s="161">
        <f t="shared" si="146"/>
        <v>0</v>
      </c>
      <c r="U264" s="161">
        <f t="shared" si="146"/>
        <v>0</v>
      </c>
      <c r="V264" s="161">
        <f t="shared" si="146"/>
        <v>0</v>
      </c>
      <c r="W264" s="161">
        <f t="shared" si="146"/>
        <v>0</v>
      </c>
      <c r="X264" s="161">
        <f t="shared" si="146"/>
        <v>0</v>
      </c>
      <c r="Y264" s="161">
        <f t="shared" si="146"/>
        <v>0</v>
      </c>
      <c r="Z264" s="161">
        <f t="shared" si="146"/>
        <v>0</v>
      </c>
      <c r="AA264" s="161">
        <f t="shared" si="146"/>
        <v>0</v>
      </c>
      <c r="AB264" s="161">
        <f t="shared" si="146"/>
        <v>0</v>
      </c>
      <c r="AC264" s="161">
        <f t="shared" si="146"/>
        <v>0</v>
      </c>
      <c r="AD264" s="161">
        <f t="shared" si="146"/>
        <v>0</v>
      </c>
      <c r="AE264" s="161">
        <f t="shared" si="146"/>
        <v>0</v>
      </c>
      <c r="AF264" s="174">
        <f t="shared" si="14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47">E265</f>
        <v>0</v>
      </c>
      <c r="G265" s="161">
        <f t="shared" si="147"/>
        <v>0</v>
      </c>
      <c r="H265" s="161">
        <f t="shared" si="147"/>
        <v>0</v>
      </c>
      <c r="I265" s="161">
        <f t="shared" si="147"/>
        <v>0</v>
      </c>
      <c r="J265" s="161">
        <f t="shared" si="147"/>
        <v>0</v>
      </c>
      <c r="K265" s="161">
        <f t="shared" si="147"/>
        <v>0</v>
      </c>
      <c r="L265" s="161">
        <f t="shared" si="147"/>
        <v>0</v>
      </c>
      <c r="M265" s="161">
        <f t="shared" si="147"/>
        <v>0</v>
      </c>
      <c r="N265" s="161">
        <f t="shared" si="147"/>
        <v>0</v>
      </c>
      <c r="O265" s="161">
        <f t="shared" si="147"/>
        <v>0</v>
      </c>
      <c r="P265" s="161">
        <f t="shared" si="147"/>
        <v>0</v>
      </c>
      <c r="Q265" s="161">
        <f t="shared" si="147"/>
        <v>0</v>
      </c>
      <c r="R265" s="161">
        <f t="shared" si="147"/>
        <v>0</v>
      </c>
      <c r="S265" s="161">
        <f t="shared" si="146"/>
        <v>0</v>
      </c>
      <c r="T265" s="161">
        <f t="shared" si="146"/>
        <v>0</v>
      </c>
      <c r="U265" s="161">
        <f t="shared" si="146"/>
        <v>0</v>
      </c>
      <c r="V265" s="161">
        <f t="shared" si="146"/>
        <v>0</v>
      </c>
      <c r="W265" s="161">
        <f t="shared" si="146"/>
        <v>0</v>
      </c>
      <c r="X265" s="161">
        <f t="shared" si="146"/>
        <v>0</v>
      </c>
      <c r="Y265" s="161">
        <f t="shared" si="146"/>
        <v>0</v>
      </c>
      <c r="Z265" s="161">
        <f t="shared" si="146"/>
        <v>0</v>
      </c>
      <c r="AA265" s="161">
        <f t="shared" si="146"/>
        <v>0</v>
      </c>
      <c r="AB265" s="161">
        <f t="shared" si="146"/>
        <v>0</v>
      </c>
      <c r="AC265" s="161">
        <f t="shared" si="146"/>
        <v>0</v>
      </c>
      <c r="AD265" s="161">
        <f t="shared" si="146"/>
        <v>0</v>
      </c>
      <c r="AE265" s="161">
        <f t="shared" si="146"/>
        <v>0</v>
      </c>
      <c r="AF265" s="174">
        <f t="shared" si="14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47"/>
        <v>0</v>
      </c>
      <c r="G266" s="161">
        <f t="shared" si="147"/>
        <v>0</v>
      </c>
      <c r="H266" s="161">
        <f t="shared" si="147"/>
        <v>0</v>
      </c>
      <c r="I266" s="161">
        <f t="shared" si="147"/>
        <v>0</v>
      </c>
      <c r="J266" s="161">
        <f t="shared" si="147"/>
        <v>0</v>
      </c>
      <c r="K266" s="161">
        <f t="shared" si="147"/>
        <v>0</v>
      </c>
      <c r="L266" s="161">
        <f t="shared" si="147"/>
        <v>0</v>
      </c>
      <c r="M266" s="161">
        <f t="shared" si="147"/>
        <v>0</v>
      </c>
      <c r="N266" s="161">
        <f t="shared" si="147"/>
        <v>0</v>
      </c>
      <c r="O266" s="161">
        <f t="shared" si="147"/>
        <v>0</v>
      </c>
      <c r="P266" s="161">
        <f t="shared" si="147"/>
        <v>0</v>
      </c>
      <c r="Q266" s="161">
        <f t="shared" si="147"/>
        <v>0</v>
      </c>
      <c r="R266" s="161">
        <f t="shared" si="147"/>
        <v>0</v>
      </c>
      <c r="S266" s="161">
        <f t="shared" si="146"/>
        <v>0</v>
      </c>
      <c r="T266" s="161">
        <f t="shared" si="146"/>
        <v>0</v>
      </c>
      <c r="U266" s="161">
        <f t="shared" si="146"/>
        <v>0</v>
      </c>
      <c r="V266" s="161">
        <f t="shared" si="146"/>
        <v>0</v>
      </c>
      <c r="W266" s="161">
        <f t="shared" si="146"/>
        <v>0</v>
      </c>
      <c r="X266" s="161">
        <f t="shared" si="146"/>
        <v>0</v>
      </c>
      <c r="Y266" s="161">
        <f t="shared" si="146"/>
        <v>0</v>
      </c>
      <c r="Z266" s="161">
        <f t="shared" si="146"/>
        <v>0</v>
      </c>
      <c r="AA266" s="161">
        <f t="shared" si="146"/>
        <v>0</v>
      </c>
      <c r="AB266" s="161">
        <f t="shared" si="146"/>
        <v>0</v>
      </c>
      <c r="AC266" s="161">
        <f t="shared" si="146"/>
        <v>0</v>
      </c>
      <c r="AD266" s="161">
        <f t="shared" si="146"/>
        <v>0</v>
      </c>
      <c r="AE266" s="161">
        <f t="shared" si="146"/>
        <v>0</v>
      </c>
      <c r="AF266" s="174">
        <f t="shared" si="14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47"/>
        <v>0</v>
      </c>
      <c r="G267" s="161">
        <f t="shared" si="147"/>
        <v>0</v>
      </c>
      <c r="H267" s="161">
        <f t="shared" si="147"/>
        <v>0</v>
      </c>
      <c r="I267" s="161">
        <f t="shared" si="147"/>
        <v>0</v>
      </c>
      <c r="J267" s="161">
        <f t="shared" si="147"/>
        <v>0</v>
      </c>
      <c r="K267" s="161">
        <f t="shared" si="147"/>
        <v>0</v>
      </c>
      <c r="L267" s="161">
        <f t="shared" si="147"/>
        <v>0</v>
      </c>
      <c r="M267" s="161">
        <f t="shared" si="147"/>
        <v>0</v>
      </c>
      <c r="N267" s="161">
        <f t="shared" si="147"/>
        <v>0</v>
      </c>
      <c r="O267" s="161">
        <f t="shared" si="147"/>
        <v>0</v>
      </c>
      <c r="P267" s="161">
        <f t="shared" si="147"/>
        <v>0</v>
      </c>
      <c r="Q267" s="161">
        <f t="shared" si="147"/>
        <v>0</v>
      </c>
      <c r="R267" s="161">
        <f t="shared" si="147"/>
        <v>0</v>
      </c>
      <c r="S267" s="161">
        <f t="shared" si="146"/>
        <v>0</v>
      </c>
      <c r="T267" s="161">
        <f t="shared" si="146"/>
        <v>0</v>
      </c>
      <c r="U267" s="161">
        <f t="shared" si="146"/>
        <v>0</v>
      </c>
      <c r="V267" s="161">
        <f t="shared" si="146"/>
        <v>0</v>
      </c>
      <c r="W267" s="161">
        <f t="shared" si="146"/>
        <v>0</v>
      </c>
      <c r="X267" s="161">
        <f t="shared" si="146"/>
        <v>0</v>
      </c>
      <c r="Y267" s="161">
        <f t="shared" si="146"/>
        <v>0</v>
      </c>
      <c r="Z267" s="161">
        <f t="shared" si="146"/>
        <v>0</v>
      </c>
      <c r="AA267" s="161">
        <f t="shared" si="146"/>
        <v>0</v>
      </c>
      <c r="AB267" s="161">
        <f t="shared" si="146"/>
        <v>0</v>
      </c>
      <c r="AC267" s="161">
        <f t="shared" si="146"/>
        <v>0</v>
      </c>
      <c r="AD267" s="161">
        <f t="shared" si="146"/>
        <v>0</v>
      </c>
      <c r="AE267" s="161">
        <f t="shared" si="146"/>
        <v>0</v>
      </c>
      <c r="AF267" s="174">
        <f t="shared" si="14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47"/>
        <v>0</v>
      </c>
      <c r="G268" s="161">
        <f t="shared" si="147"/>
        <v>0</v>
      </c>
      <c r="H268" s="161">
        <f t="shared" si="147"/>
        <v>0</v>
      </c>
      <c r="I268" s="161">
        <f t="shared" si="147"/>
        <v>0</v>
      </c>
      <c r="J268" s="161">
        <f t="shared" si="147"/>
        <v>0</v>
      </c>
      <c r="K268" s="161">
        <f t="shared" si="147"/>
        <v>0</v>
      </c>
      <c r="L268" s="161">
        <f t="shared" si="147"/>
        <v>0</v>
      </c>
      <c r="M268" s="161">
        <f t="shared" si="147"/>
        <v>0</v>
      </c>
      <c r="N268" s="161">
        <f t="shared" si="147"/>
        <v>0</v>
      </c>
      <c r="O268" s="161">
        <f t="shared" si="147"/>
        <v>0</v>
      </c>
      <c r="P268" s="161">
        <f t="shared" si="147"/>
        <v>0</v>
      </c>
      <c r="Q268" s="161">
        <f t="shared" si="147"/>
        <v>0</v>
      </c>
      <c r="R268" s="161">
        <f t="shared" si="147"/>
        <v>0</v>
      </c>
      <c r="S268" s="161">
        <f t="shared" si="146"/>
        <v>0</v>
      </c>
      <c r="T268" s="161">
        <f t="shared" si="146"/>
        <v>0</v>
      </c>
      <c r="U268" s="161">
        <f t="shared" si="146"/>
        <v>0</v>
      </c>
      <c r="V268" s="161">
        <f t="shared" si="146"/>
        <v>0</v>
      </c>
      <c r="W268" s="161">
        <f t="shared" si="146"/>
        <v>0</v>
      </c>
      <c r="X268" s="161">
        <f t="shared" si="146"/>
        <v>0</v>
      </c>
      <c r="Y268" s="161">
        <f t="shared" si="146"/>
        <v>0</v>
      </c>
      <c r="Z268" s="161">
        <f t="shared" si="146"/>
        <v>0</v>
      </c>
      <c r="AA268" s="161">
        <f t="shared" si="146"/>
        <v>0</v>
      </c>
      <c r="AB268" s="161">
        <f t="shared" si="146"/>
        <v>0</v>
      </c>
      <c r="AC268" s="161">
        <f t="shared" si="146"/>
        <v>0</v>
      </c>
      <c r="AD268" s="161">
        <f t="shared" si="146"/>
        <v>0</v>
      </c>
      <c r="AE268" s="161">
        <f t="shared" si="146"/>
        <v>0</v>
      </c>
      <c r="AF268" s="174">
        <f t="shared" si="14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47"/>
        <v>0</v>
      </c>
      <c r="G269" s="161">
        <f t="shared" si="147"/>
        <v>0</v>
      </c>
      <c r="H269" s="161">
        <f t="shared" si="147"/>
        <v>0</v>
      </c>
      <c r="I269" s="161">
        <f t="shared" si="147"/>
        <v>0</v>
      </c>
      <c r="J269" s="161">
        <f t="shared" si="147"/>
        <v>0</v>
      </c>
      <c r="K269" s="161">
        <f t="shared" si="147"/>
        <v>0</v>
      </c>
      <c r="L269" s="161">
        <f t="shared" si="147"/>
        <v>0</v>
      </c>
      <c r="M269" s="161">
        <f t="shared" si="147"/>
        <v>0</v>
      </c>
      <c r="N269" s="161">
        <f t="shared" si="147"/>
        <v>0</v>
      </c>
      <c r="O269" s="161">
        <f t="shared" si="147"/>
        <v>0</v>
      </c>
      <c r="P269" s="161">
        <f t="shared" si="147"/>
        <v>0</v>
      </c>
      <c r="Q269" s="161">
        <f t="shared" si="147"/>
        <v>0</v>
      </c>
      <c r="R269" s="161">
        <f t="shared" si="147"/>
        <v>0</v>
      </c>
      <c r="S269" s="161">
        <f t="shared" si="146"/>
        <v>0</v>
      </c>
      <c r="T269" s="161">
        <f t="shared" si="146"/>
        <v>0</v>
      </c>
      <c r="U269" s="161">
        <f t="shared" si="146"/>
        <v>0</v>
      </c>
      <c r="V269" s="161">
        <f t="shared" si="146"/>
        <v>0</v>
      </c>
      <c r="W269" s="161">
        <f t="shared" si="146"/>
        <v>0</v>
      </c>
      <c r="X269" s="161">
        <f t="shared" si="146"/>
        <v>0</v>
      </c>
      <c r="Y269" s="161">
        <f t="shared" si="146"/>
        <v>0</v>
      </c>
      <c r="Z269" s="161">
        <f t="shared" si="146"/>
        <v>0</v>
      </c>
      <c r="AA269" s="161">
        <f t="shared" si="146"/>
        <v>0</v>
      </c>
      <c r="AB269" s="161">
        <f t="shared" si="146"/>
        <v>0</v>
      </c>
      <c r="AC269" s="161">
        <f t="shared" si="146"/>
        <v>0</v>
      </c>
      <c r="AD269" s="161">
        <f t="shared" si="146"/>
        <v>0</v>
      </c>
      <c r="AE269" s="161">
        <f t="shared" si="146"/>
        <v>0</v>
      </c>
      <c r="AF269" s="174">
        <f t="shared" si="14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47"/>
        <v>0</v>
      </c>
      <c r="G270" s="161">
        <f t="shared" si="147"/>
        <v>0</v>
      </c>
      <c r="H270" s="161">
        <f t="shared" si="147"/>
        <v>0</v>
      </c>
      <c r="I270" s="161">
        <f t="shared" si="147"/>
        <v>0</v>
      </c>
      <c r="J270" s="161">
        <f t="shared" si="147"/>
        <v>0</v>
      </c>
      <c r="K270" s="161">
        <f t="shared" si="147"/>
        <v>0</v>
      </c>
      <c r="L270" s="161">
        <f t="shared" si="147"/>
        <v>0</v>
      </c>
      <c r="M270" s="161">
        <f t="shared" si="147"/>
        <v>0</v>
      </c>
      <c r="N270" s="161">
        <f t="shared" si="147"/>
        <v>0</v>
      </c>
      <c r="O270" s="161">
        <f t="shared" si="147"/>
        <v>0</v>
      </c>
      <c r="P270" s="161">
        <f t="shared" si="147"/>
        <v>0</v>
      </c>
      <c r="Q270" s="161">
        <f t="shared" si="147"/>
        <v>0</v>
      </c>
      <c r="R270" s="161">
        <f t="shared" si="147"/>
        <v>0</v>
      </c>
      <c r="S270" s="161">
        <f t="shared" si="146"/>
        <v>0</v>
      </c>
      <c r="T270" s="161">
        <f t="shared" si="146"/>
        <v>0</v>
      </c>
      <c r="U270" s="161">
        <f t="shared" si="146"/>
        <v>0</v>
      </c>
      <c r="V270" s="161">
        <f t="shared" si="146"/>
        <v>0</v>
      </c>
      <c r="W270" s="161">
        <f t="shared" si="146"/>
        <v>0</v>
      </c>
      <c r="X270" s="161">
        <f t="shared" si="146"/>
        <v>0</v>
      </c>
      <c r="Y270" s="161">
        <f t="shared" si="146"/>
        <v>0</v>
      </c>
      <c r="Z270" s="161">
        <f t="shared" si="146"/>
        <v>0</v>
      </c>
      <c r="AA270" s="161">
        <f t="shared" si="146"/>
        <v>0</v>
      </c>
      <c r="AB270" s="161">
        <f t="shared" si="146"/>
        <v>0</v>
      </c>
      <c r="AC270" s="161">
        <f t="shared" si="146"/>
        <v>0</v>
      </c>
      <c r="AD270" s="161">
        <f t="shared" si="146"/>
        <v>0</v>
      </c>
      <c r="AE270" s="161">
        <f t="shared" si="146"/>
        <v>0</v>
      </c>
      <c r="AF270" s="174">
        <f t="shared" si="14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47"/>
        <v>0</v>
      </c>
      <c r="G271" s="161">
        <f t="shared" si="147"/>
        <v>0</v>
      </c>
      <c r="H271" s="161">
        <f t="shared" si="147"/>
        <v>0</v>
      </c>
      <c r="I271" s="161">
        <f t="shared" si="147"/>
        <v>0</v>
      </c>
      <c r="J271" s="161">
        <f t="shared" si="147"/>
        <v>0</v>
      </c>
      <c r="K271" s="161">
        <f t="shared" si="147"/>
        <v>0</v>
      </c>
      <c r="L271" s="161">
        <f t="shared" si="147"/>
        <v>0</v>
      </c>
      <c r="M271" s="161">
        <f t="shared" si="147"/>
        <v>0</v>
      </c>
      <c r="N271" s="161">
        <f t="shared" si="147"/>
        <v>0</v>
      </c>
      <c r="O271" s="161">
        <f t="shared" si="147"/>
        <v>0</v>
      </c>
      <c r="P271" s="161">
        <f t="shared" si="147"/>
        <v>0</v>
      </c>
      <c r="Q271" s="161">
        <f t="shared" si="147"/>
        <v>0</v>
      </c>
      <c r="R271" s="161">
        <f t="shared" si="147"/>
        <v>0</v>
      </c>
      <c r="S271" s="161">
        <f t="shared" si="146"/>
        <v>0</v>
      </c>
      <c r="T271" s="161">
        <f t="shared" si="146"/>
        <v>0</v>
      </c>
      <c r="U271" s="161">
        <f t="shared" si="146"/>
        <v>0</v>
      </c>
      <c r="V271" s="161">
        <f t="shared" si="146"/>
        <v>0</v>
      </c>
      <c r="W271" s="161">
        <f t="shared" si="146"/>
        <v>0</v>
      </c>
      <c r="X271" s="161">
        <f t="shared" si="146"/>
        <v>0</v>
      </c>
      <c r="Y271" s="161">
        <f t="shared" si="146"/>
        <v>0</v>
      </c>
      <c r="Z271" s="161">
        <f t="shared" si="146"/>
        <v>0</v>
      </c>
      <c r="AA271" s="161">
        <f t="shared" si="146"/>
        <v>0</v>
      </c>
      <c r="AB271" s="161">
        <f t="shared" si="146"/>
        <v>0</v>
      </c>
      <c r="AC271" s="161">
        <f t="shared" si="146"/>
        <v>0</v>
      </c>
      <c r="AD271" s="161">
        <f t="shared" si="146"/>
        <v>0</v>
      </c>
      <c r="AE271" s="161">
        <f t="shared" si="146"/>
        <v>0</v>
      </c>
      <c r="AF271" s="174">
        <f t="shared" si="14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47"/>
        <v>0</v>
      </c>
      <c r="G272" s="161">
        <f t="shared" si="147"/>
        <v>0</v>
      </c>
      <c r="H272" s="161">
        <f t="shared" si="147"/>
        <v>0</v>
      </c>
      <c r="I272" s="161">
        <f t="shared" si="147"/>
        <v>0</v>
      </c>
      <c r="J272" s="161">
        <f t="shared" si="147"/>
        <v>0</v>
      </c>
      <c r="K272" s="161">
        <f t="shared" si="147"/>
        <v>0</v>
      </c>
      <c r="L272" s="161">
        <f t="shared" si="147"/>
        <v>0</v>
      </c>
      <c r="M272" s="161">
        <f t="shared" si="147"/>
        <v>0</v>
      </c>
      <c r="N272" s="161">
        <f t="shared" si="147"/>
        <v>0</v>
      </c>
      <c r="O272" s="161">
        <f t="shared" si="147"/>
        <v>0</v>
      </c>
      <c r="P272" s="161">
        <f t="shared" si="147"/>
        <v>0</v>
      </c>
      <c r="Q272" s="161">
        <f t="shared" si="147"/>
        <v>0</v>
      </c>
      <c r="R272" s="161">
        <f t="shared" si="147"/>
        <v>0</v>
      </c>
      <c r="S272" s="161">
        <f t="shared" si="146"/>
        <v>0</v>
      </c>
      <c r="T272" s="161">
        <f t="shared" si="146"/>
        <v>0</v>
      </c>
      <c r="U272" s="161">
        <f t="shared" si="146"/>
        <v>0</v>
      </c>
      <c r="V272" s="161">
        <f t="shared" si="146"/>
        <v>0</v>
      </c>
      <c r="W272" s="161">
        <f t="shared" si="146"/>
        <v>0</v>
      </c>
      <c r="X272" s="161">
        <f t="shared" si="146"/>
        <v>0</v>
      </c>
      <c r="Y272" s="161">
        <f t="shared" si="146"/>
        <v>0</v>
      </c>
      <c r="Z272" s="161">
        <f t="shared" si="146"/>
        <v>0</v>
      </c>
      <c r="AA272" s="161">
        <f t="shared" si="146"/>
        <v>0</v>
      </c>
      <c r="AB272" s="161">
        <f t="shared" si="146"/>
        <v>0</v>
      </c>
      <c r="AC272" s="161">
        <f t="shared" si="146"/>
        <v>0</v>
      </c>
      <c r="AD272" s="161">
        <f t="shared" si="146"/>
        <v>0</v>
      </c>
      <c r="AE272" s="161">
        <f t="shared" si="146"/>
        <v>0</v>
      </c>
      <c r="AF272" s="174">
        <f t="shared" si="14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47"/>
        <v>0</v>
      </c>
      <c r="G273" s="177">
        <f t="shared" si="147"/>
        <v>0</v>
      </c>
      <c r="H273" s="177">
        <f t="shared" si="147"/>
        <v>0</v>
      </c>
      <c r="I273" s="177">
        <f t="shared" si="147"/>
        <v>0</v>
      </c>
      <c r="J273" s="177">
        <f t="shared" si="147"/>
        <v>0</v>
      </c>
      <c r="K273" s="177">
        <f t="shared" si="147"/>
        <v>0</v>
      </c>
      <c r="L273" s="177">
        <f t="shared" si="147"/>
        <v>0</v>
      </c>
      <c r="M273" s="177">
        <f t="shared" si="147"/>
        <v>0</v>
      </c>
      <c r="N273" s="177">
        <f t="shared" si="147"/>
        <v>0</v>
      </c>
      <c r="O273" s="177">
        <f t="shared" si="147"/>
        <v>0</v>
      </c>
      <c r="P273" s="177">
        <f t="shared" si="147"/>
        <v>0</v>
      </c>
      <c r="Q273" s="177">
        <f t="shared" si="147"/>
        <v>0</v>
      </c>
      <c r="R273" s="177">
        <f t="shared" si="147"/>
        <v>0</v>
      </c>
      <c r="S273" s="177">
        <f t="shared" si="146"/>
        <v>0</v>
      </c>
      <c r="T273" s="177">
        <f t="shared" si="146"/>
        <v>0</v>
      </c>
      <c r="U273" s="177">
        <f t="shared" si="146"/>
        <v>0</v>
      </c>
      <c r="V273" s="177">
        <f t="shared" si="146"/>
        <v>0</v>
      </c>
      <c r="W273" s="177">
        <f t="shared" si="146"/>
        <v>0</v>
      </c>
      <c r="X273" s="177">
        <f t="shared" si="146"/>
        <v>0</v>
      </c>
      <c r="Y273" s="177">
        <f t="shared" si="146"/>
        <v>0</v>
      </c>
      <c r="Z273" s="177">
        <f t="shared" si="146"/>
        <v>0</v>
      </c>
      <c r="AA273" s="177">
        <f t="shared" si="146"/>
        <v>0</v>
      </c>
      <c r="AB273" s="177">
        <f t="shared" si="146"/>
        <v>0</v>
      </c>
      <c r="AC273" s="177">
        <f t="shared" si="146"/>
        <v>0</v>
      </c>
      <c r="AD273" s="177">
        <f t="shared" si="146"/>
        <v>0</v>
      </c>
      <c r="AE273" s="177">
        <f t="shared" si="146"/>
        <v>0</v>
      </c>
      <c r="AF273" s="178">
        <f t="shared" si="14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48">SUM(B169:B273)</f>
        <v>0</v>
      </c>
      <c r="C274" s="180">
        <f t="shared" ref="C274:D274" si="149">SUM(C169:C273)</f>
        <v>0</v>
      </c>
      <c r="D274" s="180">
        <f t="shared" si="149"/>
        <v>0</v>
      </c>
      <c r="E274" s="180">
        <f t="shared" ref="E274" si="150">SUM(E169:E273)</f>
        <v>0</v>
      </c>
      <c r="F274" s="180">
        <f t="shared" si="148"/>
        <v>0</v>
      </c>
      <c r="G274" s="180">
        <f t="shared" si="148"/>
        <v>0</v>
      </c>
      <c r="H274" s="180">
        <f t="shared" si="148"/>
        <v>0</v>
      </c>
      <c r="I274" s="180">
        <f t="shared" si="148"/>
        <v>0</v>
      </c>
      <c r="J274" s="180">
        <f t="shared" si="148"/>
        <v>0</v>
      </c>
      <c r="K274" s="180">
        <f t="shared" si="148"/>
        <v>0</v>
      </c>
      <c r="L274" s="180">
        <f t="shared" si="148"/>
        <v>0</v>
      </c>
      <c r="M274" s="180">
        <f t="shared" si="148"/>
        <v>0</v>
      </c>
      <c r="N274" s="180">
        <f t="shared" si="148"/>
        <v>0</v>
      </c>
      <c r="O274" s="180">
        <f t="shared" si="148"/>
        <v>0</v>
      </c>
      <c r="P274" s="180">
        <f t="shared" si="148"/>
        <v>0</v>
      </c>
      <c r="Q274" s="180">
        <f t="shared" si="148"/>
        <v>0</v>
      </c>
      <c r="R274" s="180">
        <f t="shared" si="148"/>
        <v>0</v>
      </c>
      <c r="S274" s="180">
        <f t="shared" si="148"/>
        <v>0</v>
      </c>
      <c r="T274" s="180">
        <f t="shared" si="148"/>
        <v>0</v>
      </c>
      <c r="U274" s="180">
        <f t="shared" si="148"/>
        <v>0</v>
      </c>
      <c r="V274" s="180">
        <f t="shared" si="148"/>
        <v>0</v>
      </c>
      <c r="W274" s="180">
        <f t="shared" si="148"/>
        <v>0</v>
      </c>
      <c r="X274" s="180">
        <f t="shared" si="148"/>
        <v>0</v>
      </c>
      <c r="Y274" s="180">
        <f t="shared" si="148"/>
        <v>0</v>
      </c>
      <c r="Z274" s="180">
        <f t="shared" si="148"/>
        <v>0</v>
      </c>
      <c r="AA274" s="180">
        <f t="shared" si="148"/>
        <v>0</v>
      </c>
      <c r="AB274" s="180">
        <f t="shared" si="148"/>
        <v>0</v>
      </c>
      <c r="AC274" s="180">
        <f t="shared" si="148"/>
        <v>0</v>
      </c>
      <c r="AD274" s="180">
        <f t="shared" si="148"/>
        <v>0</v>
      </c>
      <c r="AE274" s="180">
        <f t="shared" si="148"/>
        <v>0</v>
      </c>
      <c r="AF274" s="181">
        <f t="shared" si="148"/>
        <v>0</v>
      </c>
      <c r="AG274" s="182">
        <f t="shared" si="14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U11:AA13 AB12:AF13 B9:AF10 F152:AF159 B76:E90 B113:E115 B108:E108 B117:E124 B153:E153 G97:L97 F134:L134 H126:L133 B93:L96 H98:L102 F103:AF115 X85:AF90 F117:AF125 F79:W90 B72:W72 F76:AF77 M93:AF102 H137:AF151 M126:AF134">
    <cfRule type="expression" dxfId="354" priority="106">
      <formula>B$9&gt;=20/24</formula>
    </cfRule>
  </conditionalFormatting>
  <conditionalFormatting sqref="B9:AF10 U11:AA13 AB12:AF13 F152:AF159 B76:E90 B113:E115 B108:E108 B117:E124 B153:E153 G97:L97 F134:L134 H126:L133 B93:L96 H98:L102 F103:AF115 X85:AF90 F117:AF125 F79:W90 B72:W72 F76:AF77 M93:AF102 H137:AF151 M126:AF134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U14:AF53 B29:T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U11:AA13 AB12:AF13 AF92:AF95 AF96:AG96 B71:AG71 B69:AA69 X76:AF77 X79:AC90 X78:AG78 X91:AF91 X92:AE96 B76:W96">
    <cfRule type="expression" dxfId="326" priority="105">
      <formula>B11&gt;$AG11*1</formula>
    </cfRule>
  </conditionalFormatting>
  <conditionalFormatting sqref="F79:W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W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X76:AF78 F78:W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X73:AF75">
    <cfRule type="expression" dxfId="313" priority="35">
      <formula>X$9&gt;=20/24</formula>
    </cfRule>
    <cfRule type="expression" dxfId="312" priority="36">
      <formula>AND(X$9&gt;=14/24,X$9&lt;20/24)</formula>
    </cfRule>
    <cfRule type="expression" dxfId="311" priority="37">
      <formula>AND(X$9&gt;=8/24,X$9&lt;14/24)</formula>
    </cfRule>
    <cfRule type="expression" dxfId="310" priority="38">
      <formula>X$9&lt;8/24</formula>
    </cfRule>
  </conditionalFormatting>
  <conditionalFormatting sqref="F79:W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T13">
    <cfRule type="expression" dxfId="204" priority="20">
      <formula>B$9&gt;=20/24</formula>
    </cfRule>
  </conditionalFormatting>
  <conditionalFormatting sqref="B97:E107 B137:E152 B109:E112 B125:E134 B154:E159 F97:F102 G98:G102 F126:G133 F137:G151 B11:T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T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T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2026-05-15T11:45:51Z</dcterms:modified>
</cp:coreProperties>
</file>