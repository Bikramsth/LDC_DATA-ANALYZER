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8" i="72" l="1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G90" i="72"/>
  <c r="AI90" i="72"/>
  <c r="AH90" i="72"/>
  <c r="BT89" i="72"/>
  <c r="BQ89" i="72"/>
  <c r="AI89" i="72"/>
  <c r="AH89" i="72"/>
  <c r="BV88" i="72"/>
  <c r="BS88" i="72"/>
  <c r="BN88" i="72"/>
  <c r="BF88" i="72"/>
  <c r="AI88" i="72"/>
  <c r="AH88" i="72"/>
  <c r="BU87" i="72"/>
  <c r="BP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U116" i="72" l="1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AC124" i="72"/>
  <c r="I123" i="72"/>
  <c r="AS23" i="72" s="1"/>
  <c r="AY23" i="72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Y124" i="72"/>
  <c r="Y116" i="72"/>
  <c r="Y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A25" i="72" l="1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<sst xmlns="http://schemas.openxmlformats.org/spreadsheetml/2006/main" count="952" uniqueCount="413">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</sst>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6" sqref="U96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904.69999999999993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909.7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22.1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904.7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19.600000000000001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ref="Q71:R71" si="26">SUM(Q11:Q69)</f>
        <v>898.23</v>
      </c>
      <c r="R71" s="70">
        <f t="shared" si="26"/>
        <v>898.23</v>
      </c>
      <c r="S71" s="70">
        <f t="shared" si="23"/>
        <v>898.23</v>
      </c>
      <c r="T71" s="70">
        <f t="shared" si="23"/>
        <v>898.23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55.9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41.1</v>
      </c>
      <c r="AI75" s="47">
        <f t="shared" ref="AI75:AI138" si="28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7.7</v>
      </c>
      <c r="AI77" s="47">
        <f t="shared" si="28"/>
        <v>6</v>
      </c>
      <c r="AK77" s="49"/>
    </row>
    <row r="78" spans="1:88" ht="15.75" thickBot="1">
      <c r="A78" s="79" t="s">
        <v>97</v>
      </c>
      <c r="B78" s="70">
        <f t="shared" ref="B78:C78" si="29">SUM(B72:B77)</f>
        <v>421.4</v>
      </c>
      <c r="C78" s="70">
        <f t="shared" si="29"/>
        <v>372.1</v>
      </c>
      <c r="D78" s="70">
        <f t="shared" ref="D78:E78" si="30">SUM(D72:D77)</f>
        <v>260</v>
      </c>
      <c r="E78" s="70">
        <f t="shared" si="30"/>
        <v>239.79999999999998</v>
      </c>
      <c r="F78" s="70">
        <f t="shared" ref="F78:AG78" si="31">SUM(F72:F77)</f>
        <v>239.79999999999998</v>
      </c>
      <c r="G78" s="70">
        <f t="shared" si="31"/>
        <v>290.3</v>
      </c>
      <c r="H78" s="70">
        <f t="shared" si="31"/>
        <v>290.3</v>
      </c>
      <c r="I78" s="70">
        <f t="shared" si="31"/>
        <v>339.3</v>
      </c>
      <c r="J78" s="70">
        <f t="shared" si="31"/>
        <v>421.3</v>
      </c>
      <c r="K78" s="70">
        <f t="shared" si="31"/>
        <v>421.3</v>
      </c>
      <c r="L78" s="70">
        <f t="shared" si="31"/>
        <v>420.3</v>
      </c>
      <c r="M78" s="70">
        <f t="shared" ref="M78:N78" si="32">SUM(M72:M77)</f>
        <v>460.6</v>
      </c>
      <c r="N78" s="70">
        <f t="shared" si="32"/>
        <v>423</v>
      </c>
      <c r="O78" s="70">
        <f t="shared" ref="O78:P78" si="33">SUM(O72:O77)</f>
        <v>612</v>
      </c>
      <c r="P78" s="70">
        <f t="shared" si="33"/>
        <v>612</v>
      </c>
      <c r="Q78" s="70">
        <f t="shared" ref="Q78:R78" si="34">SUM(Q72:Q77)</f>
        <v>151.99999999999997</v>
      </c>
      <c r="R78" s="70">
        <f t="shared" si="34"/>
        <v>151.99999999999997</v>
      </c>
      <c r="S78" s="70">
        <f t="shared" ref="S78" si="35">SUM(S72:S77)</f>
        <v>145.69999999999999</v>
      </c>
      <c r="T78" s="70">
        <f t="shared" si="31"/>
        <v>143.6</v>
      </c>
      <c r="U78" s="70">
        <f t="shared" ref="U78" si="36">SUM(U72:U77)</f>
        <v>194.59999999999997</v>
      </c>
      <c r="V78" s="70">
        <f t="shared" si="31"/>
        <v>0</v>
      </c>
      <c r="W78" s="70">
        <f t="shared" si="31"/>
        <v>0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612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</v>
      </c>
      <c r="AI79" s="47">
        <f t="shared" si="28"/>
        <v>95</v>
      </c>
      <c r="AK79" s="49"/>
      <c r="AY79" s="1" t="s">
        <v>99</v>
      </c>
      <c r="AZ79" s="82">
        <f>ROUND(C97,0)</f>
        <v>-233</v>
      </c>
      <c r="BA79" s="81">
        <f t="shared" ref="BA79:BD83" si="37">D97</f>
        <v>-135.19999999999999</v>
      </c>
      <c r="BB79" s="81">
        <f t="shared" si="37"/>
        <v>-170.5</v>
      </c>
      <c r="BC79" s="81">
        <f t="shared" si="37"/>
        <v>-230</v>
      </c>
      <c r="BD79" s="81">
        <f t="shared" si="37"/>
        <v>-230</v>
      </c>
      <c r="BE79" s="82">
        <f>I97</f>
        <v>-220</v>
      </c>
      <c r="BF79" s="82">
        <f>K97</f>
        <v>-220</v>
      </c>
      <c r="BG79" s="82">
        <f t="shared" ref="BG79:BP83" si="38">M97</f>
        <v>-245.6</v>
      </c>
      <c r="BH79" s="82">
        <f t="shared" si="38"/>
        <v>-200</v>
      </c>
      <c r="BI79" s="82">
        <f t="shared" si="38"/>
        <v>-284</v>
      </c>
      <c r="BJ79" s="82">
        <f t="shared" si="38"/>
        <v>-293.60000000000002</v>
      </c>
      <c r="BK79" s="82">
        <f t="shared" si="38"/>
        <v>228.5</v>
      </c>
      <c r="BL79" s="82">
        <f t="shared" si="38"/>
        <v>112</v>
      </c>
      <c r="BM79" s="82">
        <f t="shared" si="38"/>
        <v>171.4</v>
      </c>
      <c r="BN79" s="82">
        <f t="shared" si="38"/>
        <v>142</v>
      </c>
      <c r="BO79" s="82">
        <f t="shared" si="38"/>
        <v>-5</v>
      </c>
      <c r="BP79" s="82">
        <f t="shared" si="3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9">AD97</f>
        <v>0</v>
      </c>
      <c r="BU79" s="81">
        <f t="shared" si="39"/>
        <v>0</v>
      </c>
      <c r="BV79" s="81">
        <f t="shared" si="39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35.1</v>
      </c>
      <c r="AK80" s="49"/>
      <c r="AY80" s="1" t="s">
        <v>101</v>
      </c>
      <c r="AZ80" s="82">
        <f>ROUND(C98,0)</f>
        <v>0</v>
      </c>
      <c r="BA80" s="81">
        <f t="shared" si="37"/>
        <v>0</v>
      </c>
      <c r="BB80" s="81">
        <f t="shared" si="37"/>
        <v>0</v>
      </c>
      <c r="BC80" s="81">
        <f t="shared" si="37"/>
        <v>0</v>
      </c>
      <c r="BD80" s="81">
        <f t="shared" si="37"/>
        <v>0</v>
      </c>
      <c r="BE80" s="82">
        <f>I98</f>
        <v>22</v>
      </c>
      <c r="BF80" s="82">
        <f>K98</f>
        <v>22</v>
      </c>
      <c r="BG80" s="82">
        <f t="shared" si="38"/>
        <v>22</v>
      </c>
      <c r="BH80" s="82">
        <f t="shared" si="38"/>
        <v>23</v>
      </c>
      <c r="BI80" s="82">
        <f t="shared" si="38"/>
        <v>25</v>
      </c>
      <c r="BJ80" s="82">
        <f t="shared" si="38"/>
        <v>26.3</v>
      </c>
      <c r="BK80" s="82">
        <f t="shared" si="38"/>
        <v>27.2</v>
      </c>
      <c r="BL80" s="82">
        <f t="shared" si="38"/>
        <v>29.9</v>
      </c>
      <c r="BM80" s="82">
        <f t="shared" si="38"/>
        <v>29</v>
      </c>
      <c r="BN80" s="82">
        <f t="shared" si="38"/>
        <v>27.5</v>
      </c>
      <c r="BO80" s="82">
        <f t="shared" si="38"/>
        <v>28.2</v>
      </c>
      <c r="BP80" s="82">
        <f t="shared" si="3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9"/>
        <v>0</v>
      </c>
      <c r="BU80" s="81">
        <f t="shared" si="39"/>
        <v>0</v>
      </c>
      <c r="BV80" s="81">
        <f t="shared" si="39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69.599999999999994</v>
      </c>
      <c r="AI81" s="47">
        <f t="shared" si="28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7"/>
        <v>46.6</v>
      </c>
      <c r="BB81" s="81">
        <f t="shared" si="37"/>
        <v>45.5</v>
      </c>
      <c r="BC81" s="81">
        <f t="shared" si="37"/>
        <v>45.5</v>
      </c>
      <c r="BD81" s="81">
        <f t="shared" si="37"/>
        <v>45.5</v>
      </c>
      <c r="BE81" s="82">
        <f>I99</f>
        <v>40</v>
      </c>
      <c r="BF81" s="82">
        <f>K99</f>
        <v>38</v>
      </c>
      <c r="BG81" s="82">
        <f t="shared" si="38"/>
        <v>27.3</v>
      </c>
      <c r="BH81" s="82">
        <f t="shared" si="38"/>
        <v>30</v>
      </c>
      <c r="BI81" s="82">
        <f t="shared" si="38"/>
        <v>32</v>
      </c>
      <c r="BJ81" s="82">
        <f t="shared" si="38"/>
        <v>36.299999999999997</v>
      </c>
      <c r="BK81" s="82">
        <f t="shared" si="38"/>
        <v>45.5</v>
      </c>
      <c r="BL81" s="82">
        <f t="shared" si="38"/>
        <v>40.299999999999997</v>
      </c>
      <c r="BM81" s="82">
        <f t="shared" si="38"/>
        <v>42.2</v>
      </c>
      <c r="BN81" s="82">
        <f t="shared" si="38"/>
        <v>44.3</v>
      </c>
      <c r="BO81" s="82">
        <f t="shared" si="38"/>
        <v>41.2</v>
      </c>
      <c r="BP81" s="82">
        <f t="shared" si="3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9"/>
        <v>0</v>
      </c>
      <c r="BU81" s="81">
        <f t="shared" si="39"/>
        <v>0</v>
      </c>
      <c r="BV81" s="81">
        <f t="shared" si="39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7"/>
        <v>19.100000000000001</v>
      </c>
      <c r="BB82" s="81">
        <f t="shared" si="37"/>
        <v>20.8</v>
      </c>
      <c r="BC82" s="81">
        <f t="shared" si="37"/>
        <v>20.8</v>
      </c>
      <c r="BD82" s="81">
        <f t="shared" si="37"/>
        <v>20.8</v>
      </c>
      <c r="BE82" s="82">
        <f>I100</f>
        <v>15.89</v>
      </c>
      <c r="BF82" s="82">
        <f>K100</f>
        <v>14.5</v>
      </c>
      <c r="BG82" s="82">
        <f t="shared" si="38"/>
        <v>14.5</v>
      </c>
      <c r="BH82" s="82">
        <f t="shared" si="38"/>
        <v>11.9</v>
      </c>
      <c r="BI82" s="82">
        <f t="shared" si="38"/>
        <v>10.6</v>
      </c>
      <c r="BJ82" s="82">
        <f t="shared" si="38"/>
        <v>12.3</v>
      </c>
      <c r="BK82" s="82">
        <f t="shared" si="38"/>
        <v>0</v>
      </c>
      <c r="BL82" s="82">
        <f t="shared" si="38"/>
        <v>0</v>
      </c>
      <c r="BM82" s="82">
        <f t="shared" si="38"/>
        <v>0</v>
      </c>
      <c r="BN82" s="82">
        <f t="shared" si="38"/>
        <v>0</v>
      </c>
      <c r="BO82" s="82">
        <f t="shared" si="38"/>
        <v>11.6</v>
      </c>
      <c r="BP82" s="82">
        <f t="shared" si="3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9"/>
        <v>0</v>
      </c>
      <c r="BU82" s="81">
        <f t="shared" si="39"/>
        <v>0</v>
      </c>
      <c r="BV82" s="81">
        <f t="shared" si="39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7"/>
        <v>0</v>
      </c>
      <c r="BB83" s="81">
        <f t="shared" si="37"/>
        <v>0</v>
      </c>
      <c r="BC83" s="81">
        <f t="shared" si="37"/>
        <v>0</v>
      </c>
      <c r="BD83" s="81">
        <f t="shared" si="37"/>
        <v>46</v>
      </c>
      <c r="BE83" s="82">
        <f>I101</f>
        <v>38.35</v>
      </c>
      <c r="BF83" s="82">
        <f>K101</f>
        <v>46.8</v>
      </c>
      <c r="BG83" s="82">
        <f t="shared" si="38"/>
        <v>46.8</v>
      </c>
      <c r="BH83" s="82">
        <f t="shared" si="38"/>
        <v>51</v>
      </c>
      <c r="BI83" s="82">
        <f t="shared" si="38"/>
        <v>46.5</v>
      </c>
      <c r="BJ83" s="82">
        <f t="shared" si="38"/>
        <v>56.9</v>
      </c>
      <c r="BK83" s="82">
        <f t="shared" si="38"/>
        <v>54.4</v>
      </c>
      <c r="BL83" s="82">
        <f t="shared" si="38"/>
        <v>53.8</v>
      </c>
      <c r="BM83" s="82">
        <f t="shared" si="38"/>
        <v>46.7</v>
      </c>
      <c r="BN83" s="82">
        <f t="shared" si="38"/>
        <v>49.89</v>
      </c>
      <c r="BO83" s="82">
        <f t="shared" si="38"/>
        <v>51.6</v>
      </c>
      <c r="BP83" s="82">
        <f t="shared" si="3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9"/>
        <v>0</v>
      </c>
      <c r="BU83" s="81">
        <f t="shared" si="39"/>
        <v>0</v>
      </c>
      <c r="BV83" s="81">
        <f t="shared" si="39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17.600000000000001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0">M107</f>
        <v>0</v>
      </c>
      <c r="BH84" s="82">
        <f t="shared" si="40"/>
        <v>0</v>
      </c>
      <c r="BI84" s="82">
        <f t="shared" si="40"/>
        <v>0</v>
      </c>
      <c r="BJ84" s="82">
        <f t="shared" si="40"/>
        <v>0</v>
      </c>
      <c r="BK84" s="82">
        <f t="shared" si="40"/>
        <v>0</v>
      </c>
      <c r="BL84" s="82">
        <f t="shared" si="40"/>
        <v>0</v>
      </c>
      <c r="BM84" s="82">
        <f t="shared" si="40"/>
        <v>0</v>
      </c>
      <c r="BN84" s="82">
        <f t="shared" si="40"/>
        <v>0</v>
      </c>
      <c r="BO84" s="82">
        <f t="shared" si="40"/>
        <v>0</v>
      </c>
      <c r="BP84" s="82">
        <f t="shared" si="4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12.3</v>
      </c>
      <c r="AI85" s="47">
        <f t="shared" si="28"/>
        <v>11.1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1">VALUE(AZ79)</f>
        <v>-233</v>
      </c>
      <c r="BA86" s="82">
        <f t="shared" si="41"/>
        <v>-135.19999999999999</v>
      </c>
      <c r="BB86" s="82">
        <f t="shared" si="41"/>
        <v>-170.5</v>
      </c>
      <c r="BC86" s="82">
        <f t="shared" si="41"/>
        <v>-230</v>
      </c>
      <c r="BD86" s="82">
        <f t="shared" si="41"/>
        <v>-230</v>
      </c>
      <c r="BE86" s="82">
        <f t="shared" si="41"/>
        <v>-220</v>
      </c>
      <c r="BF86" s="82">
        <f t="shared" si="41"/>
        <v>-220</v>
      </c>
      <c r="BG86" s="82">
        <f t="shared" si="41"/>
        <v>-245.6</v>
      </c>
      <c r="BH86" s="82">
        <f t="shared" si="41"/>
        <v>-200</v>
      </c>
      <c r="BI86" s="82">
        <f t="shared" si="41"/>
        <v>-284</v>
      </c>
      <c r="BJ86" s="82">
        <f t="shared" si="41"/>
        <v>-293.60000000000002</v>
      </c>
      <c r="BK86" s="82">
        <f t="shared" si="41"/>
        <v>228.5</v>
      </c>
      <c r="BL86" s="82">
        <f t="shared" si="41"/>
        <v>112</v>
      </c>
      <c r="BM86" s="82">
        <f t="shared" si="41"/>
        <v>171.4</v>
      </c>
      <c r="BN86" s="82">
        <f t="shared" si="41"/>
        <v>142</v>
      </c>
      <c r="BO86" s="82">
        <f t="shared" si="41"/>
        <v>-5</v>
      </c>
      <c r="BP86" s="82">
        <f t="shared" si="41"/>
        <v>0</v>
      </c>
      <c r="BQ86" s="82">
        <f t="shared" si="41"/>
        <v>0</v>
      </c>
      <c r="BR86" s="82">
        <f t="shared" si="41"/>
        <v>0</v>
      </c>
      <c r="BS86" s="82">
        <f t="shared" si="41"/>
        <v>0</v>
      </c>
      <c r="BT86" s="82">
        <f t="shared" si="41"/>
        <v>0</v>
      </c>
      <c r="BU86" s="82">
        <f t="shared" si="41"/>
        <v>0</v>
      </c>
      <c r="BV86" s="82">
        <f t="shared" si="41"/>
        <v>0</v>
      </c>
      <c r="BW86" s="82">
        <f t="shared" si="41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7.6</v>
      </c>
      <c r="AK87" s="49"/>
      <c r="AZ87" s="82">
        <f t="shared" si="41"/>
        <v>0</v>
      </c>
      <c r="BA87" s="82">
        <f t="shared" si="41"/>
        <v>0</v>
      </c>
      <c r="BB87" s="82">
        <f t="shared" si="41"/>
        <v>0</v>
      </c>
      <c r="BC87" s="82">
        <f t="shared" si="41"/>
        <v>0</v>
      </c>
      <c r="BD87" s="82">
        <f t="shared" si="41"/>
        <v>0</v>
      </c>
      <c r="BE87" s="82">
        <f t="shared" si="41"/>
        <v>22</v>
      </c>
      <c r="BF87" s="82">
        <f t="shared" si="41"/>
        <v>22</v>
      </c>
      <c r="BG87" s="82">
        <f t="shared" si="41"/>
        <v>22</v>
      </c>
      <c r="BH87" s="82">
        <f t="shared" si="41"/>
        <v>23</v>
      </c>
      <c r="BI87" s="82">
        <f t="shared" si="41"/>
        <v>25</v>
      </c>
      <c r="BJ87" s="82">
        <f t="shared" si="41"/>
        <v>26.3</v>
      </c>
      <c r="BK87" s="82">
        <f t="shared" si="41"/>
        <v>27.2</v>
      </c>
      <c r="BL87" s="82">
        <f t="shared" si="41"/>
        <v>29.9</v>
      </c>
      <c r="BM87" s="82">
        <f t="shared" si="41"/>
        <v>29</v>
      </c>
      <c r="BN87" s="82">
        <f t="shared" si="41"/>
        <v>27.5</v>
      </c>
      <c r="BO87" s="82">
        <f t="shared" si="41"/>
        <v>28.2</v>
      </c>
      <c r="BP87" s="82">
        <f t="shared" si="41"/>
        <v>0</v>
      </c>
      <c r="BQ87" s="82">
        <f t="shared" si="41"/>
        <v>0</v>
      </c>
      <c r="BR87" s="82">
        <f t="shared" si="41"/>
        <v>0</v>
      </c>
      <c r="BS87" s="82">
        <f t="shared" si="41"/>
        <v>0</v>
      </c>
      <c r="BT87" s="82">
        <f t="shared" si="41"/>
        <v>0</v>
      </c>
      <c r="BU87" s="82">
        <f t="shared" si="41"/>
        <v>0</v>
      </c>
      <c r="BV87" s="82">
        <f t="shared" si="41"/>
        <v>0</v>
      </c>
      <c r="BW87" s="82">
        <f t="shared" si="41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8.8000000000000007</v>
      </c>
      <c r="AI88" s="47">
        <f t="shared" si="28"/>
        <v>7.9</v>
      </c>
      <c r="AK88" s="49"/>
      <c r="AZ88" s="82">
        <f t="shared" si="41"/>
        <v>47</v>
      </c>
      <c r="BA88" s="82">
        <f t="shared" si="41"/>
        <v>46.6</v>
      </c>
      <c r="BB88" s="82">
        <f t="shared" si="41"/>
        <v>45.5</v>
      </c>
      <c r="BC88" s="82">
        <f t="shared" si="41"/>
        <v>45.5</v>
      </c>
      <c r="BD88" s="82">
        <f t="shared" si="41"/>
        <v>45.5</v>
      </c>
      <c r="BE88" s="82">
        <f t="shared" si="41"/>
        <v>40</v>
      </c>
      <c r="BF88" s="82">
        <f t="shared" si="41"/>
        <v>38</v>
      </c>
      <c r="BG88" s="82">
        <f t="shared" si="41"/>
        <v>27.3</v>
      </c>
      <c r="BH88" s="82">
        <f t="shared" si="41"/>
        <v>30</v>
      </c>
      <c r="BI88" s="82">
        <f t="shared" si="41"/>
        <v>32</v>
      </c>
      <c r="BJ88" s="82">
        <f t="shared" si="41"/>
        <v>36.299999999999997</v>
      </c>
      <c r="BK88" s="82">
        <f t="shared" si="41"/>
        <v>45.5</v>
      </c>
      <c r="BL88" s="82">
        <f t="shared" si="41"/>
        <v>40.299999999999997</v>
      </c>
      <c r="BM88" s="82">
        <f t="shared" si="41"/>
        <v>42.2</v>
      </c>
      <c r="BN88" s="82">
        <f t="shared" si="41"/>
        <v>44.3</v>
      </c>
      <c r="BO88" s="82">
        <f t="shared" si="41"/>
        <v>41.2</v>
      </c>
      <c r="BP88" s="82">
        <f t="shared" si="41"/>
        <v>0</v>
      </c>
      <c r="BQ88" s="82">
        <f t="shared" si="41"/>
        <v>0</v>
      </c>
      <c r="BR88" s="82">
        <f t="shared" si="41"/>
        <v>0</v>
      </c>
      <c r="BS88" s="82">
        <f t="shared" si="41"/>
        <v>0</v>
      </c>
      <c r="BT88" s="82">
        <f t="shared" si="41"/>
        <v>0</v>
      </c>
      <c r="BU88" s="82">
        <f t="shared" si="41"/>
        <v>0</v>
      </c>
      <c r="BV88" s="82">
        <f t="shared" si="41"/>
        <v>0</v>
      </c>
      <c r="BW88" s="82">
        <f t="shared" si="41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8.5</v>
      </c>
      <c r="AI89" s="47">
        <f t="shared" si="28"/>
        <v>7.7</v>
      </c>
      <c r="AK89" s="49"/>
      <c r="AZ89" s="82">
        <f t="shared" si="41"/>
        <v>18</v>
      </c>
      <c r="BA89" s="82">
        <f t="shared" si="41"/>
        <v>19.100000000000001</v>
      </c>
      <c r="BB89" s="82">
        <f t="shared" si="41"/>
        <v>20.8</v>
      </c>
      <c r="BC89" s="82">
        <f t="shared" si="41"/>
        <v>20.8</v>
      </c>
      <c r="BD89" s="82">
        <f t="shared" si="41"/>
        <v>20.8</v>
      </c>
      <c r="BE89" s="82">
        <f t="shared" si="41"/>
        <v>15.89</v>
      </c>
      <c r="BF89" s="82">
        <f t="shared" si="41"/>
        <v>14.5</v>
      </c>
      <c r="BG89" s="82">
        <f t="shared" si="41"/>
        <v>14.5</v>
      </c>
      <c r="BH89" s="82">
        <f t="shared" si="41"/>
        <v>11.9</v>
      </c>
      <c r="BI89" s="82">
        <f t="shared" si="41"/>
        <v>10.6</v>
      </c>
      <c r="BJ89" s="82">
        <f t="shared" si="41"/>
        <v>12.3</v>
      </c>
      <c r="BK89" s="82">
        <f t="shared" si="41"/>
        <v>0</v>
      </c>
      <c r="BL89" s="82">
        <f t="shared" si="41"/>
        <v>0</v>
      </c>
      <c r="BM89" s="82">
        <f t="shared" si="41"/>
        <v>0</v>
      </c>
      <c r="BN89" s="82">
        <f t="shared" si="41"/>
        <v>0</v>
      </c>
      <c r="BO89" s="82">
        <f t="shared" si="41"/>
        <v>11.6</v>
      </c>
      <c r="BP89" s="82">
        <f t="shared" si="41"/>
        <v>0</v>
      </c>
      <c r="BQ89" s="82">
        <f t="shared" si="41"/>
        <v>0</v>
      </c>
      <c r="BR89" s="82">
        <f t="shared" si="41"/>
        <v>0</v>
      </c>
      <c r="BS89" s="82">
        <f t="shared" si="41"/>
        <v>0</v>
      </c>
      <c r="BT89" s="82">
        <f t="shared" si="41"/>
        <v>0</v>
      </c>
      <c r="BU89" s="82">
        <f t="shared" si="41"/>
        <v>0</v>
      </c>
      <c r="BV89" s="82">
        <f t="shared" si="41"/>
        <v>0</v>
      </c>
      <c r="BW89" s="82">
        <f t="shared" si="41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3.1</v>
      </c>
      <c r="AI90" s="47">
        <f t="shared" si="28"/>
        <v>3.1</v>
      </c>
      <c r="AK90" s="49"/>
      <c r="AZ90" s="82">
        <f t="shared" si="41"/>
        <v>0</v>
      </c>
      <c r="BA90" s="82">
        <f t="shared" si="41"/>
        <v>0</v>
      </c>
      <c r="BB90" s="82">
        <f t="shared" si="41"/>
        <v>0</v>
      </c>
      <c r="BC90" s="82">
        <f t="shared" si="41"/>
        <v>0</v>
      </c>
      <c r="BD90" s="82">
        <f t="shared" si="41"/>
        <v>46</v>
      </c>
      <c r="BE90" s="82">
        <f t="shared" si="41"/>
        <v>38.35</v>
      </c>
      <c r="BF90" s="82">
        <f t="shared" si="41"/>
        <v>46.8</v>
      </c>
      <c r="BG90" s="82">
        <f t="shared" si="41"/>
        <v>46.8</v>
      </c>
      <c r="BH90" s="82">
        <f t="shared" si="41"/>
        <v>51</v>
      </c>
      <c r="BI90" s="82">
        <f t="shared" si="41"/>
        <v>46.5</v>
      </c>
      <c r="BJ90" s="82">
        <f t="shared" si="41"/>
        <v>56.9</v>
      </c>
      <c r="BK90" s="82">
        <f t="shared" si="41"/>
        <v>54.4</v>
      </c>
      <c r="BL90" s="82">
        <f t="shared" si="41"/>
        <v>53.8</v>
      </c>
      <c r="BM90" s="82">
        <f t="shared" si="41"/>
        <v>46.7</v>
      </c>
      <c r="BN90" s="82">
        <f t="shared" si="41"/>
        <v>49.89</v>
      </c>
      <c r="BO90" s="82">
        <f t="shared" si="41"/>
        <v>51.6</v>
      </c>
      <c r="BP90" s="82">
        <f t="shared" si="41"/>
        <v>0</v>
      </c>
      <c r="BQ90" s="82">
        <f t="shared" si="41"/>
        <v>0</v>
      </c>
      <c r="BR90" s="82">
        <f t="shared" si="41"/>
        <v>0</v>
      </c>
      <c r="BS90" s="82">
        <f t="shared" si="41"/>
        <v>0</v>
      </c>
      <c r="BT90" s="82">
        <f t="shared" si="41"/>
        <v>0</v>
      </c>
      <c r="BU90" s="82">
        <f t="shared" si="41"/>
        <v>0</v>
      </c>
      <c r="BV90" s="82">
        <f t="shared" si="41"/>
        <v>0</v>
      </c>
      <c r="BW90" s="82">
        <f t="shared" si="4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1"/>
        <v>0</v>
      </c>
      <c r="BA91" s="82">
        <f t="shared" si="41"/>
        <v>0</v>
      </c>
      <c r="BB91" s="82">
        <f t="shared" si="41"/>
        <v>0</v>
      </c>
      <c r="BC91" s="82">
        <f t="shared" si="41"/>
        <v>0</v>
      </c>
      <c r="BD91" s="82">
        <f t="shared" si="41"/>
        <v>0</v>
      </c>
      <c r="BE91" s="82">
        <f t="shared" si="41"/>
        <v>0</v>
      </c>
      <c r="BF91" s="82">
        <f t="shared" si="41"/>
        <v>0</v>
      </c>
      <c r="BG91" s="82">
        <f t="shared" si="41"/>
        <v>0</v>
      </c>
      <c r="BH91" s="82">
        <f t="shared" si="41"/>
        <v>0</v>
      </c>
      <c r="BI91" s="82">
        <f t="shared" si="41"/>
        <v>0</v>
      </c>
      <c r="BJ91" s="82">
        <f t="shared" si="41"/>
        <v>0</v>
      </c>
      <c r="BK91" s="82">
        <f t="shared" si="41"/>
        <v>0</v>
      </c>
      <c r="BL91" s="82">
        <f t="shared" si="41"/>
        <v>0</v>
      </c>
      <c r="BM91" s="82">
        <f t="shared" si="41"/>
        <v>0</v>
      </c>
      <c r="BN91" s="82">
        <f t="shared" si="41"/>
        <v>0</v>
      </c>
      <c r="BO91" s="82">
        <f t="shared" si="41"/>
        <v>0</v>
      </c>
      <c r="BP91" s="82">
        <f t="shared" si="41"/>
        <v>0</v>
      </c>
      <c r="BQ91" s="82">
        <f t="shared" si="41"/>
        <v>0</v>
      </c>
      <c r="BR91" s="82">
        <f t="shared" si="41"/>
        <v>0</v>
      </c>
      <c r="BS91" s="82">
        <f t="shared" si="41"/>
        <v>0</v>
      </c>
      <c r="BT91" s="82">
        <f t="shared" si="41"/>
        <v>0</v>
      </c>
      <c r="BU91" s="82">
        <f t="shared" si="41"/>
        <v>0</v>
      </c>
      <c r="BV91" s="82">
        <f t="shared" si="41"/>
        <v>0</v>
      </c>
      <c r="BW91" s="82">
        <f t="shared" si="41"/>
        <v>0</v>
      </c>
    </row>
    <row r="92" spans="1:75" ht="15.75" thickBot="1">
      <c r="A92" s="87" t="s">
        <v>117</v>
      </c>
      <c r="B92" s="70">
        <f t="shared" ref="B92:C92" si="42">SUM(B79:B91)</f>
        <v>317.10000000000008</v>
      </c>
      <c r="C92" s="70">
        <f t="shared" si="42"/>
        <v>298.60000000000008</v>
      </c>
      <c r="D92" s="70">
        <f t="shared" ref="D92:E92" si="43">SUM(D79:D91)</f>
        <v>300.90000000000003</v>
      </c>
      <c r="E92" s="70">
        <f t="shared" si="43"/>
        <v>307.00000000000006</v>
      </c>
      <c r="F92" s="70">
        <f t="shared" ref="F92:AG92" si="44">SUM(F79:F91)</f>
        <v>307.00000000000006</v>
      </c>
      <c r="G92" s="70">
        <f t="shared" si="44"/>
        <v>307.00000000000006</v>
      </c>
      <c r="H92" s="70">
        <f t="shared" si="44"/>
        <v>329.90000000000003</v>
      </c>
      <c r="I92" s="70">
        <f t="shared" si="44"/>
        <v>329.90000000000003</v>
      </c>
      <c r="J92" s="70">
        <f t="shared" si="44"/>
        <v>329.90000000000003</v>
      </c>
      <c r="K92" s="70">
        <f t="shared" si="44"/>
        <v>329.90000000000003</v>
      </c>
      <c r="L92" s="70">
        <f t="shared" si="44"/>
        <v>329.90000000000003</v>
      </c>
      <c r="M92" s="70">
        <f t="shared" ref="M92:N92" si="45">SUM(M79:M91)</f>
        <v>339.50000000000006</v>
      </c>
      <c r="N92" s="70">
        <f t="shared" si="45"/>
        <v>342.17</v>
      </c>
      <c r="O92" s="70">
        <f t="shared" ref="O92:P92" si="46">SUM(O79:O91)</f>
        <v>354.37</v>
      </c>
      <c r="P92" s="70">
        <f t="shared" si="46"/>
        <v>348.77000000000004</v>
      </c>
      <c r="Q92" s="70">
        <f t="shared" ref="Q92:R92" si="47">SUM(Q79:Q91)</f>
        <v>319.37000000000006</v>
      </c>
      <c r="R92" s="70">
        <f t="shared" si="47"/>
        <v>327.87</v>
      </c>
      <c r="S92" s="70">
        <f t="shared" si="44"/>
        <v>325.70000000000005</v>
      </c>
      <c r="T92" s="70">
        <f t="shared" si="44"/>
        <v>326.7</v>
      </c>
      <c r="U92" s="70">
        <f t="shared" si="44"/>
        <v>317.39999999999998</v>
      </c>
      <c r="V92" s="70">
        <f t="shared" si="44"/>
        <v>2</v>
      </c>
      <c r="W92" s="70">
        <f t="shared" si="44"/>
        <v>2</v>
      </c>
      <c r="X92" s="70">
        <f t="shared" si="44"/>
        <v>2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7"/>
        <v>354.37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12.6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5.6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8">B93+B94+B95</f>
        <v>0</v>
      </c>
      <c r="C96" s="70">
        <f t="shared" si="48"/>
        <v>0</v>
      </c>
      <c r="D96" s="70">
        <f t="shared" ref="D96:E96" si="49">D93+D94+D95</f>
        <v>0</v>
      </c>
      <c r="E96" s="70">
        <f t="shared" si="49"/>
        <v>0</v>
      </c>
      <c r="F96" s="70">
        <f t="shared" ref="F96:AF96" si="50">F93+F94+F95</f>
        <v>0</v>
      </c>
      <c r="G96" s="70">
        <f t="shared" si="50"/>
        <v>0</v>
      </c>
      <c r="H96" s="70">
        <f t="shared" si="50"/>
        <v>0</v>
      </c>
      <c r="I96" s="70">
        <f t="shared" si="50"/>
        <v>0</v>
      </c>
      <c r="J96" s="70">
        <f t="shared" si="50"/>
        <v>0</v>
      </c>
      <c r="K96" s="70">
        <f t="shared" si="50"/>
        <v>0</v>
      </c>
      <c r="L96" s="70">
        <f t="shared" si="50"/>
        <v>0</v>
      </c>
      <c r="M96" s="70">
        <f t="shared" ref="M96:N96" si="51">M93+M94+M95</f>
        <v>0</v>
      </c>
      <c r="N96" s="70">
        <f t="shared" si="51"/>
        <v>0</v>
      </c>
      <c r="O96" s="70">
        <f t="shared" ref="O96:P96" si="52">O93+O94+O95</f>
        <v>0</v>
      </c>
      <c r="P96" s="70">
        <f t="shared" si="52"/>
        <v>0</v>
      </c>
      <c r="Q96" s="70">
        <f t="shared" ref="Q96:R96" si="53">Q93+Q94+Q95</f>
        <v>0</v>
      </c>
      <c r="R96" s="70">
        <f t="shared" si="53"/>
        <v>0</v>
      </c>
      <c r="S96" s="70">
        <f t="shared" si="50"/>
        <v>0</v>
      </c>
      <c r="T96" s="70">
        <f t="shared" si="50"/>
        <v>0</v>
      </c>
      <c r="U96" s="70">
        <f t="shared" si="50"/>
        <v>48.2</v>
      </c>
      <c r="V96" s="70">
        <f t="shared" si="50"/>
        <v>0</v>
      </c>
      <c r="W96" s="70">
        <f t="shared" si="50"/>
        <v>0</v>
      </c>
      <c r="X96" s="70">
        <f t="shared" si="50"/>
        <v>0</v>
      </c>
      <c r="Y96" s="70">
        <f t="shared" si="50"/>
        <v>0</v>
      </c>
      <c r="Z96" s="70">
        <f t="shared" si="50"/>
        <v>0</v>
      </c>
      <c r="AA96" s="70">
        <f t="shared" si="50"/>
        <v>0</v>
      </c>
      <c r="AB96" s="70">
        <f t="shared" si="50"/>
        <v>0</v>
      </c>
      <c r="AC96" s="70">
        <f t="shared" si="50"/>
        <v>0</v>
      </c>
      <c r="AD96" s="70">
        <f t="shared" si="50"/>
        <v>0</v>
      </c>
      <c r="AE96" s="70">
        <f t="shared" si="50"/>
        <v>0</v>
      </c>
      <c r="AF96" s="70">
        <f t="shared" si="50"/>
        <v>0</v>
      </c>
      <c r="AG96" s="80">
        <f>SUM(AG93:AG95)</f>
        <v>106</v>
      </c>
      <c r="AH96" s="46">
        <f t="shared" si="27"/>
        <v>48.2</v>
      </c>
      <c r="AI96" s="47">
        <f t="shared" si="28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228.5</v>
      </c>
      <c r="AI97" s="47">
        <f t="shared" si="28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29.9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50</v>
      </c>
      <c r="AI99" s="47">
        <f t="shared" si="28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20.8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56.9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66.900000000000006</v>
      </c>
      <c r="AI102" s="47">
        <f t="shared" si="28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54">SUMIF(B97:B107,"&gt;0")</f>
        <v>123</v>
      </c>
      <c r="C108" s="70">
        <f t="shared" si="54"/>
        <v>127.2</v>
      </c>
      <c r="D108" s="70">
        <f t="shared" ref="D108:E108" si="55">SUMIF(D97:D107,"&gt;0")</f>
        <v>126.2</v>
      </c>
      <c r="E108" s="70">
        <f t="shared" si="55"/>
        <v>124.69999999999999</v>
      </c>
      <c r="F108" s="70">
        <f t="shared" ref="F108:AF108" si="56">SUMIF(F97:F107,"&gt;0")</f>
        <v>124.69999999999999</v>
      </c>
      <c r="G108" s="70">
        <f t="shared" si="56"/>
        <v>170.7</v>
      </c>
      <c r="H108" s="70">
        <f t="shared" si="56"/>
        <v>148.24</v>
      </c>
      <c r="I108" s="70">
        <f t="shared" si="56"/>
        <v>170.24</v>
      </c>
      <c r="J108" s="70">
        <f t="shared" si="56"/>
        <v>170.24</v>
      </c>
      <c r="K108" s="70">
        <f t="shared" si="56"/>
        <v>177.6</v>
      </c>
      <c r="L108" s="70">
        <f t="shared" si="56"/>
        <v>177.6</v>
      </c>
      <c r="M108" s="70">
        <f t="shared" ref="M108:N108" si="57">SUMIF(M97:M107,"&gt;0")</f>
        <v>162.19999999999999</v>
      </c>
      <c r="N108" s="70">
        <f t="shared" si="57"/>
        <v>175.9</v>
      </c>
      <c r="O108" s="70">
        <f t="shared" ref="O108" si="58">SUMIF(O97:O107,"&gt;0")</f>
        <v>180.5</v>
      </c>
      <c r="P108" s="70">
        <f t="shared" si="56"/>
        <v>195.09999999999997</v>
      </c>
      <c r="Q108" s="70">
        <f t="shared" ref="Q108:R108" si="59">SUMIF(Q97:Q107,"&gt;0")</f>
        <v>420.19999999999993</v>
      </c>
      <c r="R108" s="70">
        <f t="shared" si="59"/>
        <v>283.89999999999998</v>
      </c>
      <c r="S108" s="70">
        <f t="shared" si="56"/>
        <v>355.6</v>
      </c>
      <c r="T108" s="70">
        <f t="shared" si="56"/>
        <v>330.39</v>
      </c>
      <c r="U108" s="70">
        <f t="shared" si="56"/>
        <v>199.5</v>
      </c>
      <c r="V108" s="70">
        <f t="shared" si="56"/>
        <v>0</v>
      </c>
      <c r="W108" s="70">
        <f t="shared" si="56"/>
        <v>0</v>
      </c>
      <c r="X108" s="70">
        <f t="shared" si="56"/>
        <v>0</v>
      </c>
      <c r="Y108" s="70">
        <f t="shared" si="56"/>
        <v>0</v>
      </c>
      <c r="Z108" s="70">
        <f t="shared" si="56"/>
        <v>0</v>
      </c>
      <c r="AA108" s="70">
        <f t="shared" si="56"/>
        <v>0</v>
      </c>
      <c r="AB108" s="70">
        <f t="shared" si="56"/>
        <v>0</v>
      </c>
      <c r="AC108" s="70">
        <f t="shared" si="56"/>
        <v>0</v>
      </c>
      <c r="AD108" s="70">
        <f t="shared" si="56"/>
        <v>0</v>
      </c>
      <c r="AE108" s="70">
        <f t="shared" si="56"/>
        <v>0</v>
      </c>
      <c r="AF108" s="70">
        <f t="shared" si="56"/>
        <v>0</v>
      </c>
      <c r="AG108" s="104">
        <f>SUM(AG97:AG107)</f>
        <v>0</v>
      </c>
      <c r="AH108" s="46">
        <f t="shared" si="27"/>
        <v>420.19999999999993</v>
      </c>
      <c r="AI108" s="47">
        <f t="shared" si="28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60">B71+B78+B96+B92+B108+B112</f>
        <v>1857.7700000000002</v>
      </c>
      <c r="C113" s="108">
        <f t="shared" si="60"/>
        <v>1794.17</v>
      </c>
      <c r="D113" s="108">
        <f t="shared" ref="D113:E113" si="61">D71+D78+D96+D92+D108+D112</f>
        <v>1683.3700000000001</v>
      </c>
      <c r="E113" s="108">
        <f t="shared" si="61"/>
        <v>1667.77</v>
      </c>
      <c r="F113" s="108">
        <f t="shared" ref="F113:AG113" si="62">F71+F78+F96+F92+F108+F112</f>
        <v>1647.77</v>
      </c>
      <c r="G113" s="108">
        <f t="shared" si="62"/>
        <v>1744.27</v>
      </c>
      <c r="H113" s="108">
        <f t="shared" si="62"/>
        <v>1744.71</v>
      </c>
      <c r="I113" s="108">
        <f t="shared" si="62"/>
        <v>1815.71</v>
      </c>
      <c r="J113" s="108">
        <f t="shared" si="62"/>
        <v>1897.71</v>
      </c>
      <c r="K113" s="108">
        <f t="shared" si="62"/>
        <v>1905.07</v>
      </c>
      <c r="L113" s="108">
        <f t="shared" si="62"/>
        <v>1904.07</v>
      </c>
      <c r="M113" s="108">
        <f t="shared" ref="M113:N113" si="63">M71+M78+M96+M92+M108+M112</f>
        <v>1938.57</v>
      </c>
      <c r="N113" s="108">
        <f t="shared" si="63"/>
        <v>1839.3000000000002</v>
      </c>
      <c r="O113" s="108">
        <f t="shared" ref="O113" si="64">O71+O78+O96+O92+O108+O112</f>
        <v>2045.1</v>
      </c>
      <c r="P113" s="108">
        <f t="shared" si="62"/>
        <v>2054.1</v>
      </c>
      <c r="Q113" s="108">
        <f t="shared" ref="Q113:R113" si="65">Q71+Q78+Q96+Q92+Q108+Q112</f>
        <v>1789.8000000000002</v>
      </c>
      <c r="R113" s="108">
        <f t="shared" si="65"/>
        <v>1662</v>
      </c>
      <c r="S113" s="108">
        <f t="shared" si="62"/>
        <v>1725.23</v>
      </c>
      <c r="T113" s="108">
        <f t="shared" si="62"/>
        <v>1698.92</v>
      </c>
      <c r="U113" s="108">
        <f t="shared" si="62"/>
        <v>909.69999999999993</v>
      </c>
      <c r="V113" s="108">
        <f t="shared" si="62"/>
        <v>152</v>
      </c>
      <c r="W113" s="108">
        <f t="shared" si="62"/>
        <v>152</v>
      </c>
      <c r="X113" s="108">
        <f t="shared" si="62"/>
        <v>152</v>
      </c>
      <c r="Y113" s="108">
        <f t="shared" si="62"/>
        <v>152</v>
      </c>
      <c r="Z113" s="108">
        <f t="shared" si="62"/>
        <v>152</v>
      </c>
      <c r="AA113" s="108">
        <f t="shared" si="62"/>
        <v>152</v>
      </c>
      <c r="AB113" s="108">
        <f t="shared" si="62"/>
        <v>152</v>
      </c>
      <c r="AC113" s="108">
        <f t="shared" si="62"/>
        <v>152</v>
      </c>
      <c r="AD113" s="108">
        <f t="shared" si="62"/>
        <v>152</v>
      </c>
      <c r="AE113" s="108">
        <f t="shared" si="62"/>
        <v>152</v>
      </c>
      <c r="AF113" s="108">
        <f t="shared" si="62"/>
        <v>152</v>
      </c>
      <c r="AG113" s="80">
        <f t="shared" si="62"/>
        <v>3169.915</v>
      </c>
      <c r="AH113" s="46">
        <f t="shared" si="27"/>
        <v>2054.1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6">B113+B114</f>
        <v>1857.7700000000002</v>
      </c>
      <c r="C115" s="108">
        <f t="shared" si="66"/>
        <v>1794.17</v>
      </c>
      <c r="D115" s="108">
        <f t="shared" ref="D115:E115" si="67">D113+D114</f>
        <v>1683.3700000000001</v>
      </c>
      <c r="E115" s="108">
        <f t="shared" si="67"/>
        <v>1667.77</v>
      </c>
      <c r="F115" s="108">
        <f t="shared" ref="F115:AF115" si="68">F113+F114</f>
        <v>1647.77</v>
      </c>
      <c r="G115" s="108">
        <f t="shared" si="68"/>
        <v>1744.27</v>
      </c>
      <c r="H115" s="108">
        <f t="shared" si="68"/>
        <v>1744.71</v>
      </c>
      <c r="I115" s="108">
        <f t="shared" si="68"/>
        <v>1815.71</v>
      </c>
      <c r="J115" s="108">
        <f t="shared" si="68"/>
        <v>1897.71</v>
      </c>
      <c r="K115" s="108">
        <f t="shared" si="68"/>
        <v>1905.07</v>
      </c>
      <c r="L115" s="108">
        <f t="shared" si="68"/>
        <v>1904.07</v>
      </c>
      <c r="M115" s="108">
        <f t="shared" ref="M115:N115" si="69">M113+M114</f>
        <v>1938.57</v>
      </c>
      <c r="N115" s="108">
        <f t="shared" si="69"/>
        <v>1839.3000000000002</v>
      </c>
      <c r="O115" s="108">
        <f t="shared" ref="O115" si="70">O113+O114</f>
        <v>2045.1</v>
      </c>
      <c r="P115" s="108">
        <f t="shared" si="68"/>
        <v>2054.1</v>
      </c>
      <c r="Q115" s="108">
        <f t="shared" ref="Q115:R115" si="71">Q113+Q114</f>
        <v>1789.8000000000002</v>
      </c>
      <c r="R115" s="108">
        <f t="shared" si="71"/>
        <v>1662</v>
      </c>
      <c r="S115" s="108">
        <f t="shared" si="68"/>
        <v>1725.23</v>
      </c>
      <c r="T115" s="108">
        <f t="shared" si="68"/>
        <v>1698.92</v>
      </c>
      <c r="U115" s="108">
        <f t="shared" si="68"/>
        <v>909.69999999999993</v>
      </c>
      <c r="V115" s="108">
        <f t="shared" si="68"/>
        <v>152</v>
      </c>
      <c r="W115" s="108">
        <f t="shared" si="68"/>
        <v>152</v>
      </c>
      <c r="X115" s="108">
        <f t="shared" si="68"/>
        <v>152</v>
      </c>
      <c r="Y115" s="108">
        <f t="shared" si="68"/>
        <v>152</v>
      </c>
      <c r="Z115" s="108">
        <f t="shared" si="68"/>
        <v>152</v>
      </c>
      <c r="AA115" s="108">
        <f t="shared" si="68"/>
        <v>152</v>
      </c>
      <c r="AB115" s="108">
        <f t="shared" si="68"/>
        <v>152</v>
      </c>
      <c r="AC115" s="108">
        <f t="shared" si="68"/>
        <v>152</v>
      </c>
      <c r="AD115" s="108">
        <f t="shared" si="68"/>
        <v>152</v>
      </c>
      <c r="AE115" s="108">
        <f t="shared" si="68"/>
        <v>152</v>
      </c>
      <c r="AF115" s="108">
        <f t="shared" si="68"/>
        <v>152</v>
      </c>
      <c r="AG115" s="104">
        <f>AG112+AG108+AG96+AG92+AG71+AG114</f>
        <v>2463.5149999999999</v>
      </c>
      <c r="AH115" s="46">
        <f t="shared" si="27"/>
        <v>2054.1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2">B115-(B123)</f>
        <v>1587.7700000000002</v>
      </c>
      <c r="C116" s="108">
        <f t="shared" si="72"/>
        <v>1561.67</v>
      </c>
      <c r="D116" s="108">
        <f t="shared" ref="D116:E116" si="73">D115-(D123)</f>
        <v>1548.17</v>
      </c>
      <c r="E116" s="108">
        <f t="shared" si="73"/>
        <v>1497.27</v>
      </c>
      <c r="F116" s="108">
        <f t="shared" ref="F116:AF116" si="74">F115-(F123)</f>
        <v>1417.77</v>
      </c>
      <c r="G116" s="108">
        <f t="shared" si="74"/>
        <v>1514.27</v>
      </c>
      <c r="H116" s="108">
        <f t="shared" si="74"/>
        <v>1518.71</v>
      </c>
      <c r="I116" s="108">
        <f t="shared" si="74"/>
        <v>1595.71</v>
      </c>
      <c r="J116" s="108">
        <f t="shared" si="74"/>
        <v>1666.1100000000001</v>
      </c>
      <c r="K116" s="108">
        <f t="shared" si="74"/>
        <v>1685.07</v>
      </c>
      <c r="L116" s="108">
        <f t="shared" si="74"/>
        <v>1704.07</v>
      </c>
      <c r="M116" s="108">
        <f t="shared" ref="M116:N116" si="75">M115-(M123)</f>
        <v>1692.97</v>
      </c>
      <c r="N116" s="108">
        <f t="shared" si="75"/>
        <v>1639.3000000000002</v>
      </c>
      <c r="O116" s="108">
        <f t="shared" ref="O116" si="76">O115-(O123)</f>
        <v>1761.1</v>
      </c>
      <c r="P116" s="108">
        <f t="shared" si="74"/>
        <v>1760.5</v>
      </c>
      <c r="Q116" s="108">
        <f t="shared" ref="Q116:R116" si="77">Q115-(Q123)</f>
        <v>1789.8000000000002</v>
      </c>
      <c r="R116" s="108">
        <f t="shared" si="77"/>
        <v>1662</v>
      </c>
      <c r="S116" s="108">
        <f t="shared" si="74"/>
        <v>1725.23</v>
      </c>
      <c r="T116" s="108">
        <f t="shared" si="74"/>
        <v>1698.92</v>
      </c>
      <c r="U116" s="108">
        <f t="shared" si="74"/>
        <v>904.69999999999993</v>
      </c>
      <c r="V116" s="108">
        <f t="shared" si="74"/>
        <v>152</v>
      </c>
      <c r="W116" s="108">
        <f t="shared" si="74"/>
        <v>152</v>
      </c>
      <c r="X116" s="108">
        <f t="shared" si="74"/>
        <v>152</v>
      </c>
      <c r="Y116" s="108">
        <f t="shared" si="74"/>
        <v>152</v>
      </c>
      <c r="Z116" s="108">
        <f t="shared" si="74"/>
        <v>152</v>
      </c>
      <c r="AA116" s="108">
        <f t="shared" si="74"/>
        <v>152</v>
      </c>
      <c r="AB116" s="108">
        <f t="shared" si="74"/>
        <v>152</v>
      </c>
      <c r="AC116" s="108">
        <f t="shared" si="74"/>
        <v>152</v>
      </c>
      <c r="AD116" s="108">
        <f t="shared" si="74"/>
        <v>152</v>
      </c>
      <c r="AE116" s="108">
        <f t="shared" si="74"/>
        <v>152</v>
      </c>
      <c r="AF116" s="108">
        <f t="shared" si="74"/>
        <v>152</v>
      </c>
      <c r="AG116" s="104"/>
      <c r="AH116" s="46">
        <f t="shared" si="27"/>
        <v>1789.8000000000002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78">IF(B97&lt;0,B97*-1,0)</f>
        <v>270</v>
      </c>
      <c r="C117" s="93">
        <f t="shared" si="78"/>
        <v>232.5</v>
      </c>
      <c r="D117" s="93">
        <f t="shared" ref="D117:E117" si="79">IF(D97&lt;0,D97*-1,0)</f>
        <v>135.19999999999999</v>
      </c>
      <c r="E117" s="93">
        <f t="shared" si="79"/>
        <v>170.5</v>
      </c>
      <c r="F117" s="93">
        <f t="shared" ref="F117:AF122" si="80">IF(F97&lt;0,F97*-1,0)</f>
        <v>230</v>
      </c>
      <c r="G117" s="93">
        <f t="shared" si="80"/>
        <v>230</v>
      </c>
      <c r="H117" s="93">
        <f t="shared" si="80"/>
        <v>226</v>
      </c>
      <c r="I117" s="93">
        <f t="shared" si="80"/>
        <v>220</v>
      </c>
      <c r="J117" s="93">
        <f t="shared" si="80"/>
        <v>231.6</v>
      </c>
      <c r="K117" s="93">
        <f t="shared" si="80"/>
        <v>220</v>
      </c>
      <c r="L117" s="93">
        <f t="shared" si="80"/>
        <v>200</v>
      </c>
      <c r="M117" s="93">
        <f t="shared" ref="M117:N117" si="81">IF(M97&lt;0,M97*-1,0)</f>
        <v>245.6</v>
      </c>
      <c r="N117" s="93">
        <f t="shared" si="81"/>
        <v>200</v>
      </c>
      <c r="O117" s="93">
        <f t="shared" ref="O117" si="82">IF(O97&lt;0,O97*-1,0)</f>
        <v>284</v>
      </c>
      <c r="P117" s="93">
        <f t="shared" si="80"/>
        <v>293.60000000000002</v>
      </c>
      <c r="Q117" s="93">
        <f t="shared" ref="Q117:R117" si="83">IF(Q97&lt;0,Q97*-1,0)</f>
        <v>0</v>
      </c>
      <c r="R117" s="93">
        <f t="shared" si="83"/>
        <v>0</v>
      </c>
      <c r="S117" s="93">
        <f t="shared" si="80"/>
        <v>0</v>
      </c>
      <c r="T117" s="93">
        <f t="shared" si="80"/>
        <v>0</v>
      </c>
      <c r="U117" s="93">
        <f t="shared" si="80"/>
        <v>5</v>
      </c>
      <c r="V117" s="93">
        <f t="shared" si="80"/>
        <v>0</v>
      </c>
      <c r="W117" s="93">
        <f t="shared" si="80"/>
        <v>0</v>
      </c>
      <c r="X117" s="93">
        <f t="shared" si="80"/>
        <v>0</v>
      </c>
      <c r="Y117" s="93">
        <f t="shared" si="80"/>
        <v>0</v>
      </c>
      <c r="Z117" s="93">
        <f t="shared" si="80"/>
        <v>0</v>
      </c>
      <c r="AA117" s="93">
        <f t="shared" si="80"/>
        <v>0</v>
      </c>
      <c r="AB117" s="93">
        <f t="shared" si="80"/>
        <v>0</v>
      </c>
      <c r="AC117" s="93">
        <f t="shared" si="80"/>
        <v>0</v>
      </c>
      <c r="AD117" s="93">
        <f t="shared" si="80"/>
        <v>0</v>
      </c>
      <c r="AE117" s="93">
        <f t="shared" si="80"/>
        <v>0</v>
      </c>
      <c r="AF117" s="93">
        <f t="shared" si="80"/>
        <v>0</v>
      </c>
      <c r="AG117" s="61"/>
      <c r="AH117" s="46">
        <f t="shared" si="27"/>
        <v>293.60000000000002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78"/>
        <v>0</v>
      </c>
      <c r="C118" s="93">
        <f t="shared" si="78"/>
        <v>0</v>
      </c>
      <c r="D118" s="93">
        <f t="shared" ref="D118:E118" si="84">IF(D98&lt;0,D98*-1,0)</f>
        <v>0</v>
      </c>
      <c r="E118" s="93">
        <f t="shared" si="84"/>
        <v>0</v>
      </c>
      <c r="F118" s="93">
        <f t="shared" si="80"/>
        <v>0</v>
      </c>
      <c r="G118" s="93">
        <f t="shared" si="80"/>
        <v>0</v>
      </c>
      <c r="H118" s="93">
        <f t="shared" si="80"/>
        <v>0</v>
      </c>
      <c r="I118" s="93">
        <f t="shared" si="80"/>
        <v>0</v>
      </c>
      <c r="J118" s="93">
        <f t="shared" si="80"/>
        <v>0</v>
      </c>
      <c r="K118" s="93">
        <f t="shared" si="80"/>
        <v>0</v>
      </c>
      <c r="L118" s="93">
        <f t="shared" si="80"/>
        <v>0</v>
      </c>
      <c r="M118" s="93">
        <f t="shared" ref="M118:N118" si="85">IF(M98&lt;0,M98*-1,0)</f>
        <v>0</v>
      </c>
      <c r="N118" s="93">
        <f t="shared" si="85"/>
        <v>0</v>
      </c>
      <c r="O118" s="93">
        <f t="shared" ref="O118" si="86">IF(O98&lt;0,O98*-1,0)</f>
        <v>0</v>
      </c>
      <c r="P118" s="93">
        <f t="shared" si="80"/>
        <v>0</v>
      </c>
      <c r="Q118" s="93">
        <f t="shared" ref="Q118:R118" si="87">IF(Q98&lt;0,Q98*-1,0)</f>
        <v>0</v>
      </c>
      <c r="R118" s="93">
        <f t="shared" si="87"/>
        <v>0</v>
      </c>
      <c r="S118" s="93">
        <f t="shared" si="80"/>
        <v>0</v>
      </c>
      <c r="T118" s="93">
        <f t="shared" si="80"/>
        <v>0</v>
      </c>
      <c r="U118" s="93">
        <f t="shared" si="80"/>
        <v>0</v>
      </c>
      <c r="V118" s="93">
        <f t="shared" si="80"/>
        <v>0</v>
      </c>
      <c r="W118" s="93">
        <f t="shared" si="80"/>
        <v>0</v>
      </c>
      <c r="X118" s="93">
        <f t="shared" si="80"/>
        <v>0</v>
      </c>
      <c r="Y118" s="93">
        <f t="shared" si="80"/>
        <v>0</v>
      </c>
      <c r="Z118" s="93">
        <f t="shared" si="80"/>
        <v>0</v>
      </c>
      <c r="AA118" s="93">
        <f t="shared" si="80"/>
        <v>0</v>
      </c>
      <c r="AB118" s="93">
        <f t="shared" si="80"/>
        <v>0</v>
      </c>
      <c r="AC118" s="93">
        <f t="shared" si="80"/>
        <v>0</v>
      </c>
      <c r="AD118" s="93">
        <f t="shared" si="80"/>
        <v>0</v>
      </c>
      <c r="AE118" s="93">
        <f t="shared" si="80"/>
        <v>0</v>
      </c>
      <c r="AF118" s="93">
        <f t="shared" si="80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78"/>
        <v>0</v>
      </c>
      <c r="C119" s="93">
        <f t="shared" si="78"/>
        <v>0</v>
      </c>
      <c r="D119" s="93">
        <f t="shared" ref="D119:E119" si="88">IF(D99&lt;0,D99*-1,0)</f>
        <v>0</v>
      </c>
      <c r="E119" s="93">
        <f t="shared" si="88"/>
        <v>0</v>
      </c>
      <c r="F119" s="93">
        <f t="shared" si="80"/>
        <v>0</v>
      </c>
      <c r="G119" s="93">
        <f t="shared" si="80"/>
        <v>0</v>
      </c>
      <c r="H119" s="93">
        <f t="shared" si="80"/>
        <v>0</v>
      </c>
      <c r="I119" s="93">
        <f t="shared" si="80"/>
        <v>0</v>
      </c>
      <c r="J119" s="93">
        <f t="shared" si="80"/>
        <v>0</v>
      </c>
      <c r="K119" s="93">
        <f t="shared" si="80"/>
        <v>0</v>
      </c>
      <c r="L119" s="93">
        <f t="shared" si="80"/>
        <v>0</v>
      </c>
      <c r="M119" s="93">
        <f t="shared" ref="M119:N119" si="89">IF(M99&lt;0,M99*-1,0)</f>
        <v>0</v>
      </c>
      <c r="N119" s="93">
        <f t="shared" si="89"/>
        <v>0</v>
      </c>
      <c r="O119" s="93">
        <f t="shared" ref="O119" si="90">IF(O99&lt;0,O99*-1,0)</f>
        <v>0</v>
      </c>
      <c r="P119" s="93">
        <f t="shared" si="80"/>
        <v>0</v>
      </c>
      <c r="Q119" s="93">
        <f t="shared" ref="Q119:R119" si="91">IF(Q99&lt;0,Q99*-1,0)</f>
        <v>0</v>
      </c>
      <c r="R119" s="93">
        <f t="shared" si="91"/>
        <v>0</v>
      </c>
      <c r="S119" s="93">
        <f t="shared" si="80"/>
        <v>0</v>
      </c>
      <c r="T119" s="93">
        <f t="shared" si="80"/>
        <v>0</v>
      </c>
      <c r="U119" s="93">
        <f t="shared" si="80"/>
        <v>0</v>
      </c>
      <c r="V119" s="93">
        <f t="shared" si="80"/>
        <v>0</v>
      </c>
      <c r="W119" s="93">
        <f t="shared" si="80"/>
        <v>0</v>
      </c>
      <c r="X119" s="93">
        <f t="shared" si="80"/>
        <v>0</v>
      </c>
      <c r="Y119" s="93">
        <f t="shared" si="80"/>
        <v>0</v>
      </c>
      <c r="Z119" s="93">
        <f t="shared" si="80"/>
        <v>0</v>
      </c>
      <c r="AA119" s="93">
        <f t="shared" si="80"/>
        <v>0</v>
      </c>
      <c r="AB119" s="93">
        <f t="shared" si="80"/>
        <v>0</v>
      </c>
      <c r="AC119" s="93">
        <f t="shared" si="80"/>
        <v>0</v>
      </c>
      <c r="AD119" s="93">
        <f t="shared" si="80"/>
        <v>0</v>
      </c>
      <c r="AE119" s="93">
        <f t="shared" si="80"/>
        <v>0</v>
      </c>
      <c r="AF119" s="93">
        <f t="shared" si="80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78"/>
        <v>0</v>
      </c>
      <c r="C120" s="93">
        <f t="shared" si="78"/>
        <v>0</v>
      </c>
      <c r="D120" s="93">
        <f t="shared" ref="D120:E120" si="92">IF(D100&lt;0,D100*-1,0)</f>
        <v>0</v>
      </c>
      <c r="E120" s="93">
        <f t="shared" si="92"/>
        <v>0</v>
      </c>
      <c r="F120" s="93">
        <f t="shared" si="80"/>
        <v>0</v>
      </c>
      <c r="G120" s="93">
        <f t="shared" si="80"/>
        <v>0</v>
      </c>
      <c r="H120" s="93">
        <f t="shared" si="80"/>
        <v>0</v>
      </c>
      <c r="I120" s="93">
        <f t="shared" si="80"/>
        <v>0</v>
      </c>
      <c r="J120" s="93">
        <f t="shared" si="80"/>
        <v>0</v>
      </c>
      <c r="K120" s="93">
        <f t="shared" si="80"/>
        <v>0</v>
      </c>
      <c r="L120" s="93">
        <f t="shared" si="80"/>
        <v>0</v>
      </c>
      <c r="M120" s="93">
        <f t="shared" ref="M120:N120" si="93">IF(M100&lt;0,M100*-1,0)</f>
        <v>0</v>
      </c>
      <c r="N120" s="93">
        <f t="shared" si="93"/>
        <v>0</v>
      </c>
      <c r="O120" s="93">
        <f t="shared" ref="O120" si="94">IF(O100&lt;0,O100*-1,0)</f>
        <v>0</v>
      </c>
      <c r="P120" s="93">
        <f t="shared" si="80"/>
        <v>0</v>
      </c>
      <c r="Q120" s="93">
        <f t="shared" ref="Q120:R120" si="95">IF(Q100&lt;0,Q100*-1,0)</f>
        <v>0</v>
      </c>
      <c r="R120" s="93">
        <f t="shared" si="95"/>
        <v>0</v>
      </c>
      <c r="S120" s="93">
        <f t="shared" si="80"/>
        <v>0</v>
      </c>
      <c r="T120" s="93">
        <f t="shared" si="80"/>
        <v>0</v>
      </c>
      <c r="U120" s="93">
        <f t="shared" si="80"/>
        <v>0</v>
      </c>
      <c r="V120" s="93">
        <f t="shared" si="80"/>
        <v>0</v>
      </c>
      <c r="W120" s="93">
        <f t="shared" si="80"/>
        <v>0</v>
      </c>
      <c r="X120" s="93">
        <f t="shared" si="80"/>
        <v>0</v>
      </c>
      <c r="Y120" s="93">
        <f t="shared" si="80"/>
        <v>0</v>
      </c>
      <c r="Z120" s="93">
        <f t="shared" si="80"/>
        <v>0</v>
      </c>
      <c r="AA120" s="93">
        <f t="shared" si="80"/>
        <v>0</v>
      </c>
      <c r="AB120" s="93">
        <f t="shared" si="80"/>
        <v>0</v>
      </c>
      <c r="AC120" s="93">
        <f t="shared" si="80"/>
        <v>0</v>
      </c>
      <c r="AD120" s="93">
        <f t="shared" si="80"/>
        <v>0</v>
      </c>
      <c r="AE120" s="93">
        <f t="shared" si="80"/>
        <v>0</v>
      </c>
      <c r="AF120" s="93">
        <f t="shared" si="80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78"/>
        <v>0</v>
      </c>
      <c r="C121" s="93">
        <f t="shared" si="78"/>
        <v>0</v>
      </c>
      <c r="D121" s="93">
        <f t="shared" ref="D121:E121" si="96">IF(D101&lt;0,D101*-1,0)</f>
        <v>0</v>
      </c>
      <c r="E121" s="93">
        <f t="shared" si="96"/>
        <v>0</v>
      </c>
      <c r="F121" s="93">
        <f t="shared" si="80"/>
        <v>0</v>
      </c>
      <c r="G121" s="93">
        <f t="shared" si="80"/>
        <v>0</v>
      </c>
      <c r="H121" s="93">
        <f t="shared" si="80"/>
        <v>0</v>
      </c>
      <c r="I121" s="93">
        <f t="shared" si="80"/>
        <v>0</v>
      </c>
      <c r="J121" s="93">
        <f t="shared" si="80"/>
        <v>0</v>
      </c>
      <c r="K121" s="93">
        <f t="shared" si="80"/>
        <v>0</v>
      </c>
      <c r="L121" s="93">
        <f t="shared" si="80"/>
        <v>0</v>
      </c>
      <c r="M121" s="93">
        <f t="shared" ref="M121:N121" si="97">IF(M101&lt;0,M101*-1,0)</f>
        <v>0</v>
      </c>
      <c r="N121" s="93">
        <f t="shared" si="97"/>
        <v>0</v>
      </c>
      <c r="O121" s="93">
        <f t="shared" ref="O121" si="98">IF(O101&lt;0,O101*-1,0)</f>
        <v>0</v>
      </c>
      <c r="P121" s="93">
        <f t="shared" si="80"/>
        <v>0</v>
      </c>
      <c r="Q121" s="93">
        <f t="shared" ref="Q121:R121" si="99">IF(Q101&lt;0,Q101*-1,0)</f>
        <v>0</v>
      </c>
      <c r="R121" s="93">
        <f t="shared" si="99"/>
        <v>0</v>
      </c>
      <c r="S121" s="93">
        <f t="shared" si="80"/>
        <v>0</v>
      </c>
      <c r="T121" s="93">
        <f t="shared" si="80"/>
        <v>0</v>
      </c>
      <c r="U121" s="93">
        <f t="shared" si="80"/>
        <v>0</v>
      </c>
      <c r="V121" s="93">
        <f t="shared" si="80"/>
        <v>0</v>
      </c>
      <c r="W121" s="93">
        <f t="shared" si="80"/>
        <v>0</v>
      </c>
      <c r="X121" s="93">
        <f t="shared" si="80"/>
        <v>0</v>
      </c>
      <c r="Y121" s="93">
        <f t="shared" si="80"/>
        <v>0</v>
      </c>
      <c r="Z121" s="93">
        <f t="shared" si="80"/>
        <v>0</v>
      </c>
      <c r="AA121" s="93">
        <f t="shared" si="80"/>
        <v>0</v>
      </c>
      <c r="AB121" s="93">
        <f t="shared" si="80"/>
        <v>0</v>
      </c>
      <c r="AC121" s="93">
        <f t="shared" si="80"/>
        <v>0</v>
      </c>
      <c r="AD121" s="93">
        <f t="shared" si="80"/>
        <v>0</v>
      </c>
      <c r="AE121" s="93">
        <f t="shared" si="80"/>
        <v>0</v>
      </c>
      <c r="AF121" s="93">
        <f t="shared" si="80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78"/>
        <v>0</v>
      </c>
      <c r="C122" s="93">
        <f t="shared" si="78"/>
        <v>0</v>
      </c>
      <c r="D122" s="93">
        <f t="shared" ref="D122:E122" si="100">IF(D102&lt;0,D102*-1,0)</f>
        <v>0</v>
      </c>
      <c r="E122" s="93">
        <f t="shared" si="100"/>
        <v>0</v>
      </c>
      <c r="F122" s="93">
        <f t="shared" si="80"/>
        <v>0</v>
      </c>
      <c r="G122" s="93">
        <f t="shared" si="80"/>
        <v>0</v>
      </c>
      <c r="H122" s="93">
        <f t="shared" si="80"/>
        <v>0</v>
      </c>
      <c r="I122" s="93">
        <f t="shared" si="80"/>
        <v>0</v>
      </c>
      <c r="J122" s="93">
        <f t="shared" si="80"/>
        <v>0</v>
      </c>
      <c r="K122" s="93">
        <f t="shared" si="80"/>
        <v>0</v>
      </c>
      <c r="L122" s="93">
        <f t="shared" si="80"/>
        <v>0</v>
      </c>
      <c r="M122" s="93">
        <f t="shared" ref="M122:N122" si="101">IF(M102&lt;0,M102*-1,0)</f>
        <v>0</v>
      </c>
      <c r="N122" s="93">
        <f t="shared" si="101"/>
        <v>0</v>
      </c>
      <c r="O122" s="93">
        <f t="shared" ref="O122" si="102">IF(O102&lt;0,O102*-1,0)</f>
        <v>0</v>
      </c>
      <c r="P122" s="93">
        <f t="shared" si="80"/>
        <v>0</v>
      </c>
      <c r="Q122" s="93">
        <f t="shared" ref="Q122:R122" si="103">IF(Q102&lt;0,Q102*-1,0)</f>
        <v>0</v>
      </c>
      <c r="R122" s="93">
        <f t="shared" si="103"/>
        <v>0</v>
      </c>
      <c r="S122" s="93">
        <f t="shared" si="80"/>
        <v>0</v>
      </c>
      <c r="T122" s="93">
        <f t="shared" si="80"/>
        <v>0</v>
      </c>
      <c r="U122" s="93">
        <f t="shared" si="80"/>
        <v>0</v>
      </c>
      <c r="V122" s="93">
        <f t="shared" si="80"/>
        <v>0</v>
      </c>
      <c r="W122" s="93">
        <f t="shared" si="80"/>
        <v>0</v>
      </c>
      <c r="X122" s="93">
        <f t="shared" si="80"/>
        <v>0</v>
      </c>
      <c r="Y122" s="93">
        <f t="shared" si="80"/>
        <v>0</v>
      </c>
      <c r="Z122" s="93">
        <f t="shared" si="80"/>
        <v>0</v>
      </c>
      <c r="AA122" s="93">
        <f t="shared" si="80"/>
        <v>0</v>
      </c>
      <c r="AB122" s="93">
        <f t="shared" si="80"/>
        <v>0</v>
      </c>
      <c r="AC122" s="93">
        <f t="shared" si="80"/>
        <v>0</v>
      </c>
      <c r="AD122" s="93">
        <f t="shared" si="80"/>
        <v>0</v>
      </c>
      <c r="AE122" s="93">
        <f t="shared" si="80"/>
        <v>0</v>
      </c>
      <c r="AF122" s="93">
        <f t="shared" si="80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C123" si="104">SUM(B117:B122)</f>
        <v>270</v>
      </c>
      <c r="C123" s="70">
        <f t="shared" si="104"/>
        <v>232.5</v>
      </c>
      <c r="D123" s="70">
        <f t="shared" ref="D123:E123" si="105">SUM(D117:D122)</f>
        <v>135.19999999999999</v>
      </c>
      <c r="E123" s="70">
        <f t="shared" si="105"/>
        <v>170.5</v>
      </c>
      <c r="F123" s="70">
        <f t="shared" ref="F123:AF123" si="106">SUM(F117:F122)</f>
        <v>230</v>
      </c>
      <c r="G123" s="70">
        <f t="shared" si="106"/>
        <v>230</v>
      </c>
      <c r="H123" s="70">
        <f t="shared" si="106"/>
        <v>226</v>
      </c>
      <c r="I123" s="70">
        <f t="shared" si="106"/>
        <v>220</v>
      </c>
      <c r="J123" s="70">
        <f t="shared" si="106"/>
        <v>231.6</v>
      </c>
      <c r="K123" s="70">
        <f t="shared" si="106"/>
        <v>220</v>
      </c>
      <c r="L123" s="70">
        <f t="shared" si="106"/>
        <v>200</v>
      </c>
      <c r="M123" s="70">
        <f t="shared" ref="M123:N123" si="107">SUM(M117:M122)</f>
        <v>245.6</v>
      </c>
      <c r="N123" s="70">
        <f t="shared" si="107"/>
        <v>200</v>
      </c>
      <c r="O123" s="70">
        <f t="shared" ref="O123" si="108">SUM(O117:O122)</f>
        <v>284</v>
      </c>
      <c r="P123" s="70">
        <f t="shared" si="106"/>
        <v>293.60000000000002</v>
      </c>
      <c r="Q123" s="70">
        <f t="shared" ref="Q123:R123" si="109">SUM(Q117:Q122)</f>
        <v>0</v>
      </c>
      <c r="R123" s="70">
        <f t="shared" si="109"/>
        <v>0</v>
      </c>
      <c r="S123" s="70">
        <f t="shared" si="106"/>
        <v>0</v>
      </c>
      <c r="T123" s="70">
        <f t="shared" si="106"/>
        <v>0</v>
      </c>
      <c r="U123" s="70">
        <f t="shared" si="106"/>
        <v>5</v>
      </c>
      <c r="V123" s="70">
        <f t="shared" si="106"/>
        <v>0</v>
      </c>
      <c r="W123" s="70">
        <f t="shared" si="106"/>
        <v>0</v>
      </c>
      <c r="X123" s="70">
        <f t="shared" si="106"/>
        <v>0</v>
      </c>
      <c r="Y123" s="70">
        <f t="shared" si="106"/>
        <v>0</v>
      </c>
      <c r="Z123" s="70">
        <f t="shared" si="106"/>
        <v>0</v>
      </c>
      <c r="AA123" s="70">
        <f t="shared" si="106"/>
        <v>0</v>
      </c>
      <c r="AB123" s="70">
        <f t="shared" si="106"/>
        <v>0</v>
      </c>
      <c r="AC123" s="70">
        <f t="shared" si="106"/>
        <v>0</v>
      </c>
      <c r="AD123" s="70">
        <f t="shared" si="106"/>
        <v>0</v>
      </c>
      <c r="AE123" s="70">
        <f t="shared" si="106"/>
        <v>0</v>
      </c>
      <c r="AF123" s="70">
        <f t="shared" si="106"/>
        <v>0</v>
      </c>
      <c r="AG123" s="104"/>
      <c r="AH123" s="46">
        <f t="shared" si="27"/>
        <v>293.60000000000002</v>
      </c>
      <c r="AI123" s="47">
        <f t="shared" si="28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0">B108-B123</f>
        <v>-147</v>
      </c>
      <c r="C124" s="70">
        <f t="shared" si="110"/>
        <v>-105.3</v>
      </c>
      <c r="D124" s="70">
        <f t="shared" ref="D124:E124" si="111">D108-D123</f>
        <v>-8.9999999999999858</v>
      </c>
      <c r="E124" s="70">
        <f t="shared" si="111"/>
        <v>-45.800000000000011</v>
      </c>
      <c r="F124" s="70">
        <f t="shared" ref="F124:AF124" si="112">F108-F123</f>
        <v>-105.30000000000001</v>
      </c>
      <c r="G124" s="70">
        <f t="shared" si="112"/>
        <v>-59.300000000000011</v>
      </c>
      <c r="H124" s="70">
        <f t="shared" si="112"/>
        <v>-77.759999999999991</v>
      </c>
      <c r="I124" s="70">
        <f t="shared" si="112"/>
        <v>-49.759999999999991</v>
      </c>
      <c r="J124" s="70">
        <f t="shared" si="112"/>
        <v>-61.359999999999985</v>
      </c>
      <c r="K124" s="70">
        <f t="shared" si="112"/>
        <v>-42.400000000000006</v>
      </c>
      <c r="L124" s="70">
        <f t="shared" si="112"/>
        <v>-22.400000000000006</v>
      </c>
      <c r="M124" s="70">
        <f t="shared" ref="M124:N124" si="113">M108-M123</f>
        <v>-83.4</v>
      </c>
      <c r="N124" s="70">
        <f t="shared" si="113"/>
        <v>-24.099999999999994</v>
      </c>
      <c r="O124" s="70">
        <f t="shared" ref="O124" si="114">O108-O123</f>
        <v>-103.5</v>
      </c>
      <c r="P124" s="70">
        <f t="shared" si="112"/>
        <v>-98.500000000000057</v>
      </c>
      <c r="Q124" s="70">
        <f t="shared" ref="Q124:R124" si="115">Q108-Q123</f>
        <v>420.19999999999993</v>
      </c>
      <c r="R124" s="70">
        <f t="shared" si="115"/>
        <v>283.89999999999998</v>
      </c>
      <c r="S124" s="70">
        <f t="shared" si="112"/>
        <v>355.6</v>
      </c>
      <c r="T124" s="70">
        <f t="shared" si="112"/>
        <v>330.39</v>
      </c>
      <c r="U124" s="70">
        <f t="shared" si="112"/>
        <v>194.5</v>
      </c>
      <c r="V124" s="70">
        <f t="shared" si="112"/>
        <v>0</v>
      </c>
      <c r="W124" s="70">
        <f t="shared" si="112"/>
        <v>0</v>
      </c>
      <c r="X124" s="70">
        <f t="shared" si="112"/>
        <v>0</v>
      </c>
      <c r="Y124" s="70">
        <f t="shared" si="112"/>
        <v>0</v>
      </c>
      <c r="Z124" s="70">
        <f t="shared" si="112"/>
        <v>0</v>
      </c>
      <c r="AA124" s="70">
        <f t="shared" si="112"/>
        <v>0</v>
      </c>
      <c r="AB124" s="70">
        <f t="shared" si="112"/>
        <v>0</v>
      </c>
      <c r="AC124" s="70">
        <f t="shared" si="112"/>
        <v>0</v>
      </c>
      <c r="AD124" s="70">
        <f t="shared" si="112"/>
        <v>0</v>
      </c>
      <c r="AE124" s="70">
        <f t="shared" si="112"/>
        <v>0</v>
      </c>
      <c r="AF124" s="70">
        <f t="shared" si="112"/>
        <v>0</v>
      </c>
      <c r="AG124" s="104"/>
      <c r="AH124" s="46">
        <f t="shared" si="27"/>
        <v>420.19999999999993</v>
      </c>
      <c r="AI124" s="47">
        <f t="shared" si="28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50.15</v>
      </c>
      <c r="AI126" s="47">
        <f t="shared" si="28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134.4</v>
      </c>
      <c r="AI127" s="47">
        <f t="shared" si="28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133.30000000000001</v>
      </c>
      <c r="AI128" s="47">
        <f t="shared" si="28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135.5</v>
      </c>
      <c r="AI130" s="47">
        <f t="shared" si="28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137.30000000000001</v>
      </c>
      <c r="AI131" s="47">
        <f t="shared" si="28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136.1</v>
      </c>
      <c r="AI132" s="47">
        <f t="shared" si="28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:C135" si="116">SUM(B26,B32,B45:B46,B82,B84:B85,B87,B89,B137:B142,B177,B183,B189,B198,B200,B212,B219,B222:B223,B230,B232,B234,B238:B240,B242:B244,B249,B255:B256,B258:B260,B161,B166)</f>
        <v>319.04000000000002</v>
      </c>
      <c r="C135" s="114">
        <f t="shared" si="116"/>
        <v>114.24000000000004</v>
      </c>
      <c r="D135" s="114">
        <f t="shared" ref="D135:E135" si="117">SUM(D26,D32,D45:D46,D82,D84:D85,D87,D89,D137:D142,D177,D183,D189,D198,D200,D212,D219,D222:D223,D230,D232,D234,D238:D240,D242:D244,D249,D255:D256,D258:D260,D161,D166)</f>
        <v>122.44</v>
      </c>
      <c r="E135" s="114">
        <f t="shared" si="117"/>
        <v>120.64000000000004</v>
      </c>
      <c r="F135" s="114">
        <f t="shared" ref="F135:O135" si="118">SUM(F26,F32,F45:F46,F82,F84:F85,F87,F89,F137:F142,F177,F183,F189,F198,F200,F212,F219,F222:F223,F230,F232,F234,F238:F240,F242:F244,F249,F255:F256,F258:F260,F161,F166)</f>
        <v>120.64000000000004</v>
      </c>
      <c r="G135" s="114">
        <f t="shared" si="118"/>
        <v>120.64000000000004</v>
      </c>
      <c r="H135" s="114">
        <f t="shared" si="118"/>
        <v>208.24</v>
      </c>
      <c r="I135" s="114">
        <f t="shared" si="118"/>
        <v>240.34000000000003</v>
      </c>
      <c r="J135" s="114">
        <f t="shared" si="118"/>
        <v>269.24</v>
      </c>
      <c r="K135" s="114">
        <f t="shared" si="118"/>
        <v>206.44000000000003</v>
      </c>
      <c r="L135" s="114">
        <f t="shared" si="118"/>
        <v>305.04000000000002</v>
      </c>
      <c r="M135" s="114">
        <f t="shared" ref="M135:N135" si="119">SUM(M26,M32,M45:M46,M82,M84:M85,M87,M89,M137:M142,M177,M183,M189,M198,M200,M212,M219,M222:M223,M230,M232,M234,M238:M240,M242:M244,M249,M255:M256,M258:M260,M161,M166)</f>
        <v>302.84000000000003</v>
      </c>
      <c r="N135" s="114">
        <f t="shared" si="119"/>
        <v>309.61</v>
      </c>
      <c r="O135" s="114">
        <f t="shared" ref="O135" si="120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1">SUM(S26,S32,S45:S46,S82,S84:S85,S87,S89,S137:S142,S177,S183,S189,S198,S200,S212,S219,S222:S223,S230,S232,S234,S238:S240,S242:S244,S249,S255:S256,S258:S260,S161,S166)</f>
        <v>293.74</v>
      </c>
      <c r="T135" s="114">
        <f t="shared" si="121"/>
        <v>251.83999999999997</v>
      </c>
      <c r="U135" s="114">
        <f t="shared" si="121"/>
        <v>213.73999999999998</v>
      </c>
      <c r="V135" s="114">
        <f t="shared" si="121"/>
        <v>0.94</v>
      </c>
      <c r="W135" s="114">
        <f t="shared" si="121"/>
        <v>0.94</v>
      </c>
      <c r="X135" s="114">
        <f t="shared" si="12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2"/>
        <v>0.94</v>
      </c>
      <c r="AC135" s="114">
        <f t="shared" si="122"/>
        <v>0.94</v>
      </c>
      <c r="AD135" s="114">
        <f t="shared" si="122"/>
        <v>0.94</v>
      </c>
      <c r="AE135" s="114">
        <f t="shared" si="122"/>
        <v>0.94</v>
      </c>
      <c r="AF135" s="114">
        <f t="shared" si="122"/>
        <v>0.94</v>
      </c>
      <c r="AG135" s="127"/>
      <c r="AH135" s="46">
        <f t="shared" si="27"/>
        <v>319.04000000000002</v>
      </c>
      <c r="AI135" s="47">
        <f t="shared" si="28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68</v>
      </c>
      <c r="AI137" s="47">
        <f t="shared" si="28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90.1</v>
      </c>
      <c r="AI138" s="47">
        <f t="shared" si="28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23">MAX(B139:AF139)</f>
        <v>-43</v>
      </c>
      <c r="AI139" s="47">
        <f t="shared" ref="AI139:AI145" si="124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23"/>
        <v>87.8</v>
      </c>
      <c r="AI140" s="47">
        <f t="shared" si="124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23"/>
        <v>38.9</v>
      </c>
      <c r="AI141" s="47">
        <f t="shared" si="124"/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23"/>
        <v>58</v>
      </c>
      <c r="AI142" s="47">
        <f t="shared" si="124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23"/>
        <v>138</v>
      </c>
      <c r="AI143" s="47">
        <f t="shared" si="124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23"/>
        <v>17</v>
      </c>
      <c r="AI144" s="47">
        <f t="shared" si="124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23"/>
        <v>42</v>
      </c>
      <c r="AI145" s="47">
        <f t="shared" si="124"/>
        <v>-32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5">MAX(B146:AF146)</f>
        <v>-55</v>
      </c>
      <c r="AI146" s="47">
        <f t="shared" ref="AI146:AI158" si="12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5"/>
        <v>49.2</v>
      </c>
      <c r="AI147" s="47">
        <f t="shared" si="12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5"/>
        <v>-3</v>
      </c>
      <c r="AI148" s="47">
        <f t="shared" si="126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5"/>
        <v>209.5</v>
      </c>
      <c r="AI149" s="47">
        <f t="shared" si="126"/>
        <v>97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5"/>
        <v>30.8</v>
      </c>
      <c r="AI150" s="47">
        <f t="shared" si="126"/>
        <v>27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5"/>
        <v>24.47</v>
      </c>
      <c r="AI151" s="47">
        <f t="shared" si="126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5"/>
        <v>0</v>
      </c>
      <c r="AI152" s="47">
        <f t="shared" si="12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5"/>
        <v>1984.05</v>
      </c>
      <c r="AI153" s="47">
        <f t="shared" si="12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5"/>
        <v>523.91999999999996</v>
      </c>
      <c r="AI154" s="47">
        <f t="shared" si="126"/>
        <v>523.91999999999996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5"/>
        <v>325.31</v>
      </c>
      <c r="AI155" s="47">
        <f t="shared" si="12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5"/>
        <v>0</v>
      </c>
      <c r="AI156" s="47">
        <f t="shared" si="126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5"/>
        <v>0</v>
      </c>
      <c r="AI157" s="47">
        <f t="shared" si="126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5"/>
        <v>0</v>
      </c>
      <c r="AI158" s="47">
        <f t="shared" si="12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27">E161</f>
        <v>0.3</v>
      </c>
      <c r="G161" s="159">
        <f t="shared" si="127"/>
        <v>0.3</v>
      </c>
      <c r="H161" s="159">
        <f t="shared" si="127"/>
        <v>0.3</v>
      </c>
      <c r="I161" s="159">
        <f t="shared" si="127"/>
        <v>0.3</v>
      </c>
      <c r="J161" s="159">
        <f t="shared" si="127"/>
        <v>0.3</v>
      </c>
      <c r="K161" s="159">
        <f t="shared" si="127"/>
        <v>0.3</v>
      </c>
      <c r="L161" s="159">
        <f t="shared" si="127"/>
        <v>0.3</v>
      </c>
      <c r="M161" s="159">
        <f t="shared" si="127"/>
        <v>0.3</v>
      </c>
      <c r="N161" s="159">
        <f t="shared" si="127"/>
        <v>0.3</v>
      </c>
      <c r="O161" s="159">
        <f t="shared" si="127"/>
        <v>0.3</v>
      </c>
      <c r="P161" s="159">
        <f t="shared" si="127"/>
        <v>0.3</v>
      </c>
      <c r="Q161" s="159">
        <f t="shared" si="127"/>
        <v>0.3</v>
      </c>
      <c r="R161" s="159">
        <f t="shared" si="127"/>
        <v>0.3</v>
      </c>
      <c r="S161" s="159">
        <f t="shared" ref="S161:AF166" si="128">R161</f>
        <v>0.3</v>
      </c>
      <c r="T161" s="159">
        <f t="shared" si="128"/>
        <v>0.3</v>
      </c>
      <c r="U161" s="159">
        <f t="shared" si="128"/>
        <v>0.3</v>
      </c>
      <c r="V161" s="159">
        <f t="shared" si="128"/>
        <v>0.3</v>
      </c>
      <c r="W161" s="159">
        <f t="shared" si="128"/>
        <v>0.3</v>
      </c>
      <c r="X161" s="159">
        <f t="shared" si="128"/>
        <v>0.3</v>
      </c>
      <c r="Y161" s="159">
        <f t="shared" si="128"/>
        <v>0.3</v>
      </c>
      <c r="Z161" s="159">
        <f t="shared" si="128"/>
        <v>0.3</v>
      </c>
      <c r="AA161" s="159">
        <f t="shared" si="128"/>
        <v>0.3</v>
      </c>
      <c r="AB161" s="159">
        <f t="shared" si="128"/>
        <v>0.3</v>
      </c>
      <c r="AC161" s="159">
        <f t="shared" si="128"/>
        <v>0.3</v>
      </c>
      <c r="AD161" s="159">
        <f t="shared" si="128"/>
        <v>0.3</v>
      </c>
      <c r="AE161" s="159">
        <f t="shared" si="128"/>
        <v>0.3</v>
      </c>
      <c r="AF161" s="159">
        <f t="shared" si="12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27"/>
        <v>0.4</v>
      </c>
      <c r="G162" s="161">
        <f t="shared" si="127"/>
        <v>0.4</v>
      </c>
      <c r="H162" s="161">
        <f t="shared" si="127"/>
        <v>0.4</v>
      </c>
      <c r="I162" s="161">
        <f t="shared" si="127"/>
        <v>0.4</v>
      </c>
      <c r="J162" s="161">
        <f t="shared" si="127"/>
        <v>0.4</v>
      </c>
      <c r="K162" s="161">
        <f t="shared" si="127"/>
        <v>0.4</v>
      </c>
      <c r="L162" s="161">
        <f t="shared" si="127"/>
        <v>0.4</v>
      </c>
      <c r="M162" s="161">
        <f t="shared" si="127"/>
        <v>0.4</v>
      </c>
      <c r="N162" s="161">
        <f t="shared" si="127"/>
        <v>0.4</v>
      </c>
      <c r="O162" s="161">
        <f t="shared" si="127"/>
        <v>0.4</v>
      </c>
      <c r="P162" s="161">
        <f t="shared" si="127"/>
        <v>0.4</v>
      </c>
      <c r="Q162" s="161">
        <f t="shared" si="127"/>
        <v>0.4</v>
      </c>
      <c r="R162" s="161">
        <f t="shared" si="127"/>
        <v>0.4</v>
      </c>
      <c r="S162" s="161">
        <f t="shared" si="128"/>
        <v>0.4</v>
      </c>
      <c r="T162" s="161">
        <f t="shared" si="128"/>
        <v>0.4</v>
      </c>
      <c r="U162" s="161">
        <f t="shared" si="128"/>
        <v>0.4</v>
      </c>
      <c r="V162" s="161">
        <f t="shared" si="128"/>
        <v>0.4</v>
      </c>
      <c r="W162" s="161">
        <f t="shared" si="128"/>
        <v>0.4</v>
      </c>
      <c r="X162" s="161">
        <f t="shared" si="128"/>
        <v>0.4</v>
      </c>
      <c r="Y162" s="161">
        <f t="shared" si="128"/>
        <v>0.4</v>
      </c>
      <c r="Z162" s="161">
        <f t="shared" si="128"/>
        <v>0.4</v>
      </c>
      <c r="AA162" s="161">
        <f t="shared" si="128"/>
        <v>0.4</v>
      </c>
      <c r="AB162" s="161">
        <f t="shared" si="128"/>
        <v>0.4</v>
      </c>
      <c r="AC162" s="161">
        <f t="shared" si="128"/>
        <v>0.4</v>
      </c>
      <c r="AD162" s="161">
        <f t="shared" si="128"/>
        <v>0.4</v>
      </c>
      <c r="AE162" s="161">
        <f t="shared" si="128"/>
        <v>0.4</v>
      </c>
      <c r="AF162" s="161">
        <f t="shared" si="12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27"/>
        <v>1.5</v>
      </c>
      <c r="G163" s="161">
        <f t="shared" si="127"/>
        <v>1.5</v>
      </c>
      <c r="H163" s="161">
        <f t="shared" si="127"/>
        <v>1.5</v>
      </c>
      <c r="I163" s="161">
        <f t="shared" si="127"/>
        <v>1.5</v>
      </c>
      <c r="J163" s="161">
        <f t="shared" si="127"/>
        <v>1.5</v>
      </c>
      <c r="K163" s="161">
        <f t="shared" si="127"/>
        <v>1.5</v>
      </c>
      <c r="L163" s="161">
        <f t="shared" si="127"/>
        <v>1.5</v>
      </c>
      <c r="M163" s="161">
        <f t="shared" si="127"/>
        <v>1.5</v>
      </c>
      <c r="N163" s="161">
        <f t="shared" si="127"/>
        <v>1.5</v>
      </c>
      <c r="O163" s="161">
        <f t="shared" si="127"/>
        <v>1.5</v>
      </c>
      <c r="P163" s="161">
        <f t="shared" si="127"/>
        <v>1.5</v>
      </c>
      <c r="Q163" s="161">
        <f t="shared" si="127"/>
        <v>1.5</v>
      </c>
      <c r="R163" s="161">
        <f t="shared" si="127"/>
        <v>1.5</v>
      </c>
      <c r="S163" s="161">
        <f t="shared" si="128"/>
        <v>1.5</v>
      </c>
      <c r="T163" s="161">
        <f t="shared" si="128"/>
        <v>1.5</v>
      </c>
      <c r="U163" s="161">
        <f t="shared" si="128"/>
        <v>1.5</v>
      </c>
      <c r="V163" s="161">
        <f t="shared" si="128"/>
        <v>1.5</v>
      </c>
      <c r="W163" s="161">
        <f t="shared" si="128"/>
        <v>1.5</v>
      </c>
      <c r="X163" s="161">
        <f t="shared" si="128"/>
        <v>1.5</v>
      </c>
      <c r="Y163" s="161">
        <f t="shared" si="128"/>
        <v>1.5</v>
      </c>
      <c r="Z163" s="161">
        <f t="shared" si="128"/>
        <v>1.5</v>
      </c>
      <c r="AA163" s="161">
        <f t="shared" si="128"/>
        <v>1.5</v>
      </c>
      <c r="AB163" s="161">
        <f t="shared" si="128"/>
        <v>1.5</v>
      </c>
      <c r="AC163" s="161">
        <f t="shared" si="128"/>
        <v>1.5</v>
      </c>
      <c r="AD163" s="161">
        <f t="shared" si="128"/>
        <v>1.5</v>
      </c>
      <c r="AE163" s="161">
        <f t="shared" si="128"/>
        <v>1.5</v>
      </c>
      <c r="AF163" s="161">
        <f t="shared" si="12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27"/>
        <v>0.3</v>
      </c>
      <c r="G164" s="161">
        <f t="shared" si="127"/>
        <v>0.3</v>
      </c>
      <c r="H164" s="161">
        <f t="shared" si="127"/>
        <v>0.3</v>
      </c>
      <c r="I164" s="161">
        <f t="shared" si="127"/>
        <v>0.3</v>
      </c>
      <c r="J164" s="161">
        <f t="shared" si="127"/>
        <v>0.3</v>
      </c>
      <c r="K164" s="161">
        <f t="shared" si="127"/>
        <v>0.3</v>
      </c>
      <c r="L164" s="161">
        <f t="shared" si="127"/>
        <v>0.3</v>
      </c>
      <c r="M164" s="161">
        <f t="shared" si="127"/>
        <v>0.3</v>
      </c>
      <c r="N164" s="161">
        <f t="shared" si="127"/>
        <v>0.3</v>
      </c>
      <c r="O164" s="161">
        <f t="shared" si="127"/>
        <v>0.3</v>
      </c>
      <c r="P164" s="161">
        <f t="shared" si="127"/>
        <v>0.3</v>
      </c>
      <c r="Q164" s="161">
        <f t="shared" si="127"/>
        <v>0.3</v>
      </c>
      <c r="R164" s="161">
        <f t="shared" si="127"/>
        <v>0.3</v>
      </c>
      <c r="S164" s="161">
        <f t="shared" si="128"/>
        <v>0.3</v>
      </c>
      <c r="T164" s="161">
        <f t="shared" si="128"/>
        <v>0.3</v>
      </c>
      <c r="U164" s="161">
        <f t="shared" si="128"/>
        <v>0.3</v>
      </c>
      <c r="V164" s="161">
        <f t="shared" si="128"/>
        <v>0.3</v>
      </c>
      <c r="W164" s="161">
        <f t="shared" si="128"/>
        <v>0.3</v>
      </c>
      <c r="X164" s="161">
        <f t="shared" si="128"/>
        <v>0.3</v>
      </c>
      <c r="Y164" s="161">
        <f t="shared" si="128"/>
        <v>0.3</v>
      </c>
      <c r="Z164" s="161">
        <f t="shared" si="128"/>
        <v>0.3</v>
      </c>
      <c r="AA164" s="161">
        <f t="shared" si="128"/>
        <v>0.3</v>
      </c>
      <c r="AB164" s="161">
        <f t="shared" si="128"/>
        <v>0.3</v>
      </c>
      <c r="AC164" s="161">
        <f t="shared" si="128"/>
        <v>0.3</v>
      </c>
      <c r="AD164" s="161">
        <f t="shared" si="128"/>
        <v>0.3</v>
      </c>
      <c r="AE164" s="161">
        <f t="shared" si="128"/>
        <v>0.3</v>
      </c>
      <c r="AF164" s="161">
        <f t="shared" si="12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27"/>
        <v>0.4</v>
      </c>
      <c r="G165" s="161">
        <f t="shared" si="127"/>
        <v>0.4</v>
      </c>
      <c r="H165" s="161">
        <f t="shared" si="127"/>
        <v>0.4</v>
      </c>
      <c r="I165" s="161">
        <f t="shared" si="127"/>
        <v>0.4</v>
      </c>
      <c r="J165" s="161">
        <f t="shared" si="127"/>
        <v>0.4</v>
      </c>
      <c r="K165" s="161">
        <f t="shared" si="127"/>
        <v>0.4</v>
      </c>
      <c r="L165" s="161">
        <f t="shared" si="127"/>
        <v>0.4</v>
      </c>
      <c r="M165" s="161">
        <f t="shared" si="127"/>
        <v>0.4</v>
      </c>
      <c r="N165" s="161">
        <f t="shared" si="127"/>
        <v>0.4</v>
      </c>
      <c r="O165" s="161">
        <f t="shared" si="127"/>
        <v>0.4</v>
      </c>
      <c r="P165" s="161">
        <f t="shared" si="127"/>
        <v>0.4</v>
      </c>
      <c r="Q165" s="161">
        <f t="shared" si="127"/>
        <v>0.4</v>
      </c>
      <c r="R165" s="161">
        <f t="shared" si="127"/>
        <v>0.4</v>
      </c>
      <c r="S165" s="161">
        <f t="shared" si="128"/>
        <v>0.4</v>
      </c>
      <c r="T165" s="161">
        <f t="shared" si="128"/>
        <v>0.4</v>
      </c>
      <c r="U165" s="161">
        <f t="shared" si="128"/>
        <v>0.4</v>
      </c>
      <c r="V165" s="161">
        <f t="shared" si="128"/>
        <v>0.4</v>
      </c>
      <c r="W165" s="161">
        <f t="shared" si="128"/>
        <v>0.4</v>
      </c>
      <c r="X165" s="161">
        <f t="shared" si="128"/>
        <v>0.4</v>
      </c>
      <c r="Y165" s="161">
        <f t="shared" si="128"/>
        <v>0.4</v>
      </c>
      <c r="Z165" s="161">
        <f t="shared" si="128"/>
        <v>0.4</v>
      </c>
      <c r="AA165" s="161">
        <f t="shared" si="128"/>
        <v>0.4</v>
      </c>
      <c r="AB165" s="161">
        <f t="shared" si="128"/>
        <v>0.4</v>
      </c>
      <c r="AC165" s="161">
        <f t="shared" si="128"/>
        <v>0.4</v>
      </c>
      <c r="AD165" s="161">
        <f t="shared" si="128"/>
        <v>0.4</v>
      </c>
      <c r="AE165" s="161">
        <f t="shared" si="128"/>
        <v>0.4</v>
      </c>
      <c r="AF165" s="161">
        <f t="shared" si="12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27"/>
        <v>0.64</v>
      </c>
      <c r="G166" s="164">
        <f t="shared" si="127"/>
        <v>0.64</v>
      </c>
      <c r="H166" s="164">
        <f t="shared" si="127"/>
        <v>0.64</v>
      </c>
      <c r="I166" s="164">
        <f t="shared" si="127"/>
        <v>0.64</v>
      </c>
      <c r="J166" s="164">
        <f t="shared" si="127"/>
        <v>0.64</v>
      </c>
      <c r="K166" s="164">
        <f t="shared" si="127"/>
        <v>0.64</v>
      </c>
      <c r="L166" s="164">
        <f t="shared" si="127"/>
        <v>0.64</v>
      </c>
      <c r="M166" s="164">
        <f t="shared" si="127"/>
        <v>0.64</v>
      </c>
      <c r="N166" s="164">
        <f t="shared" si="127"/>
        <v>0.64</v>
      </c>
      <c r="O166" s="164">
        <f t="shared" si="127"/>
        <v>0.64</v>
      </c>
      <c r="P166" s="164">
        <f t="shared" si="127"/>
        <v>0.64</v>
      </c>
      <c r="Q166" s="164">
        <f t="shared" si="127"/>
        <v>0.64</v>
      </c>
      <c r="R166" s="164">
        <f t="shared" si="127"/>
        <v>0.64</v>
      </c>
      <c r="S166" s="164">
        <f t="shared" si="128"/>
        <v>0.64</v>
      </c>
      <c r="T166" s="164">
        <f t="shared" si="128"/>
        <v>0.64</v>
      </c>
      <c r="U166" s="164">
        <f t="shared" si="128"/>
        <v>0.64</v>
      </c>
      <c r="V166" s="164">
        <f t="shared" si="128"/>
        <v>0.64</v>
      </c>
      <c r="W166" s="164">
        <f t="shared" si="128"/>
        <v>0.64</v>
      </c>
      <c r="X166" s="164">
        <f t="shared" si="128"/>
        <v>0.64</v>
      </c>
      <c r="Y166" s="164">
        <f t="shared" si="128"/>
        <v>0.64</v>
      </c>
      <c r="Z166" s="164">
        <f t="shared" si="128"/>
        <v>0.64</v>
      </c>
      <c r="AA166" s="164">
        <f t="shared" si="128"/>
        <v>0.64</v>
      </c>
      <c r="AB166" s="164">
        <f t="shared" si="128"/>
        <v>0.64</v>
      </c>
      <c r="AC166" s="164">
        <f t="shared" si="128"/>
        <v>0.64</v>
      </c>
      <c r="AD166" s="164">
        <f t="shared" si="128"/>
        <v>0.64</v>
      </c>
      <c r="AE166" s="164">
        <f t="shared" si="128"/>
        <v>0.64</v>
      </c>
      <c r="AF166" s="164">
        <f t="shared" si="12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29">SUM(F161:F166)</f>
        <v>3.54</v>
      </c>
      <c r="G167" s="167">
        <f t="shared" si="129"/>
        <v>3.54</v>
      </c>
      <c r="H167" s="167">
        <f t="shared" si="129"/>
        <v>3.54</v>
      </c>
      <c r="I167" s="167">
        <f t="shared" si="129"/>
        <v>3.54</v>
      </c>
      <c r="J167" s="167">
        <f t="shared" si="129"/>
        <v>3.54</v>
      </c>
      <c r="K167" s="167">
        <f t="shared" si="129"/>
        <v>3.54</v>
      </c>
      <c r="L167" s="167">
        <f t="shared" si="129"/>
        <v>3.54</v>
      </c>
      <c r="M167" s="167">
        <f t="shared" si="129"/>
        <v>3.54</v>
      </c>
      <c r="N167" s="167">
        <f t="shared" si="129"/>
        <v>3.54</v>
      </c>
      <c r="O167" s="167">
        <f t="shared" si="129"/>
        <v>3.54</v>
      </c>
      <c r="P167" s="167">
        <f t="shared" si="129"/>
        <v>3.54</v>
      </c>
      <c r="Q167" s="167">
        <f t="shared" si="129"/>
        <v>3.54</v>
      </c>
      <c r="R167" s="167">
        <f t="shared" si="129"/>
        <v>3.54</v>
      </c>
      <c r="S167" s="167">
        <f t="shared" si="129"/>
        <v>3.54</v>
      </c>
      <c r="T167" s="167">
        <f t="shared" si="129"/>
        <v>3.54</v>
      </c>
      <c r="U167" s="167">
        <f t="shared" si="129"/>
        <v>3.54</v>
      </c>
      <c r="V167" s="167">
        <f t="shared" si="129"/>
        <v>3.54</v>
      </c>
      <c r="W167" s="167">
        <f t="shared" si="129"/>
        <v>3.54</v>
      </c>
      <c r="X167" s="167">
        <f t="shared" si="129"/>
        <v>3.54</v>
      </c>
      <c r="Y167" s="167">
        <f t="shared" si="129"/>
        <v>3.54</v>
      </c>
      <c r="Z167" s="167">
        <f t="shared" si="129"/>
        <v>3.54</v>
      </c>
      <c r="AA167" s="167">
        <f t="shared" si="129"/>
        <v>3.54</v>
      </c>
      <c r="AB167" s="167">
        <f t="shared" si="129"/>
        <v>3.54</v>
      </c>
      <c r="AC167" s="167">
        <f t="shared" si="129"/>
        <v>3.54</v>
      </c>
      <c r="AD167" s="167">
        <f t="shared" si="129"/>
        <v>3.54</v>
      </c>
      <c r="AE167" s="167">
        <f t="shared" si="129"/>
        <v>3.54</v>
      </c>
      <c r="AF167" s="167">
        <f t="shared" si="129"/>
        <v>3.54</v>
      </c>
      <c r="AG167" s="168">
        <f t="shared" si="12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30">E169</f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1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33">E185</f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35">E201</f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37">E217</f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39">E233</f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41">E249</f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43">E265</f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44">SUM(B169:B273)</f>
        <v>0</v>
      </c>
      <c r="C274" s="180">
        <f t="shared" ref="C274:D274" si="145">SUM(C169:C273)</f>
        <v>0</v>
      </c>
      <c r="D274" s="180">
        <f t="shared" si="145"/>
        <v>0</v>
      </c>
      <c r="E274" s="180">
        <f t="shared" ref="E274" si="146">SUM(E169:E273)</f>
        <v>0</v>
      </c>
      <c r="F274" s="180">
        <f t="shared" si="144"/>
        <v>0</v>
      </c>
      <c r="G274" s="180">
        <f t="shared" si="144"/>
        <v>0</v>
      </c>
      <c r="H274" s="180">
        <f t="shared" si="144"/>
        <v>0</v>
      </c>
      <c r="I274" s="180">
        <f t="shared" si="144"/>
        <v>0</v>
      </c>
      <c r="J274" s="180">
        <f t="shared" si="144"/>
        <v>0</v>
      </c>
      <c r="K274" s="180">
        <f t="shared" si="144"/>
        <v>0</v>
      </c>
      <c r="L274" s="180">
        <f t="shared" si="144"/>
        <v>0</v>
      </c>
      <c r="M274" s="180">
        <f t="shared" si="144"/>
        <v>0</v>
      </c>
      <c r="N274" s="180">
        <f t="shared" si="144"/>
        <v>0</v>
      </c>
      <c r="O274" s="180">
        <f t="shared" si="144"/>
        <v>0</v>
      </c>
      <c r="P274" s="180">
        <f t="shared" si="144"/>
        <v>0</v>
      </c>
      <c r="Q274" s="180">
        <f t="shared" si="144"/>
        <v>0</v>
      </c>
      <c r="R274" s="180">
        <f t="shared" si="144"/>
        <v>0</v>
      </c>
      <c r="S274" s="180">
        <f t="shared" si="144"/>
        <v>0</v>
      </c>
      <c r="T274" s="180">
        <f t="shared" si="144"/>
        <v>0</v>
      </c>
      <c r="U274" s="180">
        <f t="shared" si="144"/>
        <v>0</v>
      </c>
      <c r="V274" s="180">
        <f t="shared" si="144"/>
        <v>0</v>
      </c>
      <c r="W274" s="180">
        <f t="shared" si="144"/>
        <v>0</v>
      </c>
      <c r="X274" s="180">
        <f t="shared" si="144"/>
        <v>0</v>
      </c>
      <c r="Y274" s="180">
        <f t="shared" si="144"/>
        <v>0</v>
      </c>
      <c r="Z274" s="180">
        <f t="shared" si="144"/>
        <v>0</v>
      </c>
      <c r="AA274" s="180">
        <f t="shared" si="144"/>
        <v>0</v>
      </c>
      <c r="AB274" s="180">
        <f t="shared" si="144"/>
        <v>0</v>
      </c>
      <c r="AC274" s="180">
        <f t="shared" si="144"/>
        <v>0</v>
      </c>
      <c r="AD274" s="180">
        <f t="shared" si="144"/>
        <v>0</v>
      </c>
      <c r="AE274" s="180">
        <f t="shared" si="144"/>
        <v>0</v>
      </c>
      <c r="AF274" s="181">
        <f t="shared" si="144"/>
        <v>0</v>
      </c>
      <c r="AG274" s="182">
        <f t="shared" si="14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U11:AA13 AB12:AF13 B9:AF10 F117:L125 F152:AF159 B76:E90 B113:E115 B108:E108 B117:E124 B153:E153 G97:L97 F134:L134 H126:L133 B93:L96 H98:L102 F103:P115 M93:P102 Q93:AF115 V85:AF90 F79:U90 B72:U72 F76:AF77 M117:AF134 H137:AF151">
    <cfRule type="expression" dxfId="354" priority="106">
      <formula>B$9&gt;=20/24</formula>
    </cfRule>
  </conditionalFormatting>
  <conditionalFormatting sqref="B9:AF10 U11:AA13 AB12:AF13 F117:L125 F152:AF159 B76:E90 B113:E115 B108:E108 B117:E124 B153:E153 G97:L97 F134:L134 H126:L133 B93:L96 H98:L102 F103:P115 M93:P102 Q93:AF115 V85:AF90 F79:U90 B72:U72 F76:AF77 M117:AF134 H137:AF151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U14:AF53 B29:T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U11:AA13 AB12:AF13 AF92:AF95 AF96:AG96 S92:AE96 S91:AF91 B71:AG71 B76:R96 B69:AA69 V76:AF77 V79:AC90 V78:AG78 S76:U90">
    <cfRule type="expression" dxfId="326" priority="105">
      <formula>B11&gt;$AG11*1</formula>
    </cfRule>
  </conditionalFormatting>
  <conditionalFormatting sqref="F79:U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U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V76:AF78 F78:U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V73:AF75">
    <cfRule type="expression" dxfId="313" priority="35">
      <formula>V$9&gt;=20/24</formula>
    </cfRule>
    <cfRule type="expression" dxfId="312" priority="36">
      <formula>AND(V$9&gt;=14/24,V$9&lt;20/24)</formula>
    </cfRule>
    <cfRule type="expression" dxfId="311" priority="37">
      <formula>AND(V$9&gt;=8/24,V$9&lt;14/24)</formula>
    </cfRule>
    <cfRule type="expression" dxfId="310" priority="38">
      <formula>V$9&lt;8/24</formula>
    </cfRule>
  </conditionalFormatting>
  <conditionalFormatting sqref="F79:U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T79:Y83">
    <cfRule type="expression" dxfId="298" priority="137">
      <formula>T$9&gt;=20/24</formula>
    </cfRule>
    <cfRule type="expression" dxfId="297" priority="138">
      <formula>AND(T$9&gt;=14/24,T$9&lt;20/24)</formula>
    </cfRule>
    <cfRule type="expression" dxfId="296" priority="139">
      <formula>AND(T$9&gt;=8/24,T$9&lt;14/24)</formula>
    </cfRule>
    <cfRule type="expression" dxfId="295" priority="140">
      <formula>T$9&lt;8/24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T13">
    <cfRule type="expression" dxfId="204" priority="20">
      <formula>B$9&gt;=20/24</formula>
    </cfRule>
  </conditionalFormatting>
  <conditionalFormatting sqref="B97:E107 B137:E152 B109:E112 B125:E134 B154:E159 F97:F102 G98:G102 F126:G133 F137:G151 B11:T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T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T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2026-05-15T10:50:16Z</dcterms:modified>
</cp:coreProperties>
</file>