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8800" windowHeight="12180"/>
  </bookViews>
  <sheets>
    <sheet name="Sample" sheetId="3" r:id="rId1"/>
  </sheets>
  <definedNames>
    <definedName name="a" localSheetId="0">#REF!</definedName>
    <definedName name="a">#REF!</definedName>
    <definedName name="IPP" localSheetId="0">#REF!</definedName>
    <definedName name="IPP">#REF!</definedName>
    <definedName name="ippp" localSheetId="0">#REF!</definedName>
    <definedName name="ippp">#REF!</definedName>
    <definedName name="samolea" localSheetId="0">#REF!</definedName>
    <definedName name="samolea">#REF!</definedName>
    <definedName name="sampke1" localSheetId="0">#REF!</definedName>
    <definedName name="sampke1">#REF!</definedName>
    <definedName name="sample" localSheetId="0">#REF!</definedName>
    <definedName name="sample">#REF!</definedName>
    <definedName name="SAMPLE1" localSheetId="0">#REF!</definedName>
    <definedName name="SAMPLE1">#REF!</definedName>
    <definedName name="sdasdf" localSheetId="0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5" i="3" l="1"/>
  <c r="R88" i="3"/>
  <c r="R80" i="3"/>
  <c r="Q80" i="3"/>
  <c r="AH155" i="3" l="1"/>
  <c r="AI155" i="3"/>
  <c r="AH154" i="3"/>
  <c r="AI154" i="3"/>
  <c r="AH153" i="3"/>
  <c r="AI153" i="3"/>
  <c r="AG123" i="3" l="1"/>
  <c r="AG81" i="3"/>
  <c r="AG79" i="3"/>
  <c r="AG340" i="3"/>
  <c r="AG339" i="3"/>
  <c r="AG335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B340" i="3"/>
  <c r="B88" i="3"/>
  <c r="C338" i="3"/>
  <c r="D338" i="3" s="1"/>
  <c r="E338" i="3" s="1"/>
  <c r="F338" i="3" s="1"/>
  <c r="G338" i="3" s="1"/>
  <c r="H338" i="3" s="1"/>
  <c r="I338" i="3" s="1"/>
  <c r="J338" i="3" s="1"/>
  <c r="K338" i="3" s="1"/>
  <c r="L338" i="3" s="1"/>
  <c r="M338" i="3" s="1"/>
  <c r="N338" i="3" s="1"/>
  <c r="O338" i="3" s="1"/>
  <c r="P338" i="3" s="1"/>
  <c r="Q338" i="3" s="1"/>
  <c r="R338" i="3" s="1"/>
  <c r="S338" i="3" s="1"/>
  <c r="T338" i="3" s="1"/>
  <c r="U338" i="3" s="1"/>
  <c r="V338" i="3" s="1"/>
  <c r="W338" i="3" s="1"/>
  <c r="X338" i="3" s="1"/>
  <c r="Y338" i="3" s="1"/>
  <c r="Z338" i="3" s="1"/>
  <c r="AA338" i="3" s="1"/>
  <c r="AB338" i="3" s="1"/>
  <c r="AC338" i="3" s="1"/>
  <c r="AD338" i="3" s="1"/>
  <c r="AE338" i="3" s="1"/>
  <c r="AF338" i="3" s="1"/>
  <c r="C337" i="3"/>
  <c r="D337" i="3" s="1"/>
  <c r="E337" i="3" s="1"/>
  <c r="F337" i="3" s="1"/>
  <c r="G337" i="3" s="1"/>
  <c r="H337" i="3" s="1"/>
  <c r="I337" i="3" s="1"/>
  <c r="J337" i="3" s="1"/>
  <c r="K337" i="3" s="1"/>
  <c r="L337" i="3" s="1"/>
  <c r="M337" i="3" s="1"/>
  <c r="N337" i="3" s="1"/>
  <c r="O337" i="3" s="1"/>
  <c r="P337" i="3" s="1"/>
  <c r="Q337" i="3" s="1"/>
  <c r="R337" i="3" s="1"/>
  <c r="S337" i="3" s="1"/>
  <c r="T337" i="3" s="1"/>
  <c r="U337" i="3" s="1"/>
  <c r="V337" i="3" s="1"/>
  <c r="W337" i="3" s="1"/>
  <c r="X337" i="3" s="1"/>
  <c r="Y337" i="3" s="1"/>
  <c r="Z337" i="3" s="1"/>
  <c r="AA337" i="3" s="1"/>
  <c r="AB337" i="3" s="1"/>
  <c r="AC337" i="3" s="1"/>
  <c r="AD337" i="3" s="1"/>
  <c r="AE337" i="3" s="1"/>
  <c r="AF337" i="3" s="1"/>
  <c r="C334" i="3"/>
  <c r="D334" i="3" s="1"/>
  <c r="E334" i="3" s="1"/>
  <c r="F334" i="3" s="1"/>
  <c r="G334" i="3" s="1"/>
  <c r="H334" i="3" s="1"/>
  <c r="I334" i="3" s="1"/>
  <c r="J334" i="3" s="1"/>
  <c r="K334" i="3" s="1"/>
  <c r="L334" i="3" s="1"/>
  <c r="M334" i="3" s="1"/>
  <c r="N334" i="3" s="1"/>
  <c r="O334" i="3" s="1"/>
  <c r="P334" i="3" s="1"/>
  <c r="Q334" i="3" s="1"/>
  <c r="R334" i="3" s="1"/>
  <c r="S334" i="3" s="1"/>
  <c r="T334" i="3" s="1"/>
  <c r="U334" i="3" s="1"/>
  <c r="V334" i="3" s="1"/>
  <c r="W334" i="3" s="1"/>
  <c r="X334" i="3" s="1"/>
  <c r="Y334" i="3" s="1"/>
  <c r="Z334" i="3" s="1"/>
  <c r="AA334" i="3" s="1"/>
  <c r="AB334" i="3" s="1"/>
  <c r="AC334" i="3" s="1"/>
  <c r="AD334" i="3" s="1"/>
  <c r="AE334" i="3" s="1"/>
  <c r="AF334" i="3" s="1"/>
  <c r="C333" i="3"/>
  <c r="D333" i="3" s="1"/>
  <c r="E333" i="3" s="1"/>
  <c r="F333" i="3" s="1"/>
  <c r="G333" i="3" s="1"/>
  <c r="H333" i="3" s="1"/>
  <c r="I333" i="3" s="1"/>
  <c r="J333" i="3" s="1"/>
  <c r="K333" i="3" s="1"/>
  <c r="L333" i="3" s="1"/>
  <c r="M333" i="3" s="1"/>
  <c r="N333" i="3" s="1"/>
  <c r="O333" i="3" s="1"/>
  <c r="P333" i="3" s="1"/>
  <c r="Q333" i="3" s="1"/>
  <c r="R333" i="3" s="1"/>
  <c r="S333" i="3" s="1"/>
  <c r="T333" i="3" s="1"/>
  <c r="U333" i="3" s="1"/>
  <c r="V333" i="3" s="1"/>
  <c r="W333" i="3" s="1"/>
  <c r="X333" i="3" s="1"/>
  <c r="Y333" i="3" s="1"/>
  <c r="Z333" i="3" s="1"/>
  <c r="AA333" i="3" s="1"/>
  <c r="AB333" i="3" s="1"/>
  <c r="AC333" i="3" s="1"/>
  <c r="AD333" i="3" s="1"/>
  <c r="AE333" i="3" s="1"/>
  <c r="AF333" i="3" s="1"/>
  <c r="C332" i="3"/>
  <c r="D332" i="3" s="1"/>
  <c r="E332" i="3" s="1"/>
  <c r="F332" i="3" s="1"/>
  <c r="G332" i="3" s="1"/>
  <c r="H332" i="3" s="1"/>
  <c r="I332" i="3" s="1"/>
  <c r="J332" i="3" s="1"/>
  <c r="K332" i="3" s="1"/>
  <c r="L332" i="3" s="1"/>
  <c r="M332" i="3" s="1"/>
  <c r="N332" i="3" s="1"/>
  <c r="O332" i="3" s="1"/>
  <c r="P332" i="3" s="1"/>
  <c r="Q332" i="3" s="1"/>
  <c r="R332" i="3" s="1"/>
  <c r="S332" i="3" s="1"/>
  <c r="T332" i="3" s="1"/>
  <c r="U332" i="3" s="1"/>
  <c r="V332" i="3" s="1"/>
  <c r="W332" i="3" s="1"/>
  <c r="X332" i="3" s="1"/>
  <c r="Y332" i="3" s="1"/>
  <c r="Z332" i="3" s="1"/>
  <c r="AA332" i="3" s="1"/>
  <c r="AB332" i="3" s="1"/>
  <c r="AC332" i="3" s="1"/>
  <c r="AD332" i="3" s="1"/>
  <c r="AE332" i="3" s="1"/>
  <c r="AF332" i="3" s="1"/>
  <c r="C331" i="3"/>
  <c r="D331" i="3" s="1"/>
  <c r="E331" i="3" s="1"/>
  <c r="F331" i="3" s="1"/>
  <c r="G331" i="3" s="1"/>
  <c r="H331" i="3" s="1"/>
  <c r="I331" i="3" s="1"/>
  <c r="J331" i="3" s="1"/>
  <c r="K331" i="3" s="1"/>
  <c r="L331" i="3" s="1"/>
  <c r="M331" i="3" s="1"/>
  <c r="N331" i="3" s="1"/>
  <c r="O331" i="3" s="1"/>
  <c r="P331" i="3" s="1"/>
  <c r="Q331" i="3" s="1"/>
  <c r="R331" i="3" s="1"/>
  <c r="S331" i="3" s="1"/>
  <c r="T331" i="3" s="1"/>
  <c r="U331" i="3" s="1"/>
  <c r="V331" i="3" s="1"/>
  <c r="W331" i="3" s="1"/>
  <c r="X331" i="3" s="1"/>
  <c r="Y331" i="3" s="1"/>
  <c r="Z331" i="3" s="1"/>
  <c r="AA331" i="3" s="1"/>
  <c r="AB331" i="3" s="1"/>
  <c r="AC331" i="3" s="1"/>
  <c r="AD331" i="3" s="1"/>
  <c r="AE331" i="3" s="1"/>
  <c r="AF331" i="3" s="1"/>
  <c r="C330" i="3"/>
  <c r="D330" i="3" s="1"/>
  <c r="E330" i="3" s="1"/>
  <c r="F330" i="3" s="1"/>
  <c r="G330" i="3" s="1"/>
  <c r="H330" i="3" s="1"/>
  <c r="I330" i="3" s="1"/>
  <c r="J330" i="3" s="1"/>
  <c r="K330" i="3" s="1"/>
  <c r="L330" i="3" s="1"/>
  <c r="M330" i="3" s="1"/>
  <c r="N330" i="3" s="1"/>
  <c r="O330" i="3" s="1"/>
  <c r="P330" i="3" s="1"/>
  <c r="Q330" i="3" s="1"/>
  <c r="R330" i="3" s="1"/>
  <c r="S330" i="3" s="1"/>
  <c r="T330" i="3" s="1"/>
  <c r="U330" i="3" s="1"/>
  <c r="V330" i="3" s="1"/>
  <c r="W330" i="3" s="1"/>
  <c r="X330" i="3" s="1"/>
  <c r="Y330" i="3" s="1"/>
  <c r="Z330" i="3" s="1"/>
  <c r="AA330" i="3" s="1"/>
  <c r="AB330" i="3" s="1"/>
  <c r="AC330" i="3" s="1"/>
  <c r="AD330" i="3" s="1"/>
  <c r="AE330" i="3" s="1"/>
  <c r="AF330" i="3" s="1"/>
  <c r="C329" i="3"/>
  <c r="D329" i="3" s="1"/>
  <c r="E329" i="3" s="1"/>
  <c r="F329" i="3" s="1"/>
  <c r="G329" i="3" s="1"/>
  <c r="H329" i="3" s="1"/>
  <c r="I329" i="3" s="1"/>
  <c r="J329" i="3" s="1"/>
  <c r="K329" i="3" s="1"/>
  <c r="L329" i="3" s="1"/>
  <c r="M329" i="3" s="1"/>
  <c r="N329" i="3" s="1"/>
  <c r="O329" i="3" s="1"/>
  <c r="P329" i="3" s="1"/>
  <c r="Q329" i="3" s="1"/>
  <c r="R329" i="3" s="1"/>
  <c r="S329" i="3" s="1"/>
  <c r="T329" i="3" s="1"/>
  <c r="U329" i="3" s="1"/>
  <c r="V329" i="3" s="1"/>
  <c r="W329" i="3" s="1"/>
  <c r="X329" i="3" s="1"/>
  <c r="Y329" i="3" s="1"/>
  <c r="Z329" i="3" s="1"/>
  <c r="AA329" i="3" s="1"/>
  <c r="AB329" i="3" s="1"/>
  <c r="AC329" i="3" s="1"/>
  <c r="AD329" i="3" s="1"/>
  <c r="AE329" i="3" s="1"/>
  <c r="AF329" i="3" s="1"/>
  <c r="C328" i="3"/>
  <c r="D328" i="3" s="1"/>
  <c r="E328" i="3" s="1"/>
  <c r="F328" i="3" s="1"/>
  <c r="G328" i="3" s="1"/>
  <c r="H328" i="3" s="1"/>
  <c r="I328" i="3" s="1"/>
  <c r="J328" i="3" s="1"/>
  <c r="K328" i="3" s="1"/>
  <c r="L328" i="3" s="1"/>
  <c r="M328" i="3" s="1"/>
  <c r="N328" i="3" s="1"/>
  <c r="O328" i="3" s="1"/>
  <c r="P328" i="3" s="1"/>
  <c r="Q328" i="3" s="1"/>
  <c r="R328" i="3" s="1"/>
  <c r="S328" i="3" s="1"/>
  <c r="T328" i="3" s="1"/>
  <c r="U328" i="3" s="1"/>
  <c r="V328" i="3" s="1"/>
  <c r="W328" i="3" s="1"/>
  <c r="X328" i="3" s="1"/>
  <c r="Y328" i="3" s="1"/>
  <c r="Z328" i="3" s="1"/>
  <c r="AA328" i="3" s="1"/>
  <c r="AB328" i="3" s="1"/>
  <c r="AC328" i="3" s="1"/>
  <c r="AD328" i="3" s="1"/>
  <c r="AE328" i="3" s="1"/>
  <c r="AF328" i="3" s="1"/>
  <c r="C327" i="3"/>
  <c r="D327" i="3" s="1"/>
  <c r="E327" i="3" s="1"/>
  <c r="F327" i="3" s="1"/>
  <c r="G327" i="3" s="1"/>
  <c r="H327" i="3" s="1"/>
  <c r="I327" i="3" s="1"/>
  <c r="J327" i="3" s="1"/>
  <c r="K327" i="3" s="1"/>
  <c r="L327" i="3" s="1"/>
  <c r="M327" i="3" s="1"/>
  <c r="N327" i="3" s="1"/>
  <c r="O327" i="3" s="1"/>
  <c r="P327" i="3" s="1"/>
  <c r="Q327" i="3" s="1"/>
  <c r="R327" i="3" s="1"/>
  <c r="S327" i="3" s="1"/>
  <c r="T327" i="3" s="1"/>
  <c r="U327" i="3" s="1"/>
  <c r="V327" i="3" s="1"/>
  <c r="W327" i="3" s="1"/>
  <c r="X327" i="3" s="1"/>
  <c r="Y327" i="3" s="1"/>
  <c r="Z327" i="3" s="1"/>
  <c r="AA327" i="3" s="1"/>
  <c r="AB327" i="3" s="1"/>
  <c r="AC327" i="3" s="1"/>
  <c r="AD327" i="3" s="1"/>
  <c r="AE327" i="3" s="1"/>
  <c r="AF327" i="3" s="1"/>
  <c r="C326" i="3"/>
  <c r="D326" i="3" s="1"/>
  <c r="E326" i="3" s="1"/>
  <c r="F326" i="3" s="1"/>
  <c r="G326" i="3" s="1"/>
  <c r="H326" i="3" s="1"/>
  <c r="I326" i="3" s="1"/>
  <c r="J326" i="3" s="1"/>
  <c r="K326" i="3" s="1"/>
  <c r="L326" i="3" s="1"/>
  <c r="M326" i="3" s="1"/>
  <c r="N326" i="3" s="1"/>
  <c r="O326" i="3" s="1"/>
  <c r="P326" i="3" s="1"/>
  <c r="Q326" i="3" s="1"/>
  <c r="R326" i="3" s="1"/>
  <c r="S326" i="3" s="1"/>
  <c r="T326" i="3" s="1"/>
  <c r="U326" i="3" s="1"/>
  <c r="V326" i="3" s="1"/>
  <c r="W326" i="3" s="1"/>
  <c r="X326" i="3" s="1"/>
  <c r="Y326" i="3" s="1"/>
  <c r="Z326" i="3" s="1"/>
  <c r="AA326" i="3" s="1"/>
  <c r="AB326" i="3" s="1"/>
  <c r="AC326" i="3" s="1"/>
  <c r="AD326" i="3" s="1"/>
  <c r="AE326" i="3" s="1"/>
  <c r="AF326" i="3" s="1"/>
  <c r="C325" i="3"/>
  <c r="D325" i="3" s="1"/>
  <c r="E325" i="3" s="1"/>
  <c r="F325" i="3" s="1"/>
  <c r="G325" i="3" s="1"/>
  <c r="H325" i="3" s="1"/>
  <c r="I325" i="3" s="1"/>
  <c r="J325" i="3" s="1"/>
  <c r="K325" i="3" s="1"/>
  <c r="L325" i="3" s="1"/>
  <c r="M325" i="3" s="1"/>
  <c r="N325" i="3" s="1"/>
  <c r="O325" i="3" s="1"/>
  <c r="P325" i="3" s="1"/>
  <c r="Q325" i="3" s="1"/>
  <c r="R325" i="3" s="1"/>
  <c r="S325" i="3" s="1"/>
  <c r="T325" i="3" s="1"/>
  <c r="U325" i="3" s="1"/>
  <c r="V325" i="3" s="1"/>
  <c r="W325" i="3" s="1"/>
  <c r="X325" i="3" s="1"/>
  <c r="Y325" i="3" s="1"/>
  <c r="Z325" i="3" s="1"/>
  <c r="AA325" i="3" s="1"/>
  <c r="AB325" i="3" s="1"/>
  <c r="AC325" i="3" s="1"/>
  <c r="AD325" i="3" s="1"/>
  <c r="AE325" i="3" s="1"/>
  <c r="AF325" i="3" s="1"/>
  <c r="C324" i="3"/>
  <c r="D324" i="3" s="1"/>
  <c r="E324" i="3" s="1"/>
  <c r="F324" i="3" s="1"/>
  <c r="G324" i="3" s="1"/>
  <c r="H324" i="3" s="1"/>
  <c r="I324" i="3" s="1"/>
  <c r="J324" i="3" s="1"/>
  <c r="K324" i="3" s="1"/>
  <c r="L324" i="3" s="1"/>
  <c r="M324" i="3" s="1"/>
  <c r="N324" i="3" s="1"/>
  <c r="O324" i="3" s="1"/>
  <c r="P324" i="3" s="1"/>
  <c r="Q324" i="3" s="1"/>
  <c r="R324" i="3" s="1"/>
  <c r="S324" i="3" s="1"/>
  <c r="T324" i="3" s="1"/>
  <c r="U324" i="3" s="1"/>
  <c r="V324" i="3" s="1"/>
  <c r="W324" i="3" s="1"/>
  <c r="X324" i="3" s="1"/>
  <c r="Y324" i="3" s="1"/>
  <c r="Z324" i="3" s="1"/>
  <c r="AA324" i="3" s="1"/>
  <c r="AB324" i="3" s="1"/>
  <c r="AC324" i="3" s="1"/>
  <c r="AD324" i="3" s="1"/>
  <c r="AE324" i="3" s="1"/>
  <c r="AF324" i="3" s="1"/>
  <c r="C323" i="3"/>
  <c r="D323" i="3" s="1"/>
  <c r="E323" i="3" s="1"/>
  <c r="F323" i="3" s="1"/>
  <c r="G323" i="3" s="1"/>
  <c r="H323" i="3" s="1"/>
  <c r="I323" i="3" s="1"/>
  <c r="J323" i="3" s="1"/>
  <c r="K323" i="3" s="1"/>
  <c r="L323" i="3" s="1"/>
  <c r="M323" i="3" s="1"/>
  <c r="N323" i="3" s="1"/>
  <c r="O323" i="3" s="1"/>
  <c r="P323" i="3" s="1"/>
  <c r="Q323" i="3" s="1"/>
  <c r="R323" i="3" s="1"/>
  <c r="S323" i="3" s="1"/>
  <c r="T323" i="3" s="1"/>
  <c r="U323" i="3" s="1"/>
  <c r="V323" i="3" s="1"/>
  <c r="W323" i="3" s="1"/>
  <c r="X323" i="3" s="1"/>
  <c r="Y323" i="3" s="1"/>
  <c r="Z323" i="3" s="1"/>
  <c r="AA323" i="3" s="1"/>
  <c r="AB323" i="3" s="1"/>
  <c r="AC323" i="3" s="1"/>
  <c r="AD323" i="3" s="1"/>
  <c r="AE323" i="3" s="1"/>
  <c r="AF323" i="3" s="1"/>
  <c r="C322" i="3"/>
  <c r="D322" i="3" s="1"/>
  <c r="E322" i="3" s="1"/>
  <c r="F322" i="3" s="1"/>
  <c r="G322" i="3" s="1"/>
  <c r="H322" i="3" s="1"/>
  <c r="I322" i="3" s="1"/>
  <c r="J322" i="3" s="1"/>
  <c r="K322" i="3" s="1"/>
  <c r="L322" i="3" s="1"/>
  <c r="M322" i="3" s="1"/>
  <c r="N322" i="3" s="1"/>
  <c r="O322" i="3" s="1"/>
  <c r="P322" i="3" s="1"/>
  <c r="Q322" i="3" s="1"/>
  <c r="R322" i="3" s="1"/>
  <c r="S322" i="3" s="1"/>
  <c r="T322" i="3" s="1"/>
  <c r="U322" i="3" s="1"/>
  <c r="V322" i="3" s="1"/>
  <c r="W322" i="3" s="1"/>
  <c r="X322" i="3" s="1"/>
  <c r="Y322" i="3" s="1"/>
  <c r="Z322" i="3" s="1"/>
  <c r="AA322" i="3" s="1"/>
  <c r="AB322" i="3" s="1"/>
  <c r="AC322" i="3" s="1"/>
  <c r="AD322" i="3" s="1"/>
  <c r="AE322" i="3" s="1"/>
  <c r="AF322" i="3" s="1"/>
  <c r="C321" i="3"/>
  <c r="D321" i="3" s="1"/>
  <c r="E321" i="3" s="1"/>
  <c r="F321" i="3" s="1"/>
  <c r="G321" i="3" s="1"/>
  <c r="H321" i="3" s="1"/>
  <c r="I321" i="3" s="1"/>
  <c r="J321" i="3" s="1"/>
  <c r="K321" i="3" s="1"/>
  <c r="L321" i="3" s="1"/>
  <c r="M321" i="3" s="1"/>
  <c r="N321" i="3" s="1"/>
  <c r="O321" i="3" s="1"/>
  <c r="P321" i="3" s="1"/>
  <c r="Q321" i="3" s="1"/>
  <c r="R321" i="3" s="1"/>
  <c r="S321" i="3" s="1"/>
  <c r="T321" i="3" s="1"/>
  <c r="U321" i="3" s="1"/>
  <c r="V321" i="3" s="1"/>
  <c r="W321" i="3" s="1"/>
  <c r="X321" i="3" s="1"/>
  <c r="Y321" i="3" s="1"/>
  <c r="Z321" i="3" s="1"/>
  <c r="AA321" i="3" s="1"/>
  <c r="AB321" i="3" s="1"/>
  <c r="AC321" i="3" s="1"/>
  <c r="AD321" i="3" s="1"/>
  <c r="AE321" i="3" s="1"/>
  <c r="AF321" i="3" s="1"/>
  <c r="C320" i="3"/>
  <c r="D320" i="3" s="1"/>
  <c r="E320" i="3" s="1"/>
  <c r="F320" i="3" s="1"/>
  <c r="G320" i="3" s="1"/>
  <c r="H320" i="3" s="1"/>
  <c r="I320" i="3" s="1"/>
  <c r="J320" i="3" s="1"/>
  <c r="K320" i="3" s="1"/>
  <c r="L320" i="3" s="1"/>
  <c r="M320" i="3" s="1"/>
  <c r="N320" i="3" s="1"/>
  <c r="O320" i="3" s="1"/>
  <c r="P320" i="3" s="1"/>
  <c r="Q320" i="3" s="1"/>
  <c r="R320" i="3" s="1"/>
  <c r="S320" i="3" s="1"/>
  <c r="T320" i="3" s="1"/>
  <c r="U320" i="3" s="1"/>
  <c r="V320" i="3" s="1"/>
  <c r="W320" i="3" s="1"/>
  <c r="X320" i="3" s="1"/>
  <c r="Y320" i="3" s="1"/>
  <c r="Z320" i="3" s="1"/>
  <c r="AA320" i="3" s="1"/>
  <c r="AB320" i="3" s="1"/>
  <c r="AC320" i="3" s="1"/>
  <c r="AD320" i="3" s="1"/>
  <c r="AE320" i="3" s="1"/>
  <c r="AF320" i="3" s="1"/>
  <c r="C319" i="3"/>
  <c r="D319" i="3" s="1"/>
  <c r="E319" i="3" s="1"/>
  <c r="F319" i="3" s="1"/>
  <c r="G319" i="3" s="1"/>
  <c r="H319" i="3" s="1"/>
  <c r="I319" i="3" s="1"/>
  <c r="J319" i="3" s="1"/>
  <c r="K319" i="3" s="1"/>
  <c r="L319" i="3" s="1"/>
  <c r="M319" i="3" s="1"/>
  <c r="N319" i="3" s="1"/>
  <c r="O319" i="3" s="1"/>
  <c r="P319" i="3" s="1"/>
  <c r="Q319" i="3" s="1"/>
  <c r="R319" i="3" s="1"/>
  <c r="S319" i="3" s="1"/>
  <c r="T319" i="3" s="1"/>
  <c r="U319" i="3" s="1"/>
  <c r="V319" i="3" s="1"/>
  <c r="W319" i="3" s="1"/>
  <c r="X319" i="3" s="1"/>
  <c r="Y319" i="3" s="1"/>
  <c r="Z319" i="3" s="1"/>
  <c r="AA319" i="3" s="1"/>
  <c r="AB319" i="3" s="1"/>
  <c r="AC319" i="3" s="1"/>
  <c r="AD319" i="3" s="1"/>
  <c r="AE319" i="3" s="1"/>
  <c r="AF319" i="3" s="1"/>
  <c r="C318" i="3"/>
  <c r="D318" i="3" s="1"/>
  <c r="E318" i="3" s="1"/>
  <c r="F318" i="3" s="1"/>
  <c r="G318" i="3" s="1"/>
  <c r="H318" i="3" s="1"/>
  <c r="I318" i="3" s="1"/>
  <c r="J318" i="3" s="1"/>
  <c r="K318" i="3" s="1"/>
  <c r="L318" i="3" s="1"/>
  <c r="M318" i="3" s="1"/>
  <c r="N318" i="3" s="1"/>
  <c r="O318" i="3" s="1"/>
  <c r="P318" i="3" s="1"/>
  <c r="Q318" i="3" s="1"/>
  <c r="R318" i="3" s="1"/>
  <c r="S318" i="3" s="1"/>
  <c r="T318" i="3" s="1"/>
  <c r="U318" i="3" s="1"/>
  <c r="V318" i="3" s="1"/>
  <c r="W318" i="3" s="1"/>
  <c r="X318" i="3" s="1"/>
  <c r="Y318" i="3" s="1"/>
  <c r="Z318" i="3" s="1"/>
  <c r="AA318" i="3" s="1"/>
  <c r="AB318" i="3" s="1"/>
  <c r="AC318" i="3" s="1"/>
  <c r="AD318" i="3" s="1"/>
  <c r="AE318" i="3" s="1"/>
  <c r="AF318" i="3" s="1"/>
  <c r="C317" i="3"/>
  <c r="D317" i="3" s="1"/>
  <c r="E317" i="3" s="1"/>
  <c r="F317" i="3" s="1"/>
  <c r="G317" i="3" s="1"/>
  <c r="H317" i="3" s="1"/>
  <c r="I317" i="3" s="1"/>
  <c r="J317" i="3" s="1"/>
  <c r="K317" i="3" s="1"/>
  <c r="L317" i="3" s="1"/>
  <c r="M317" i="3" s="1"/>
  <c r="N317" i="3" s="1"/>
  <c r="O317" i="3" s="1"/>
  <c r="P317" i="3" s="1"/>
  <c r="Q317" i="3" s="1"/>
  <c r="R317" i="3" s="1"/>
  <c r="S317" i="3" s="1"/>
  <c r="T317" i="3" s="1"/>
  <c r="U317" i="3" s="1"/>
  <c r="V317" i="3" s="1"/>
  <c r="W317" i="3" s="1"/>
  <c r="X317" i="3" s="1"/>
  <c r="Y317" i="3" s="1"/>
  <c r="Z317" i="3" s="1"/>
  <c r="AA317" i="3" s="1"/>
  <c r="AB317" i="3" s="1"/>
  <c r="AC317" i="3" s="1"/>
  <c r="AD317" i="3" s="1"/>
  <c r="AE317" i="3" s="1"/>
  <c r="AF317" i="3" s="1"/>
  <c r="C316" i="3"/>
  <c r="D316" i="3" s="1"/>
  <c r="E316" i="3" s="1"/>
  <c r="F316" i="3" s="1"/>
  <c r="G316" i="3" s="1"/>
  <c r="H316" i="3" s="1"/>
  <c r="I316" i="3" s="1"/>
  <c r="J316" i="3" s="1"/>
  <c r="K316" i="3" s="1"/>
  <c r="L316" i="3" s="1"/>
  <c r="M316" i="3" s="1"/>
  <c r="N316" i="3" s="1"/>
  <c r="O316" i="3" s="1"/>
  <c r="P316" i="3" s="1"/>
  <c r="Q316" i="3" s="1"/>
  <c r="R316" i="3" s="1"/>
  <c r="S316" i="3" s="1"/>
  <c r="T316" i="3" s="1"/>
  <c r="U316" i="3" s="1"/>
  <c r="V316" i="3" s="1"/>
  <c r="W316" i="3" s="1"/>
  <c r="X316" i="3" s="1"/>
  <c r="Y316" i="3" s="1"/>
  <c r="Z316" i="3" s="1"/>
  <c r="AA316" i="3" s="1"/>
  <c r="AB316" i="3" s="1"/>
  <c r="AC316" i="3" s="1"/>
  <c r="AD316" i="3" s="1"/>
  <c r="AE316" i="3" s="1"/>
  <c r="AF316" i="3" s="1"/>
  <c r="C315" i="3"/>
  <c r="D315" i="3" s="1"/>
  <c r="E315" i="3" s="1"/>
  <c r="F315" i="3" s="1"/>
  <c r="G315" i="3" s="1"/>
  <c r="H315" i="3" s="1"/>
  <c r="I315" i="3" s="1"/>
  <c r="J315" i="3" s="1"/>
  <c r="K315" i="3" s="1"/>
  <c r="L315" i="3" s="1"/>
  <c r="M315" i="3" s="1"/>
  <c r="N315" i="3" s="1"/>
  <c r="O315" i="3" s="1"/>
  <c r="P315" i="3" s="1"/>
  <c r="Q315" i="3" s="1"/>
  <c r="R315" i="3" s="1"/>
  <c r="S315" i="3" s="1"/>
  <c r="T315" i="3" s="1"/>
  <c r="U315" i="3" s="1"/>
  <c r="V315" i="3" s="1"/>
  <c r="W315" i="3" s="1"/>
  <c r="X315" i="3" s="1"/>
  <c r="Y315" i="3" s="1"/>
  <c r="Z315" i="3" s="1"/>
  <c r="AA315" i="3" s="1"/>
  <c r="AB315" i="3" s="1"/>
  <c r="AC315" i="3" s="1"/>
  <c r="AD315" i="3" s="1"/>
  <c r="AE315" i="3" s="1"/>
  <c r="AF315" i="3" s="1"/>
  <c r="C314" i="3"/>
  <c r="D314" i="3" s="1"/>
  <c r="E314" i="3" s="1"/>
  <c r="F314" i="3" s="1"/>
  <c r="G314" i="3" s="1"/>
  <c r="H314" i="3" s="1"/>
  <c r="I314" i="3" s="1"/>
  <c r="J314" i="3" s="1"/>
  <c r="K314" i="3" s="1"/>
  <c r="L314" i="3" s="1"/>
  <c r="M314" i="3" s="1"/>
  <c r="N314" i="3" s="1"/>
  <c r="O314" i="3" s="1"/>
  <c r="P314" i="3" s="1"/>
  <c r="Q314" i="3" s="1"/>
  <c r="R314" i="3" s="1"/>
  <c r="S314" i="3" s="1"/>
  <c r="T314" i="3" s="1"/>
  <c r="U314" i="3" s="1"/>
  <c r="V314" i="3" s="1"/>
  <c r="W314" i="3" s="1"/>
  <c r="X314" i="3" s="1"/>
  <c r="Y314" i="3" s="1"/>
  <c r="Z314" i="3" s="1"/>
  <c r="AA314" i="3" s="1"/>
  <c r="AB314" i="3" s="1"/>
  <c r="AC314" i="3" s="1"/>
  <c r="AD314" i="3" s="1"/>
  <c r="AE314" i="3" s="1"/>
  <c r="AF314" i="3" s="1"/>
  <c r="C313" i="3"/>
  <c r="D313" i="3" s="1"/>
  <c r="E313" i="3" s="1"/>
  <c r="F313" i="3" s="1"/>
  <c r="G313" i="3" s="1"/>
  <c r="H313" i="3" s="1"/>
  <c r="I313" i="3" s="1"/>
  <c r="J313" i="3" s="1"/>
  <c r="K313" i="3" s="1"/>
  <c r="L313" i="3" s="1"/>
  <c r="M313" i="3" s="1"/>
  <c r="N313" i="3" s="1"/>
  <c r="O313" i="3" s="1"/>
  <c r="P313" i="3" s="1"/>
  <c r="Q313" i="3" s="1"/>
  <c r="R313" i="3" s="1"/>
  <c r="S313" i="3" s="1"/>
  <c r="T313" i="3" s="1"/>
  <c r="U313" i="3" s="1"/>
  <c r="V313" i="3" s="1"/>
  <c r="W313" i="3" s="1"/>
  <c r="X313" i="3" s="1"/>
  <c r="Y313" i="3" s="1"/>
  <c r="Z313" i="3" s="1"/>
  <c r="AA313" i="3" s="1"/>
  <c r="AB313" i="3" s="1"/>
  <c r="AC313" i="3" s="1"/>
  <c r="AD313" i="3" s="1"/>
  <c r="AE313" i="3" s="1"/>
  <c r="AF313" i="3" s="1"/>
  <c r="C225" i="3"/>
  <c r="D225" i="3" s="1"/>
  <c r="E225" i="3" s="1"/>
  <c r="F225" i="3" s="1"/>
  <c r="G225" i="3" s="1"/>
  <c r="H225" i="3" s="1"/>
  <c r="I225" i="3" s="1"/>
  <c r="J225" i="3" s="1"/>
  <c r="K225" i="3" s="1"/>
  <c r="L225" i="3" s="1"/>
  <c r="M225" i="3" s="1"/>
  <c r="N225" i="3" s="1"/>
  <c r="O225" i="3" s="1"/>
  <c r="P225" i="3" s="1"/>
  <c r="Q225" i="3" s="1"/>
  <c r="R225" i="3" s="1"/>
  <c r="S225" i="3" s="1"/>
  <c r="T225" i="3" s="1"/>
  <c r="U225" i="3" s="1"/>
  <c r="V225" i="3" s="1"/>
  <c r="W225" i="3" s="1"/>
  <c r="X225" i="3" s="1"/>
  <c r="Y225" i="3" s="1"/>
  <c r="Z225" i="3" s="1"/>
  <c r="AA225" i="3" s="1"/>
  <c r="AB225" i="3" s="1"/>
  <c r="AC225" i="3" s="1"/>
  <c r="AD225" i="3" s="1"/>
  <c r="AE225" i="3" s="1"/>
  <c r="AF225" i="3" s="1"/>
  <c r="C224" i="3"/>
  <c r="D224" i="3" s="1"/>
  <c r="E224" i="3" s="1"/>
  <c r="F224" i="3" s="1"/>
  <c r="G224" i="3" s="1"/>
  <c r="H224" i="3" s="1"/>
  <c r="I224" i="3" s="1"/>
  <c r="J224" i="3" s="1"/>
  <c r="K224" i="3" s="1"/>
  <c r="L224" i="3" s="1"/>
  <c r="M224" i="3" s="1"/>
  <c r="N224" i="3" s="1"/>
  <c r="O224" i="3" s="1"/>
  <c r="P224" i="3" s="1"/>
  <c r="Q224" i="3" s="1"/>
  <c r="R224" i="3" s="1"/>
  <c r="S224" i="3" s="1"/>
  <c r="T224" i="3" s="1"/>
  <c r="U224" i="3" s="1"/>
  <c r="V224" i="3" s="1"/>
  <c r="W224" i="3" s="1"/>
  <c r="X224" i="3" s="1"/>
  <c r="Y224" i="3" s="1"/>
  <c r="Z224" i="3" s="1"/>
  <c r="AA224" i="3" s="1"/>
  <c r="AB224" i="3" s="1"/>
  <c r="AC224" i="3" s="1"/>
  <c r="AD224" i="3" s="1"/>
  <c r="AE224" i="3" s="1"/>
  <c r="AF224" i="3" s="1"/>
  <c r="C223" i="3"/>
  <c r="D223" i="3" s="1"/>
  <c r="E223" i="3" s="1"/>
  <c r="F223" i="3" s="1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Q223" i="3" s="1"/>
  <c r="R223" i="3" s="1"/>
  <c r="S223" i="3" s="1"/>
  <c r="T223" i="3" s="1"/>
  <c r="U223" i="3" s="1"/>
  <c r="V223" i="3" s="1"/>
  <c r="W223" i="3" s="1"/>
  <c r="X223" i="3" s="1"/>
  <c r="Y223" i="3" s="1"/>
  <c r="Z223" i="3" s="1"/>
  <c r="AA223" i="3" s="1"/>
  <c r="AB223" i="3" s="1"/>
  <c r="AC223" i="3" s="1"/>
  <c r="AD223" i="3" s="1"/>
  <c r="AE223" i="3" s="1"/>
  <c r="AF223" i="3" s="1"/>
  <c r="C222" i="3"/>
  <c r="D222" i="3" s="1"/>
  <c r="E222" i="3" s="1"/>
  <c r="F222" i="3" s="1"/>
  <c r="G222" i="3" s="1"/>
  <c r="H222" i="3" s="1"/>
  <c r="I222" i="3" s="1"/>
  <c r="J222" i="3" s="1"/>
  <c r="K222" i="3" s="1"/>
  <c r="L222" i="3" s="1"/>
  <c r="M222" i="3" s="1"/>
  <c r="N222" i="3" s="1"/>
  <c r="O222" i="3" s="1"/>
  <c r="P222" i="3" s="1"/>
  <c r="Q222" i="3" s="1"/>
  <c r="R222" i="3" s="1"/>
  <c r="S222" i="3" s="1"/>
  <c r="T222" i="3" s="1"/>
  <c r="U222" i="3" s="1"/>
  <c r="V222" i="3" s="1"/>
  <c r="W222" i="3" s="1"/>
  <c r="X222" i="3" s="1"/>
  <c r="Y222" i="3" s="1"/>
  <c r="Z222" i="3" s="1"/>
  <c r="AA222" i="3" s="1"/>
  <c r="AB222" i="3" s="1"/>
  <c r="AC222" i="3" s="1"/>
  <c r="AD222" i="3" s="1"/>
  <c r="AE222" i="3" s="1"/>
  <c r="AF222" i="3" s="1"/>
  <c r="C221" i="3"/>
  <c r="D221" i="3" s="1"/>
  <c r="E221" i="3" s="1"/>
  <c r="F221" i="3" s="1"/>
  <c r="G221" i="3" s="1"/>
  <c r="H221" i="3" s="1"/>
  <c r="I221" i="3" s="1"/>
  <c r="J221" i="3" s="1"/>
  <c r="K221" i="3" s="1"/>
  <c r="L221" i="3" s="1"/>
  <c r="M221" i="3" s="1"/>
  <c r="N221" i="3" s="1"/>
  <c r="O221" i="3" s="1"/>
  <c r="P221" i="3" s="1"/>
  <c r="Q221" i="3" s="1"/>
  <c r="R221" i="3" s="1"/>
  <c r="S221" i="3" s="1"/>
  <c r="T221" i="3" s="1"/>
  <c r="U221" i="3" s="1"/>
  <c r="V221" i="3" s="1"/>
  <c r="W221" i="3" s="1"/>
  <c r="X221" i="3" s="1"/>
  <c r="Y221" i="3" s="1"/>
  <c r="Z221" i="3" s="1"/>
  <c r="AA221" i="3" s="1"/>
  <c r="AB221" i="3" s="1"/>
  <c r="AC221" i="3" s="1"/>
  <c r="AD221" i="3" s="1"/>
  <c r="AE221" i="3" s="1"/>
  <c r="AF221" i="3" s="1"/>
  <c r="C220" i="3"/>
  <c r="D220" i="3" s="1"/>
  <c r="E220" i="3" s="1"/>
  <c r="F220" i="3" s="1"/>
  <c r="G220" i="3" s="1"/>
  <c r="H220" i="3" s="1"/>
  <c r="I220" i="3" s="1"/>
  <c r="J220" i="3" s="1"/>
  <c r="K220" i="3" s="1"/>
  <c r="L220" i="3" s="1"/>
  <c r="M220" i="3" s="1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C219" i="3"/>
  <c r="D219" i="3" s="1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C218" i="3"/>
  <c r="D218" i="3" s="1"/>
  <c r="E218" i="3" s="1"/>
  <c r="F218" i="3" s="1"/>
  <c r="G218" i="3" s="1"/>
  <c r="H218" i="3" s="1"/>
  <c r="I218" i="3" s="1"/>
  <c r="J218" i="3" s="1"/>
  <c r="K218" i="3" s="1"/>
  <c r="L218" i="3" s="1"/>
  <c r="M218" i="3" s="1"/>
  <c r="N218" i="3" s="1"/>
  <c r="O218" i="3" s="1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C217" i="3"/>
  <c r="D217" i="3" s="1"/>
  <c r="E217" i="3" s="1"/>
  <c r="F217" i="3" s="1"/>
  <c r="G217" i="3" s="1"/>
  <c r="H217" i="3" s="1"/>
  <c r="I217" i="3" s="1"/>
  <c r="J217" i="3" s="1"/>
  <c r="K217" i="3" s="1"/>
  <c r="L217" i="3" s="1"/>
  <c r="M217" i="3" s="1"/>
  <c r="N217" i="3" s="1"/>
  <c r="O217" i="3" s="1"/>
  <c r="P217" i="3" s="1"/>
  <c r="Q217" i="3" s="1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C216" i="3"/>
  <c r="D216" i="3" s="1"/>
  <c r="E216" i="3" s="1"/>
  <c r="F216" i="3" s="1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AF216" i="3" s="1"/>
  <c r="C215" i="3"/>
  <c r="D215" i="3" s="1"/>
  <c r="E215" i="3" s="1"/>
  <c r="F215" i="3" s="1"/>
  <c r="G215" i="3" s="1"/>
  <c r="H215" i="3" s="1"/>
  <c r="I215" i="3" s="1"/>
  <c r="J215" i="3" s="1"/>
  <c r="K215" i="3" s="1"/>
  <c r="L215" i="3" s="1"/>
  <c r="M215" i="3" s="1"/>
  <c r="N215" i="3" s="1"/>
  <c r="O215" i="3" s="1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C214" i="3"/>
  <c r="D214" i="3" s="1"/>
  <c r="E214" i="3" s="1"/>
  <c r="F214" i="3" s="1"/>
  <c r="G214" i="3" s="1"/>
  <c r="H214" i="3" s="1"/>
  <c r="I214" i="3" s="1"/>
  <c r="J214" i="3" s="1"/>
  <c r="K214" i="3" s="1"/>
  <c r="L214" i="3" s="1"/>
  <c r="M214" i="3" s="1"/>
  <c r="N214" i="3" s="1"/>
  <c r="C213" i="3"/>
  <c r="D213" i="3" s="1"/>
  <c r="E213" i="3" s="1"/>
  <c r="F213" i="3" s="1"/>
  <c r="G213" i="3" s="1"/>
  <c r="H213" i="3" s="1"/>
  <c r="I213" i="3" s="1"/>
  <c r="J213" i="3" s="1"/>
  <c r="K213" i="3" s="1"/>
  <c r="L213" i="3" s="1"/>
  <c r="M213" i="3" s="1"/>
  <c r="N213" i="3" s="1"/>
  <c r="O213" i="3" s="1"/>
  <c r="P213" i="3" s="1"/>
  <c r="Q213" i="3" s="1"/>
  <c r="R213" i="3" s="1"/>
  <c r="S213" i="3" s="1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AF213" i="3" s="1"/>
  <c r="E212" i="3"/>
  <c r="F212" i="3" s="1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C212" i="3"/>
  <c r="D212" i="3" s="1"/>
  <c r="C211" i="3"/>
  <c r="D211" i="3" s="1"/>
  <c r="E211" i="3" s="1"/>
  <c r="F211" i="3" s="1"/>
  <c r="G211" i="3" s="1"/>
  <c r="H211" i="3" s="1"/>
  <c r="I211" i="3" s="1"/>
  <c r="J211" i="3" s="1"/>
  <c r="K211" i="3" s="1"/>
  <c r="L211" i="3" s="1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C210" i="3"/>
  <c r="D210" i="3" s="1"/>
  <c r="E210" i="3" s="1"/>
  <c r="F210" i="3" s="1"/>
  <c r="G210" i="3" s="1"/>
  <c r="H210" i="3" s="1"/>
  <c r="I210" i="3" s="1"/>
  <c r="J210" i="3" s="1"/>
  <c r="K210" i="3" s="1"/>
  <c r="L210" i="3" s="1"/>
  <c r="M210" i="3" s="1"/>
  <c r="N210" i="3" s="1"/>
  <c r="O210" i="3" s="1"/>
  <c r="P210" i="3" s="1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C209" i="3"/>
  <c r="D209" i="3" s="1"/>
  <c r="E209" i="3" s="1"/>
  <c r="F209" i="3" s="1"/>
  <c r="G209" i="3" s="1"/>
  <c r="H209" i="3" s="1"/>
  <c r="I209" i="3" s="1"/>
  <c r="J209" i="3" s="1"/>
  <c r="K209" i="3" s="1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C208" i="3"/>
  <c r="D208" i="3" s="1"/>
  <c r="E208" i="3" s="1"/>
  <c r="F208" i="3" s="1"/>
  <c r="G208" i="3" s="1"/>
  <c r="H208" i="3" s="1"/>
  <c r="I208" i="3" s="1"/>
  <c r="J208" i="3" s="1"/>
  <c r="K208" i="3" s="1"/>
  <c r="L208" i="3" s="1"/>
  <c r="M208" i="3" s="1"/>
  <c r="N208" i="3" s="1"/>
  <c r="O208" i="3" s="1"/>
  <c r="P208" i="3" s="1"/>
  <c r="Q208" i="3" s="1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C207" i="3"/>
  <c r="D207" i="3" s="1"/>
  <c r="E207" i="3" s="1"/>
  <c r="F207" i="3" s="1"/>
  <c r="G207" i="3" s="1"/>
  <c r="H207" i="3" s="1"/>
  <c r="I207" i="3" s="1"/>
  <c r="J207" i="3" s="1"/>
  <c r="K207" i="3" s="1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C206" i="3"/>
  <c r="D206" i="3" s="1"/>
  <c r="E206" i="3" s="1"/>
  <c r="F206" i="3" s="1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X206" i="3" s="1"/>
  <c r="Y206" i="3" s="1"/>
  <c r="Z206" i="3" s="1"/>
  <c r="AA206" i="3" s="1"/>
  <c r="AB206" i="3" s="1"/>
  <c r="AC206" i="3" s="1"/>
  <c r="AD206" i="3" s="1"/>
  <c r="AE206" i="3" s="1"/>
  <c r="AF206" i="3" s="1"/>
  <c r="C205" i="3"/>
  <c r="D205" i="3" s="1"/>
  <c r="E205" i="3" s="1"/>
  <c r="F205" i="3" s="1"/>
  <c r="G205" i="3" s="1"/>
  <c r="H205" i="3" s="1"/>
  <c r="I205" i="3" s="1"/>
  <c r="J205" i="3" s="1"/>
  <c r="K205" i="3" s="1"/>
  <c r="L205" i="3" s="1"/>
  <c r="M205" i="3" s="1"/>
  <c r="N205" i="3" s="1"/>
  <c r="O205" i="3" s="1"/>
  <c r="P205" i="3" s="1"/>
  <c r="Q205" i="3" s="1"/>
  <c r="R205" i="3" s="1"/>
  <c r="S205" i="3" s="1"/>
  <c r="T205" i="3" s="1"/>
  <c r="U205" i="3" s="1"/>
  <c r="V205" i="3" s="1"/>
  <c r="W205" i="3" s="1"/>
  <c r="X205" i="3" s="1"/>
  <c r="Y205" i="3" s="1"/>
  <c r="Z205" i="3" s="1"/>
  <c r="AA205" i="3" s="1"/>
  <c r="AB205" i="3" s="1"/>
  <c r="AC205" i="3" s="1"/>
  <c r="AD205" i="3" s="1"/>
  <c r="AE205" i="3" s="1"/>
  <c r="AF205" i="3" s="1"/>
  <c r="C204" i="3"/>
  <c r="C203" i="3"/>
  <c r="D203" i="3" s="1"/>
  <c r="E203" i="3" s="1"/>
  <c r="F203" i="3" s="1"/>
  <c r="G203" i="3" s="1"/>
  <c r="H203" i="3" s="1"/>
  <c r="I203" i="3" s="1"/>
  <c r="J203" i="3" s="1"/>
  <c r="K203" i="3" s="1"/>
  <c r="L203" i="3" s="1"/>
  <c r="M203" i="3" s="1"/>
  <c r="N203" i="3" s="1"/>
  <c r="O203" i="3" s="1"/>
  <c r="P203" i="3" s="1"/>
  <c r="Q203" i="3" s="1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C202" i="3"/>
  <c r="D202" i="3" s="1"/>
  <c r="E202" i="3" s="1"/>
  <c r="F202" i="3" s="1"/>
  <c r="G202" i="3" s="1"/>
  <c r="H202" i="3" s="1"/>
  <c r="I202" i="3" s="1"/>
  <c r="J202" i="3" s="1"/>
  <c r="K202" i="3" s="1"/>
  <c r="L202" i="3" s="1"/>
  <c r="M202" i="3" s="1"/>
  <c r="N202" i="3" s="1"/>
  <c r="O202" i="3" s="1"/>
  <c r="P202" i="3" s="1"/>
  <c r="Q202" i="3" s="1"/>
  <c r="R202" i="3" s="1"/>
  <c r="S202" i="3" s="1"/>
  <c r="T202" i="3" s="1"/>
  <c r="U202" i="3" s="1"/>
  <c r="V202" i="3" s="1"/>
  <c r="W202" i="3" s="1"/>
  <c r="X202" i="3" s="1"/>
  <c r="Y202" i="3" s="1"/>
  <c r="Z202" i="3" s="1"/>
  <c r="AA202" i="3" s="1"/>
  <c r="AB202" i="3" s="1"/>
  <c r="AC202" i="3" s="1"/>
  <c r="AD202" i="3" s="1"/>
  <c r="AE202" i="3" s="1"/>
  <c r="AF202" i="3" s="1"/>
  <c r="D201" i="3"/>
  <c r="E201" i="3" s="1"/>
  <c r="F201" i="3" s="1"/>
  <c r="G201" i="3" s="1"/>
  <c r="H201" i="3" s="1"/>
  <c r="I201" i="3" s="1"/>
  <c r="J201" i="3" s="1"/>
  <c r="K201" i="3" s="1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C201" i="3"/>
  <c r="C200" i="3"/>
  <c r="D200" i="3" s="1"/>
  <c r="E200" i="3" s="1"/>
  <c r="F200" i="3" s="1"/>
  <c r="G200" i="3" s="1"/>
  <c r="H200" i="3" s="1"/>
  <c r="I200" i="3" s="1"/>
  <c r="J200" i="3" s="1"/>
  <c r="K200" i="3" s="1"/>
  <c r="L200" i="3" s="1"/>
  <c r="M200" i="3" s="1"/>
  <c r="N200" i="3" s="1"/>
  <c r="O200" i="3" s="1"/>
  <c r="P200" i="3" s="1"/>
  <c r="Q200" i="3" s="1"/>
  <c r="R200" i="3" s="1"/>
  <c r="S200" i="3" s="1"/>
  <c r="T200" i="3" s="1"/>
  <c r="U200" i="3" s="1"/>
  <c r="V200" i="3" s="1"/>
  <c r="W200" i="3" s="1"/>
  <c r="X200" i="3" s="1"/>
  <c r="Y200" i="3" s="1"/>
  <c r="Z200" i="3" s="1"/>
  <c r="AA200" i="3" s="1"/>
  <c r="AB200" i="3" s="1"/>
  <c r="AC200" i="3" s="1"/>
  <c r="AD200" i="3" s="1"/>
  <c r="AE200" i="3" s="1"/>
  <c r="AF200" i="3" s="1"/>
  <c r="AH83" i="3"/>
  <c r="AI83" i="3"/>
  <c r="AH84" i="3"/>
  <c r="AI84" i="3"/>
  <c r="AH85" i="3"/>
  <c r="AI85" i="3"/>
  <c r="AH86" i="3"/>
  <c r="AI86" i="3"/>
  <c r="AH87" i="3"/>
  <c r="AI87" i="3"/>
  <c r="C180" i="3"/>
  <c r="D180" i="3" s="1"/>
  <c r="E180" i="3" s="1"/>
  <c r="F180" i="3" s="1"/>
  <c r="G180" i="3" s="1"/>
  <c r="H180" i="3" s="1"/>
  <c r="I180" i="3" s="1"/>
  <c r="J180" i="3" s="1"/>
  <c r="K180" i="3" s="1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C181" i="3"/>
  <c r="D181" i="3" s="1"/>
  <c r="E181" i="3" s="1"/>
  <c r="F181" i="3" s="1"/>
  <c r="G181" i="3" s="1"/>
  <c r="H181" i="3" s="1"/>
  <c r="I181" i="3" s="1"/>
  <c r="J181" i="3" s="1"/>
  <c r="K181" i="3" s="1"/>
  <c r="L181" i="3" s="1"/>
  <c r="M181" i="3" s="1"/>
  <c r="N181" i="3" s="1"/>
  <c r="O181" i="3" s="1"/>
  <c r="P181" i="3" s="1"/>
  <c r="C182" i="3"/>
  <c r="D182" i="3" s="1"/>
  <c r="E182" i="3" s="1"/>
  <c r="F182" i="3" s="1"/>
  <c r="G182" i="3" s="1"/>
  <c r="H182" i="3" s="1"/>
  <c r="I182" i="3" s="1"/>
  <c r="J182" i="3" s="1"/>
  <c r="K182" i="3" s="1"/>
  <c r="C183" i="3"/>
  <c r="D183" i="3" s="1"/>
  <c r="E183" i="3" s="1"/>
  <c r="F183" i="3" s="1"/>
  <c r="G183" i="3" s="1"/>
  <c r="H183" i="3" s="1"/>
  <c r="I183" i="3" s="1"/>
  <c r="J183" i="3" s="1"/>
  <c r="K183" i="3" s="1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C184" i="3"/>
  <c r="D184" i="3" s="1"/>
  <c r="C185" i="3"/>
  <c r="D185" i="3" s="1"/>
  <c r="E185" i="3" s="1"/>
  <c r="F185" i="3" s="1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C186" i="3"/>
  <c r="D186" i="3" s="1"/>
  <c r="E186" i="3" s="1"/>
  <c r="F186" i="3" s="1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C187" i="3"/>
  <c r="D187" i="3" s="1"/>
  <c r="E187" i="3" s="1"/>
  <c r="F187" i="3" s="1"/>
  <c r="G187" i="3" s="1"/>
  <c r="H187" i="3" s="1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C188" i="3"/>
  <c r="D188" i="3" s="1"/>
  <c r="E188" i="3" s="1"/>
  <c r="F188" i="3" s="1"/>
  <c r="G188" i="3" s="1"/>
  <c r="H188" i="3" s="1"/>
  <c r="I188" i="3" s="1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C189" i="3"/>
  <c r="D189" i="3" s="1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C190" i="3"/>
  <c r="D190" i="3" s="1"/>
  <c r="E190" i="3" s="1"/>
  <c r="F190" i="3" s="1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C191" i="3"/>
  <c r="D191" i="3" s="1"/>
  <c r="E191" i="3" s="1"/>
  <c r="F191" i="3" s="1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C192" i="3"/>
  <c r="D192" i="3" s="1"/>
  <c r="E192" i="3" s="1"/>
  <c r="F192" i="3" s="1"/>
  <c r="G192" i="3" s="1"/>
  <c r="H192" i="3" s="1"/>
  <c r="I192" i="3" s="1"/>
  <c r="J192" i="3" s="1"/>
  <c r="K192" i="3" s="1"/>
  <c r="L192" i="3" s="1"/>
  <c r="M192" i="3" s="1"/>
  <c r="N192" i="3" s="1"/>
  <c r="O192" i="3" s="1"/>
  <c r="P192" i="3" s="1"/>
  <c r="Q192" i="3" s="1"/>
  <c r="R192" i="3" s="1"/>
  <c r="S192" i="3" s="1"/>
  <c r="T192" i="3" s="1"/>
  <c r="U192" i="3" s="1"/>
  <c r="V192" i="3" s="1"/>
  <c r="W192" i="3" s="1"/>
  <c r="X192" i="3" s="1"/>
  <c r="Y192" i="3" s="1"/>
  <c r="Z192" i="3" s="1"/>
  <c r="AA192" i="3" s="1"/>
  <c r="AB192" i="3" s="1"/>
  <c r="AC192" i="3" s="1"/>
  <c r="AD192" i="3" s="1"/>
  <c r="AE192" i="3" s="1"/>
  <c r="AF192" i="3" s="1"/>
  <c r="C193" i="3"/>
  <c r="D193" i="3" s="1"/>
  <c r="E193" i="3" s="1"/>
  <c r="F193" i="3" s="1"/>
  <c r="G193" i="3" s="1"/>
  <c r="H193" i="3" s="1"/>
  <c r="I193" i="3" s="1"/>
  <c r="J193" i="3" s="1"/>
  <c r="K193" i="3" s="1"/>
  <c r="L193" i="3" s="1"/>
  <c r="M193" i="3" s="1"/>
  <c r="N193" i="3" s="1"/>
  <c r="O193" i="3" s="1"/>
  <c r="P193" i="3" s="1"/>
  <c r="Q193" i="3" s="1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C194" i="3"/>
  <c r="D194" i="3" s="1"/>
  <c r="E194" i="3" s="1"/>
  <c r="F194" i="3" s="1"/>
  <c r="G194" i="3" s="1"/>
  <c r="H194" i="3" s="1"/>
  <c r="I194" i="3" s="1"/>
  <c r="J194" i="3" s="1"/>
  <c r="K194" i="3" s="1"/>
  <c r="L194" i="3" s="1"/>
  <c r="M194" i="3" s="1"/>
  <c r="N194" i="3" s="1"/>
  <c r="O194" i="3" s="1"/>
  <c r="P194" i="3" s="1"/>
  <c r="Q194" i="3" s="1"/>
  <c r="R194" i="3" s="1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C195" i="3"/>
  <c r="D195" i="3" s="1"/>
  <c r="E195" i="3" s="1"/>
  <c r="F195" i="3" s="1"/>
  <c r="G195" i="3" s="1"/>
  <c r="H195" i="3" s="1"/>
  <c r="I195" i="3" s="1"/>
  <c r="J195" i="3" s="1"/>
  <c r="K195" i="3" s="1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C196" i="3"/>
  <c r="D196" i="3" s="1"/>
  <c r="E196" i="3" s="1"/>
  <c r="F196" i="3" s="1"/>
  <c r="G196" i="3" s="1"/>
  <c r="H196" i="3" s="1"/>
  <c r="I196" i="3" s="1"/>
  <c r="J196" i="3" s="1"/>
  <c r="K196" i="3" s="1"/>
  <c r="L196" i="3" s="1"/>
  <c r="M196" i="3" s="1"/>
  <c r="N196" i="3" s="1"/>
  <c r="O196" i="3" s="1"/>
  <c r="P196" i="3" s="1"/>
  <c r="Q196" i="3" s="1"/>
  <c r="R196" i="3" s="1"/>
  <c r="S196" i="3" s="1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C197" i="3"/>
  <c r="D197" i="3" s="1"/>
  <c r="E197" i="3" s="1"/>
  <c r="F197" i="3" s="1"/>
  <c r="G197" i="3" s="1"/>
  <c r="H197" i="3" s="1"/>
  <c r="I197" i="3" s="1"/>
  <c r="J197" i="3" s="1"/>
  <c r="K197" i="3" s="1"/>
  <c r="L197" i="3" s="1"/>
  <c r="M197" i="3" s="1"/>
  <c r="N197" i="3" s="1"/>
  <c r="O197" i="3" s="1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C198" i="3"/>
  <c r="D198" i="3" s="1"/>
  <c r="E198" i="3" s="1"/>
  <c r="F198" i="3" s="1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C199" i="3"/>
  <c r="D199" i="3" s="1"/>
  <c r="E199" i="3" s="1"/>
  <c r="F199" i="3" s="1"/>
  <c r="G199" i="3" s="1"/>
  <c r="H199" i="3" s="1"/>
  <c r="I199" i="3" s="1"/>
  <c r="J199" i="3" s="1"/>
  <c r="K199" i="3" s="1"/>
  <c r="L199" i="3" s="1"/>
  <c r="M199" i="3" s="1"/>
  <c r="N199" i="3" s="1"/>
  <c r="O199" i="3" s="1"/>
  <c r="P199" i="3" s="1"/>
  <c r="Q199" i="3" s="1"/>
  <c r="R199" i="3" s="1"/>
  <c r="S199" i="3" s="1"/>
  <c r="T199" i="3" s="1"/>
  <c r="U199" i="3" s="1"/>
  <c r="V199" i="3" s="1"/>
  <c r="W199" i="3" s="1"/>
  <c r="X199" i="3" s="1"/>
  <c r="Y199" i="3" s="1"/>
  <c r="Z199" i="3" s="1"/>
  <c r="AA199" i="3" s="1"/>
  <c r="AB199" i="3" s="1"/>
  <c r="AC199" i="3" s="1"/>
  <c r="AD199" i="3" s="1"/>
  <c r="AE199" i="3" s="1"/>
  <c r="AF199" i="3" s="1"/>
  <c r="C226" i="3"/>
  <c r="C227" i="3"/>
  <c r="D227" i="3" s="1"/>
  <c r="E227" i="3" s="1"/>
  <c r="F227" i="3" s="1"/>
  <c r="G227" i="3" s="1"/>
  <c r="H227" i="3" s="1"/>
  <c r="I227" i="3" s="1"/>
  <c r="J227" i="3" s="1"/>
  <c r="K227" i="3" s="1"/>
  <c r="L227" i="3" s="1"/>
  <c r="M227" i="3" s="1"/>
  <c r="N227" i="3" s="1"/>
  <c r="O227" i="3" s="1"/>
  <c r="P227" i="3" s="1"/>
  <c r="Q227" i="3" s="1"/>
  <c r="R227" i="3" s="1"/>
  <c r="S227" i="3" s="1"/>
  <c r="T227" i="3" s="1"/>
  <c r="U227" i="3" s="1"/>
  <c r="V227" i="3" s="1"/>
  <c r="W227" i="3" s="1"/>
  <c r="X227" i="3" s="1"/>
  <c r="Y227" i="3" s="1"/>
  <c r="Z227" i="3" s="1"/>
  <c r="AA227" i="3" s="1"/>
  <c r="AB227" i="3" s="1"/>
  <c r="AC227" i="3" s="1"/>
  <c r="AD227" i="3" s="1"/>
  <c r="AE227" i="3" s="1"/>
  <c r="AF227" i="3" s="1"/>
  <c r="C228" i="3"/>
  <c r="D228" i="3" s="1"/>
  <c r="E228" i="3" s="1"/>
  <c r="F228" i="3" s="1"/>
  <c r="G228" i="3" s="1"/>
  <c r="H228" i="3" s="1"/>
  <c r="I228" i="3" s="1"/>
  <c r="J228" i="3" s="1"/>
  <c r="K228" i="3" s="1"/>
  <c r="L228" i="3" s="1"/>
  <c r="M228" i="3" s="1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C229" i="3"/>
  <c r="D229" i="3" s="1"/>
  <c r="E229" i="3" s="1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C230" i="3"/>
  <c r="D230" i="3" s="1"/>
  <c r="E230" i="3" s="1"/>
  <c r="F230" i="3" s="1"/>
  <c r="G230" i="3" s="1"/>
  <c r="H230" i="3" s="1"/>
  <c r="I230" i="3" s="1"/>
  <c r="J230" i="3" s="1"/>
  <c r="K230" i="3" s="1"/>
  <c r="L230" i="3" s="1"/>
  <c r="M230" i="3" s="1"/>
  <c r="N230" i="3" s="1"/>
  <c r="O230" i="3" s="1"/>
  <c r="P230" i="3" s="1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C231" i="3"/>
  <c r="D231" i="3" s="1"/>
  <c r="E231" i="3" s="1"/>
  <c r="F231" i="3" s="1"/>
  <c r="G231" i="3" s="1"/>
  <c r="H231" i="3" s="1"/>
  <c r="I231" i="3" s="1"/>
  <c r="J231" i="3" s="1"/>
  <c r="K231" i="3" s="1"/>
  <c r="L231" i="3" s="1"/>
  <c r="M231" i="3" s="1"/>
  <c r="N231" i="3" s="1"/>
  <c r="O231" i="3" s="1"/>
  <c r="P231" i="3" s="1"/>
  <c r="Q231" i="3" s="1"/>
  <c r="R231" i="3" s="1"/>
  <c r="S231" i="3" s="1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C232" i="3"/>
  <c r="D232" i="3" s="1"/>
  <c r="E232" i="3" s="1"/>
  <c r="F232" i="3" s="1"/>
  <c r="G232" i="3" s="1"/>
  <c r="H232" i="3" s="1"/>
  <c r="I232" i="3" s="1"/>
  <c r="J232" i="3" s="1"/>
  <c r="K232" i="3" s="1"/>
  <c r="L232" i="3" s="1"/>
  <c r="M232" i="3" s="1"/>
  <c r="N232" i="3" s="1"/>
  <c r="O232" i="3" s="1"/>
  <c r="P232" i="3" s="1"/>
  <c r="Q232" i="3" s="1"/>
  <c r="R232" i="3" s="1"/>
  <c r="S232" i="3" s="1"/>
  <c r="T232" i="3" s="1"/>
  <c r="U232" i="3" s="1"/>
  <c r="V232" i="3" s="1"/>
  <c r="W232" i="3" s="1"/>
  <c r="X232" i="3" s="1"/>
  <c r="Y232" i="3" s="1"/>
  <c r="Z232" i="3" s="1"/>
  <c r="AA232" i="3" s="1"/>
  <c r="AB232" i="3" s="1"/>
  <c r="AC232" i="3" s="1"/>
  <c r="AD232" i="3" s="1"/>
  <c r="AE232" i="3" s="1"/>
  <c r="AF232" i="3" s="1"/>
  <c r="C233" i="3"/>
  <c r="D233" i="3" s="1"/>
  <c r="E233" i="3" s="1"/>
  <c r="F233" i="3" s="1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AF233" i="3" s="1"/>
  <c r="C234" i="3"/>
  <c r="D234" i="3" s="1"/>
  <c r="E234" i="3" s="1"/>
  <c r="F234" i="3" s="1"/>
  <c r="G234" i="3" s="1"/>
  <c r="H234" i="3" s="1"/>
  <c r="I234" i="3" s="1"/>
  <c r="J234" i="3" s="1"/>
  <c r="K234" i="3" s="1"/>
  <c r="L234" i="3" s="1"/>
  <c r="M234" i="3" s="1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Y234" i="3" s="1"/>
  <c r="Z234" i="3" s="1"/>
  <c r="AA234" i="3" s="1"/>
  <c r="AB234" i="3" s="1"/>
  <c r="AC234" i="3" s="1"/>
  <c r="AD234" i="3" s="1"/>
  <c r="AE234" i="3" s="1"/>
  <c r="AF234" i="3" s="1"/>
  <c r="C235" i="3"/>
  <c r="D235" i="3" s="1"/>
  <c r="E235" i="3" s="1"/>
  <c r="F235" i="3" s="1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C236" i="3"/>
  <c r="D236" i="3" s="1"/>
  <c r="E236" i="3" s="1"/>
  <c r="F236" i="3" s="1"/>
  <c r="G236" i="3" s="1"/>
  <c r="H236" i="3" s="1"/>
  <c r="I236" i="3" s="1"/>
  <c r="J236" i="3" s="1"/>
  <c r="K236" i="3" s="1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AD236" i="3" s="1"/>
  <c r="AE236" i="3" s="1"/>
  <c r="AF236" i="3" s="1"/>
  <c r="C237" i="3"/>
  <c r="D237" i="3" s="1"/>
  <c r="E237" i="3" s="1"/>
  <c r="F237" i="3" s="1"/>
  <c r="G237" i="3" s="1"/>
  <c r="H237" i="3" s="1"/>
  <c r="I237" i="3" s="1"/>
  <c r="J237" i="3" s="1"/>
  <c r="K237" i="3" s="1"/>
  <c r="L237" i="3" s="1"/>
  <c r="M237" i="3" s="1"/>
  <c r="N237" i="3" s="1"/>
  <c r="O237" i="3" s="1"/>
  <c r="P237" i="3" s="1"/>
  <c r="Q237" i="3" s="1"/>
  <c r="R237" i="3" s="1"/>
  <c r="S237" i="3" s="1"/>
  <c r="T237" i="3" s="1"/>
  <c r="U237" i="3" s="1"/>
  <c r="V237" i="3" s="1"/>
  <c r="W237" i="3" s="1"/>
  <c r="X237" i="3" s="1"/>
  <c r="Y237" i="3" s="1"/>
  <c r="Z237" i="3" s="1"/>
  <c r="AA237" i="3" s="1"/>
  <c r="AB237" i="3" s="1"/>
  <c r="AC237" i="3" s="1"/>
  <c r="AD237" i="3" s="1"/>
  <c r="AE237" i="3" s="1"/>
  <c r="AF237" i="3" s="1"/>
  <c r="C238" i="3"/>
  <c r="D238" i="3" s="1"/>
  <c r="E238" i="3" s="1"/>
  <c r="F238" i="3" s="1"/>
  <c r="G238" i="3" s="1"/>
  <c r="H238" i="3" s="1"/>
  <c r="I238" i="3" s="1"/>
  <c r="J238" i="3" s="1"/>
  <c r="K238" i="3" s="1"/>
  <c r="L238" i="3" s="1"/>
  <c r="M238" i="3" s="1"/>
  <c r="N238" i="3" s="1"/>
  <c r="O238" i="3" s="1"/>
  <c r="P238" i="3" s="1"/>
  <c r="Q238" i="3" s="1"/>
  <c r="R238" i="3" s="1"/>
  <c r="S238" i="3" s="1"/>
  <c r="T238" i="3" s="1"/>
  <c r="U238" i="3" s="1"/>
  <c r="V238" i="3" s="1"/>
  <c r="W238" i="3" s="1"/>
  <c r="X238" i="3" s="1"/>
  <c r="Y238" i="3" s="1"/>
  <c r="Z238" i="3" s="1"/>
  <c r="AA238" i="3" s="1"/>
  <c r="AB238" i="3" s="1"/>
  <c r="AC238" i="3" s="1"/>
  <c r="AD238" i="3" s="1"/>
  <c r="AE238" i="3" s="1"/>
  <c r="AF238" i="3" s="1"/>
  <c r="C239" i="3"/>
  <c r="D239" i="3" s="1"/>
  <c r="E239" i="3" s="1"/>
  <c r="F239" i="3" s="1"/>
  <c r="G239" i="3" s="1"/>
  <c r="H239" i="3" s="1"/>
  <c r="I239" i="3" s="1"/>
  <c r="J239" i="3" s="1"/>
  <c r="K239" i="3" s="1"/>
  <c r="L239" i="3" s="1"/>
  <c r="M239" i="3" s="1"/>
  <c r="N239" i="3" s="1"/>
  <c r="O239" i="3" s="1"/>
  <c r="P239" i="3" s="1"/>
  <c r="Q239" i="3" s="1"/>
  <c r="R239" i="3" s="1"/>
  <c r="S239" i="3" s="1"/>
  <c r="T239" i="3" s="1"/>
  <c r="U239" i="3" s="1"/>
  <c r="V239" i="3" s="1"/>
  <c r="W239" i="3" s="1"/>
  <c r="X239" i="3" s="1"/>
  <c r="Y239" i="3" s="1"/>
  <c r="Z239" i="3" s="1"/>
  <c r="AA239" i="3" s="1"/>
  <c r="AB239" i="3" s="1"/>
  <c r="AC239" i="3" s="1"/>
  <c r="AD239" i="3" s="1"/>
  <c r="AE239" i="3" s="1"/>
  <c r="AF239" i="3" s="1"/>
  <c r="C240" i="3"/>
  <c r="D240" i="3" s="1"/>
  <c r="E240" i="3" s="1"/>
  <c r="F240" i="3" s="1"/>
  <c r="G240" i="3" s="1"/>
  <c r="H240" i="3" s="1"/>
  <c r="I240" i="3" s="1"/>
  <c r="J240" i="3" s="1"/>
  <c r="K240" i="3" s="1"/>
  <c r="L240" i="3" s="1"/>
  <c r="M240" i="3" s="1"/>
  <c r="N240" i="3" s="1"/>
  <c r="O240" i="3" s="1"/>
  <c r="P240" i="3" s="1"/>
  <c r="Q240" i="3" s="1"/>
  <c r="R240" i="3" s="1"/>
  <c r="S240" i="3" s="1"/>
  <c r="T240" i="3" s="1"/>
  <c r="U240" i="3" s="1"/>
  <c r="V240" i="3" s="1"/>
  <c r="W240" i="3" s="1"/>
  <c r="X240" i="3" s="1"/>
  <c r="Y240" i="3" s="1"/>
  <c r="Z240" i="3" s="1"/>
  <c r="AA240" i="3" s="1"/>
  <c r="AB240" i="3" s="1"/>
  <c r="AC240" i="3" s="1"/>
  <c r="AD240" i="3" s="1"/>
  <c r="AE240" i="3" s="1"/>
  <c r="AF240" i="3" s="1"/>
  <c r="C241" i="3"/>
  <c r="D241" i="3" s="1"/>
  <c r="E241" i="3" s="1"/>
  <c r="F241" i="3" s="1"/>
  <c r="G241" i="3" s="1"/>
  <c r="H241" i="3" s="1"/>
  <c r="I241" i="3" s="1"/>
  <c r="J241" i="3" s="1"/>
  <c r="K241" i="3" s="1"/>
  <c r="L241" i="3" s="1"/>
  <c r="M241" i="3" s="1"/>
  <c r="N241" i="3" s="1"/>
  <c r="O241" i="3" s="1"/>
  <c r="P241" i="3" s="1"/>
  <c r="Q241" i="3" s="1"/>
  <c r="R241" i="3" s="1"/>
  <c r="S241" i="3" s="1"/>
  <c r="T241" i="3" s="1"/>
  <c r="U241" i="3" s="1"/>
  <c r="V241" i="3" s="1"/>
  <c r="W241" i="3" s="1"/>
  <c r="X241" i="3" s="1"/>
  <c r="Y241" i="3" s="1"/>
  <c r="Z241" i="3" s="1"/>
  <c r="AA241" i="3" s="1"/>
  <c r="AB241" i="3" s="1"/>
  <c r="AC241" i="3" s="1"/>
  <c r="AD241" i="3" s="1"/>
  <c r="AE241" i="3" s="1"/>
  <c r="AF241" i="3" s="1"/>
  <c r="C242" i="3"/>
  <c r="D242" i="3" s="1"/>
  <c r="E242" i="3" s="1"/>
  <c r="F242" i="3" s="1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C243" i="3"/>
  <c r="D243" i="3" s="1"/>
  <c r="E243" i="3" s="1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C244" i="3"/>
  <c r="D244" i="3" s="1"/>
  <c r="E244" i="3" s="1"/>
  <c r="F244" i="3" s="1"/>
  <c r="G244" i="3" s="1"/>
  <c r="H244" i="3" s="1"/>
  <c r="I244" i="3" s="1"/>
  <c r="J244" i="3" s="1"/>
  <c r="K244" i="3" s="1"/>
  <c r="L244" i="3" s="1"/>
  <c r="M244" i="3" s="1"/>
  <c r="N244" i="3" s="1"/>
  <c r="O244" i="3" s="1"/>
  <c r="P244" i="3" s="1"/>
  <c r="Q244" i="3" s="1"/>
  <c r="R244" i="3" s="1"/>
  <c r="S244" i="3" s="1"/>
  <c r="T244" i="3" s="1"/>
  <c r="U244" i="3" s="1"/>
  <c r="V244" i="3" s="1"/>
  <c r="W244" i="3" s="1"/>
  <c r="X244" i="3" s="1"/>
  <c r="Y244" i="3" s="1"/>
  <c r="Z244" i="3" s="1"/>
  <c r="AA244" i="3" s="1"/>
  <c r="AB244" i="3" s="1"/>
  <c r="AC244" i="3" s="1"/>
  <c r="AD244" i="3" s="1"/>
  <c r="AE244" i="3" s="1"/>
  <c r="AF244" i="3" s="1"/>
  <c r="C245" i="3"/>
  <c r="D245" i="3" s="1"/>
  <c r="E245" i="3" s="1"/>
  <c r="F245" i="3" s="1"/>
  <c r="G245" i="3" s="1"/>
  <c r="H245" i="3" s="1"/>
  <c r="I245" i="3" s="1"/>
  <c r="J245" i="3" s="1"/>
  <c r="K245" i="3" s="1"/>
  <c r="L245" i="3" s="1"/>
  <c r="M245" i="3" s="1"/>
  <c r="N245" i="3" s="1"/>
  <c r="O245" i="3" s="1"/>
  <c r="P245" i="3" s="1"/>
  <c r="Q245" i="3" s="1"/>
  <c r="R245" i="3" s="1"/>
  <c r="S245" i="3" s="1"/>
  <c r="T245" i="3" s="1"/>
  <c r="U245" i="3" s="1"/>
  <c r="V245" i="3" s="1"/>
  <c r="W245" i="3" s="1"/>
  <c r="X245" i="3" s="1"/>
  <c r="Y245" i="3" s="1"/>
  <c r="Z245" i="3" s="1"/>
  <c r="AA245" i="3" s="1"/>
  <c r="AB245" i="3" s="1"/>
  <c r="AC245" i="3" s="1"/>
  <c r="AD245" i="3" s="1"/>
  <c r="AE245" i="3" s="1"/>
  <c r="AF245" i="3" s="1"/>
  <c r="C246" i="3"/>
  <c r="D246" i="3" s="1"/>
  <c r="E246" i="3" s="1"/>
  <c r="F246" i="3" s="1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Q246" i="3" s="1"/>
  <c r="R246" i="3" s="1"/>
  <c r="S246" i="3" s="1"/>
  <c r="T246" i="3" s="1"/>
  <c r="U246" i="3" s="1"/>
  <c r="V246" i="3" s="1"/>
  <c r="W246" i="3" s="1"/>
  <c r="X246" i="3" s="1"/>
  <c r="Y246" i="3" s="1"/>
  <c r="Z246" i="3" s="1"/>
  <c r="AA246" i="3" s="1"/>
  <c r="AB246" i="3" s="1"/>
  <c r="AC246" i="3" s="1"/>
  <c r="AD246" i="3" s="1"/>
  <c r="AE246" i="3" s="1"/>
  <c r="AF246" i="3" s="1"/>
  <c r="C247" i="3"/>
  <c r="D247" i="3" s="1"/>
  <c r="E247" i="3" s="1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C248" i="3"/>
  <c r="D248" i="3" s="1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C249" i="3"/>
  <c r="D249" i="3" s="1"/>
  <c r="E249" i="3" s="1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C250" i="3"/>
  <c r="D250" i="3" s="1"/>
  <c r="E250" i="3" s="1"/>
  <c r="F250" i="3" s="1"/>
  <c r="G250" i="3" s="1"/>
  <c r="H250" i="3" s="1"/>
  <c r="I250" i="3" s="1"/>
  <c r="J250" i="3" s="1"/>
  <c r="K250" i="3" s="1"/>
  <c r="L250" i="3" s="1"/>
  <c r="M250" i="3" s="1"/>
  <c r="N250" i="3" s="1"/>
  <c r="O250" i="3" s="1"/>
  <c r="P250" i="3" s="1"/>
  <c r="Q250" i="3" s="1"/>
  <c r="R250" i="3" s="1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C251" i="3"/>
  <c r="D251" i="3" s="1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C252" i="3"/>
  <c r="D252" i="3" s="1"/>
  <c r="E252" i="3" s="1"/>
  <c r="F252" i="3" s="1"/>
  <c r="G252" i="3" s="1"/>
  <c r="H252" i="3" s="1"/>
  <c r="I252" i="3" s="1"/>
  <c r="J252" i="3" s="1"/>
  <c r="K252" i="3" s="1"/>
  <c r="L252" i="3" s="1"/>
  <c r="M252" i="3" s="1"/>
  <c r="N252" i="3" s="1"/>
  <c r="O252" i="3" s="1"/>
  <c r="P252" i="3" s="1"/>
  <c r="Q252" i="3" s="1"/>
  <c r="R252" i="3" s="1"/>
  <c r="S252" i="3" s="1"/>
  <c r="T252" i="3" s="1"/>
  <c r="U252" i="3" s="1"/>
  <c r="V252" i="3" s="1"/>
  <c r="W252" i="3" s="1"/>
  <c r="X252" i="3" s="1"/>
  <c r="Y252" i="3" s="1"/>
  <c r="Z252" i="3" s="1"/>
  <c r="AA252" i="3" s="1"/>
  <c r="AB252" i="3" s="1"/>
  <c r="AC252" i="3" s="1"/>
  <c r="AD252" i="3" s="1"/>
  <c r="AE252" i="3" s="1"/>
  <c r="AF252" i="3" s="1"/>
  <c r="C253" i="3"/>
  <c r="D253" i="3" s="1"/>
  <c r="E253" i="3" s="1"/>
  <c r="F253" i="3" s="1"/>
  <c r="G253" i="3" s="1"/>
  <c r="H253" i="3" s="1"/>
  <c r="I253" i="3" s="1"/>
  <c r="J253" i="3" s="1"/>
  <c r="K253" i="3" s="1"/>
  <c r="L253" i="3" s="1"/>
  <c r="M253" i="3" s="1"/>
  <c r="N253" i="3" s="1"/>
  <c r="O253" i="3" s="1"/>
  <c r="P253" i="3" s="1"/>
  <c r="Q253" i="3" s="1"/>
  <c r="R253" i="3" s="1"/>
  <c r="S253" i="3" s="1"/>
  <c r="T253" i="3" s="1"/>
  <c r="U253" i="3" s="1"/>
  <c r="V253" i="3" s="1"/>
  <c r="W253" i="3" s="1"/>
  <c r="X253" i="3" s="1"/>
  <c r="Y253" i="3" s="1"/>
  <c r="Z253" i="3" s="1"/>
  <c r="AA253" i="3" s="1"/>
  <c r="AB253" i="3" s="1"/>
  <c r="AC253" i="3" s="1"/>
  <c r="AD253" i="3" s="1"/>
  <c r="AE253" i="3" s="1"/>
  <c r="AF253" i="3" s="1"/>
  <c r="C254" i="3"/>
  <c r="D254" i="3" s="1"/>
  <c r="E254" i="3" s="1"/>
  <c r="F254" i="3" s="1"/>
  <c r="G254" i="3" s="1"/>
  <c r="H254" i="3" s="1"/>
  <c r="I254" i="3" s="1"/>
  <c r="J254" i="3" s="1"/>
  <c r="K254" i="3" s="1"/>
  <c r="L254" i="3" s="1"/>
  <c r="M254" i="3" s="1"/>
  <c r="N254" i="3" s="1"/>
  <c r="O254" i="3" s="1"/>
  <c r="P254" i="3" s="1"/>
  <c r="Q254" i="3" s="1"/>
  <c r="R254" i="3" s="1"/>
  <c r="S254" i="3" s="1"/>
  <c r="T254" i="3" s="1"/>
  <c r="U254" i="3" s="1"/>
  <c r="V254" i="3" s="1"/>
  <c r="W254" i="3" s="1"/>
  <c r="X254" i="3" s="1"/>
  <c r="Y254" i="3" s="1"/>
  <c r="Z254" i="3" s="1"/>
  <c r="AA254" i="3" s="1"/>
  <c r="AB254" i="3" s="1"/>
  <c r="AC254" i="3" s="1"/>
  <c r="AD254" i="3" s="1"/>
  <c r="AE254" i="3" s="1"/>
  <c r="AF254" i="3" s="1"/>
  <c r="C255" i="3"/>
  <c r="D255" i="3" s="1"/>
  <c r="E255" i="3" s="1"/>
  <c r="F255" i="3" s="1"/>
  <c r="G255" i="3" s="1"/>
  <c r="H255" i="3" s="1"/>
  <c r="I255" i="3" s="1"/>
  <c r="J255" i="3" s="1"/>
  <c r="K255" i="3" s="1"/>
  <c r="L255" i="3" s="1"/>
  <c r="M255" i="3" s="1"/>
  <c r="N255" i="3" s="1"/>
  <c r="O255" i="3" s="1"/>
  <c r="P255" i="3" s="1"/>
  <c r="Q255" i="3" s="1"/>
  <c r="R255" i="3"/>
  <c r="S255" i="3" s="1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C256" i="3"/>
  <c r="D256" i="3" s="1"/>
  <c r="E256" i="3" s="1"/>
  <c r="F256" i="3" s="1"/>
  <c r="G256" i="3" s="1"/>
  <c r="H256" i="3" s="1"/>
  <c r="I256" i="3" s="1"/>
  <c r="J256" i="3" s="1"/>
  <c r="K256" i="3" s="1"/>
  <c r="L256" i="3" s="1"/>
  <c r="M256" i="3" s="1"/>
  <c r="N256" i="3" s="1"/>
  <c r="O256" i="3" s="1"/>
  <c r="P256" i="3" s="1"/>
  <c r="Q256" i="3" s="1"/>
  <c r="R256" i="3" s="1"/>
  <c r="S256" i="3" s="1"/>
  <c r="T256" i="3" s="1"/>
  <c r="U256" i="3" s="1"/>
  <c r="V256" i="3" s="1"/>
  <c r="W256" i="3" s="1"/>
  <c r="X256" i="3" s="1"/>
  <c r="Y256" i="3" s="1"/>
  <c r="Z256" i="3" s="1"/>
  <c r="AA256" i="3" s="1"/>
  <c r="AB256" i="3" s="1"/>
  <c r="AC256" i="3" s="1"/>
  <c r="AD256" i="3" s="1"/>
  <c r="AE256" i="3" s="1"/>
  <c r="AF256" i="3" s="1"/>
  <c r="C257" i="3"/>
  <c r="D257" i="3" s="1"/>
  <c r="E257" i="3" s="1"/>
  <c r="F257" i="3" s="1"/>
  <c r="G257" i="3" s="1"/>
  <c r="H257" i="3" s="1"/>
  <c r="I257" i="3" s="1"/>
  <c r="J257" i="3" s="1"/>
  <c r="K257" i="3" s="1"/>
  <c r="L257" i="3" s="1"/>
  <c r="M257" i="3" s="1"/>
  <c r="N257" i="3" s="1"/>
  <c r="O257" i="3" s="1"/>
  <c r="P257" i="3" s="1"/>
  <c r="Q257" i="3" s="1"/>
  <c r="R257" i="3" s="1"/>
  <c r="S257" i="3" s="1"/>
  <c r="T257" i="3" s="1"/>
  <c r="U257" i="3" s="1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C258" i="3"/>
  <c r="D258" i="3"/>
  <c r="E258" i="3" s="1"/>
  <c r="F258" i="3" s="1"/>
  <c r="G258" i="3" s="1"/>
  <c r="H258" i="3" s="1"/>
  <c r="I258" i="3" s="1"/>
  <c r="J258" i="3" s="1"/>
  <c r="K258" i="3" s="1"/>
  <c r="L258" i="3" s="1"/>
  <c r="M258" i="3" s="1"/>
  <c r="N258" i="3" s="1"/>
  <c r="O258" i="3" s="1"/>
  <c r="P258" i="3" s="1"/>
  <c r="Q258" i="3" s="1"/>
  <c r="R258" i="3" s="1"/>
  <c r="S258" i="3" s="1"/>
  <c r="T258" i="3" s="1"/>
  <c r="U258" i="3" s="1"/>
  <c r="V258" i="3" s="1"/>
  <c r="W258" i="3" s="1"/>
  <c r="X258" i="3" s="1"/>
  <c r="Y258" i="3" s="1"/>
  <c r="Z258" i="3" s="1"/>
  <c r="AA258" i="3" s="1"/>
  <c r="AB258" i="3" s="1"/>
  <c r="AC258" i="3" s="1"/>
  <c r="AD258" i="3" s="1"/>
  <c r="AE258" i="3" s="1"/>
  <c r="AF258" i="3" s="1"/>
  <c r="C259" i="3"/>
  <c r="D259" i="3" s="1"/>
  <c r="E259" i="3" s="1"/>
  <c r="F259" i="3" s="1"/>
  <c r="G259" i="3" s="1"/>
  <c r="H259" i="3" s="1"/>
  <c r="I259" i="3"/>
  <c r="J259" i="3" s="1"/>
  <c r="K259" i="3" s="1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C260" i="3"/>
  <c r="D260" i="3" s="1"/>
  <c r="E260" i="3" s="1"/>
  <c r="F260" i="3" s="1"/>
  <c r="G260" i="3" s="1"/>
  <c r="H260" i="3" s="1"/>
  <c r="I260" i="3" s="1"/>
  <c r="J260" i="3" s="1"/>
  <c r="K260" i="3" s="1"/>
  <c r="L260" i="3" s="1"/>
  <c r="M260" i="3" s="1"/>
  <c r="N260" i="3" s="1"/>
  <c r="O260" i="3" s="1"/>
  <c r="P260" i="3"/>
  <c r="Q260" i="3" s="1"/>
  <c r="R260" i="3" s="1"/>
  <c r="S260" i="3" s="1"/>
  <c r="T260" i="3" s="1"/>
  <c r="U260" i="3" s="1"/>
  <c r="V260" i="3" s="1"/>
  <c r="W260" i="3" s="1"/>
  <c r="X260" i="3" s="1"/>
  <c r="Y260" i="3" s="1"/>
  <c r="Z260" i="3" s="1"/>
  <c r="AA260" i="3" s="1"/>
  <c r="AB260" i="3" s="1"/>
  <c r="AC260" i="3" s="1"/>
  <c r="AD260" i="3" s="1"/>
  <c r="AE260" i="3" s="1"/>
  <c r="AF260" i="3" s="1"/>
  <c r="C261" i="3"/>
  <c r="D261" i="3" s="1"/>
  <c r="E261" i="3"/>
  <c r="F261" i="3" s="1"/>
  <c r="G261" i="3" s="1"/>
  <c r="H261" i="3" s="1"/>
  <c r="I261" i="3" s="1"/>
  <c r="J261" i="3" s="1"/>
  <c r="K261" i="3" s="1"/>
  <c r="L261" i="3" s="1"/>
  <c r="M261" i="3" s="1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C262" i="3"/>
  <c r="D262" i="3"/>
  <c r="E262" i="3" s="1"/>
  <c r="F262" i="3" s="1"/>
  <c r="G262" i="3" s="1"/>
  <c r="H262" i="3" s="1"/>
  <c r="I262" i="3" s="1"/>
  <c r="J262" i="3" s="1"/>
  <c r="K262" i="3" s="1"/>
  <c r="L262" i="3" s="1"/>
  <c r="M262" i="3" s="1"/>
  <c r="N262" i="3" s="1"/>
  <c r="O262" i="3" s="1"/>
  <c r="P262" i="3" s="1"/>
  <c r="Q262" i="3" s="1"/>
  <c r="R262" i="3" s="1"/>
  <c r="S262" i="3" s="1"/>
  <c r="T262" i="3" s="1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C263" i="3"/>
  <c r="D263" i="3" s="1"/>
  <c r="E263" i="3" s="1"/>
  <c r="F263" i="3" s="1"/>
  <c r="G263" i="3" s="1"/>
  <c r="H263" i="3" s="1"/>
  <c r="I263" i="3" s="1"/>
  <c r="J263" i="3" s="1"/>
  <c r="K263" i="3" s="1"/>
  <c r="L263" i="3" s="1"/>
  <c r="M263" i="3" s="1"/>
  <c r="N263" i="3" s="1"/>
  <c r="O263" i="3" s="1"/>
  <c r="P263" i="3" s="1"/>
  <c r="Q263" i="3" s="1"/>
  <c r="R263" i="3" s="1"/>
  <c r="S263" i="3" s="1"/>
  <c r="T263" i="3" s="1"/>
  <c r="U263" i="3" s="1"/>
  <c r="V263" i="3" s="1"/>
  <c r="W263" i="3" s="1"/>
  <c r="X263" i="3" s="1"/>
  <c r="Y263" i="3" s="1"/>
  <c r="Z263" i="3" s="1"/>
  <c r="AA263" i="3" s="1"/>
  <c r="AB263" i="3" s="1"/>
  <c r="AC263" i="3" s="1"/>
  <c r="AD263" i="3" s="1"/>
  <c r="AE263" i="3" s="1"/>
  <c r="AF263" i="3" s="1"/>
  <c r="C264" i="3"/>
  <c r="D264" i="3" s="1"/>
  <c r="E264" i="3" s="1"/>
  <c r="F264" i="3" s="1"/>
  <c r="G264" i="3" s="1"/>
  <c r="H264" i="3" s="1"/>
  <c r="I264" i="3" s="1"/>
  <c r="J264" i="3" s="1"/>
  <c r="K264" i="3" s="1"/>
  <c r="L264" i="3" s="1"/>
  <c r="M264" i="3" s="1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AC264" i="3" s="1"/>
  <c r="AD264" i="3" s="1"/>
  <c r="AE264" i="3" s="1"/>
  <c r="AF264" i="3" s="1"/>
  <c r="C265" i="3"/>
  <c r="D265" i="3" s="1"/>
  <c r="E265" i="3" s="1"/>
  <c r="F265" i="3" s="1"/>
  <c r="G265" i="3" s="1"/>
  <c r="H265" i="3" s="1"/>
  <c r="I265" i="3" s="1"/>
  <c r="J265" i="3" s="1"/>
  <c r="K265" i="3" s="1"/>
  <c r="L265" i="3" s="1"/>
  <c r="M265" i="3" s="1"/>
  <c r="N265" i="3" s="1"/>
  <c r="O265" i="3" s="1"/>
  <c r="P265" i="3" s="1"/>
  <c r="Q265" i="3" s="1"/>
  <c r="R265" i="3" s="1"/>
  <c r="S265" i="3" s="1"/>
  <c r="T265" i="3" s="1"/>
  <c r="U265" i="3" s="1"/>
  <c r="V265" i="3" s="1"/>
  <c r="W265" i="3" s="1"/>
  <c r="X265" i="3" s="1"/>
  <c r="Y265" i="3" s="1"/>
  <c r="Z265" i="3" s="1"/>
  <c r="AA265" i="3" s="1"/>
  <c r="AB265" i="3" s="1"/>
  <c r="AC265" i="3" s="1"/>
  <c r="AD265" i="3" s="1"/>
  <c r="AE265" i="3" s="1"/>
  <c r="AF265" i="3" s="1"/>
  <c r="C266" i="3"/>
  <c r="D266" i="3" s="1"/>
  <c r="E266" i="3" s="1"/>
  <c r="F266" i="3" s="1"/>
  <c r="G266" i="3" s="1"/>
  <c r="H266" i="3" s="1"/>
  <c r="I266" i="3" s="1"/>
  <c r="J266" i="3" s="1"/>
  <c r="K266" i="3" s="1"/>
  <c r="L266" i="3" s="1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C267" i="3"/>
  <c r="D267" i="3" s="1"/>
  <c r="E267" i="3" s="1"/>
  <c r="F267" i="3" s="1"/>
  <c r="G267" i="3" s="1"/>
  <c r="H267" i="3" s="1"/>
  <c r="I267" i="3" s="1"/>
  <c r="J267" i="3" s="1"/>
  <c r="K267" i="3" s="1"/>
  <c r="L267" i="3" s="1"/>
  <c r="M267" i="3" s="1"/>
  <c r="N267" i="3" s="1"/>
  <c r="O267" i="3" s="1"/>
  <c r="P267" i="3" s="1"/>
  <c r="Q267" i="3" s="1"/>
  <c r="R267" i="3" s="1"/>
  <c r="S267" i="3" s="1"/>
  <c r="T267" i="3" s="1"/>
  <c r="U267" i="3" s="1"/>
  <c r="V267" i="3" s="1"/>
  <c r="W267" i="3" s="1"/>
  <c r="X267" i="3" s="1"/>
  <c r="Y267" i="3" s="1"/>
  <c r="Z267" i="3" s="1"/>
  <c r="AA267" i="3" s="1"/>
  <c r="AB267" i="3" s="1"/>
  <c r="AC267" i="3" s="1"/>
  <c r="AD267" i="3" s="1"/>
  <c r="AE267" i="3" s="1"/>
  <c r="AF267" i="3" s="1"/>
  <c r="C268" i="3"/>
  <c r="D268" i="3" s="1"/>
  <c r="E268" i="3" s="1"/>
  <c r="F268" i="3" s="1"/>
  <c r="G268" i="3" s="1"/>
  <c r="H268" i="3" s="1"/>
  <c r="I268" i="3" s="1"/>
  <c r="J268" i="3" s="1"/>
  <c r="K268" i="3" s="1"/>
  <c r="L268" i="3" s="1"/>
  <c r="M268" i="3" s="1"/>
  <c r="N268" i="3" s="1"/>
  <c r="O268" i="3" s="1"/>
  <c r="P268" i="3" s="1"/>
  <c r="Q268" i="3" s="1"/>
  <c r="R268" i="3" s="1"/>
  <c r="S268" i="3" s="1"/>
  <c r="T268" i="3" s="1"/>
  <c r="U268" i="3" s="1"/>
  <c r="V268" i="3" s="1"/>
  <c r="W268" i="3" s="1"/>
  <c r="X268" i="3" s="1"/>
  <c r="Y268" i="3" s="1"/>
  <c r="Z268" i="3" s="1"/>
  <c r="AA268" i="3" s="1"/>
  <c r="AB268" i="3" s="1"/>
  <c r="AC268" i="3" s="1"/>
  <c r="AD268" i="3" s="1"/>
  <c r="AE268" i="3" s="1"/>
  <c r="AF268" i="3" s="1"/>
  <c r="C269" i="3"/>
  <c r="D269" i="3" s="1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Q269" i="3" s="1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C270" i="3"/>
  <c r="D270" i="3" s="1"/>
  <c r="E270" i="3" s="1"/>
  <c r="F270" i="3" s="1"/>
  <c r="G270" i="3" s="1"/>
  <c r="H270" i="3" s="1"/>
  <c r="I270" i="3" s="1"/>
  <c r="J270" i="3" s="1"/>
  <c r="K270" i="3" s="1"/>
  <c r="L270" i="3" s="1"/>
  <c r="M270" i="3" s="1"/>
  <c r="N270" i="3" s="1"/>
  <c r="O270" i="3" s="1"/>
  <c r="P270" i="3" s="1"/>
  <c r="Q270" i="3" s="1"/>
  <c r="R270" i="3" s="1"/>
  <c r="S270" i="3" s="1"/>
  <c r="T270" i="3" s="1"/>
  <c r="U270" i="3" s="1"/>
  <c r="V270" i="3" s="1"/>
  <c r="W270" i="3" s="1"/>
  <c r="X270" i="3" s="1"/>
  <c r="Y270" i="3" s="1"/>
  <c r="Z270" i="3" s="1"/>
  <c r="AA270" i="3" s="1"/>
  <c r="AB270" i="3" s="1"/>
  <c r="AC270" i="3" s="1"/>
  <c r="AD270" i="3" s="1"/>
  <c r="AE270" i="3" s="1"/>
  <c r="AF270" i="3" s="1"/>
  <c r="C271" i="3"/>
  <c r="D271" i="3" s="1"/>
  <c r="E271" i="3" s="1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Q271" i="3" s="1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C272" i="3"/>
  <c r="D272" i="3" s="1"/>
  <c r="E272" i="3" s="1"/>
  <c r="F272" i="3" s="1"/>
  <c r="G272" i="3" s="1"/>
  <c r="H272" i="3" s="1"/>
  <c r="I272" i="3" s="1"/>
  <c r="J272" i="3" s="1"/>
  <c r="K272" i="3" s="1"/>
  <c r="L272" i="3" s="1"/>
  <c r="M272" i="3" s="1"/>
  <c r="N272" i="3" s="1"/>
  <c r="O272" i="3" s="1"/>
  <c r="P272" i="3" s="1"/>
  <c r="Q272" i="3" s="1"/>
  <c r="R272" i="3" s="1"/>
  <c r="S272" i="3" s="1"/>
  <c r="T272" i="3" s="1"/>
  <c r="U272" i="3" s="1"/>
  <c r="V272" i="3" s="1"/>
  <c r="W272" i="3" s="1"/>
  <c r="X272" i="3" s="1"/>
  <c r="Y272" i="3" s="1"/>
  <c r="Z272" i="3" s="1"/>
  <c r="AA272" i="3" s="1"/>
  <c r="AB272" i="3" s="1"/>
  <c r="AC272" i="3" s="1"/>
  <c r="AD272" i="3" s="1"/>
  <c r="AE272" i="3" s="1"/>
  <c r="AF272" i="3" s="1"/>
  <c r="C273" i="3"/>
  <c r="D273" i="3" s="1"/>
  <c r="E273" i="3" s="1"/>
  <c r="F273" i="3" s="1"/>
  <c r="G273" i="3" s="1"/>
  <c r="H273" i="3" s="1"/>
  <c r="I273" i="3" s="1"/>
  <c r="J273" i="3" s="1"/>
  <c r="K273" i="3" s="1"/>
  <c r="L273" i="3" s="1"/>
  <c r="M273" i="3" s="1"/>
  <c r="N273" i="3" s="1"/>
  <c r="O273" i="3" s="1"/>
  <c r="P273" i="3" s="1"/>
  <c r="Q273" i="3" s="1"/>
  <c r="R273" i="3" s="1"/>
  <c r="S273" i="3" s="1"/>
  <c r="T273" i="3" s="1"/>
  <c r="U273" i="3" s="1"/>
  <c r="V273" i="3" s="1"/>
  <c r="W273" i="3" s="1"/>
  <c r="X273" i="3" s="1"/>
  <c r="Y273" i="3" s="1"/>
  <c r="Z273" i="3" s="1"/>
  <c r="AA273" i="3" s="1"/>
  <c r="AB273" i="3" s="1"/>
  <c r="AC273" i="3" s="1"/>
  <c r="AD273" i="3" s="1"/>
  <c r="AE273" i="3" s="1"/>
  <c r="AF273" i="3" s="1"/>
  <c r="C274" i="3"/>
  <c r="D274" i="3" s="1"/>
  <c r="E274" i="3" s="1"/>
  <c r="F274" i="3" s="1"/>
  <c r="G274" i="3" s="1"/>
  <c r="H274" i="3" s="1"/>
  <c r="I274" i="3"/>
  <c r="J274" i="3" s="1"/>
  <c r="K274" i="3" s="1"/>
  <c r="L274" i="3" s="1"/>
  <c r="M274" i="3" s="1"/>
  <c r="N274" i="3" s="1"/>
  <c r="O274" i="3" s="1"/>
  <c r="P274" i="3" s="1"/>
  <c r="Q274" i="3" s="1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C275" i="3"/>
  <c r="D275" i="3" s="1"/>
  <c r="E275" i="3" s="1"/>
  <c r="F275" i="3" s="1"/>
  <c r="G275" i="3" s="1"/>
  <c r="H275" i="3" s="1"/>
  <c r="I275" i="3" s="1"/>
  <c r="J275" i="3" s="1"/>
  <c r="K275" i="3" s="1"/>
  <c r="L275" i="3" s="1"/>
  <c r="M275" i="3" s="1"/>
  <c r="N275" i="3" s="1"/>
  <c r="O275" i="3" s="1"/>
  <c r="P275" i="3" s="1"/>
  <c r="Q275" i="3" s="1"/>
  <c r="R275" i="3" s="1"/>
  <c r="S275" i="3" s="1"/>
  <c r="T275" i="3" s="1"/>
  <c r="U275" i="3" s="1"/>
  <c r="V275" i="3" s="1"/>
  <c r="W275" i="3" s="1"/>
  <c r="X275" i="3" s="1"/>
  <c r="Y275" i="3" s="1"/>
  <c r="Z275" i="3" s="1"/>
  <c r="AA275" i="3" s="1"/>
  <c r="AB275" i="3" s="1"/>
  <c r="AC275" i="3" s="1"/>
  <c r="AD275" i="3" s="1"/>
  <c r="AE275" i="3" s="1"/>
  <c r="AF275" i="3" s="1"/>
  <c r="C276" i="3"/>
  <c r="D276" i="3" s="1"/>
  <c r="E276" i="3" s="1"/>
  <c r="F276" i="3" s="1"/>
  <c r="G276" i="3" s="1"/>
  <c r="H276" i="3" s="1"/>
  <c r="I276" i="3" s="1"/>
  <c r="J276" i="3" s="1"/>
  <c r="K276" i="3" s="1"/>
  <c r="L276" i="3" s="1"/>
  <c r="M276" i="3" s="1"/>
  <c r="N276" i="3" s="1"/>
  <c r="O276" i="3" s="1"/>
  <c r="P276" i="3" s="1"/>
  <c r="Q276" i="3" s="1"/>
  <c r="R276" i="3" s="1"/>
  <c r="S276" i="3" s="1"/>
  <c r="T276" i="3" s="1"/>
  <c r="U276" i="3" s="1"/>
  <c r="V276" i="3" s="1"/>
  <c r="W276" i="3" s="1"/>
  <c r="X276" i="3" s="1"/>
  <c r="Y276" i="3" s="1"/>
  <c r="Z276" i="3" s="1"/>
  <c r="AA276" i="3" s="1"/>
  <c r="AB276" i="3" s="1"/>
  <c r="AC276" i="3" s="1"/>
  <c r="AD276" i="3" s="1"/>
  <c r="AE276" i="3" s="1"/>
  <c r="AF276" i="3" s="1"/>
  <c r="C277" i="3"/>
  <c r="D277" i="3" s="1"/>
  <c r="E277" i="3" s="1"/>
  <c r="F277" i="3" s="1"/>
  <c r="G277" i="3" s="1"/>
  <c r="H277" i="3" s="1"/>
  <c r="I277" i="3" s="1"/>
  <c r="J277" i="3" s="1"/>
  <c r="K277" i="3" s="1"/>
  <c r="L277" i="3" s="1"/>
  <c r="M277" i="3" s="1"/>
  <c r="N277" i="3" s="1"/>
  <c r="O277" i="3" s="1"/>
  <c r="P277" i="3" s="1"/>
  <c r="Q277" i="3" s="1"/>
  <c r="R277" i="3" s="1"/>
  <c r="S277" i="3" s="1"/>
  <c r="T277" i="3" s="1"/>
  <c r="U277" i="3" s="1"/>
  <c r="V277" i="3" s="1"/>
  <c r="W277" i="3" s="1"/>
  <c r="X277" i="3" s="1"/>
  <c r="Y277" i="3" s="1"/>
  <c r="Z277" i="3" s="1"/>
  <c r="AA277" i="3" s="1"/>
  <c r="AB277" i="3" s="1"/>
  <c r="AC277" i="3" s="1"/>
  <c r="AD277" i="3" s="1"/>
  <c r="AE277" i="3" s="1"/>
  <c r="AF277" i="3" s="1"/>
  <c r="C278" i="3"/>
  <c r="D278" i="3" s="1"/>
  <c r="E278" i="3" s="1"/>
  <c r="F278" i="3" s="1"/>
  <c r="G278" i="3" s="1"/>
  <c r="H278" i="3"/>
  <c r="I278" i="3" s="1"/>
  <c r="J278" i="3" s="1"/>
  <c r="K278" i="3" s="1"/>
  <c r="L278" i="3" s="1"/>
  <c r="M278" i="3" s="1"/>
  <c r="N278" i="3" s="1"/>
  <c r="O278" i="3" s="1"/>
  <c r="P278" i="3" s="1"/>
  <c r="Q278" i="3" s="1"/>
  <c r="R278" i="3" s="1"/>
  <c r="S278" i="3" s="1"/>
  <c r="T278" i="3" s="1"/>
  <c r="U278" i="3" s="1"/>
  <c r="V278" i="3" s="1"/>
  <c r="W278" i="3" s="1"/>
  <c r="X278" i="3" s="1"/>
  <c r="Y278" i="3" s="1"/>
  <c r="Z278" i="3" s="1"/>
  <c r="AA278" i="3" s="1"/>
  <c r="AB278" i="3" s="1"/>
  <c r="AC278" i="3" s="1"/>
  <c r="AD278" i="3" s="1"/>
  <c r="AE278" i="3" s="1"/>
  <c r="AF278" i="3" s="1"/>
  <c r="C279" i="3"/>
  <c r="D279" i="3" s="1"/>
  <c r="E279" i="3" s="1"/>
  <c r="F279" i="3" s="1"/>
  <c r="G279" i="3" s="1"/>
  <c r="H279" i="3" s="1"/>
  <c r="I279" i="3" s="1"/>
  <c r="J279" i="3" s="1"/>
  <c r="K279" i="3" s="1"/>
  <c r="L279" i="3" s="1"/>
  <c r="M279" i="3" s="1"/>
  <c r="N279" i="3" s="1"/>
  <c r="O279" i="3" s="1"/>
  <c r="P279" i="3" s="1"/>
  <c r="Q279" i="3" s="1"/>
  <c r="R279" i="3" s="1"/>
  <c r="S279" i="3" s="1"/>
  <c r="T279" i="3" s="1"/>
  <c r="U279" i="3" s="1"/>
  <c r="V279" i="3" s="1"/>
  <c r="W279" i="3" s="1"/>
  <c r="X279" i="3" s="1"/>
  <c r="Y279" i="3" s="1"/>
  <c r="Z279" i="3" s="1"/>
  <c r="AA279" i="3" s="1"/>
  <c r="AB279" i="3" s="1"/>
  <c r="AC279" i="3" s="1"/>
  <c r="AD279" i="3" s="1"/>
  <c r="AE279" i="3" s="1"/>
  <c r="AF279" i="3" s="1"/>
  <c r="C280" i="3"/>
  <c r="D280" i="3" s="1"/>
  <c r="E280" i="3" s="1"/>
  <c r="F280" i="3" s="1"/>
  <c r="G280" i="3" s="1"/>
  <c r="H280" i="3" s="1"/>
  <c r="I280" i="3" s="1"/>
  <c r="J280" i="3" s="1"/>
  <c r="K280" i="3" s="1"/>
  <c r="L280" i="3" s="1"/>
  <c r="M280" i="3" s="1"/>
  <c r="N280" i="3" s="1"/>
  <c r="O280" i="3" s="1"/>
  <c r="P280" i="3" s="1"/>
  <c r="Q280" i="3" s="1"/>
  <c r="R280" i="3" s="1"/>
  <c r="S280" i="3" s="1"/>
  <c r="T280" i="3" s="1"/>
  <c r="U280" i="3" s="1"/>
  <c r="V280" i="3" s="1"/>
  <c r="W280" i="3" s="1"/>
  <c r="X280" i="3" s="1"/>
  <c r="Y280" i="3" s="1"/>
  <c r="Z280" i="3" s="1"/>
  <c r="AA280" i="3" s="1"/>
  <c r="AB280" i="3" s="1"/>
  <c r="AC280" i="3" s="1"/>
  <c r="AD280" i="3" s="1"/>
  <c r="AE280" i="3" s="1"/>
  <c r="AF280" i="3" s="1"/>
  <c r="C281" i="3"/>
  <c r="D281" i="3" s="1"/>
  <c r="E281" i="3" s="1"/>
  <c r="F281" i="3" s="1"/>
  <c r="G281" i="3" s="1"/>
  <c r="H281" i="3" s="1"/>
  <c r="I281" i="3" s="1"/>
  <c r="J281" i="3" s="1"/>
  <c r="K281" i="3" s="1"/>
  <c r="L281" i="3" s="1"/>
  <c r="M281" i="3" s="1"/>
  <c r="N281" i="3" s="1"/>
  <c r="O281" i="3" s="1"/>
  <c r="P281" i="3" s="1"/>
  <c r="Q281" i="3" s="1"/>
  <c r="R281" i="3" s="1"/>
  <c r="S281" i="3" s="1"/>
  <c r="T281" i="3" s="1"/>
  <c r="U281" i="3" s="1"/>
  <c r="V281" i="3" s="1"/>
  <c r="W281" i="3" s="1"/>
  <c r="X281" i="3" s="1"/>
  <c r="Y281" i="3" s="1"/>
  <c r="Z281" i="3" s="1"/>
  <c r="AA281" i="3" s="1"/>
  <c r="AB281" i="3" s="1"/>
  <c r="AC281" i="3" s="1"/>
  <c r="AD281" i="3" s="1"/>
  <c r="AE281" i="3" s="1"/>
  <c r="AF281" i="3" s="1"/>
  <c r="C282" i="3"/>
  <c r="D282" i="3" s="1"/>
  <c r="E282" i="3" s="1"/>
  <c r="F282" i="3" s="1"/>
  <c r="G282" i="3" s="1"/>
  <c r="H282" i="3" s="1"/>
  <c r="I282" i="3" s="1"/>
  <c r="J282" i="3" s="1"/>
  <c r="K282" i="3" s="1"/>
  <c r="L282" i="3" s="1"/>
  <c r="M282" i="3" s="1"/>
  <c r="N282" i="3" s="1"/>
  <c r="O282" i="3" s="1"/>
  <c r="P282" i="3" s="1"/>
  <c r="Q282" i="3" s="1"/>
  <c r="R282" i="3" s="1"/>
  <c r="S282" i="3" s="1"/>
  <c r="T282" i="3" s="1"/>
  <c r="U282" i="3" s="1"/>
  <c r="V282" i="3" s="1"/>
  <c r="W282" i="3" s="1"/>
  <c r="X282" i="3" s="1"/>
  <c r="Y282" i="3" s="1"/>
  <c r="Z282" i="3" s="1"/>
  <c r="AA282" i="3" s="1"/>
  <c r="AB282" i="3" s="1"/>
  <c r="AC282" i="3" s="1"/>
  <c r="AD282" i="3" s="1"/>
  <c r="AE282" i="3" s="1"/>
  <c r="AF282" i="3" s="1"/>
  <c r="C283" i="3"/>
  <c r="D283" i="3" s="1"/>
  <c r="E283" i="3" s="1"/>
  <c r="F283" i="3" s="1"/>
  <c r="G283" i="3" s="1"/>
  <c r="H283" i="3" s="1"/>
  <c r="I283" i="3" s="1"/>
  <c r="J283" i="3" s="1"/>
  <c r="K283" i="3" s="1"/>
  <c r="L283" i="3" s="1"/>
  <c r="M283" i="3" s="1"/>
  <c r="N283" i="3" s="1"/>
  <c r="O283" i="3" s="1"/>
  <c r="P283" i="3" s="1"/>
  <c r="Q283" i="3" s="1"/>
  <c r="R283" i="3" s="1"/>
  <c r="S283" i="3" s="1"/>
  <c r="T283" i="3" s="1"/>
  <c r="U283" i="3" s="1"/>
  <c r="V283" i="3" s="1"/>
  <c r="W283" i="3" s="1"/>
  <c r="X283" i="3" s="1"/>
  <c r="Y283" i="3" s="1"/>
  <c r="Z283" i="3" s="1"/>
  <c r="AA283" i="3" s="1"/>
  <c r="AB283" i="3" s="1"/>
  <c r="AC283" i="3" s="1"/>
  <c r="AD283" i="3" s="1"/>
  <c r="AE283" i="3" s="1"/>
  <c r="AF283" i="3" s="1"/>
  <c r="C284" i="3"/>
  <c r="D284" i="3" s="1"/>
  <c r="E284" i="3" s="1"/>
  <c r="F284" i="3" s="1"/>
  <c r="G284" i="3" s="1"/>
  <c r="H284" i="3" s="1"/>
  <c r="I284" i="3" s="1"/>
  <c r="J284" i="3" s="1"/>
  <c r="K284" i="3" s="1"/>
  <c r="L284" i="3" s="1"/>
  <c r="M284" i="3" s="1"/>
  <c r="N284" i="3" s="1"/>
  <c r="O284" i="3" s="1"/>
  <c r="P284" i="3" s="1"/>
  <c r="Q284" i="3" s="1"/>
  <c r="R284" i="3" s="1"/>
  <c r="S284" i="3" s="1"/>
  <c r="T284" i="3" s="1"/>
  <c r="U284" i="3" s="1"/>
  <c r="V284" i="3" s="1"/>
  <c r="W284" i="3" s="1"/>
  <c r="X284" i="3" s="1"/>
  <c r="Y284" i="3" s="1"/>
  <c r="Z284" i="3" s="1"/>
  <c r="AA284" i="3" s="1"/>
  <c r="AB284" i="3" s="1"/>
  <c r="AC284" i="3" s="1"/>
  <c r="AD284" i="3" s="1"/>
  <c r="AE284" i="3" s="1"/>
  <c r="AF284" i="3" s="1"/>
  <c r="C285" i="3"/>
  <c r="D285" i="3" s="1"/>
  <c r="E285" i="3" s="1"/>
  <c r="F285" i="3" s="1"/>
  <c r="G285" i="3" s="1"/>
  <c r="H285" i="3" s="1"/>
  <c r="I285" i="3" s="1"/>
  <c r="J285" i="3" s="1"/>
  <c r="K285" i="3" s="1"/>
  <c r="L285" i="3" s="1"/>
  <c r="M285" i="3" s="1"/>
  <c r="N285" i="3" s="1"/>
  <c r="O285" i="3" s="1"/>
  <c r="P285" i="3" s="1"/>
  <c r="Q285" i="3" s="1"/>
  <c r="R285" i="3" s="1"/>
  <c r="S285" i="3" s="1"/>
  <c r="T285" i="3" s="1"/>
  <c r="U285" i="3" s="1"/>
  <c r="V285" i="3" s="1"/>
  <c r="W285" i="3" s="1"/>
  <c r="X285" i="3" s="1"/>
  <c r="Y285" i="3" s="1"/>
  <c r="Z285" i="3" s="1"/>
  <c r="AA285" i="3" s="1"/>
  <c r="AB285" i="3" s="1"/>
  <c r="AC285" i="3" s="1"/>
  <c r="AD285" i="3" s="1"/>
  <c r="AE285" i="3" s="1"/>
  <c r="AF285" i="3" s="1"/>
  <c r="C286" i="3"/>
  <c r="D286" i="3" s="1"/>
  <c r="E286" i="3" s="1"/>
  <c r="F286" i="3" s="1"/>
  <c r="G286" i="3" s="1"/>
  <c r="H286" i="3" s="1"/>
  <c r="I286" i="3" s="1"/>
  <c r="J286" i="3" s="1"/>
  <c r="K286" i="3" s="1"/>
  <c r="L286" i="3" s="1"/>
  <c r="M286" i="3" s="1"/>
  <c r="N286" i="3" s="1"/>
  <c r="O286" i="3" s="1"/>
  <c r="P286" i="3" s="1"/>
  <c r="Q286" i="3" s="1"/>
  <c r="R286" i="3" s="1"/>
  <c r="S286" i="3" s="1"/>
  <c r="T286" i="3" s="1"/>
  <c r="U286" i="3" s="1"/>
  <c r="V286" i="3" s="1"/>
  <c r="W286" i="3" s="1"/>
  <c r="X286" i="3" s="1"/>
  <c r="Y286" i="3" s="1"/>
  <c r="Z286" i="3" s="1"/>
  <c r="AA286" i="3" s="1"/>
  <c r="AB286" i="3" s="1"/>
  <c r="AC286" i="3" s="1"/>
  <c r="AD286" i="3" s="1"/>
  <c r="AE286" i="3" s="1"/>
  <c r="AF286" i="3" s="1"/>
  <c r="C287" i="3"/>
  <c r="D287" i="3" s="1"/>
  <c r="E287" i="3" s="1"/>
  <c r="F287" i="3" s="1"/>
  <c r="G287" i="3" s="1"/>
  <c r="H287" i="3" s="1"/>
  <c r="I287" i="3" s="1"/>
  <c r="J287" i="3" s="1"/>
  <c r="K287" i="3" s="1"/>
  <c r="L287" i="3" s="1"/>
  <c r="M287" i="3" s="1"/>
  <c r="N287" i="3" s="1"/>
  <c r="O287" i="3" s="1"/>
  <c r="P287" i="3" s="1"/>
  <c r="Q287" i="3" s="1"/>
  <c r="R287" i="3" s="1"/>
  <c r="S287" i="3" s="1"/>
  <c r="T287" i="3" s="1"/>
  <c r="U287" i="3" s="1"/>
  <c r="V287" i="3" s="1"/>
  <c r="W287" i="3" s="1"/>
  <c r="X287" i="3" s="1"/>
  <c r="Y287" i="3" s="1"/>
  <c r="Z287" i="3" s="1"/>
  <c r="AA287" i="3" s="1"/>
  <c r="AB287" i="3" s="1"/>
  <c r="AC287" i="3" s="1"/>
  <c r="AD287" i="3" s="1"/>
  <c r="AE287" i="3" s="1"/>
  <c r="AF287" i="3" s="1"/>
  <c r="C288" i="3"/>
  <c r="D288" i="3" s="1"/>
  <c r="E288" i="3" s="1"/>
  <c r="F288" i="3" s="1"/>
  <c r="G288" i="3" s="1"/>
  <c r="H288" i="3" s="1"/>
  <c r="I288" i="3" s="1"/>
  <c r="J288" i="3" s="1"/>
  <c r="K288" i="3" s="1"/>
  <c r="L288" i="3" s="1"/>
  <c r="M288" i="3" s="1"/>
  <c r="N288" i="3" s="1"/>
  <c r="O288" i="3" s="1"/>
  <c r="P288" i="3" s="1"/>
  <c r="Q288" i="3" s="1"/>
  <c r="R288" i="3" s="1"/>
  <c r="S288" i="3" s="1"/>
  <c r="T288" i="3" s="1"/>
  <c r="U288" i="3" s="1"/>
  <c r="V288" i="3" s="1"/>
  <c r="W288" i="3" s="1"/>
  <c r="X288" i="3" s="1"/>
  <c r="Y288" i="3" s="1"/>
  <c r="Z288" i="3" s="1"/>
  <c r="AA288" i="3" s="1"/>
  <c r="AB288" i="3" s="1"/>
  <c r="AC288" i="3" s="1"/>
  <c r="AD288" i="3" s="1"/>
  <c r="AE288" i="3" s="1"/>
  <c r="AF288" i="3" s="1"/>
  <c r="C289" i="3"/>
  <c r="D289" i="3" s="1"/>
  <c r="E289" i="3" s="1"/>
  <c r="F289" i="3" s="1"/>
  <c r="G289" i="3" s="1"/>
  <c r="H289" i="3" s="1"/>
  <c r="I289" i="3" s="1"/>
  <c r="J289" i="3" s="1"/>
  <c r="K289" i="3" s="1"/>
  <c r="L289" i="3" s="1"/>
  <c r="M289" i="3" s="1"/>
  <c r="N289" i="3" s="1"/>
  <c r="O289" i="3" s="1"/>
  <c r="P289" i="3" s="1"/>
  <c r="Q289" i="3" s="1"/>
  <c r="R289" i="3" s="1"/>
  <c r="S289" i="3" s="1"/>
  <c r="T289" i="3" s="1"/>
  <c r="U289" i="3" s="1"/>
  <c r="V289" i="3" s="1"/>
  <c r="W289" i="3" s="1"/>
  <c r="X289" i="3" s="1"/>
  <c r="Y289" i="3" s="1"/>
  <c r="Z289" i="3" s="1"/>
  <c r="AA289" i="3" s="1"/>
  <c r="AB289" i="3" s="1"/>
  <c r="AC289" i="3" s="1"/>
  <c r="AD289" i="3" s="1"/>
  <c r="AE289" i="3" s="1"/>
  <c r="AF289" i="3" s="1"/>
  <c r="C290" i="3"/>
  <c r="D290" i="3" s="1"/>
  <c r="E290" i="3" s="1"/>
  <c r="F290" i="3" s="1"/>
  <c r="G290" i="3" s="1"/>
  <c r="H290" i="3" s="1"/>
  <c r="I290" i="3" s="1"/>
  <c r="J290" i="3" s="1"/>
  <c r="K290" i="3" s="1"/>
  <c r="L290" i="3" s="1"/>
  <c r="M290" i="3" s="1"/>
  <c r="N290" i="3" s="1"/>
  <c r="O290" i="3" s="1"/>
  <c r="P290" i="3" s="1"/>
  <c r="Q290" i="3" s="1"/>
  <c r="R290" i="3" s="1"/>
  <c r="S290" i="3" s="1"/>
  <c r="T290" i="3" s="1"/>
  <c r="U290" i="3" s="1"/>
  <c r="V290" i="3" s="1"/>
  <c r="W290" i="3" s="1"/>
  <c r="X290" i="3" s="1"/>
  <c r="Y290" i="3" s="1"/>
  <c r="Z290" i="3" s="1"/>
  <c r="AA290" i="3" s="1"/>
  <c r="AB290" i="3" s="1"/>
  <c r="AC290" i="3" s="1"/>
  <c r="AD290" i="3" s="1"/>
  <c r="AE290" i="3" s="1"/>
  <c r="AF290" i="3" s="1"/>
  <c r="C291" i="3"/>
  <c r="D291" i="3" s="1"/>
  <c r="E291" i="3" s="1"/>
  <c r="F291" i="3" s="1"/>
  <c r="G291" i="3" s="1"/>
  <c r="H291" i="3" s="1"/>
  <c r="I291" i="3" s="1"/>
  <c r="J291" i="3" s="1"/>
  <c r="K291" i="3" s="1"/>
  <c r="L291" i="3" s="1"/>
  <c r="M291" i="3" s="1"/>
  <c r="N291" i="3" s="1"/>
  <c r="O291" i="3" s="1"/>
  <c r="P291" i="3" s="1"/>
  <c r="Q291" i="3" s="1"/>
  <c r="R291" i="3" s="1"/>
  <c r="S291" i="3" s="1"/>
  <c r="T291" i="3" s="1"/>
  <c r="U291" i="3" s="1"/>
  <c r="V291" i="3" s="1"/>
  <c r="W291" i="3" s="1"/>
  <c r="X291" i="3" s="1"/>
  <c r="Y291" i="3" s="1"/>
  <c r="Z291" i="3" s="1"/>
  <c r="AA291" i="3" s="1"/>
  <c r="AB291" i="3" s="1"/>
  <c r="AC291" i="3" s="1"/>
  <c r="AD291" i="3" s="1"/>
  <c r="AE291" i="3" s="1"/>
  <c r="AF291" i="3" s="1"/>
  <c r="C292" i="3"/>
  <c r="D292" i="3" s="1"/>
  <c r="E292" i="3" s="1"/>
  <c r="F292" i="3" s="1"/>
  <c r="G292" i="3" s="1"/>
  <c r="H292" i="3" s="1"/>
  <c r="I292" i="3" s="1"/>
  <c r="J292" i="3" s="1"/>
  <c r="K292" i="3" s="1"/>
  <c r="L292" i="3" s="1"/>
  <c r="M292" i="3" s="1"/>
  <c r="N292" i="3" s="1"/>
  <c r="O292" i="3" s="1"/>
  <c r="P292" i="3" s="1"/>
  <c r="Q292" i="3" s="1"/>
  <c r="R292" i="3" s="1"/>
  <c r="S292" i="3" s="1"/>
  <c r="T292" i="3" s="1"/>
  <c r="U292" i="3" s="1"/>
  <c r="V292" i="3" s="1"/>
  <c r="W292" i="3" s="1"/>
  <c r="X292" i="3" s="1"/>
  <c r="Y292" i="3" s="1"/>
  <c r="Z292" i="3" s="1"/>
  <c r="AA292" i="3" s="1"/>
  <c r="AB292" i="3" s="1"/>
  <c r="AC292" i="3" s="1"/>
  <c r="AD292" i="3" s="1"/>
  <c r="AE292" i="3" s="1"/>
  <c r="AF292" i="3" s="1"/>
  <c r="C293" i="3"/>
  <c r="D293" i="3" s="1"/>
  <c r="E293" i="3" s="1"/>
  <c r="F293" i="3" s="1"/>
  <c r="G293" i="3" s="1"/>
  <c r="H293" i="3" s="1"/>
  <c r="I293" i="3" s="1"/>
  <c r="J293" i="3" s="1"/>
  <c r="K293" i="3" s="1"/>
  <c r="L293" i="3" s="1"/>
  <c r="M293" i="3" s="1"/>
  <c r="N293" i="3" s="1"/>
  <c r="O293" i="3" s="1"/>
  <c r="P293" i="3" s="1"/>
  <c r="Q293" i="3" s="1"/>
  <c r="R293" i="3" s="1"/>
  <c r="S293" i="3" s="1"/>
  <c r="T293" i="3" s="1"/>
  <c r="U293" i="3" s="1"/>
  <c r="V293" i="3" s="1"/>
  <c r="W293" i="3" s="1"/>
  <c r="X293" i="3" s="1"/>
  <c r="Y293" i="3" s="1"/>
  <c r="Z293" i="3" s="1"/>
  <c r="AA293" i="3" s="1"/>
  <c r="AB293" i="3" s="1"/>
  <c r="AC293" i="3" s="1"/>
  <c r="AD293" i="3" s="1"/>
  <c r="AE293" i="3" s="1"/>
  <c r="AF293" i="3" s="1"/>
  <c r="C294" i="3"/>
  <c r="D294" i="3" s="1"/>
  <c r="E294" i="3" s="1"/>
  <c r="F294" i="3" s="1"/>
  <c r="G294" i="3" s="1"/>
  <c r="H294" i="3" s="1"/>
  <c r="I294" i="3" s="1"/>
  <c r="J294" i="3" s="1"/>
  <c r="K294" i="3" s="1"/>
  <c r="L294" i="3" s="1"/>
  <c r="M294" i="3" s="1"/>
  <c r="N294" i="3" s="1"/>
  <c r="O294" i="3" s="1"/>
  <c r="P294" i="3" s="1"/>
  <c r="Q294" i="3" s="1"/>
  <c r="R294" i="3" s="1"/>
  <c r="S294" i="3" s="1"/>
  <c r="T294" i="3" s="1"/>
  <c r="U294" i="3" s="1"/>
  <c r="V294" i="3" s="1"/>
  <c r="W294" i="3" s="1"/>
  <c r="X294" i="3" s="1"/>
  <c r="Y294" i="3" s="1"/>
  <c r="Z294" i="3" s="1"/>
  <c r="AA294" i="3" s="1"/>
  <c r="AB294" i="3" s="1"/>
  <c r="AC294" i="3" s="1"/>
  <c r="AD294" i="3" s="1"/>
  <c r="AE294" i="3" s="1"/>
  <c r="AF294" i="3" s="1"/>
  <c r="C295" i="3"/>
  <c r="D295" i="3" s="1"/>
  <c r="E295" i="3" s="1"/>
  <c r="F295" i="3" s="1"/>
  <c r="G295" i="3" s="1"/>
  <c r="H295" i="3" s="1"/>
  <c r="I295" i="3" s="1"/>
  <c r="J295" i="3" s="1"/>
  <c r="K295" i="3" s="1"/>
  <c r="L295" i="3" s="1"/>
  <c r="M295" i="3" s="1"/>
  <c r="N295" i="3" s="1"/>
  <c r="O295" i="3" s="1"/>
  <c r="P295" i="3" s="1"/>
  <c r="Q295" i="3" s="1"/>
  <c r="R295" i="3" s="1"/>
  <c r="S295" i="3" s="1"/>
  <c r="T295" i="3" s="1"/>
  <c r="U295" i="3" s="1"/>
  <c r="V295" i="3" s="1"/>
  <c r="W295" i="3" s="1"/>
  <c r="X295" i="3" s="1"/>
  <c r="Y295" i="3" s="1"/>
  <c r="Z295" i="3" s="1"/>
  <c r="AA295" i="3" s="1"/>
  <c r="AB295" i="3" s="1"/>
  <c r="AC295" i="3" s="1"/>
  <c r="AD295" i="3" s="1"/>
  <c r="AE295" i="3" s="1"/>
  <c r="AF295" i="3" s="1"/>
  <c r="C296" i="3"/>
  <c r="D296" i="3" s="1"/>
  <c r="E296" i="3" s="1"/>
  <c r="F296" i="3" s="1"/>
  <c r="G296" i="3" s="1"/>
  <c r="H296" i="3" s="1"/>
  <c r="I296" i="3" s="1"/>
  <c r="J296" i="3" s="1"/>
  <c r="K296" i="3" s="1"/>
  <c r="L296" i="3" s="1"/>
  <c r="M296" i="3" s="1"/>
  <c r="N296" i="3" s="1"/>
  <c r="O296" i="3" s="1"/>
  <c r="P296" i="3" s="1"/>
  <c r="Q296" i="3" s="1"/>
  <c r="R296" i="3" s="1"/>
  <c r="S296" i="3" s="1"/>
  <c r="T296" i="3" s="1"/>
  <c r="U296" i="3" s="1"/>
  <c r="V296" i="3" s="1"/>
  <c r="W296" i="3" s="1"/>
  <c r="X296" i="3" s="1"/>
  <c r="Y296" i="3" s="1"/>
  <c r="Z296" i="3" s="1"/>
  <c r="AA296" i="3" s="1"/>
  <c r="AB296" i="3" s="1"/>
  <c r="AC296" i="3" s="1"/>
  <c r="AD296" i="3" s="1"/>
  <c r="AE296" i="3" s="1"/>
  <c r="AF296" i="3" s="1"/>
  <c r="C297" i="3"/>
  <c r="D297" i="3" s="1"/>
  <c r="E297" i="3" s="1"/>
  <c r="F297" i="3" s="1"/>
  <c r="G297" i="3" s="1"/>
  <c r="H297" i="3" s="1"/>
  <c r="I297" i="3" s="1"/>
  <c r="J297" i="3" s="1"/>
  <c r="K297" i="3" s="1"/>
  <c r="L297" i="3" s="1"/>
  <c r="M297" i="3" s="1"/>
  <c r="N297" i="3" s="1"/>
  <c r="O297" i="3" s="1"/>
  <c r="P297" i="3" s="1"/>
  <c r="Q297" i="3" s="1"/>
  <c r="R297" i="3" s="1"/>
  <c r="S297" i="3" s="1"/>
  <c r="T297" i="3" s="1"/>
  <c r="U297" i="3" s="1"/>
  <c r="V297" i="3" s="1"/>
  <c r="W297" i="3" s="1"/>
  <c r="X297" i="3" s="1"/>
  <c r="Y297" i="3" s="1"/>
  <c r="Z297" i="3" s="1"/>
  <c r="AA297" i="3" s="1"/>
  <c r="AB297" i="3" s="1"/>
  <c r="AC297" i="3" s="1"/>
  <c r="AD297" i="3" s="1"/>
  <c r="AE297" i="3" s="1"/>
  <c r="AF297" i="3" s="1"/>
  <c r="C298" i="3"/>
  <c r="D298" i="3" s="1"/>
  <c r="E298" i="3" s="1"/>
  <c r="F298" i="3" s="1"/>
  <c r="G298" i="3" s="1"/>
  <c r="H298" i="3" s="1"/>
  <c r="I298" i="3" s="1"/>
  <c r="J298" i="3" s="1"/>
  <c r="K298" i="3" s="1"/>
  <c r="L298" i="3" s="1"/>
  <c r="M298" i="3" s="1"/>
  <c r="N298" i="3" s="1"/>
  <c r="O298" i="3" s="1"/>
  <c r="P298" i="3" s="1"/>
  <c r="Q298" i="3" s="1"/>
  <c r="R298" i="3" s="1"/>
  <c r="S298" i="3" s="1"/>
  <c r="T298" i="3" s="1"/>
  <c r="U298" i="3" s="1"/>
  <c r="V298" i="3" s="1"/>
  <c r="W298" i="3" s="1"/>
  <c r="X298" i="3" s="1"/>
  <c r="Y298" i="3" s="1"/>
  <c r="Z298" i="3" s="1"/>
  <c r="AA298" i="3" s="1"/>
  <c r="AB298" i="3" s="1"/>
  <c r="AC298" i="3" s="1"/>
  <c r="AD298" i="3" s="1"/>
  <c r="AE298" i="3" s="1"/>
  <c r="AF298" i="3" s="1"/>
  <c r="C299" i="3"/>
  <c r="D299" i="3" s="1"/>
  <c r="E299" i="3" s="1"/>
  <c r="F299" i="3" s="1"/>
  <c r="G299" i="3" s="1"/>
  <c r="H299" i="3" s="1"/>
  <c r="I299" i="3" s="1"/>
  <c r="J299" i="3" s="1"/>
  <c r="K299" i="3" s="1"/>
  <c r="L299" i="3" s="1"/>
  <c r="M299" i="3" s="1"/>
  <c r="N299" i="3" s="1"/>
  <c r="O299" i="3" s="1"/>
  <c r="P299" i="3" s="1"/>
  <c r="Q299" i="3" s="1"/>
  <c r="R299" i="3" s="1"/>
  <c r="S299" i="3" s="1"/>
  <c r="T299" i="3" s="1"/>
  <c r="U299" i="3" s="1"/>
  <c r="V299" i="3" s="1"/>
  <c r="W299" i="3" s="1"/>
  <c r="X299" i="3" s="1"/>
  <c r="Y299" i="3" s="1"/>
  <c r="Z299" i="3" s="1"/>
  <c r="AA299" i="3" s="1"/>
  <c r="AB299" i="3" s="1"/>
  <c r="AC299" i="3" s="1"/>
  <c r="AD299" i="3" s="1"/>
  <c r="AE299" i="3" s="1"/>
  <c r="AF299" i="3" s="1"/>
  <c r="C300" i="3"/>
  <c r="D300" i="3" s="1"/>
  <c r="E300" i="3" s="1"/>
  <c r="F300" i="3" s="1"/>
  <c r="G300" i="3" s="1"/>
  <c r="H300" i="3" s="1"/>
  <c r="I300" i="3" s="1"/>
  <c r="J300" i="3" s="1"/>
  <c r="K300" i="3" s="1"/>
  <c r="L300" i="3" s="1"/>
  <c r="M300" i="3" s="1"/>
  <c r="N300" i="3" s="1"/>
  <c r="O300" i="3" s="1"/>
  <c r="P300" i="3" s="1"/>
  <c r="Q300" i="3" s="1"/>
  <c r="R300" i="3" s="1"/>
  <c r="S300" i="3" s="1"/>
  <c r="T300" i="3" s="1"/>
  <c r="U300" i="3" s="1"/>
  <c r="V300" i="3" s="1"/>
  <c r="W300" i="3" s="1"/>
  <c r="X300" i="3" s="1"/>
  <c r="Y300" i="3" s="1"/>
  <c r="Z300" i="3" s="1"/>
  <c r="AA300" i="3" s="1"/>
  <c r="AB300" i="3" s="1"/>
  <c r="AC300" i="3" s="1"/>
  <c r="AD300" i="3" s="1"/>
  <c r="AE300" i="3" s="1"/>
  <c r="AF300" i="3" s="1"/>
  <c r="C301" i="3"/>
  <c r="D301" i="3" s="1"/>
  <c r="E301" i="3" s="1"/>
  <c r="F301" i="3"/>
  <c r="G301" i="3" s="1"/>
  <c r="H301" i="3" s="1"/>
  <c r="I301" i="3" s="1"/>
  <c r="J301" i="3" s="1"/>
  <c r="K301" i="3" s="1"/>
  <c r="L301" i="3" s="1"/>
  <c r="M301" i="3" s="1"/>
  <c r="N301" i="3" s="1"/>
  <c r="O301" i="3" s="1"/>
  <c r="P301" i="3" s="1"/>
  <c r="Q301" i="3" s="1"/>
  <c r="R301" i="3" s="1"/>
  <c r="S301" i="3" s="1"/>
  <c r="T301" i="3" s="1"/>
  <c r="U301" i="3" s="1"/>
  <c r="V301" i="3" s="1"/>
  <c r="W301" i="3" s="1"/>
  <c r="X301" i="3" s="1"/>
  <c r="Y301" i="3" s="1"/>
  <c r="Z301" i="3" s="1"/>
  <c r="AA301" i="3" s="1"/>
  <c r="AB301" i="3" s="1"/>
  <c r="AC301" i="3" s="1"/>
  <c r="AD301" i="3" s="1"/>
  <c r="AE301" i="3" s="1"/>
  <c r="AF301" i="3" s="1"/>
  <c r="C302" i="3"/>
  <c r="D302" i="3" s="1"/>
  <c r="E302" i="3" s="1"/>
  <c r="F302" i="3" s="1"/>
  <c r="G302" i="3" s="1"/>
  <c r="H302" i="3" s="1"/>
  <c r="I302" i="3" s="1"/>
  <c r="J302" i="3" s="1"/>
  <c r="K302" i="3" s="1"/>
  <c r="L302" i="3" s="1"/>
  <c r="M302" i="3" s="1"/>
  <c r="N302" i="3" s="1"/>
  <c r="O302" i="3" s="1"/>
  <c r="P302" i="3" s="1"/>
  <c r="Q302" i="3" s="1"/>
  <c r="R302" i="3" s="1"/>
  <c r="S302" i="3" s="1"/>
  <c r="T302" i="3" s="1"/>
  <c r="U302" i="3" s="1"/>
  <c r="V302" i="3" s="1"/>
  <c r="W302" i="3" s="1"/>
  <c r="X302" i="3" s="1"/>
  <c r="Y302" i="3" s="1"/>
  <c r="Z302" i="3" s="1"/>
  <c r="AA302" i="3" s="1"/>
  <c r="AB302" i="3" s="1"/>
  <c r="AC302" i="3" s="1"/>
  <c r="AD302" i="3" s="1"/>
  <c r="AE302" i="3" s="1"/>
  <c r="AF302" i="3" s="1"/>
  <c r="C303" i="3"/>
  <c r="D303" i="3" s="1"/>
  <c r="E303" i="3" s="1"/>
  <c r="F303" i="3" s="1"/>
  <c r="G303" i="3" s="1"/>
  <c r="H303" i="3" s="1"/>
  <c r="I303" i="3" s="1"/>
  <c r="J303" i="3" s="1"/>
  <c r="K303" i="3" s="1"/>
  <c r="L303" i="3" s="1"/>
  <c r="M303" i="3" s="1"/>
  <c r="N303" i="3" s="1"/>
  <c r="O303" i="3" s="1"/>
  <c r="P303" i="3" s="1"/>
  <c r="Q303" i="3" s="1"/>
  <c r="R303" i="3" s="1"/>
  <c r="S303" i="3" s="1"/>
  <c r="T303" i="3" s="1"/>
  <c r="U303" i="3" s="1"/>
  <c r="V303" i="3" s="1"/>
  <c r="W303" i="3" s="1"/>
  <c r="X303" i="3" s="1"/>
  <c r="Y303" i="3" s="1"/>
  <c r="Z303" i="3" s="1"/>
  <c r="AA303" i="3" s="1"/>
  <c r="AB303" i="3" s="1"/>
  <c r="AC303" i="3" s="1"/>
  <c r="AD303" i="3" s="1"/>
  <c r="AE303" i="3" s="1"/>
  <c r="AF303" i="3" s="1"/>
  <c r="C304" i="3"/>
  <c r="D304" i="3"/>
  <c r="E304" i="3" s="1"/>
  <c r="F304" i="3" s="1"/>
  <c r="G304" i="3" s="1"/>
  <c r="H304" i="3" s="1"/>
  <c r="I304" i="3" s="1"/>
  <c r="J304" i="3" s="1"/>
  <c r="K304" i="3" s="1"/>
  <c r="L304" i="3" s="1"/>
  <c r="M304" i="3" s="1"/>
  <c r="N304" i="3" s="1"/>
  <c r="O304" i="3" s="1"/>
  <c r="P304" i="3" s="1"/>
  <c r="Q304" i="3" s="1"/>
  <c r="R304" i="3" s="1"/>
  <c r="S304" i="3" s="1"/>
  <c r="T304" i="3" s="1"/>
  <c r="U304" i="3" s="1"/>
  <c r="V304" i="3" s="1"/>
  <c r="W304" i="3" s="1"/>
  <c r="X304" i="3" s="1"/>
  <c r="Y304" i="3" s="1"/>
  <c r="Z304" i="3" s="1"/>
  <c r="AA304" i="3" s="1"/>
  <c r="AB304" i="3" s="1"/>
  <c r="AC304" i="3" s="1"/>
  <c r="AD304" i="3" s="1"/>
  <c r="AE304" i="3" s="1"/>
  <c r="AF304" i="3" s="1"/>
  <c r="C305" i="3"/>
  <c r="D305" i="3" s="1"/>
  <c r="E305" i="3" s="1"/>
  <c r="F305" i="3" s="1"/>
  <c r="G305" i="3" s="1"/>
  <c r="H305" i="3" s="1"/>
  <c r="I305" i="3" s="1"/>
  <c r="J305" i="3" s="1"/>
  <c r="K305" i="3" s="1"/>
  <c r="L305" i="3" s="1"/>
  <c r="M305" i="3" s="1"/>
  <c r="N305" i="3" s="1"/>
  <c r="O305" i="3" s="1"/>
  <c r="P305" i="3" s="1"/>
  <c r="Q305" i="3" s="1"/>
  <c r="R305" i="3" s="1"/>
  <c r="S305" i="3" s="1"/>
  <c r="T305" i="3" s="1"/>
  <c r="U305" i="3" s="1"/>
  <c r="V305" i="3" s="1"/>
  <c r="W305" i="3" s="1"/>
  <c r="X305" i="3" s="1"/>
  <c r="Y305" i="3" s="1"/>
  <c r="Z305" i="3" s="1"/>
  <c r="AA305" i="3" s="1"/>
  <c r="AB305" i="3" s="1"/>
  <c r="AC305" i="3" s="1"/>
  <c r="AD305" i="3" s="1"/>
  <c r="AE305" i="3" s="1"/>
  <c r="AF305" i="3" s="1"/>
  <c r="C306" i="3"/>
  <c r="D306" i="3" s="1"/>
  <c r="E306" i="3" s="1"/>
  <c r="F306" i="3" s="1"/>
  <c r="G306" i="3" s="1"/>
  <c r="H306" i="3" s="1"/>
  <c r="I306" i="3" s="1"/>
  <c r="J306" i="3" s="1"/>
  <c r="K306" i="3" s="1"/>
  <c r="L306" i="3" s="1"/>
  <c r="M306" i="3" s="1"/>
  <c r="N306" i="3" s="1"/>
  <c r="O306" i="3" s="1"/>
  <c r="P306" i="3" s="1"/>
  <c r="Q306" i="3" s="1"/>
  <c r="R306" i="3" s="1"/>
  <c r="S306" i="3" s="1"/>
  <c r="T306" i="3" s="1"/>
  <c r="U306" i="3" s="1"/>
  <c r="V306" i="3" s="1"/>
  <c r="W306" i="3" s="1"/>
  <c r="X306" i="3" s="1"/>
  <c r="Y306" i="3" s="1"/>
  <c r="Z306" i="3" s="1"/>
  <c r="AA306" i="3" s="1"/>
  <c r="AB306" i="3" s="1"/>
  <c r="AC306" i="3" s="1"/>
  <c r="AD306" i="3" s="1"/>
  <c r="AE306" i="3" s="1"/>
  <c r="AF306" i="3" s="1"/>
  <c r="C307" i="3"/>
  <c r="D307" i="3" s="1"/>
  <c r="E307" i="3" s="1"/>
  <c r="F307" i="3" s="1"/>
  <c r="G307" i="3" s="1"/>
  <c r="H307" i="3" s="1"/>
  <c r="I307" i="3" s="1"/>
  <c r="J307" i="3" s="1"/>
  <c r="K307" i="3" s="1"/>
  <c r="L307" i="3" s="1"/>
  <c r="M307" i="3" s="1"/>
  <c r="N307" i="3" s="1"/>
  <c r="O307" i="3" s="1"/>
  <c r="P307" i="3" s="1"/>
  <c r="Q307" i="3" s="1"/>
  <c r="R307" i="3" s="1"/>
  <c r="S307" i="3" s="1"/>
  <c r="T307" i="3" s="1"/>
  <c r="U307" i="3" s="1"/>
  <c r="V307" i="3" s="1"/>
  <c r="W307" i="3" s="1"/>
  <c r="X307" i="3" s="1"/>
  <c r="Y307" i="3" s="1"/>
  <c r="Z307" i="3" s="1"/>
  <c r="AA307" i="3" s="1"/>
  <c r="AB307" i="3" s="1"/>
  <c r="AC307" i="3" s="1"/>
  <c r="AD307" i="3" s="1"/>
  <c r="AE307" i="3" s="1"/>
  <c r="AF307" i="3" s="1"/>
  <c r="C308" i="3"/>
  <c r="D308" i="3" s="1"/>
  <c r="E308" i="3" s="1"/>
  <c r="F308" i="3" s="1"/>
  <c r="G308" i="3" s="1"/>
  <c r="H308" i="3" s="1"/>
  <c r="I308" i="3" s="1"/>
  <c r="J308" i="3" s="1"/>
  <c r="K308" i="3" s="1"/>
  <c r="L308" i="3" s="1"/>
  <c r="M308" i="3" s="1"/>
  <c r="N308" i="3" s="1"/>
  <c r="O308" i="3" s="1"/>
  <c r="P308" i="3" s="1"/>
  <c r="Q308" i="3" s="1"/>
  <c r="R308" i="3" s="1"/>
  <c r="S308" i="3" s="1"/>
  <c r="T308" i="3" s="1"/>
  <c r="U308" i="3" s="1"/>
  <c r="V308" i="3" s="1"/>
  <c r="W308" i="3" s="1"/>
  <c r="X308" i="3" s="1"/>
  <c r="Y308" i="3" s="1"/>
  <c r="Z308" i="3" s="1"/>
  <c r="AA308" i="3" s="1"/>
  <c r="AB308" i="3" s="1"/>
  <c r="AC308" i="3" s="1"/>
  <c r="AD308" i="3" s="1"/>
  <c r="AE308" i="3" s="1"/>
  <c r="AF308" i="3" s="1"/>
  <c r="C309" i="3"/>
  <c r="D309" i="3" s="1"/>
  <c r="E309" i="3" s="1"/>
  <c r="F309" i="3" s="1"/>
  <c r="G309" i="3" s="1"/>
  <c r="H309" i="3" s="1"/>
  <c r="I309" i="3" s="1"/>
  <c r="J309" i="3" s="1"/>
  <c r="K309" i="3" s="1"/>
  <c r="L309" i="3" s="1"/>
  <c r="M309" i="3" s="1"/>
  <c r="N309" i="3" s="1"/>
  <c r="O309" i="3" s="1"/>
  <c r="P309" i="3" s="1"/>
  <c r="Q309" i="3" s="1"/>
  <c r="R309" i="3" s="1"/>
  <c r="S309" i="3" s="1"/>
  <c r="T309" i="3" s="1"/>
  <c r="U309" i="3" s="1"/>
  <c r="V309" i="3" s="1"/>
  <c r="W309" i="3" s="1"/>
  <c r="X309" i="3" s="1"/>
  <c r="Y309" i="3" s="1"/>
  <c r="Z309" i="3" s="1"/>
  <c r="AA309" i="3" s="1"/>
  <c r="AB309" i="3" s="1"/>
  <c r="AC309" i="3" s="1"/>
  <c r="AD309" i="3" s="1"/>
  <c r="AE309" i="3" s="1"/>
  <c r="AF309" i="3" s="1"/>
  <c r="C310" i="3"/>
  <c r="D310" i="3" s="1"/>
  <c r="E310" i="3" s="1"/>
  <c r="F310" i="3" s="1"/>
  <c r="G310" i="3" s="1"/>
  <c r="H310" i="3" s="1"/>
  <c r="I310" i="3" s="1"/>
  <c r="J310" i="3" s="1"/>
  <c r="K310" i="3" s="1"/>
  <c r="L310" i="3" s="1"/>
  <c r="M310" i="3" s="1"/>
  <c r="N310" i="3" s="1"/>
  <c r="O310" i="3" s="1"/>
  <c r="P310" i="3" s="1"/>
  <c r="Q310" i="3" s="1"/>
  <c r="R310" i="3" s="1"/>
  <c r="S310" i="3" s="1"/>
  <c r="T310" i="3" s="1"/>
  <c r="U310" i="3" s="1"/>
  <c r="V310" i="3" s="1"/>
  <c r="W310" i="3" s="1"/>
  <c r="X310" i="3" s="1"/>
  <c r="Y310" i="3" s="1"/>
  <c r="Z310" i="3" s="1"/>
  <c r="AA310" i="3" s="1"/>
  <c r="AB310" i="3" s="1"/>
  <c r="AC310" i="3" s="1"/>
  <c r="AD310" i="3" s="1"/>
  <c r="AE310" i="3" s="1"/>
  <c r="AF310" i="3" s="1"/>
  <c r="B311" i="3"/>
  <c r="B335" i="3" s="1"/>
  <c r="AG31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B339" i="3" l="1"/>
  <c r="O214" i="3"/>
  <c r="P214" i="3" s="1"/>
  <c r="Q214" i="3" s="1"/>
  <c r="R214" i="3" s="1"/>
  <c r="S214" i="3" s="1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D204" i="3"/>
  <c r="L182" i="3"/>
  <c r="D226" i="3"/>
  <c r="E226" i="3" s="1"/>
  <c r="F226" i="3" s="1"/>
  <c r="G226" i="3" s="1"/>
  <c r="H226" i="3" s="1"/>
  <c r="I226" i="3" s="1"/>
  <c r="J226" i="3" s="1"/>
  <c r="K226" i="3" s="1"/>
  <c r="L226" i="3" s="1"/>
  <c r="M226" i="3" s="1"/>
  <c r="N226" i="3" s="1"/>
  <c r="O226" i="3" s="1"/>
  <c r="P226" i="3" s="1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C311" i="3"/>
  <c r="Q181" i="3"/>
  <c r="E184" i="3"/>
  <c r="AB180" i="3"/>
  <c r="C335" i="3" l="1"/>
  <c r="E204" i="3"/>
  <c r="D311" i="3"/>
  <c r="AC180" i="3"/>
  <c r="R181" i="3"/>
  <c r="F184" i="3"/>
  <c r="M182" i="3"/>
  <c r="C339" i="3" l="1"/>
  <c r="D335" i="3"/>
  <c r="D339" i="3" s="1"/>
  <c r="F204" i="3"/>
  <c r="F311" i="3" s="1"/>
  <c r="E311" i="3"/>
  <c r="G184" i="3"/>
  <c r="AD180" i="3"/>
  <c r="N182" i="3"/>
  <c r="S181" i="3"/>
  <c r="E335" i="3" l="1"/>
  <c r="E339" i="3"/>
  <c r="G204" i="3"/>
  <c r="G311" i="3" s="1"/>
  <c r="F335" i="3"/>
  <c r="T181" i="3"/>
  <c r="AE180" i="3"/>
  <c r="O182" i="3"/>
  <c r="H184" i="3"/>
  <c r="F339" i="3" l="1"/>
  <c r="H204" i="3"/>
  <c r="G335" i="3"/>
  <c r="G339" i="3" s="1"/>
  <c r="I184" i="3"/>
  <c r="H311" i="3"/>
  <c r="AF180" i="3"/>
  <c r="P182" i="3"/>
  <c r="U181" i="3"/>
  <c r="I204" i="3" l="1"/>
  <c r="I311" i="3" s="1"/>
  <c r="H335" i="3"/>
  <c r="H339" i="3" s="1"/>
  <c r="V181" i="3"/>
  <c r="Q182" i="3"/>
  <c r="J184" i="3"/>
  <c r="J204" i="3" l="1"/>
  <c r="J311" i="3" s="1"/>
  <c r="I335" i="3"/>
  <c r="I339" i="3" s="1"/>
  <c r="R182" i="3"/>
  <c r="K184" i="3"/>
  <c r="W181" i="3"/>
  <c r="K204" i="3" l="1"/>
  <c r="J335" i="3"/>
  <c r="L184" i="3"/>
  <c r="X181" i="3"/>
  <c r="S182" i="3"/>
  <c r="J339" i="3" l="1"/>
  <c r="L204" i="3"/>
  <c r="K311" i="3"/>
  <c r="Y181" i="3"/>
  <c r="T182" i="3"/>
  <c r="M184" i="3"/>
  <c r="L311" i="3"/>
  <c r="K335" i="3" l="1"/>
  <c r="K339" i="3" s="1"/>
  <c r="M204" i="3"/>
  <c r="L335" i="3"/>
  <c r="U182" i="3"/>
  <c r="N184" i="3"/>
  <c r="M311" i="3"/>
  <c r="Z181" i="3"/>
  <c r="L339" i="3" l="1"/>
  <c r="N204" i="3"/>
  <c r="M335" i="3"/>
  <c r="O184" i="3"/>
  <c r="AA181" i="3"/>
  <c r="V182" i="3"/>
  <c r="M339" i="3" l="1"/>
  <c r="O204" i="3"/>
  <c r="N311" i="3"/>
  <c r="W182" i="3"/>
  <c r="P184" i="3"/>
  <c r="O311" i="3"/>
  <c r="AB181" i="3"/>
  <c r="N335" i="3" l="1"/>
  <c r="N339" i="3" s="1"/>
  <c r="P204" i="3"/>
  <c r="P311" i="3" s="1"/>
  <c r="O335" i="3"/>
  <c r="Q184" i="3"/>
  <c r="AC181" i="3"/>
  <c r="X182" i="3"/>
  <c r="O339" i="3" l="1"/>
  <c r="P339" i="3"/>
  <c r="Q204" i="3"/>
  <c r="Q311" i="3" s="1"/>
  <c r="P335" i="3"/>
  <c r="AD181" i="3"/>
  <c r="Y182" i="3"/>
  <c r="R184" i="3"/>
  <c r="R204" i="3" l="1"/>
  <c r="Q335" i="3"/>
  <c r="Z182" i="3"/>
  <c r="S184" i="3"/>
  <c r="R311" i="3"/>
  <c r="AE181" i="3"/>
  <c r="Q339" i="3" l="1"/>
  <c r="S204" i="3"/>
  <c r="R335" i="3"/>
  <c r="R339" i="3" s="1"/>
  <c r="AF181" i="3"/>
  <c r="T184" i="3"/>
  <c r="S311" i="3"/>
  <c r="AA182" i="3"/>
  <c r="T204" i="3" l="1"/>
  <c r="S335" i="3"/>
  <c r="AB182" i="3"/>
  <c r="U184" i="3"/>
  <c r="T311" i="3"/>
  <c r="S339" i="3" l="1"/>
  <c r="U204" i="3"/>
  <c r="T335" i="3"/>
  <c r="V184" i="3"/>
  <c r="AC182" i="3"/>
  <c r="T339" i="3" l="1"/>
  <c r="V204" i="3"/>
  <c r="U311" i="3"/>
  <c r="AD182" i="3"/>
  <c r="W184" i="3"/>
  <c r="V311" i="3"/>
  <c r="U335" i="3" l="1"/>
  <c r="W204" i="3"/>
  <c r="V335" i="3"/>
  <c r="AE182" i="3"/>
  <c r="X184" i="3"/>
  <c r="W311" i="3"/>
  <c r="U339" i="3" l="1"/>
  <c r="V339" i="3"/>
  <c r="X204" i="3"/>
  <c r="W335" i="3"/>
  <c r="W339" i="3" s="1"/>
  <c r="Y184" i="3"/>
  <c r="X311" i="3"/>
  <c r="AF182" i="3"/>
  <c r="Y204" i="3" l="1"/>
  <c r="X335" i="3"/>
  <c r="Z184" i="3"/>
  <c r="Y311" i="3"/>
  <c r="X339" i="3" l="1"/>
  <c r="Z204" i="3"/>
  <c r="Y335" i="3"/>
  <c r="AA184" i="3"/>
  <c r="Z311" i="3"/>
  <c r="Y339" i="3" l="1"/>
  <c r="AA204" i="3"/>
  <c r="Z335" i="3"/>
  <c r="AB184" i="3"/>
  <c r="AA311" i="3"/>
  <c r="Z339" i="3" l="1"/>
  <c r="AB204" i="3"/>
  <c r="AA335" i="3"/>
  <c r="AA339" i="3" s="1"/>
  <c r="AC184" i="3"/>
  <c r="AB311" i="3"/>
  <c r="AC204" i="3" l="1"/>
  <c r="AC311" i="3" s="1"/>
  <c r="AB335" i="3"/>
  <c r="AD184" i="3"/>
  <c r="AB339" i="3" l="1"/>
  <c r="AD204" i="3"/>
  <c r="AC335" i="3"/>
  <c r="AC339" i="3" s="1"/>
  <c r="AE184" i="3"/>
  <c r="AD311" i="3"/>
  <c r="AE204" i="3" l="1"/>
  <c r="AE311" i="3" s="1"/>
  <c r="AD335" i="3"/>
  <c r="AF184" i="3"/>
  <c r="AD339" i="3" l="1"/>
  <c r="AF204" i="3"/>
  <c r="AF311" i="3" s="1"/>
  <c r="AE335" i="3"/>
  <c r="AE339" i="3" l="1"/>
  <c r="AF335" i="3"/>
  <c r="AF339" i="3" l="1"/>
  <c r="AN185" i="3" l="1"/>
  <c r="AM185" i="3"/>
  <c r="AO184" i="3"/>
  <c r="AO183" i="3"/>
  <c r="AO182" i="3"/>
  <c r="AM178" i="3"/>
  <c r="AG178" i="3"/>
  <c r="AG101" i="3" s="1"/>
  <c r="AG102" i="3" s="1"/>
  <c r="AG3" i="3" s="1"/>
  <c r="AN177" i="3"/>
  <c r="AO177" i="3" s="1"/>
  <c r="C177" i="3"/>
  <c r="D177" i="3" s="1"/>
  <c r="E177" i="3" s="1"/>
  <c r="F177" i="3" s="1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N176" i="3"/>
  <c r="AO176" i="3" s="1"/>
  <c r="C176" i="3"/>
  <c r="D176" i="3" s="1"/>
  <c r="E176" i="3" s="1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AN175" i="3"/>
  <c r="AO175" i="3" s="1"/>
  <c r="C175" i="3"/>
  <c r="D175" i="3" s="1"/>
  <c r="E175" i="3" s="1"/>
  <c r="F175" i="3" s="1"/>
  <c r="G175" i="3" s="1"/>
  <c r="H175" i="3" s="1"/>
  <c r="I175" i="3" s="1"/>
  <c r="J175" i="3" s="1"/>
  <c r="K175" i="3" s="1"/>
  <c r="L175" i="3" s="1"/>
  <c r="M175" i="3" s="1"/>
  <c r="N175" i="3" s="1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AN174" i="3"/>
  <c r="AO174" i="3" s="1"/>
  <c r="D174" i="3"/>
  <c r="E174" i="3" s="1"/>
  <c r="F174" i="3" s="1"/>
  <c r="G174" i="3" s="1"/>
  <c r="H174" i="3" s="1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C174" i="3"/>
  <c r="AN173" i="3"/>
  <c r="AO173" i="3" s="1"/>
  <c r="C173" i="3"/>
  <c r="D173" i="3" s="1"/>
  <c r="E173" i="3" s="1"/>
  <c r="F173" i="3" s="1"/>
  <c r="G173" i="3" s="1"/>
  <c r="H173" i="3" s="1"/>
  <c r="I173" i="3" s="1"/>
  <c r="J173" i="3" s="1"/>
  <c r="K173" i="3" s="1"/>
  <c r="L173" i="3" s="1"/>
  <c r="M173" i="3" s="1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AN172" i="3"/>
  <c r="AO172" i="3" s="1"/>
  <c r="C172" i="3"/>
  <c r="AN171" i="3"/>
  <c r="AO171" i="3" s="1"/>
  <c r="AN170" i="3"/>
  <c r="AO170" i="3" s="1"/>
  <c r="AF170" i="3" a="1"/>
  <c r="AF170" i="3" s="1"/>
  <c r="AE170" i="3" a="1"/>
  <c r="AE170" i="3" s="1"/>
  <c r="AD170" i="3" a="1"/>
  <c r="AD170" i="3" s="1"/>
  <c r="AC170" i="3" a="1"/>
  <c r="AC170" i="3" s="1"/>
  <c r="AB170" i="3" a="1"/>
  <c r="AB170" i="3" s="1"/>
  <c r="AA170" i="3" a="1"/>
  <c r="AA170" i="3" s="1"/>
  <c r="Z170" i="3" a="1"/>
  <c r="Z170" i="3" s="1"/>
  <c r="Y170" i="3" a="1"/>
  <c r="Y170" i="3" s="1"/>
  <c r="X170" i="3" a="1"/>
  <c r="X170" i="3" s="1"/>
  <c r="W170" i="3" a="1"/>
  <c r="W170" i="3" s="1"/>
  <c r="V170" i="3" a="1"/>
  <c r="V170" i="3" s="1"/>
  <c r="U170" i="3" a="1"/>
  <c r="U170" i="3" s="1"/>
  <c r="T170" i="3" a="1"/>
  <c r="T170" i="3" s="1"/>
  <c r="S170" i="3" a="1"/>
  <c r="S170" i="3" s="1"/>
  <c r="R170" i="3" a="1"/>
  <c r="R170" i="3" s="1"/>
  <c r="Q170" i="3" a="1"/>
  <c r="Q170" i="3" s="1"/>
  <c r="P170" i="3" a="1"/>
  <c r="P170" i="3" s="1"/>
  <c r="O170" i="3" a="1"/>
  <c r="O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B170" i="3" a="1"/>
  <c r="B170" i="3" s="1"/>
  <c r="AN169" i="3"/>
  <c r="AO169" i="3" s="1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I168" i="3"/>
  <c r="AH168" i="3"/>
  <c r="A168" i="3" a="1"/>
  <c r="A168" i="3" s="1"/>
  <c r="AI167" i="3"/>
  <c r="AH167" i="3"/>
  <c r="AI166" i="3"/>
  <c r="AH166" i="3"/>
  <c r="AM165" i="3"/>
  <c r="AI165" i="3"/>
  <c r="AH165" i="3"/>
  <c r="AN164" i="3"/>
  <c r="AO164" i="3" s="1"/>
  <c r="AI164" i="3"/>
  <c r="AH164" i="3"/>
  <c r="AN163" i="3"/>
  <c r="AO163" i="3" s="1"/>
  <c r="AI163" i="3"/>
  <c r="AH163" i="3"/>
  <c r="A163" i="3" a="1"/>
  <c r="A163" i="3" s="1"/>
  <c r="AN162" i="3"/>
  <c r="AO162" i="3" s="1"/>
  <c r="AI162" i="3"/>
  <c r="AH162" i="3"/>
  <c r="AN161" i="3"/>
  <c r="AO161" i="3" s="1"/>
  <c r="AI161" i="3"/>
  <c r="AH161" i="3"/>
  <c r="AI160" i="3"/>
  <c r="AH160" i="3"/>
  <c r="AI159" i="3"/>
  <c r="AH159" i="3"/>
  <c r="AI158" i="3"/>
  <c r="AH158" i="3"/>
  <c r="AM157" i="3"/>
  <c r="AI157" i="3"/>
  <c r="AH157" i="3"/>
  <c r="AN156" i="3"/>
  <c r="AO156" i="3" s="1"/>
  <c r="AI156" i="3"/>
  <c r="AH156" i="3"/>
  <c r="AN155" i="3"/>
  <c r="AO155" i="3" s="1"/>
  <c r="AN154" i="3"/>
  <c r="AO154" i="3" s="1"/>
  <c r="AN153" i="3"/>
  <c r="AO153" i="3" s="1"/>
  <c r="AI152" i="3"/>
  <c r="AH152" i="3"/>
  <c r="AI151" i="3"/>
  <c r="AH151" i="3"/>
  <c r="AI150" i="3"/>
  <c r="AH150" i="3"/>
  <c r="AM149" i="3"/>
  <c r="AI149" i="3"/>
  <c r="AH149" i="3"/>
  <c r="AN148" i="3"/>
  <c r="AO148" i="3" s="1"/>
  <c r="AI148" i="3"/>
  <c r="AH148" i="3"/>
  <c r="AN147" i="3"/>
  <c r="AO147" i="3" s="1"/>
  <c r="AI147" i="3"/>
  <c r="AH147" i="3"/>
  <c r="AN146" i="3"/>
  <c r="AO146" i="3" s="1"/>
  <c r="AI146" i="3"/>
  <c r="AH146" i="3"/>
  <c r="AN145" i="3"/>
  <c r="AI144" i="3"/>
  <c r="AH144" i="3"/>
  <c r="AI143" i="3"/>
  <c r="AH143" i="3"/>
  <c r="AI142" i="3"/>
  <c r="AH142" i="3"/>
  <c r="AI141" i="3"/>
  <c r="AH141" i="3"/>
  <c r="AI140" i="3"/>
  <c r="AH140" i="3"/>
  <c r="AI139" i="3"/>
  <c r="AH139" i="3"/>
  <c r="AI138" i="3"/>
  <c r="AH138" i="3"/>
  <c r="AI137" i="3"/>
  <c r="AH137" i="3"/>
  <c r="AI136" i="3"/>
  <c r="AH136" i="3"/>
  <c r="AI135" i="3"/>
  <c r="AH135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I124" i="3"/>
  <c r="AH124" i="3"/>
  <c r="AI122" i="3"/>
  <c r="AH122" i="3"/>
  <c r="AG122" i="3"/>
  <c r="AI121" i="3"/>
  <c r="AH121" i="3"/>
  <c r="AI120" i="3"/>
  <c r="AH120" i="3"/>
  <c r="AI119" i="3"/>
  <c r="AH119" i="3"/>
  <c r="AG118" i="3"/>
  <c r="AF118" i="3"/>
  <c r="AE118" i="3"/>
  <c r="AD5" i="3" s="1"/>
  <c r="AD118" i="3"/>
  <c r="BH19" i="3" s="1"/>
  <c r="AC118" i="3"/>
  <c r="AB118" i="3"/>
  <c r="BG19" i="3" s="1"/>
  <c r="AA118" i="3"/>
  <c r="Z5" i="3" s="1"/>
  <c r="Z118" i="3"/>
  <c r="Y118" i="3"/>
  <c r="X118" i="3"/>
  <c r="W118" i="3"/>
  <c r="V5" i="3" s="1"/>
  <c r="V118" i="3"/>
  <c r="BD19" i="3" s="1"/>
  <c r="U118" i="3"/>
  <c r="BC19" i="3" s="1"/>
  <c r="T118" i="3"/>
  <c r="S118" i="3"/>
  <c r="BA19" i="3" s="1"/>
  <c r="R118" i="3"/>
  <c r="Q118" i="3"/>
  <c r="AY19" i="3" s="1"/>
  <c r="P118" i="3"/>
  <c r="O118" i="3"/>
  <c r="AW19" i="3" s="1"/>
  <c r="N118" i="3"/>
  <c r="M118" i="3"/>
  <c r="L5" i="3" s="1"/>
  <c r="L118" i="3"/>
  <c r="K118" i="3"/>
  <c r="AT19" i="3" s="1"/>
  <c r="J118" i="3"/>
  <c r="I118" i="3"/>
  <c r="H5" i="3" s="1"/>
  <c r="H118" i="3"/>
  <c r="G5" i="3" s="1"/>
  <c r="G118" i="3"/>
  <c r="AR19" i="3" s="1"/>
  <c r="F118" i="3"/>
  <c r="E118" i="3"/>
  <c r="D118" i="3"/>
  <c r="AO19" i="3" s="1"/>
  <c r="C118" i="3"/>
  <c r="B5" i="3" s="1"/>
  <c r="B118" i="3"/>
  <c r="AI117" i="3"/>
  <c r="AH117" i="3"/>
  <c r="AI116" i="3"/>
  <c r="AH116" i="3"/>
  <c r="AI115" i="3"/>
  <c r="AH115" i="3"/>
  <c r="AI114" i="3"/>
  <c r="AH114" i="3"/>
  <c r="AI113" i="3"/>
  <c r="AH113" i="3"/>
  <c r="AI112" i="3"/>
  <c r="AH112" i="3"/>
  <c r="AI111" i="3"/>
  <c r="AH111" i="3"/>
  <c r="AI110" i="3"/>
  <c r="AH110" i="3"/>
  <c r="AI109" i="3"/>
  <c r="AH109" i="3"/>
  <c r="AI108" i="3"/>
  <c r="AH108" i="3"/>
  <c r="AI107" i="3"/>
  <c r="AH107" i="3"/>
  <c r="AG106" i="3"/>
  <c r="AG4" i="3" s="1"/>
  <c r="AF106" i="3"/>
  <c r="BJ20" i="3" s="1"/>
  <c r="AE106" i="3"/>
  <c r="BI20" i="3" s="1"/>
  <c r="AD106" i="3"/>
  <c r="BH20" i="3" s="1"/>
  <c r="AC106" i="3"/>
  <c r="AB106" i="3"/>
  <c r="BG20" i="3" s="1"/>
  <c r="AA106" i="3"/>
  <c r="Z106" i="3"/>
  <c r="BF20" i="3" s="1"/>
  <c r="Y106" i="3"/>
  <c r="X106" i="3"/>
  <c r="BE20" i="3" s="1"/>
  <c r="W106" i="3"/>
  <c r="V106" i="3"/>
  <c r="U106" i="3"/>
  <c r="BC20" i="3" s="1"/>
  <c r="T106" i="3"/>
  <c r="S106" i="3"/>
  <c r="BA20" i="3" s="1"/>
  <c r="R106" i="3"/>
  <c r="AZ20" i="3" s="1"/>
  <c r="Q106" i="3"/>
  <c r="AY20" i="3" s="1"/>
  <c r="P106" i="3"/>
  <c r="AX20" i="3" s="1"/>
  <c r="O106" i="3"/>
  <c r="AW20" i="3" s="1"/>
  <c r="N106" i="3"/>
  <c r="AV20" i="3" s="1"/>
  <c r="M106" i="3"/>
  <c r="AU20" i="3" s="1"/>
  <c r="L106" i="3"/>
  <c r="K106" i="3"/>
  <c r="AT20" i="3" s="1"/>
  <c r="J106" i="3"/>
  <c r="I106" i="3"/>
  <c r="AS20" i="3" s="1"/>
  <c r="H106" i="3"/>
  <c r="G106" i="3"/>
  <c r="AR20" i="3" s="1"/>
  <c r="F106" i="3"/>
  <c r="AQ20" i="3" s="1"/>
  <c r="E106" i="3"/>
  <c r="AP20" i="3" s="1"/>
  <c r="D106" i="3"/>
  <c r="AO20" i="3" s="1"/>
  <c r="C106" i="3"/>
  <c r="AN20" i="3" s="1"/>
  <c r="B106" i="3"/>
  <c r="AI105" i="3"/>
  <c r="AH105" i="3"/>
  <c r="AI104" i="3"/>
  <c r="AH104" i="3"/>
  <c r="AI103" i="3"/>
  <c r="AH103" i="3"/>
  <c r="AF102" i="3"/>
  <c r="BJ18" i="3" s="1"/>
  <c r="AE102" i="3"/>
  <c r="BI18" i="3" s="1"/>
  <c r="AD102" i="3"/>
  <c r="BH18" i="3" s="1"/>
  <c r="AC102" i="3"/>
  <c r="AB102" i="3"/>
  <c r="BG18" i="3" s="1"/>
  <c r="AA102" i="3"/>
  <c r="Z102" i="3"/>
  <c r="BF18" i="3" s="1"/>
  <c r="Y102" i="3"/>
  <c r="X102" i="3"/>
  <c r="BE18" i="3" s="1"/>
  <c r="W102" i="3"/>
  <c r="V102" i="3"/>
  <c r="BD18" i="3" s="1"/>
  <c r="U102" i="3"/>
  <c r="BC18" i="3" s="1"/>
  <c r="T102" i="3"/>
  <c r="BB18" i="3" s="1"/>
  <c r="S102" i="3"/>
  <c r="BA18" i="3" s="1"/>
  <c r="R102" i="3"/>
  <c r="AZ18" i="3" s="1"/>
  <c r="Q102" i="3"/>
  <c r="AY18" i="3" s="1"/>
  <c r="P102" i="3"/>
  <c r="AX18" i="3" s="1"/>
  <c r="O102" i="3"/>
  <c r="AW18" i="3" s="1"/>
  <c r="N102" i="3"/>
  <c r="AV18" i="3" s="1"/>
  <c r="M102" i="3"/>
  <c r="AU18" i="3" s="1"/>
  <c r="L102" i="3"/>
  <c r="K102" i="3"/>
  <c r="AT18" i="3" s="1"/>
  <c r="J102" i="3"/>
  <c r="I102" i="3"/>
  <c r="AS18" i="3" s="1"/>
  <c r="H102" i="3"/>
  <c r="G102" i="3"/>
  <c r="AR18" i="3" s="1"/>
  <c r="F102" i="3"/>
  <c r="AQ18" i="3" s="1"/>
  <c r="E102" i="3"/>
  <c r="AP18" i="3" s="1"/>
  <c r="D102" i="3"/>
  <c r="AO18" i="3" s="1"/>
  <c r="C102" i="3"/>
  <c r="B102" i="3"/>
  <c r="AM18" i="3" s="1"/>
  <c r="AI101" i="3"/>
  <c r="AH101" i="3"/>
  <c r="AI100" i="3"/>
  <c r="AH100" i="3"/>
  <c r="AI99" i="3"/>
  <c r="AH99" i="3"/>
  <c r="AI98" i="3"/>
  <c r="AH98" i="3"/>
  <c r="AI97" i="3"/>
  <c r="AH97" i="3"/>
  <c r="AI96" i="3"/>
  <c r="AH96" i="3"/>
  <c r="AI95" i="3"/>
  <c r="AH95" i="3"/>
  <c r="BW94" i="3"/>
  <c r="BW101" i="3" s="1"/>
  <c r="BV94" i="3"/>
  <c r="BV101" i="3" s="1"/>
  <c r="BU94" i="3"/>
  <c r="BU101" i="3" s="1"/>
  <c r="BT94" i="3"/>
  <c r="BT101" i="3" s="1"/>
  <c r="BS94" i="3"/>
  <c r="BS101" i="3" s="1"/>
  <c r="BR94" i="3"/>
  <c r="BR101" i="3" s="1"/>
  <c r="BQ94" i="3"/>
  <c r="BQ101" i="3" s="1"/>
  <c r="BP94" i="3"/>
  <c r="BP101" i="3" s="1"/>
  <c r="BO94" i="3"/>
  <c r="BO101" i="3" s="1"/>
  <c r="BN94" i="3"/>
  <c r="BN101" i="3" s="1"/>
  <c r="BM94" i="3"/>
  <c r="BM101" i="3" s="1"/>
  <c r="BL94" i="3"/>
  <c r="BL101" i="3" s="1"/>
  <c r="BK94" i="3"/>
  <c r="BK101" i="3" s="1"/>
  <c r="BJ94" i="3"/>
  <c r="BJ101" i="3" s="1"/>
  <c r="BI94" i="3"/>
  <c r="BI101" i="3" s="1"/>
  <c r="BH94" i="3"/>
  <c r="BH101" i="3" s="1"/>
  <c r="BG94" i="3"/>
  <c r="BG101" i="3" s="1"/>
  <c r="BF94" i="3"/>
  <c r="BF101" i="3" s="1"/>
  <c r="BE94" i="3"/>
  <c r="BE101" i="3" s="1"/>
  <c r="BD94" i="3"/>
  <c r="BD101" i="3" s="1"/>
  <c r="BC94" i="3"/>
  <c r="BC101" i="3" s="1"/>
  <c r="BB94" i="3"/>
  <c r="BB101" i="3" s="1"/>
  <c r="BA94" i="3"/>
  <c r="BA101" i="3" s="1"/>
  <c r="AZ94" i="3"/>
  <c r="AZ101" i="3" s="1"/>
  <c r="AI94" i="3"/>
  <c r="AH94" i="3"/>
  <c r="BW93" i="3"/>
  <c r="BW100" i="3" s="1"/>
  <c r="BV93" i="3"/>
  <c r="BV100" i="3" s="1"/>
  <c r="BU93" i="3"/>
  <c r="BU100" i="3" s="1"/>
  <c r="BT93" i="3"/>
  <c r="BT100" i="3" s="1"/>
  <c r="BS93" i="3"/>
  <c r="BS100" i="3" s="1"/>
  <c r="BR93" i="3"/>
  <c r="BR100" i="3" s="1"/>
  <c r="BQ93" i="3"/>
  <c r="BQ100" i="3" s="1"/>
  <c r="BP93" i="3"/>
  <c r="BP100" i="3" s="1"/>
  <c r="BO93" i="3"/>
  <c r="BO100" i="3" s="1"/>
  <c r="BN93" i="3"/>
  <c r="BN100" i="3" s="1"/>
  <c r="BM93" i="3"/>
  <c r="BM100" i="3" s="1"/>
  <c r="BL93" i="3"/>
  <c r="BL100" i="3" s="1"/>
  <c r="BK93" i="3"/>
  <c r="BK100" i="3" s="1"/>
  <c r="BJ93" i="3"/>
  <c r="BJ100" i="3" s="1"/>
  <c r="BI93" i="3"/>
  <c r="BI100" i="3" s="1"/>
  <c r="BH93" i="3"/>
  <c r="BH100" i="3" s="1"/>
  <c r="BG93" i="3"/>
  <c r="BG100" i="3" s="1"/>
  <c r="BF93" i="3"/>
  <c r="BF100" i="3" s="1"/>
  <c r="BE93" i="3"/>
  <c r="BE100" i="3" s="1"/>
  <c r="BD93" i="3"/>
  <c r="BD100" i="3" s="1"/>
  <c r="BC93" i="3"/>
  <c r="BC100" i="3" s="1"/>
  <c r="BB93" i="3"/>
  <c r="BB100" i="3" s="1"/>
  <c r="BA93" i="3"/>
  <c r="BA100" i="3" s="1"/>
  <c r="AZ93" i="3"/>
  <c r="AZ100" i="3" s="1"/>
  <c r="AI93" i="3"/>
  <c r="AH93" i="3"/>
  <c r="BW92" i="3"/>
  <c r="BW99" i="3" s="1"/>
  <c r="BV92" i="3"/>
  <c r="BV99" i="3" s="1"/>
  <c r="BU92" i="3"/>
  <c r="BU99" i="3" s="1"/>
  <c r="BT92" i="3"/>
  <c r="BT99" i="3" s="1"/>
  <c r="BS92" i="3"/>
  <c r="BS99" i="3" s="1"/>
  <c r="BR92" i="3"/>
  <c r="BR99" i="3" s="1"/>
  <c r="BQ92" i="3"/>
  <c r="BQ99" i="3" s="1"/>
  <c r="BP92" i="3"/>
  <c r="BP99" i="3" s="1"/>
  <c r="BO92" i="3"/>
  <c r="BO99" i="3" s="1"/>
  <c r="BN92" i="3"/>
  <c r="BN99" i="3" s="1"/>
  <c r="BM92" i="3"/>
  <c r="BM99" i="3" s="1"/>
  <c r="BL92" i="3"/>
  <c r="BL99" i="3" s="1"/>
  <c r="BK92" i="3"/>
  <c r="BK99" i="3" s="1"/>
  <c r="BJ92" i="3"/>
  <c r="BJ99" i="3" s="1"/>
  <c r="BI92" i="3"/>
  <c r="BI99" i="3" s="1"/>
  <c r="BH92" i="3"/>
  <c r="BH99" i="3" s="1"/>
  <c r="BG92" i="3"/>
  <c r="BG99" i="3" s="1"/>
  <c r="BF92" i="3"/>
  <c r="BF99" i="3" s="1"/>
  <c r="BE92" i="3"/>
  <c r="BE99" i="3" s="1"/>
  <c r="BD92" i="3"/>
  <c r="BD99" i="3" s="1"/>
  <c r="BC92" i="3"/>
  <c r="BC99" i="3" s="1"/>
  <c r="BB92" i="3"/>
  <c r="BB99" i="3" s="1"/>
  <c r="BA92" i="3"/>
  <c r="BA99" i="3" s="1"/>
  <c r="AZ92" i="3"/>
  <c r="AZ99" i="3" s="1"/>
  <c r="AI92" i="3"/>
  <c r="AH92" i="3"/>
  <c r="BW91" i="3"/>
  <c r="BW98" i="3" s="1"/>
  <c r="BV91" i="3"/>
  <c r="BV98" i="3" s="1"/>
  <c r="BU91" i="3"/>
  <c r="BU98" i="3" s="1"/>
  <c r="BT91" i="3"/>
  <c r="BT98" i="3" s="1"/>
  <c r="BS91" i="3"/>
  <c r="BS98" i="3" s="1"/>
  <c r="BR91" i="3"/>
  <c r="BR98" i="3" s="1"/>
  <c r="BQ91" i="3"/>
  <c r="BQ98" i="3" s="1"/>
  <c r="BP91" i="3"/>
  <c r="BP98" i="3" s="1"/>
  <c r="BO91" i="3"/>
  <c r="BO98" i="3" s="1"/>
  <c r="BN91" i="3"/>
  <c r="BN98" i="3" s="1"/>
  <c r="BM91" i="3"/>
  <c r="BM98" i="3" s="1"/>
  <c r="BL91" i="3"/>
  <c r="BL98" i="3" s="1"/>
  <c r="BK91" i="3"/>
  <c r="BK98" i="3" s="1"/>
  <c r="BJ91" i="3"/>
  <c r="BJ98" i="3" s="1"/>
  <c r="BI91" i="3"/>
  <c r="BI98" i="3" s="1"/>
  <c r="BH91" i="3"/>
  <c r="BH98" i="3" s="1"/>
  <c r="BG91" i="3"/>
  <c r="BG98" i="3" s="1"/>
  <c r="BF91" i="3"/>
  <c r="BF98" i="3" s="1"/>
  <c r="BE91" i="3"/>
  <c r="BE98" i="3" s="1"/>
  <c r="BD91" i="3"/>
  <c r="BD98" i="3" s="1"/>
  <c r="BC91" i="3"/>
  <c r="BC98" i="3" s="1"/>
  <c r="BB91" i="3"/>
  <c r="BB98" i="3" s="1"/>
  <c r="BA91" i="3"/>
  <c r="BA98" i="3" s="1"/>
  <c r="AZ91" i="3"/>
  <c r="AZ98" i="3" s="1"/>
  <c r="AI91" i="3"/>
  <c r="AH91" i="3"/>
  <c r="BW90" i="3"/>
  <c r="BW97" i="3" s="1"/>
  <c r="BV90" i="3"/>
  <c r="BV97" i="3" s="1"/>
  <c r="BU90" i="3"/>
  <c r="BU97" i="3" s="1"/>
  <c r="BT90" i="3"/>
  <c r="BT97" i="3" s="1"/>
  <c r="BS90" i="3"/>
  <c r="BS97" i="3" s="1"/>
  <c r="BR90" i="3"/>
  <c r="BR97" i="3" s="1"/>
  <c r="BQ90" i="3"/>
  <c r="BQ97" i="3" s="1"/>
  <c r="BP90" i="3"/>
  <c r="BP97" i="3" s="1"/>
  <c r="BO90" i="3"/>
  <c r="BO97" i="3" s="1"/>
  <c r="BN90" i="3"/>
  <c r="BN97" i="3" s="1"/>
  <c r="BM90" i="3"/>
  <c r="BM97" i="3" s="1"/>
  <c r="BL90" i="3"/>
  <c r="BL97" i="3" s="1"/>
  <c r="BK90" i="3"/>
  <c r="BK97" i="3" s="1"/>
  <c r="BJ90" i="3"/>
  <c r="BJ97" i="3" s="1"/>
  <c r="BI90" i="3"/>
  <c r="BI97" i="3" s="1"/>
  <c r="BH90" i="3"/>
  <c r="BH97" i="3" s="1"/>
  <c r="BG90" i="3"/>
  <c r="BG97" i="3" s="1"/>
  <c r="BF90" i="3"/>
  <c r="BF97" i="3" s="1"/>
  <c r="BE90" i="3"/>
  <c r="BE97" i="3" s="1"/>
  <c r="BD90" i="3"/>
  <c r="BD97" i="3" s="1"/>
  <c r="BC90" i="3"/>
  <c r="BC97" i="3" s="1"/>
  <c r="BB90" i="3"/>
  <c r="BB97" i="3" s="1"/>
  <c r="BA90" i="3"/>
  <c r="BA97" i="3" s="1"/>
  <c r="AZ90" i="3"/>
  <c r="AZ97" i="3" s="1"/>
  <c r="AI90" i="3"/>
  <c r="AH90" i="3"/>
  <c r="BW89" i="3"/>
  <c r="BW96" i="3" s="1"/>
  <c r="BV89" i="3"/>
  <c r="BV96" i="3" s="1"/>
  <c r="BU89" i="3"/>
  <c r="BU96" i="3" s="1"/>
  <c r="BT89" i="3"/>
  <c r="BT96" i="3" s="1"/>
  <c r="BS89" i="3"/>
  <c r="BS96" i="3" s="1"/>
  <c r="BR89" i="3"/>
  <c r="BR96" i="3" s="1"/>
  <c r="BQ89" i="3"/>
  <c r="BQ96" i="3" s="1"/>
  <c r="BP89" i="3"/>
  <c r="BP96" i="3" s="1"/>
  <c r="BO89" i="3"/>
  <c r="BO96" i="3" s="1"/>
  <c r="BN89" i="3"/>
  <c r="BN96" i="3" s="1"/>
  <c r="BM89" i="3"/>
  <c r="BM96" i="3" s="1"/>
  <c r="BL89" i="3"/>
  <c r="BL96" i="3" s="1"/>
  <c r="BK89" i="3"/>
  <c r="BK96" i="3" s="1"/>
  <c r="BJ89" i="3"/>
  <c r="BJ96" i="3" s="1"/>
  <c r="BI89" i="3"/>
  <c r="BI96" i="3" s="1"/>
  <c r="BH89" i="3"/>
  <c r="BH96" i="3" s="1"/>
  <c r="BG89" i="3"/>
  <c r="BG96" i="3" s="1"/>
  <c r="BF89" i="3"/>
  <c r="BF96" i="3" s="1"/>
  <c r="BE89" i="3"/>
  <c r="BE96" i="3" s="1"/>
  <c r="BD89" i="3"/>
  <c r="BD96" i="3" s="1"/>
  <c r="BC89" i="3"/>
  <c r="BC96" i="3" s="1"/>
  <c r="BB89" i="3"/>
  <c r="BB96" i="3" s="1"/>
  <c r="BA89" i="3"/>
  <c r="BA96" i="3" s="1"/>
  <c r="AZ89" i="3"/>
  <c r="AI89" i="3"/>
  <c r="AH89" i="3"/>
  <c r="AG88" i="3"/>
  <c r="AF88" i="3"/>
  <c r="AE88" i="3"/>
  <c r="BI17" i="3" s="1"/>
  <c r="AD88" i="3"/>
  <c r="BH17" i="3" s="1"/>
  <c r="AC88" i="3"/>
  <c r="AB88" i="3"/>
  <c r="BG17" i="3" s="1"/>
  <c r="AA88" i="3"/>
  <c r="Z88" i="3"/>
  <c r="BF17" i="3" s="1"/>
  <c r="Y88" i="3"/>
  <c r="X88" i="3"/>
  <c r="W88" i="3"/>
  <c r="V88" i="3"/>
  <c r="BD17" i="3" s="1"/>
  <c r="U88" i="3"/>
  <c r="BC17" i="3" s="1"/>
  <c r="T88" i="3"/>
  <c r="BB17" i="3" s="1"/>
  <c r="S88" i="3"/>
  <c r="BA17" i="3" s="1"/>
  <c r="AZ17" i="3"/>
  <c r="Q88" i="3"/>
  <c r="AY17" i="3" s="1"/>
  <c r="P88" i="3"/>
  <c r="AX17" i="3" s="1"/>
  <c r="O88" i="3"/>
  <c r="AW17" i="3" s="1"/>
  <c r="N88" i="3"/>
  <c r="M88" i="3"/>
  <c r="AU17" i="3" s="1"/>
  <c r="L88" i="3"/>
  <c r="K88" i="3"/>
  <c r="AT17" i="3" s="1"/>
  <c r="J88" i="3"/>
  <c r="I88" i="3"/>
  <c r="AS17" i="3" s="1"/>
  <c r="H88" i="3"/>
  <c r="G88" i="3"/>
  <c r="AR17" i="3" s="1"/>
  <c r="F88" i="3"/>
  <c r="AQ17" i="3" s="1"/>
  <c r="E88" i="3"/>
  <c r="AP17" i="3" s="1"/>
  <c r="D88" i="3"/>
  <c r="AO17" i="3" s="1"/>
  <c r="C88" i="3"/>
  <c r="AN17" i="3" s="1"/>
  <c r="AI82" i="3"/>
  <c r="AH82" i="3"/>
  <c r="AF81" i="3"/>
  <c r="BJ16" i="3" s="1"/>
  <c r="AE81" i="3"/>
  <c r="BI16" i="3" s="1"/>
  <c r="AD81" i="3"/>
  <c r="BH16" i="3" s="1"/>
  <c r="AC81" i="3"/>
  <c r="AB81" i="3"/>
  <c r="AA81" i="3"/>
  <c r="Z81" i="3"/>
  <c r="BF16" i="3" s="1"/>
  <c r="Y81" i="3"/>
  <c r="X81" i="3"/>
  <c r="BE16" i="3" s="1"/>
  <c r="W81" i="3"/>
  <c r="V81" i="3"/>
  <c r="BD16" i="3" s="1"/>
  <c r="U81" i="3"/>
  <c r="T81" i="3"/>
  <c r="S81" i="3"/>
  <c r="BA16" i="3" s="1"/>
  <c r="R81" i="3"/>
  <c r="Q81" i="3"/>
  <c r="AY16" i="3" s="1"/>
  <c r="P81" i="3"/>
  <c r="O81" i="3"/>
  <c r="AW16" i="3" s="1"/>
  <c r="N81" i="3"/>
  <c r="AV16" i="3" s="1"/>
  <c r="M81" i="3"/>
  <c r="L81" i="3"/>
  <c r="K81" i="3"/>
  <c r="AT16" i="3" s="1"/>
  <c r="J81" i="3"/>
  <c r="I81" i="3"/>
  <c r="H81" i="3"/>
  <c r="G81" i="3"/>
  <c r="F81" i="3"/>
  <c r="AQ16" i="3" s="1"/>
  <c r="E81" i="3"/>
  <c r="D81" i="3"/>
  <c r="C81" i="3"/>
  <c r="AN16" i="3" s="1"/>
  <c r="B81" i="3"/>
  <c r="AM16" i="3" s="1"/>
  <c r="AI80" i="3"/>
  <c r="AH80" i="3"/>
  <c r="AI79" i="3"/>
  <c r="AH79" i="3"/>
  <c r="AI78" i="3"/>
  <c r="AH78" i="3"/>
  <c r="AI77" i="3"/>
  <c r="AH77" i="3"/>
  <c r="AI76" i="3"/>
  <c r="AH76" i="3"/>
  <c r="AI75" i="3"/>
  <c r="AH75" i="3"/>
  <c r="AI74" i="3"/>
  <c r="AH74" i="3"/>
  <c r="AI73" i="3"/>
  <c r="AH73" i="3"/>
  <c r="AI72" i="3"/>
  <c r="AH72" i="3"/>
  <c r="AI71" i="3"/>
  <c r="AH71" i="3"/>
  <c r="AI70" i="3"/>
  <c r="AH70" i="3"/>
  <c r="AI69" i="3"/>
  <c r="AH69" i="3"/>
  <c r="AI68" i="3"/>
  <c r="AH68" i="3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I21" i="3"/>
  <c r="AH21" i="3"/>
  <c r="BB20" i="3"/>
  <c r="AI20" i="3"/>
  <c r="AH20" i="3"/>
  <c r="BF19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L12" i="3"/>
  <c r="AI12" i="3"/>
  <c r="AH12" i="3"/>
  <c r="AI11" i="3"/>
  <c r="AH11" i="3"/>
  <c r="K6" i="3"/>
  <c r="AC5" i="3"/>
  <c r="K4" i="3"/>
  <c r="E4" i="3"/>
  <c r="H4" i="3" s="1"/>
  <c r="B4" i="3"/>
  <c r="AL13" i="3" s="1"/>
  <c r="AN19" i="3" l="1"/>
  <c r="AU19" i="3"/>
  <c r="AN149" i="3"/>
  <c r="AO149" i="3" s="1"/>
  <c r="N5" i="3"/>
  <c r="BI19" i="3"/>
  <c r="BI22" i="3" s="1"/>
  <c r="E133" i="3"/>
  <c r="AP23" i="3" s="1"/>
  <c r="M133" i="3"/>
  <c r="AU23" i="3" s="1"/>
  <c r="U133" i="3"/>
  <c r="BC23" i="3" s="1"/>
  <c r="Y133" i="3"/>
  <c r="AC133" i="3"/>
  <c r="AC134" i="3" s="1"/>
  <c r="F5" i="3"/>
  <c r="R5" i="3"/>
  <c r="J5" i="3"/>
  <c r="T5" i="3"/>
  <c r="AS19" i="3"/>
  <c r="AI130" i="3"/>
  <c r="BA22" i="3"/>
  <c r="U5" i="3"/>
  <c r="AO145" i="3"/>
  <c r="BH22" i="3"/>
  <c r="C133" i="3"/>
  <c r="K133" i="3"/>
  <c r="AT23" i="3" s="1"/>
  <c r="S133" i="3"/>
  <c r="S134" i="3" s="1"/>
  <c r="AE133" i="3"/>
  <c r="BI23" i="3" s="1"/>
  <c r="L133" i="3"/>
  <c r="T133" i="3"/>
  <c r="BB23" i="3" s="1"/>
  <c r="Y145" i="3"/>
  <c r="C145" i="3"/>
  <c r="V123" i="3"/>
  <c r="V125" i="3" s="1"/>
  <c r="AX19" i="3"/>
  <c r="O5" i="3"/>
  <c r="BJ19" i="3"/>
  <c r="AE5" i="3"/>
  <c r="AI127" i="3"/>
  <c r="AH128" i="3"/>
  <c r="AH129" i="3"/>
  <c r="AI129" i="3"/>
  <c r="F123" i="3"/>
  <c r="F125" i="3" s="1"/>
  <c r="AP19" i="3"/>
  <c r="D5" i="3"/>
  <c r="L123" i="3"/>
  <c r="L125" i="3" s="1"/>
  <c r="L126" i="3" s="1"/>
  <c r="L7" i="3" s="1"/>
  <c r="H123" i="3"/>
  <c r="H125" i="3" s="1"/>
  <c r="AF123" i="3"/>
  <c r="AF125" i="3" s="1"/>
  <c r="BG105" i="3" a="1"/>
  <c r="BL125" i="3" s="1"/>
  <c r="O133" i="3"/>
  <c r="O134" i="3" s="1"/>
  <c r="BJ17" i="3"/>
  <c r="BJ22" i="3" s="1"/>
  <c r="E123" i="3"/>
  <c r="E125" i="3" s="1"/>
  <c r="E126" i="3" s="1"/>
  <c r="E7" i="3" s="1"/>
  <c r="Q123" i="3"/>
  <c r="Q125" i="3" s="1"/>
  <c r="Y123" i="3"/>
  <c r="Y125" i="3" s="1"/>
  <c r="AC123" i="3"/>
  <c r="AC125" i="3" s="1"/>
  <c r="D133" i="3"/>
  <c r="AO23" i="3" s="1"/>
  <c r="AB133" i="3"/>
  <c r="BG23" i="3" s="1"/>
  <c r="AH130" i="3"/>
  <c r="AI131" i="3"/>
  <c r="AW22" i="3"/>
  <c r="S123" i="3"/>
  <c r="S125" i="3" s="1"/>
  <c r="O123" i="3"/>
  <c r="O125" i="3" s="1"/>
  <c r="W123" i="3"/>
  <c r="W125" i="3" s="1"/>
  <c r="AE123" i="3"/>
  <c r="AE125" i="3" s="1"/>
  <c r="G133" i="3"/>
  <c r="AA133" i="3"/>
  <c r="AA134" i="3" s="1"/>
  <c r="B133" i="3"/>
  <c r="B134" i="3" s="1"/>
  <c r="Z133" i="3"/>
  <c r="BF23" i="3" s="1"/>
  <c r="AN165" i="3"/>
  <c r="AO178" i="3"/>
  <c r="AO185" i="3"/>
  <c r="AT22" i="3"/>
  <c r="AT25" i="3" s="1"/>
  <c r="AH127" i="3"/>
  <c r="F133" i="3"/>
  <c r="AQ23" i="3" s="1"/>
  <c r="AD133" i="3"/>
  <c r="BH23" i="3" s="1"/>
  <c r="V133" i="3"/>
  <c r="BD23" i="3" s="1"/>
  <c r="AH131" i="3"/>
  <c r="P133" i="3"/>
  <c r="X133" i="3"/>
  <c r="BE23" i="3" s="1"/>
  <c r="AN178" i="3"/>
  <c r="C178" i="3"/>
  <c r="AO16" i="3"/>
  <c r="AO22" i="3" s="1"/>
  <c r="D123" i="3"/>
  <c r="D125" i="3" s="1"/>
  <c r="BB16" i="3"/>
  <c r="T123" i="3"/>
  <c r="T125" i="3" s="1"/>
  <c r="T126" i="3" s="1"/>
  <c r="T7" i="3" s="1"/>
  <c r="BG16" i="3"/>
  <c r="BG22" i="3" s="1"/>
  <c r="BG25" i="3" s="1"/>
  <c r="AB123" i="3"/>
  <c r="AB125" i="3" s="1"/>
  <c r="AB126" i="3" s="1"/>
  <c r="AB7" i="3" s="1"/>
  <c r="BE17" i="3"/>
  <c r="X123" i="3"/>
  <c r="X125" i="3" s="1"/>
  <c r="AG125" i="3"/>
  <c r="AF5" i="3"/>
  <c r="AI118" i="3"/>
  <c r="AM19" i="3"/>
  <c r="AJ118" i="3" a="1"/>
  <c r="AJ118" i="3" s="1"/>
  <c r="I5" i="3"/>
  <c r="AZ19" i="3"/>
  <c r="Q5" i="3"/>
  <c r="Y5" i="3"/>
  <c r="AH118" i="3"/>
  <c r="AH132" i="3"/>
  <c r="AI132" i="3"/>
  <c r="AY22" i="3"/>
  <c r="AS16" i="3"/>
  <c r="AS22" i="3" s="1"/>
  <c r="I123" i="3"/>
  <c r="I125" i="3" s="1"/>
  <c r="AG2" i="3"/>
  <c r="AG6" i="3" s="1"/>
  <c r="J133" i="3"/>
  <c r="J134" i="3" s="1"/>
  <c r="AF133" i="3"/>
  <c r="BJ23" i="3" s="1"/>
  <c r="H133" i="3"/>
  <c r="H134" i="3" s="1"/>
  <c r="AN18" i="3"/>
  <c r="AN22" i="3" s="1"/>
  <c r="AI102" i="3"/>
  <c r="K123" i="3"/>
  <c r="K125" i="3" s="1"/>
  <c r="K126" i="3" s="1"/>
  <c r="K7" i="3" s="1"/>
  <c r="AP16" i="3"/>
  <c r="BD20" i="3"/>
  <c r="BD22" i="3" s="1"/>
  <c r="BD25" i="3" s="1"/>
  <c r="P5" i="3"/>
  <c r="X5" i="3"/>
  <c r="Y134" i="3"/>
  <c r="R133" i="3"/>
  <c r="AZ23" i="3" s="1"/>
  <c r="AI128" i="3"/>
  <c r="BF22" i="3"/>
  <c r="AU16" i="3"/>
  <c r="AU22" i="3" s="1"/>
  <c r="AU25" i="3" s="1"/>
  <c r="M123" i="3"/>
  <c r="M125" i="3" s="1"/>
  <c r="M126" i="3" s="1"/>
  <c r="M7" i="3" s="1"/>
  <c r="BC16" i="3"/>
  <c r="BC22" i="3" s="1"/>
  <c r="U123" i="3"/>
  <c r="U125" i="3" s="1"/>
  <c r="U126" i="3" s="1"/>
  <c r="U7" i="3" s="1"/>
  <c r="AI106" i="3"/>
  <c r="AH106" i="3"/>
  <c r="AO165" i="3"/>
  <c r="AM20" i="3"/>
  <c r="AI88" i="3"/>
  <c r="AM17" i="3"/>
  <c r="AH88" i="3"/>
  <c r="C5" i="3"/>
  <c r="K5" i="3"/>
  <c r="L134" i="3"/>
  <c r="BB19" i="3"/>
  <c r="T134" i="3"/>
  <c r="S5" i="3"/>
  <c r="AA123" i="3"/>
  <c r="AA125" i="3" s="1"/>
  <c r="AA126" i="3" s="1"/>
  <c r="AA7" i="3" s="1"/>
  <c r="AZ96" i="3"/>
  <c r="V134" i="3"/>
  <c r="P123" i="3"/>
  <c r="P125" i="3" s="1"/>
  <c r="AX16" i="3"/>
  <c r="AX22" i="3" s="1"/>
  <c r="AQ19" i="3"/>
  <c r="AQ22" i="3" s="1"/>
  <c r="AQ25" i="3" s="1"/>
  <c r="E5" i="3"/>
  <c r="AV19" i="3"/>
  <c r="M5" i="3"/>
  <c r="W133" i="3"/>
  <c r="W134" i="3" s="1"/>
  <c r="AB134" i="3"/>
  <c r="AA5" i="3"/>
  <c r="N123" i="3"/>
  <c r="N125" i="3" s="1"/>
  <c r="AV17" i="3"/>
  <c r="BE19" i="3"/>
  <c r="W5" i="3"/>
  <c r="I133" i="3"/>
  <c r="AS23" i="3" s="1"/>
  <c r="Q133" i="3"/>
  <c r="AY23" i="3" s="1"/>
  <c r="AN157" i="3"/>
  <c r="AO157" i="3" s="1"/>
  <c r="AR16" i="3"/>
  <c r="AR22" i="3" s="1"/>
  <c r="G123" i="3"/>
  <c r="G125" i="3" s="1"/>
  <c r="G126" i="3" s="1"/>
  <c r="G7" i="3" s="1"/>
  <c r="C123" i="3"/>
  <c r="C125" i="3" s="1"/>
  <c r="C126" i="3" s="1"/>
  <c r="C7" i="3" s="1"/>
  <c r="AH102" i="3"/>
  <c r="AB5" i="3"/>
  <c r="N133" i="3"/>
  <c r="AV23" i="3" s="1"/>
  <c r="Z145" i="3"/>
  <c r="AD123" i="3"/>
  <c r="AD125" i="3" s="1"/>
  <c r="B123" i="3"/>
  <c r="AI81" i="3"/>
  <c r="J123" i="3"/>
  <c r="J125" i="3" s="1"/>
  <c r="R123" i="3"/>
  <c r="R125" i="3" s="1"/>
  <c r="AZ16" i="3"/>
  <c r="Z123" i="3"/>
  <c r="Z125" i="3" s="1"/>
  <c r="AH81" i="3"/>
  <c r="K134" i="3"/>
  <c r="D172" i="3"/>
  <c r="BC25" i="3" l="1"/>
  <c r="D134" i="3"/>
  <c r="X134" i="3"/>
  <c r="AW23" i="3"/>
  <c r="AW25" i="3" s="1"/>
  <c r="D126" i="3"/>
  <c r="D7" i="3" s="1"/>
  <c r="AE134" i="3"/>
  <c r="AD126" i="3"/>
  <c r="AD7" i="3" s="1"/>
  <c r="Z134" i="3"/>
  <c r="Z126" i="3"/>
  <c r="Z7" i="3" s="1"/>
  <c r="Y126" i="3"/>
  <c r="Y7" i="3" s="1"/>
  <c r="U134" i="3"/>
  <c r="BJ117" i="3"/>
  <c r="BI105" i="3"/>
  <c r="BJ126" i="3"/>
  <c r="BH114" i="3"/>
  <c r="BL119" i="3"/>
  <c r="BK107" i="3"/>
  <c r="BG125" i="3"/>
  <c r="BL112" i="3"/>
  <c r="BL124" i="3"/>
  <c r="BK112" i="3"/>
  <c r="BI124" i="3"/>
  <c r="BH112" i="3"/>
  <c r="BG109" i="3"/>
  <c r="BI118" i="3"/>
  <c r="BL127" i="3"/>
  <c r="BG112" i="3"/>
  <c r="BH121" i="3"/>
  <c r="BH105" i="3"/>
  <c r="BI113" i="3"/>
  <c r="BI121" i="3"/>
  <c r="BJ105" i="3"/>
  <c r="BK111" i="3"/>
  <c r="BK117" i="3"/>
  <c r="BL123" i="3"/>
  <c r="BI106" i="3"/>
  <c r="BI112" i="3"/>
  <c r="BJ118" i="3"/>
  <c r="BK124" i="3"/>
  <c r="BH107" i="3"/>
  <c r="BJ112" i="3"/>
  <c r="BL117" i="3"/>
  <c r="BH123" i="3"/>
  <c r="BJ128" i="3"/>
  <c r="AO25" i="3"/>
  <c r="O126" i="3"/>
  <c r="O7" i="3" s="1"/>
  <c r="AC126" i="3"/>
  <c r="AC7" i="3" s="1"/>
  <c r="BK122" i="3"/>
  <c r="BJ110" i="3"/>
  <c r="BG128" i="3"/>
  <c r="BK115" i="3"/>
  <c r="BI127" i="3"/>
  <c r="BK106" i="3"/>
  <c r="BG116" i="3"/>
  <c r="BK109" i="3"/>
  <c r="BH128" i="3"/>
  <c r="BJ119" i="3"/>
  <c r="BH110" i="3"/>
  <c r="BI122" i="3"/>
  <c r="BL110" i="3"/>
  <c r="BG123" i="3"/>
  <c r="BH111" i="3"/>
  <c r="BL121" i="3"/>
  <c r="R126" i="3"/>
  <c r="R7" i="3" s="1"/>
  <c r="F134" i="3"/>
  <c r="BK126" i="3"/>
  <c r="BJ114" i="3"/>
  <c r="BI123" i="3"/>
  <c r="BK110" i="3"/>
  <c r="BL116" i="3"/>
  <c r="BF25" i="3"/>
  <c r="BH122" i="3"/>
  <c r="BG110" i="3"/>
  <c r="BG122" i="3"/>
  <c r="BJ109" i="3"/>
  <c r="BK121" i="3"/>
  <c r="BL108" i="3"/>
  <c r="BJ111" i="3"/>
  <c r="BK120" i="3"/>
  <c r="BG105" i="3"/>
  <c r="BI114" i="3"/>
  <c r="BK123" i="3"/>
  <c r="BI107" i="3"/>
  <c r="BI115" i="3"/>
  <c r="BJ123" i="3"/>
  <c r="BG107" i="3"/>
  <c r="BH113" i="3"/>
  <c r="BI119" i="3"/>
  <c r="BI125" i="3"/>
  <c r="BL107" i="3"/>
  <c r="BG114" i="3"/>
  <c r="BG120" i="3"/>
  <c r="BH126" i="3"/>
  <c r="BJ108" i="3"/>
  <c r="BL113" i="3"/>
  <c r="BH119" i="3"/>
  <c r="BJ124" i="3"/>
  <c r="X126" i="3"/>
  <c r="X7" i="3" s="1"/>
  <c r="E134" i="3"/>
  <c r="M134" i="3"/>
  <c r="BI120" i="3"/>
  <c r="BH108" i="3"/>
  <c r="BH117" i="3"/>
  <c r="BK128" i="3"/>
  <c r="BL115" i="3"/>
  <c r="BG115" i="3"/>
  <c r="BH125" i="3"/>
  <c r="BL118" i="3"/>
  <c r="BI111" i="3"/>
  <c r="BJ127" i="3"/>
  <c r="BH116" i="3"/>
  <c r="BI128" i="3"/>
  <c r="BG117" i="3"/>
  <c r="BL105" i="3"/>
  <c r="BJ116" i="3"/>
  <c r="BH127" i="3"/>
  <c r="P126" i="3"/>
  <c r="P7" i="3" s="1"/>
  <c r="BG124" i="3"/>
  <c r="BG111" i="3"/>
  <c r="BH120" i="3"/>
  <c r="BG108" i="3"/>
  <c r="BI126" i="3"/>
  <c r="BJ113" i="3"/>
  <c r="BG119" i="3"/>
  <c r="BJ106" i="3"/>
  <c r="BK118" i="3"/>
  <c r="BH106" i="3"/>
  <c r="BH118" i="3"/>
  <c r="BG106" i="3"/>
  <c r="BK113" i="3"/>
  <c r="BL122" i="3"/>
  <c r="BJ107" i="3"/>
  <c r="BK116" i="3"/>
  <c r="BG126" i="3"/>
  <c r="BH109" i="3"/>
  <c r="BI117" i="3"/>
  <c r="BJ125" i="3"/>
  <c r="BK108" i="3"/>
  <c r="BK114" i="3"/>
  <c r="BL120" i="3"/>
  <c r="BL126" i="3"/>
  <c r="BI109" i="3"/>
  <c r="BJ115" i="3"/>
  <c r="BJ121" i="3"/>
  <c r="BK127" i="3"/>
  <c r="BL109" i="3"/>
  <c r="BH115" i="3"/>
  <c r="BJ120" i="3"/>
  <c r="AE126" i="3"/>
  <c r="AE7" i="3" s="1"/>
  <c r="BJ25" i="3"/>
  <c r="BH25" i="3"/>
  <c r="AV22" i="3"/>
  <c r="AV25" i="3" s="1"/>
  <c r="BI25" i="3"/>
  <c r="AO186" i="3"/>
  <c r="AM23" i="3"/>
  <c r="S126" i="3"/>
  <c r="S7" i="3" s="1"/>
  <c r="AM22" i="3"/>
  <c r="AM25" i="3" s="1"/>
  <c r="AP22" i="3"/>
  <c r="AP25" i="3" s="1"/>
  <c r="BA23" i="3"/>
  <c r="BA25" i="3" s="1"/>
  <c r="C134" i="3"/>
  <c r="AN23" i="3"/>
  <c r="AN25" i="3" s="1"/>
  <c r="AZ22" i="3"/>
  <c r="AZ25" i="3" s="1"/>
  <c r="AF134" i="3"/>
  <c r="J126" i="3"/>
  <c r="J7" i="3" s="1"/>
  <c r="BE22" i="3"/>
  <c r="BE25" i="3" s="1"/>
  <c r="AD134" i="3"/>
  <c r="P134" i="3"/>
  <c r="AX23" i="3"/>
  <c r="AX25" i="3" s="1"/>
  <c r="F126" i="3"/>
  <c r="F7" i="3" s="1"/>
  <c r="BL128" i="3"/>
  <c r="BJ122" i="3"/>
  <c r="BI116" i="3"/>
  <c r="BI110" i="3"/>
  <c r="BG127" i="3"/>
  <c r="BK119" i="3"/>
  <c r="BL111" i="3"/>
  <c r="BK125" i="3"/>
  <c r="BL114" i="3"/>
  <c r="BK105" i="3"/>
  <c r="BH124" i="3"/>
  <c r="BG113" i="3"/>
  <c r="BI108" i="3"/>
  <c r="BL106" i="3"/>
  <c r="BG121" i="3"/>
  <c r="BG118" i="3"/>
  <c r="V126" i="3"/>
  <c r="V7" i="3" s="1"/>
  <c r="G134" i="3"/>
  <c r="AR23" i="3"/>
  <c r="AR25" i="3" s="1"/>
  <c r="D178" i="3"/>
  <c r="E172" i="3"/>
  <c r="D145" i="3"/>
  <c r="Q126" i="3"/>
  <c r="Q7" i="3" s="1"/>
  <c r="AI133" i="3"/>
  <c r="I134" i="3"/>
  <c r="I126" i="3"/>
  <c r="I7" i="3" s="1"/>
  <c r="H126" i="3"/>
  <c r="H7" i="3" s="1"/>
  <c r="AH133" i="3"/>
  <c r="AS25" i="3"/>
  <c r="AJ133" i="3" a="1"/>
  <c r="AJ133" i="3" s="1"/>
  <c r="N126" i="3"/>
  <c r="N7" i="3" s="1"/>
  <c r="AY25" i="3"/>
  <c r="BB22" i="3"/>
  <c r="BB25" i="3" s="1"/>
  <c r="AH123" i="3"/>
  <c r="AI123" i="3"/>
  <c r="B125" i="3"/>
  <c r="R134" i="3"/>
  <c r="AF126" i="3"/>
  <c r="AF7" i="3" s="1"/>
  <c r="N134" i="3"/>
  <c r="Q134" i="3"/>
  <c r="W126" i="3"/>
  <c r="W7" i="3" s="1"/>
  <c r="AT8" i="3" l="1"/>
  <c r="AT9" i="3"/>
  <c r="AH134" i="3"/>
  <c r="AI134" i="3"/>
  <c r="F172" i="3"/>
  <c r="E178" i="3"/>
  <c r="E145" i="3"/>
  <c r="AI125" i="3"/>
  <c r="B126" i="3"/>
  <c r="AH125" i="3"/>
  <c r="G172" i="3" l="1"/>
  <c r="F145" i="3"/>
  <c r="F178" i="3"/>
  <c r="AH126" i="3"/>
  <c r="AI126" i="3"/>
  <c r="B7" i="3"/>
  <c r="A7" i="3" s="1"/>
  <c r="G178" i="3" l="1"/>
  <c r="H172" i="3"/>
  <c r="G145" i="3"/>
  <c r="H178" i="3" l="1"/>
  <c r="I172" i="3"/>
  <c r="H145" i="3"/>
  <c r="J172" i="3" l="1"/>
  <c r="I178" i="3"/>
  <c r="I145" i="3"/>
  <c r="J178" i="3" l="1"/>
  <c r="K172" i="3"/>
  <c r="J145" i="3"/>
  <c r="K178" i="3" l="1"/>
  <c r="L172" i="3"/>
  <c r="K145" i="3"/>
  <c r="L178" i="3" l="1"/>
  <c r="M172" i="3"/>
  <c r="L145" i="3"/>
  <c r="M178" i="3" l="1"/>
  <c r="N172" i="3"/>
  <c r="M145" i="3"/>
  <c r="O172" i="3" l="1"/>
  <c r="N178" i="3"/>
  <c r="N145" i="3"/>
  <c r="O178" i="3" l="1"/>
  <c r="P172" i="3"/>
  <c r="O145" i="3"/>
  <c r="P178" i="3" l="1"/>
  <c r="Q172" i="3"/>
  <c r="R172" i="3" l="1"/>
  <c r="Q178" i="3"/>
  <c r="Q145" i="3"/>
  <c r="R178" i="3" l="1"/>
  <c r="S172" i="3"/>
  <c r="S178" i="3" l="1"/>
  <c r="T172" i="3"/>
  <c r="S145" i="3"/>
  <c r="T178" i="3" l="1"/>
  <c r="U172" i="3"/>
  <c r="T145" i="3"/>
  <c r="V172" i="3" l="1"/>
  <c r="U178" i="3"/>
  <c r="U145" i="3"/>
  <c r="W172" i="3" l="1"/>
  <c r="V178" i="3"/>
  <c r="V145" i="3"/>
  <c r="W178" i="3" l="1"/>
  <c r="X172" i="3"/>
  <c r="W145" i="3"/>
  <c r="X178" i="3" l="1"/>
  <c r="Y172" i="3"/>
  <c r="X145" i="3"/>
  <c r="Z172" i="3" l="1"/>
  <c r="Y178" i="3"/>
  <c r="Z178" i="3" l="1"/>
  <c r="AA172" i="3"/>
  <c r="AA178" i="3" l="1"/>
  <c r="AB172" i="3"/>
  <c r="AA145" i="3"/>
  <c r="AC172" i="3" l="1"/>
  <c r="AB178" i="3"/>
  <c r="AB145" i="3"/>
  <c r="AD172" i="3" l="1"/>
  <c r="AC178" i="3"/>
  <c r="AC145" i="3"/>
  <c r="AE172" i="3" l="1"/>
  <c r="AD178" i="3"/>
  <c r="AD145" i="3"/>
  <c r="AE178" i="3" l="1"/>
  <c r="AF172" i="3"/>
  <c r="AE145" i="3"/>
  <c r="AF178" i="3" l="1"/>
  <c r="AF145" i="3"/>
  <c r="AI145" i="3" l="1"/>
  <c r="AH145" i="3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<sst xmlns="http://schemas.openxmlformats.org/spreadsheetml/2006/main" count="420" uniqueCount="371">
  <si>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</si>
  <si>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</si>
  <si>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</si>
  <si>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</si>
  <si>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</si>
  <si>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</si>
  <si>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</si>
  <si>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</si>
  <si>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</si>
  <si>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</si>
  <si>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</si>
  <si>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</si>
  <si>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</si>
  <si>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</si>
  <si>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</si>
  <si>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</si>
  <si>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</si>
  <si>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</si>
  <si>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</si>
  <si>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</si>
  <si>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</si>
  <si>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 xml:space="preserve"> Hrs.</t>
  </si>
  <si>
    <t>NEA SUB</t>
  </si>
  <si>
    <t>NEA ROR PROR</t>
  </si>
  <si>
    <t>IMPORT</t>
  </si>
  <si>
    <t>NEA STORAGE</t>
  </si>
  <si>
    <t>INTERRUPTION</t>
  </si>
  <si>
    <t>System_Load</t>
  </si>
  <si>
    <t>Export</t>
  </si>
  <si>
    <t>National_Load</t>
  </si>
  <si>
    <t>Other IPP Total</t>
  </si>
  <si>
    <t>Kabeli Corridor</t>
  </si>
  <si>
    <t>Total IPP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</si>
  <si>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</si>
  <si>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</si>
  <si>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</si>
  <si>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</si>
  <si>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</si>
  <si>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</si>
  <si>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</si>
  <si>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</si>
  <si>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</si>
  <si>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</si>
  <si>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</si>
  <si>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</si>
  <si>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</si>
  <si>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</si>
  <si>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</si>
  <si>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</si>
  <si>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</si>
  <si>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</si>
  <si>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</si>
  <si>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</si>
  <si>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</si>
  <si>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</si>
  <si>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</si>
  <si>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</si>
  <si>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</si>
  <si>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</si>
  <si>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</si>
  <si>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</si>
  <si>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</si>
  <si>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</si>
  <si>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</si>
  <si>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</si>
  <si>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</si>
  <si>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</si>
  <si>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</si>
  <si>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</si>
  <si>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</si>
  <si>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</si>
  <si>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</si>
  <si>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</si>
  <si>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</si>
  <si>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</si>
  <si>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</si>
  <si>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</si>
  <si>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</si>
  <si>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</si>
  <si>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</si>
  <si>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</si>
  <si>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</si>
  <si>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</si>
  <si>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</si>
  <si>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</si>
  <si>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</si>
  <si>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</si>
  <si>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</si>
  <si>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</si>
  <si>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</si>
  <si>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</si>
  <si>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</si>
  <si>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</si>
  <si>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>Rahughat Corridor</t>
  </si>
  <si>
    <t>Rated</t>
  </si>
  <si>
    <t>DI</t>
  </si>
  <si>
    <t>Kathmandu Load</t>
  </si>
  <si>
    <t>M Thulo Kholla</t>
  </si>
  <si>
    <t>LINE FLOWS</t>
  </si>
  <si>
    <t>Thulo Khola</t>
  </si>
  <si>
    <t>MRS-SYU</t>
  </si>
  <si>
    <t>R Mangale</t>
  </si>
  <si>
    <t>NMRS-MATA I</t>
  </si>
  <si>
    <t>U Rahughat</t>
  </si>
  <si>
    <t>HETAUDA-MATA</t>
  </si>
  <si>
    <t>Total</t>
  </si>
  <si>
    <t>KL3-HETAUDA</t>
  </si>
  <si>
    <t>KL1-SYU</t>
  </si>
  <si>
    <t>KHIMTI-LAMOSANGHU</t>
  </si>
  <si>
    <t>Dordi Corridor</t>
  </si>
  <si>
    <t>LAMOSHANGU-BHAKTAPUR I</t>
  </si>
  <si>
    <t>Super Dordi</t>
  </si>
  <si>
    <t>BALAJU-SYUCHATAR</t>
  </si>
  <si>
    <t>Upper Dordi</t>
  </si>
  <si>
    <t>PATHALIYA CHAPUR 1</t>
  </si>
  <si>
    <t>Dordi 27</t>
  </si>
  <si>
    <t>DHALKE-KHIMTI I</t>
  </si>
  <si>
    <t>Dordi 12</t>
  </si>
  <si>
    <t>DAMAK-DUHABI</t>
  </si>
  <si>
    <t>DHALKE-MIRCHAIYA I</t>
  </si>
  <si>
    <t>TRI-3 HUB -MATATIRTHA I</t>
  </si>
  <si>
    <t>TRISULI-BALAJU I</t>
  </si>
  <si>
    <t>Dana Corridor</t>
  </si>
  <si>
    <t>DEVIGHAT-CHAPALI</t>
  </si>
  <si>
    <t>Nilgiri1</t>
  </si>
  <si>
    <t>Water Level</t>
  </si>
  <si>
    <t>Nilgiri2</t>
  </si>
  <si>
    <t>Mistri</t>
  </si>
  <si>
    <t>KGA (523.8 M)</t>
  </si>
  <si>
    <t>Ghar Khola</t>
  </si>
  <si>
    <t>MMRS (625.6 M)</t>
  </si>
  <si>
    <t>MRS (337.5 M)</t>
  </si>
  <si>
    <t>CHM (887.8 M)</t>
  </si>
  <si>
    <t>Khimti Corridor</t>
  </si>
  <si>
    <t>Spill Power</t>
  </si>
  <si>
    <t>Likhu 1</t>
  </si>
  <si>
    <t>SPILL (Assume Plant cap. to run @Full Gen.)</t>
  </si>
  <si>
    <t>Likhu 2</t>
  </si>
  <si>
    <t>Likhu A</t>
  </si>
  <si>
    <t>PANAUTI(2.4)</t>
  </si>
  <si>
    <t>L Likhu</t>
  </si>
  <si>
    <t>TATOPANI(2)</t>
  </si>
  <si>
    <t>Khimti</t>
  </si>
  <si>
    <t>SETI(1.5)</t>
  </si>
  <si>
    <t>Upper Khimti</t>
  </si>
  <si>
    <t>FEWA(1)</t>
  </si>
  <si>
    <t>Tallo Khare</t>
  </si>
  <si>
    <t>TINAU(1)</t>
  </si>
  <si>
    <t>Balephi</t>
  </si>
  <si>
    <t>SUNDARIJAL(0.66)</t>
  </si>
  <si>
    <t>U Bhotekoshi</t>
  </si>
  <si>
    <t xml:space="preserve"> </t>
  </si>
  <si>
    <t>%</t>
  </si>
  <si>
    <t>Sanjen</t>
  </si>
  <si>
    <t>Sipring Khola(9.658)</t>
  </si>
  <si>
    <t>M Tamor</t>
  </si>
  <si>
    <t>Mewa</t>
  </si>
  <si>
    <t>Total Spill Power, MW</t>
  </si>
  <si>
    <t>Lower Tadi(4.993)</t>
  </si>
  <si>
    <t>Hewa Khola(4.455)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</si>
  <si>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</si>
  <si>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</si>
  <si>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</si>
  <si>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</si>
  <si>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</si>
  <si>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</si>
  <si>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</si>
  <si>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</si>
  <si>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</si>
  <si>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Seti-II(0.979)</t>
  </si>
  <si>
    <t>Belkhu(0.518)</t>
  </si>
  <si>
    <t>Syange Khola(0.183)</t>
  </si>
  <si>
    <t>Syauri Bhumey(0.023)</t>
  </si>
  <si>
    <t>Others IPP Total</t>
  </si>
  <si>
    <t/>
  </si>
  <si>
    <t>Solu Khola (Dudhkoshi)(86.000)</t>
  </si>
  <si>
    <t>Lower Solu(82.000)</t>
  </si>
  <si>
    <t>Sanjen Khola(78.000)</t>
  </si>
  <si>
    <t>Likhu-1(77.000)</t>
  </si>
  <si>
    <t>Middle Tamor(73.000)</t>
  </si>
  <si>
    <t>Nilgiri Khola-2 Cascade(71.000)</t>
  </si>
  <si>
    <t>Khimti Khola(60.000)</t>
  </si>
  <si>
    <t>Super Dordi 'Kha'(54.000)</t>
  </si>
  <si>
    <t>Likhu-2(52.465)</t>
  </si>
  <si>
    <t>Likhu-IV(52.400)</t>
  </si>
  <si>
    <t>Mewa Khola(50.000)</t>
  </si>
  <si>
    <t>Upper Marsyangdi "A"(50.000)</t>
  </si>
  <si>
    <t>Upper Rahughat(48.500)</t>
  </si>
  <si>
    <t>Upper Bhotekoshi Khola(45.000)</t>
  </si>
  <si>
    <t>Super Madi(44.000)</t>
  </si>
  <si>
    <t>Mistri Khola(42.000)</t>
  </si>
  <si>
    <t>Upper Chameliya(40.000)</t>
  </si>
  <si>
    <t>Upper Kalangagad(38.460)</t>
  </si>
  <si>
    <t>Nilgiri Khola(38.000)</t>
  </si>
  <si>
    <t>Upper Balephi A(36.000)</t>
  </si>
  <si>
    <t>Rahughat Mangale(35.500)</t>
  </si>
  <si>
    <t>Karuwa Seti(32.000)</t>
  </si>
  <si>
    <t>Nyadi(30.000)</t>
  </si>
  <si>
    <t>Likhu Khola A(29.040)</t>
  </si>
  <si>
    <t>Lower Likhu(28.100)</t>
  </si>
  <si>
    <t>Dordi Khola(27.000)</t>
  </si>
  <si>
    <t>Kabeli B-1(25.000)</t>
  </si>
  <si>
    <t>Seti Nadi(25.000)</t>
  </si>
  <si>
    <t>Singati Khola(25.000)</t>
  </si>
  <si>
    <t>Upper Dordi A(25.000)</t>
  </si>
  <si>
    <t>Upper Madi(25.000)</t>
  </si>
  <si>
    <t>Madame Khola(24.000)</t>
  </si>
  <si>
    <t>Solu Khola(23.500)</t>
  </si>
  <si>
    <t>Upper Thulo khola A(22.500)</t>
  </si>
  <si>
    <t>Upper Chaku A(22.200)</t>
  </si>
  <si>
    <t>Tallo Hewa Khola(22.100)</t>
  </si>
  <si>
    <t>Bagmati Khola Small(22.000)</t>
  </si>
  <si>
    <t>Mai Khola(22.000)</t>
  </si>
  <si>
    <t>Seti Khola(22.000)</t>
  </si>
  <si>
    <t>Kabeli-3(21.930)</t>
  </si>
  <si>
    <t>Thulo Khola(21.300)</t>
  </si>
  <si>
    <t>Lower Modi (20.000)</t>
  </si>
  <si>
    <t>Sagu Khola(20.000)</t>
  </si>
  <si>
    <t>Upper Solu(19.800)</t>
  </si>
  <si>
    <t>Middle Modi(18.000)</t>
  </si>
  <si>
    <t>Kalangagad(15.330)</t>
  </si>
  <si>
    <t>Hewa Khola A(14.900)</t>
  </si>
  <si>
    <t>Maya Khola(14.900)</t>
  </si>
  <si>
    <t>Upper Mailun(14.300)</t>
  </si>
  <si>
    <t>Ghar Khola(14.000)</t>
  </si>
  <si>
    <t>Thapa Khola(13.600)</t>
  </si>
  <si>
    <t>Super Kabeli A(13.500)</t>
  </si>
  <si>
    <t>Lower Irkhuwa Khola Hydropower (13.040)</t>
  </si>
  <si>
    <t>Madkyu Khola(13.000)</t>
  </si>
  <si>
    <t>Dordi-1 Khola(12.000)</t>
  </si>
  <si>
    <t>Dudhkunda Khola(12.000)</t>
  </si>
  <si>
    <t>Jhimruk Khola(12.000)</t>
  </si>
  <si>
    <t>Super Kabeli(12.000)</t>
  </si>
  <si>
    <t>Upper Khimti(12.000)</t>
  </si>
  <si>
    <t>Namarjun Madi(11.880)</t>
  </si>
  <si>
    <t>Lower Khare(11.000)</t>
  </si>
  <si>
    <t>Upper Tadi(11.000)</t>
  </si>
  <si>
    <t>Upper Sanigad(10.700)</t>
  </si>
  <si>
    <t>Down Piluwa(10.300)</t>
  </si>
  <si>
    <t>Bagmati Khola Small (Third Unit)(10.000)</t>
  </si>
  <si>
    <t>Digghi Khola Hydropower(10.000)</t>
  </si>
  <si>
    <t>Lower Modi 1(10.000)</t>
  </si>
  <si>
    <t>Makarigad(10.000)</t>
  </si>
  <si>
    <t>Upper Mai Khola(9.980)</t>
  </si>
  <si>
    <t>Kabeli B-1 Cascade(9.940)</t>
  </si>
  <si>
    <t>Iwa Khola(9.900)</t>
  </si>
  <si>
    <t>Upper Ingwa khola(9.700)</t>
  </si>
  <si>
    <t>Daram Khola(9.600)</t>
  </si>
  <si>
    <t>Super Mai 'A' (9.600)</t>
  </si>
  <si>
    <t>Mai Beni(9.510)</t>
  </si>
  <si>
    <t>Mid Solu Khola(9.500)</t>
  </si>
  <si>
    <t>Andhi Khola(9.400)</t>
  </si>
  <si>
    <t>Super Chepe(9.050)</t>
  </si>
  <si>
    <t>Rudi Khola A(8.800)</t>
  </si>
  <si>
    <t>Chepe Khola Small(8.630)</t>
  </si>
  <si>
    <t>Naugadh gad Khola(8.500)</t>
  </si>
  <si>
    <t>Upper Hewa Khola Small(8.500)</t>
  </si>
  <si>
    <t>Ankhu Khola - 1(8.400)</t>
  </si>
  <si>
    <t>Mai sana Cascade(8.000)</t>
  </si>
  <si>
    <t>Taksar Pikhuwa(8.000)</t>
  </si>
  <si>
    <t>Upper Naugad Gad(8.000)</t>
  </si>
  <si>
    <t>Super Mai(7.800)</t>
  </si>
  <si>
    <t>Jogmai(7.600)</t>
  </si>
  <si>
    <t>Indrawati - III (7.500)</t>
  </si>
  <si>
    <t>Upper Khorunga(7.500)</t>
  </si>
  <si>
    <t>Upper Midim(7.500)</t>
  </si>
  <si>
    <t>Yambling Khola(7.270)</t>
  </si>
  <si>
    <t>Chepe khola A(7.000)</t>
  </si>
  <si>
    <t>Mai Cascade(7.000)</t>
  </si>
  <si>
    <t>Molung Khola(7.000)</t>
  </si>
  <si>
    <t>Upper Khimti II(7.000)</t>
  </si>
  <si>
    <t>Upper Mardi(7.000)</t>
  </si>
  <si>
    <t>Upper Suri(7.000)</t>
  </si>
  <si>
    <t>Hidi Khola(6.820)</t>
  </si>
  <si>
    <t>Rudi Khola B(6.600)</t>
  </si>
  <si>
    <t>Sapsup Khola(6.600)</t>
  </si>
  <si>
    <t>Suri Khola(6.400)</t>
  </si>
  <si>
    <t>Lower Jogmai(6.200)</t>
  </si>
  <si>
    <t>Buku khola(6.000)</t>
  </si>
  <si>
    <t>Daraudi Khola A(6.000)</t>
  </si>
  <si>
    <t>Rele Khola(6.000)</t>
  </si>
  <si>
    <t>Super Hewa(6.000)</t>
  </si>
  <si>
    <t>Upper Phawa(5.800)</t>
  </si>
  <si>
    <t>Sagu Khola-1(5.500)</t>
  </si>
  <si>
    <t>Jogmai Cascade(5.200)</t>
  </si>
  <si>
    <t>Upper Mai C(5.100)</t>
  </si>
  <si>
    <t>Buku Kapati(5.000)</t>
  </si>
  <si>
    <t>Ghalemdi Khola(5.000)</t>
  </si>
  <si>
    <t>Ghatte Khola(5.000)</t>
  </si>
  <si>
    <t>Lankhuwa Khola(5.000)</t>
  </si>
  <si>
    <t>Mailung Khola(5.000)</t>
  </si>
  <si>
    <t>Pikhuwa Khola(5.000)</t>
  </si>
  <si>
    <t>Rukumgad(5.000)</t>
  </si>
  <si>
    <t>Tadi Khola (Thaprek)(5.000)</t>
  </si>
  <si>
    <t>Upper Hugdi Khola(5.000)</t>
  </si>
  <si>
    <t>Richet Khola(4.980)</t>
  </si>
  <si>
    <t>Bhim Khola(4.960)</t>
  </si>
  <si>
    <t>Puwa - 2(4.960)</t>
  </si>
  <si>
    <t>Phawa Khola(4.950)</t>
  </si>
  <si>
    <t>Siuri Khola(4.950)</t>
  </si>
  <si>
    <t>Upper  Piluwa Khola -3 (4.950)</t>
  </si>
  <si>
    <t>Khorunga Khola(4.800)</t>
  </si>
  <si>
    <t>Mardi Khola(4.800)</t>
  </si>
  <si>
    <t>Padam Khola(4.800)</t>
  </si>
  <si>
    <t>Upper Piluwa Khola 2(4.720)</t>
  </si>
  <si>
    <t>Upper Chirkhwa(4.700)</t>
  </si>
  <si>
    <t>Upper Machha Khola Small(4.550)</t>
  </si>
  <si>
    <t>Bijayapur 2 Khola Small(4.500)</t>
  </si>
  <si>
    <t>Mai Khola(4.500)</t>
  </si>
  <si>
    <t>Bijayapur-1(4.410)</t>
  </si>
  <si>
    <t>Radhi Khola(4.400)</t>
  </si>
  <si>
    <t>Tungun-Thosne(4.360)</t>
  </si>
  <si>
    <t>Baramchi Khola(4.200)</t>
  </si>
  <si>
    <t>Khudi Khola(4.000)</t>
  </si>
  <si>
    <t>Puwa Khola -1 (4.000)</t>
  </si>
  <si>
    <t>Sabha Khola(4.000)</t>
  </si>
  <si>
    <t>Sardi Khola(4.000)</t>
  </si>
  <si>
    <t>Upper Chhyangdi Khola(4.000)</t>
  </si>
  <si>
    <t>Upper Lohore(4.000)</t>
  </si>
  <si>
    <t>Super Mai Cascade(3.800)</t>
  </si>
  <si>
    <t>Dwari Khola(3.750)</t>
  </si>
  <si>
    <t>Charanawati  Khola(3.520)</t>
  </si>
  <si>
    <t>Seti Khola(3.500)</t>
  </si>
  <si>
    <t>Kapadi Gad(3.330)</t>
  </si>
  <si>
    <t>Gelun (3.200)</t>
  </si>
  <si>
    <t>Bhairab Kunda(3.000)</t>
  </si>
  <si>
    <t>Chaku Khola(3.000)</t>
  </si>
  <si>
    <t>Midim Karapu(3.000)</t>
  </si>
  <si>
    <t>Piluwa Khola Small(3.000)</t>
  </si>
  <si>
    <t>Upper Puwa -1(3.000)</t>
  </si>
  <si>
    <t>Upper Rawa(3.000)</t>
  </si>
  <si>
    <t>Chake Khola(2.830)</t>
  </si>
  <si>
    <t>Daram Khola A(2.500)</t>
  </si>
  <si>
    <t>Sunkoshi Small(2.500)</t>
  </si>
  <si>
    <t>Ridi Khola(2.400)</t>
  </si>
  <si>
    <t>Upper Syange Khola(2.400)</t>
  </si>
  <si>
    <t>Jiri Khola Small(2.200)</t>
  </si>
  <si>
    <t>Chhandi(2.000)</t>
  </si>
  <si>
    <t>Jhyadi Khola(2.000)</t>
  </si>
  <si>
    <t>Khani Khola(2.000)</t>
  </si>
  <si>
    <t>Upper Richet(2.000)</t>
  </si>
  <si>
    <t>Lower Chaku Khola(1.800)</t>
  </si>
  <si>
    <t>Middle Chaku(1.800)</t>
  </si>
  <si>
    <t>Thoppal Khola(1.650)</t>
  </si>
  <si>
    <t>Upper Gaddigad(1.550)</t>
  </si>
  <si>
    <t>Theule Khola(1.500)</t>
  </si>
  <si>
    <t>Saiti Khola(0.999)</t>
  </si>
  <si>
    <t>Lower Piluwa Small(0.990)</t>
  </si>
  <si>
    <t>Selang Khola(0.990)</t>
  </si>
  <si>
    <t>Idi Khola(0.975)</t>
  </si>
  <si>
    <t>Ghatte Khola Small(0.970)</t>
  </si>
  <si>
    <t>Sisne Khola Small(0.750)</t>
  </si>
  <si>
    <t>Dhunge-Jiri(0.600)</t>
  </si>
  <si>
    <t>Rairang Khola(0.500)</t>
  </si>
  <si>
    <t>Sali Nadi(0.250)</t>
  </si>
  <si>
    <t>Midim Khola(0.100)</t>
  </si>
  <si>
    <t>Sobuwa Khola-2 MHP(0.090)</t>
  </si>
  <si>
    <t>Leguwa Khola(0.040)</t>
  </si>
  <si>
    <t>Others IPP Detail(Hydro)</t>
  </si>
  <si>
    <t>Others IPP Total(Hydro)</t>
  </si>
  <si>
    <t>Others IPP Total(Bagasse)</t>
  </si>
  <si>
    <t>Everest Sugar and Chemical Industries Ltd.(3.000)</t>
  </si>
  <si>
    <t>Indushankar Chini Udhyog Ltd.(3.000)</t>
  </si>
  <si>
    <t>IPP Detail(BAGASSE)</t>
  </si>
  <si>
    <t>IPP Total(Solar)</t>
  </si>
  <si>
    <t>IPP Detail(Solar)</t>
  </si>
  <si>
    <t>Upper Tamakoshi(456.000)</t>
  </si>
  <si>
    <t>Rasuwagadhi(111.000)</t>
  </si>
  <si>
    <t>Middle Bhotekoshi(102.000)</t>
  </si>
  <si>
    <t>Sanjen(42.500)</t>
  </si>
  <si>
    <t>Chilime(22.100)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</si>
</sst>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.000"/>
    <numFmt numFmtId="169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43" fontId="1" fillId="0" borderId="0" applyFont="0" applyFill="0" applyBorder="0" applyAlignment="0" applyProtection="0"/>
  </cellStyleXfs>
  <cellXfs count="248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7" fillId="0" borderId="0" xfId="2" applyFont="1" applyAlignment="1">
      <alignment vertical="center"/>
    </xf>
    <xf numFmtId="164" fontId="8" fillId="0" borderId="2" xfId="2" applyFont="1" applyBorder="1" applyAlignment="1">
      <alignment vertical="center"/>
    </xf>
    <xf numFmtId="164" fontId="8" fillId="0" borderId="4" xfId="2" applyFont="1" applyBorder="1" applyAlignment="1">
      <alignment vertical="center"/>
    </xf>
    <xf numFmtId="164" fontId="5" fillId="0" borderId="6" xfId="2" applyFont="1" applyBorder="1" applyAlignment="1">
      <alignment horizontal="center" vertical="center"/>
    </xf>
    <xf numFmtId="164" fontId="5" fillId="0" borderId="6" xfId="2" applyFont="1" applyBorder="1" applyAlignment="1">
      <alignment vertical="center"/>
    </xf>
    <xf numFmtId="164" fontId="5" fillId="0" borderId="0" xfId="2" applyFont="1" applyAlignment="1">
      <alignment vertical="center"/>
    </xf>
    <xf numFmtId="14" fontId="9" fillId="0" borderId="0" xfId="2" applyNumberFormat="1" applyFont="1" applyAlignment="1">
      <alignment vertical="center"/>
    </xf>
    <xf numFmtId="43" fontId="10" fillId="3" borderId="0" xfId="3" applyFont="1" applyFill="1" applyAlignment="1">
      <alignment horizontal="center"/>
    </xf>
    <xf numFmtId="164" fontId="10" fillId="3" borderId="0" xfId="2" applyFont="1" applyFill="1"/>
    <xf numFmtId="164" fontId="1" fillId="3" borderId="0" xfId="2" applyFill="1"/>
    <xf numFmtId="164" fontId="11" fillId="0" borderId="0" xfId="2" applyFont="1" applyAlignment="1">
      <alignment horizontal="center" vertical="center"/>
    </xf>
    <xf numFmtId="164" fontId="12" fillId="0" borderId="0" xfId="2" applyFont="1"/>
    <xf numFmtId="164" fontId="13" fillId="0" borderId="0" xfId="2" applyFont="1" applyAlignment="1">
      <alignment vertical="center"/>
    </xf>
    <xf numFmtId="164" fontId="8" fillId="0" borderId="8" xfId="2" applyFont="1" applyBorder="1" applyAlignment="1">
      <alignment vertical="center"/>
    </xf>
    <xf numFmtId="164" fontId="8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4" fillId="0" borderId="0" xfId="2" applyFont="1" applyAlignment="1">
      <alignment vertical="center"/>
    </xf>
    <xf numFmtId="164" fontId="13" fillId="0" borderId="0" xfId="2" applyFont="1" applyAlignment="1">
      <alignment horizontal="center" vertical="center"/>
    </xf>
    <xf numFmtId="43" fontId="14" fillId="3" borderId="0" xfId="3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5" fillId="0" borderId="0" xfId="2" applyNumberFormat="1" applyFont="1"/>
    <xf numFmtId="164" fontId="16" fillId="4" borderId="0" xfId="2" applyFont="1" applyFill="1" applyAlignment="1">
      <alignment horizontal="right" vertical="center"/>
    </xf>
    <xf numFmtId="164" fontId="17" fillId="0" borderId="0" xfId="2" applyFont="1" applyAlignment="1">
      <alignment vertical="center"/>
    </xf>
    <xf numFmtId="164" fontId="18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6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6" fillId="4" borderId="0" xfId="2" applyFont="1" applyFill="1" applyAlignment="1">
      <alignment horizontal="left" vertical="center"/>
    </xf>
    <xf numFmtId="164" fontId="19" fillId="3" borderId="0" xfId="2" applyFont="1" applyFill="1"/>
    <xf numFmtId="164" fontId="20" fillId="0" borderId="0" xfId="2" applyFont="1" applyAlignment="1">
      <alignment horizontal="left" vertical="center"/>
    </xf>
    <xf numFmtId="1" fontId="21" fillId="0" borderId="0" xfId="2" applyNumberFormat="1" applyFont="1" applyAlignment="1">
      <alignment horizontal="center" vertical="center"/>
    </xf>
    <xf numFmtId="43" fontId="22" fillId="0" borderId="0" xfId="3" applyFont="1" applyFill="1" applyAlignment="1">
      <alignment horizontal="center" vertical="center"/>
    </xf>
    <xf numFmtId="164" fontId="3" fillId="0" borderId="0" xfId="2" applyFont="1"/>
    <xf numFmtId="164" fontId="13" fillId="0" borderId="12" xfId="2" applyFont="1" applyBorder="1" applyAlignment="1">
      <alignment vertical="center"/>
    </xf>
    <xf numFmtId="2" fontId="13" fillId="6" borderId="16" xfId="2" applyNumberFormat="1" applyFont="1" applyFill="1" applyBorder="1" applyAlignment="1">
      <alignment horizontal="center" vertical="center"/>
    </xf>
    <xf numFmtId="167" fontId="13" fillId="0" borderId="17" xfId="2" applyNumberFormat="1" applyFont="1" applyBorder="1" applyAlignment="1">
      <alignment horizontal="center" vertical="center"/>
    </xf>
    <xf numFmtId="165" fontId="25" fillId="0" borderId="0" xfId="2" applyNumberFormat="1" applyFont="1"/>
    <xf numFmtId="164" fontId="13" fillId="0" borderId="23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 vertical="center"/>
      <protection locked="0"/>
    </xf>
    <xf numFmtId="166" fontId="13" fillId="0" borderId="24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4" fontId="1" fillId="0" borderId="0" xfId="2" applyAlignment="1">
      <alignment horizontal="left"/>
    </xf>
    <xf numFmtId="164" fontId="1" fillId="0" borderId="0" xfId="2" applyAlignment="1">
      <alignment horizontal="center"/>
    </xf>
    <xf numFmtId="164" fontId="17" fillId="0" borderId="0" xfId="2" applyFont="1" applyAlignment="1">
      <alignment vertical="top" wrapText="1"/>
    </xf>
    <xf numFmtId="20" fontId="13" fillId="0" borderId="25" xfId="2" applyNumberFormat="1" applyFont="1" applyBorder="1" applyAlignment="1">
      <alignment vertical="center"/>
    </xf>
    <xf numFmtId="167" fontId="13" fillId="0" borderId="26" xfId="2" applyNumberFormat="1" applyFont="1" applyBorder="1" applyAlignment="1">
      <alignment vertical="center"/>
    </xf>
    <xf numFmtId="167" fontId="13" fillId="0" borderId="25" xfId="2" applyNumberFormat="1" applyFont="1" applyBorder="1" applyAlignment="1">
      <alignment vertical="center"/>
    </xf>
    <xf numFmtId="167" fontId="13" fillId="0" borderId="17" xfId="2" applyNumberFormat="1" applyFont="1" applyBorder="1" applyAlignment="1">
      <alignment vertical="center"/>
    </xf>
    <xf numFmtId="0" fontId="13" fillId="0" borderId="0" xfId="2" applyNumberFormat="1" applyFont="1" applyAlignment="1">
      <alignment vertical="center"/>
    </xf>
    <xf numFmtId="166" fontId="13" fillId="0" borderId="0" xfId="2" applyNumberFormat="1" applyFont="1" applyAlignment="1">
      <alignment vertical="center"/>
    </xf>
    <xf numFmtId="164" fontId="3" fillId="0" borderId="0" xfId="2" applyFont="1" applyAlignment="1">
      <alignment horizontal="center"/>
    </xf>
    <xf numFmtId="0" fontId="1" fillId="0" borderId="0" xfId="2" applyNumberFormat="1" applyAlignment="1">
      <alignment horizontal="center"/>
    </xf>
    <xf numFmtId="168" fontId="26" fillId="0" borderId="27" xfId="2" applyNumberFormat="1" applyFont="1" applyBorder="1" applyAlignment="1">
      <alignment horizontal="center" vertical="center"/>
    </xf>
    <xf numFmtId="164" fontId="13" fillId="0" borderId="28" xfId="2" applyFont="1" applyBorder="1" applyAlignment="1">
      <alignment horizontal="right" vertical="center"/>
    </xf>
    <xf numFmtId="168" fontId="26" fillId="0" borderId="29" xfId="2" applyNumberFormat="1" applyFont="1" applyBorder="1" applyAlignment="1">
      <alignment horizontal="center" vertical="center"/>
    </xf>
    <xf numFmtId="164" fontId="27" fillId="0" borderId="28" xfId="2" applyFont="1" applyBorder="1" applyAlignment="1">
      <alignment horizontal="right" vertical="center"/>
    </xf>
    <xf numFmtId="166" fontId="13" fillId="8" borderId="6" xfId="2" applyNumberFormat="1" applyFont="1" applyFill="1" applyBorder="1" applyAlignment="1" applyProtection="1">
      <alignment horizontal="center" vertical="center"/>
      <protection locked="0"/>
    </xf>
    <xf numFmtId="164" fontId="17" fillId="0" borderId="23" xfId="2" applyFont="1" applyBorder="1" applyAlignment="1">
      <alignment horizontal="right" vertical="center"/>
    </xf>
    <xf numFmtId="164" fontId="17" fillId="0" borderId="30" xfId="2" applyFont="1" applyBorder="1" applyAlignment="1">
      <alignment horizontal="left" vertical="center"/>
    </xf>
    <xf numFmtId="166" fontId="17" fillId="0" borderId="31" xfId="2" applyNumberFormat="1" applyFont="1" applyBorder="1" applyAlignment="1">
      <alignment horizontal="center" vertical="center"/>
    </xf>
    <xf numFmtId="164" fontId="13" fillId="0" borderId="32" xfId="2" applyFont="1" applyBorder="1" applyAlignment="1">
      <alignment horizontal="right" vertical="center"/>
    </xf>
    <xf numFmtId="164" fontId="13" fillId="0" borderId="33" xfId="2" applyFont="1" applyBorder="1" applyAlignment="1">
      <alignment horizontal="right" vertical="center"/>
    </xf>
    <xf numFmtId="164" fontId="13" fillId="0" borderId="34" xfId="2" applyFont="1" applyBorder="1" applyAlignment="1">
      <alignment horizontal="right" vertical="center"/>
    </xf>
    <xf numFmtId="168" fontId="26" fillId="0" borderId="6" xfId="2" applyNumberFormat="1" applyFont="1" applyBorder="1" applyAlignment="1">
      <alignment horizontal="center" vertical="center"/>
    </xf>
    <xf numFmtId="164" fontId="13" fillId="0" borderId="35" xfId="2" applyFont="1" applyBorder="1" applyAlignment="1">
      <alignment horizontal="right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8" fontId="26" fillId="0" borderId="22" xfId="2" applyNumberFormat="1" applyFont="1" applyBorder="1" applyAlignment="1">
      <alignment horizontal="center" vertical="center"/>
    </xf>
    <xf numFmtId="164" fontId="17" fillId="0" borderId="36" xfId="2" applyFont="1" applyBorder="1" applyAlignment="1">
      <alignment horizontal="left" vertical="center"/>
    </xf>
    <xf numFmtId="168" fontId="17" fillId="0" borderId="31" xfId="2" applyNumberFormat="1" applyFont="1" applyBorder="1" applyAlignment="1">
      <alignment horizontal="center" vertical="center"/>
    </xf>
    <xf numFmtId="0" fontId="1" fillId="0" borderId="0" xfId="2" applyNumberFormat="1"/>
    <xf numFmtId="166" fontId="1" fillId="0" borderId="0" xfId="2" applyNumberFormat="1"/>
    <xf numFmtId="164" fontId="28" fillId="0" borderId="0" xfId="2" applyFont="1"/>
    <xf numFmtId="164" fontId="13" fillId="0" borderId="37" xfId="2" applyFont="1" applyBorder="1" applyAlignment="1">
      <alignment horizontal="right" vertical="center"/>
    </xf>
    <xf numFmtId="2" fontId="27" fillId="0" borderId="25" xfId="2" applyNumberFormat="1" applyFont="1" applyBorder="1" applyAlignment="1">
      <alignment horizontal="center" vertical="center"/>
    </xf>
    <xf numFmtId="168" fontId="27" fillId="0" borderId="25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left" vertical="center"/>
    </xf>
    <xf numFmtId="164" fontId="3" fillId="9" borderId="0" xfId="2" applyFont="1" applyFill="1"/>
    <xf numFmtId="168" fontId="13" fillId="0" borderId="29" xfId="2" applyNumberFormat="1" applyFont="1" applyBorder="1" applyAlignment="1">
      <alignment horizontal="center" vertical="center"/>
    </xf>
    <xf numFmtId="20" fontId="1" fillId="0" borderId="39" xfId="2" applyNumberFormat="1" applyBorder="1"/>
    <xf numFmtId="166" fontId="13" fillId="0" borderId="2" xfId="2" applyNumberFormat="1" applyFont="1" applyBorder="1" applyAlignment="1" applyProtection="1">
      <alignment horizontal="center" vertical="center"/>
      <protection locked="0"/>
    </xf>
    <xf numFmtId="166" fontId="13" fillId="0" borderId="4" xfId="2" applyNumberFormat="1" applyFont="1" applyBorder="1" applyAlignment="1" applyProtection="1">
      <alignment horizontal="center" vertical="center"/>
      <protection locked="0"/>
    </xf>
    <xf numFmtId="166" fontId="13" fillId="0" borderId="24" xfId="2" applyNumberFormat="1" applyFont="1" applyBorder="1" applyAlignment="1">
      <alignment horizontal="center" vertical="center"/>
    </xf>
    <xf numFmtId="164" fontId="1" fillId="0" borderId="5" xfId="2" applyBorder="1"/>
    <xf numFmtId="166" fontId="13" fillId="0" borderId="40" xfId="2" applyNumberFormat="1" applyFont="1" applyBorder="1" applyAlignment="1" applyProtection="1">
      <alignment horizontal="center" vertical="center"/>
      <protection locked="0"/>
    </xf>
    <xf numFmtId="164" fontId="13" fillId="0" borderId="41" xfId="2" applyFont="1" applyBorder="1" applyAlignment="1">
      <alignment horizontal="right" vertical="center"/>
    </xf>
    <xf numFmtId="166" fontId="13" fillId="0" borderId="6" xfId="2" applyNumberFormat="1" applyFont="1" applyBorder="1" applyAlignment="1">
      <alignment horizontal="center" vertical="center"/>
    </xf>
    <xf numFmtId="166" fontId="13" fillId="9" borderId="42" xfId="2" applyNumberFormat="1" applyFont="1" applyFill="1" applyBorder="1" applyAlignment="1" applyProtection="1">
      <alignment horizontal="center" vertical="center"/>
      <protection locked="0"/>
    </xf>
    <xf numFmtId="166" fontId="13" fillId="0" borderId="43" xfId="2" applyNumberFormat="1" applyFont="1" applyBorder="1" applyAlignment="1">
      <alignment horizontal="center" vertical="center"/>
    </xf>
    <xf numFmtId="164" fontId="1" fillId="0" borderId="46" xfId="2" applyBorder="1"/>
    <xf numFmtId="166" fontId="13" fillId="0" borderId="8" xfId="2" applyNumberFormat="1" applyFont="1" applyBorder="1" applyAlignment="1" applyProtection="1">
      <alignment horizontal="center" vertical="center"/>
      <protection locked="0"/>
    </xf>
    <xf numFmtId="166" fontId="13" fillId="0" borderId="10" xfId="2" applyNumberFormat="1" applyFont="1" applyBorder="1" applyAlignment="1" applyProtection="1">
      <alignment horizontal="center" vertical="center"/>
      <protection locked="0"/>
    </xf>
    <xf numFmtId="168" fontId="13" fillId="0" borderId="47" xfId="2" applyNumberFormat="1" applyFont="1" applyBorder="1" applyAlignment="1">
      <alignment horizontal="center" vertical="center"/>
    </xf>
    <xf numFmtId="168" fontId="17" fillId="0" borderId="48" xfId="2" applyNumberFormat="1" applyFont="1" applyBorder="1" applyAlignment="1">
      <alignment horizontal="center" vertical="center"/>
    </xf>
    <xf numFmtId="166" fontId="2" fillId="0" borderId="0" xfId="2" applyNumberFormat="1" applyFont="1" applyProtection="1">
      <protection locked="0"/>
    </xf>
    <xf numFmtId="166" fontId="13" fillId="0" borderId="25" xfId="2" applyNumberFormat="1" applyFont="1" applyBorder="1" applyAlignment="1">
      <alignment horizontal="center" vertical="center"/>
    </xf>
    <xf numFmtId="1" fontId="17" fillId="0" borderId="31" xfId="2" applyNumberFormat="1" applyFont="1" applyBorder="1" applyAlignment="1">
      <alignment horizontal="center" vertical="center"/>
    </xf>
    <xf numFmtId="164" fontId="17" fillId="9" borderId="38" xfId="2" applyFont="1" applyFill="1" applyBorder="1" applyAlignment="1">
      <alignment vertical="center" wrapText="1"/>
    </xf>
    <xf numFmtId="166" fontId="13" fillId="0" borderId="31" xfId="2" applyNumberFormat="1" applyFont="1" applyBorder="1" applyAlignment="1" applyProtection="1">
      <alignment horizontal="center" vertical="center"/>
      <protection locked="0"/>
    </xf>
    <xf numFmtId="168" fontId="26" fillId="0" borderId="47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center" vertical="center"/>
    </xf>
    <xf numFmtId="164" fontId="17" fillId="0" borderId="49" xfId="2" applyFont="1" applyBorder="1" applyAlignment="1">
      <alignment horizontal="left" vertical="center"/>
    </xf>
    <xf numFmtId="166" fontId="17" fillId="0" borderId="3" xfId="2" applyNumberFormat="1" applyFont="1" applyBorder="1" applyAlignment="1">
      <alignment horizontal="center" vertical="center"/>
    </xf>
    <xf numFmtId="168" fontId="17" fillId="0" borderId="50" xfId="2" applyNumberFormat="1" applyFont="1" applyBorder="1" applyAlignment="1">
      <alignment horizontal="center" vertical="center"/>
    </xf>
    <xf numFmtId="164" fontId="13" fillId="0" borderId="51" xfId="2" applyFont="1" applyBorder="1" applyAlignment="1">
      <alignment horizontal="right" vertical="center"/>
    </xf>
    <xf numFmtId="2" fontId="13" fillId="0" borderId="2" xfId="2" applyNumberFormat="1" applyFont="1" applyBorder="1" applyAlignment="1" applyProtection="1">
      <alignment horizontal="center" vertical="center"/>
      <protection locked="0"/>
    </xf>
    <xf numFmtId="168" fontId="13" fillId="0" borderId="52" xfId="2" applyNumberFormat="1" applyFont="1" applyBorder="1" applyAlignment="1">
      <alignment horizontal="center" vertical="center"/>
    </xf>
    <xf numFmtId="164" fontId="13" fillId="0" borderId="53" xfId="2" applyFont="1" applyBorder="1" applyAlignment="1">
      <alignment horizontal="right" vertical="center"/>
    </xf>
    <xf numFmtId="168" fontId="13" fillId="0" borderId="54" xfId="2" applyNumberFormat="1" applyFont="1" applyBorder="1" applyAlignment="1">
      <alignment horizontal="center" vertical="center"/>
    </xf>
    <xf numFmtId="164" fontId="13" fillId="0" borderId="55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/>
      <protection locked="0"/>
    </xf>
    <xf numFmtId="168" fontId="13" fillId="0" borderId="54" xfId="2" applyNumberFormat="1" applyFont="1" applyBorder="1" applyAlignment="1">
      <alignment horizontal="center"/>
    </xf>
    <xf numFmtId="168" fontId="13" fillId="0" borderId="56" xfId="2" applyNumberFormat="1" applyFont="1" applyBorder="1" applyAlignment="1">
      <alignment horizontal="center" vertical="center"/>
    </xf>
    <xf numFmtId="164" fontId="17" fillId="0" borderId="0" xfId="2" applyFont="1" applyAlignment="1">
      <alignment horizontal="right" vertical="center"/>
    </xf>
    <xf numFmtId="164" fontId="0" fillId="0" borderId="57" xfId="2" applyFont="1" applyBorder="1"/>
    <xf numFmtId="164" fontId="0" fillId="0" borderId="31" xfId="2" applyFont="1" applyBorder="1" applyAlignment="1">
      <alignment horizontal="center"/>
    </xf>
    <xf numFmtId="169" fontId="0" fillId="0" borderId="31" xfId="1" applyNumberFormat="1" applyFont="1" applyBorder="1" applyAlignment="1">
      <alignment horizontal="center"/>
    </xf>
    <xf numFmtId="164" fontId="0" fillId="0" borderId="58" xfId="2" applyFont="1" applyBorder="1" applyAlignment="1">
      <alignment horizontal="center"/>
    </xf>
    <xf numFmtId="164" fontId="13" fillId="0" borderId="1" xfId="2" applyFont="1" applyBorder="1" applyAlignment="1">
      <alignment vertical="center"/>
    </xf>
    <xf numFmtId="168" fontId="1" fillId="0" borderId="0" xfId="2" applyNumberFormat="1"/>
    <xf numFmtId="164" fontId="0" fillId="0" borderId="59" xfId="2" applyFont="1" applyBorder="1"/>
    <xf numFmtId="2" fontId="1" fillId="0" borderId="24" xfId="2" applyNumberFormat="1" applyBorder="1" applyAlignment="1">
      <alignment horizontal="center"/>
    </xf>
    <xf numFmtId="0" fontId="1" fillId="0" borderId="24" xfId="2" applyNumberFormat="1" applyBorder="1" applyAlignment="1">
      <alignment horizontal="center"/>
    </xf>
    <xf numFmtId="2" fontId="1" fillId="0" borderId="60" xfId="2" applyNumberFormat="1" applyBorder="1" applyAlignment="1">
      <alignment horizontal="center"/>
    </xf>
    <xf numFmtId="164" fontId="17" fillId="0" borderId="39" xfId="2" applyFont="1" applyBorder="1" applyAlignment="1">
      <alignment horizontal="right" vertical="center"/>
    </xf>
    <xf numFmtId="166" fontId="17" fillId="0" borderId="11" xfId="2" applyNumberFormat="1" applyFont="1" applyBorder="1" applyAlignment="1">
      <alignment horizontal="center" vertical="center"/>
    </xf>
    <xf numFmtId="166" fontId="17" fillId="0" borderId="61" xfId="2" applyNumberFormat="1" applyFont="1" applyBorder="1" applyAlignment="1">
      <alignment horizontal="center" vertical="center"/>
    </xf>
    <xf numFmtId="164" fontId="0" fillId="0" borderId="53" xfId="2" applyFont="1" applyBorder="1"/>
    <xf numFmtId="2" fontId="1" fillId="0" borderId="6" xfId="2" applyNumberFormat="1" applyBorder="1" applyAlignment="1">
      <alignment horizontal="center"/>
    </xf>
    <xf numFmtId="0" fontId="1" fillId="0" borderId="6" xfId="2" applyNumberFormat="1" applyBorder="1" applyAlignment="1">
      <alignment horizontal="center"/>
    </xf>
    <xf numFmtId="2" fontId="1" fillId="0" borderId="40" xfId="2" applyNumberFormat="1" applyBorder="1" applyAlignment="1">
      <alignment horizontal="center"/>
    </xf>
    <xf numFmtId="164" fontId="13" fillId="0" borderId="32" xfId="2" applyFont="1" applyBorder="1" applyAlignment="1">
      <alignment horizontal="right" vertical="center" indent="1"/>
    </xf>
    <xf numFmtId="166" fontId="13" fillId="0" borderId="62" xfId="2" applyNumberFormat="1" applyFont="1" applyBorder="1" applyAlignment="1" applyProtection="1">
      <alignment horizontal="center"/>
      <protection locked="0"/>
    </xf>
    <xf numFmtId="166" fontId="13" fillId="0" borderId="63" xfId="2" applyNumberFormat="1" applyFont="1" applyBorder="1" applyAlignment="1" applyProtection="1">
      <alignment horizontal="center" vertical="center"/>
      <protection locked="0"/>
    </xf>
    <xf numFmtId="168" fontId="1" fillId="0" borderId="6" xfId="2" applyNumberFormat="1" applyBorder="1" applyAlignment="1">
      <alignment horizontal="center"/>
    </xf>
    <xf numFmtId="164" fontId="13" fillId="0" borderId="33" xfId="2" applyFont="1" applyBorder="1" applyAlignment="1">
      <alignment horizontal="right" vertical="center" indent="1"/>
    </xf>
    <xf numFmtId="166" fontId="13" fillId="0" borderId="43" xfId="2" applyNumberFormat="1" applyFont="1" applyBorder="1" applyAlignment="1" applyProtection="1">
      <alignment horizontal="center" vertical="center"/>
      <protection locked="0"/>
    </xf>
    <xf numFmtId="164" fontId="0" fillId="0" borderId="64" xfId="2" applyFont="1" applyBorder="1"/>
    <xf numFmtId="2" fontId="1" fillId="0" borderId="8" xfId="2" applyNumberFormat="1" applyBorder="1" applyAlignment="1">
      <alignment horizontal="center"/>
    </xf>
    <xf numFmtId="2" fontId="1" fillId="0" borderId="10" xfId="2" applyNumberFormat="1" applyBorder="1" applyAlignment="1">
      <alignment horizontal="center"/>
    </xf>
    <xf numFmtId="166" fontId="13" fillId="0" borderId="65" xfId="2" applyNumberFormat="1" applyFont="1" applyBorder="1" applyAlignment="1" applyProtection="1">
      <alignment horizontal="center"/>
      <protection locked="0"/>
    </xf>
    <xf numFmtId="164" fontId="1" fillId="0" borderId="24" xfId="2" applyBorder="1"/>
    <xf numFmtId="164" fontId="1" fillId="0" borderId="24" xfId="2" applyBorder="1" applyAlignment="1">
      <alignment horizontal="center"/>
    </xf>
    <xf numFmtId="164" fontId="1" fillId="0" borderId="25" xfId="2" applyBorder="1"/>
    <xf numFmtId="164" fontId="1" fillId="0" borderId="25" xfId="2" applyBorder="1" applyAlignment="1">
      <alignment horizontal="center"/>
    </xf>
    <xf numFmtId="168" fontId="1" fillId="0" borderId="25" xfId="2" applyNumberFormat="1" applyBorder="1" applyAlignment="1">
      <alignment horizontal="center"/>
    </xf>
    <xf numFmtId="2" fontId="1" fillId="0" borderId="0" xfId="2" applyNumberFormat="1" applyAlignment="1">
      <alignment horizontal="center"/>
    </xf>
    <xf numFmtId="164" fontId="13" fillId="0" borderId="66" xfId="2" applyFont="1" applyBorder="1" applyAlignment="1">
      <alignment horizontal="right" vertical="center" indent="1"/>
    </xf>
    <xf numFmtId="2" fontId="0" fillId="0" borderId="24" xfId="1" applyNumberFormat="1" applyFont="1" applyBorder="1" applyAlignment="1">
      <alignment horizontal="center"/>
    </xf>
    <xf numFmtId="164" fontId="17" fillId="0" borderId="67" xfId="2" applyFont="1" applyBorder="1" applyAlignment="1">
      <alignment horizontal="right" vertical="center" indent="1"/>
    </xf>
    <xf numFmtId="2" fontId="29" fillId="0" borderId="68" xfId="2" applyNumberFormat="1" applyFont="1" applyBorder="1" applyAlignment="1">
      <alignment horizontal="center"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/>
    </xf>
    <xf numFmtId="164" fontId="13" fillId="0" borderId="69" xfId="2" applyFont="1" applyBorder="1" applyAlignment="1">
      <alignment horizontal="right" vertical="center" wrapText="1"/>
    </xf>
    <xf numFmtId="2" fontId="29" fillId="0" borderId="24" xfId="2" applyNumberFormat="1" applyFont="1" applyBorder="1" applyAlignment="1">
      <alignment horizontal="center" vertical="center"/>
    </xf>
    <xf numFmtId="2" fontId="29" fillId="0" borderId="60" xfId="2" applyNumberFormat="1" applyFont="1" applyBorder="1" applyAlignment="1">
      <alignment horizontal="center" vertical="center"/>
    </xf>
    <xf numFmtId="164" fontId="1" fillId="0" borderId="62" xfId="2" applyBorder="1" applyAlignment="1">
      <alignment horizontal="center"/>
    </xf>
    <xf numFmtId="2" fontId="1" fillId="0" borderId="0" xfId="2" applyNumberFormat="1"/>
    <xf numFmtId="2" fontId="29" fillId="0" borderId="62" xfId="2" applyNumberFormat="1" applyFont="1" applyBorder="1" applyAlignment="1">
      <alignment horizontal="center"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0" fontId="1" fillId="0" borderId="8" xfId="2" applyNumberFormat="1" applyBorder="1" applyAlignment="1">
      <alignment horizontal="center"/>
    </xf>
    <xf numFmtId="164" fontId="0" fillId="0" borderId="0" xfId="2" applyFont="1"/>
    <xf numFmtId="164" fontId="13" fillId="0" borderId="35" xfId="2" applyFont="1" applyBorder="1" applyAlignment="1">
      <alignment horizontal="right" vertical="center" indent="1"/>
    </xf>
    <xf numFmtId="2" fontId="29" fillId="0" borderId="26" xfId="2" applyNumberFormat="1" applyFont="1" applyBorder="1" applyAlignment="1">
      <alignment horizontal="center"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70" xfId="2" applyNumberFormat="1" applyFont="1" applyBorder="1" applyAlignment="1">
      <alignment horizontal="center" vertical="center"/>
    </xf>
    <xf numFmtId="164" fontId="1" fillId="0" borderId="26" xfId="2" applyBorder="1" applyAlignment="1">
      <alignment horizontal="center"/>
    </xf>
    <xf numFmtId="9" fontId="1" fillId="0" borderId="31" xfId="1" applyBorder="1" applyAlignment="1">
      <alignment horizontal="center"/>
    </xf>
    <xf numFmtId="164" fontId="13" fillId="0" borderId="71" xfId="2" applyFont="1" applyBorder="1" applyAlignment="1">
      <alignment horizontal="right" vertical="center" indent="1"/>
    </xf>
    <xf numFmtId="0" fontId="3" fillId="10" borderId="6" xfId="0" applyFont="1" applyFill="1" applyBorder="1" applyAlignment="1">
      <alignment horizontal="right"/>
    </xf>
    <xf numFmtId="164" fontId="1" fillId="0" borderId="6" xfId="2" applyBorder="1" applyAlignment="1">
      <alignment horizontal="center"/>
    </xf>
    <xf numFmtId="168" fontId="1" fillId="0" borderId="0" xfId="2" applyNumberFormat="1" applyAlignment="1">
      <alignment horizontal="center"/>
    </xf>
    <xf numFmtId="164" fontId="0" fillId="0" borderId="6" xfId="2" applyFont="1" applyBorder="1"/>
    <xf numFmtId="2" fontId="13" fillId="0" borderId="2" xfId="2" applyNumberFormat="1" applyFont="1" applyBorder="1" applyAlignment="1">
      <alignment horizontal="center" vertical="center"/>
    </xf>
    <xf numFmtId="168" fontId="30" fillId="0" borderId="4" xfId="2" applyNumberFormat="1" applyFont="1" applyBorder="1" applyAlignment="1">
      <alignment horizontal="center" vertical="center"/>
    </xf>
    <xf numFmtId="2" fontId="13" fillId="0" borderId="6" xfId="2" applyNumberFormat="1" applyFont="1" applyBorder="1" applyAlignment="1">
      <alignment horizontal="center" vertical="center"/>
    </xf>
    <xf numFmtId="168" fontId="30" fillId="0" borderId="40" xfId="2" applyNumberFormat="1" applyFont="1" applyBorder="1" applyAlignment="1">
      <alignment horizontal="center" vertical="center"/>
    </xf>
    <xf numFmtId="164" fontId="13" fillId="0" borderId="72" xfId="2" applyFont="1" applyBorder="1" applyAlignment="1">
      <alignment horizontal="right" vertical="center"/>
    </xf>
    <xf numFmtId="2" fontId="13" fillId="0" borderId="25" xfId="2" applyNumberFormat="1" applyFont="1" applyBorder="1" applyAlignment="1">
      <alignment horizontal="center" vertical="center"/>
    </xf>
    <xf numFmtId="168" fontId="30" fillId="0" borderId="70" xfId="2" applyNumberFormat="1" applyFont="1" applyBorder="1" applyAlignment="1">
      <alignment horizontal="center" vertical="center"/>
    </xf>
    <xf numFmtId="164" fontId="13" fillId="0" borderId="57" xfId="2" applyFont="1" applyBorder="1" applyAlignment="1">
      <alignment horizontal="right" vertical="center"/>
    </xf>
    <xf numFmtId="2" fontId="13" fillId="0" borderId="31" xfId="2" applyNumberFormat="1" applyFont="1" applyBorder="1" applyAlignment="1">
      <alignment horizontal="center" vertical="center"/>
    </xf>
    <xf numFmtId="168" fontId="1" fillId="0" borderId="58" xfId="2" applyNumberFormat="1" applyBorder="1" applyAlignment="1">
      <alignment horizontal="center"/>
    </xf>
    <xf numFmtId="164" fontId="17" fillId="0" borderId="46" xfId="2" applyFont="1" applyBorder="1" applyAlignment="1">
      <alignment vertical="center"/>
    </xf>
    <xf numFmtId="168" fontId="1" fillId="0" borderId="73" xfId="2" applyNumberFormat="1" applyBorder="1" applyAlignment="1">
      <alignment horizontal="center"/>
    </xf>
    <xf numFmtId="164" fontId="13" fillId="0" borderId="74" xfId="2" applyFont="1" applyBorder="1" applyAlignment="1">
      <alignment horizontal="right" vertical="center"/>
    </xf>
    <xf numFmtId="2" fontId="13" fillId="0" borderId="4" xfId="2" applyNumberFormat="1" applyFont="1" applyBorder="1" applyAlignment="1">
      <alignment horizontal="center" vertical="center"/>
    </xf>
    <xf numFmtId="168" fontId="26" fillId="0" borderId="45" xfId="2" applyNumberFormat="1" applyFont="1" applyBorder="1" applyAlignment="1">
      <alignment horizontal="center" vertical="center"/>
    </xf>
    <xf numFmtId="2" fontId="13" fillId="0" borderId="40" xfId="2" applyNumberFormat="1" applyFont="1" applyBorder="1" applyAlignment="1">
      <alignment horizontal="center" vertical="center"/>
    </xf>
    <xf numFmtId="9" fontId="0" fillId="0" borderId="31" xfId="1" applyFont="1" applyBorder="1" applyAlignment="1">
      <alignment horizontal="center"/>
    </xf>
    <xf numFmtId="2" fontId="1" fillId="0" borderId="24" xfId="2" applyNumberFormat="1" applyBorder="1"/>
    <xf numFmtId="2" fontId="1" fillId="0" borderId="60" xfId="2" applyNumberFormat="1" applyBorder="1"/>
    <xf numFmtId="2" fontId="1" fillId="0" borderId="6" xfId="2" applyNumberFormat="1" applyBorder="1"/>
    <xf numFmtId="2" fontId="1" fillId="0" borderId="40" xfId="2" applyNumberFormat="1" applyBorder="1"/>
    <xf numFmtId="164" fontId="1" fillId="0" borderId="6" xfId="2" applyBorder="1"/>
    <xf numFmtId="164" fontId="1" fillId="0" borderId="53" xfId="2" applyBorder="1"/>
    <xf numFmtId="164" fontId="3" fillId="0" borderId="64" xfId="2" applyFont="1" applyBorder="1"/>
    <xf numFmtId="164" fontId="3" fillId="0" borderId="8" xfId="2" applyFont="1" applyBorder="1"/>
    <xf numFmtId="2" fontId="3" fillId="0" borderId="10" xfId="2" applyNumberFormat="1" applyFont="1" applyBorder="1" applyAlignment="1">
      <alignment horizontal="center"/>
    </xf>
    <xf numFmtId="168" fontId="26" fillId="0" borderId="75" xfId="2" applyNumberFormat="1" applyFont="1" applyBorder="1" applyAlignment="1">
      <alignment horizontal="center" vertical="center"/>
    </xf>
    <xf numFmtId="168" fontId="26" fillId="0" borderId="76" xfId="2" applyNumberFormat="1" applyFont="1" applyBorder="1" applyAlignment="1">
      <alignment horizontal="center" vertical="center"/>
    </xf>
    <xf numFmtId="2" fontId="13" fillId="0" borderId="8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164" fontId="13" fillId="0" borderId="36" xfId="2" applyFont="1" applyBorder="1" applyAlignment="1">
      <alignment vertical="center"/>
    </xf>
    <xf numFmtId="2" fontId="13" fillId="0" borderId="9" xfId="2" applyNumberFormat="1" applyFont="1" applyBorder="1" applyAlignment="1">
      <alignment horizontal="center" vertical="center"/>
    </xf>
    <xf numFmtId="2" fontId="13" fillId="0" borderId="77" xfId="2" applyNumberFormat="1" applyFont="1" applyBorder="1" applyAlignment="1">
      <alignment horizontal="center" vertical="center"/>
    </xf>
    <xf numFmtId="168" fontId="26" fillId="0" borderId="36" xfId="2" applyNumberFormat="1" applyFont="1" applyBorder="1" applyAlignment="1">
      <alignment horizontal="center" vertical="center"/>
    </xf>
    <xf numFmtId="166" fontId="13" fillId="11" borderId="24" xfId="2" applyNumberFormat="1" applyFont="1" applyFill="1" applyBorder="1" applyAlignment="1" applyProtection="1">
      <alignment horizontal="center" vertical="center"/>
      <protection locked="0"/>
    </xf>
    <xf numFmtId="2" fontId="17" fillId="0" borderId="9" xfId="2" applyNumberFormat="1" applyFont="1" applyBorder="1" applyAlignment="1">
      <alignment horizontal="center" vertical="center"/>
    </xf>
    <xf numFmtId="164" fontId="13" fillId="0" borderId="78" xfId="2" applyFont="1" applyBorder="1" applyAlignment="1">
      <alignment vertical="center"/>
    </xf>
    <xf numFmtId="168" fontId="26" fillId="0" borderId="79" xfId="2" applyNumberFormat="1" applyFont="1" applyBorder="1" applyAlignment="1">
      <alignment horizontal="center" vertical="center"/>
    </xf>
    <xf numFmtId="2" fontId="13" fillId="0" borderId="70" xfId="2" applyNumberFormat="1" applyFont="1" applyBorder="1" applyAlignment="1">
      <alignment horizontal="center" vertical="center"/>
    </xf>
    <xf numFmtId="2" fontId="13" fillId="0" borderId="57" xfId="2" applyNumberFormat="1" applyFont="1" applyBorder="1" applyAlignment="1">
      <alignment horizontal="center" vertical="center"/>
    </xf>
    <xf numFmtId="2" fontId="13" fillId="0" borderId="58" xfId="2" applyNumberFormat="1" applyFont="1" applyBorder="1" applyAlignment="1">
      <alignment horizontal="center" vertical="center"/>
    </xf>
    <xf numFmtId="167" fontId="13" fillId="7" borderId="17" xfId="2" applyNumberFormat="1" applyFont="1" applyFill="1" applyBorder="1" applyAlignment="1">
      <alignment horizontal="center" vertical="center"/>
    </xf>
    <xf numFmtId="167" fontId="13" fillId="7" borderId="20" xfId="2" applyNumberFormat="1" applyFont="1" applyFill="1" applyBorder="1" applyAlignment="1">
      <alignment horizontal="center" vertical="center"/>
    </xf>
    <xf numFmtId="167" fontId="13" fillId="0" borderId="17" xfId="2" applyNumberFormat="1" applyFont="1" applyBorder="1" applyAlignment="1">
      <alignment horizontal="center" vertical="center"/>
    </xf>
    <xf numFmtId="167" fontId="13" fillId="0" borderId="20" xfId="2" applyNumberFormat="1" applyFont="1" applyBorder="1" applyAlignment="1">
      <alignment horizontal="center" vertical="center"/>
    </xf>
    <xf numFmtId="167" fontId="17" fillId="0" borderId="17" xfId="2" applyNumberFormat="1" applyFont="1" applyBorder="1" applyAlignment="1">
      <alignment horizontal="center" vertical="center" wrapText="1"/>
    </xf>
    <xf numFmtId="167" fontId="17" fillId="0" borderId="20" xfId="2" applyNumberFormat="1" applyFont="1" applyBorder="1" applyAlignment="1">
      <alignment horizontal="center" vertical="center" wrapText="1"/>
    </xf>
    <xf numFmtId="166" fontId="17" fillId="9" borderId="44" xfId="2" applyNumberFormat="1" applyFont="1" applyFill="1" applyBorder="1" applyAlignment="1">
      <alignment horizontal="center" vertical="center"/>
    </xf>
    <xf numFmtId="166" fontId="17" fillId="9" borderId="45" xfId="2" applyNumberFormat="1" applyFont="1" applyFill="1" applyBorder="1" applyAlignment="1">
      <alignment horizontal="center" vertical="center"/>
    </xf>
    <xf numFmtId="2" fontId="24" fillId="0" borderId="13" xfId="2" applyNumberFormat="1" applyFont="1" applyBorder="1" applyAlignment="1">
      <alignment horizontal="center" vertical="center"/>
    </xf>
    <xf numFmtId="2" fontId="24" fillId="0" borderId="14" xfId="2" applyNumberFormat="1" applyFont="1" applyBorder="1" applyAlignment="1">
      <alignment horizontal="center" vertical="center"/>
    </xf>
    <xf numFmtId="2" fontId="24" fillId="0" borderId="15" xfId="2" applyNumberFormat="1" applyFont="1" applyBorder="1" applyAlignment="1">
      <alignment horizontal="center" vertical="center"/>
    </xf>
    <xf numFmtId="164" fontId="17" fillId="0" borderId="18" xfId="2" applyFont="1" applyBorder="1" applyAlignment="1">
      <alignment horizontal="left" vertical="top" wrapText="1"/>
    </xf>
    <xf numFmtId="164" fontId="17" fillId="0" borderId="21" xfId="2" applyFont="1" applyBorder="1" applyAlignment="1">
      <alignment horizontal="left" vertical="top" wrapText="1"/>
    </xf>
    <xf numFmtId="167" fontId="13" fillId="0" borderId="19" xfId="2" applyNumberFormat="1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left" vertical="center"/>
    </xf>
    <xf numFmtId="164" fontId="16" fillId="4" borderId="11" xfId="2" applyFont="1" applyFill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5" fillId="0" borderId="0" xfId="2" applyFont="1" applyAlignment="1">
      <alignment horizontal="center" vertical="center" wrapText="1"/>
    </xf>
    <xf numFmtId="164" fontId="6" fillId="2" borderId="0" xfId="2" applyFont="1" applyFill="1" applyAlignment="1">
      <alignment horizontal="center" vertical="center"/>
    </xf>
    <xf numFmtId="164" fontId="5" fillId="0" borderId="1" xfId="2" applyFont="1" applyBorder="1" applyAlignment="1">
      <alignment horizontal="center" vertical="center"/>
    </xf>
    <xf numFmtId="164" fontId="5" fillId="0" borderId="7" xfId="2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164" fontId="5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</cellXfs>
  <cellStyles count="4">
    <cellStyle name="Comma 2" xfId="3"/>
    <cellStyle name="Normal" xfId="0" builtinId="0"/>
    <cellStyle name="Normal 2" xfId="2"/>
    <cellStyle name="Percent" xfId="1" builtinId="5"/>
  </cellStyles>
  <dxfs count="195"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46"/>
  <sheetViews>
    <sheetView tabSelected="1" zoomScale="115" zoomScaleNormal="115" workbookViewId="0">
      <pane xSplit="1" ySplit="10" topLeftCell="C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T154" sqref="T154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1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 t="s">
        <v>1</v>
      </c>
      <c r="AH1" s="242"/>
      <c r="AI1" s="242"/>
      <c r="AL1" s="2"/>
    </row>
    <row r="2" spans="1:88" ht="20.25" hidden="1" x14ac:dyDescent="0.25">
      <c r="A2" s="3"/>
      <c r="B2" s="243" t="s">
        <v>2</v>
      </c>
      <c r="C2" s="4"/>
      <c r="D2" s="245" t="s">
        <v>3</v>
      </c>
      <c r="E2" s="4"/>
      <c r="F2" s="245" t="s">
        <v>4</v>
      </c>
      <c r="G2" s="4"/>
      <c r="H2" s="245" t="s">
        <v>5</v>
      </c>
      <c r="I2" s="5"/>
      <c r="J2" s="247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AG81</f>
        <v>2732.3274000000001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4"/>
      <c r="C3" s="16"/>
      <c r="D3" s="246"/>
      <c r="E3" s="16"/>
      <c r="F3" s="246"/>
      <c r="G3" s="16"/>
      <c r="H3" s="246"/>
      <c r="I3" s="17"/>
      <c r="J3" s="247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6" t="e">
        <f ca="1">"2080/"&amp;"10/"&amp;INT(MID(CELL("filename",D6),FIND("]",CELL("filename",D6))+1,200))</f>
        <v>#VALUE!</v>
      </c>
      <c r="C4" s="236"/>
      <c r="D4" s="236"/>
      <c r="E4" s="237" t="e">
        <f ca="1">"2080/"&amp;"10/"&amp;INT(MID(CELL("filename",G6),FIND("]",CELL("filename",G6))+1,200))</f>
        <v>#VALUE!</v>
      </c>
      <c r="F4" s="237"/>
      <c r="G4" s="237"/>
      <c r="H4" s="237" t="e">
        <f ca="1">TEXT(E4,"dddd")</f>
        <v>#VALUE!</v>
      </c>
      <c r="I4" s="237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AB118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3328.2374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B126</f>
        <v>252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1572.8999999999996</v>
      </c>
      <c r="R7" s="35">
        <f t="shared" si="1"/>
        <v>1679.3999999999996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AB126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38" t="s">
        <v>14</v>
      </c>
      <c r="C8" s="239"/>
      <c r="D8" s="239"/>
      <c r="E8" s="239"/>
      <c r="F8" s="239"/>
      <c r="G8" s="239"/>
      <c r="H8" s="239"/>
      <c r="I8" s="239"/>
      <c r="J8" s="239"/>
      <c r="K8" s="239"/>
      <c r="L8" s="240"/>
      <c r="M8" s="230" t="s">
        <v>15</v>
      </c>
      <c r="N8" s="231"/>
      <c r="O8" s="231"/>
      <c r="P8" s="231"/>
      <c r="Q8" s="231"/>
      <c r="R8" s="232"/>
      <c r="S8" s="230" t="s">
        <v>16</v>
      </c>
      <c r="T8" s="231"/>
      <c r="U8" s="231"/>
      <c r="V8" s="231"/>
      <c r="W8" s="231"/>
      <c r="X8" s="231"/>
      <c r="Y8" s="231"/>
      <c r="Z8" s="231"/>
      <c r="AA8" s="232"/>
      <c r="AB8" s="230" t="s">
        <v>17</v>
      </c>
      <c r="AC8" s="231"/>
      <c r="AD8" s="231"/>
      <c r="AE8" s="231"/>
      <c r="AF8" s="232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2215.8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3" t="s">
        <v>18</v>
      </c>
      <c r="B9" s="235">
        <v>0</v>
      </c>
      <c r="C9" s="235">
        <v>4.1666666666666664E-2</v>
      </c>
      <c r="D9" s="235">
        <v>8.3333333333333301E-2</v>
      </c>
      <c r="E9" s="235">
        <v>0.125</v>
      </c>
      <c r="F9" s="235">
        <v>0.16666666666666699</v>
      </c>
      <c r="G9" s="235">
        <v>0.20833333333333301</v>
      </c>
      <c r="H9" s="235">
        <v>0.22916666666666699</v>
      </c>
      <c r="I9" s="235">
        <v>0.25</v>
      </c>
      <c r="J9" s="235">
        <v>0.27083333333333298</v>
      </c>
      <c r="K9" s="235">
        <v>0.29166666666666702</v>
      </c>
      <c r="L9" s="235">
        <v>0.3125</v>
      </c>
      <c r="M9" s="222">
        <v>0.33333333333333298</v>
      </c>
      <c r="N9" s="222">
        <v>0.375</v>
      </c>
      <c r="O9" s="222">
        <v>0.41666666666666702</v>
      </c>
      <c r="P9" s="222">
        <v>0.45833333333333298</v>
      </c>
      <c r="Q9" s="222">
        <v>0.5</v>
      </c>
      <c r="R9" s="222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1679.4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4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3"/>
      <c r="N10" s="223"/>
      <c r="O10" s="223"/>
      <c r="P10" s="223"/>
      <c r="Q10" s="223"/>
      <c r="R10" s="223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0" t="s">
        <v>19</v>
      </c>
      <c r="AI10" s="4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3">
        <v>86.6</v>
      </c>
      <c r="R11" s="43">
        <v>86.6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59">
        <v>86</v>
      </c>
      <c r="AH11" s="45">
        <f t="shared" ref="AH11:AH82" si="2">MAX(B11:AF11)</f>
        <v>86.6</v>
      </c>
      <c r="AI11" s="46">
        <f t="shared" ref="AI11:AI82" si="3">MIN(B11:AF11)</f>
        <v>86.6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3">
        <v>83</v>
      </c>
      <c r="R12" s="43">
        <v>83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59">
        <v>82</v>
      </c>
      <c r="AH12" s="45">
        <f t="shared" si="2"/>
        <v>83</v>
      </c>
      <c r="AI12" s="46">
        <f t="shared" si="3"/>
        <v>83</v>
      </c>
      <c r="AK12" s="47"/>
      <c r="AL12" s="48" t="str">
        <f ca="1">MID(CELL("filename",C7),FIND("]",CELL("filename",C7))+1,600)</f>
        <v>Sample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3">
        <v>20</v>
      </c>
      <c r="R13" s="43">
        <v>20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59">
        <v>78</v>
      </c>
      <c r="AH13" s="45">
        <f t="shared" si="2"/>
        <v>20</v>
      </c>
      <c r="AI13" s="46">
        <f t="shared" si="3"/>
        <v>20</v>
      </c>
      <c r="AK13" s="47"/>
      <c r="AL13" s="48" t="e">
        <f ca="1">"Daily Load Curve(Excluding of Export) of Nepal ("&amp;A4&amp;" "&amp;B4&amp;")"</f>
        <v>#VALUE!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3">
        <v>0</v>
      </c>
      <c r="R14" s="43">
        <v>0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59">
        <v>77</v>
      </c>
      <c r="AH14" s="45">
        <f t="shared" si="2"/>
        <v>0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3">
        <v>73.8</v>
      </c>
      <c r="R15" s="43">
        <v>73.8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59">
        <v>73</v>
      </c>
      <c r="AH15" s="45">
        <f t="shared" si="2"/>
        <v>73.8</v>
      </c>
      <c r="AI15" s="46">
        <f t="shared" si="3"/>
        <v>73.8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3">
        <v>36</v>
      </c>
      <c r="R16" s="43">
        <v>36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9">
        <v>71</v>
      </c>
      <c r="AH16" s="45">
        <f t="shared" si="2"/>
        <v>36</v>
      </c>
      <c r="AI16" s="46">
        <f t="shared" si="3"/>
        <v>36</v>
      </c>
      <c r="AK16" s="47"/>
      <c r="AL16" s="50" t="s">
        <v>7</v>
      </c>
      <c r="AM16" s="55">
        <f t="shared" ref="AM16:AR16" si="4">B81</f>
        <v>250</v>
      </c>
      <c r="AN16" s="55">
        <f t="shared" si="4"/>
        <v>250</v>
      </c>
      <c r="AO16" s="55">
        <f t="shared" si="4"/>
        <v>250</v>
      </c>
      <c r="AP16" s="55">
        <f t="shared" si="4"/>
        <v>250</v>
      </c>
      <c r="AQ16" s="55">
        <f t="shared" si="4"/>
        <v>250</v>
      </c>
      <c r="AR16" s="55">
        <f t="shared" si="4"/>
        <v>250</v>
      </c>
      <c r="AS16" s="55">
        <f>I81</f>
        <v>250</v>
      </c>
      <c r="AT16" s="55">
        <f>K81</f>
        <v>250</v>
      </c>
      <c r="AU16" s="55">
        <f t="shared" ref="AU16:BD16" si="5">M81</f>
        <v>250</v>
      </c>
      <c r="AV16" s="55">
        <f t="shared" si="5"/>
        <v>250</v>
      </c>
      <c r="AW16" s="55">
        <f t="shared" si="5"/>
        <v>250</v>
      </c>
      <c r="AX16" s="55">
        <f t="shared" si="5"/>
        <v>250</v>
      </c>
      <c r="AY16" s="55">
        <f t="shared" si="5"/>
        <v>1383.4999999999998</v>
      </c>
      <c r="AZ16" s="55">
        <f t="shared" si="5"/>
        <v>1383.4999999999998</v>
      </c>
      <c r="BA16" s="55">
        <f t="shared" si="5"/>
        <v>250</v>
      </c>
      <c r="BB16" s="55">
        <f t="shared" si="5"/>
        <v>250</v>
      </c>
      <c r="BC16" s="55">
        <f t="shared" si="5"/>
        <v>250</v>
      </c>
      <c r="BD16" s="55">
        <f t="shared" si="5"/>
        <v>250</v>
      </c>
      <c r="BE16" s="56">
        <f>X81</f>
        <v>250</v>
      </c>
      <c r="BF16" s="56">
        <f>Z81</f>
        <v>250</v>
      </c>
      <c r="BG16" s="56">
        <f>AB81</f>
        <v>250</v>
      </c>
      <c r="BH16" s="56">
        <f>AD81</f>
        <v>250</v>
      </c>
      <c r="BI16" s="56">
        <f>AE81</f>
        <v>250</v>
      </c>
      <c r="BJ16" s="56">
        <f>AF81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181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>
        <v>36.6</v>
      </c>
      <c r="R17" s="44">
        <v>36.6</v>
      </c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59">
        <v>60</v>
      </c>
      <c r="AH17" s="45">
        <f t="shared" si="2"/>
        <v>36.6</v>
      </c>
      <c r="AI17" s="46">
        <f t="shared" si="3"/>
        <v>36.6</v>
      </c>
      <c r="AK17" s="47"/>
      <c r="AL17" s="50" t="s">
        <v>22</v>
      </c>
      <c r="AM17" s="55">
        <f t="shared" ref="AM17:AR17" si="6">B88</f>
        <v>0</v>
      </c>
      <c r="AN17" s="55">
        <f t="shared" si="6"/>
        <v>0</v>
      </c>
      <c r="AO17" s="55">
        <f t="shared" si="6"/>
        <v>0</v>
      </c>
      <c r="AP17" s="55">
        <f t="shared" si="6"/>
        <v>0</v>
      </c>
      <c r="AQ17" s="55">
        <f t="shared" si="6"/>
        <v>0</v>
      </c>
      <c r="AR17" s="55">
        <f t="shared" si="6"/>
        <v>0</v>
      </c>
      <c r="AS17" s="55">
        <f>I88</f>
        <v>0</v>
      </c>
      <c r="AT17" s="55">
        <f>K88</f>
        <v>0</v>
      </c>
      <c r="AU17" s="55">
        <f t="shared" ref="AU17:BD17" si="7">M88</f>
        <v>0</v>
      </c>
      <c r="AV17" s="55">
        <f t="shared" si="7"/>
        <v>0</v>
      </c>
      <c r="AW17" s="55">
        <f t="shared" si="7"/>
        <v>0</v>
      </c>
      <c r="AX17" s="55">
        <f t="shared" si="7"/>
        <v>0</v>
      </c>
      <c r="AY17" s="55">
        <f t="shared" si="7"/>
        <v>408.5</v>
      </c>
      <c r="AZ17" s="55">
        <f t="shared" si="7"/>
        <v>451.8</v>
      </c>
      <c r="BA17" s="55">
        <f t="shared" si="7"/>
        <v>0</v>
      </c>
      <c r="BB17" s="55">
        <f t="shared" si="7"/>
        <v>0</v>
      </c>
      <c r="BC17" s="55">
        <f t="shared" si="7"/>
        <v>0</v>
      </c>
      <c r="BD17" s="55">
        <f t="shared" si="7"/>
        <v>0</v>
      </c>
      <c r="BE17" s="56">
        <f>X88</f>
        <v>0</v>
      </c>
      <c r="BF17" s="56">
        <f>Z88</f>
        <v>0</v>
      </c>
      <c r="BG17" s="56">
        <f>AB88</f>
        <v>0</v>
      </c>
      <c r="BH17" s="56">
        <f>AD88</f>
        <v>0</v>
      </c>
      <c r="BI17" s="56">
        <f>AE88</f>
        <v>0</v>
      </c>
      <c r="BJ17" s="56">
        <f>AF88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182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>
        <v>28</v>
      </c>
      <c r="R18" s="44">
        <v>28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59">
        <v>54</v>
      </c>
      <c r="AH18" s="45">
        <f t="shared" si="2"/>
        <v>28</v>
      </c>
      <c r="AI18" s="46">
        <f t="shared" si="3"/>
        <v>28</v>
      </c>
      <c r="AK18" s="47"/>
      <c r="AL18" s="50" t="s">
        <v>23</v>
      </c>
      <c r="AM18" s="55">
        <f t="shared" ref="AM18:AR18" si="8">B102</f>
        <v>2</v>
      </c>
      <c r="AN18" s="55">
        <f t="shared" si="8"/>
        <v>2</v>
      </c>
      <c r="AO18" s="55">
        <f t="shared" si="8"/>
        <v>2</v>
      </c>
      <c r="AP18" s="55">
        <f t="shared" si="8"/>
        <v>2</v>
      </c>
      <c r="AQ18" s="55">
        <f t="shared" si="8"/>
        <v>2</v>
      </c>
      <c r="AR18" s="55">
        <f t="shared" si="8"/>
        <v>2</v>
      </c>
      <c r="AS18" s="55">
        <f>I102</f>
        <v>2</v>
      </c>
      <c r="AT18" s="55">
        <f>K102</f>
        <v>2</v>
      </c>
      <c r="AU18" s="55">
        <f t="shared" ref="AU18:BD18" si="9">M102</f>
        <v>2</v>
      </c>
      <c r="AV18" s="55">
        <f t="shared" si="9"/>
        <v>2</v>
      </c>
      <c r="AW18" s="55">
        <f t="shared" si="9"/>
        <v>2</v>
      </c>
      <c r="AX18" s="55">
        <f t="shared" si="9"/>
        <v>2</v>
      </c>
      <c r="AY18" s="55">
        <f t="shared" si="9"/>
        <v>398.40000000000003</v>
      </c>
      <c r="AZ18" s="55">
        <f t="shared" si="9"/>
        <v>380.50000000000006</v>
      </c>
      <c r="BA18" s="55">
        <f t="shared" si="9"/>
        <v>2</v>
      </c>
      <c r="BB18" s="55">
        <f t="shared" si="9"/>
        <v>2</v>
      </c>
      <c r="BC18" s="55">
        <f t="shared" si="9"/>
        <v>2</v>
      </c>
      <c r="BD18" s="55">
        <f t="shared" si="9"/>
        <v>2</v>
      </c>
      <c r="BE18" s="56">
        <f>X102</f>
        <v>2</v>
      </c>
      <c r="BF18" s="56">
        <f>Z102</f>
        <v>2</v>
      </c>
      <c r="BG18" s="56">
        <f>AB102</f>
        <v>2</v>
      </c>
      <c r="BH18" s="56">
        <f>AD102</f>
        <v>2</v>
      </c>
      <c r="BI18" s="56">
        <f>AE102</f>
        <v>2</v>
      </c>
      <c r="BJ18" s="56">
        <f>AF102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>
        <v>21.6</v>
      </c>
      <c r="R19" s="44">
        <v>21.6</v>
      </c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59">
        <v>52.465000000000003</v>
      </c>
      <c r="AH19" s="45">
        <f t="shared" si="2"/>
        <v>21.6</v>
      </c>
      <c r="AI19" s="46">
        <f t="shared" si="3"/>
        <v>21.6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>
        <v>0</v>
      </c>
      <c r="R20" s="44">
        <v>0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9">
        <v>52.4</v>
      </c>
      <c r="AH20" s="45">
        <f t="shared" si="2"/>
        <v>0</v>
      </c>
      <c r="AI20" s="46">
        <f t="shared" si="3"/>
        <v>0</v>
      </c>
      <c r="AK20" s="47"/>
      <c r="AL20" s="50" t="s">
        <v>25</v>
      </c>
      <c r="AM20" s="55">
        <f t="shared" ref="AM20:AR20" si="12">B106</f>
        <v>0</v>
      </c>
      <c r="AN20" s="55">
        <f t="shared" si="12"/>
        <v>0</v>
      </c>
      <c r="AO20" s="55">
        <f t="shared" si="12"/>
        <v>0</v>
      </c>
      <c r="AP20" s="55">
        <f t="shared" si="12"/>
        <v>0</v>
      </c>
      <c r="AQ20" s="55">
        <f t="shared" si="12"/>
        <v>0</v>
      </c>
      <c r="AR20" s="55">
        <f t="shared" si="12"/>
        <v>0</v>
      </c>
      <c r="AS20" s="55">
        <f>I106</f>
        <v>0</v>
      </c>
      <c r="AT20" s="55">
        <f>K106</f>
        <v>0</v>
      </c>
      <c r="AU20" s="55">
        <f t="shared" ref="AU20:BD20" si="13">M106</f>
        <v>0</v>
      </c>
      <c r="AV20" s="55">
        <f t="shared" si="13"/>
        <v>0</v>
      </c>
      <c r="AW20" s="55">
        <f t="shared" si="13"/>
        <v>0</v>
      </c>
      <c r="AX20" s="55">
        <f t="shared" si="13"/>
        <v>0</v>
      </c>
      <c r="AY20" s="55">
        <f t="shared" si="13"/>
        <v>0</v>
      </c>
      <c r="AZ20" s="55">
        <f t="shared" si="13"/>
        <v>0</v>
      </c>
      <c r="BA20" s="55">
        <f t="shared" si="13"/>
        <v>0</v>
      </c>
      <c r="BB20" s="55">
        <f t="shared" si="13"/>
        <v>0</v>
      </c>
      <c r="BC20" s="55">
        <f t="shared" si="13"/>
        <v>0</v>
      </c>
      <c r="BD20" s="55">
        <f t="shared" si="13"/>
        <v>0</v>
      </c>
      <c r="BE20" s="56">
        <f>X106</f>
        <v>0</v>
      </c>
      <c r="BF20" s="56">
        <f>Z106</f>
        <v>0</v>
      </c>
      <c r="BG20" s="56">
        <f>AB106</f>
        <v>0</v>
      </c>
      <c r="BH20" s="56">
        <f>AD106</f>
        <v>0</v>
      </c>
      <c r="BI20" s="56">
        <f>AE106</f>
        <v>0</v>
      </c>
      <c r="BJ20" s="56">
        <f>AF106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>
        <v>26</v>
      </c>
      <c r="R21" s="44">
        <v>26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9">
        <v>50</v>
      </c>
      <c r="AH21" s="45">
        <f t="shared" si="2"/>
        <v>26</v>
      </c>
      <c r="AI21" s="46">
        <f t="shared" si="3"/>
        <v>26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>
        <v>0</v>
      </c>
      <c r="R22" s="44">
        <v>0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9">
        <v>50</v>
      </c>
      <c r="AH22" s="45">
        <f t="shared" si="2"/>
        <v>0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252</v>
      </c>
      <c r="AN22" s="58">
        <f t="shared" si="16"/>
        <v>252</v>
      </c>
      <c r="AO22" s="58">
        <f t="shared" si="16"/>
        <v>252</v>
      </c>
      <c r="AP22" s="58">
        <f t="shared" si="16"/>
        <v>252</v>
      </c>
      <c r="AQ22" s="58">
        <f t="shared" si="16"/>
        <v>252</v>
      </c>
      <c r="AR22" s="58">
        <f t="shared" si="16"/>
        <v>252</v>
      </c>
      <c r="AS22" s="58">
        <f t="shared" si="16"/>
        <v>252</v>
      </c>
      <c r="AT22" s="58">
        <f t="shared" si="16"/>
        <v>252</v>
      </c>
      <c r="AU22" s="58">
        <f t="shared" si="16"/>
        <v>252</v>
      </c>
      <c r="AV22" s="58">
        <f t="shared" si="16"/>
        <v>252</v>
      </c>
      <c r="AW22" s="58">
        <f t="shared" si="16"/>
        <v>252</v>
      </c>
      <c r="AX22" s="58">
        <f t="shared" si="16"/>
        <v>252</v>
      </c>
      <c r="AY22" s="58">
        <f t="shared" si="16"/>
        <v>2190.3999999999996</v>
      </c>
      <c r="AZ22" s="58">
        <f t="shared" si="16"/>
        <v>2215.7999999999997</v>
      </c>
      <c r="BA22" s="58">
        <f t="shared" si="16"/>
        <v>252</v>
      </c>
      <c r="BB22" s="58">
        <f t="shared" si="16"/>
        <v>252</v>
      </c>
      <c r="BC22" s="58">
        <f t="shared" si="16"/>
        <v>252</v>
      </c>
      <c r="BD22" s="58">
        <f t="shared" si="16"/>
        <v>252</v>
      </c>
      <c r="BE22" s="58">
        <f t="shared" si="16"/>
        <v>252</v>
      </c>
      <c r="BF22" s="58">
        <f t="shared" si="16"/>
        <v>252</v>
      </c>
      <c r="BG22" s="58">
        <f t="shared" si="16"/>
        <v>252</v>
      </c>
      <c r="BH22" s="58">
        <f t="shared" si="16"/>
        <v>252</v>
      </c>
      <c r="BI22" s="58">
        <f t="shared" si="16"/>
        <v>252</v>
      </c>
      <c r="BJ22" s="58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>
        <v>10.4</v>
      </c>
      <c r="R23" s="44">
        <v>10.4</v>
      </c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9">
        <v>48.5</v>
      </c>
      <c r="AH23" s="45">
        <f t="shared" si="2"/>
        <v>10.4</v>
      </c>
      <c r="AI23" s="46">
        <f t="shared" si="3"/>
        <v>10.4</v>
      </c>
      <c r="AK23" s="47"/>
      <c r="AL23" s="57" t="s">
        <v>28</v>
      </c>
      <c r="AM23" s="58">
        <f t="shared" ref="AM23:AR23" si="17">B133*-1</f>
        <v>0</v>
      </c>
      <c r="AN23" s="58">
        <f t="shared" si="17"/>
        <v>0</v>
      </c>
      <c r="AO23" s="58">
        <f t="shared" si="17"/>
        <v>0</v>
      </c>
      <c r="AP23" s="58">
        <f t="shared" si="17"/>
        <v>0</v>
      </c>
      <c r="AQ23" s="58">
        <f t="shared" si="17"/>
        <v>0</v>
      </c>
      <c r="AR23" s="58">
        <f t="shared" si="17"/>
        <v>0</v>
      </c>
      <c r="AS23" s="58">
        <f>I133*-1</f>
        <v>0</v>
      </c>
      <c r="AT23" s="58">
        <f>K133*-1</f>
        <v>0</v>
      </c>
      <c r="AU23" s="58">
        <f t="shared" ref="AU23:BD23" si="18">M133*-1</f>
        <v>0</v>
      </c>
      <c r="AV23" s="58">
        <f t="shared" si="18"/>
        <v>0</v>
      </c>
      <c r="AW23" s="58">
        <f t="shared" si="18"/>
        <v>0</v>
      </c>
      <c r="AX23" s="58">
        <f t="shared" si="18"/>
        <v>0</v>
      </c>
      <c r="AY23" s="58">
        <f t="shared" si="18"/>
        <v>-617.5</v>
      </c>
      <c r="AZ23" s="58">
        <f t="shared" si="18"/>
        <v>-536.4</v>
      </c>
      <c r="BA23" s="58">
        <f t="shared" si="18"/>
        <v>0</v>
      </c>
      <c r="BB23" s="58">
        <f t="shared" si="18"/>
        <v>0</v>
      </c>
      <c r="BC23" s="58">
        <f t="shared" si="18"/>
        <v>0</v>
      </c>
      <c r="BD23" s="58">
        <f t="shared" si="18"/>
        <v>0</v>
      </c>
      <c r="BE23" s="58">
        <f>X133*-1</f>
        <v>0</v>
      </c>
      <c r="BF23" s="58">
        <f>Z133*-1</f>
        <v>0</v>
      </c>
      <c r="BG23" s="58">
        <f>AB133*-1</f>
        <v>0</v>
      </c>
      <c r="BH23" s="58">
        <f>AD133*-1</f>
        <v>0</v>
      </c>
      <c r="BI23" s="58">
        <f>AE133*-1</f>
        <v>0</v>
      </c>
      <c r="BJ23" s="58">
        <f>AF133*-1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>
        <v>26</v>
      </c>
      <c r="R24" s="44">
        <v>26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59">
        <v>45</v>
      </c>
      <c r="AH24" s="45">
        <f t="shared" si="2"/>
        <v>26</v>
      </c>
      <c r="AI24" s="46">
        <f t="shared" si="3"/>
        <v>26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189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>
        <v>40.1</v>
      </c>
      <c r="R25" s="44">
        <v>40.1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59">
        <v>44</v>
      </c>
      <c r="AH25" s="45">
        <f t="shared" si="2"/>
        <v>40.1</v>
      </c>
      <c r="AI25" s="46">
        <f t="shared" si="3"/>
        <v>40.1</v>
      </c>
      <c r="AK25" s="47"/>
      <c r="AL25" s="57" t="s">
        <v>29</v>
      </c>
      <c r="AM25" s="58">
        <f t="shared" ref="AM25:BJ25" si="19">AM22+AM23</f>
        <v>252</v>
      </c>
      <c r="AN25" s="58">
        <f t="shared" si="19"/>
        <v>252</v>
      </c>
      <c r="AO25" s="58">
        <f t="shared" si="19"/>
        <v>252</v>
      </c>
      <c r="AP25" s="58">
        <f t="shared" si="19"/>
        <v>252</v>
      </c>
      <c r="AQ25" s="58">
        <f t="shared" si="19"/>
        <v>252</v>
      </c>
      <c r="AR25" s="58">
        <f t="shared" si="19"/>
        <v>252</v>
      </c>
      <c r="AS25" s="58">
        <f t="shared" si="19"/>
        <v>252</v>
      </c>
      <c r="AT25" s="58">
        <f t="shared" si="19"/>
        <v>252</v>
      </c>
      <c r="AU25" s="58">
        <f t="shared" si="19"/>
        <v>252</v>
      </c>
      <c r="AV25" s="58">
        <f t="shared" si="19"/>
        <v>252</v>
      </c>
      <c r="AW25" s="58">
        <f t="shared" si="19"/>
        <v>252</v>
      </c>
      <c r="AX25" s="58">
        <f t="shared" si="19"/>
        <v>252</v>
      </c>
      <c r="AY25" s="58">
        <f t="shared" si="19"/>
        <v>1572.8999999999996</v>
      </c>
      <c r="AZ25" s="58">
        <f t="shared" si="19"/>
        <v>1679.3999999999996</v>
      </c>
      <c r="BA25" s="58">
        <f t="shared" si="19"/>
        <v>252</v>
      </c>
      <c r="BB25" s="58">
        <f t="shared" si="19"/>
        <v>252</v>
      </c>
      <c r="BC25" s="58">
        <f t="shared" si="19"/>
        <v>252</v>
      </c>
      <c r="BD25" s="58">
        <f t="shared" si="19"/>
        <v>252</v>
      </c>
      <c r="BE25" s="58">
        <f t="shared" si="19"/>
        <v>252</v>
      </c>
      <c r="BF25" s="58">
        <f t="shared" si="19"/>
        <v>252</v>
      </c>
      <c r="BG25" s="58">
        <f t="shared" si="19"/>
        <v>252</v>
      </c>
      <c r="BH25" s="58">
        <f t="shared" si="19"/>
        <v>252</v>
      </c>
      <c r="BI25" s="58">
        <f t="shared" si="19"/>
        <v>252</v>
      </c>
      <c r="BJ25" s="58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>
        <v>22.1</v>
      </c>
      <c r="R26" s="44">
        <v>22.1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59">
        <v>42</v>
      </c>
      <c r="AH26" s="45">
        <f t="shared" si="2"/>
        <v>22.1</v>
      </c>
      <c r="AI26" s="46">
        <f t="shared" si="3"/>
        <v>22.1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>
        <v>40</v>
      </c>
      <c r="R27" s="44">
        <v>40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59">
        <v>40</v>
      </c>
      <c r="AH27" s="45">
        <f t="shared" si="2"/>
        <v>40</v>
      </c>
      <c r="AI27" s="46">
        <f t="shared" si="3"/>
        <v>40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>
        <v>40.799999999999997</v>
      </c>
      <c r="R28" s="44">
        <v>40.799999999999997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59">
        <v>38.46</v>
      </c>
      <c r="AH28" s="45">
        <f t="shared" si="2"/>
        <v>40.799999999999997</v>
      </c>
      <c r="AI28" s="46">
        <f t="shared" si="3"/>
        <v>40.799999999999997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>
        <v>21</v>
      </c>
      <c r="R29" s="44">
        <v>21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59">
        <v>38</v>
      </c>
      <c r="AH29" s="45">
        <f t="shared" si="2"/>
        <v>21</v>
      </c>
      <c r="AI29" s="46">
        <f t="shared" si="3"/>
        <v>21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>
        <v>21</v>
      </c>
      <c r="R30" s="44">
        <v>21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59">
        <v>36</v>
      </c>
      <c r="AH30" s="45">
        <f t="shared" si="2"/>
        <v>21</v>
      </c>
      <c r="AI30" s="46">
        <f t="shared" si="3"/>
        <v>21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>
        <v>8</v>
      </c>
      <c r="R31" s="44">
        <v>8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59">
        <v>35.5</v>
      </c>
      <c r="AH31" s="45">
        <f t="shared" si="2"/>
        <v>8</v>
      </c>
      <c r="AI31" s="46">
        <f t="shared" si="3"/>
        <v>8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>
        <v>20.3</v>
      </c>
      <c r="R32" s="44">
        <v>20.3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59">
        <v>32</v>
      </c>
      <c r="AH32" s="45">
        <f t="shared" si="2"/>
        <v>20.3</v>
      </c>
      <c r="AI32" s="46">
        <f t="shared" si="3"/>
        <v>20.3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>
        <v>0</v>
      </c>
      <c r="R33" s="44">
        <v>0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9">
        <v>30</v>
      </c>
      <c r="AH33" s="45">
        <f t="shared" si="2"/>
        <v>0</v>
      </c>
      <c r="AI33" s="46">
        <f t="shared" si="3"/>
        <v>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>
        <v>17.399999999999999</v>
      </c>
      <c r="R34" s="44">
        <v>17.399999999999999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9">
        <v>29.04</v>
      </c>
      <c r="AH34" s="45">
        <f t="shared" si="2"/>
        <v>17.399999999999999</v>
      </c>
      <c r="AI34" s="46">
        <f t="shared" si="3"/>
        <v>17.399999999999999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199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>
        <v>16</v>
      </c>
      <c r="R35" s="44">
        <v>16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9">
        <v>28.1</v>
      </c>
      <c r="AH35" s="45">
        <f t="shared" si="2"/>
        <v>16</v>
      </c>
      <c r="AI35" s="46">
        <f t="shared" si="3"/>
        <v>16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>
        <v>14</v>
      </c>
      <c r="R36" s="44">
        <v>14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59">
        <v>27</v>
      </c>
      <c r="AH36" s="45">
        <f t="shared" si="2"/>
        <v>14</v>
      </c>
      <c r="AI36" s="46">
        <f t="shared" si="3"/>
        <v>14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>
        <v>20.2</v>
      </c>
      <c r="R37" s="44">
        <v>20.2</v>
      </c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59">
        <v>25</v>
      </c>
      <c r="AH37" s="45">
        <f t="shared" si="2"/>
        <v>20.2</v>
      </c>
      <c r="AI37" s="46">
        <f t="shared" si="3"/>
        <v>20.2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>
        <v>14.7</v>
      </c>
      <c r="R38" s="44">
        <v>14.7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59">
        <v>25</v>
      </c>
      <c r="AH38" s="45">
        <f t="shared" si="2"/>
        <v>14.7</v>
      </c>
      <c r="AI38" s="46">
        <f t="shared" si="3"/>
        <v>14.7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203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>
        <v>17.8</v>
      </c>
      <c r="R39" s="44">
        <v>17.8</v>
      </c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59">
        <v>25</v>
      </c>
      <c r="AH39" s="45">
        <f t="shared" si="2"/>
        <v>17.8</v>
      </c>
      <c r="AI39" s="46">
        <f t="shared" si="3"/>
        <v>17.8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204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>
        <v>13</v>
      </c>
      <c r="R40" s="44">
        <v>13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59">
        <v>25</v>
      </c>
      <c r="AH40" s="45">
        <f t="shared" si="2"/>
        <v>13</v>
      </c>
      <c r="AI40" s="46">
        <f t="shared" si="3"/>
        <v>13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>
        <v>18.899999999999999</v>
      </c>
      <c r="R41" s="44">
        <v>18.899999999999999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59">
        <v>25</v>
      </c>
      <c r="AH41" s="45">
        <f t="shared" ref="AH41:AH50" si="20">MAX(B41:AF41)</f>
        <v>18.899999999999999</v>
      </c>
      <c r="AI41" s="46">
        <f t="shared" ref="AI41:AI50" si="21">MIN(B41:AF41)</f>
        <v>18.899999999999999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>
        <v>12.6</v>
      </c>
      <c r="R42" s="44">
        <v>12.6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59">
        <v>24</v>
      </c>
      <c r="AH42" s="45">
        <f t="shared" si="20"/>
        <v>12.6</v>
      </c>
      <c r="AI42" s="46">
        <f t="shared" si="21"/>
        <v>12.6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207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>
        <v>24.5</v>
      </c>
      <c r="R43" s="44">
        <v>24.5</v>
      </c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59">
        <v>23.5</v>
      </c>
      <c r="AH43" s="45">
        <f t="shared" si="20"/>
        <v>24.5</v>
      </c>
      <c r="AI43" s="46">
        <f t="shared" si="21"/>
        <v>24.5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>
        <v>6.3</v>
      </c>
      <c r="R44" s="44">
        <v>6.3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59">
        <v>22.5</v>
      </c>
      <c r="AH44" s="45">
        <f t="shared" si="20"/>
        <v>6.3</v>
      </c>
      <c r="AI44" s="46">
        <f t="shared" si="21"/>
        <v>6.3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209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>
        <v>11</v>
      </c>
      <c r="R45" s="44">
        <v>11</v>
      </c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59">
        <v>22.2</v>
      </c>
      <c r="AH45" s="45">
        <f t="shared" si="20"/>
        <v>11</v>
      </c>
      <c r="AI45" s="46">
        <f t="shared" si="21"/>
        <v>11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>
        <v>18.899999999999999</v>
      </c>
      <c r="R46" s="44">
        <v>18.899999999999999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59">
        <v>22.1</v>
      </c>
      <c r="AH46" s="45">
        <f t="shared" si="20"/>
        <v>18.899999999999999</v>
      </c>
      <c r="AI46" s="46">
        <f t="shared" si="21"/>
        <v>18.899999999999999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>
        <v>11.6</v>
      </c>
      <c r="R47" s="44">
        <v>11.6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59">
        <v>22</v>
      </c>
      <c r="AH47" s="45">
        <f t="shared" si="20"/>
        <v>11.6</v>
      </c>
      <c r="AI47" s="46">
        <f t="shared" si="21"/>
        <v>11.6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212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>
        <v>17.600000000000001</v>
      </c>
      <c r="R48" s="44">
        <v>17.600000000000001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59">
        <v>22</v>
      </c>
      <c r="AH48" s="45">
        <f t="shared" si="20"/>
        <v>17.600000000000001</v>
      </c>
      <c r="AI48" s="46">
        <f t="shared" si="21"/>
        <v>17.600000000000001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>
        <v>11.8</v>
      </c>
      <c r="R49" s="44">
        <v>11.8</v>
      </c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59">
        <v>22</v>
      </c>
      <c r="AH49" s="45">
        <f t="shared" si="20"/>
        <v>11.8</v>
      </c>
      <c r="AI49" s="46">
        <f t="shared" si="21"/>
        <v>11.8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214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>
        <v>18.399999999999999</v>
      </c>
      <c r="R50" s="44">
        <v>18.399999999999999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59">
        <v>21.93</v>
      </c>
      <c r="AH50" s="45">
        <f t="shared" si="20"/>
        <v>18.399999999999999</v>
      </c>
      <c r="AI50" s="46">
        <f t="shared" si="21"/>
        <v>18.399999999999999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215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>
        <v>4.4000000000000004</v>
      </c>
      <c r="R51" s="44">
        <v>4.4000000000000004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59">
        <v>21.3</v>
      </c>
      <c r="AH51" s="45">
        <f t="shared" si="2"/>
        <v>4.4000000000000004</v>
      </c>
      <c r="AI51" s="46">
        <f t="shared" si="3"/>
        <v>4.4000000000000004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216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>
        <v>10.3</v>
      </c>
      <c r="R52" s="44">
        <v>10.3</v>
      </c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9">
        <v>20</v>
      </c>
      <c r="AH52" s="45">
        <f t="shared" si="2"/>
        <v>10.3</v>
      </c>
      <c r="AI52" s="46">
        <f t="shared" si="3"/>
        <v>10.3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>
        <v>10.199999999999999</v>
      </c>
      <c r="R53" s="44">
        <v>10.199999999999999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9">
        <v>20</v>
      </c>
      <c r="AH53" s="45">
        <f t="shared" si="2"/>
        <v>10.199999999999999</v>
      </c>
      <c r="AI53" s="46">
        <f t="shared" si="3"/>
        <v>10.199999999999999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>
        <v>20</v>
      </c>
      <c r="R54" s="44">
        <v>20</v>
      </c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9">
        <v>19.8</v>
      </c>
      <c r="AH54" s="45">
        <f t="shared" si="2"/>
        <v>20</v>
      </c>
      <c r="AI54" s="46">
        <f t="shared" si="3"/>
        <v>20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219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>
        <v>5.4</v>
      </c>
      <c r="R55" s="44">
        <v>5.4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59">
        <v>18</v>
      </c>
      <c r="AH55" s="45">
        <f t="shared" si="2"/>
        <v>5.4</v>
      </c>
      <c r="AI55" s="46">
        <f t="shared" si="3"/>
        <v>5.4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220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>
        <v>15.5</v>
      </c>
      <c r="R56" s="44">
        <v>15.5</v>
      </c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59">
        <v>15.33</v>
      </c>
      <c r="AH56" s="45">
        <f t="shared" si="2"/>
        <v>15.5</v>
      </c>
      <c r="AI56" s="46">
        <f t="shared" si="3"/>
        <v>15.5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>
        <v>13</v>
      </c>
      <c r="R57" s="44">
        <v>13</v>
      </c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59">
        <v>14.9</v>
      </c>
      <c r="AH57" s="45">
        <f t="shared" si="2"/>
        <v>13</v>
      </c>
      <c r="AI57" s="46">
        <f t="shared" si="3"/>
        <v>13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222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>
        <v>10.5</v>
      </c>
      <c r="R58" s="44">
        <v>10.5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59">
        <v>14.9</v>
      </c>
      <c r="AH58" s="45">
        <f t="shared" si="2"/>
        <v>10.5</v>
      </c>
      <c r="AI58" s="46">
        <f t="shared" si="3"/>
        <v>10.5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223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>
        <v>15</v>
      </c>
      <c r="R59" s="44">
        <v>15</v>
      </c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59">
        <v>14.3</v>
      </c>
      <c r="AH59" s="45">
        <f t="shared" si="2"/>
        <v>15</v>
      </c>
      <c r="AI59" s="46">
        <f t="shared" si="3"/>
        <v>15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>
        <v>7.5</v>
      </c>
      <c r="R60" s="44">
        <v>7.5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59">
        <v>14</v>
      </c>
      <c r="AH60" s="45">
        <f t="shared" si="2"/>
        <v>7.5</v>
      </c>
      <c r="AI60" s="46">
        <f t="shared" si="3"/>
        <v>7.5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225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>
        <v>6</v>
      </c>
      <c r="R61" s="44">
        <v>6</v>
      </c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59">
        <v>13.6</v>
      </c>
      <c r="AH61" s="45">
        <f t="shared" si="2"/>
        <v>6</v>
      </c>
      <c r="AI61" s="46">
        <f t="shared" si="3"/>
        <v>6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>
        <v>11.4</v>
      </c>
      <c r="R62" s="44">
        <v>11.4</v>
      </c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59">
        <v>13.5</v>
      </c>
      <c r="AH62" s="45">
        <f t="shared" si="2"/>
        <v>11.4</v>
      </c>
      <c r="AI62" s="46">
        <f t="shared" si="3"/>
        <v>11.4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227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59">
        <v>13.04</v>
      </c>
      <c r="AH63" s="45">
        <f t="shared" si="2"/>
        <v>0</v>
      </c>
      <c r="AI63" s="46">
        <f t="shared" si="3"/>
        <v>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228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59">
        <v>13</v>
      </c>
      <c r="AH64" s="45">
        <f t="shared" si="2"/>
        <v>0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229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>
        <v>6</v>
      </c>
      <c r="R65" s="44">
        <v>6</v>
      </c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59">
        <v>12</v>
      </c>
      <c r="AH65" s="45">
        <f t="shared" si="2"/>
        <v>6</v>
      </c>
      <c r="AI65" s="46">
        <f t="shared" si="3"/>
        <v>6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>
        <v>13.2</v>
      </c>
      <c r="R66" s="44">
        <v>13.2</v>
      </c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59">
        <v>12</v>
      </c>
      <c r="AH66" s="45">
        <f t="shared" si="2"/>
        <v>13.2</v>
      </c>
      <c r="AI66" s="46">
        <f t="shared" si="3"/>
        <v>13.2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231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>
        <v>6.8</v>
      </c>
      <c r="R67" s="44">
        <v>6.8</v>
      </c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59">
        <v>12</v>
      </c>
      <c r="AH67" s="45">
        <f t="shared" si="2"/>
        <v>6.8</v>
      </c>
      <c r="AI67" s="46">
        <f t="shared" si="3"/>
        <v>6.8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>
        <v>9.9</v>
      </c>
      <c r="R68" s="44">
        <v>9.9</v>
      </c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59">
        <v>12</v>
      </c>
      <c r="AH68" s="45">
        <f t="shared" si="2"/>
        <v>9.9</v>
      </c>
      <c r="AI68" s="46">
        <f t="shared" si="3"/>
        <v>9.9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233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>
        <v>10.3</v>
      </c>
      <c r="R69" s="44">
        <v>10.3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59">
        <v>12</v>
      </c>
      <c r="AH69" s="45">
        <f t="shared" si="2"/>
        <v>10.3</v>
      </c>
      <c r="AI69" s="46">
        <f t="shared" si="3"/>
        <v>10.3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234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>
        <v>10.5</v>
      </c>
      <c r="R70" s="44">
        <v>10.5</v>
      </c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59">
        <v>11.88</v>
      </c>
      <c r="AH70" s="45">
        <f t="shared" si="2"/>
        <v>10.5</v>
      </c>
      <c r="AI70" s="46">
        <f t="shared" si="3"/>
        <v>10.5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235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>
        <v>5.4</v>
      </c>
      <c r="R71" s="44">
        <v>5.4</v>
      </c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59">
        <v>11</v>
      </c>
      <c r="AH71" s="45">
        <f t="shared" si="2"/>
        <v>5.4</v>
      </c>
      <c r="AI71" s="46">
        <f t="shared" si="3"/>
        <v>5.4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236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59">
        <v>11</v>
      </c>
      <c r="AH72" s="45">
        <f t="shared" si="2"/>
        <v>0</v>
      </c>
      <c r="AI72" s="46">
        <f t="shared" si="3"/>
        <v>0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237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>
        <v>11.6</v>
      </c>
      <c r="R73" s="44">
        <v>11.6</v>
      </c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59">
        <v>10.7</v>
      </c>
      <c r="AH73" s="45">
        <f t="shared" si="2"/>
        <v>11.6</v>
      </c>
      <c r="AI73" s="46">
        <f t="shared" si="3"/>
        <v>11.6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238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59">
        <v>10.3</v>
      </c>
      <c r="AH74" s="45">
        <f>MAX(B74:AF74)</f>
        <v>0</v>
      </c>
      <c r="AI74" s="46">
        <f>MIN(B74:AF74)</f>
        <v>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239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240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59">
        <v>10</v>
      </c>
      <c r="AH76" s="45">
        <f t="shared" si="2"/>
        <v>0</v>
      </c>
      <c r="AI76" s="46">
        <f t="shared" si="3"/>
        <v>0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42" t="s">
        <v>241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>
        <v>4.5999999999999996</v>
      </c>
      <c r="R77" s="44">
        <v>4.5999999999999996</v>
      </c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59">
        <v>10</v>
      </c>
      <c r="AH77" s="45">
        <f t="shared" si="2"/>
        <v>4.5999999999999996</v>
      </c>
      <c r="AI77" s="46">
        <f t="shared" si="3"/>
        <v>4.5999999999999996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0" t="s">
        <v>242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59">
        <v>10</v>
      </c>
      <c r="AH78" s="45">
        <f t="shared" si="2"/>
        <v>0</v>
      </c>
      <c r="AI78" s="46">
        <f t="shared" si="3"/>
        <v>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x14ac:dyDescent="0.25">
      <c r="A79" s="62" t="s">
        <v>30</v>
      </c>
      <c r="B79" s="63">
        <v>250</v>
      </c>
      <c r="C79" s="63">
        <v>250</v>
      </c>
      <c r="D79" s="63">
        <v>250</v>
      </c>
      <c r="E79" s="63">
        <v>250</v>
      </c>
      <c r="F79" s="63">
        <v>250</v>
      </c>
      <c r="G79" s="63">
        <v>250</v>
      </c>
      <c r="H79" s="63">
        <v>250</v>
      </c>
      <c r="I79" s="63">
        <v>250</v>
      </c>
      <c r="J79" s="63">
        <v>250</v>
      </c>
      <c r="K79" s="63">
        <v>250</v>
      </c>
      <c r="L79" s="63">
        <v>250</v>
      </c>
      <c r="M79" s="63">
        <v>250</v>
      </c>
      <c r="N79" s="63">
        <v>250</v>
      </c>
      <c r="O79" s="63">
        <v>250</v>
      </c>
      <c r="P79" s="63">
        <v>250</v>
      </c>
      <c r="Q79" s="63">
        <v>250</v>
      </c>
      <c r="R79" s="63">
        <v>250</v>
      </c>
      <c r="S79" s="63">
        <v>250</v>
      </c>
      <c r="T79" s="63">
        <v>250</v>
      </c>
      <c r="U79" s="63">
        <v>250</v>
      </c>
      <c r="V79" s="63">
        <v>250</v>
      </c>
      <c r="W79" s="63">
        <v>250</v>
      </c>
      <c r="X79" s="63">
        <v>250</v>
      </c>
      <c r="Y79" s="63">
        <v>250</v>
      </c>
      <c r="Z79" s="63">
        <v>250</v>
      </c>
      <c r="AA79" s="63">
        <v>250</v>
      </c>
      <c r="AB79" s="63">
        <v>250</v>
      </c>
      <c r="AC79" s="63">
        <v>250</v>
      </c>
      <c r="AD79" s="63">
        <v>250</v>
      </c>
      <c r="AE79" s="63">
        <v>250</v>
      </c>
      <c r="AF79" s="63">
        <v>250</v>
      </c>
      <c r="AG79" s="59">
        <f>AG340</f>
        <v>725.08240000000023</v>
      </c>
      <c r="AH79" s="45">
        <f t="shared" si="2"/>
        <v>250</v>
      </c>
      <c r="AI79" s="46">
        <f t="shared" si="3"/>
        <v>250</v>
      </c>
      <c r="AK79" s="47"/>
    </row>
    <row r="80" spans="1:88" ht="15.75" thickBot="1" x14ac:dyDescent="0.3">
      <c r="A80" s="64" t="s">
        <v>31</v>
      </c>
      <c r="B80" s="63"/>
      <c r="C80" s="63"/>
      <c r="D80" s="63"/>
      <c r="E80" s="63"/>
      <c r="F80" s="63"/>
      <c r="G80" s="63"/>
      <c r="H80" s="63"/>
      <c r="I80" s="63"/>
      <c r="J80" s="63"/>
      <c r="K80" s="215"/>
      <c r="L80" s="215"/>
      <c r="M80" s="215"/>
      <c r="N80" s="215"/>
      <c r="O80" s="215"/>
      <c r="P80" s="215"/>
      <c r="Q80" s="215">
        <f>84+86.5</f>
        <v>170.5</v>
      </c>
      <c r="R80" s="215">
        <f>84+86.5</f>
        <v>170.5</v>
      </c>
      <c r="S80" s="215"/>
      <c r="T80" s="215"/>
      <c r="U80" s="215"/>
      <c r="V80" s="215"/>
      <c r="W80" s="215"/>
      <c r="X80" s="215"/>
      <c r="Y80" s="215"/>
      <c r="Z80" s="63"/>
      <c r="AA80" s="63"/>
      <c r="AB80" s="63"/>
      <c r="AC80" s="63"/>
      <c r="AD80" s="63"/>
      <c r="AE80" s="63"/>
      <c r="AF80" s="63"/>
      <c r="AG80" s="59">
        <v>240</v>
      </c>
      <c r="AH80" s="45">
        <f t="shared" si="2"/>
        <v>170.5</v>
      </c>
      <c r="AI80" s="46">
        <f t="shared" si="3"/>
        <v>170.5</v>
      </c>
      <c r="AK80" s="47"/>
    </row>
    <row r="81" spans="1:75" ht="15.75" thickBot="1" x14ac:dyDescent="0.3">
      <c r="A81" s="65" t="s">
        <v>32</v>
      </c>
      <c r="B81" s="66">
        <f>SUM(B11:B79)</f>
        <v>250</v>
      </c>
      <c r="C81" s="66">
        <f>SUM(C11:C79)</f>
        <v>250</v>
      </c>
      <c r="D81" s="66">
        <f t="shared" ref="D81:AF81" si="22">SUM(D11:D79)</f>
        <v>250</v>
      </c>
      <c r="E81" s="66">
        <f t="shared" si="22"/>
        <v>250</v>
      </c>
      <c r="F81" s="66">
        <f t="shared" si="22"/>
        <v>250</v>
      </c>
      <c r="G81" s="66">
        <f t="shared" si="22"/>
        <v>250</v>
      </c>
      <c r="H81" s="66">
        <f t="shared" si="22"/>
        <v>250</v>
      </c>
      <c r="I81" s="66">
        <f t="shared" si="22"/>
        <v>250</v>
      </c>
      <c r="J81" s="66">
        <f t="shared" si="22"/>
        <v>250</v>
      </c>
      <c r="K81" s="66">
        <f t="shared" si="22"/>
        <v>250</v>
      </c>
      <c r="L81" s="66">
        <f t="shared" si="22"/>
        <v>250</v>
      </c>
      <c r="M81" s="66">
        <f t="shared" si="22"/>
        <v>250</v>
      </c>
      <c r="N81" s="66">
        <f t="shared" si="22"/>
        <v>250</v>
      </c>
      <c r="O81" s="66">
        <f t="shared" si="22"/>
        <v>250</v>
      </c>
      <c r="P81" s="66">
        <f t="shared" si="22"/>
        <v>250</v>
      </c>
      <c r="Q81" s="66">
        <f t="shared" si="22"/>
        <v>1383.4999999999998</v>
      </c>
      <c r="R81" s="66">
        <f t="shared" si="22"/>
        <v>1383.4999999999998</v>
      </c>
      <c r="S81" s="66">
        <f t="shared" si="22"/>
        <v>250</v>
      </c>
      <c r="T81" s="66">
        <f t="shared" si="22"/>
        <v>250</v>
      </c>
      <c r="U81" s="66">
        <f t="shared" si="22"/>
        <v>250</v>
      </c>
      <c r="V81" s="66">
        <f t="shared" si="22"/>
        <v>250</v>
      </c>
      <c r="W81" s="66">
        <f t="shared" si="22"/>
        <v>250</v>
      </c>
      <c r="X81" s="66">
        <f t="shared" si="22"/>
        <v>250</v>
      </c>
      <c r="Y81" s="66">
        <f t="shared" si="22"/>
        <v>250</v>
      </c>
      <c r="Z81" s="66">
        <f t="shared" si="22"/>
        <v>250</v>
      </c>
      <c r="AA81" s="66">
        <f t="shared" si="22"/>
        <v>250</v>
      </c>
      <c r="AB81" s="66">
        <f>SUM(AB11:AB79)</f>
        <v>250</v>
      </c>
      <c r="AC81" s="66">
        <f t="shared" si="22"/>
        <v>250</v>
      </c>
      <c r="AD81" s="66">
        <f t="shared" si="22"/>
        <v>250</v>
      </c>
      <c r="AE81" s="66">
        <f t="shared" si="22"/>
        <v>250</v>
      </c>
      <c r="AF81" s="66">
        <f t="shared" si="22"/>
        <v>250</v>
      </c>
      <c r="AG81" s="66">
        <f>SUM(AG11:AG79)</f>
        <v>2732.3274000000001</v>
      </c>
      <c r="AH81" s="45">
        <f t="shared" si="2"/>
        <v>1383.4999999999998</v>
      </c>
      <c r="AI81" s="46">
        <f t="shared" si="3"/>
        <v>250</v>
      </c>
      <c r="AK81" s="47"/>
    </row>
    <row r="82" spans="1:75" x14ac:dyDescent="0.25">
      <c r="A82" s="67" t="s">
        <v>366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>
        <v>341.7</v>
      </c>
      <c r="R82" s="44">
        <v>331</v>
      </c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59">
        <v>456</v>
      </c>
      <c r="AH82" s="45">
        <f t="shared" si="2"/>
        <v>341.7</v>
      </c>
      <c r="AI82" s="46">
        <f t="shared" si="3"/>
        <v>331</v>
      </c>
      <c r="AK82" s="47"/>
    </row>
    <row r="83" spans="1:75" x14ac:dyDescent="0.25">
      <c r="A83" s="68" t="s">
        <v>367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>
        <v>0</v>
      </c>
      <c r="R83" s="43">
        <v>54</v>
      </c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61">
        <v>111</v>
      </c>
      <c r="AH83" s="45">
        <f t="shared" ref="AH83:AH87" si="23">MAX(B83:AF83)</f>
        <v>54</v>
      </c>
      <c r="AI83" s="46">
        <f t="shared" ref="AI83:AI87" si="24">MIN(B83:AF83)</f>
        <v>0</v>
      </c>
      <c r="AK83" s="47"/>
    </row>
    <row r="84" spans="1:75" x14ac:dyDescent="0.25">
      <c r="A84" s="68" t="s">
        <v>368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>
        <v>0</v>
      </c>
      <c r="R84" s="43">
        <v>0</v>
      </c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1">
        <v>102</v>
      </c>
      <c r="AH84" s="45">
        <f t="shared" si="23"/>
        <v>0</v>
      </c>
      <c r="AI84" s="46">
        <f t="shared" si="24"/>
        <v>0</v>
      </c>
      <c r="AK84" s="47"/>
    </row>
    <row r="85" spans="1:75" x14ac:dyDescent="0.25">
      <c r="A85" s="69" t="s">
        <v>369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>
        <v>40.799999999999997</v>
      </c>
      <c r="R85" s="43">
        <v>40.799999999999997</v>
      </c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70">
        <v>42.5</v>
      </c>
      <c r="AH85" s="45">
        <f t="shared" si="23"/>
        <v>40.799999999999997</v>
      </c>
      <c r="AI85" s="46">
        <f t="shared" si="24"/>
        <v>40.799999999999997</v>
      </c>
      <c r="AK85" s="47"/>
    </row>
    <row r="86" spans="1:75" x14ac:dyDescent="0.25">
      <c r="A86" s="69" t="s">
        <v>370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>
        <v>11.1</v>
      </c>
      <c r="R86" s="43">
        <v>11.1</v>
      </c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70">
        <v>22.1</v>
      </c>
      <c r="AH86" s="45">
        <f t="shared" si="23"/>
        <v>11.1</v>
      </c>
      <c r="AI86" s="46">
        <f t="shared" si="24"/>
        <v>11.1</v>
      </c>
      <c r="AK86" s="47"/>
    </row>
    <row r="87" spans="1:75" ht="15.75" thickBot="1" x14ac:dyDescent="0.3">
      <c r="A87" s="71" t="s">
        <v>33</v>
      </c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>
        <v>14.9</v>
      </c>
      <c r="R87" s="72">
        <v>14.9</v>
      </c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3">
        <v>14.8</v>
      </c>
      <c r="AH87" s="45">
        <f t="shared" si="23"/>
        <v>14.9</v>
      </c>
      <c r="AI87" s="46">
        <f t="shared" si="24"/>
        <v>14.9</v>
      </c>
      <c r="AK87" s="47"/>
    </row>
    <row r="88" spans="1:75" ht="15.75" thickBot="1" x14ac:dyDescent="0.3">
      <c r="A88" s="74" t="s">
        <v>34</v>
      </c>
      <c r="B88" s="66">
        <f t="shared" ref="B88:AG88" si="25">SUM(B82:B87)</f>
        <v>0</v>
      </c>
      <c r="C88" s="66">
        <f t="shared" si="25"/>
        <v>0</v>
      </c>
      <c r="D88" s="66">
        <f t="shared" si="25"/>
        <v>0</v>
      </c>
      <c r="E88" s="66">
        <f t="shared" si="25"/>
        <v>0</v>
      </c>
      <c r="F88" s="66">
        <f t="shared" si="25"/>
        <v>0</v>
      </c>
      <c r="G88" s="66">
        <f t="shared" si="25"/>
        <v>0</v>
      </c>
      <c r="H88" s="66">
        <f t="shared" si="25"/>
        <v>0</v>
      </c>
      <c r="I88" s="66">
        <f t="shared" si="25"/>
        <v>0</v>
      </c>
      <c r="J88" s="66">
        <f t="shared" si="25"/>
        <v>0</v>
      </c>
      <c r="K88" s="66">
        <f t="shared" si="25"/>
        <v>0</v>
      </c>
      <c r="L88" s="66">
        <f t="shared" si="25"/>
        <v>0</v>
      </c>
      <c r="M88" s="66">
        <f t="shared" si="25"/>
        <v>0</v>
      </c>
      <c r="N88" s="66">
        <f t="shared" si="25"/>
        <v>0</v>
      </c>
      <c r="O88" s="66">
        <f t="shared" si="25"/>
        <v>0</v>
      </c>
      <c r="P88" s="66">
        <f t="shared" si="25"/>
        <v>0</v>
      </c>
      <c r="Q88" s="66">
        <f t="shared" si="25"/>
        <v>408.5</v>
      </c>
      <c r="R88" s="66">
        <f t="shared" ref="R88" si="26">SUM(R82:R87)</f>
        <v>451.8</v>
      </c>
      <c r="S88" s="66">
        <f t="shared" si="25"/>
        <v>0</v>
      </c>
      <c r="T88" s="66">
        <f t="shared" si="25"/>
        <v>0</v>
      </c>
      <c r="U88" s="66">
        <f t="shared" si="25"/>
        <v>0</v>
      </c>
      <c r="V88" s="66">
        <f t="shared" si="25"/>
        <v>0</v>
      </c>
      <c r="W88" s="66">
        <f t="shared" si="25"/>
        <v>0</v>
      </c>
      <c r="X88" s="66">
        <f t="shared" si="25"/>
        <v>0</v>
      </c>
      <c r="Y88" s="66">
        <f t="shared" si="25"/>
        <v>0</v>
      </c>
      <c r="Z88" s="66">
        <f t="shared" si="25"/>
        <v>0</v>
      </c>
      <c r="AA88" s="66">
        <f t="shared" si="25"/>
        <v>0</v>
      </c>
      <c r="AB88" s="66">
        <f t="shared" si="25"/>
        <v>0</v>
      </c>
      <c r="AC88" s="66">
        <f t="shared" si="25"/>
        <v>0</v>
      </c>
      <c r="AD88" s="66">
        <f t="shared" si="25"/>
        <v>0</v>
      </c>
      <c r="AE88" s="66">
        <f t="shared" si="25"/>
        <v>0</v>
      </c>
      <c r="AF88" s="66">
        <f t="shared" si="25"/>
        <v>0</v>
      </c>
      <c r="AG88" s="75">
        <f t="shared" si="25"/>
        <v>748.4</v>
      </c>
      <c r="AH88" s="45">
        <f t="shared" ref="AH88:AH148" si="27">MAX(B88:AF88)</f>
        <v>451.8</v>
      </c>
      <c r="AI88" s="46">
        <f t="shared" ref="AI88:AI148" si="28">MIN(B88:AF88)</f>
        <v>0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>
        <v>138.9</v>
      </c>
      <c r="R89" s="44">
        <v>138.9</v>
      </c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59">
        <v>144</v>
      </c>
      <c r="AH89" s="45">
        <f t="shared" si="27"/>
        <v>138.9</v>
      </c>
      <c r="AI89" s="46">
        <f t="shared" si="28"/>
        <v>138.9</v>
      </c>
      <c r="AK89" s="47"/>
      <c r="AY89" s="1" t="s">
        <v>36</v>
      </c>
      <c r="AZ89" s="77">
        <f>ROUND(C107,0)</f>
        <v>0</v>
      </c>
      <c r="BA89" s="76">
        <f t="shared" ref="BA89:BD93" si="29">D107</f>
        <v>0</v>
      </c>
      <c r="BB89" s="76">
        <f t="shared" si="29"/>
        <v>0</v>
      </c>
      <c r="BC89" s="76">
        <f t="shared" si="29"/>
        <v>0</v>
      </c>
      <c r="BD89" s="76">
        <f t="shared" si="29"/>
        <v>0</v>
      </c>
      <c r="BE89" s="77">
        <f>I107</f>
        <v>0</v>
      </c>
      <c r="BF89" s="77">
        <f>K107</f>
        <v>0</v>
      </c>
      <c r="BG89" s="77">
        <f t="shared" ref="BG89:BP93" si="30">M107</f>
        <v>0</v>
      </c>
      <c r="BH89" s="77">
        <f t="shared" si="30"/>
        <v>0</v>
      </c>
      <c r="BI89" s="77">
        <f t="shared" si="30"/>
        <v>0</v>
      </c>
      <c r="BJ89" s="77">
        <f t="shared" si="30"/>
        <v>0</v>
      </c>
      <c r="BK89" s="77">
        <f t="shared" si="30"/>
        <v>-385.3</v>
      </c>
      <c r="BL89" s="77">
        <f t="shared" si="30"/>
        <v>-312</v>
      </c>
      <c r="BM89" s="77">
        <f t="shared" si="30"/>
        <v>0</v>
      </c>
      <c r="BN89" s="77">
        <f t="shared" si="30"/>
        <v>0</v>
      </c>
      <c r="BO89" s="77">
        <f t="shared" si="30"/>
        <v>0</v>
      </c>
      <c r="BP89" s="77">
        <f t="shared" si="30"/>
        <v>0</v>
      </c>
      <c r="BQ89" s="77">
        <f>X107</f>
        <v>0</v>
      </c>
      <c r="BR89" s="77">
        <f>Z107</f>
        <v>0</v>
      </c>
      <c r="BS89" s="76">
        <f>AB107</f>
        <v>0</v>
      </c>
      <c r="BT89" s="76">
        <f t="shared" ref="BT89:BV93" si="31">AD107</f>
        <v>0</v>
      </c>
      <c r="BU89" s="76">
        <f t="shared" si="31"/>
        <v>0</v>
      </c>
      <c r="BV89" s="76">
        <f t="shared" si="31"/>
        <v>0</v>
      </c>
      <c r="BW89" s="76">
        <f>B107</f>
        <v>0</v>
      </c>
    </row>
    <row r="90" spans="1:75" x14ac:dyDescent="0.25">
      <c r="A90" s="60" t="s">
        <v>37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>
        <v>53.8</v>
      </c>
      <c r="R90" s="43">
        <v>69.900000000000006</v>
      </c>
      <c r="S90" s="43"/>
      <c r="T90" s="43"/>
      <c r="U90" s="43"/>
      <c r="V90" s="43"/>
      <c r="W90" s="43"/>
      <c r="X90" s="43"/>
      <c r="Y90" s="43"/>
      <c r="Z90" s="43"/>
      <c r="AA90" s="43"/>
      <c r="AB90" s="44"/>
      <c r="AC90" s="44"/>
      <c r="AD90" s="44"/>
      <c r="AE90" s="44"/>
      <c r="AF90" s="44"/>
      <c r="AG90" s="61">
        <v>70</v>
      </c>
      <c r="AH90" s="45">
        <f t="shared" si="27"/>
        <v>69.900000000000006</v>
      </c>
      <c r="AI90" s="46">
        <f t="shared" si="28"/>
        <v>53.8</v>
      </c>
      <c r="AK90" s="47"/>
      <c r="AY90" s="1" t="s">
        <v>38</v>
      </c>
      <c r="AZ90" s="77">
        <f>ROUND(C108,0)</f>
        <v>0</v>
      </c>
      <c r="BA90" s="76">
        <f t="shared" si="29"/>
        <v>0</v>
      </c>
      <c r="BB90" s="76">
        <f t="shared" si="29"/>
        <v>0</v>
      </c>
      <c r="BC90" s="76">
        <f t="shared" si="29"/>
        <v>0</v>
      </c>
      <c r="BD90" s="76">
        <f t="shared" si="29"/>
        <v>0</v>
      </c>
      <c r="BE90" s="77">
        <f>I108</f>
        <v>0</v>
      </c>
      <c r="BF90" s="77">
        <f>K108</f>
        <v>0</v>
      </c>
      <c r="BG90" s="77">
        <f t="shared" si="30"/>
        <v>0</v>
      </c>
      <c r="BH90" s="77">
        <f t="shared" si="30"/>
        <v>0</v>
      </c>
      <c r="BI90" s="77">
        <f t="shared" si="30"/>
        <v>0</v>
      </c>
      <c r="BJ90" s="77">
        <f t="shared" si="30"/>
        <v>0</v>
      </c>
      <c r="BK90" s="77">
        <f t="shared" si="30"/>
        <v>-202</v>
      </c>
      <c r="BL90" s="77">
        <f t="shared" si="30"/>
        <v>-186</v>
      </c>
      <c r="BM90" s="77">
        <f t="shared" si="30"/>
        <v>0</v>
      </c>
      <c r="BN90" s="77">
        <f t="shared" si="30"/>
        <v>0</v>
      </c>
      <c r="BO90" s="77">
        <f t="shared" si="30"/>
        <v>0</v>
      </c>
      <c r="BP90" s="77">
        <f t="shared" si="30"/>
        <v>0</v>
      </c>
      <c r="BQ90" s="77">
        <f>X108</f>
        <v>0</v>
      </c>
      <c r="BR90" s="77">
        <f>Z108</f>
        <v>0</v>
      </c>
      <c r="BS90" s="76">
        <f>AB108</f>
        <v>0</v>
      </c>
      <c r="BT90" s="76">
        <f t="shared" si="31"/>
        <v>0</v>
      </c>
      <c r="BU90" s="76">
        <f t="shared" si="31"/>
        <v>0</v>
      </c>
      <c r="BV90" s="76">
        <f t="shared" si="31"/>
        <v>0</v>
      </c>
      <c r="BW90" s="76">
        <f>B108</f>
        <v>0</v>
      </c>
    </row>
    <row r="91" spans="1:75" x14ac:dyDescent="0.25">
      <c r="A91" s="60" t="s">
        <v>39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>
        <v>63.8</v>
      </c>
      <c r="R91" s="43">
        <v>66.400000000000006</v>
      </c>
      <c r="S91" s="43"/>
      <c r="T91" s="43"/>
      <c r="U91" s="43"/>
      <c r="V91" s="43"/>
      <c r="W91" s="43"/>
      <c r="X91" s="43"/>
      <c r="Y91" s="43"/>
      <c r="Z91" s="43"/>
      <c r="AA91" s="43"/>
      <c r="AB91" s="44"/>
      <c r="AC91" s="44"/>
      <c r="AD91" s="44"/>
      <c r="AE91" s="44"/>
      <c r="AF91" s="44"/>
      <c r="AG91" s="61">
        <v>69</v>
      </c>
      <c r="AH91" s="45">
        <f t="shared" si="27"/>
        <v>66.400000000000006</v>
      </c>
      <c r="AI91" s="46">
        <f t="shared" si="28"/>
        <v>63.8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29"/>
        <v>0</v>
      </c>
      <c r="BB91" s="76">
        <f t="shared" si="29"/>
        <v>0</v>
      </c>
      <c r="BC91" s="76">
        <f t="shared" si="29"/>
        <v>0</v>
      </c>
      <c r="BD91" s="76">
        <f t="shared" si="29"/>
        <v>0</v>
      </c>
      <c r="BE91" s="77">
        <f>I109</f>
        <v>0</v>
      </c>
      <c r="BF91" s="77">
        <f>K109</f>
        <v>0</v>
      </c>
      <c r="BG91" s="77">
        <f t="shared" si="30"/>
        <v>0</v>
      </c>
      <c r="BH91" s="77">
        <f t="shared" si="30"/>
        <v>0</v>
      </c>
      <c r="BI91" s="77">
        <f t="shared" si="30"/>
        <v>0</v>
      </c>
      <c r="BJ91" s="77">
        <f t="shared" si="30"/>
        <v>0</v>
      </c>
      <c r="BK91" s="77">
        <f t="shared" si="30"/>
        <v>0</v>
      </c>
      <c r="BL91" s="77">
        <f t="shared" si="30"/>
        <v>0</v>
      </c>
      <c r="BM91" s="77">
        <f t="shared" si="30"/>
        <v>0</v>
      </c>
      <c r="BN91" s="77">
        <f t="shared" si="30"/>
        <v>0</v>
      </c>
      <c r="BO91" s="77">
        <f t="shared" si="30"/>
        <v>0</v>
      </c>
      <c r="BP91" s="77">
        <f t="shared" si="30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1"/>
        <v>0</v>
      </c>
      <c r="BU91" s="76">
        <f t="shared" si="31"/>
        <v>0</v>
      </c>
      <c r="BV91" s="76">
        <f t="shared" si="31"/>
        <v>0</v>
      </c>
      <c r="BW91" s="76">
        <f>B109</f>
        <v>0</v>
      </c>
    </row>
    <row r="92" spans="1:75" s="78" customFormat="1" x14ac:dyDescent="0.25">
      <c r="A92" s="60" t="s">
        <v>41</v>
      </c>
      <c r="B92" s="43"/>
      <c r="C92" s="43"/>
      <c r="D92" s="43"/>
      <c r="E92" s="43"/>
      <c r="F92" s="43"/>
      <c r="G92" s="43"/>
      <c r="H92" s="43"/>
      <c r="I92" s="43"/>
      <c r="J92" s="43"/>
      <c r="K92" s="63"/>
      <c r="L92" s="63"/>
      <c r="M92" s="63"/>
      <c r="N92" s="63"/>
      <c r="O92" s="63"/>
      <c r="P92" s="43"/>
      <c r="Q92" s="43">
        <v>58</v>
      </c>
      <c r="R92" s="43">
        <v>58</v>
      </c>
      <c r="S92" s="43"/>
      <c r="T92" s="43"/>
      <c r="U92" s="43"/>
      <c r="V92" s="43"/>
      <c r="W92" s="43"/>
      <c r="X92" s="43"/>
      <c r="Y92" s="43"/>
      <c r="Z92" s="43"/>
      <c r="AA92" s="43"/>
      <c r="AB92" s="44"/>
      <c r="AC92" s="44"/>
      <c r="AD92" s="44"/>
      <c r="AE92" s="44"/>
      <c r="AF92" s="44"/>
      <c r="AG92" s="61">
        <v>60</v>
      </c>
      <c r="AH92" s="45">
        <f t="shared" si="27"/>
        <v>58</v>
      </c>
      <c r="AI92" s="46">
        <f t="shared" si="28"/>
        <v>58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29"/>
        <v>0</v>
      </c>
      <c r="BB92" s="76">
        <f t="shared" si="29"/>
        <v>0</v>
      </c>
      <c r="BC92" s="76">
        <f t="shared" si="29"/>
        <v>0</v>
      </c>
      <c r="BD92" s="76">
        <f t="shared" si="29"/>
        <v>0</v>
      </c>
      <c r="BE92" s="77">
        <f>I110</f>
        <v>0</v>
      </c>
      <c r="BF92" s="77">
        <f>K110</f>
        <v>0</v>
      </c>
      <c r="BG92" s="77">
        <f t="shared" si="30"/>
        <v>0</v>
      </c>
      <c r="BH92" s="77">
        <f t="shared" si="30"/>
        <v>0</v>
      </c>
      <c r="BI92" s="77">
        <f t="shared" si="30"/>
        <v>0</v>
      </c>
      <c r="BJ92" s="77">
        <f t="shared" si="30"/>
        <v>0</v>
      </c>
      <c r="BK92" s="77">
        <f t="shared" si="30"/>
        <v>0</v>
      </c>
      <c r="BL92" s="77">
        <f t="shared" si="30"/>
        <v>0</v>
      </c>
      <c r="BM92" s="77">
        <f t="shared" si="30"/>
        <v>0</v>
      </c>
      <c r="BN92" s="77">
        <f t="shared" si="30"/>
        <v>0</v>
      </c>
      <c r="BO92" s="77">
        <f t="shared" si="30"/>
        <v>0</v>
      </c>
      <c r="BP92" s="77">
        <f t="shared" si="30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1"/>
        <v>0</v>
      </c>
      <c r="BU92" s="76">
        <f t="shared" si="31"/>
        <v>0</v>
      </c>
      <c r="BV92" s="76">
        <f t="shared" si="31"/>
        <v>0</v>
      </c>
      <c r="BW92" s="76">
        <f>B110</f>
        <v>0</v>
      </c>
    </row>
    <row r="93" spans="1:75" x14ac:dyDescent="0.25">
      <c r="A93" s="60" t="s">
        <v>43</v>
      </c>
      <c r="B93" s="44"/>
      <c r="C93" s="44"/>
      <c r="D93" s="44"/>
      <c r="E93" s="44"/>
      <c r="F93" s="44"/>
      <c r="G93" s="44"/>
      <c r="H93" s="43"/>
      <c r="I93" s="43"/>
      <c r="J93" s="43"/>
      <c r="K93" s="43"/>
      <c r="L93" s="43"/>
      <c r="M93" s="43"/>
      <c r="N93" s="43"/>
      <c r="O93" s="43"/>
      <c r="P93" s="43"/>
      <c r="Q93" s="44">
        <v>23.3</v>
      </c>
      <c r="R93" s="44">
        <v>0</v>
      </c>
      <c r="S93" s="43"/>
      <c r="T93" s="43"/>
      <c r="U93" s="43"/>
      <c r="V93" s="43"/>
      <c r="W93" s="43"/>
      <c r="X93" s="43"/>
      <c r="Y93" s="43"/>
      <c r="Z93" s="43"/>
      <c r="AA93" s="43"/>
      <c r="AB93" s="44"/>
      <c r="AC93" s="44"/>
      <c r="AD93" s="44"/>
      <c r="AE93" s="44"/>
      <c r="AF93" s="44"/>
      <c r="AG93" s="61">
        <v>30</v>
      </c>
      <c r="AH93" s="45">
        <f t="shared" si="27"/>
        <v>23.3</v>
      </c>
      <c r="AI93" s="46">
        <f t="shared" si="28"/>
        <v>0</v>
      </c>
      <c r="AK93" s="47"/>
      <c r="AY93" s="1" t="s">
        <v>44</v>
      </c>
      <c r="AZ93" s="77">
        <f>ROUND(C111,0)</f>
        <v>0</v>
      </c>
      <c r="BA93" s="76">
        <f t="shared" si="29"/>
        <v>0</v>
      </c>
      <c r="BB93" s="76">
        <f t="shared" si="29"/>
        <v>0</v>
      </c>
      <c r="BC93" s="76">
        <f t="shared" si="29"/>
        <v>0</v>
      </c>
      <c r="BD93" s="76">
        <f t="shared" si="29"/>
        <v>0</v>
      </c>
      <c r="BE93" s="77">
        <f>I111</f>
        <v>0</v>
      </c>
      <c r="BF93" s="77">
        <f>K111</f>
        <v>0</v>
      </c>
      <c r="BG93" s="77">
        <f t="shared" si="30"/>
        <v>0</v>
      </c>
      <c r="BH93" s="77">
        <f t="shared" si="30"/>
        <v>0</v>
      </c>
      <c r="BI93" s="77">
        <f t="shared" si="30"/>
        <v>0</v>
      </c>
      <c r="BJ93" s="77">
        <f t="shared" si="30"/>
        <v>0</v>
      </c>
      <c r="BK93" s="77">
        <f t="shared" si="30"/>
        <v>0</v>
      </c>
      <c r="BL93" s="77">
        <f t="shared" si="30"/>
        <v>0</v>
      </c>
      <c r="BM93" s="77">
        <f t="shared" si="30"/>
        <v>0</v>
      </c>
      <c r="BN93" s="77">
        <f t="shared" si="30"/>
        <v>0</v>
      </c>
      <c r="BO93" s="77">
        <f t="shared" si="30"/>
        <v>0</v>
      </c>
      <c r="BP93" s="77">
        <f t="shared" si="30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1"/>
        <v>0</v>
      </c>
      <c r="BU93" s="76">
        <f t="shared" si="31"/>
        <v>0</v>
      </c>
      <c r="BV93" s="76">
        <f t="shared" si="31"/>
        <v>0</v>
      </c>
      <c r="BW93" s="76">
        <f>B111</f>
        <v>0</v>
      </c>
    </row>
    <row r="94" spans="1:75" x14ac:dyDescent="0.25">
      <c r="A94" s="60" t="s">
        <v>45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3"/>
      <c r="Q94" s="44">
        <v>19.3</v>
      </c>
      <c r="R94" s="44">
        <v>6.9</v>
      </c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1">
        <v>25</v>
      </c>
      <c r="AH94" s="45">
        <f t="shared" si="27"/>
        <v>19.3</v>
      </c>
      <c r="AI94" s="46">
        <f t="shared" si="28"/>
        <v>6.9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32">M117</f>
        <v>0</v>
      </c>
      <c r="BH94" s="77">
        <f t="shared" si="32"/>
        <v>0</v>
      </c>
      <c r="BI94" s="77">
        <f t="shared" si="32"/>
        <v>0</v>
      </c>
      <c r="BJ94" s="77">
        <f t="shared" si="32"/>
        <v>0</v>
      </c>
      <c r="BK94" s="77">
        <f t="shared" si="32"/>
        <v>0</v>
      </c>
      <c r="BL94" s="77">
        <f t="shared" si="32"/>
        <v>0</v>
      </c>
      <c r="BM94" s="77">
        <f t="shared" si="32"/>
        <v>0</v>
      </c>
      <c r="BN94" s="77">
        <f t="shared" si="32"/>
        <v>0</v>
      </c>
      <c r="BO94" s="77">
        <f t="shared" si="32"/>
        <v>0</v>
      </c>
      <c r="BP94" s="77">
        <f t="shared" si="32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>
        <v>8.1</v>
      </c>
      <c r="R95" s="43">
        <v>8.1</v>
      </c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61">
        <v>24</v>
      </c>
      <c r="AH95" s="45">
        <f t="shared" si="27"/>
        <v>8.1</v>
      </c>
      <c r="AI95" s="46">
        <f t="shared" si="28"/>
        <v>8.1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>
        <v>2.6</v>
      </c>
      <c r="R96" s="43">
        <v>2.7</v>
      </c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61">
        <v>15</v>
      </c>
      <c r="AH96" s="45">
        <f t="shared" si="27"/>
        <v>2.7</v>
      </c>
      <c r="AI96" s="46">
        <f t="shared" si="28"/>
        <v>2.6</v>
      </c>
      <c r="AK96" s="47"/>
      <c r="AZ96" s="77">
        <f t="shared" ref="AZ96:BW101" si="33">VALUE(AZ89)</f>
        <v>0</v>
      </c>
      <c r="BA96" s="77">
        <f t="shared" si="33"/>
        <v>0</v>
      </c>
      <c r="BB96" s="77">
        <f t="shared" si="33"/>
        <v>0</v>
      </c>
      <c r="BC96" s="77">
        <f t="shared" si="33"/>
        <v>0</v>
      </c>
      <c r="BD96" s="77">
        <f t="shared" si="33"/>
        <v>0</v>
      </c>
      <c r="BE96" s="77">
        <f t="shared" si="33"/>
        <v>0</v>
      </c>
      <c r="BF96" s="77">
        <f t="shared" si="33"/>
        <v>0</v>
      </c>
      <c r="BG96" s="77">
        <f t="shared" si="33"/>
        <v>0</v>
      </c>
      <c r="BH96" s="77">
        <f t="shared" si="33"/>
        <v>0</v>
      </c>
      <c r="BI96" s="77">
        <f t="shared" si="33"/>
        <v>0</v>
      </c>
      <c r="BJ96" s="77">
        <f t="shared" si="33"/>
        <v>0</v>
      </c>
      <c r="BK96" s="77">
        <f t="shared" si="33"/>
        <v>-385.3</v>
      </c>
      <c r="BL96" s="77">
        <f t="shared" si="33"/>
        <v>-312</v>
      </c>
      <c r="BM96" s="77">
        <f t="shared" si="33"/>
        <v>0</v>
      </c>
      <c r="BN96" s="77">
        <f t="shared" si="33"/>
        <v>0</v>
      </c>
      <c r="BO96" s="77">
        <f t="shared" si="33"/>
        <v>0</v>
      </c>
      <c r="BP96" s="77">
        <f t="shared" si="33"/>
        <v>0</v>
      </c>
      <c r="BQ96" s="77">
        <f t="shared" si="33"/>
        <v>0</v>
      </c>
      <c r="BR96" s="77">
        <f t="shared" si="33"/>
        <v>0</v>
      </c>
      <c r="BS96" s="77">
        <f t="shared" si="33"/>
        <v>0</v>
      </c>
      <c r="BT96" s="77">
        <f t="shared" si="33"/>
        <v>0</v>
      </c>
      <c r="BU96" s="77">
        <f t="shared" si="33"/>
        <v>0</v>
      </c>
      <c r="BV96" s="77">
        <f t="shared" si="33"/>
        <v>0</v>
      </c>
      <c r="BW96" s="77">
        <f t="shared" si="33"/>
        <v>0</v>
      </c>
    </row>
    <row r="97" spans="1:75" x14ac:dyDescent="0.25">
      <c r="A97" s="60" t="s">
        <v>49</v>
      </c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>
        <v>8.1999999999999993</v>
      </c>
      <c r="R97" s="43">
        <v>8</v>
      </c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61">
        <v>14.1</v>
      </c>
      <c r="AH97" s="45">
        <f t="shared" si="27"/>
        <v>8.1999999999999993</v>
      </c>
      <c r="AI97" s="46">
        <f t="shared" si="28"/>
        <v>8</v>
      </c>
      <c r="AK97" s="47"/>
      <c r="AZ97" s="77">
        <f t="shared" si="33"/>
        <v>0</v>
      </c>
      <c r="BA97" s="77">
        <f t="shared" si="33"/>
        <v>0</v>
      </c>
      <c r="BB97" s="77">
        <f t="shared" si="33"/>
        <v>0</v>
      </c>
      <c r="BC97" s="77">
        <f t="shared" si="33"/>
        <v>0</v>
      </c>
      <c r="BD97" s="77">
        <f t="shared" si="33"/>
        <v>0</v>
      </c>
      <c r="BE97" s="77">
        <f t="shared" si="33"/>
        <v>0</v>
      </c>
      <c r="BF97" s="77">
        <f t="shared" si="33"/>
        <v>0</v>
      </c>
      <c r="BG97" s="77">
        <f t="shared" si="33"/>
        <v>0</v>
      </c>
      <c r="BH97" s="77">
        <f t="shared" si="33"/>
        <v>0</v>
      </c>
      <c r="BI97" s="77">
        <f t="shared" si="33"/>
        <v>0</v>
      </c>
      <c r="BJ97" s="77">
        <f t="shared" si="33"/>
        <v>0</v>
      </c>
      <c r="BK97" s="77">
        <f t="shared" si="33"/>
        <v>-202</v>
      </c>
      <c r="BL97" s="77">
        <f t="shared" si="33"/>
        <v>-186</v>
      </c>
      <c r="BM97" s="77">
        <f t="shared" si="33"/>
        <v>0</v>
      </c>
      <c r="BN97" s="77">
        <f t="shared" si="33"/>
        <v>0</v>
      </c>
      <c r="BO97" s="77">
        <f t="shared" si="33"/>
        <v>0</v>
      </c>
      <c r="BP97" s="77">
        <f t="shared" si="33"/>
        <v>0</v>
      </c>
      <c r="BQ97" s="77">
        <f t="shared" si="33"/>
        <v>0</v>
      </c>
      <c r="BR97" s="77">
        <f t="shared" si="33"/>
        <v>0</v>
      </c>
      <c r="BS97" s="77">
        <f t="shared" si="33"/>
        <v>0</v>
      </c>
      <c r="BT97" s="77">
        <f t="shared" si="33"/>
        <v>0</v>
      </c>
      <c r="BU97" s="77">
        <f t="shared" si="33"/>
        <v>0</v>
      </c>
      <c r="BV97" s="77">
        <f t="shared" si="33"/>
        <v>0</v>
      </c>
      <c r="BW97" s="77">
        <f t="shared" si="33"/>
        <v>0</v>
      </c>
    </row>
    <row r="98" spans="1:75" x14ac:dyDescent="0.25">
      <c r="A98" s="79" t="s">
        <v>50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>
        <v>5.4</v>
      </c>
      <c r="R98" s="43">
        <v>4.5999999999999996</v>
      </c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1">
        <v>14</v>
      </c>
      <c r="AH98" s="45">
        <f t="shared" si="27"/>
        <v>5.4</v>
      </c>
      <c r="AI98" s="46">
        <f t="shared" si="28"/>
        <v>4.5999999999999996</v>
      </c>
      <c r="AK98" s="47"/>
      <c r="AZ98" s="77">
        <f t="shared" si="33"/>
        <v>0</v>
      </c>
      <c r="BA98" s="77">
        <f t="shared" si="33"/>
        <v>0</v>
      </c>
      <c r="BB98" s="77">
        <f t="shared" si="33"/>
        <v>0</v>
      </c>
      <c r="BC98" s="77">
        <f t="shared" si="33"/>
        <v>0</v>
      </c>
      <c r="BD98" s="77">
        <f t="shared" si="33"/>
        <v>0</v>
      </c>
      <c r="BE98" s="77">
        <f t="shared" si="33"/>
        <v>0</v>
      </c>
      <c r="BF98" s="77">
        <f t="shared" si="33"/>
        <v>0</v>
      </c>
      <c r="BG98" s="77">
        <f t="shared" si="33"/>
        <v>0</v>
      </c>
      <c r="BH98" s="77">
        <f t="shared" si="33"/>
        <v>0</v>
      </c>
      <c r="BI98" s="77">
        <f t="shared" si="33"/>
        <v>0</v>
      </c>
      <c r="BJ98" s="77">
        <f t="shared" si="33"/>
        <v>0</v>
      </c>
      <c r="BK98" s="77">
        <f t="shared" si="33"/>
        <v>0</v>
      </c>
      <c r="BL98" s="77">
        <f t="shared" si="33"/>
        <v>0</v>
      </c>
      <c r="BM98" s="77">
        <f t="shared" si="33"/>
        <v>0</v>
      </c>
      <c r="BN98" s="77">
        <f t="shared" si="33"/>
        <v>0</v>
      </c>
      <c r="BO98" s="77">
        <f t="shared" si="33"/>
        <v>0</v>
      </c>
      <c r="BP98" s="77">
        <f t="shared" si="33"/>
        <v>0</v>
      </c>
      <c r="BQ98" s="77">
        <f t="shared" si="33"/>
        <v>0</v>
      </c>
      <c r="BR98" s="77">
        <f t="shared" si="33"/>
        <v>0</v>
      </c>
      <c r="BS98" s="77">
        <f t="shared" si="33"/>
        <v>0</v>
      </c>
      <c r="BT98" s="77">
        <f t="shared" si="33"/>
        <v>0</v>
      </c>
      <c r="BU98" s="77">
        <f t="shared" si="33"/>
        <v>0</v>
      </c>
      <c r="BV98" s="77">
        <f t="shared" si="33"/>
        <v>0</v>
      </c>
      <c r="BW98" s="77">
        <f t="shared" si="33"/>
        <v>0</v>
      </c>
    </row>
    <row r="99" spans="1:75" x14ac:dyDescent="0.25">
      <c r="A99" s="60" t="s">
        <v>51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>
        <v>8.8000000000000007</v>
      </c>
      <c r="R99" s="43">
        <v>8.8000000000000007</v>
      </c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61">
        <v>10.050000000000001</v>
      </c>
      <c r="AH99" s="45">
        <f t="shared" si="27"/>
        <v>8.8000000000000007</v>
      </c>
      <c r="AI99" s="46">
        <f t="shared" si="28"/>
        <v>8.8000000000000007</v>
      </c>
      <c r="AK99" s="47"/>
      <c r="AZ99" s="77">
        <f t="shared" si="33"/>
        <v>0</v>
      </c>
      <c r="BA99" s="77">
        <f t="shared" si="33"/>
        <v>0</v>
      </c>
      <c r="BB99" s="77">
        <f t="shared" si="33"/>
        <v>0</v>
      </c>
      <c r="BC99" s="77">
        <f t="shared" si="33"/>
        <v>0</v>
      </c>
      <c r="BD99" s="77">
        <f t="shared" si="33"/>
        <v>0</v>
      </c>
      <c r="BE99" s="77">
        <f t="shared" si="33"/>
        <v>0</v>
      </c>
      <c r="BF99" s="77">
        <f t="shared" si="33"/>
        <v>0</v>
      </c>
      <c r="BG99" s="77">
        <f t="shared" si="33"/>
        <v>0</v>
      </c>
      <c r="BH99" s="77">
        <f t="shared" si="33"/>
        <v>0</v>
      </c>
      <c r="BI99" s="77">
        <f t="shared" si="33"/>
        <v>0</v>
      </c>
      <c r="BJ99" s="77">
        <f t="shared" si="33"/>
        <v>0</v>
      </c>
      <c r="BK99" s="77">
        <f t="shared" si="33"/>
        <v>0</v>
      </c>
      <c r="BL99" s="77">
        <f t="shared" si="33"/>
        <v>0</v>
      </c>
      <c r="BM99" s="77">
        <f t="shared" si="33"/>
        <v>0</v>
      </c>
      <c r="BN99" s="77">
        <f t="shared" si="33"/>
        <v>0</v>
      </c>
      <c r="BO99" s="77">
        <f t="shared" si="33"/>
        <v>0</v>
      </c>
      <c r="BP99" s="77">
        <f t="shared" si="33"/>
        <v>0</v>
      </c>
      <c r="BQ99" s="77">
        <f t="shared" si="33"/>
        <v>0</v>
      </c>
      <c r="BR99" s="77">
        <f t="shared" si="33"/>
        <v>0</v>
      </c>
      <c r="BS99" s="77">
        <f t="shared" si="33"/>
        <v>0</v>
      </c>
      <c r="BT99" s="77">
        <f t="shared" si="33"/>
        <v>0</v>
      </c>
      <c r="BU99" s="77">
        <f t="shared" si="33"/>
        <v>0</v>
      </c>
      <c r="BV99" s="77">
        <f t="shared" si="33"/>
        <v>0</v>
      </c>
      <c r="BW99" s="77">
        <f t="shared" si="33"/>
        <v>0</v>
      </c>
    </row>
    <row r="100" spans="1:75" x14ac:dyDescent="0.25">
      <c r="A100" s="60" t="s">
        <v>52</v>
      </c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>
        <v>6.2</v>
      </c>
      <c r="R100" s="43">
        <v>6.2</v>
      </c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61">
        <v>6.2</v>
      </c>
      <c r="AH100" s="45">
        <f t="shared" si="27"/>
        <v>6.2</v>
      </c>
      <c r="AI100" s="46">
        <f t="shared" si="28"/>
        <v>6.2</v>
      </c>
      <c r="AK100" s="47"/>
      <c r="AZ100" s="77">
        <f t="shared" si="33"/>
        <v>0</v>
      </c>
      <c r="BA100" s="77">
        <f t="shared" si="33"/>
        <v>0</v>
      </c>
      <c r="BB100" s="77">
        <f t="shared" si="33"/>
        <v>0</v>
      </c>
      <c r="BC100" s="77">
        <f t="shared" si="33"/>
        <v>0</v>
      </c>
      <c r="BD100" s="77">
        <f t="shared" si="33"/>
        <v>0</v>
      </c>
      <c r="BE100" s="77">
        <f t="shared" si="33"/>
        <v>0</v>
      </c>
      <c r="BF100" s="77">
        <f t="shared" si="33"/>
        <v>0</v>
      </c>
      <c r="BG100" s="77">
        <f t="shared" si="33"/>
        <v>0</v>
      </c>
      <c r="BH100" s="77">
        <f t="shared" si="33"/>
        <v>0</v>
      </c>
      <c r="BI100" s="77">
        <f t="shared" si="33"/>
        <v>0</v>
      </c>
      <c r="BJ100" s="77">
        <f t="shared" si="33"/>
        <v>0</v>
      </c>
      <c r="BK100" s="77">
        <f t="shared" si="33"/>
        <v>0</v>
      </c>
      <c r="BL100" s="77">
        <f t="shared" si="33"/>
        <v>0</v>
      </c>
      <c r="BM100" s="77">
        <f t="shared" si="33"/>
        <v>0</v>
      </c>
      <c r="BN100" s="77">
        <f t="shared" si="33"/>
        <v>0</v>
      </c>
      <c r="BO100" s="77">
        <f t="shared" si="33"/>
        <v>0</v>
      </c>
      <c r="BP100" s="77">
        <f t="shared" si="33"/>
        <v>0</v>
      </c>
      <c r="BQ100" s="77">
        <f t="shared" si="33"/>
        <v>0</v>
      </c>
      <c r="BR100" s="77">
        <f t="shared" si="33"/>
        <v>0</v>
      </c>
      <c r="BS100" s="77">
        <f t="shared" si="33"/>
        <v>0</v>
      </c>
      <c r="BT100" s="77">
        <f t="shared" si="33"/>
        <v>0</v>
      </c>
      <c r="BU100" s="77">
        <f t="shared" si="33"/>
        <v>0</v>
      </c>
      <c r="BV100" s="77">
        <f t="shared" si="33"/>
        <v>0</v>
      </c>
      <c r="BW100" s="77">
        <f t="shared" si="33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7"/>
        <v>2</v>
      </c>
      <c r="AI101" s="46">
        <f t="shared" si="28"/>
        <v>2</v>
      </c>
      <c r="AK101" s="47"/>
      <c r="AZ101" s="77">
        <f t="shared" si="33"/>
        <v>0</v>
      </c>
      <c r="BA101" s="77">
        <f t="shared" si="33"/>
        <v>0</v>
      </c>
      <c r="BB101" s="77">
        <f t="shared" si="33"/>
        <v>0</v>
      </c>
      <c r="BC101" s="77">
        <f t="shared" si="33"/>
        <v>0</v>
      </c>
      <c r="BD101" s="77">
        <f t="shared" si="33"/>
        <v>0</v>
      </c>
      <c r="BE101" s="77">
        <f t="shared" si="33"/>
        <v>0</v>
      </c>
      <c r="BF101" s="77">
        <f t="shared" si="33"/>
        <v>0</v>
      </c>
      <c r="BG101" s="77">
        <f t="shared" si="33"/>
        <v>0</v>
      </c>
      <c r="BH101" s="77">
        <f t="shared" si="33"/>
        <v>0</v>
      </c>
      <c r="BI101" s="77">
        <f t="shared" si="33"/>
        <v>0</v>
      </c>
      <c r="BJ101" s="77">
        <f t="shared" si="33"/>
        <v>0</v>
      </c>
      <c r="BK101" s="77">
        <f t="shared" si="33"/>
        <v>0</v>
      </c>
      <c r="BL101" s="77">
        <f t="shared" si="33"/>
        <v>0</v>
      </c>
      <c r="BM101" s="77">
        <f t="shared" si="33"/>
        <v>0</v>
      </c>
      <c r="BN101" s="77">
        <f t="shared" si="33"/>
        <v>0</v>
      </c>
      <c r="BO101" s="77">
        <f t="shared" si="33"/>
        <v>0</v>
      </c>
      <c r="BP101" s="77">
        <f t="shared" si="33"/>
        <v>0</v>
      </c>
      <c r="BQ101" s="77">
        <f t="shared" si="33"/>
        <v>0</v>
      </c>
      <c r="BR101" s="77">
        <f t="shared" si="33"/>
        <v>0</v>
      </c>
      <c r="BS101" s="77">
        <f t="shared" si="33"/>
        <v>0</v>
      </c>
      <c r="BT101" s="77">
        <f t="shared" si="33"/>
        <v>0</v>
      </c>
      <c r="BU101" s="77">
        <f t="shared" si="33"/>
        <v>0</v>
      </c>
      <c r="BV101" s="77">
        <f t="shared" si="33"/>
        <v>0</v>
      </c>
      <c r="BW101" s="77">
        <f t="shared" si="33"/>
        <v>0</v>
      </c>
    </row>
    <row r="102" spans="1:75" ht="15.75" thickBot="1" x14ac:dyDescent="0.3">
      <c r="A102" s="82" t="s">
        <v>54</v>
      </c>
      <c r="B102" s="66">
        <f t="shared" ref="B102:AG102" si="34">SUM(B89:B101)</f>
        <v>2</v>
      </c>
      <c r="C102" s="66">
        <f t="shared" si="34"/>
        <v>2</v>
      </c>
      <c r="D102" s="66">
        <f t="shared" si="34"/>
        <v>2</v>
      </c>
      <c r="E102" s="66">
        <f t="shared" si="34"/>
        <v>2</v>
      </c>
      <c r="F102" s="66">
        <f t="shared" si="34"/>
        <v>2</v>
      </c>
      <c r="G102" s="66">
        <f t="shared" si="34"/>
        <v>2</v>
      </c>
      <c r="H102" s="66">
        <f t="shared" si="34"/>
        <v>2</v>
      </c>
      <c r="I102" s="66">
        <f t="shared" si="34"/>
        <v>2</v>
      </c>
      <c r="J102" s="66">
        <f t="shared" si="34"/>
        <v>2</v>
      </c>
      <c r="K102" s="66">
        <f t="shared" si="34"/>
        <v>2</v>
      </c>
      <c r="L102" s="66">
        <f t="shared" si="34"/>
        <v>2</v>
      </c>
      <c r="M102" s="66">
        <f t="shared" si="34"/>
        <v>2</v>
      </c>
      <c r="N102" s="66">
        <f t="shared" si="34"/>
        <v>2</v>
      </c>
      <c r="O102" s="66">
        <f t="shared" si="34"/>
        <v>2</v>
      </c>
      <c r="P102" s="66">
        <f t="shared" si="34"/>
        <v>2</v>
      </c>
      <c r="Q102" s="66">
        <f t="shared" si="34"/>
        <v>398.40000000000003</v>
      </c>
      <c r="R102" s="66">
        <f t="shared" si="34"/>
        <v>380.50000000000006</v>
      </c>
      <c r="S102" s="66">
        <f t="shared" si="34"/>
        <v>2</v>
      </c>
      <c r="T102" s="66">
        <f t="shared" si="34"/>
        <v>2</v>
      </c>
      <c r="U102" s="66">
        <f t="shared" si="34"/>
        <v>2</v>
      </c>
      <c r="V102" s="66">
        <f t="shared" si="34"/>
        <v>2</v>
      </c>
      <c r="W102" s="66">
        <f t="shared" si="34"/>
        <v>2</v>
      </c>
      <c r="X102" s="66">
        <f t="shared" si="34"/>
        <v>2</v>
      </c>
      <c r="Y102" s="66">
        <f t="shared" si="34"/>
        <v>2</v>
      </c>
      <c r="Z102" s="66">
        <f t="shared" si="34"/>
        <v>2</v>
      </c>
      <c r="AA102" s="66">
        <f t="shared" si="34"/>
        <v>2</v>
      </c>
      <c r="AB102" s="66">
        <f t="shared" si="34"/>
        <v>2</v>
      </c>
      <c r="AC102" s="66">
        <f t="shared" si="34"/>
        <v>2</v>
      </c>
      <c r="AD102" s="66">
        <f t="shared" si="34"/>
        <v>2</v>
      </c>
      <c r="AE102" s="66">
        <f t="shared" si="34"/>
        <v>2</v>
      </c>
      <c r="AF102" s="66">
        <f t="shared" si="34"/>
        <v>2</v>
      </c>
      <c r="AG102" s="75">
        <f t="shared" si="34"/>
        <v>489.91</v>
      </c>
      <c r="AH102" s="45">
        <f t="shared" si="27"/>
        <v>398.40000000000003</v>
      </c>
      <c r="AI102" s="46">
        <f t="shared" si="28"/>
        <v>2</v>
      </c>
      <c r="AK102" s="47"/>
      <c r="AY102" s="77"/>
    </row>
    <row r="103" spans="1:75" x14ac:dyDescent="0.25">
      <c r="A103" s="42" t="s">
        <v>55</v>
      </c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59">
        <v>60</v>
      </c>
      <c r="AH103" s="45">
        <f t="shared" si="27"/>
        <v>0</v>
      </c>
      <c r="AI103" s="46">
        <f t="shared" si="28"/>
        <v>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61">
        <v>32</v>
      </c>
      <c r="AH104" s="45">
        <f t="shared" si="27"/>
        <v>0</v>
      </c>
      <c r="AI104" s="46">
        <f t="shared" si="28"/>
        <v>0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3">
        <v>14</v>
      </c>
      <c r="AH105" s="45">
        <f t="shared" si="27"/>
        <v>0</v>
      </c>
      <c r="AI105" s="46">
        <f t="shared" si="28"/>
        <v>0</v>
      </c>
      <c r="AK105" s="47"/>
      <c r="AY105" s="77"/>
      <c r="BF105" s="76"/>
      <c r="BG105" s="77">
        <f t="array" ref="BG105:BL128">TRANSPOSE(AZ89:BW94)</f>
        <v>0</v>
      </c>
      <c r="BH105" s="77">
        <v>0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AF106" si="35">B103+B104+B105</f>
        <v>0</v>
      </c>
      <c r="C106" s="66">
        <f t="shared" si="35"/>
        <v>0</v>
      </c>
      <c r="D106" s="66">
        <f t="shared" si="35"/>
        <v>0</v>
      </c>
      <c r="E106" s="66">
        <f t="shared" si="35"/>
        <v>0</v>
      </c>
      <c r="F106" s="66">
        <f t="shared" si="35"/>
        <v>0</v>
      </c>
      <c r="G106" s="66">
        <f t="shared" si="35"/>
        <v>0</v>
      </c>
      <c r="H106" s="66">
        <f t="shared" si="35"/>
        <v>0</v>
      </c>
      <c r="I106" s="66">
        <f t="shared" si="35"/>
        <v>0</v>
      </c>
      <c r="J106" s="66">
        <f t="shared" si="35"/>
        <v>0</v>
      </c>
      <c r="K106" s="66">
        <f t="shared" si="35"/>
        <v>0</v>
      </c>
      <c r="L106" s="66">
        <f t="shared" si="35"/>
        <v>0</v>
      </c>
      <c r="M106" s="66">
        <f t="shared" si="35"/>
        <v>0</v>
      </c>
      <c r="N106" s="66">
        <f t="shared" si="35"/>
        <v>0</v>
      </c>
      <c r="O106" s="66">
        <f t="shared" si="35"/>
        <v>0</v>
      </c>
      <c r="P106" s="66">
        <f t="shared" si="35"/>
        <v>0</v>
      </c>
      <c r="Q106" s="66">
        <f t="shared" si="35"/>
        <v>0</v>
      </c>
      <c r="R106" s="66">
        <f t="shared" si="35"/>
        <v>0</v>
      </c>
      <c r="S106" s="66">
        <f t="shared" si="35"/>
        <v>0</v>
      </c>
      <c r="T106" s="66">
        <f t="shared" si="35"/>
        <v>0</v>
      </c>
      <c r="U106" s="66">
        <f t="shared" si="35"/>
        <v>0</v>
      </c>
      <c r="V106" s="66">
        <f t="shared" si="35"/>
        <v>0</v>
      </c>
      <c r="W106" s="66">
        <f t="shared" si="35"/>
        <v>0</v>
      </c>
      <c r="X106" s="66">
        <f t="shared" si="35"/>
        <v>0</v>
      </c>
      <c r="Y106" s="66">
        <f t="shared" si="35"/>
        <v>0</v>
      </c>
      <c r="Z106" s="66">
        <f t="shared" si="35"/>
        <v>0</v>
      </c>
      <c r="AA106" s="66">
        <f t="shared" si="35"/>
        <v>0</v>
      </c>
      <c r="AB106" s="66">
        <f t="shared" si="35"/>
        <v>0</v>
      </c>
      <c r="AC106" s="66">
        <f t="shared" si="35"/>
        <v>0</v>
      </c>
      <c r="AD106" s="66">
        <f t="shared" si="35"/>
        <v>0</v>
      </c>
      <c r="AE106" s="66">
        <f t="shared" si="35"/>
        <v>0</v>
      </c>
      <c r="AF106" s="66">
        <f t="shared" si="35"/>
        <v>0</v>
      </c>
      <c r="AG106" s="75">
        <f>SUM(AG103:AG105)</f>
        <v>106</v>
      </c>
      <c r="AH106" s="45">
        <f t="shared" si="27"/>
        <v>0</v>
      </c>
      <c r="AI106" s="46">
        <f t="shared" si="28"/>
        <v>0</v>
      </c>
      <c r="AK106" s="47"/>
      <c r="AY106" s="77"/>
      <c r="BF106" s="76"/>
      <c r="BG106" s="77">
        <v>0</v>
      </c>
      <c r="BH106" s="77">
        <v>0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>
        <v>-385.3</v>
      </c>
      <c r="R107" s="44">
        <v>-312</v>
      </c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59"/>
      <c r="AH107" s="45">
        <f t="shared" si="27"/>
        <v>-312</v>
      </c>
      <c r="AI107" s="46">
        <f t="shared" si="28"/>
        <v>-385.3</v>
      </c>
      <c r="AK107" s="47"/>
      <c r="AY107" s="77"/>
      <c r="BF107" s="76"/>
      <c r="BG107" s="77">
        <v>0</v>
      </c>
      <c r="BH107" s="77">
        <v>0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>
        <v>-202</v>
      </c>
      <c r="R108" s="43">
        <v>-186</v>
      </c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61"/>
      <c r="AH108" s="45">
        <f t="shared" si="27"/>
        <v>-186</v>
      </c>
      <c r="AI108" s="46">
        <f t="shared" si="28"/>
        <v>-202</v>
      </c>
      <c r="AK108" s="47"/>
      <c r="AL108" s="83" t="s">
        <v>61</v>
      </c>
      <c r="AM108" s="83"/>
      <c r="AY108" s="77"/>
      <c r="BF108" s="77"/>
      <c r="BG108" s="77">
        <v>0</v>
      </c>
      <c r="BH108" s="77">
        <v>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7"/>
        <v>0</v>
      </c>
      <c r="AI109" s="46">
        <f t="shared" si="28"/>
        <v>0</v>
      </c>
      <c r="AK109" s="85"/>
      <c r="AL109" s="86"/>
      <c r="AM109" s="86"/>
      <c r="AN109" s="87"/>
      <c r="AY109" s="77"/>
      <c r="BF109" s="77"/>
      <c r="BG109" s="77">
        <v>0</v>
      </c>
      <c r="BH109" s="77">
        <v>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7"/>
        <v>0</v>
      </c>
      <c r="AI110" s="46">
        <f t="shared" si="28"/>
        <v>0</v>
      </c>
      <c r="AK110" s="89" t="s">
        <v>64</v>
      </c>
      <c r="AL110" s="43"/>
      <c r="AM110" s="88"/>
      <c r="AN110" s="90"/>
      <c r="AY110" s="77"/>
      <c r="BF110" s="77"/>
      <c r="BG110" s="77">
        <v>0</v>
      </c>
      <c r="BH110" s="77">
        <v>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7"/>
        <v>0</v>
      </c>
      <c r="AI111" s="46">
        <f t="shared" si="28"/>
        <v>0</v>
      </c>
      <c r="AK111" s="89" t="s">
        <v>66</v>
      </c>
      <c r="AL111" s="88"/>
      <c r="AM111" s="88"/>
      <c r="AN111" s="90"/>
      <c r="AY111" s="77"/>
      <c r="BF111" s="77"/>
      <c r="BG111" s="77">
        <v>0</v>
      </c>
      <c r="BH111" s="77">
        <v>0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>
        <v>-30.2</v>
      </c>
      <c r="R112" s="92">
        <v>-38.4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84"/>
      <c r="AH112" s="45">
        <f t="shared" si="27"/>
        <v>-30.2</v>
      </c>
      <c r="AI112" s="46">
        <f t="shared" si="28"/>
        <v>-38.4</v>
      </c>
      <c r="AK112" s="89"/>
      <c r="AL112" s="44"/>
      <c r="AM112" s="44"/>
      <c r="AN112" s="93"/>
      <c r="AY112" s="77"/>
      <c r="BF112" s="77"/>
      <c r="BG112" s="77">
        <v>0</v>
      </c>
      <c r="BH112" s="77">
        <v>0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7"/>
        <v>0</v>
      </c>
      <c r="AI113" s="46">
        <f t="shared" si="28"/>
        <v>0</v>
      </c>
      <c r="AK113" s="89"/>
      <c r="AL113" s="92"/>
      <c r="AM113" s="94"/>
      <c r="AN113" s="228"/>
      <c r="AY113" s="77"/>
      <c r="BF113" s="77"/>
      <c r="BG113" s="77">
        <v>0</v>
      </c>
      <c r="BH113" s="77">
        <v>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7"/>
        <v>0</v>
      </c>
      <c r="AI114" s="46">
        <f t="shared" si="28"/>
        <v>0</v>
      </c>
      <c r="AK114" s="89"/>
      <c r="AL114" s="92"/>
      <c r="AM114" s="92"/>
      <c r="AN114" s="229"/>
      <c r="BF114" s="77"/>
      <c r="BG114" s="77">
        <v>0</v>
      </c>
      <c r="BH114" s="77">
        <v>0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7"/>
        <v>0</v>
      </c>
      <c r="AI115" s="46">
        <f t="shared" si="28"/>
        <v>0</v>
      </c>
      <c r="AK115" s="95"/>
      <c r="AL115" s="96"/>
      <c r="AM115" s="96"/>
      <c r="AN115" s="97"/>
      <c r="BF115" s="77"/>
      <c r="BG115" s="77">
        <v>0</v>
      </c>
      <c r="BH115" s="77">
        <v>0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7"/>
        <v>0</v>
      </c>
      <c r="AI116" s="46">
        <f t="shared" si="28"/>
        <v>0</v>
      </c>
      <c r="BF116" s="77"/>
      <c r="BG116" s="77">
        <v>-385.3</v>
      </c>
      <c r="BH116" s="77">
        <v>-202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7"/>
        <v>0</v>
      </c>
      <c r="AI117" s="46">
        <f t="shared" si="28"/>
        <v>0</v>
      </c>
      <c r="BF117" s="77"/>
      <c r="BG117" s="77">
        <v>-312</v>
      </c>
      <c r="BH117" s="77">
        <v>-186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AF118" si="36">SUMIF(B107:B117,"&gt;0")</f>
        <v>0</v>
      </c>
      <c r="C118" s="66">
        <f t="shared" si="36"/>
        <v>0</v>
      </c>
      <c r="D118" s="66">
        <f t="shared" si="36"/>
        <v>0</v>
      </c>
      <c r="E118" s="66">
        <f t="shared" si="36"/>
        <v>0</v>
      </c>
      <c r="F118" s="66">
        <f t="shared" si="36"/>
        <v>0</v>
      </c>
      <c r="G118" s="66">
        <f t="shared" si="36"/>
        <v>0</v>
      </c>
      <c r="H118" s="66">
        <f t="shared" si="36"/>
        <v>0</v>
      </c>
      <c r="I118" s="66">
        <f t="shared" si="36"/>
        <v>0</v>
      </c>
      <c r="J118" s="66">
        <f t="shared" si="36"/>
        <v>0</v>
      </c>
      <c r="K118" s="66">
        <f t="shared" si="36"/>
        <v>0</v>
      </c>
      <c r="L118" s="66">
        <f t="shared" si="36"/>
        <v>0</v>
      </c>
      <c r="M118" s="66">
        <f t="shared" si="36"/>
        <v>0</v>
      </c>
      <c r="N118" s="66">
        <f t="shared" si="36"/>
        <v>0</v>
      </c>
      <c r="O118" s="66">
        <f t="shared" si="36"/>
        <v>0</v>
      </c>
      <c r="P118" s="66">
        <f t="shared" si="36"/>
        <v>0</v>
      </c>
      <c r="Q118" s="66">
        <f t="shared" si="36"/>
        <v>0</v>
      </c>
      <c r="R118" s="66">
        <f t="shared" si="36"/>
        <v>0</v>
      </c>
      <c r="S118" s="66">
        <f t="shared" si="36"/>
        <v>0</v>
      </c>
      <c r="T118" s="66">
        <f t="shared" si="36"/>
        <v>0</v>
      </c>
      <c r="U118" s="66">
        <f t="shared" si="36"/>
        <v>0</v>
      </c>
      <c r="V118" s="66">
        <f t="shared" si="36"/>
        <v>0</v>
      </c>
      <c r="W118" s="66">
        <f t="shared" si="36"/>
        <v>0</v>
      </c>
      <c r="X118" s="66">
        <f t="shared" si="36"/>
        <v>0</v>
      </c>
      <c r="Y118" s="66">
        <f t="shared" si="36"/>
        <v>0</v>
      </c>
      <c r="Z118" s="66">
        <f t="shared" si="36"/>
        <v>0</v>
      </c>
      <c r="AA118" s="66">
        <f t="shared" si="36"/>
        <v>0</v>
      </c>
      <c r="AB118" s="66">
        <f t="shared" si="36"/>
        <v>0</v>
      </c>
      <c r="AC118" s="66">
        <f t="shared" si="36"/>
        <v>0</v>
      </c>
      <c r="AD118" s="66">
        <f t="shared" si="36"/>
        <v>0</v>
      </c>
      <c r="AE118" s="66">
        <f t="shared" si="36"/>
        <v>0</v>
      </c>
      <c r="AF118" s="66">
        <f t="shared" si="36"/>
        <v>0</v>
      </c>
      <c r="AG118" s="99">
        <f>SUM(AG107:AG117)</f>
        <v>0</v>
      </c>
      <c r="AH118" s="45">
        <f t="shared" si="27"/>
        <v>0</v>
      </c>
      <c r="AI118" s="46">
        <f t="shared" si="28"/>
        <v>0</v>
      </c>
      <c r="AJ118" s="100">
        <f t="array" ref="AJ118">MIN(IF(B118:AF118&lt;&gt;0,B118:AF118))</f>
        <v>0</v>
      </c>
      <c r="BF118" s="77"/>
      <c r="BG118" s="77">
        <v>0</v>
      </c>
      <c r="BH118" s="77">
        <v>0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7"/>
        <v>0</v>
      </c>
      <c r="AI119" s="46">
        <f t="shared" si="28"/>
        <v>0</v>
      </c>
      <c r="BF119" s="77"/>
      <c r="BG119" s="77">
        <v>0</v>
      </c>
      <c r="BH119" s="77">
        <v>0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7"/>
        <v>0</v>
      </c>
      <c r="AI120" s="46">
        <f t="shared" si="28"/>
        <v>0</v>
      </c>
      <c r="BF120" s="77"/>
      <c r="BG120" s="77">
        <v>0</v>
      </c>
      <c r="BH120" s="77">
        <v>0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7"/>
        <v>0</v>
      </c>
      <c r="AI121" s="46">
        <f t="shared" si="28"/>
        <v>0</v>
      </c>
      <c r="BF121" s="77"/>
      <c r="BG121" s="77">
        <v>0</v>
      </c>
      <c r="BH121" s="77">
        <v>0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7"/>
        <v>0</v>
      </c>
      <c r="AI122" s="46">
        <f t="shared" si="28"/>
        <v>0</v>
      </c>
      <c r="BF122" s="76"/>
      <c r="BG122" s="77">
        <v>0</v>
      </c>
      <c r="BH122" s="77">
        <v>0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AG123" si="37">B81+B88+B106+B102+B118+B122</f>
        <v>252</v>
      </c>
      <c r="C123" s="102">
        <f t="shared" si="37"/>
        <v>252</v>
      </c>
      <c r="D123" s="102">
        <f t="shared" si="37"/>
        <v>252</v>
      </c>
      <c r="E123" s="102">
        <f t="shared" si="37"/>
        <v>252</v>
      </c>
      <c r="F123" s="102">
        <f t="shared" si="37"/>
        <v>252</v>
      </c>
      <c r="G123" s="102">
        <f t="shared" si="37"/>
        <v>252</v>
      </c>
      <c r="H123" s="102">
        <f t="shared" si="37"/>
        <v>252</v>
      </c>
      <c r="I123" s="102">
        <f t="shared" si="37"/>
        <v>252</v>
      </c>
      <c r="J123" s="102">
        <f t="shared" si="37"/>
        <v>252</v>
      </c>
      <c r="K123" s="102">
        <f t="shared" si="37"/>
        <v>252</v>
      </c>
      <c r="L123" s="102">
        <f t="shared" si="37"/>
        <v>252</v>
      </c>
      <c r="M123" s="102">
        <f t="shared" si="37"/>
        <v>252</v>
      </c>
      <c r="N123" s="102">
        <f t="shared" si="37"/>
        <v>252</v>
      </c>
      <c r="O123" s="102">
        <f t="shared" si="37"/>
        <v>252</v>
      </c>
      <c r="P123" s="102">
        <f t="shared" si="37"/>
        <v>252</v>
      </c>
      <c r="Q123" s="102">
        <f t="shared" si="37"/>
        <v>2190.3999999999996</v>
      </c>
      <c r="R123" s="102">
        <f t="shared" si="37"/>
        <v>2215.7999999999997</v>
      </c>
      <c r="S123" s="102">
        <f t="shared" si="37"/>
        <v>252</v>
      </c>
      <c r="T123" s="102">
        <f t="shared" si="37"/>
        <v>252</v>
      </c>
      <c r="U123" s="102">
        <f t="shared" si="37"/>
        <v>252</v>
      </c>
      <c r="V123" s="102">
        <f t="shared" si="37"/>
        <v>252</v>
      </c>
      <c r="W123" s="102">
        <f t="shared" si="37"/>
        <v>252</v>
      </c>
      <c r="X123" s="102">
        <f t="shared" si="37"/>
        <v>252</v>
      </c>
      <c r="Y123" s="102">
        <f t="shared" si="37"/>
        <v>252</v>
      </c>
      <c r="Z123" s="102">
        <f t="shared" si="37"/>
        <v>252</v>
      </c>
      <c r="AA123" s="102">
        <f t="shared" si="37"/>
        <v>252</v>
      </c>
      <c r="AB123" s="102">
        <f t="shared" si="37"/>
        <v>252</v>
      </c>
      <c r="AC123" s="102">
        <f t="shared" si="37"/>
        <v>252</v>
      </c>
      <c r="AD123" s="102">
        <f t="shared" si="37"/>
        <v>252</v>
      </c>
      <c r="AE123" s="102">
        <f t="shared" si="37"/>
        <v>252</v>
      </c>
      <c r="AF123" s="102">
        <f t="shared" si="37"/>
        <v>252</v>
      </c>
      <c r="AG123" s="75">
        <f t="shared" si="37"/>
        <v>4132.0374000000002</v>
      </c>
      <c r="AH123" s="45">
        <f t="shared" si="27"/>
        <v>2215.7999999999997</v>
      </c>
      <c r="AI123" s="46">
        <f t="shared" si="28"/>
        <v>252</v>
      </c>
      <c r="BF123" s="76"/>
      <c r="BG123" s="77">
        <v>0</v>
      </c>
      <c r="BH123" s="77">
        <v>0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7"/>
        <v>0</v>
      </c>
      <c r="AI124" s="46">
        <f t="shared" si="28"/>
        <v>0</v>
      </c>
      <c r="BF124" s="76"/>
      <c r="BG124" s="77">
        <v>0</v>
      </c>
      <c r="BH124" s="77">
        <v>0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>B123+B124</f>
        <v>252</v>
      </c>
      <c r="C125" s="102">
        <f t="shared" ref="C125:AF125" si="38">C123+C124</f>
        <v>252</v>
      </c>
      <c r="D125" s="102">
        <f t="shared" si="38"/>
        <v>252</v>
      </c>
      <c r="E125" s="102">
        <f t="shared" si="38"/>
        <v>252</v>
      </c>
      <c r="F125" s="102">
        <f t="shared" si="38"/>
        <v>252</v>
      </c>
      <c r="G125" s="102">
        <f t="shared" si="38"/>
        <v>252</v>
      </c>
      <c r="H125" s="102">
        <f t="shared" si="38"/>
        <v>252</v>
      </c>
      <c r="I125" s="102">
        <f t="shared" si="38"/>
        <v>252</v>
      </c>
      <c r="J125" s="102">
        <f t="shared" si="38"/>
        <v>252</v>
      </c>
      <c r="K125" s="102">
        <f t="shared" si="38"/>
        <v>252</v>
      </c>
      <c r="L125" s="102">
        <f t="shared" si="38"/>
        <v>252</v>
      </c>
      <c r="M125" s="102">
        <f t="shared" si="38"/>
        <v>252</v>
      </c>
      <c r="N125" s="102">
        <f t="shared" si="38"/>
        <v>252</v>
      </c>
      <c r="O125" s="102">
        <f t="shared" si="38"/>
        <v>252</v>
      </c>
      <c r="P125" s="102">
        <f t="shared" si="38"/>
        <v>252</v>
      </c>
      <c r="Q125" s="102">
        <f t="shared" si="38"/>
        <v>2190.3999999999996</v>
      </c>
      <c r="R125" s="102">
        <f t="shared" si="38"/>
        <v>2215.7999999999997</v>
      </c>
      <c r="S125" s="102">
        <f t="shared" si="38"/>
        <v>252</v>
      </c>
      <c r="T125" s="102">
        <f t="shared" si="38"/>
        <v>252</v>
      </c>
      <c r="U125" s="102">
        <f t="shared" si="38"/>
        <v>252</v>
      </c>
      <c r="V125" s="102">
        <f t="shared" si="38"/>
        <v>252</v>
      </c>
      <c r="W125" s="102">
        <f t="shared" si="38"/>
        <v>252</v>
      </c>
      <c r="X125" s="102">
        <f t="shared" si="38"/>
        <v>252</v>
      </c>
      <c r="Y125" s="102">
        <f t="shared" si="38"/>
        <v>252</v>
      </c>
      <c r="Z125" s="102">
        <f t="shared" si="38"/>
        <v>252</v>
      </c>
      <c r="AA125" s="102">
        <f t="shared" si="38"/>
        <v>252</v>
      </c>
      <c r="AB125" s="102">
        <f t="shared" si="38"/>
        <v>252</v>
      </c>
      <c r="AC125" s="102">
        <f t="shared" si="38"/>
        <v>252</v>
      </c>
      <c r="AD125" s="102">
        <f t="shared" si="38"/>
        <v>252</v>
      </c>
      <c r="AE125" s="102">
        <f t="shared" si="38"/>
        <v>252</v>
      </c>
      <c r="AF125" s="102">
        <f t="shared" si="38"/>
        <v>252</v>
      </c>
      <c r="AG125" s="99">
        <f>AG122+AG118+AG106+AG102+AG81+AG124</f>
        <v>3383.6374000000001</v>
      </c>
      <c r="AH125" s="45">
        <f t="shared" si="27"/>
        <v>2215.7999999999997</v>
      </c>
      <c r="AI125" s="46">
        <f t="shared" si="28"/>
        <v>252</v>
      </c>
      <c r="BF125" s="76"/>
      <c r="BG125" s="77">
        <v>0</v>
      </c>
      <c r="BH125" s="77">
        <v>0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>B125-(B133)</f>
        <v>252</v>
      </c>
      <c r="C126" s="102">
        <f t="shared" ref="C126:AF126" si="39">C125-(C133)</f>
        <v>252</v>
      </c>
      <c r="D126" s="102">
        <f t="shared" si="39"/>
        <v>252</v>
      </c>
      <c r="E126" s="102">
        <f t="shared" si="39"/>
        <v>252</v>
      </c>
      <c r="F126" s="102">
        <f t="shared" si="39"/>
        <v>252</v>
      </c>
      <c r="G126" s="102">
        <f t="shared" si="39"/>
        <v>252</v>
      </c>
      <c r="H126" s="102">
        <f t="shared" si="39"/>
        <v>252</v>
      </c>
      <c r="I126" s="102">
        <f t="shared" si="39"/>
        <v>252</v>
      </c>
      <c r="J126" s="102">
        <f t="shared" si="39"/>
        <v>252</v>
      </c>
      <c r="K126" s="102">
        <f t="shared" si="39"/>
        <v>252</v>
      </c>
      <c r="L126" s="102">
        <f t="shared" si="39"/>
        <v>252</v>
      </c>
      <c r="M126" s="102">
        <f t="shared" si="39"/>
        <v>252</v>
      </c>
      <c r="N126" s="102">
        <f t="shared" si="39"/>
        <v>252</v>
      </c>
      <c r="O126" s="102">
        <f t="shared" si="39"/>
        <v>252</v>
      </c>
      <c r="P126" s="102">
        <f t="shared" si="39"/>
        <v>252</v>
      </c>
      <c r="Q126" s="102">
        <f t="shared" si="39"/>
        <v>1572.8999999999996</v>
      </c>
      <c r="R126" s="102">
        <f t="shared" si="39"/>
        <v>1679.3999999999996</v>
      </c>
      <c r="S126" s="102">
        <f t="shared" si="39"/>
        <v>252</v>
      </c>
      <c r="T126" s="102">
        <f t="shared" si="39"/>
        <v>252</v>
      </c>
      <c r="U126" s="102">
        <f t="shared" si="39"/>
        <v>252</v>
      </c>
      <c r="V126" s="102">
        <f t="shared" si="39"/>
        <v>252</v>
      </c>
      <c r="W126" s="102">
        <f t="shared" si="39"/>
        <v>252</v>
      </c>
      <c r="X126" s="102">
        <f t="shared" si="39"/>
        <v>252</v>
      </c>
      <c r="Y126" s="102">
        <f t="shared" si="39"/>
        <v>252</v>
      </c>
      <c r="Z126" s="102">
        <f t="shared" si="39"/>
        <v>252</v>
      </c>
      <c r="AA126" s="102">
        <f t="shared" si="39"/>
        <v>252</v>
      </c>
      <c r="AB126" s="102">
        <f t="shared" si="39"/>
        <v>252</v>
      </c>
      <c r="AC126" s="102">
        <f t="shared" si="39"/>
        <v>252</v>
      </c>
      <c r="AD126" s="102">
        <f t="shared" si="39"/>
        <v>252</v>
      </c>
      <c r="AE126" s="102">
        <f t="shared" si="39"/>
        <v>252</v>
      </c>
      <c r="AF126" s="102">
        <f t="shared" si="39"/>
        <v>252</v>
      </c>
      <c r="AG126" s="99"/>
      <c r="AH126" s="45">
        <f t="shared" si="27"/>
        <v>1679.3999999999996</v>
      </c>
      <c r="AI126" s="46">
        <f t="shared" si="28"/>
        <v>252</v>
      </c>
      <c r="BF126" s="76"/>
      <c r="BG126" s="77">
        <v>0</v>
      </c>
      <c r="BH126" s="77">
        <v>0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AF132" si="40">IF(B107&lt;0,B107*-1,0)</f>
        <v>0</v>
      </c>
      <c r="C127" s="88">
        <f t="shared" si="40"/>
        <v>0</v>
      </c>
      <c r="D127" s="88">
        <f t="shared" si="40"/>
        <v>0</v>
      </c>
      <c r="E127" s="88">
        <f t="shared" si="40"/>
        <v>0</v>
      </c>
      <c r="F127" s="88">
        <f t="shared" si="40"/>
        <v>0</v>
      </c>
      <c r="G127" s="88">
        <f t="shared" si="40"/>
        <v>0</v>
      </c>
      <c r="H127" s="88">
        <f t="shared" si="40"/>
        <v>0</v>
      </c>
      <c r="I127" s="88">
        <f t="shared" si="40"/>
        <v>0</v>
      </c>
      <c r="J127" s="88">
        <f t="shared" si="40"/>
        <v>0</v>
      </c>
      <c r="K127" s="88">
        <f t="shared" si="40"/>
        <v>0</v>
      </c>
      <c r="L127" s="88">
        <f t="shared" si="40"/>
        <v>0</v>
      </c>
      <c r="M127" s="88">
        <f t="shared" si="40"/>
        <v>0</v>
      </c>
      <c r="N127" s="88">
        <f t="shared" si="40"/>
        <v>0</v>
      </c>
      <c r="O127" s="88">
        <f t="shared" si="40"/>
        <v>0</v>
      </c>
      <c r="P127" s="88">
        <f t="shared" si="40"/>
        <v>0</v>
      </c>
      <c r="Q127" s="88">
        <f t="shared" si="40"/>
        <v>385.3</v>
      </c>
      <c r="R127" s="88">
        <f t="shared" si="40"/>
        <v>312</v>
      </c>
      <c r="S127" s="88">
        <f t="shared" si="40"/>
        <v>0</v>
      </c>
      <c r="T127" s="88">
        <f t="shared" si="40"/>
        <v>0</v>
      </c>
      <c r="U127" s="88">
        <f t="shared" si="40"/>
        <v>0</v>
      </c>
      <c r="V127" s="88">
        <f t="shared" si="40"/>
        <v>0</v>
      </c>
      <c r="W127" s="88">
        <f t="shared" si="40"/>
        <v>0</v>
      </c>
      <c r="X127" s="88">
        <f t="shared" si="40"/>
        <v>0</v>
      </c>
      <c r="Y127" s="88">
        <f t="shared" si="40"/>
        <v>0</v>
      </c>
      <c r="Z127" s="88">
        <f t="shared" si="40"/>
        <v>0</v>
      </c>
      <c r="AA127" s="88">
        <f t="shared" si="40"/>
        <v>0</v>
      </c>
      <c r="AB127" s="88">
        <f t="shared" si="40"/>
        <v>0</v>
      </c>
      <c r="AC127" s="88">
        <f t="shared" si="40"/>
        <v>0</v>
      </c>
      <c r="AD127" s="88">
        <f t="shared" si="40"/>
        <v>0</v>
      </c>
      <c r="AE127" s="88">
        <f t="shared" si="40"/>
        <v>0</v>
      </c>
      <c r="AF127" s="88">
        <f t="shared" si="40"/>
        <v>0</v>
      </c>
      <c r="AG127" s="59"/>
      <c r="AH127" s="45">
        <f t="shared" si="27"/>
        <v>385.3</v>
      </c>
      <c r="AI127" s="46">
        <f t="shared" si="28"/>
        <v>0</v>
      </c>
      <c r="BG127" s="77">
        <v>0</v>
      </c>
      <c r="BH127" s="77">
        <v>0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40"/>
        <v>0</v>
      </c>
      <c r="C128" s="88">
        <f t="shared" si="40"/>
        <v>0</v>
      </c>
      <c r="D128" s="88">
        <f t="shared" si="40"/>
        <v>0</v>
      </c>
      <c r="E128" s="88">
        <f t="shared" si="40"/>
        <v>0</v>
      </c>
      <c r="F128" s="88">
        <f t="shared" si="40"/>
        <v>0</v>
      </c>
      <c r="G128" s="88">
        <f t="shared" si="40"/>
        <v>0</v>
      </c>
      <c r="H128" s="88">
        <f t="shared" si="40"/>
        <v>0</v>
      </c>
      <c r="I128" s="88">
        <f t="shared" si="40"/>
        <v>0</v>
      </c>
      <c r="J128" s="88">
        <f t="shared" si="40"/>
        <v>0</v>
      </c>
      <c r="K128" s="88">
        <f t="shared" si="40"/>
        <v>0</v>
      </c>
      <c r="L128" s="88">
        <f t="shared" si="40"/>
        <v>0</v>
      </c>
      <c r="M128" s="88">
        <f t="shared" si="40"/>
        <v>0</v>
      </c>
      <c r="N128" s="88">
        <f t="shared" si="40"/>
        <v>0</v>
      </c>
      <c r="O128" s="88">
        <f t="shared" si="40"/>
        <v>0</v>
      </c>
      <c r="P128" s="88">
        <f t="shared" si="40"/>
        <v>0</v>
      </c>
      <c r="Q128" s="88">
        <f t="shared" si="40"/>
        <v>202</v>
      </c>
      <c r="R128" s="88">
        <f t="shared" si="40"/>
        <v>186</v>
      </c>
      <c r="S128" s="88">
        <f t="shared" si="40"/>
        <v>0</v>
      </c>
      <c r="T128" s="88">
        <f t="shared" si="40"/>
        <v>0</v>
      </c>
      <c r="U128" s="88">
        <f t="shared" si="40"/>
        <v>0</v>
      </c>
      <c r="V128" s="88">
        <f t="shared" si="40"/>
        <v>0</v>
      </c>
      <c r="W128" s="88">
        <f t="shared" si="40"/>
        <v>0</v>
      </c>
      <c r="X128" s="88">
        <f t="shared" si="40"/>
        <v>0</v>
      </c>
      <c r="Y128" s="88">
        <f t="shared" si="40"/>
        <v>0</v>
      </c>
      <c r="Z128" s="88">
        <f t="shared" si="40"/>
        <v>0</v>
      </c>
      <c r="AA128" s="88">
        <f t="shared" si="40"/>
        <v>0</v>
      </c>
      <c r="AB128" s="88">
        <f t="shared" si="40"/>
        <v>0</v>
      </c>
      <c r="AC128" s="88">
        <f t="shared" si="40"/>
        <v>0</v>
      </c>
      <c r="AD128" s="88">
        <f t="shared" si="40"/>
        <v>0</v>
      </c>
      <c r="AE128" s="88">
        <f t="shared" si="40"/>
        <v>0</v>
      </c>
      <c r="AF128" s="88">
        <f t="shared" si="40"/>
        <v>0</v>
      </c>
      <c r="AG128" s="61"/>
      <c r="AH128" s="45">
        <f t="shared" si="27"/>
        <v>202</v>
      </c>
      <c r="AI128" s="46">
        <f t="shared" si="28"/>
        <v>0</v>
      </c>
      <c r="AK128" s="47"/>
      <c r="BG128" s="77">
        <v>0</v>
      </c>
      <c r="BH128" s="77">
        <v>0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40"/>
        <v>0</v>
      </c>
      <c r="C129" s="88">
        <f t="shared" si="40"/>
        <v>0</v>
      </c>
      <c r="D129" s="88">
        <f t="shared" si="40"/>
        <v>0</v>
      </c>
      <c r="E129" s="88">
        <f t="shared" si="40"/>
        <v>0</v>
      </c>
      <c r="F129" s="88">
        <f t="shared" si="40"/>
        <v>0</v>
      </c>
      <c r="G129" s="88">
        <f t="shared" si="40"/>
        <v>0</v>
      </c>
      <c r="H129" s="88">
        <f t="shared" si="40"/>
        <v>0</v>
      </c>
      <c r="I129" s="88">
        <f t="shared" si="40"/>
        <v>0</v>
      </c>
      <c r="J129" s="88">
        <f t="shared" si="40"/>
        <v>0</v>
      </c>
      <c r="K129" s="88">
        <f t="shared" si="40"/>
        <v>0</v>
      </c>
      <c r="L129" s="88">
        <f t="shared" si="40"/>
        <v>0</v>
      </c>
      <c r="M129" s="88">
        <f t="shared" si="40"/>
        <v>0</v>
      </c>
      <c r="N129" s="88">
        <f t="shared" si="40"/>
        <v>0</v>
      </c>
      <c r="O129" s="88">
        <f t="shared" si="40"/>
        <v>0</v>
      </c>
      <c r="P129" s="88">
        <f t="shared" si="40"/>
        <v>0</v>
      </c>
      <c r="Q129" s="88">
        <f t="shared" si="40"/>
        <v>0</v>
      </c>
      <c r="R129" s="88">
        <f t="shared" si="40"/>
        <v>0</v>
      </c>
      <c r="S129" s="88">
        <f t="shared" si="40"/>
        <v>0</v>
      </c>
      <c r="T129" s="88">
        <f t="shared" si="40"/>
        <v>0</v>
      </c>
      <c r="U129" s="88">
        <f t="shared" si="40"/>
        <v>0</v>
      </c>
      <c r="V129" s="88">
        <f t="shared" si="40"/>
        <v>0</v>
      </c>
      <c r="W129" s="88">
        <f t="shared" si="40"/>
        <v>0</v>
      </c>
      <c r="X129" s="88">
        <f t="shared" si="40"/>
        <v>0</v>
      </c>
      <c r="Y129" s="88">
        <f t="shared" si="40"/>
        <v>0</v>
      </c>
      <c r="Z129" s="88">
        <f t="shared" si="40"/>
        <v>0</v>
      </c>
      <c r="AA129" s="88">
        <f t="shared" si="40"/>
        <v>0</v>
      </c>
      <c r="AB129" s="88">
        <f t="shared" si="40"/>
        <v>0</v>
      </c>
      <c r="AC129" s="88">
        <f t="shared" si="40"/>
        <v>0</v>
      </c>
      <c r="AD129" s="88">
        <f t="shared" si="40"/>
        <v>0</v>
      </c>
      <c r="AE129" s="88">
        <f t="shared" si="40"/>
        <v>0</v>
      </c>
      <c r="AF129" s="88">
        <f t="shared" si="40"/>
        <v>0</v>
      </c>
      <c r="AG129" s="105"/>
      <c r="AH129" s="45">
        <f t="shared" si="27"/>
        <v>0</v>
      </c>
      <c r="AI129" s="46">
        <f t="shared" si="28"/>
        <v>0</v>
      </c>
    </row>
    <row r="130" spans="1:41" x14ac:dyDescent="0.25">
      <c r="A130" s="91" t="s">
        <v>63</v>
      </c>
      <c r="B130" s="88">
        <f t="shared" si="40"/>
        <v>0</v>
      </c>
      <c r="C130" s="88">
        <f t="shared" si="40"/>
        <v>0</v>
      </c>
      <c r="D130" s="88">
        <f t="shared" si="40"/>
        <v>0</v>
      </c>
      <c r="E130" s="88">
        <f t="shared" si="40"/>
        <v>0</v>
      </c>
      <c r="F130" s="88">
        <f t="shared" si="40"/>
        <v>0</v>
      </c>
      <c r="G130" s="88">
        <f t="shared" si="40"/>
        <v>0</v>
      </c>
      <c r="H130" s="88">
        <f t="shared" si="40"/>
        <v>0</v>
      </c>
      <c r="I130" s="88">
        <f t="shared" si="40"/>
        <v>0</v>
      </c>
      <c r="J130" s="88">
        <f t="shared" si="40"/>
        <v>0</v>
      </c>
      <c r="K130" s="88">
        <f t="shared" si="40"/>
        <v>0</v>
      </c>
      <c r="L130" s="88">
        <f t="shared" si="40"/>
        <v>0</v>
      </c>
      <c r="M130" s="88">
        <f t="shared" si="40"/>
        <v>0</v>
      </c>
      <c r="N130" s="88">
        <f t="shared" si="40"/>
        <v>0</v>
      </c>
      <c r="O130" s="88">
        <f t="shared" si="40"/>
        <v>0</v>
      </c>
      <c r="P130" s="88">
        <f t="shared" si="40"/>
        <v>0</v>
      </c>
      <c r="Q130" s="88">
        <f t="shared" si="40"/>
        <v>0</v>
      </c>
      <c r="R130" s="88">
        <f t="shared" si="40"/>
        <v>0</v>
      </c>
      <c r="S130" s="88">
        <f t="shared" si="40"/>
        <v>0</v>
      </c>
      <c r="T130" s="88">
        <f t="shared" si="40"/>
        <v>0</v>
      </c>
      <c r="U130" s="88">
        <f t="shared" si="40"/>
        <v>0</v>
      </c>
      <c r="V130" s="88">
        <f t="shared" si="40"/>
        <v>0</v>
      </c>
      <c r="W130" s="88">
        <f t="shared" si="40"/>
        <v>0</v>
      </c>
      <c r="X130" s="88">
        <f t="shared" si="40"/>
        <v>0</v>
      </c>
      <c r="Y130" s="88">
        <f t="shared" si="40"/>
        <v>0</v>
      </c>
      <c r="Z130" s="88">
        <f t="shared" si="40"/>
        <v>0</v>
      </c>
      <c r="AA130" s="88">
        <f t="shared" si="40"/>
        <v>0</v>
      </c>
      <c r="AB130" s="88">
        <f t="shared" si="40"/>
        <v>0</v>
      </c>
      <c r="AC130" s="88">
        <f t="shared" si="40"/>
        <v>0</v>
      </c>
      <c r="AD130" s="88">
        <f t="shared" si="40"/>
        <v>0</v>
      </c>
      <c r="AE130" s="88">
        <f t="shared" si="40"/>
        <v>0</v>
      </c>
      <c r="AF130" s="88">
        <f t="shared" si="40"/>
        <v>0</v>
      </c>
      <c r="AG130" s="105"/>
      <c r="AH130" s="45">
        <f t="shared" si="27"/>
        <v>0</v>
      </c>
      <c r="AI130" s="46">
        <f t="shared" si="28"/>
        <v>0</v>
      </c>
    </row>
    <row r="131" spans="1:41" x14ac:dyDescent="0.25">
      <c r="A131" s="91" t="s">
        <v>65</v>
      </c>
      <c r="B131" s="88">
        <f t="shared" si="40"/>
        <v>0</v>
      </c>
      <c r="C131" s="88">
        <f t="shared" si="40"/>
        <v>0</v>
      </c>
      <c r="D131" s="88">
        <f t="shared" si="40"/>
        <v>0</v>
      </c>
      <c r="E131" s="88">
        <f t="shared" si="40"/>
        <v>0</v>
      </c>
      <c r="F131" s="88">
        <f t="shared" si="40"/>
        <v>0</v>
      </c>
      <c r="G131" s="88">
        <f t="shared" si="40"/>
        <v>0</v>
      </c>
      <c r="H131" s="88">
        <f t="shared" si="40"/>
        <v>0</v>
      </c>
      <c r="I131" s="88">
        <f t="shared" si="40"/>
        <v>0</v>
      </c>
      <c r="J131" s="88">
        <f t="shared" si="40"/>
        <v>0</v>
      </c>
      <c r="K131" s="88">
        <f t="shared" si="40"/>
        <v>0</v>
      </c>
      <c r="L131" s="88">
        <f t="shared" si="40"/>
        <v>0</v>
      </c>
      <c r="M131" s="88">
        <f t="shared" si="40"/>
        <v>0</v>
      </c>
      <c r="N131" s="88">
        <f t="shared" si="40"/>
        <v>0</v>
      </c>
      <c r="O131" s="88">
        <f t="shared" si="40"/>
        <v>0</v>
      </c>
      <c r="P131" s="88">
        <f t="shared" si="40"/>
        <v>0</v>
      </c>
      <c r="Q131" s="88">
        <f t="shared" si="40"/>
        <v>0</v>
      </c>
      <c r="R131" s="88">
        <f t="shared" si="40"/>
        <v>0</v>
      </c>
      <c r="S131" s="88">
        <f t="shared" si="40"/>
        <v>0</v>
      </c>
      <c r="T131" s="88">
        <f t="shared" si="40"/>
        <v>0</v>
      </c>
      <c r="U131" s="88">
        <f t="shared" si="40"/>
        <v>0</v>
      </c>
      <c r="V131" s="88">
        <f t="shared" si="40"/>
        <v>0</v>
      </c>
      <c r="W131" s="88">
        <f t="shared" si="40"/>
        <v>0</v>
      </c>
      <c r="X131" s="88">
        <f t="shared" si="40"/>
        <v>0</v>
      </c>
      <c r="Y131" s="88">
        <f t="shared" si="40"/>
        <v>0</v>
      </c>
      <c r="Z131" s="88">
        <f t="shared" si="40"/>
        <v>0</v>
      </c>
      <c r="AA131" s="88">
        <f t="shared" si="40"/>
        <v>0</v>
      </c>
      <c r="AB131" s="88">
        <f t="shared" si="40"/>
        <v>0</v>
      </c>
      <c r="AC131" s="88">
        <f t="shared" si="40"/>
        <v>0</v>
      </c>
      <c r="AD131" s="88">
        <f t="shared" si="40"/>
        <v>0</v>
      </c>
      <c r="AE131" s="88">
        <f t="shared" si="40"/>
        <v>0</v>
      </c>
      <c r="AF131" s="88">
        <f t="shared" si="40"/>
        <v>0</v>
      </c>
      <c r="AG131" s="105"/>
      <c r="AH131" s="45">
        <f t="shared" si="27"/>
        <v>0</v>
      </c>
      <c r="AI131" s="46">
        <f t="shared" si="28"/>
        <v>0</v>
      </c>
    </row>
    <row r="132" spans="1:41" ht="15.75" thickBot="1" x14ac:dyDescent="0.3">
      <c r="A132" s="91" t="s">
        <v>67</v>
      </c>
      <c r="B132" s="88">
        <f t="shared" si="40"/>
        <v>0</v>
      </c>
      <c r="C132" s="88">
        <f t="shared" si="40"/>
        <v>0</v>
      </c>
      <c r="D132" s="88">
        <f t="shared" si="40"/>
        <v>0</v>
      </c>
      <c r="E132" s="88">
        <f t="shared" si="40"/>
        <v>0</v>
      </c>
      <c r="F132" s="88">
        <f t="shared" si="40"/>
        <v>0</v>
      </c>
      <c r="G132" s="88">
        <f t="shared" si="40"/>
        <v>0</v>
      </c>
      <c r="H132" s="88">
        <f t="shared" si="40"/>
        <v>0</v>
      </c>
      <c r="I132" s="88">
        <f t="shared" si="40"/>
        <v>0</v>
      </c>
      <c r="J132" s="88">
        <f t="shared" si="40"/>
        <v>0</v>
      </c>
      <c r="K132" s="88">
        <f t="shared" si="40"/>
        <v>0</v>
      </c>
      <c r="L132" s="88">
        <f t="shared" si="40"/>
        <v>0</v>
      </c>
      <c r="M132" s="88">
        <f t="shared" si="40"/>
        <v>0</v>
      </c>
      <c r="N132" s="88">
        <f t="shared" si="40"/>
        <v>0</v>
      </c>
      <c r="O132" s="88">
        <f t="shared" si="40"/>
        <v>0</v>
      </c>
      <c r="P132" s="88">
        <f t="shared" si="40"/>
        <v>0</v>
      </c>
      <c r="Q132" s="88">
        <f t="shared" si="40"/>
        <v>30.2</v>
      </c>
      <c r="R132" s="88">
        <f t="shared" si="40"/>
        <v>38.4</v>
      </c>
      <c r="S132" s="88">
        <f t="shared" si="40"/>
        <v>0</v>
      </c>
      <c r="T132" s="88">
        <f t="shared" si="40"/>
        <v>0</v>
      </c>
      <c r="U132" s="88">
        <f t="shared" si="40"/>
        <v>0</v>
      </c>
      <c r="V132" s="88">
        <f t="shared" si="40"/>
        <v>0</v>
      </c>
      <c r="W132" s="88">
        <f t="shared" si="40"/>
        <v>0</v>
      </c>
      <c r="X132" s="88">
        <f t="shared" si="40"/>
        <v>0</v>
      </c>
      <c r="Y132" s="88">
        <f t="shared" si="40"/>
        <v>0</v>
      </c>
      <c r="Z132" s="88">
        <f t="shared" si="40"/>
        <v>0</v>
      </c>
      <c r="AA132" s="88">
        <f t="shared" si="40"/>
        <v>0</v>
      </c>
      <c r="AB132" s="88">
        <f t="shared" si="40"/>
        <v>0</v>
      </c>
      <c r="AC132" s="88">
        <f t="shared" si="40"/>
        <v>0</v>
      </c>
      <c r="AD132" s="88">
        <f t="shared" si="40"/>
        <v>0</v>
      </c>
      <c r="AE132" s="88">
        <f t="shared" si="40"/>
        <v>0</v>
      </c>
      <c r="AF132" s="88">
        <f t="shared" si="40"/>
        <v>0</v>
      </c>
      <c r="AG132" s="98"/>
      <c r="AH132" s="45">
        <f t="shared" si="27"/>
        <v>38.4</v>
      </c>
      <c r="AI132" s="46">
        <f t="shared" si="28"/>
        <v>0</v>
      </c>
    </row>
    <row r="133" spans="1:41" ht="15.75" thickBot="1" x14ac:dyDescent="0.3">
      <c r="A133" s="106" t="s">
        <v>82</v>
      </c>
      <c r="B133" s="66">
        <f t="shared" ref="B133:AF133" si="41">SUM(B127:B132)</f>
        <v>0</v>
      </c>
      <c r="C133" s="66">
        <f t="shared" si="41"/>
        <v>0</v>
      </c>
      <c r="D133" s="66">
        <f t="shared" si="41"/>
        <v>0</v>
      </c>
      <c r="E133" s="66">
        <f t="shared" si="41"/>
        <v>0</v>
      </c>
      <c r="F133" s="66">
        <f t="shared" si="41"/>
        <v>0</v>
      </c>
      <c r="G133" s="66">
        <f t="shared" si="41"/>
        <v>0</v>
      </c>
      <c r="H133" s="66">
        <f t="shared" si="41"/>
        <v>0</v>
      </c>
      <c r="I133" s="66">
        <f t="shared" si="41"/>
        <v>0</v>
      </c>
      <c r="J133" s="66">
        <f t="shared" si="41"/>
        <v>0</v>
      </c>
      <c r="K133" s="66">
        <f t="shared" si="41"/>
        <v>0</v>
      </c>
      <c r="L133" s="66">
        <f t="shared" si="41"/>
        <v>0</v>
      </c>
      <c r="M133" s="66">
        <f t="shared" si="41"/>
        <v>0</v>
      </c>
      <c r="N133" s="66">
        <f t="shared" si="41"/>
        <v>0</v>
      </c>
      <c r="O133" s="66">
        <f t="shared" si="41"/>
        <v>0</v>
      </c>
      <c r="P133" s="66">
        <f t="shared" si="41"/>
        <v>0</v>
      </c>
      <c r="Q133" s="66">
        <f t="shared" si="41"/>
        <v>617.5</v>
      </c>
      <c r="R133" s="66">
        <f t="shared" si="41"/>
        <v>536.4</v>
      </c>
      <c r="S133" s="66">
        <f t="shared" si="41"/>
        <v>0</v>
      </c>
      <c r="T133" s="66">
        <f t="shared" si="41"/>
        <v>0</v>
      </c>
      <c r="U133" s="66">
        <f t="shared" si="41"/>
        <v>0</v>
      </c>
      <c r="V133" s="66">
        <f t="shared" si="41"/>
        <v>0</v>
      </c>
      <c r="W133" s="66">
        <f t="shared" si="41"/>
        <v>0</v>
      </c>
      <c r="X133" s="66">
        <f t="shared" si="41"/>
        <v>0</v>
      </c>
      <c r="Y133" s="66">
        <f t="shared" si="41"/>
        <v>0</v>
      </c>
      <c r="Z133" s="66">
        <f t="shared" si="41"/>
        <v>0</v>
      </c>
      <c r="AA133" s="66">
        <f t="shared" si="41"/>
        <v>0</v>
      </c>
      <c r="AB133" s="66">
        <f t="shared" si="41"/>
        <v>0</v>
      </c>
      <c r="AC133" s="66">
        <f t="shared" si="41"/>
        <v>0</v>
      </c>
      <c r="AD133" s="66">
        <f t="shared" si="41"/>
        <v>0</v>
      </c>
      <c r="AE133" s="66">
        <f t="shared" si="41"/>
        <v>0</v>
      </c>
      <c r="AF133" s="66">
        <f t="shared" si="41"/>
        <v>0</v>
      </c>
      <c r="AG133" s="99"/>
      <c r="AH133" s="45">
        <f t="shared" si="27"/>
        <v>617.5</v>
      </c>
      <c r="AI133" s="46">
        <f t="shared" si="28"/>
        <v>0</v>
      </c>
      <c r="AJ133" s="100">
        <f t="array" ref="AJ133">MIN(IF(B133:AF133&lt;&gt;0,B133:AF133))</f>
        <v>536.4</v>
      </c>
    </row>
    <row r="134" spans="1:41" ht="15.75" thickBot="1" x14ac:dyDescent="0.3">
      <c r="A134" s="82" t="s">
        <v>83</v>
      </c>
      <c r="B134" s="66">
        <f t="shared" ref="B134:AF134" si="42">B118-B133</f>
        <v>0</v>
      </c>
      <c r="C134" s="66">
        <f t="shared" si="42"/>
        <v>0</v>
      </c>
      <c r="D134" s="66">
        <f t="shared" si="42"/>
        <v>0</v>
      </c>
      <c r="E134" s="66">
        <f t="shared" si="42"/>
        <v>0</v>
      </c>
      <c r="F134" s="66">
        <f t="shared" si="42"/>
        <v>0</v>
      </c>
      <c r="G134" s="66">
        <f t="shared" si="42"/>
        <v>0</v>
      </c>
      <c r="H134" s="66">
        <f t="shared" si="42"/>
        <v>0</v>
      </c>
      <c r="I134" s="66">
        <f t="shared" si="42"/>
        <v>0</v>
      </c>
      <c r="J134" s="66">
        <f t="shared" si="42"/>
        <v>0</v>
      </c>
      <c r="K134" s="66">
        <f t="shared" si="42"/>
        <v>0</v>
      </c>
      <c r="L134" s="66">
        <f t="shared" si="42"/>
        <v>0</v>
      </c>
      <c r="M134" s="66">
        <f t="shared" si="42"/>
        <v>0</v>
      </c>
      <c r="N134" s="66">
        <f t="shared" si="42"/>
        <v>0</v>
      </c>
      <c r="O134" s="66">
        <f t="shared" si="42"/>
        <v>0</v>
      </c>
      <c r="P134" s="66">
        <f t="shared" si="42"/>
        <v>0</v>
      </c>
      <c r="Q134" s="66">
        <f t="shared" si="42"/>
        <v>-617.5</v>
      </c>
      <c r="R134" s="66">
        <f t="shared" si="42"/>
        <v>-536.4</v>
      </c>
      <c r="S134" s="66">
        <f t="shared" si="42"/>
        <v>0</v>
      </c>
      <c r="T134" s="66">
        <f t="shared" si="42"/>
        <v>0</v>
      </c>
      <c r="U134" s="66">
        <f t="shared" si="42"/>
        <v>0</v>
      </c>
      <c r="V134" s="66">
        <f t="shared" si="42"/>
        <v>0</v>
      </c>
      <c r="W134" s="66">
        <f t="shared" si="42"/>
        <v>0</v>
      </c>
      <c r="X134" s="66">
        <f t="shared" si="42"/>
        <v>0</v>
      </c>
      <c r="Y134" s="66">
        <f t="shared" si="42"/>
        <v>0</v>
      </c>
      <c r="Z134" s="66">
        <f t="shared" si="42"/>
        <v>0</v>
      </c>
      <c r="AA134" s="66">
        <f t="shared" si="42"/>
        <v>0</v>
      </c>
      <c r="AB134" s="66">
        <f t="shared" si="42"/>
        <v>0</v>
      </c>
      <c r="AC134" s="66">
        <f t="shared" si="42"/>
        <v>0</v>
      </c>
      <c r="AD134" s="66">
        <f t="shared" si="42"/>
        <v>0</v>
      </c>
      <c r="AE134" s="66">
        <f t="shared" si="42"/>
        <v>0</v>
      </c>
      <c r="AF134" s="66">
        <f t="shared" si="42"/>
        <v>0</v>
      </c>
      <c r="AG134" s="99"/>
      <c r="AH134" s="45">
        <f t="shared" si="27"/>
        <v>0</v>
      </c>
      <c r="AI134" s="46">
        <f t="shared" si="28"/>
        <v>-617.5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7"/>
        <v>0</v>
      </c>
      <c r="AI135" s="46">
        <f t="shared" si="28"/>
        <v>0</v>
      </c>
    </row>
    <row r="136" spans="1:41" x14ac:dyDescent="0.25">
      <c r="A136" s="110" t="s">
        <v>85</v>
      </c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>
        <v>50.045999999999999</v>
      </c>
      <c r="R136" s="111">
        <v>50.045999999999999</v>
      </c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2"/>
      <c r="AH136" s="45">
        <f t="shared" si="27"/>
        <v>50.045999999999999</v>
      </c>
      <c r="AI136" s="46">
        <f t="shared" si="28"/>
        <v>50.045999999999999</v>
      </c>
    </row>
    <row r="137" spans="1:41" x14ac:dyDescent="0.25">
      <c r="A137" s="113" t="s">
        <v>86</v>
      </c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>
        <v>131.9</v>
      </c>
      <c r="R137" s="43">
        <v>131.9</v>
      </c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114"/>
      <c r="AH137" s="45">
        <f t="shared" si="27"/>
        <v>131.9</v>
      </c>
      <c r="AI137" s="46">
        <f t="shared" si="28"/>
        <v>131.9</v>
      </c>
    </row>
    <row r="138" spans="1:41" x14ac:dyDescent="0.25">
      <c r="A138" s="113" t="s">
        <v>87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>
        <v>129.6</v>
      </c>
      <c r="R138" s="43">
        <v>129.6</v>
      </c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114"/>
      <c r="AH138" s="45">
        <f t="shared" si="27"/>
        <v>129.6</v>
      </c>
      <c r="AI138" s="46">
        <f t="shared" si="28"/>
        <v>129.6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7"/>
        <v>0</v>
      </c>
      <c r="AI139" s="46">
        <f t="shared" si="28"/>
        <v>0</v>
      </c>
    </row>
    <row r="140" spans="1:41" x14ac:dyDescent="0.25">
      <c r="A140" s="113" t="s">
        <v>89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>
        <v>133</v>
      </c>
      <c r="R140" s="43">
        <v>133</v>
      </c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114"/>
      <c r="AH140" s="45">
        <f t="shared" si="27"/>
        <v>133</v>
      </c>
      <c r="AI140" s="46">
        <f t="shared" si="28"/>
        <v>133</v>
      </c>
    </row>
    <row r="141" spans="1:41" x14ac:dyDescent="0.25">
      <c r="A141" s="115" t="s">
        <v>90</v>
      </c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>
        <v>132.9</v>
      </c>
      <c r="R141" s="116">
        <v>132.9</v>
      </c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7"/>
      <c r="AH141" s="45">
        <f t="shared" si="27"/>
        <v>132.9</v>
      </c>
      <c r="AI141" s="46">
        <f t="shared" si="28"/>
        <v>132.9</v>
      </c>
    </row>
    <row r="142" spans="1:41" x14ac:dyDescent="0.25">
      <c r="A142" s="113" t="s">
        <v>91</v>
      </c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>
        <v>127</v>
      </c>
      <c r="R142" s="43">
        <v>127</v>
      </c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114"/>
      <c r="AH142" s="45">
        <f t="shared" si="27"/>
        <v>127</v>
      </c>
      <c r="AI142" s="46">
        <f t="shared" si="28"/>
        <v>127</v>
      </c>
    </row>
    <row r="143" spans="1:41" ht="15.75" thickBot="1" x14ac:dyDescent="0.3">
      <c r="A143" s="113" t="s">
        <v>92</v>
      </c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>
        <v>66.5</v>
      </c>
      <c r="R143" s="96">
        <v>66.5</v>
      </c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118"/>
      <c r="AH143" s="45">
        <f t="shared" si="27"/>
        <v>66.5</v>
      </c>
      <c r="AI143" s="46">
        <f t="shared" si="28"/>
        <v>66.5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7"/>
        <v>0</v>
      </c>
      <c r="AI144" s="46">
        <f t="shared" si="28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v>124.14</v>
      </c>
      <c r="C145" s="108">
        <f t="shared" ref="C145:O145" si="43">SUM(C26,C32,C55:C56,C92,C94:C95,C97,C99,C147:C152,C188,C194,C226,C235,C237,C249,C256,C259:C260,C267,C269,C271,C275:C277,C279:C281,C286,C292:C293,C295:C297,C172,C177)</f>
        <v>0.94</v>
      </c>
      <c r="D145" s="108">
        <f t="shared" si="43"/>
        <v>0.94</v>
      </c>
      <c r="E145" s="108">
        <f t="shared" si="43"/>
        <v>0.94</v>
      </c>
      <c r="F145" s="108">
        <f t="shared" si="43"/>
        <v>0.94</v>
      </c>
      <c r="G145" s="108">
        <f t="shared" si="43"/>
        <v>0.94</v>
      </c>
      <c r="H145" s="108">
        <f t="shared" si="43"/>
        <v>0.94</v>
      </c>
      <c r="I145" s="108">
        <f t="shared" si="43"/>
        <v>0.94</v>
      </c>
      <c r="J145" s="108">
        <f t="shared" si="43"/>
        <v>0.94</v>
      </c>
      <c r="K145" s="108">
        <f t="shared" si="43"/>
        <v>0.94</v>
      </c>
      <c r="L145" s="108">
        <f t="shared" si="43"/>
        <v>0.94</v>
      </c>
      <c r="M145" s="108">
        <f t="shared" si="43"/>
        <v>0.94</v>
      </c>
      <c r="N145" s="108">
        <f t="shared" si="43"/>
        <v>0.94</v>
      </c>
      <c r="O145" s="108">
        <f t="shared" si="43"/>
        <v>0.94</v>
      </c>
      <c r="P145" s="108">
        <v>42</v>
      </c>
      <c r="Q145" s="108">
        <f t="shared" ref="Q145:X145" si="44">SUM(Q26,Q32,Q55:Q56,Q92,Q94:Q95,Q97,Q99,Q147:Q152,Q188,Q194,Q226,Q235,Q237,Q249,Q256,Q259:Q260,Q267,Q269,Q271,Q275:Q277,Q279:Q281,Q286,Q292:Q293,Q295:Q297,Q172,Q177)</f>
        <v>226.84</v>
      </c>
      <c r="R145" s="108">
        <f t="shared" ref="R145" si="45">SUM(R26,R32,R55:R56,R92,R94:R95,R97,R99,R147:R152,R188,R194,R226,R235,R237,R249,R256,R259:R260,R267,R269,R271,R275:R277,R279:R281,R286,R292:R293,R295:R297,R172,R177)</f>
        <v>214.24</v>
      </c>
      <c r="S145" s="108">
        <f t="shared" si="44"/>
        <v>0.94</v>
      </c>
      <c r="T145" s="108">
        <f t="shared" si="44"/>
        <v>0.94</v>
      </c>
      <c r="U145" s="108">
        <f t="shared" si="44"/>
        <v>0.94</v>
      </c>
      <c r="V145" s="108">
        <f t="shared" si="44"/>
        <v>0.94</v>
      </c>
      <c r="W145" s="108">
        <f t="shared" si="44"/>
        <v>0.94</v>
      </c>
      <c r="X145" s="108">
        <f t="shared" si="44"/>
        <v>0.94</v>
      </c>
      <c r="Y145" s="108">
        <f>SUM(Y23,Y30,Y61:Y62,Y92,Y94:Y95,Y97,Y99,Y147:Y152,Y181,Y187,Y193,Y228,Y230,Y242,Y249,Y252:Y253,Y260,Y262,Y264,Y268:Y270,Y272:Y274,Y279,Y285:Y286,Y288:Y290,Y298,Y303)</f>
        <v>0</v>
      </c>
      <c r="Z145" s="108">
        <f>SUM(Z23,Z30,Z61:Z62,Z92,Z94:Z95,Z97,Z99,Z147:Z152,Z181,Z187,Z193,Z228,Z230,Z242,Z249,Z252:Z253,Z260,Z262,Z264,Z268:Z270,Z272:Z274,Z279,Z285:Z286,Z288:Z290,Z298,Z303)</f>
        <v>0</v>
      </c>
      <c r="AA145" s="108">
        <f t="shared" ref="AA145:AF145" si="46">SUM(AA26,AA32,AA55:AA56,AA92,AA94:AA95,AA97,AA99,AA147:AA152,AA188,AA194,AA226,AA235,AA237,AA249,AA256,AA259:AA260,AA267,AA269,AA271,AA275:AA277,AA279:AA281,AA286,AA292:AA293,AA295:AA297,AA172,AA177)</f>
        <v>0.94</v>
      </c>
      <c r="AB145" s="108">
        <f t="shared" si="46"/>
        <v>0.94</v>
      </c>
      <c r="AC145" s="108">
        <f t="shared" si="46"/>
        <v>0.94</v>
      </c>
      <c r="AD145" s="108">
        <f t="shared" si="46"/>
        <v>0.94</v>
      </c>
      <c r="AE145" s="108">
        <f t="shared" si="46"/>
        <v>0.94</v>
      </c>
      <c r="AF145" s="108">
        <f t="shared" si="46"/>
        <v>0.94</v>
      </c>
      <c r="AG145" s="125"/>
      <c r="AH145" s="45">
        <f t="shared" si="27"/>
        <v>226.84</v>
      </c>
      <c r="AI145" s="46">
        <f t="shared" si="28"/>
        <v>0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si="27"/>
        <v>0</v>
      </c>
      <c r="AI146" s="46">
        <f t="shared" si="28"/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/>
      <c r="C147" s="138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>
        <v>62</v>
      </c>
      <c r="R147" s="139">
        <v>62</v>
      </c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40">
        <v>75</v>
      </c>
      <c r="AH147" s="45">
        <f t="shared" si="27"/>
        <v>62</v>
      </c>
      <c r="AI147" s="46">
        <f t="shared" si="28"/>
        <v>62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/>
      <c r="C148" s="138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>
        <v>10</v>
      </c>
      <c r="R148" s="142">
        <v>10</v>
      </c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0">
        <v>240</v>
      </c>
      <c r="AH148" s="45">
        <f t="shared" si="27"/>
        <v>10</v>
      </c>
      <c r="AI148" s="46">
        <f t="shared" si="28"/>
        <v>10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/>
      <c r="C149" s="138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>
        <v>-26</v>
      </c>
      <c r="R149" s="142">
        <v>-26</v>
      </c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0">
        <v>240</v>
      </c>
      <c r="AH149" s="45">
        <f t="shared" ref="AH149:AH155" si="47">MAX(B149:AF149)</f>
        <v>-26</v>
      </c>
      <c r="AI149" s="46">
        <f t="shared" ref="AI149:AI155" si="48">MIN(B149:AF149)</f>
        <v>-26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/>
      <c r="C150" s="138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>
        <v>15</v>
      </c>
      <c r="R150" s="146">
        <v>15</v>
      </c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0"/>
      <c r="AH150" s="45">
        <f t="shared" si="47"/>
        <v>15</v>
      </c>
      <c r="AI150" s="46">
        <f t="shared" si="48"/>
        <v>15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/>
      <c r="C151" s="138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>
        <v>16.2</v>
      </c>
      <c r="R151" s="142">
        <v>16.2</v>
      </c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0">
        <v>60</v>
      </c>
      <c r="AH151" s="45">
        <f t="shared" si="47"/>
        <v>16.2</v>
      </c>
      <c r="AI151" s="46">
        <f t="shared" si="48"/>
        <v>16.2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/>
      <c r="C152" s="138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>
        <v>-17</v>
      </c>
      <c r="R152" s="146">
        <v>-17</v>
      </c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51">
        <v>120</v>
      </c>
      <c r="AH152" s="45">
        <f t="shared" si="47"/>
        <v>-17</v>
      </c>
      <c r="AI152" s="46">
        <f t="shared" si="48"/>
        <v>-17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/>
      <c r="C153" s="138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>
        <v>60</v>
      </c>
      <c r="R153" s="146">
        <v>60</v>
      </c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51"/>
      <c r="AH153" s="45">
        <f t="shared" si="47"/>
        <v>60</v>
      </c>
      <c r="AI153" s="46">
        <f t="shared" si="48"/>
        <v>60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/>
      <c r="C154" s="138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>
        <v>-11</v>
      </c>
      <c r="R154" s="146">
        <v>-11</v>
      </c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51"/>
      <c r="AH154" s="45">
        <f t="shared" si="47"/>
        <v>-11</v>
      </c>
      <c r="AI154" s="46">
        <f t="shared" si="48"/>
        <v>-11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/>
      <c r="C155" s="138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>
        <v>6.3</v>
      </c>
      <c r="R155" s="146">
        <v>6.3</v>
      </c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51"/>
      <c r="AH155" s="45">
        <f t="shared" si="47"/>
        <v>6.3</v>
      </c>
      <c r="AI155" s="46">
        <f t="shared" si="48"/>
        <v>6.3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/>
      <c r="C156" s="138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>
        <v>-490</v>
      </c>
      <c r="R156" s="146">
        <v>-490</v>
      </c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51"/>
      <c r="AH156" s="45">
        <f t="shared" ref="AH156:AH168" si="49">MAX(B156:AF156)</f>
        <v>-490</v>
      </c>
      <c r="AI156" s="46">
        <f t="shared" ref="AI156:AI168" si="50">MIN(B156:AF156)</f>
        <v>-490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/>
      <c r="C157" s="138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>
        <v>96</v>
      </c>
      <c r="R157" s="146">
        <v>96</v>
      </c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51"/>
      <c r="AH157" s="45">
        <f t="shared" si="49"/>
        <v>96</v>
      </c>
      <c r="AI157" s="46">
        <f t="shared" si="50"/>
        <v>96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/>
      <c r="C158" s="138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>
        <v>-33</v>
      </c>
      <c r="R158" s="146">
        <v>-33</v>
      </c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0"/>
      <c r="AH158" s="45">
        <f t="shared" si="49"/>
        <v>-33</v>
      </c>
      <c r="AI158" s="46">
        <f t="shared" si="50"/>
        <v>-33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>
        <v>95</v>
      </c>
      <c r="R159" s="116">
        <v>95</v>
      </c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49"/>
        <v>95</v>
      </c>
      <c r="AI159" s="46">
        <f t="shared" si="50"/>
        <v>95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>
        <v>17</v>
      </c>
      <c r="R160" s="116">
        <v>17</v>
      </c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49"/>
        <v>17</v>
      </c>
      <c r="AI160" s="46">
        <f t="shared" si="50"/>
        <v>17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>
        <v>25.6</v>
      </c>
      <c r="R161" s="116">
        <v>25.6</v>
      </c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49"/>
        <v>25.6</v>
      </c>
      <c r="AI161" s="46">
        <f t="shared" si="50"/>
        <v>25.6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49"/>
        <v>0</v>
      </c>
      <c r="AI162" s="46">
        <f t="shared" si="50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49"/>
        <v>0</v>
      </c>
      <c r="AI163" s="46">
        <f t="shared" si="50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49"/>
        <v>0</v>
      </c>
      <c r="AI164" s="46">
        <f t="shared" si="50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49"/>
        <v>0</v>
      </c>
      <c r="AI165" s="46">
        <f t="shared" si="50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49"/>
        <v>0</v>
      </c>
      <c r="AI166" s="46">
        <f t="shared" si="50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49"/>
        <v>0</v>
      </c>
      <c r="AI167" s="46">
        <f t="shared" si="50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49"/>
        <v>0</v>
      </c>
      <c r="AI168" s="46">
        <f t="shared" si="50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51">(SUMPRODUCT((B11:B78&lt;&gt;0)*(B11:B78&lt;$AG$11:$AG$78)*($AG$11:$AG$78-B11:B78)))*0.8</f>
        <v>0</v>
      </c>
      <c r="C169" s="171">
        <f t="shared" si="51"/>
        <v>0</v>
      </c>
      <c r="D169" s="171">
        <f t="shared" si="51"/>
        <v>0</v>
      </c>
      <c r="E169" s="171">
        <f t="shared" si="51"/>
        <v>0</v>
      </c>
      <c r="F169" s="171">
        <f t="shared" si="51"/>
        <v>0</v>
      </c>
      <c r="G169" s="171">
        <f t="shared" si="51"/>
        <v>0</v>
      </c>
      <c r="H169" s="171">
        <f t="shared" si="51"/>
        <v>0</v>
      </c>
      <c r="I169" s="171">
        <f t="shared" si="51"/>
        <v>0</v>
      </c>
      <c r="J169" s="171">
        <f t="shared" si="51"/>
        <v>0</v>
      </c>
      <c r="K169" s="171">
        <f t="shared" si="51"/>
        <v>0</v>
      </c>
      <c r="L169" s="171">
        <f t="shared" si="51"/>
        <v>0</v>
      </c>
      <c r="M169" s="171">
        <f t="shared" si="51"/>
        <v>0</v>
      </c>
      <c r="N169" s="171">
        <f t="shared" si="51"/>
        <v>0</v>
      </c>
      <c r="O169" s="171">
        <f t="shared" si="51"/>
        <v>0</v>
      </c>
      <c r="P169" s="171">
        <f t="shared" si="51"/>
        <v>0</v>
      </c>
      <c r="Q169" s="171">
        <f t="shared" si="51"/>
        <v>476.73199999999997</v>
      </c>
      <c r="R169" s="171">
        <f t="shared" si="51"/>
        <v>476.73199999999997</v>
      </c>
      <c r="S169" s="171">
        <f t="shared" si="51"/>
        <v>0</v>
      </c>
      <c r="T169" s="171">
        <f t="shared" si="51"/>
        <v>0</v>
      </c>
      <c r="U169" s="171">
        <f t="shared" si="51"/>
        <v>0</v>
      </c>
      <c r="V169" s="171">
        <f t="shared" si="51"/>
        <v>0</v>
      </c>
      <c r="W169" s="171">
        <f t="shared" si="51"/>
        <v>0</v>
      </c>
      <c r="X169" s="171">
        <f t="shared" si="51"/>
        <v>0</v>
      </c>
      <c r="Y169" s="171">
        <f t="shared" si="51"/>
        <v>0</v>
      </c>
      <c r="Z169" s="171">
        <f t="shared" si="51"/>
        <v>0</v>
      </c>
      <c r="AA169" s="171">
        <f t="shared" si="51"/>
        <v>0</v>
      </c>
      <c r="AB169" s="171">
        <f t="shared" si="51"/>
        <v>0</v>
      </c>
      <c r="AC169" s="171">
        <f t="shared" si="51"/>
        <v>0</v>
      </c>
      <c r="AD169" s="171">
        <f t="shared" si="51"/>
        <v>0</v>
      </c>
      <c r="AE169" s="171">
        <f t="shared" si="51"/>
        <v>0</v>
      </c>
      <c r="AF169" s="171">
        <f t="shared" si="51"/>
        <v>0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52">AM169-AN169</f>
        <v>0</v>
      </c>
    </row>
    <row r="170" spans="1:41" x14ac:dyDescent="0.25">
      <c r="A170" s="177" t="s">
        <v>136</v>
      </c>
      <c r="B170" s="166">
        <f t="array" ref="B170">SUM(IF(($A$11:$A$78&lt;&gt;"")*(B11:B78&lt;&gt;""),IF(IFERROR(VALUE(TRIM(RIGHT(SUBSTITUTE(SUBSTITUTE($A$11:$A$78,")",""),"(",REPT(" ",100)),100))),0)-IFERROR(B11:B78,0)&gt;0,IFERROR(VALUE(TRIM(RIGHT(SUBSTITUTE(SUBSTITUTE($A$11:$A$78,")",""),"(",REPT(" ",100)),100))),0)-IFERROR(B11:B78,0),0),0))+SUM(IF(($A$82:$A$87&lt;&gt;"")*(B82:B87&lt;&gt;""),IF(IFERROR(VALUE(TRIM(RIGHT(SUBSTITUTE(SUBSTITUTE($A$82:$A$87,")",""),"(",REPT(" ",100)),100))),0)-IFERROR(B82:B87,0)&gt;0,IFERROR(VALUE(TRIM(RIGHT(SUBSTITUTE(SUBSTITUTE($A$82:$A$87,")",""),"(",REPT(" ",100)),100))),0)-IFERROR(B82:B87,0),0),0))+SUM(IF(($A$89:$A$100&lt;&gt;"")*(B89:B100&lt;&gt;""),IF(IFERROR(VALUE(TRIM(RIGHT(SUBSTITUTE(SUBSTITUTE($A$89:$A$100,")",""),"(",REPT("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0</v>
      </c>
      <c r="C170" s="166">
        <f t="array" ref="C170">SUM(IF(($A$11:$A$78&lt;&gt;"")*(C11:C78&lt;&gt;""),IF(IFERROR(VALUE(TRIM(RIGHT(SUBSTITUTE(SUBSTITUTE($A$11:$A$78,")",""),"(",REPT(" ",100)),100))),0)-IFERROR(C11:C78,0)&gt;0,IFERROR(VALUE(TRIM(RIGHT(SUBSTITUTE(SUBSTITUTE($A$11:$A$78,")",""),"(",REPT(" ",100)),100))),0)-IFERROR(C11:C78,0),0),0))+SUM(IF(($A$82:$A$87&lt;&gt;"")*(C82:C87&lt;&gt;""),IF(IFERROR(VALUE(TRIM(RIGHT(SUBSTITUTE(SUBSTITUTE($A$82:$A$87,")",""),"(",REPT(" ",100)),100))),0)-IFERROR(C82:C87,0)&gt;0,IFERROR(VALUE(TRIM(RIGHT(SUBSTITUTE(SUBSTITUTE($A$82:$A$87,")",""),"(",REPT(" ",100)),100))),0)-IFERROR(C82:C87,0),0),0))+SUM(IF(($A$89:$A$100&lt;&gt;"")*(C89:C100&lt;&gt;""),IF(IFERROR(VALUE(TRIM(RIGHT(SUBSTITUTE(SUBSTITUTE($A$89:$A$100,")",""),"(",REPT("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0</v>
      </c>
      <c r="D170" s="166">
        <f t="array" ref="D170">SUM(IF(($A$11:$A$78&lt;&gt;"")*(D11:D78&lt;&gt;""),IF(IFERROR(VALUE(TRIM(RIGHT(SUBSTITUTE(SUBSTITUTE($A$11:$A$78,")",""),"(",REPT(" ",100)),100))),0)-IFERROR(D11:D78,0)&gt;0,IFERROR(VALUE(TRIM(RIGHT(SUBSTITUTE(SUBSTITUTE($A$11:$A$78,")",""),"(",REPT(" ",100)),100))),0)-IFERROR(D11:D78,0),0),0))+SUM(IF(($A$82:$A$87&lt;&gt;"")*(D82:D87&lt;&gt;""),IF(IFERROR(VALUE(TRIM(RIGHT(SUBSTITUTE(SUBSTITUTE($A$82:$A$87,")",""),"(",REPT(" ",100)),100))),0)-IFERROR(D82:D87,0)&gt;0,IFERROR(VALUE(TRIM(RIGHT(SUBSTITUTE(SUBSTITUTE($A$82:$A$87,")",""),"(",REPT(" ",100)),100))),0)-IFERROR(D82:D87,0),0),0))+SUM(IF(($A$89:$A$100&lt;&gt;"")*(D89:D100&lt;&gt;""),IF(IFERROR(VALUE(TRIM(RIGHT(SUBSTITUTE(SUBSTITUTE($A$89:$A$100,")",""),"(",REPT("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0</v>
      </c>
      <c r="E170" s="166">
        <f t="array" ref="E170">SUM(IF(($A$11:$A$78&lt;&gt;"")*(E11:E78&lt;&gt;""),IF(IFERROR(VALUE(TRIM(RIGHT(SUBSTITUTE(SUBSTITUTE($A$11:$A$78,")",""),"(",REPT(" ",100)),100))),0)-IFERROR(E11:E78,0)&gt;0,IFERROR(VALUE(TRIM(RIGHT(SUBSTITUTE(SUBSTITUTE($A$11:$A$78,")",""),"(",REPT(" ",100)),100))),0)-IFERROR(E11:E78,0),0),0))+SUM(IF(($A$82:$A$87&lt;&gt;"")*(E82:E87&lt;&gt;""),IF(IFERROR(VALUE(TRIM(RIGHT(SUBSTITUTE(SUBSTITUTE($A$82:$A$87,")",""),"(",REPT(" ",100)),100))),0)-IFERROR(E82:E87,0)&gt;0,IFERROR(VALUE(TRIM(RIGHT(SUBSTITUTE(SUBSTITUTE($A$82:$A$87,")",""),"(",REPT(" ",100)),100))),0)-IFERROR(E82:E87,0),0),0))+SUM(IF(($A$89:$A$100&lt;&gt;"")*(E89:E100&lt;&gt;""),IF(IFERROR(VALUE(TRIM(RIGHT(SUBSTITUTE(SUBSTITUTE($A$89:$A$100,")",""),"(",REPT("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0</v>
      </c>
      <c r="F170" s="166">
        <f t="array" ref="F170">SUM(IF(($A$11:$A$78&lt;&gt;"")*(F11:F78&lt;&gt;""),IF(IFERROR(VALUE(TRIM(RIGHT(SUBSTITUTE(SUBSTITUTE($A$11:$A$78,")",""),"(",REPT(" ",100)),100))),0)-IFERROR(F11:F78,0)&gt;0,IFERROR(VALUE(TRIM(RIGHT(SUBSTITUTE(SUBSTITUTE($A$11:$A$78,")",""),"(",REPT(" ",100)),100))),0)-IFERROR(F11:F78,0),0),0))+SUM(IF(($A$82:$A$87&lt;&gt;"")*(F82:F87&lt;&gt;""),IF(IFERROR(VALUE(TRIM(RIGHT(SUBSTITUTE(SUBSTITUTE($A$82:$A$87,")",""),"(",REPT(" ",100)),100))),0)-IFERROR(F82:F87,0)&gt;0,IFERROR(VALUE(TRIM(RIGHT(SUBSTITUTE(SUBSTITUTE($A$82:$A$87,")",""),"(",REPT(" ",100)),100))),0)-IFERROR(F82:F87,0),0),0))+SUM(IF(($A$89:$A$100&lt;&gt;"")*(F89:F100&lt;&gt;""),IF(IFERROR(VALUE(TRIM(RIGHT(SUBSTITUTE(SUBSTITUTE($A$89:$A$100,")",""),"(",REPT("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0</v>
      </c>
      <c r="G170" s="166">
        <f t="array" ref="G170">SUM(IF(($A$11:$A$78&lt;&gt;"")*(G11:G78&lt;&gt;""),IF(IFERROR(VALUE(TRIM(RIGHT(SUBSTITUTE(SUBSTITUTE($A$11:$A$78,")",""),"(",REPT(" ",100)),100))),0)-IFERROR(G11:G78,0)&gt;0,IFERROR(VALUE(TRIM(RIGHT(SUBSTITUTE(SUBSTITUTE($A$11:$A$78,")",""),"(",REPT(" ",100)),100))),0)-IFERROR(G11:G78,0),0),0))+SUM(IF(($A$82:$A$87&lt;&gt;"")*(G82:G87&lt;&gt;""),IF(IFERROR(VALUE(TRIM(RIGHT(SUBSTITUTE(SUBSTITUTE($A$82:$A$87,")",""),"(",REPT(" ",100)),100))),0)-IFERROR(G82:G87,0)&gt;0,IFERROR(VALUE(TRIM(RIGHT(SUBSTITUTE(SUBSTITUTE($A$82:$A$87,")",""),"(",REPT(" ",100)),100))),0)-IFERROR(G82:G87,0),0),0))+SUM(IF(($A$89:$A$100&lt;&gt;"")*(G89:G100&lt;&gt;""),IF(IFERROR(VALUE(TRIM(RIGHT(SUBSTITUTE(SUBSTITUTE($A$89:$A$100,")",""),"(",REPT("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0</v>
      </c>
      <c r="H170" s="166">
        <f t="array" ref="H170">SUM(IF(($A$11:$A$78&lt;&gt;"")*(H11:H78&lt;&gt;""),IF(IFERROR(VALUE(TRIM(RIGHT(SUBSTITUTE(SUBSTITUTE($A$11:$A$78,")",""),"(",REPT(" ",100)),100))),0)-IFERROR(H11:H78,0)&gt;0,IFERROR(VALUE(TRIM(RIGHT(SUBSTITUTE(SUBSTITUTE($A$11:$A$78,")",""),"(",REPT(" ",100)),100))),0)-IFERROR(H11:H78,0),0),0))+SUM(IF(($A$82:$A$87&lt;&gt;"")*(H82:H87&lt;&gt;""),IF(IFERROR(VALUE(TRIM(RIGHT(SUBSTITUTE(SUBSTITUTE($A$82:$A$87,")",""),"(",REPT(" ",100)),100))),0)-IFERROR(H82:H87,0)&gt;0,IFERROR(VALUE(TRIM(RIGHT(SUBSTITUTE(SUBSTITUTE($A$82:$A$87,")",""),"(",REPT(" ",100)),100))),0)-IFERROR(H82:H87,0),0),0))+SUM(IF(($A$89:$A$100&lt;&gt;"")*(H89:H100&lt;&gt;""),IF(IFERROR(VALUE(TRIM(RIGHT(SUBSTITUTE(SUBSTITUTE($A$89:$A$100,")",""),"(",REPT("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0</v>
      </c>
      <c r="I170" s="166">
        <f t="array" ref="I170">SUM(IF(($A$11:$A$78&lt;&gt;"")*(I11:I78&lt;&gt;""),IF(IFERROR(VALUE(TRIM(RIGHT(SUBSTITUTE(SUBSTITUTE($A$11:$A$78,")",""),"(",REPT(" ",100)),100))),0)-IFERROR(I11:I78,0)&gt;0,IFERROR(VALUE(TRIM(RIGHT(SUBSTITUTE(SUBSTITUTE($A$11:$A$78,")",""),"(",REPT(" ",100)),100))),0)-IFERROR(I11:I78,0),0),0))+SUM(IF(($A$82:$A$87&lt;&gt;"")*(I82:I87&lt;&gt;""),IF(IFERROR(VALUE(TRIM(RIGHT(SUBSTITUTE(SUBSTITUTE($A$82:$A$87,")",""),"(",REPT(" ",100)),100))),0)-IFERROR(I82:I87,0)&gt;0,IFERROR(VALUE(TRIM(RIGHT(SUBSTITUTE(SUBSTITUTE($A$82:$A$87,")",""),"(",REPT(" ",100)),100))),0)-IFERROR(I82:I87,0),0),0))+SUM(IF(($A$89:$A$100&lt;&gt;"")*(I89:I100&lt;&gt;""),IF(IFERROR(VALUE(TRIM(RIGHT(SUBSTITUTE(SUBSTITUTE($A$89:$A$100,")",""),"(",REPT("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0</v>
      </c>
      <c r="J170" s="166">
        <f t="array" ref="J170">SUM(IF(($A$11:$A$78&lt;&gt;"")*(J11:J78&lt;&gt;""),IF(IFERROR(VALUE(TRIM(RIGHT(SUBSTITUTE(SUBSTITUTE($A$11:$A$78,")",""),"(",REPT(" ",100)),100))),0)-IFERROR(J11:J78,0)&gt;0,IFERROR(VALUE(TRIM(RIGHT(SUBSTITUTE(SUBSTITUTE($A$11:$A$78,")",""),"(",REPT(" ",100)),100))),0)-IFERROR(J11:J78,0),0),0))+SUM(IF(($A$82:$A$87&lt;&gt;"")*(J82:J87&lt;&gt;""),IF(IFERROR(VALUE(TRIM(RIGHT(SUBSTITUTE(SUBSTITUTE($A$82:$A$87,")",""),"(",REPT(" ",100)),100))),0)-IFERROR(J82:J87,0)&gt;0,IFERROR(VALUE(TRIM(RIGHT(SUBSTITUTE(SUBSTITUTE($A$82:$A$87,")",""),"(",REPT(" ",100)),100))),0)-IFERROR(J82:J87,0),0),0))+SUM(IF(($A$89:$A$100&lt;&gt;"")*(J89:J100&lt;&gt;""),IF(IFERROR(VALUE(TRIM(RIGHT(SUBSTITUTE(SUBSTITUTE($A$89:$A$100,")",""),"(",REPT("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0</v>
      </c>
      <c r="K170" s="166">
        <f t="array" ref="K170">SUM(IF(($A$11:$A$78&lt;&gt;"")*(K11:K78&lt;&gt;""),IF(IFERROR(VALUE(TRIM(RIGHT(SUBSTITUTE(SUBSTITUTE($A$11:$A$78,")",""),"(",REPT(" ",100)),100))),0)-IFERROR(K11:K78,0)&gt;0,IFERROR(VALUE(TRIM(RIGHT(SUBSTITUTE(SUBSTITUTE($A$11:$A$78,")",""),"(",REPT(" ",100)),100))),0)-IFERROR(K11:K78,0),0),0))+SUM(IF(($A$82:$A$87&lt;&gt;"")*(K82:K87&lt;&gt;""),IF(IFERROR(VALUE(TRIM(RIGHT(SUBSTITUTE(SUBSTITUTE($A$82:$A$87,")",""),"(",REPT(" ",100)),100))),0)-IFERROR(K82:K87,0)&gt;0,IFERROR(VALUE(TRIM(RIGHT(SUBSTITUTE(SUBSTITUTE($A$82:$A$87,")",""),"(",REPT(" ",100)),100))),0)-IFERROR(K82:K87,0),0),0))+SUM(IF(($A$89:$A$100&lt;&gt;"")*(K89:K100&lt;&gt;""),IF(IFERROR(VALUE(TRIM(RIGHT(SUBSTITUTE(SUBSTITUTE($A$89:$A$100,")",""),"(",REPT("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0</v>
      </c>
      <c r="L170" s="166">
        <f t="array" ref="L170">SUM(IF(($A$11:$A$78&lt;&gt;"")*(L11:L78&lt;&gt;""),IF(IFERROR(VALUE(TRIM(RIGHT(SUBSTITUTE(SUBSTITUTE($A$11:$A$78,")",""),"(",REPT(" ",100)),100))),0)-IFERROR(L11:L78,0)&gt;0,IFERROR(VALUE(TRIM(RIGHT(SUBSTITUTE(SUBSTITUTE($A$11:$A$78,")",""),"(",REPT(" ",100)),100))),0)-IFERROR(L11:L78,0),0),0))+SUM(IF(($A$82:$A$87&lt;&gt;"")*(L82:L87&lt;&gt;""),IF(IFERROR(VALUE(TRIM(RIGHT(SUBSTITUTE(SUBSTITUTE($A$82:$A$87,")",""),"(",REPT(" ",100)),100))),0)-IFERROR(L82:L87,0)&gt;0,IFERROR(VALUE(TRIM(RIGHT(SUBSTITUTE(SUBSTITUTE($A$82:$A$87,")",""),"(",REPT(" ",100)),100))),0)-IFERROR(L82:L87,0),0),0))+SUM(IF(($A$89:$A$100&lt;&gt;"")*(L89:L100&lt;&gt;""),IF(IFERROR(VALUE(TRIM(RIGHT(SUBSTITUTE(SUBSTITUTE($A$89:$A$100,")",""),"(",REPT("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0</v>
      </c>
      <c r="M170" s="166">
        <f t="array" ref="M170">SUM(IF(($A$11:$A$78&lt;&gt;"")*(M11:M78&lt;&gt;""),IF(IFERROR(VALUE(TRIM(RIGHT(SUBSTITUTE(SUBSTITUTE($A$11:$A$78,")",""),"(",REPT(" ",100)),100))),0)-IFERROR(M11:M78,0)&gt;0,IFERROR(VALUE(TRIM(RIGHT(SUBSTITUTE(SUBSTITUTE($A$11:$A$78,")",""),"(",REPT(" ",100)),100))),0)-IFERROR(M11:M78,0),0),0))+SUM(IF(($A$82:$A$87&lt;&gt;"")*(M82:M87&lt;&gt;""),IF(IFERROR(VALUE(TRIM(RIGHT(SUBSTITUTE(SUBSTITUTE($A$82:$A$87,")",""),"(",REPT(" ",100)),100))),0)-IFERROR(M82:M87,0)&gt;0,IFERROR(VALUE(TRIM(RIGHT(SUBSTITUTE(SUBSTITUTE($A$82:$A$87,")",""),"(",REPT(" ",100)),100))),0)-IFERROR(M82:M87,0),0),0))+SUM(IF(($A$89:$A$100&lt;&gt;"")*(M89:M100&lt;&gt;""),IF(IFERROR(VALUE(TRIM(RIGHT(SUBSTITUTE(SUBSTITUTE($A$89:$A$100,")",""),"(",REPT("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0</v>
      </c>
      <c r="N170" s="166">
        <f t="array" ref="N170">SUM(IF(($A$11:$A$78&lt;&gt;"")*(N11:N78&lt;&gt;""),IF(IFERROR(VALUE(TRIM(RIGHT(SUBSTITUTE(SUBSTITUTE($A$11:$A$78,")",""),"(",REPT(" ",100)),100))),0)-IFERROR(N11:N78,0)&gt;0,IFERROR(VALUE(TRIM(RIGHT(SUBSTITUTE(SUBSTITUTE($A$11:$A$78,")",""),"(",REPT(" ",100)),100))),0)-IFERROR(N11:N78,0),0),0))+SUM(IF(($A$82:$A$87&lt;&gt;"")*(N82:N87&lt;&gt;""),IF(IFERROR(VALUE(TRIM(RIGHT(SUBSTITUTE(SUBSTITUTE($A$82:$A$87,")",""),"(",REPT(" ",100)),100))),0)-IFERROR(N82:N87,0)&gt;0,IFERROR(VALUE(TRIM(RIGHT(SUBSTITUTE(SUBSTITUTE($A$82:$A$87,")",""),"(",REPT(" ",100)),100))),0)-IFERROR(N82:N87,0),0),0))+SUM(IF(($A$89:$A$100&lt;&gt;"")*(N89:N100&lt;&gt;""),IF(IFERROR(VALUE(TRIM(RIGHT(SUBSTITUTE(SUBSTITUTE($A$89:$A$100,")",""),"(",REPT("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0</v>
      </c>
      <c r="O170" s="166">
        <f t="array" ref="O170">SUM(IF(($A$11:$A$78&lt;&gt;"")*(O11:O78&lt;&gt;""),IF(IFERROR(VALUE(TRIM(RIGHT(SUBSTITUTE(SUBSTITUTE($A$11:$A$78,")",""),"(",REPT(" ",100)),100))),0)-IFERROR(O11:O78,0)&gt;0,IFERROR(VALUE(TRIM(RIGHT(SUBSTITUTE(SUBSTITUTE($A$11:$A$78,")",""),"(",REPT(" ",100)),100))),0)-IFERROR(O11:O78,0),0),0))+SUM(IF(($A$82:$A$87&lt;&gt;"")*(O82:O87&lt;&gt;""),IF(IFERROR(VALUE(TRIM(RIGHT(SUBSTITUTE(SUBSTITUTE($A$82:$A$87,")",""),"(",REPT(" ",100)),100))),0)-IFERROR(O82:O87,0)&gt;0,IFERROR(VALUE(TRIM(RIGHT(SUBSTITUTE(SUBSTITUTE($A$82:$A$87,")",""),"(",REPT(" ",100)),100))),0)-IFERROR(O82:O87,0),0),0))+SUM(IF(($A$89:$A$100&lt;&gt;"")*(O89:O100&lt;&gt;""),IF(IFERROR(VALUE(TRIM(RIGHT(SUBSTITUTE(SUBSTITUTE($A$89:$A$100,")",""),"(",REPT("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0</v>
      </c>
      <c r="P170" s="166">
        <f t="array" ref="P170">SUM(IF(($A$11:$A$78&lt;&gt;"")*(P11:P78&lt;&gt;""),IF(IFERROR(VALUE(TRIM(RIGHT(SUBSTITUTE(SUBSTITUTE($A$11:$A$78,")",""),"(",REPT(" ",100)),100))),0)-IFERROR(P11:P78,0)&gt;0,IFERROR(VALUE(TRIM(RIGHT(SUBSTITUTE(SUBSTITUTE($A$11:$A$78,")",""),"(",REPT(" ",100)),100))),0)-IFERROR(P11:P78,0),0),0))+SUM(IF(($A$82:$A$87&lt;&gt;"")*(P82:P87&lt;&gt;""),IF(IFERROR(VALUE(TRIM(RIGHT(SUBSTITUTE(SUBSTITUTE($A$82:$A$87,")",""),"(",REPT(" ",100)),100))),0)-IFERROR(P82:P87,0)&gt;0,IFERROR(VALUE(TRIM(RIGHT(SUBSTITUTE(SUBSTITUTE($A$82:$A$87,")",""),"(",REPT(" ",100)),100))),0)-IFERROR(P82:P87,0),0),0))+SUM(IF(($A$89:$A$100&lt;&gt;"")*(P89:P100&lt;&gt;""),IF(IFERROR(VALUE(TRIM(RIGHT(SUBSTITUTE(SUBSTITUTE($A$89:$A$100,")",""),"(",REPT("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0</v>
      </c>
      <c r="Q170" s="166">
        <f t="array" ref="Q170">SUM(IF(($A$11:$A$78&lt;&gt;"")*(Q11:Q78&lt;&gt;""),IF(IFERROR(VALUE(TRIM(RIGHT(SUBSTITUTE(SUBSTITUTE($A$11:$A$78,")",""),"(",REPT(" ",100)),100))),0)-IFERROR(Q11:Q78,0)&gt;0,IFERROR(VALUE(TRIM(RIGHT(SUBSTITUTE(SUBSTITUTE($A$11:$A$78,")",""),"(",REPT(" ",100)),100))),0)-IFERROR(Q11:Q78,0),0),0))+SUM(IF(($A$82:$A$87&lt;&gt;"")*(Q82:Q87&lt;&gt;""),IF(IFERROR(VALUE(TRIM(RIGHT(SUBSTITUTE(SUBSTITUTE($A$82:$A$87,")",""),"(",REPT(" ",100)),100))),0)-IFERROR(Q82:Q87,0)&gt;0,IFERROR(VALUE(TRIM(RIGHT(SUBSTITUTE(SUBSTITUTE($A$82:$A$87,")",""),"(",REPT(" ",100)),100))),0)-IFERROR(Q82:Q87,0),0),0))+SUM(IF(($A$89:$A$100&lt;&gt;"")*(Q89:Q100&lt;&gt;""),IF(IFERROR(VALUE(TRIM(RIGHT(SUBSTITUTE(SUBSTITUTE($A$89:$A$100,")",""),"(",REPT("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1230.2650000000003</v>
      </c>
      <c r="R170" s="166">
        <f t="array" ref="R170">SUM(IF(($A$11:$A$78&lt;&gt;"")*(R11:R78&lt;&gt;""),IF(IFERROR(VALUE(TRIM(RIGHT(SUBSTITUTE(SUBSTITUTE($A$11:$A$78,")",""),"(",REPT(" ",100)),100))),0)-IFERROR(R11:R78,0)&gt;0,IFERROR(VALUE(TRIM(RIGHT(SUBSTITUTE(SUBSTITUTE($A$11:$A$78,")",""),"(",REPT(" ",100)),100))),0)-IFERROR(R11:R78,0),0),0))+SUM(IF(($A$82:$A$87&lt;&gt;"")*(R82:R87&lt;&gt;""),IF(IFERROR(VALUE(TRIM(RIGHT(SUBSTITUTE(SUBSTITUTE($A$82:$A$87,")",""),"(",REPT(" ",100)),100))),0)-IFERROR(R82:R87,0)&gt;0,IFERROR(VALUE(TRIM(RIGHT(SUBSTITUTE(SUBSTITUTE($A$82:$A$87,")",""),"(",REPT(" ",100)),100))),0)-IFERROR(R82:R87,0),0),0))+SUM(IF(($A$89:$A$100&lt;&gt;"")*(R89:R100&lt;&gt;""),IF(IFERROR(VALUE(TRIM(RIGHT(SUBSTITUTE(SUBSTITUTE($A$89:$A$100,")",""),"(",REPT("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1204.8650000000002</v>
      </c>
      <c r="S170" s="166">
        <f t="array" ref="S170">SUM(IF(($A$11:$A$78&lt;&gt;"")*(S11:S78&lt;&gt;""),IF(IFERROR(VALUE(TRIM(RIGHT(SUBSTITUTE(SUBSTITUTE($A$11:$A$78,")",""),"(",REPT(" ",100)),100))),0)-IFERROR(S11:S78,0)&gt;0,IFERROR(VALUE(TRIM(RIGHT(SUBSTITUTE(SUBSTITUTE($A$11:$A$78,")",""),"(",REPT(" ",100)),100))),0)-IFERROR(S11:S78,0),0),0))+SUM(IF(($A$82:$A$87&lt;&gt;"")*(S82:S87&lt;&gt;""),IF(IFERROR(VALUE(TRIM(RIGHT(SUBSTITUTE(SUBSTITUTE($A$82:$A$87,")",""),"(",REPT(" ",100)),100))),0)-IFERROR(S82:S87,0)&gt;0,IFERROR(VALUE(TRIM(RIGHT(SUBSTITUTE(SUBSTITUTE($A$82:$A$87,")",""),"(",REPT(" ",100)),100))),0)-IFERROR(S82:S87,0),0),0))+SUM(IF(($A$89:$A$100&lt;&gt;"")*(S89:S100&lt;&gt;""),IF(IFERROR(VALUE(TRIM(RIGHT(SUBSTITUTE(SUBSTITUTE($A$89:$A$100,")",""),"(",REPT("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0</v>
      </c>
      <c r="T170" s="166">
        <f t="array" ref="T170">SUM(IF(($A$11:$A$78&lt;&gt;"")*(T11:T78&lt;&gt;""),IF(IFERROR(VALUE(TRIM(RIGHT(SUBSTITUTE(SUBSTITUTE($A$11:$A$78,")",""),"(",REPT(" ",100)),100))),0)-IFERROR(T11:T78,0)&gt;0,IFERROR(VALUE(TRIM(RIGHT(SUBSTITUTE(SUBSTITUTE($A$11:$A$78,")",""),"(",REPT(" ",100)),100))),0)-IFERROR(T11:T78,0),0),0))+SUM(IF(($A$82:$A$87&lt;&gt;"")*(T82:T87&lt;&gt;""),IF(IFERROR(VALUE(TRIM(RIGHT(SUBSTITUTE(SUBSTITUTE($A$82:$A$87,")",""),"(",REPT(" ",100)),100))),0)-IFERROR(T82:T87,0)&gt;0,IFERROR(VALUE(TRIM(RIGHT(SUBSTITUTE(SUBSTITUTE($A$82:$A$87,")",""),"(",REPT(" ",100)),100))),0)-IFERROR(T82:T87,0),0),0))+SUM(IF(($A$89:$A$100&lt;&gt;"")*(T89:T100&lt;&gt;""),IF(IFERROR(VALUE(TRIM(RIGHT(SUBSTITUTE(SUBSTITUTE($A$89:$A$100,")",""),"(",REPT("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0</v>
      </c>
      <c r="U170" s="166">
        <f t="array" ref="U170">SUM(IF(($A$11:$A$78&lt;&gt;"")*(U11:U78&lt;&gt;""),IF(IFERROR(VALUE(TRIM(RIGHT(SUBSTITUTE(SUBSTITUTE($A$11:$A$78,")",""),"(",REPT(" ",100)),100))),0)-IFERROR(U11:U78,0)&gt;0,IFERROR(VALUE(TRIM(RIGHT(SUBSTITUTE(SUBSTITUTE($A$11:$A$78,")",""),"(",REPT(" ",100)),100))),0)-IFERROR(U11:U78,0),0),0))+SUM(IF(($A$82:$A$87&lt;&gt;"")*(U82:U87&lt;&gt;""),IF(IFERROR(VALUE(TRIM(RIGHT(SUBSTITUTE(SUBSTITUTE($A$82:$A$87,")",""),"(",REPT(" ",100)),100))),0)-IFERROR(U82:U87,0)&gt;0,IFERROR(VALUE(TRIM(RIGHT(SUBSTITUTE(SUBSTITUTE($A$82:$A$87,")",""),"(",REPT(" ",100)),100))),0)-IFERROR(U82:U87,0),0),0))+SUM(IF(($A$89:$A$100&lt;&gt;"")*(U89:U100&lt;&gt;""),IF(IFERROR(VALUE(TRIM(RIGHT(SUBSTITUTE(SUBSTITUTE($A$89:$A$100,")",""),"(",REPT("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0</v>
      </c>
      <c r="V170" s="166">
        <f t="array" ref="V170">SUM(IF(($A$11:$A$78&lt;&gt;"")*(V11:V78&lt;&gt;""),IF(IFERROR(VALUE(TRIM(RIGHT(SUBSTITUTE(SUBSTITUTE($A$11:$A$78,")",""),"(",REPT(" ",100)),100))),0)-IFERROR(V11:V78,0)&gt;0,IFERROR(VALUE(TRIM(RIGHT(SUBSTITUTE(SUBSTITUTE($A$11:$A$78,")",""),"(",REPT(" ",100)),100))),0)-IFERROR(V11:V78,0),0),0))+SUM(IF(($A$82:$A$87&lt;&gt;"")*(V82:V87&lt;&gt;""),IF(IFERROR(VALUE(TRIM(RIGHT(SUBSTITUTE(SUBSTITUTE($A$82:$A$87,")",""),"(",REPT(" ",100)),100))),0)-IFERROR(V82:V87,0)&gt;0,IFERROR(VALUE(TRIM(RIGHT(SUBSTITUTE(SUBSTITUTE($A$82:$A$87,")",""),"(",REPT(" ",100)),100))),0)-IFERROR(V82:V87,0),0),0))+SUM(IF(($A$89:$A$100&lt;&gt;"")*(V89:V100&lt;&gt;""),IF(IFERROR(VALUE(TRIM(RIGHT(SUBSTITUTE(SUBSTITUTE($A$89:$A$100,")",""),"(",REPT("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0</v>
      </c>
      <c r="W170" s="166">
        <f t="array" ref="W170">SUM(IF(($A$11:$A$78&lt;&gt;"")*(W11:W78&lt;&gt;""),IF(IFERROR(VALUE(TRIM(RIGHT(SUBSTITUTE(SUBSTITUTE($A$11:$A$78,")",""),"(",REPT(" ",100)),100))),0)-IFERROR(W11:W78,0)&gt;0,IFERROR(VALUE(TRIM(RIGHT(SUBSTITUTE(SUBSTITUTE($A$11:$A$78,")",""),"(",REPT(" ",100)),100))),0)-IFERROR(W11:W78,0),0),0))+SUM(IF(($A$82:$A$87&lt;&gt;"")*(W82:W87&lt;&gt;""),IF(IFERROR(VALUE(TRIM(RIGHT(SUBSTITUTE(SUBSTITUTE($A$82:$A$87,")",""),"(",REPT(" ",100)),100))),0)-IFERROR(W82:W87,0)&gt;0,IFERROR(VALUE(TRIM(RIGHT(SUBSTITUTE(SUBSTITUTE($A$82:$A$87,")",""),"(",REPT(" ",100)),100))),0)-IFERROR(W82:W87,0),0),0))+SUM(IF(($A$89:$A$100&lt;&gt;"")*(W89:W100&lt;&gt;""),IF(IFERROR(VALUE(TRIM(RIGHT(SUBSTITUTE(SUBSTITUTE($A$89:$A$100,")",""),"(",REPT("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0</v>
      </c>
      <c r="X170" s="166">
        <f t="array" ref="X170">SUM(IF(($A$11:$A$78&lt;&gt;"")*(X11:X78&lt;&gt;""),IF(IFERROR(VALUE(TRIM(RIGHT(SUBSTITUTE(SUBSTITUTE($A$11:$A$78,")",""),"(",REPT(" ",100)),100))),0)-IFERROR(X11:X78,0)&gt;0,IFERROR(VALUE(TRIM(RIGHT(SUBSTITUTE(SUBSTITUTE($A$11:$A$78,")",""),"(",REPT(" ",100)),100))),0)-IFERROR(X11:X78,0),0),0))+SUM(IF(($A$82:$A$87&lt;&gt;"")*(X82:X87&lt;&gt;""),IF(IFERROR(VALUE(TRIM(RIGHT(SUBSTITUTE(SUBSTITUTE($A$82:$A$87,")",""),"(",REPT(" ",100)),100))),0)-IFERROR(X82:X87,0)&gt;0,IFERROR(VALUE(TRIM(RIGHT(SUBSTITUTE(SUBSTITUTE($A$82:$A$87,")",""),"(",REPT(" ",100)),100))),0)-IFERROR(X82:X87,0),0),0))+SUM(IF(($A$89:$A$100&lt;&gt;"")*(X89:X100&lt;&gt;""),IF(IFERROR(VALUE(TRIM(RIGHT(SUBSTITUTE(SUBSTITUTE($A$89:$A$100,")",""),"(",REPT("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0</v>
      </c>
      <c r="Y170" s="166">
        <f t="array" ref="Y170">SUM(IF(($A$11:$A$78&lt;&gt;"")*(Y11:Y78&lt;&gt;""),IF(IFERROR(VALUE(TRIM(RIGHT(SUBSTITUTE(SUBSTITUTE($A$11:$A$78,")",""),"(",REPT(" ",100)),100))),0)-IFERROR(Y11:Y78,0)&gt;0,IFERROR(VALUE(TRIM(RIGHT(SUBSTITUTE(SUBSTITUTE($A$11:$A$78,")",""),"(",REPT(" ",100)),100))),0)-IFERROR(Y11:Y78,0),0),0))+SUM(IF(($A$82:$A$87&lt;&gt;"")*(Y82:Y87&lt;&gt;""),IF(IFERROR(VALUE(TRIM(RIGHT(SUBSTITUTE(SUBSTITUTE($A$82:$A$87,")",""),"(",REPT(" ",100)),100))),0)-IFERROR(Y82:Y87,0)&gt;0,IFERROR(VALUE(TRIM(RIGHT(SUBSTITUTE(SUBSTITUTE($A$82:$A$87,")",""),"(",REPT(" ",100)),100))),0)-IFERROR(Y82:Y87,0),0),0))+SUM(IF(($A$89:$A$100&lt;&gt;"")*(Y89:Y100&lt;&gt;""),IF(IFERROR(VALUE(TRIM(RIGHT(SUBSTITUTE(SUBSTITUTE($A$89:$A$100,")",""),"(",REPT("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0</v>
      </c>
      <c r="Z170" s="166">
        <f t="array" ref="Z170">SUM(IF(($A$11:$A$78&lt;&gt;"")*(Z11:Z78&lt;&gt;""),IF(IFERROR(VALUE(TRIM(RIGHT(SUBSTITUTE(SUBSTITUTE($A$11:$A$78,")",""),"(",REPT(" ",100)),100))),0)-IFERROR(Z11:Z78,0)&gt;0,IFERROR(VALUE(TRIM(RIGHT(SUBSTITUTE(SUBSTITUTE($A$11:$A$78,")",""),"(",REPT(" ",100)),100))),0)-IFERROR(Z11:Z78,0),0),0))+SUM(IF(($A$82:$A$87&lt;&gt;"")*(Z82:Z87&lt;&gt;""),IF(IFERROR(VALUE(TRIM(RIGHT(SUBSTITUTE(SUBSTITUTE($A$82:$A$87,")",""),"(",REPT(" ",100)),100))),0)-IFERROR(Z82:Z87,0)&gt;0,IFERROR(VALUE(TRIM(RIGHT(SUBSTITUTE(SUBSTITUTE($A$82:$A$87,")",""),"(",REPT(" ",100)),100))),0)-IFERROR(Z82:Z87,0),0),0))+SUM(IF(($A$89:$A$100&lt;&gt;"")*(Z89:Z100&lt;&gt;""),IF(IFERROR(VALUE(TRIM(RIGHT(SUBSTITUTE(SUBSTITUTE($A$89:$A$100,")",""),"(",REPT("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0</v>
      </c>
      <c r="AA170" s="166">
        <f t="array" ref="AA170">SUM(IF(($A$11:$A$78&lt;&gt;"")*(AA11:AA78&lt;&gt;""),IF(IFERROR(VALUE(TRIM(RIGHT(SUBSTITUTE(SUBSTITUTE($A$11:$A$78,")",""),"(",REPT(" ",100)),100))),0)-IFERROR(AA11:AA78,0)&gt;0,IFERROR(VALUE(TRIM(RIGHT(SUBSTITUTE(SUBSTITUTE($A$11:$A$78,")",""),"(",REPT(" ",100)),100))),0)-IFERROR(AA11:AA78,0),0),0))+SUM(IF(($A$82:$A$87&lt;&gt;"")*(AA82:AA87&lt;&gt;""),IF(IFERROR(VALUE(TRIM(RIGHT(SUBSTITUTE(SUBSTITUTE($A$82:$A$87,")",""),"(",REPT(" ",100)),100))),0)-IFERROR(AA82:AA87,0)&gt;0,IFERROR(VALUE(TRIM(RIGHT(SUBSTITUTE(SUBSTITUTE($A$82:$A$87,")",""),"(",REPT(" ",100)),100))),0)-IFERROR(AA82:AA87,0),0),0))+SUM(IF(($A$89:$A$100&lt;&gt;"")*(AA89:AA100&lt;&gt;""),IF(IFERROR(VALUE(TRIM(RIGHT(SUBSTITUTE(SUBSTITUTE($A$89:$A$100,")",""),"(",REPT("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0</v>
      </c>
      <c r="AB170" s="166">
        <f t="array" ref="AB170">SUM(IF(($A$11:$A$78&lt;&gt;"")*(AB11:AB78&lt;&gt;""),IF(IFERROR(VALUE(TRIM(RIGHT(SUBSTITUTE(SUBSTITUTE($A$11:$A$78,")",""),"(",REPT(" ",100)),100))),0)-IFERROR(AB11:AB78,0)&gt;0,IFERROR(VALUE(TRIM(RIGHT(SUBSTITUTE(SUBSTITUTE($A$11:$A$78,")",""),"(",REPT(" ",100)),100))),0)-IFERROR(AB11:AB78,0),0),0))+SUM(IF(($A$82:$A$87&lt;&gt;"")*(AB82:AB87&lt;&gt;""),IF(IFERROR(VALUE(TRIM(RIGHT(SUBSTITUTE(SUBSTITUTE($A$82:$A$87,")",""),"(",REPT(" ",100)),100))),0)-IFERROR(AB82:AB87,0)&gt;0,IFERROR(VALUE(TRIM(RIGHT(SUBSTITUTE(SUBSTITUTE($A$82:$A$87,")",""),"(",REPT(" ",100)),100))),0)-IFERROR(AB82:AB87,0),0),0))+SUM(IF(($A$89:$A$100&lt;&gt;"")*(AB89:AB100&lt;&gt;""),IF(IFERROR(VALUE(TRIM(RIGHT(SUBSTITUTE(SUBSTITUTE($A$89:$A$100,")",""),"(",REPT("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0</v>
      </c>
      <c r="AC170" s="166">
        <f t="array" ref="AC170">SUM(IF(($A$11:$A$78&lt;&gt;"")*(AC11:AC78&lt;&gt;""),IF(IFERROR(VALUE(TRIM(RIGHT(SUBSTITUTE(SUBSTITUTE($A$11:$A$78,")",""),"(",REPT(" ",100)),100))),0)-IFERROR(AC11:AC78,0)&gt;0,IFERROR(VALUE(TRIM(RIGHT(SUBSTITUTE(SUBSTITUTE($A$11:$A$78,")",""),"(",REPT(" ",100)),100))),0)-IFERROR(AC11:AC78,0),0),0))+SUM(IF(($A$82:$A$87&lt;&gt;"")*(AC82:AC87&lt;&gt;""),IF(IFERROR(VALUE(TRIM(RIGHT(SUBSTITUTE(SUBSTITUTE($A$82:$A$87,")",""),"(",REPT(" ",100)),100))),0)-IFERROR(AC82:AC87,0)&gt;0,IFERROR(VALUE(TRIM(RIGHT(SUBSTITUTE(SUBSTITUTE($A$82:$A$87,")",""),"(",REPT(" ",100)),100))),0)-IFERROR(AC82:AC87,0),0),0))+SUM(IF(($A$89:$A$100&lt;&gt;"")*(AC89:AC100&lt;&gt;""),IF(IFERROR(VALUE(TRIM(RIGHT(SUBSTITUTE(SUBSTITUTE($A$89:$A$100,")",""),"(",REPT("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0</v>
      </c>
      <c r="AD170" s="166">
        <f t="array" ref="AD170">SUM(IF(($A$11:$A$78&lt;&gt;"")*(AD11:AD78&lt;&gt;""),IF(IFERROR(VALUE(TRIM(RIGHT(SUBSTITUTE(SUBSTITUTE($A$11:$A$78,")",""),"(",REPT(" ",100)),100))),0)-IFERROR(AD11:AD78,0)&gt;0,IFERROR(VALUE(TRIM(RIGHT(SUBSTITUTE(SUBSTITUTE($A$11:$A$78,")",""),"(",REPT(" ",100)),100))),0)-IFERROR(AD11:AD78,0),0),0))+SUM(IF(($A$82:$A$87&lt;&gt;"")*(AD82:AD87&lt;&gt;""),IF(IFERROR(VALUE(TRIM(RIGHT(SUBSTITUTE(SUBSTITUTE($A$82:$A$87,")",""),"(",REPT(" ",100)),100))),0)-IFERROR(AD82:AD87,0)&gt;0,IFERROR(VALUE(TRIM(RIGHT(SUBSTITUTE(SUBSTITUTE($A$82:$A$87,")",""),"(",REPT(" ",100)),100))),0)-IFERROR(AD82:AD87,0),0),0))+SUM(IF(($A$89:$A$100&lt;&gt;"")*(AD89:AD100&lt;&gt;""),IF(IFERROR(VALUE(TRIM(RIGHT(SUBSTITUTE(SUBSTITUTE($A$89:$A$100,")",""),"(",REPT("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0</v>
      </c>
      <c r="AE170" s="166">
        <f t="array" ref="AE170">SUM(IF(($A$11:$A$78&lt;&gt;"")*(AE11:AE78&lt;&gt;""),IF(IFERROR(VALUE(TRIM(RIGHT(SUBSTITUTE(SUBSTITUTE($A$11:$A$78,")",""),"(",REPT(" ",100)),100))),0)-IFERROR(AE11:AE78,0)&gt;0,IFERROR(VALUE(TRIM(RIGHT(SUBSTITUTE(SUBSTITUTE($A$11:$A$78,")",""),"(",REPT(" ",100)),100))),0)-IFERROR(AE11:AE78,0),0),0))+SUM(IF(($A$82:$A$87&lt;&gt;"")*(AE82:AE87&lt;&gt;""),IF(IFERROR(VALUE(TRIM(RIGHT(SUBSTITUTE(SUBSTITUTE($A$82:$A$87,")",""),"(",REPT(" ",100)),100))),0)-IFERROR(AE82:AE87,0)&gt;0,IFERROR(VALUE(TRIM(RIGHT(SUBSTITUTE(SUBSTITUTE($A$82:$A$87,")",""),"(",REPT(" ",100)),100))),0)-IFERROR(AE82:AE87,0),0),0))+SUM(IF(($A$89:$A$100&lt;&gt;"")*(AE89:AE100&lt;&gt;""),IF(IFERROR(VALUE(TRIM(RIGHT(SUBSTITUTE(SUBSTITUTE($A$89:$A$100,")",""),"(",REPT("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0</v>
      </c>
      <c r="AF170" s="166">
        <f t="array" ref="AF170">SUM(IF(($A$11:$A$78&lt;&gt;"")*(AF11:AF78&lt;&gt;""),IF(IFERROR(VALUE(TRIM(RIGHT(SUBSTITUTE(SUBSTITUTE($A$11:$A$78,")",""),"(",REPT(" ",100)),100))),0)-IFERROR(AF11:AF78,0)&gt;0,IFERROR(VALUE(TRIM(RIGHT(SUBSTITUTE(SUBSTITUTE($A$11:$A$78,")",""),"(",REPT(" ",100)),100))),0)-IFERROR(AF11:AF78,0),0),0))+SUM(IF(($A$82:$A$87&lt;&gt;"")*(AF82:AF87&lt;&gt;""),IF(IFERROR(VALUE(TRIM(RIGHT(SUBSTITUTE(SUBSTITUTE($A$82:$A$87,")",""),"(",REPT(" ",100)),100))),0)-IFERROR(AF82:AF87,0)&gt;0,IFERROR(VALUE(TRIM(RIGHT(SUBSTITUTE(SUBSTITUTE($A$82:$A$87,")",""),"(",REPT(" ",100)),100))),0)-IFERROR(AF82:AF87,0),0),0))+SUM(IF(($A$89:$A$100&lt;&gt;"")*(AF89:AF100&lt;&gt;""),IF(IFERROR(VALUE(TRIM(RIGHT(SUBSTITUTE(SUBSTITUTE($A$89:$A$100,")",""),"(",REPT("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0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52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52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53">B172</f>
        <v>0.3</v>
      </c>
      <c r="D172" s="181">
        <f t="shared" si="53"/>
        <v>0.3</v>
      </c>
      <c r="E172" s="181">
        <f t="shared" si="53"/>
        <v>0.3</v>
      </c>
      <c r="F172" s="181">
        <f t="shared" si="53"/>
        <v>0.3</v>
      </c>
      <c r="G172" s="181">
        <f t="shared" si="53"/>
        <v>0.3</v>
      </c>
      <c r="H172" s="181">
        <f t="shared" si="53"/>
        <v>0.3</v>
      </c>
      <c r="I172" s="181">
        <f t="shared" si="53"/>
        <v>0.3</v>
      </c>
      <c r="J172" s="181">
        <f t="shared" si="53"/>
        <v>0.3</v>
      </c>
      <c r="K172" s="181">
        <f t="shared" si="53"/>
        <v>0.3</v>
      </c>
      <c r="L172" s="181">
        <f t="shared" si="53"/>
        <v>0.3</v>
      </c>
      <c r="M172" s="181">
        <f t="shared" si="53"/>
        <v>0.3</v>
      </c>
      <c r="N172" s="181">
        <f t="shared" si="53"/>
        <v>0.3</v>
      </c>
      <c r="O172" s="181">
        <f t="shared" si="53"/>
        <v>0.3</v>
      </c>
      <c r="P172" s="181">
        <f t="shared" si="53"/>
        <v>0.3</v>
      </c>
      <c r="Q172" s="181">
        <f t="shared" si="53"/>
        <v>0.3</v>
      </c>
      <c r="R172" s="181">
        <f t="shared" si="53"/>
        <v>0.3</v>
      </c>
      <c r="S172" s="181">
        <f t="shared" ref="S172:AF177" si="54">R172</f>
        <v>0.3</v>
      </c>
      <c r="T172" s="181">
        <f t="shared" si="54"/>
        <v>0.3</v>
      </c>
      <c r="U172" s="181">
        <f t="shared" si="54"/>
        <v>0.3</v>
      </c>
      <c r="V172" s="181">
        <f t="shared" si="54"/>
        <v>0.3</v>
      </c>
      <c r="W172" s="181">
        <f t="shared" si="54"/>
        <v>0.3</v>
      </c>
      <c r="X172" s="181">
        <f t="shared" si="54"/>
        <v>0.3</v>
      </c>
      <c r="Y172" s="181">
        <f t="shared" si="54"/>
        <v>0.3</v>
      </c>
      <c r="Z172" s="181">
        <f t="shared" si="54"/>
        <v>0.3</v>
      </c>
      <c r="AA172" s="181">
        <f t="shared" si="54"/>
        <v>0.3</v>
      </c>
      <c r="AB172" s="181">
        <f t="shared" si="54"/>
        <v>0.3</v>
      </c>
      <c r="AC172" s="181">
        <f t="shared" si="54"/>
        <v>0.3</v>
      </c>
      <c r="AD172" s="181">
        <f t="shared" si="54"/>
        <v>0.3</v>
      </c>
      <c r="AE172" s="181">
        <f t="shared" si="54"/>
        <v>0.3</v>
      </c>
      <c r="AF172" s="181">
        <f t="shared" si="54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55">AN$168*AM172</f>
        <v>28</v>
      </c>
      <c r="AO172" s="134">
        <f t="shared" si="52"/>
        <v>0</v>
      </c>
    </row>
    <row r="173" spans="1:41" x14ac:dyDescent="0.25">
      <c r="A173" s="113" t="s">
        <v>141</v>
      </c>
      <c r="B173" s="183">
        <v>0.4</v>
      </c>
      <c r="C173" s="183">
        <f t="shared" si="53"/>
        <v>0.4</v>
      </c>
      <c r="D173" s="183">
        <f t="shared" si="53"/>
        <v>0.4</v>
      </c>
      <c r="E173" s="183">
        <f t="shared" si="53"/>
        <v>0.4</v>
      </c>
      <c r="F173" s="183">
        <f t="shared" si="53"/>
        <v>0.4</v>
      </c>
      <c r="G173" s="183">
        <f t="shared" si="53"/>
        <v>0.4</v>
      </c>
      <c r="H173" s="183">
        <f t="shared" si="53"/>
        <v>0.4</v>
      </c>
      <c r="I173" s="183">
        <f t="shared" si="53"/>
        <v>0.4</v>
      </c>
      <c r="J173" s="183">
        <f t="shared" si="53"/>
        <v>0.4</v>
      </c>
      <c r="K173" s="183">
        <f t="shared" si="53"/>
        <v>0.4</v>
      </c>
      <c r="L173" s="183">
        <f t="shared" si="53"/>
        <v>0.4</v>
      </c>
      <c r="M173" s="183">
        <f t="shared" si="53"/>
        <v>0.4</v>
      </c>
      <c r="N173" s="183">
        <f t="shared" si="53"/>
        <v>0.4</v>
      </c>
      <c r="O173" s="183">
        <f t="shared" si="53"/>
        <v>0.4</v>
      </c>
      <c r="P173" s="183">
        <f t="shared" si="53"/>
        <v>0.4</v>
      </c>
      <c r="Q173" s="183">
        <f t="shared" si="53"/>
        <v>0.4</v>
      </c>
      <c r="R173" s="183">
        <f t="shared" si="53"/>
        <v>0.4</v>
      </c>
      <c r="S173" s="183">
        <f t="shared" si="54"/>
        <v>0.4</v>
      </c>
      <c r="T173" s="183">
        <f t="shared" si="54"/>
        <v>0.4</v>
      </c>
      <c r="U173" s="183">
        <f t="shared" si="54"/>
        <v>0.4</v>
      </c>
      <c r="V173" s="183">
        <f t="shared" si="54"/>
        <v>0.4</v>
      </c>
      <c r="W173" s="183">
        <f t="shared" si="54"/>
        <v>0.4</v>
      </c>
      <c r="X173" s="183">
        <f t="shared" si="54"/>
        <v>0.4</v>
      </c>
      <c r="Y173" s="183">
        <f t="shared" si="54"/>
        <v>0.4</v>
      </c>
      <c r="Z173" s="183">
        <f t="shared" si="54"/>
        <v>0.4</v>
      </c>
      <c r="AA173" s="183">
        <f t="shared" si="54"/>
        <v>0.4</v>
      </c>
      <c r="AB173" s="183">
        <f t="shared" si="54"/>
        <v>0.4</v>
      </c>
      <c r="AC173" s="183">
        <f t="shared" si="54"/>
        <v>0.4</v>
      </c>
      <c r="AD173" s="183">
        <f t="shared" si="54"/>
        <v>0.4</v>
      </c>
      <c r="AE173" s="183">
        <f t="shared" si="54"/>
        <v>0.4</v>
      </c>
      <c r="AF173" s="183">
        <f t="shared" si="54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55"/>
        <v>60</v>
      </c>
      <c r="AO173" s="136">
        <f t="shared" si="52"/>
        <v>0</v>
      </c>
    </row>
    <row r="174" spans="1:41" x14ac:dyDescent="0.25">
      <c r="A174" s="113" t="s">
        <v>143</v>
      </c>
      <c r="B174" s="183">
        <v>1.5</v>
      </c>
      <c r="C174" s="183">
        <f t="shared" si="53"/>
        <v>1.5</v>
      </c>
      <c r="D174" s="183">
        <f t="shared" si="53"/>
        <v>1.5</v>
      </c>
      <c r="E174" s="183">
        <f t="shared" si="53"/>
        <v>1.5</v>
      </c>
      <c r="F174" s="183">
        <f t="shared" si="53"/>
        <v>1.5</v>
      </c>
      <c r="G174" s="183">
        <f t="shared" si="53"/>
        <v>1.5</v>
      </c>
      <c r="H174" s="183">
        <f t="shared" si="53"/>
        <v>1.5</v>
      </c>
      <c r="I174" s="183">
        <f t="shared" si="53"/>
        <v>1.5</v>
      </c>
      <c r="J174" s="183">
        <f t="shared" si="53"/>
        <v>1.5</v>
      </c>
      <c r="K174" s="183">
        <f t="shared" si="53"/>
        <v>1.5</v>
      </c>
      <c r="L174" s="183">
        <f t="shared" si="53"/>
        <v>1.5</v>
      </c>
      <c r="M174" s="183">
        <f t="shared" si="53"/>
        <v>1.5</v>
      </c>
      <c r="N174" s="183">
        <f t="shared" si="53"/>
        <v>1.5</v>
      </c>
      <c r="O174" s="183">
        <f t="shared" si="53"/>
        <v>1.5</v>
      </c>
      <c r="P174" s="183">
        <f t="shared" si="53"/>
        <v>1.5</v>
      </c>
      <c r="Q174" s="183">
        <f t="shared" si="53"/>
        <v>1.5</v>
      </c>
      <c r="R174" s="183">
        <f t="shared" si="53"/>
        <v>1.5</v>
      </c>
      <c r="S174" s="183">
        <f t="shared" si="54"/>
        <v>1.5</v>
      </c>
      <c r="T174" s="183">
        <f t="shared" si="54"/>
        <v>1.5</v>
      </c>
      <c r="U174" s="183">
        <f t="shared" si="54"/>
        <v>1.5</v>
      </c>
      <c r="V174" s="183">
        <f t="shared" si="54"/>
        <v>1.5</v>
      </c>
      <c r="W174" s="183">
        <f t="shared" si="54"/>
        <v>1.5</v>
      </c>
      <c r="X174" s="183">
        <f t="shared" si="54"/>
        <v>1.5</v>
      </c>
      <c r="Y174" s="183">
        <f t="shared" si="54"/>
        <v>1.5</v>
      </c>
      <c r="Z174" s="183">
        <f t="shared" si="54"/>
        <v>1.5</v>
      </c>
      <c r="AA174" s="183">
        <f t="shared" si="54"/>
        <v>1.5</v>
      </c>
      <c r="AB174" s="183">
        <f t="shared" si="54"/>
        <v>1.5</v>
      </c>
      <c r="AC174" s="183">
        <f t="shared" si="54"/>
        <v>1.5</v>
      </c>
      <c r="AD174" s="183">
        <f t="shared" si="54"/>
        <v>1.5</v>
      </c>
      <c r="AE174" s="183">
        <f t="shared" si="54"/>
        <v>1.5</v>
      </c>
      <c r="AF174" s="183">
        <f t="shared" si="54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55"/>
        <v>12</v>
      </c>
      <c r="AO174" s="136">
        <f t="shared" si="52"/>
        <v>0</v>
      </c>
    </row>
    <row r="175" spans="1:41" x14ac:dyDescent="0.25">
      <c r="A175" s="113" t="s">
        <v>145</v>
      </c>
      <c r="B175" s="183">
        <v>0.3</v>
      </c>
      <c r="C175" s="183">
        <f t="shared" si="53"/>
        <v>0.3</v>
      </c>
      <c r="D175" s="183">
        <f t="shared" si="53"/>
        <v>0.3</v>
      </c>
      <c r="E175" s="183">
        <f t="shared" si="53"/>
        <v>0.3</v>
      </c>
      <c r="F175" s="183">
        <f t="shared" si="53"/>
        <v>0.3</v>
      </c>
      <c r="G175" s="183">
        <f t="shared" si="53"/>
        <v>0.3</v>
      </c>
      <c r="H175" s="183">
        <f t="shared" si="53"/>
        <v>0.3</v>
      </c>
      <c r="I175" s="183">
        <f t="shared" si="53"/>
        <v>0.3</v>
      </c>
      <c r="J175" s="183">
        <f t="shared" si="53"/>
        <v>0.3</v>
      </c>
      <c r="K175" s="183">
        <f t="shared" si="53"/>
        <v>0.3</v>
      </c>
      <c r="L175" s="183">
        <f t="shared" si="53"/>
        <v>0.3</v>
      </c>
      <c r="M175" s="183">
        <f t="shared" si="53"/>
        <v>0.3</v>
      </c>
      <c r="N175" s="183">
        <f t="shared" si="53"/>
        <v>0.3</v>
      </c>
      <c r="O175" s="183">
        <f t="shared" si="53"/>
        <v>0.3</v>
      </c>
      <c r="P175" s="183">
        <f t="shared" si="53"/>
        <v>0.3</v>
      </c>
      <c r="Q175" s="183">
        <f t="shared" si="53"/>
        <v>0.3</v>
      </c>
      <c r="R175" s="183">
        <f t="shared" si="53"/>
        <v>0.3</v>
      </c>
      <c r="S175" s="183">
        <f t="shared" si="54"/>
        <v>0.3</v>
      </c>
      <c r="T175" s="183">
        <f t="shared" si="54"/>
        <v>0.3</v>
      </c>
      <c r="U175" s="183">
        <f t="shared" si="54"/>
        <v>0.3</v>
      </c>
      <c r="V175" s="183">
        <f t="shared" si="54"/>
        <v>0.3</v>
      </c>
      <c r="W175" s="183">
        <f t="shared" si="54"/>
        <v>0.3</v>
      </c>
      <c r="X175" s="183">
        <f t="shared" si="54"/>
        <v>0.3</v>
      </c>
      <c r="Y175" s="183">
        <f t="shared" si="54"/>
        <v>0.3</v>
      </c>
      <c r="Z175" s="183">
        <f t="shared" si="54"/>
        <v>0.3</v>
      </c>
      <c r="AA175" s="183">
        <f t="shared" si="54"/>
        <v>0.3</v>
      </c>
      <c r="AB175" s="183">
        <f t="shared" si="54"/>
        <v>0.3</v>
      </c>
      <c r="AC175" s="183">
        <f t="shared" si="54"/>
        <v>0.3</v>
      </c>
      <c r="AD175" s="183">
        <f t="shared" si="54"/>
        <v>0.3</v>
      </c>
      <c r="AE175" s="183">
        <f t="shared" si="54"/>
        <v>0.3</v>
      </c>
      <c r="AF175" s="183">
        <f t="shared" si="54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55"/>
        <v>11</v>
      </c>
      <c r="AO175" s="136">
        <f t="shared" si="52"/>
        <v>0</v>
      </c>
    </row>
    <row r="176" spans="1:41" x14ac:dyDescent="0.25">
      <c r="A176" s="113" t="s">
        <v>147</v>
      </c>
      <c r="B176" s="183">
        <v>0.4</v>
      </c>
      <c r="C176" s="183">
        <f t="shared" si="53"/>
        <v>0.4</v>
      </c>
      <c r="D176" s="183">
        <f t="shared" si="53"/>
        <v>0.4</v>
      </c>
      <c r="E176" s="183">
        <f t="shared" si="53"/>
        <v>0.4</v>
      </c>
      <c r="F176" s="183">
        <f t="shared" si="53"/>
        <v>0.4</v>
      </c>
      <c r="G176" s="183">
        <f t="shared" si="53"/>
        <v>0.4</v>
      </c>
      <c r="H176" s="183">
        <f t="shared" si="53"/>
        <v>0.4</v>
      </c>
      <c r="I176" s="183">
        <f t="shared" si="53"/>
        <v>0.4</v>
      </c>
      <c r="J176" s="183">
        <f t="shared" si="53"/>
        <v>0.4</v>
      </c>
      <c r="K176" s="183">
        <f t="shared" si="53"/>
        <v>0.4</v>
      </c>
      <c r="L176" s="183">
        <f t="shared" si="53"/>
        <v>0.4</v>
      </c>
      <c r="M176" s="183">
        <f t="shared" si="53"/>
        <v>0.4</v>
      </c>
      <c r="N176" s="183">
        <f t="shared" si="53"/>
        <v>0.4</v>
      </c>
      <c r="O176" s="183">
        <f t="shared" si="53"/>
        <v>0.4</v>
      </c>
      <c r="P176" s="183">
        <f t="shared" si="53"/>
        <v>0.4</v>
      </c>
      <c r="Q176" s="183">
        <f t="shared" si="53"/>
        <v>0.4</v>
      </c>
      <c r="R176" s="183">
        <f t="shared" si="53"/>
        <v>0.4</v>
      </c>
      <c r="S176" s="183">
        <f t="shared" si="54"/>
        <v>0.4</v>
      </c>
      <c r="T176" s="183">
        <f t="shared" si="54"/>
        <v>0.4</v>
      </c>
      <c r="U176" s="183">
        <f t="shared" si="54"/>
        <v>0.4</v>
      </c>
      <c r="V176" s="183">
        <f t="shared" si="54"/>
        <v>0.4</v>
      </c>
      <c r="W176" s="183">
        <f t="shared" si="54"/>
        <v>0.4</v>
      </c>
      <c r="X176" s="183">
        <f t="shared" si="54"/>
        <v>0.4</v>
      </c>
      <c r="Y176" s="183">
        <f t="shared" si="54"/>
        <v>0.4</v>
      </c>
      <c r="Z176" s="183">
        <f t="shared" si="54"/>
        <v>0.4</v>
      </c>
      <c r="AA176" s="183">
        <f t="shared" si="54"/>
        <v>0.4</v>
      </c>
      <c r="AB176" s="183">
        <f t="shared" si="54"/>
        <v>0.4</v>
      </c>
      <c r="AC176" s="183">
        <f t="shared" si="54"/>
        <v>0.4</v>
      </c>
      <c r="AD176" s="183">
        <f t="shared" si="54"/>
        <v>0.4</v>
      </c>
      <c r="AE176" s="183">
        <f t="shared" si="54"/>
        <v>0.4</v>
      </c>
      <c r="AF176" s="183">
        <f t="shared" si="54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55"/>
        <v>36</v>
      </c>
      <c r="AO176" s="136">
        <f t="shared" si="52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53"/>
        <v>0.64</v>
      </c>
      <c r="D177" s="186">
        <f t="shared" si="53"/>
        <v>0.64</v>
      </c>
      <c r="E177" s="186">
        <f t="shared" si="53"/>
        <v>0.64</v>
      </c>
      <c r="F177" s="186">
        <f t="shared" si="53"/>
        <v>0.64</v>
      </c>
      <c r="G177" s="186">
        <f t="shared" si="53"/>
        <v>0.64</v>
      </c>
      <c r="H177" s="186">
        <f t="shared" si="53"/>
        <v>0.64</v>
      </c>
      <c r="I177" s="186">
        <f t="shared" si="53"/>
        <v>0.64</v>
      </c>
      <c r="J177" s="186">
        <f t="shared" si="53"/>
        <v>0.64</v>
      </c>
      <c r="K177" s="186">
        <f t="shared" si="53"/>
        <v>0.64</v>
      </c>
      <c r="L177" s="186">
        <f t="shared" si="53"/>
        <v>0.64</v>
      </c>
      <c r="M177" s="186">
        <f t="shared" si="53"/>
        <v>0.64</v>
      </c>
      <c r="N177" s="186">
        <f t="shared" si="53"/>
        <v>0.64</v>
      </c>
      <c r="O177" s="186">
        <f t="shared" si="53"/>
        <v>0.64</v>
      </c>
      <c r="P177" s="186">
        <f t="shared" si="53"/>
        <v>0.64</v>
      </c>
      <c r="Q177" s="186">
        <f t="shared" si="53"/>
        <v>0.64</v>
      </c>
      <c r="R177" s="186">
        <f t="shared" si="53"/>
        <v>0.64</v>
      </c>
      <c r="S177" s="186">
        <f t="shared" si="54"/>
        <v>0.64</v>
      </c>
      <c r="T177" s="186">
        <f t="shared" si="54"/>
        <v>0.64</v>
      </c>
      <c r="U177" s="186">
        <f t="shared" si="54"/>
        <v>0.64</v>
      </c>
      <c r="V177" s="186">
        <f t="shared" si="54"/>
        <v>0.64</v>
      </c>
      <c r="W177" s="186">
        <f t="shared" si="54"/>
        <v>0.64</v>
      </c>
      <c r="X177" s="186">
        <f t="shared" si="54"/>
        <v>0.64</v>
      </c>
      <c r="Y177" s="186">
        <f t="shared" si="54"/>
        <v>0.64</v>
      </c>
      <c r="Z177" s="186">
        <f t="shared" si="54"/>
        <v>0.64</v>
      </c>
      <c r="AA177" s="186">
        <f t="shared" si="54"/>
        <v>0.64</v>
      </c>
      <c r="AB177" s="186">
        <f t="shared" si="54"/>
        <v>0.64</v>
      </c>
      <c r="AC177" s="186">
        <f t="shared" si="54"/>
        <v>0.64</v>
      </c>
      <c r="AD177" s="186">
        <f t="shared" si="54"/>
        <v>0.64</v>
      </c>
      <c r="AE177" s="186">
        <f t="shared" si="54"/>
        <v>0.64</v>
      </c>
      <c r="AF177" s="186">
        <f t="shared" si="54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55"/>
        <v>45</v>
      </c>
      <c r="AO177" s="136">
        <f t="shared" si="52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56">SUM(C172:C177)</f>
        <v>3.54</v>
      </c>
      <c r="D178" s="189">
        <f t="shared" si="56"/>
        <v>3.54</v>
      </c>
      <c r="E178" s="189">
        <f t="shared" si="56"/>
        <v>3.54</v>
      </c>
      <c r="F178" s="189">
        <f t="shared" si="56"/>
        <v>3.54</v>
      </c>
      <c r="G178" s="189">
        <f t="shared" si="56"/>
        <v>3.54</v>
      </c>
      <c r="H178" s="189">
        <f t="shared" si="56"/>
        <v>3.54</v>
      </c>
      <c r="I178" s="189">
        <f t="shared" si="56"/>
        <v>3.54</v>
      </c>
      <c r="J178" s="189">
        <f t="shared" si="56"/>
        <v>3.54</v>
      </c>
      <c r="K178" s="189">
        <f t="shared" si="56"/>
        <v>3.54</v>
      </c>
      <c r="L178" s="189">
        <f t="shared" si="56"/>
        <v>3.54</v>
      </c>
      <c r="M178" s="189">
        <f t="shared" si="56"/>
        <v>3.54</v>
      </c>
      <c r="N178" s="189">
        <f t="shared" si="56"/>
        <v>3.54</v>
      </c>
      <c r="O178" s="189">
        <f t="shared" si="56"/>
        <v>3.54</v>
      </c>
      <c r="P178" s="189">
        <f t="shared" si="56"/>
        <v>3.54</v>
      </c>
      <c r="Q178" s="189">
        <f t="shared" si="56"/>
        <v>3.54</v>
      </c>
      <c r="R178" s="189">
        <f t="shared" si="56"/>
        <v>3.54</v>
      </c>
      <c r="S178" s="189">
        <f t="shared" si="56"/>
        <v>3.54</v>
      </c>
      <c r="T178" s="189">
        <f t="shared" si="56"/>
        <v>3.54</v>
      </c>
      <c r="U178" s="189">
        <f t="shared" si="56"/>
        <v>3.54</v>
      </c>
      <c r="V178" s="189">
        <f t="shared" si="56"/>
        <v>3.54</v>
      </c>
      <c r="W178" s="189">
        <f t="shared" si="56"/>
        <v>3.54</v>
      </c>
      <c r="X178" s="189">
        <f t="shared" si="56"/>
        <v>3.54</v>
      </c>
      <c r="Y178" s="189">
        <f t="shared" si="56"/>
        <v>3.54</v>
      </c>
      <c r="Z178" s="189">
        <f t="shared" si="56"/>
        <v>3.54</v>
      </c>
      <c r="AA178" s="189">
        <f t="shared" si="56"/>
        <v>3.54</v>
      </c>
      <c r="AB178" s="189">
        <f t="shared" si="56"/>
        <v>3.54</v>
      </c>
      <c r="AC178" s="189">
        <f t="shared" si="56"/>
        <v>3.54</v>
      </c>
      <c r="AD178" s="189">
        <f t="shared" si="56"/>
        <v>3.54</v>
      </c>
      <c r="AE178" s="189">
        <f t="shared" si="56"/>
        <v>3.54</v>
      </c>
      <c r="AF178" s="189">
        <f t="shared" si="56"/>
        <v>3.54</v>
      </c>
      <c r="AG178" s="190">
        <f t="shared" si="56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57">B180</f>
        <v>0</v>
      </c>
      <c r="D180" s="181">
        <f t="shared" si="57"/>
        <v>0</v>
      </c>
      <c r="E180" s="181">
        <f t="shared" si="57"/>
        <v>0</v>
      </c>
      <c r="F180" s="181">
        <f t="shared" si="57"/>
        <v>0</v>
      </c>
      <c r="G180" s="181">
        <f t="shared" si="57"/>
        <v>0</v>
      </c>
      <c r="H180" s="181">
        <f t="shared" si="57"/>
        <v>0</v>
      </c>
      <c r="I180" s="181">
        <f t="shared" si="57"/>
        <v>0</v>
      </c>
      <c r="J180" s="181">
        <f t="shared" si="57"/>
        <v>0</v>
      </c>
      <c r="K180" s="181">
        <f t="shared" si="57"/>
        <v>0</v>
      </c>
      <c r="L180" s="181">
        <f t="shared" si="57"/>
        <v>0</v>
      </c>
      <c r="M180" s="181">
        <f t="shared" si="57"/>
        <v>0</v>
      </c>
      <c r="N180" s="181">
        <f t="shared" si="57"/>
        <v>0</v>
      </c>
      <c r="O180" s="181">
        <f t="shared" si="57"/>
        <v>0</v>
      </c>
      <c r="P180" s="181">
        <f t="shared" si="57"/>
        <v>0</v>
      </c>
      <c r="Q180" s="181">
        <f t="shared" si="57"/>
        <v>0</v>
      </c>
      <c r="R180" s="181">
        <f t="shared" si="57"/>
        <v>0</v>
      </c>
      <c r="S180" s="181">
        <f t="shared" ref="S180:AF195" si="58">R180</f>
        <v>0</v>
      </c>
      <c r="T180" s="181">
        <f t="shared" si="58"/>
        <v>0</v>
      </c>
      <c r="U180" s="181">
        <f t="shared" si="58"/>
        <v>0</v>
      </c>
      <c r="V180" s="181">
        <f t="shared" si="58"/>
        <v>0</v>
      </c>
      <c r="W180" s="181">
        <f t="shared" si="58"/>
        <v>0</v>
      </c>
      <c r="X180" s="181">
        <f t="shared" si="58"/>
        <v>0</v>
      </c>
      <c r="Y180" s="181">
        <f t="shared" si="58"/>
        <v>0</v>
      </c>
      <c r="Z180" s="181">
        <f t="shared" si="58"/>
        <v>0</v>
      </c>
      <c r="AA180" s="181">
        <f t="shared" si="58"/>
        <v>0</v>
      </c>
      <c r="AB180" s="181">
        <f t="shared" si="58"/>
        <v>0</v>
      </c>
      <c r="AC180" s="181">
        <f t="shared" si="58"/>
        <v>0</v>
      </c>
      <c r="AD180" s="181">
        <f t="shared" si="58"/>
        <v>0</v>
      </c>
      <c r="AE180" s="181">
        <f t="shared" si="58"/>
        <v>0</v>
      </c>
      <c r="AF180" s="194">
        <f t="shared" si="58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57"/>
        <v>0</v>
      </c>
      <c r="D181" s="183">
        <f t="shared" si="57"/>
        <v>0</v>
      </c>
      <c r="E181" s="183">
        <f t="shared" si="57"/>
        <v>0</v>
      </c>
      <c r="F181" s="183">
        <f t="shared" si="57"/>
        <v>0</v>
      </c>
      <c r="G181" s="183">
        <f t="shared" si="57"/>
        <v>0</v>
      </c>
      <c r="H181" s="183">
        <f t="shared" si="57"/>
        <v>0</v>
      </c>
      <c r="I181" s="183">
        <f t="shared" si="57"/>
        <v>0</v>
      </c>
      <c r="J181" s="183">
        <f t="shared" si="57"/>
        <v>0</v>
      </c>
      <c r="K181" s="183">
        <f t="shared" si="57"/>
        <v>0</v>
      </c>
      <c r="L181" s="183">
        <f t="shared" si="57"/>
        <v>0</v>
      </c>
      <c r="M181" s="183">
        <f t="shared" si="57"/>
        <v>0</v>
      </c>
      <c r="N181" s="183">
        <f t="shared" si="57"/>
        <v>0</v>
      </c>
      <c r="O181" s="183">
        <f t="shared" si="57"/>
        <v>0</v>
      </c>
      <c r="P181" s="183">
        <f t="shared" si="57"/>
        <v>0</v>
      </c>
      <c r="Q181" s="183">
        <f t="shared" si="57"/>
        <v>0</v>
      </c>
      <c r="R181" s="183">
        <f t="shared" si="57"/>
        <v>0</v>
      </c>
      <c r="S181" s="183">
        <f t="shared" si="58"/>
        <v>0</v>
      </c>
      <c r="T181" s="183">
        <f t="shared" si="58"/>
        <v>0</v>
      </c>
      <c r="U181" s="183">
        <f t="shared" si="58"/>
        <v>0</v>
      </c>
      <c r="V181" s="183">
        <f t="shared" si="58"/>
        <v>0</v>
      </c>
      <c r="W181" s="183">
        <f t="shared" si="58"/>
        <v>0</v>
      </c>
      <c r="X181" s="183">
        <f t="shared" si="58"/>
        <v>0</v>
      </c>
      <c r="Y181" s="183">
        <f t="shared" si="58"/>
        <v>0</v>
      </c>
      <c r="Z181" s="183">
        <f t="shared" si="58"/>
        <v>0</v>
      </c>
      <c r="AA181" s="183">
        <f t="shared" si="58"/>
        <v>0</v>
      </c>
      <c r="AB181" s="183">
        <f t="shared" si="58"/>
        <v>0</v>
      </c>
      <c r="AC181" s="183">
        <f t="shared" si="58"/>
        <v>0</v>
      </c>
      <c r="AD181" s="183">
        <f t="shared" si="58"/>
        <v>0</v>
      </c>
      <c r="AE181" s="183">
        <f t="shared" si="58"/>
        <v>0</v>
      </c>
      <c r="AF181" s="196">
        <f t="shared" si="58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57"/>
        <v>0</v>
      </c>
      <c r="D182" s="183">
        <f t="shared" si="57"/>
        <v>0</v>
      </c>
      <c r="E182" s="183">
        <f t="shared" si="57"/>
        <v>0</v>
      </c>
      <c r="F182" s="183">
        <f t="shared" si="57"/>
        <v>0</v>
      </c>
      <c r="G182" s="183">
        <f t="shared" si="57"/>
        <v>0</v>
      </c>
      <c r="H182" s="183">
        <f t="shared" si="57"/>
        <v>0</v>
      </c>
      <c r="I182" s="183">
        <f t="shared" si="57"/>
        <v>0</v>
      </c>
      <c r="J182" s="183">
        <f t="shared" si="57"/>
        <v>0</v>
      </c>
      <c r="K182" s="183">
        <f t="shared" si="57"/>
        <v>0</v>
      </c>
      <c r="L182" s="183">
        <f t="shared" si="57"/>
        <v>0</v>
      </c>
      <c r="M182" s="183">
        <f t="shared" si="57"/>
        <v>0</v>
      </c>
      <c r="N182" s="183">
        <f t="shared" si="57"/>
        <v>0</v>
      </c>
      <c r="O182" s="183">
        <f t="shared" si="57"/>
        <v>0</v>
      </c>
      <c r="P182" s="183">
        <f t="shared" si="57"/>
        <v>0</v>
      </c>
      <c r="Q182" s="183">
        <f t="shared" si="57"/>
        <v>0</v>
      </c>
      <c r="R182" s="183">
        <f t="shared" si="57"/>
        <v>0</v>
      </c>
      <c r="S182" s="183">
        <f t="shared" si="58"/>
        <v>0</v>
      </c>
      <c r="T182" s="183">
        <f t="shared" si="58"/>
        <v>0</v>
      </c>
      <c r="U182" s="183">
        <f t="shared" si="58"/>
        <v>0</v>
      </c>
      <c r="V182" s="183">
        <f t="shared" si="58"/>
        <v>0</v>
      </c>
      <c r="W182" s="183">
        <f t="shared" si="58"/>
        <v>0</v>
      </c>
      <c r="X182" s="183">
        <f t="shared" si="58"/>
        <v>0</v>
      </c>
      <c r="Y182" s="183">
        <f t="shared" si="58"/>
        <v>0</v>
      </c>
      <c r="Z182" s="183">
        <f t="shared" si="58"/>
        <v>0</v>
      </c>
      <c r="AA182" s="183">
        <f t="shared" si="58"/>
        <v>0</v>
      </c>
      <c r="AB182" s="183">
        <f t="shared" si="58"/>
        <v>0</v>
      </c>
      <c r="AC182" s="183">
        <f t="shared" si="58"/>
        <v>0</v>
      </c>
      <c r="AD182" s="183">
        <f t="shared" si="58"/>
        <v>0</v>
      </c>
      <c r="AE182" s="183">
        <f t="shared" si="58"/>
        <v>0</v>
      </c>
      <c r="AF182" s="196">
        <f t="shared" si="58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57"/>
        <v>0</v>
      </c>
      <c r="D183" s="183">
        <f t="shared" si="57"/>
        <v>0</v>
      </c>
      <c r="E183" s="183">
        <f t="shared" si="57"/>
        <v>0</v>
      </c>
      <c r="F183" s="183">
        <f t="shared" si="57"/>
        <v>0</v>
      </c>
      <c r="G183" s="183">
        <f t="shared" si="57"/>
        <v>0</v>
      </c>
      <c r="H183" s="183">
        <f t="shared" si="57"/>
        <v>0</v>
      </c>
      <c r="I183" s="183">
        <f t="shared" si="57"/>
        <v>0</v>
      </c>
      <c r="J183" s="183">
        <f t="shared" si="57"/>
        <v>0</v>
      </c>
      <c r="K183" s="183">
        <f t="shared" si="57"/>
        <v>0</v>
      </c>
      <c r="L183" s="183">
        <f t="shared" si="57"/>
        <v>0</v>
      </c>
      <c r="M183" s="183">
        <f t="shared" si="57"/>
        <v>0</v>
      </c>
      <c r="N183" s="183">
        <f t="shared" si="57"/>
        <v>0</v>
      </c>
      <c r="O183" s="183">
        <f t="shared" si="57"/>
        <v>0</v>
      </c>
      <c r="P183" s="183">
        <f t="shared" si="57"/>
        <v>0</v>
      </c>
      <c r="Q183" s="183">
        <f t="shared" si="57"/>
        <v>0</v>
      </c>
      <c r="R183" s="183">
        <f t="shared" si="57"/>
        <v>0</v>
      </c>
      <c r="S183" s="183">
        <f t="shared" si="58"/>
        <v>0</v>
      </c>
      <c r="T183" s="183">
        <f t="shared" si="58"/>
        <v>0</v>
      </c>
      <c r="U183" s="183">
        <f t="shared" si="58"/>
        <v>0</v>
      </c>
      <c r="V183" s="183">
        <f t="shared" si="58"/>
        <v>0</v>
      </c>
      <c r="W183" s="183">
        <f t="shared" si="58"/>
        <v>0</v>
      </c>
      <c r="X183" s="183">
        <f t="shared" si="58"/>
        <v>0</v>
      </c>
      <c r="Y183" s="183">
        <f t="shared" si="58"/>
        <v>0</v>
      </c>
      <c r="Z183" s="183">
        <f t="shared" si="58"/>
        <v>0</v>
      </c>
      <c r="AA183" s="183">
        <f t="shared" si="58"/>
        <v>0</v>
      </c>
      <c r="AB183" s="183">
        <f t="shared" si="58"/>
        <v>0</v>
      </c>
      <c r="AC183" s="183">
        <f t="shared" si="58"/>
        <v>0</v>
      </c>
      <c r="AD183" s="183">
        <f t="shared" si="58"/>
        <v>0</v>
      </c>
      <c r="AE183" s="183">
        <f t="shared" si="58"/>
        <v>0</v>
      </c>
      <c r="AF183" s="196">
        <f t="shared" si="58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57"/>
        <v>0</v>
      </c>
      <c r="D184" s="183">
        <f t="shared" si="57"/>
        <v>0</v>
      </c>
      <c r="E184" s="183">
        <f t="shared" si="57"/>
        <v>0</v>
      </c>
      <c r="F184" s="183">
        <f t="shared" si="57"/>
        <v>0</v>
      </c>
      <c r="G184" s="183">
        <f t="shared" si="57"/>
        <v>0</v>
      </c>
      <c r="H184" s="183">
        <f t="shared" si="57"/>
        <v>0</v>
      </c>
      <c r="I184" s="183">
        <f t="shared" si="57"/>
        <v>0</v>
      </c>
      <c r="J184" s="183">
        <f t="shared" si="57"/>
        <v>0</v>
      </c>
      <c r="K184" s="183">
        <f t="shared" si="57"/>
        <v>0</v>
      </c>
      <c r="L184" s="183">
        <f t="shared" si="57"/>
        <v>0</v>
      </c>
      <c r="M184" s="183">
        <f t="shared" si="57"/>
        <v>0</v>
      </c>
      <c r="N184" s="183">
        <f t="shared" si="57"/>
        <v>0</v>
      </c>
      <c r="O184" s="183">
        <f t="shared" si="57"/>
        <v>0</v>
      </c>
      <c r="P184" s="183">
        <f t="shared" si="57"/>
        <v>0</v>
      </c>
      <c r="Q184" s="183">
        <f t="shared" si="57"/>
        <v>0</v>
      </c>
      <c r="R184" s="183">
        <f t="shared" si="57"/>
        <v>0</v>
      </c>
      <c r="S184" s="183">
        <f t="shared" si="58"/>
        <v>0</v>
      </c>
      <c r="T184" s="183">
        <f t="shared" si="58"/>
        <v>0</v>
      </c>
      <c r="U184" s="183">
        <f t="shared" si="58"/>
        <v>0</v>
      </c>
      <c r="V184" s="183">
        <f t="shared" si="58"/>
        <v>0</v>
      </c>
      <c r="W184" s="183">
        <f t="shared" si="58"/>
        <v>0</v>
      </c>
      <c r="X184" s="183">
        <f t="shared" si="58"/>
        <v>0</v>
      </c>
      <c r="Y184" s="183">
        <f t="shared" si="58"/>
        <v>0</v>
      </c>
      <c r="Z184" s="183">
        <f t="shared" si="58"/>
        <v>0</v>
      </c>
      <c r="AA184" s="183">
        <f t="shared" si="58"/>
        <v>0</v>
      </c>
      <c r="AB184" s="183">
        <f t="shared" si="58"/>
        <v>0</v>
      </c>
      <c r="AC184" s="183">
        <f t="shared" si="58"/>
        <v>0</v>
      </c>
      <c r="AD184" s="183">
        <f t="shared" si="58"/>
        <v>0</v>
      </c>
      <c r="AE184" s="183">
        <f t="shared" si="58"/>
        <v>0</v>
      </c>
      <c r="AF184" s="196">
        <f t="shared" si="58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57"/>
        <v>0</v>
      </c>
      <c r="D185" s="183">
        <f t="shared" si="57"/>
        <v>0</v>
      </c>
      <c r="E185" s="183">
        <f t="shared" si="57"/>
        <v>0</v>
      </c>
      <c r="F185" s="183">
        <f t="shared" si="57"/>
        <v>0</v>
      </c>
      <c r="G185" s="183">
        <f t="shared" si="57"/>
        <v>0</v>
      </c>
      <c r="H185" s="183">
        <f t="shared" si="57"/>
        <v>0</v>
      </c>
      <c r="I185" s="183">
        <f t="shared" si="57"/>
        <v>0</v>
      </c>
      <c r="J185" s="183">
        <f t="shared" si="57"/>
        <v>0</v>
      </c>
      <c r="K185" s="183">
        <f t="shared" si="57"/>
        <v>0</v>
      </c>
      <c r="L185" s="183">
        <f t="shared" si="57"/>
        <v>0</v>
      </c>
      <c r="M185" s="183">
        <f t="shared" si="57"/>
        <v>0</v>
      </c>
      <c r="N185" s="183">
        <f t="shared" si="57"/>
        <v>0</v>
      </c>
      <c r="O185" s="183">
        <f t="shared" si="57"/>
        <v>0</v>
      </c>
      <c r="P185" s="183">
        <f t="shared" si="57"/>
        <v>0</v>
      </c>
      <c r="Q185" s="183">
        <f t="shared" si="57"/>
        <v>0</v>
      </c>
      <c r="R185" s="183">
        <f t="shared" si="57"/>
        <v>0</v>
      </c>
      <c r="S185" s="183">
        <f t="shared" si="58"/>
        <v>0</v>
      </c>
      <c r="T185" s="183">
        <f t="shared" si="58"/>
        <v>0</v>
      </c>
      <c r="U185" s="183">
        <f t="shared" si="58"/>
        <v>0</v>
      </c>
      <c r="V185" s="183">
        <f t="shared" si="58"/>
        <v>0</v>
      </c>
      <c r="W185" s="183">
        <f t="shared" si="58"/>
        <v>0</v>
      </c>
      <c r="X185" s="183">
        <f t="shared" si="58"/>
        <v>0</v>
      </c>
      <c r="Y185" s="183">
        <f t="shared" si="58"/>
        <v>0</v>
      </c>
      <c r="Z185" s="183">
        <f t="shared" si="58"/>
        <v>0</v>
      </c>
      <c r="AA185" s="183">
        <f t="shared" si="58"/>
        <v>0</v>
      </c>
      <c r="AB185" s="183">
        <f t="shared" si="58"/>
        <v>0</v>
      </c>
      <c r="AC185" s="183">
        <f t="shared" si="58"/>
        <v>0</v>
      </c>
      <c r="AD185" s="183">
        <f t="shared" si="58"/>
        <v>0</v>
      </c>
      <c r="AE185" s="183">
        <f t="shared" si="58"/>
        <v>0</v>
      </c>
      <c r="AF185" s="196">
        <f t="shared" si="58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57"/>
        <v>0</v>
      </c>
      <c r="D186" s="183">
        <f t="shared" si="57"/>
        <v>0</v>
      </c>
      <c r="E186" s="183">
        <f t="shared" si="57"/>
        <v>0</v>
      </c>
      <c r="F186" s="183">
        <f t="shared" si="57"/>
        <v>0</v>
      </c>
      <c r="G186" s="183">
        <f t="shared" si="57"/>
        <v>0</v>
      </c>
      <c r="H186" s="183">
        <f t="shared" si="57"/>
        <v>0</v>
      </c>
      <c r="I186" s="183">
        <f t="shared" si="57"/>
        <v>0</v>
      </c>
      <c r="J186" s="183">
        <f t="shared" si="57"/>
        <v>0</v>
      </c>
      <c r="K186" s="183">
        <f t="shared" si="57"/>
        <v>0</v>
      </c>
      <c r="L186" s="183">
        <f t="shared" si="57"/>
        <v>0</v>
      </c>
      <c r="M186" s="183">
        <f t="shared" si="57"/>
        <v>0</v>
      </c>
      <c r="N186" s="183">
        <f t="shared" si="57"/>
        <v>0</v>
      </c>
      <c r="O186" s="183">
        <f t="shared" si="57"/>
        <v>0</v>
      </c>
      <c r="P186" s="183">
        <f t="shared" si="57"/>
        <v>0</v>
      </c>
      <c r="Q186" s="183">
        <f t="shared" si="57"/>
        <v>0</v>
      </c>
      <c r="R186" s="183">
        <f t="shared" si="57"/>
        <v>0</v>
      </c>
      <c r="S186" s="183">
        <f t="shared" si="58"/>
        <v>0</v>
      </c>
      <c r="T186" s="183">
        <f t="shared" si="58"/>
        <v>0</v>
      </c>
      <c r="U186" s="183">
        <f t="shared" si="58"/>
        <v>0</v>
      </c>
      <c r="V186" s="183">
        <f t="shared" si="58"/>
        <v>0</v>
      </c>
      <c r="W186" s="183">
        <f t="shared" si="58"/>
        <v>0</v>
      </c>
      <c r="X186" s="183">
        <f t="shared" si="58"/>
        <v>0</v>
      </c>
      <c r="Y186" s="183">
        <f t="shared" si="58"/>
        <v>0</v>
      </c>
      <c r="Z186" s="183">
        <f t="shared" si="58"/>
        <v>0</v>
      </c>
      <c r="AA186" s="183">
        <f t="shared" si="58"/>
        <v>0</v>
      </c>
      <c r="AB186" s="183">
        <f t="shared" si="58"/>
        <v>0</v>
      </c>
      <c r="AC186" s="183">
        <f t="shared" si="58"/>
        <v>0</v>
      </c>
      <c r="AD186" s="183">
        <f t="shared" si="58"/>
        <v>0</v>
      </c>
      <c r="AE186" s="183">
        <f t="shared" si="58"/>
        <v>0</v>
      </c>
      <c r="AF186" s="196">
        <f t="shared" si="58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57"/>
        <v>0</v>
      </c>
      <c r="D187" s="183">
        <f t="shared" si="57"/>
        <v>0</v>
      </c>
      <c r="E187" s="183">
        <f t="shared" si="57"/>
        <v>0</v>
      </c>
      <c r="F187" s="183">
        <f t="shared" si="57"/>
        <v>0</v>
      </c>
      <c r="G187" s="183">
        <f t="shared" si="57"/>
        <v>0</v>
      </c>
      <c r="H187" s="183">
        <f t="shared" si="57"/>
        <v>0</v>
      </c>
      <c r="I187" s="183">
        <f t="shared" si="57"/>
        <v>0</v>
      </c>
      <c r="J187" s="183">
        <f t="shared" si="57"/>
        <v>0</v>
      </c>
      <c r="K187" s="183">
        <f t="shared" si="57"/>
        <v>0</v>
      </c>
      <c r="L187" s="183">
        <f t="shared" si="57"/>
        <v>0</v>
      </c>
      <c r="M187" s="183">
        <f t="shared" si="57"/>
        <v>0</v>
      </c>
      <c r="N187" s="183">
        <f t="shared" si="57"/>
        <v>0</v>
      </c>
      <c r="O187" s="183">
        <f t="shared" si="57"/>
        <v>0</v>
      </c>
      <c r="P187" s="183">
        <f t="shared" si="57"/>
        <v>0</v>
      </c>
      <c r="Q187" s="183">
        <f t="shared" si="57"/>
        <v>0</v>
      </c>
      <c r="R187" s="183">
        <f t="shared" si="57"/>
        <v>0</v>
      </c>
      <c r="S187" s="183">
        <f t="shared" si="58"/>
        <v>0</v>
      </c>
      <c r="T187" s="183">
        <f t="shared" si="58"/>
        <v>0</v>
      </c>
      <c r="U187" s="183">
        <f t="shared" si="58"/>
        <v>0</v>
      </c>
      <c r="V187" s="183">
        <f t="shared" si="58"/>
        <v>0</v>
      </c>
      <c r="W187" s="183">
        <f t="shared" si="58"/>
        <v>0</v>
      </c>
      <c r="X187" s="183">
        <f t="shared" si="58"/>
        <v>0</v>
      </c>
      <c r="Y187" s="183">
        <f t="shared" si="58"/>
        <v>0</v>
      </c>
      <c r="Z187" s="183">
        <f t="shared" si="58"/>
        <v>0</v>
      </c>
      <c r="AA187" s="183">
        <f t="shared" si="58"/>
        <v>0</v>
      </c>
      <c r="AB187" s="183">
        <f t="shared" si="58"/>
        <v>0</v>
      </c>
      <c r="AC187" s="183">
        <f t="shared" si="58"/>
        <v>0</v>
      </c>
      <c r="AD187" s="183">
        <f t="shared" si="58"/>
        <v>0</v>
      </c>
      <c r="AE187" s="183">
        <f t="shared" si="58"/>
        <v>0</v>
      </c>
      <c r="AF187" s="196">
        <f t="shared" si="58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57"/>
        <v>0</v>
      </c>
      <c r="D188" s="183">
        <f t="shared" si="57"/>
        <v>0</v>
      </c>
      <c r="E188" s="183">
        <f t="shared" si="57"/>
        <v>0</v>
      </c>
      <c r="F188" s="183">
        <f t="shared" si="57"/>
        <v>0</v>
      </c>
      <c r="G188" s="183">
        <f t="shared" si="57"/>
        <v>0</v>
      </c>
      <c r="H188" s="183">
        <f t="shared" si="57"/>
        <v>0</v>
      </c>
      <c r="I188" s="183">
        <f t="shared" si="57"/>
        <v>0</v>
      </c>
      <c r="J188" s="183">
        <f t="shared" si="57"/>
        <v>0</v>
      </c>
      <c r="K188" s="183">
        <f t="shared" si="57"/>
        <v>0</v>
      </c>
      <c r="L188" s="183">
        <f t="shared" si="57"/>
        <v>0</v>
      </c>
      <c r="M188" s="183">
        <f t="shared" si="57"/>
        <v>0</v>
      </c>
      <c r="N188" s="183">
        <f t="shared" si="57"/>
        <v>0</v>
      </c>
      <c r="O188" s="183">
        <f t="shared" si="57"/>
        <v>0</v>
      </c>
      <c r="P188" s="183">
        <f t="shared" si="57"/>
        <v>0</v>
      </c>
      <c r="Q188" s="183">
        <f t="shared" si="57"/>
        <v>0</v>
      </c>
      <c r="R188" s="183">
        <f t="shared" si="57"/>
        <v>0</v>
      </c>
      <c r="S188" s="183">
        <f t="shared" si="58"/>
        <v>0</v>
      </c>
      <c r="T188" s="183">
        <f t="shared" si="58"/>
        <v>0</v>
      </c>
      <c r="U188" s="183">
        <f t="shared" si="58"/>
        <v>0</v>
      </c>
      <c r="V188" s="183">
        <f t="shared" si="58"/>
        <v>0</v>
      </c>
      <c r="W188" s="183">
        <f t="shared" si="58"/>
        <v>0</v>
      </c>
      <c r="X188" s="183">
        <f t="shared" si="58"/>
        <v>0</v>
      </c>
      <c r="Y188" s="183">
        <f t="shared" si="58"/>
        <v>0</v>
      </c>
      <c r="Z188" s="183">
        <f t="shared" si="58"/>
        <v>0</v>
      </c>
      <c r="AA188" s="183">
        <f t="shared" si="58"/>
        <v>0</v>
      </c>
      <c r="AB188" s="183">
        <f t="shared" si="58"/>
        <v>0</v>
      </c>
      <c r="AC188" s="183">
        <f t="shared" si="58"/>
        <v>0</v>
      </c>
      <c r="AD188" s="183">
        <f t="shared" si="58"/>
        <v>0</v>
      </c>
      <c r="AE188" s="183">
        <f t="shared" si="58"/>
        <v>0</v>
      </c>
      <c r="AF188" s="196">
        <f t="shared" si="58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57"/>
        <v>0</v>
      </c>
      <c r="D189" s="183">
        <f t="shared" si="57"/>
        <v>0</v>
      </c>
      <c r="E189" s="183">
        <f t="shared" si="57"/>
        <v>0</v>
      </c>
      <c r="F189" s="183">
        <f t="shared" si="57"/>
        <v>0</v>
      </c>
      <c r="G189" s="183">
        <f t="shared" si="57"/>
        <v>0</v>
      </c>
      <c r="H189" s="183">
        <f t="shared" si="57"/>
        <v>0</v>
      </c>
      <c r="I189" s="183">
        <f t="shared" si="57"/>
        <v>0</v>
      </c>
      <c r="J189" s="183">
        <f t="shared" si="57"/>
        <v>0</v>
      </c>
      <c r="K189" s="183">
        <f t="shared" si="57"/>
        <v>0</v>
      </c>
      <c r="L189" s="183">
        <f t="shared" si="57"/>
        <v>0</v>
      </c>
      <c r="M189" s="183">
        <f t="shared" si="57"/>
        <v>0</v>
      </c>
      <c r="N189" s="183">
        <f t="shared" si="57"/>
        <v>0</v>
      </c>
      <c r="O189" s="183">
        <f t="shared" si="57"/>
        <v>0</v>
      </c>
      <c r="P189" s="183">
        <f t="shared" si="57"/>
        <v>0</v>
      </c>
      <c r="Q189" s="183">
        <f t="shared" si="57"/>
        <v>0</v>
      </c>
      <c r="R189" s="183">
        <f t="shared" si="57"/>
        <v>0</v>
      </c>
      <c r="S189" s="183">
        <f t="shared" si="58"/>
        <v>0</v>
      </c>
      <c r="T189" s="183">
        <f t="shared" si="58"/>
        <v>0</v>
      </c>
      <c r="U189" s="183">
        <f t="shared" si="58"/>
        <v>0</v>
      </c>
      <c r="V189" s="183">
        <f t="shared" si="58"/>
        <v>0</v>
      </c>
      <c r="W189" s="183">
        <f t="shared" si="58"/>
        <v>0</v>
      </c>
      <c r="X189" s="183">
        <f t="shared" si="58"/>
        <v>0</v>
      </c>
      <c r="Y189" s="183">
        <f t="shared" si="58"/>
        <v>0</v>
      </c>
      <c r="Z189" s="183">
        <f t="shared" si="58"/>
        <v>0</v>
      </c>
      <c r="AA189" s="183">
        <f t="shared" si="58"/>
        <v>0</v>
      </c>
      <c r="AB189" s="183">
        <f t="shared" si="58"/>
        <v>0</v>
      </c>
      <c r="AC189" s="183">
        <f t="shared" si="58"/>
        <v>0</v>
      </c>
      <c r="AD189" s="183">
        <f t="shared" si="58"/>
        <v>0</v>
      </c>
      <c r="AE189" s="183">
        <f t="shared" si="58"/>
        <v>0</v>
      </c>
      <c r="AF189" s="196">
        <f t="shared" si="58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57"/>
        <v>0</v>
      </c>
      <c r="D190" s="183">
        <f t="shared" si="57"/>
        <v>0</v>
      </c>
      <c r="E190" s="183">
        <f t="shared" si="57"/>
        <v>0</v>
      </c>
      <c r="F190" s="183">
        <f t="shared" si="57"/>
        <v>0</v>
      </c>
      <c r="G190" s="183">
        <f t="shared" si="57"/>
        <v>0</v>
      </c>
      <c r="H190" s="183">
        <f t="shared" si="57"/>
        <v>0</v>
      </c>
      <c r="I190" s="183">
        <f t="shared" si="57"/>
        <v>0</v>
      </c>
      <c r="J190" s="183">
        <f t="shared" si="57"/>
        <v>0</v>
      </c>
      <c r="K190" s="183">
        <f t="shared" si="57"/>
        <v>0</v>
      </c>
      <c r="L190" s="183">
        <f t="shared" si="57"/>
        <v>0</v>
      </c>
      <c r="M190" s="183">
        <f t="shared" si="57"/>
        <v>0</v>
      </c>
      <c r="N190" s="183">
        <f t="shared" si="57"/>
        <v>0</v>
      </c>
      <c r="O190" s="183">
        <f t="shared" si="57"/>
        <v>0</v>
      </c>
      <c r="P190" s="183">
        <f t="shared" si="57"/>
        <v>0</v>
      </c>
      <c r="Q190" s="183">
        <f t="shared" si="57"/>
        <v>0</v>
      </c>
      <c r="R190" s="183">
        <f t="shared" si="57"/>
        <v>0</v>
      </c>
      <c r="S190" s="183">
        <f t="shared" si="58"/>
        <v>0</v>
      </c>
      <c r="T190" s="183">
        <f t="shared" si="58"/>
        <v>0</v>
      </c>
      <c r="U190" s="183">
        <f t="shared" si="58"/>
        <v>0</v>
      </c>
      <c r="V190" s="183">
        <f t="shared" si="58"/>
        <v>0</v>
      </c>
      <c r="W190" s="183">
        <f t="shared" si="58"/>
        <v>0</v>
      </c>
      <c r="X190" s="183">
        <f t="shared" si="58"/>
        <v>0</v>
      </c>
      <c r="Y190" s="183">
        <f t="shared" si="58"/>
        <v>0</v>
      </c>
      <c r="Z190" s="183">
        <f t="shared" si="58"/>
        <v>0</v>
      </c>
      <c r="AA190" s="183">
        <f t="shared" si="58"/>
        <v>0</v>
      </c>
      <c r="AB190" s="183">
        <f t="shared" si="58"/>
        <v>0</v>
      </c>
      <c r="AC190" s="183">
        <f t="shared" si="58"/>
        <v>0</v>
      </c>
      <c r="AD190" s="183">
        <f t="shared" si="58"/>
        <v>0</v>
      </c>
      <c r="AE190" s="183">
        <f t="shared" si="58"/>
        <v>0</v>
      </c>
      <c r="AF190" s="196">
        <f t="shared" si="58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57"/>
        <v>0</v>
      </c>
      <c r="D191" s="183">
        <f t="shared" si="57"/>
        <v>0</v>
      </c>
      <c r="E191" s="183">
        <f t="shared" si="57"/>
        <v>0</v>
      </c>
      <c r="F191" s="183">
        <f t="shared" si="57"/>
        <v>0</v>
      </c>
      <c r="G191" s="183">
        <f t="shared" si="57"/>
        <v>0</v>
      </c>
      <c r="H191" s="183">
        <f t="shared" si="57"/>
        <v>0</v>
      </c>
      <c r="I191" s="183">
        <f t="shared" si="57"/>
        <v>0</v>
      </c>
      <c r="J191" s="183">
        <f t="shared" si="57"/>
        <v>0</v>
      </c>
      <c r="K191" s="183">
        <f t="shared" si="57"/>
        <v>0</v>
      </c>
      <c r="L191" s="183">
        <f t="shared" si="57"/>
        <v>0</v>
      </c>
      <c r="M191" s="183">
        <f t="shared" si="57"/>
        <v>0</v>
      </c>
      <c r="N191" s="183">
        <f t="shared" si="57"/>
        <v>0</v>
      </c>
      <c r="O191" s="183">
        <f t="shared" si="57"/>
        <v>0</v>
      </c>
      <c r="P191" s="183">
        <f t="shared" si="57"/>
        <v>0</v>
      </c>
      <c r="Q191" s="183">
        <f t="shared" si="57"/>
        <v>0</v>
      </c>
      <c r="R191" s="183">
        <f t="shared" si="57"/>
        <v>0</v>
      </c>
      <c r="S191" s="183">
        <f t="shared" si="58"/>
        <v>0</v>
      </c>
      <c r="T191" s="183">
        <f t="shared" si="58"/>
        <v>0</v>
      </c>
      <c r="U191" s="183">
        <f t="shared" si="58"/>
        <v>0</v>
      </c>
      <c r="V191" s="183">
        <f t="shared" si="58"/>
        <v>0</v>
      </c>
      <c r="W191" s="183">
        <f t="shared" si="58"/>
        <v>0</v>
      </c>
      <c r="X191" s="183">
        <f t="shared" si="58"/>
        <v>0</v>
      </c>
      <c r="Y191" s="183">
        <f t="shared" si="58"/>
        <v>0</v>
      </c>
      <c r="Z191" s="183">
        <f t="shared" si="58"/>
        <v>0</v>
      </c>
      <c r="AA191" s="183">
        <f t="shared" si="58"/>
        <v>0</v>
      </c>
      <c r="AB191" s="183">
        <f t="shared" si="58"/>
        <v>0</v>
      </c>
      <c r="AC191" s="183">
        <f t="shared" si="58"/>
        <v>0</v>
      </c>
      <c r="AD191" s="183">
        <f t="shared" si="58"/>
        <v>0</v>
      </c>
      <c r="AE191" s="183">
        <f t="shared" si="58"/>
        <v>0</v>
      </c>
      <c r="AF191" s="196">
        <f t="shared" si="58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57"/>
        <v>0</v>
      </c>
      <c r="D192" s="183">
        <f t="shared" si="57"/>
        <v>0</v>
      </c>
      <c r="E192" s="183">
        <f t="shared" si="57"/>
        <v>0</v>
      </c>
      <c r="F192" s="183">
        <f t="shared" si="57"/>
        <v>0</v>
      </c>
      <c r="G192" s="183">
        <f t="shared" si="57"/>
        <v>0</v>
      </c>
      <c r="H192" s="183">
        <f t="shared" si="57"/>
        <v>0</v>
      </c>
      <c r="I192" s="183">
        <f t="shared" si="57"/>
        <v>0</v>
      </c>
      <c r="J192" s="183">
        <f t="shared" si="57"/>
        <v>0</v>
      </c>
      <c r="K192" s="183">
        <f t="shared" si="57"/>
        <v>0</v>
      </c>
      <c r="L192" s="183">
        <f t="shared" si="57"/>
        <v>0</v>
      </c>
      <c r="M192" s="183">
        <f t="shared" si="57"/>
        <v>0</v>
      </c>
      <c r="N192" s="183">
        <f t="shared" si="57"/>
        <v>0</v>
      </c>
      <c r="O192" s="183">
        <f t="shared" si="57"/>
        <v>0</v>
      </c>
      <c r="P192" s="183">
        <f t="shared" si="57"/>
        <v>0</v>
      </c>
      <c r="Q192" s="183">
        <f t="shared" si="57"/>
        <v>0</v>
      </c>
      <c r="R192" s="183">
        <f t="shared" si="57"/>
        <v>0</v>
      </c>
      <c r="S192" s="183">
        <f t="shared" si="58"/>
        <v>0</v>
      </c>
      <c r="T192" s="183">
        <f t="shared" si="58"/>
        <v>0</v>
      </c>
      <c r="U192" s="183">
        <f t="shared" si="58"/>
        <v>0</v>
      </c>
      <c r="V192" s="183">
        <f t="shared" si="58"/>
        <v>0</v>
      </c>
      <c r="W192" s="183">
        <f t="shared" si="58"/>
        <v>0</v>
      </c>
      <c r="X192" s="183">
        <f t="shared" si="58"/>
        <v>0</v>
      </c>
      <c r="Y192" s="183">
        <f t="shared" si="58"/>
        <v>0</v>
      </c>
      <c r="Z192" s="183">
        <f t="shared" si="58"/>
        <v>0</v>
      </c>
      <c r="AA192" s="183">
        <f t="shared" si="58"/>
        <v>0</v>
      </c>
      <c r="AB192" s="183">
        <f t="shared" si="58"/>
        <v>0</v>
      </c>
      <c r="AC192" s="183">
        <f t="shared" si="58"/>
        <v>0</v>
      </c>
      <c r="AD192" s="183">
        <f t="shared" si="58"/>
        <v>0</v>
      </c>
      <c r="AE192" s="183">
        <f t="shared" si="58"/>
        <v>0</v>
      </c>
      <c r="AF192" s="196">
        <f t="shared" si="58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57"/>
        <v>0</v>
      </c>
      <c r="D193" s="183">
        <f t="shared" si="57"/>
        <v>0</v>
      </c>
      <c r="E193" s="183">
        <f t="shared" si="57"/>
        <v>0</v>
      </c>
      <c r="F193" s="183">
        <f t="shared" si="57"/>
        <v>0</v>
      </c>
      <c r="G193" s="183">
        <f t="shared" si="57"/>
        <v>0</v>
      </c>
      <c r="H193" s="183">
        <f t="shared" si="57"/>
        <v>0</v>
      </c>
      <c r="I193" s="183">
        <f t="shared" si="57"/>
        <v>0</v>
      </c>
      <c r="J193" s="183">
        <f t="shared" si="57"/>
        <v>0</v>
      </c>
      <c r="K193" s="183">
        <f t="shared" si="57"/>
        <v>0</v>
      </c>
      <c r="L193" s="183">
        <f t="shared" si="57"/>
        <v>0</v>
      </c>
      <c r="M193" s="183">
        <f t="shared" si="57"/>
        <v>0</v>
      </c>
      <c r="N193" s="183">
        <f t="shared" si="57"/>
        <v>0</v>
      </c>
      <c r="O193" s="183">
        <f t="shared" si="57"/>
        <v>0</v>
      </c>
      <c r="P193" s="183">
        <f t="shared" si="57"/>
        <v>0</v>
      </c>
      <c r="Q193" s="183">
        <f t="shared" si="57"/>
        <v>0</v>
      </c>
      <c r="R193" s="183">
        <f t="shared" si="57"/>
        <v>0</v>
      </c>
      <c r="S193" s="183">
        <f t="shared" si="58"/>
        <v>0</v>
      </c>
      <c r="T193" s="183">
        <f t="shared" si="58"/>
        <v>0</v>
      </c>
      <c r="U193" s="183">
        <f t="shared" si="58"/>
        <v>0</v>
      </c>
      <c r="V193" s="183">
        <f t="shared" si="58"/>
        <v>0</v>
      </c>
      <c r="W193" s="183">
        <f t="shared" si="58"/>
        <v>0</v>
      </c>
      <c r="X193" s="183">
        <f t="shared" si="58"/>
        <v>0</v>
      </c>
      <c r="Y193" s="183">
        <f t="shared" si="58"/>
        <v>0</v>
      </c>
      <c r="Z193" s="183">
        <f t="shared" si="58"/>
        <v>0</v>
      </c>
      <c r="AA193" s="183">
        <f t="shared" si="58"/>
        <v>0</v>
      </c>
      <c r="AB193" s="183">
        <f t="shared" si="58"/>
        <v>0</v>
      </c>
      <c r="AC193" s="183">
        <f t="shared" si="58"/>
        <v>0</v>
      </c>
      <c r="AD193" s="183">
        <f t="shared" si="58"/>
        <v>0</v>
      </c>
      <c r="AE193" s="183">
        <f t="shared" si="58"/>
        <v>0</v>
      </c>
      <c r="AF193" s="196">
        <f t="shared" si="58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57"/>
        <v>0</v>
      </c>
      <c r="D194" s="183">
        <f t="shared" si="57"/>
        <v>0</v>
      </c>
      <c r="E194" s="183">
        <f t="shared" si="57"/>
        <v>0</v>
      </c>
      <c r="F194" s="183">
        <f t="shared" si="57"/>
        <v>0</v>
      </c>
      <c r="G194" s="183">
        <f t="shared" si="57"/>
        <v>0</v>
      </c>
      <c r="H194" s="183">
        <f t="shared" si="57"/>
        <v>0</v>
      </c>
      <c r="I194" s="183">
        <f t="shared" si="57"/>
        <v>0</v>
      </c>
      <c r="J194" s="183">
        <f t="shared" si="57"/>
        <v>0</v>
      </c>
      <c r="K194" s="183">
        <f t="shared" si="57"/>
        <v>0</v>
      </c>
      <c r="L194" s="183">
        <f t="shared" si="57"/>
        <v>0</v>
      </c>
      <c r="M194" s="183">
        <f t="shared" si="57"/>
        <v>0</v>
      </c>
      <c r="N194" s="183">
        <f t="shared" si="57"/>
        <v>0</v>
      </c>
      <c r="O194" s="183">
        <f t="shared" si="57"/>
        <v>0</v>
      </c>
      <c r="P194" s="183">
        <f t="shared" si="57"/>
        <v>0</v>
      </c>
      <c r="Q194" s="183">
        <f t="shared" si="57"/>
        <v>0</v>
      </c>
      <c r="R194" s="183">
        <f t="shared" si="57"/>
        <v>0</v>
      </c>
      <c r="S194" s="183">
        <f t="shared" si="58"/>
        <v>0</v>
      </c>
      <c r="T194" s="183">
        <f t="shared" si="58"/>
        <v>0</v>
      </c>
      <c r="U194" s="183">
        <f t="shared" si="58"/>
        <v>0</v>
      </c>
      <c r="V194" s="183">
        <f t="shared" si="58"/>
        <v>0</v>
      </c>
      <c r="W194" s="183">
        <f t="shared" si="58"/>
        <v>0</v>
      </c>
      <c r="X194" s="183">
        <f t="shared" si="58"/>
        <v>0</v>
      </c>
      <c r="Y194" s="183">
        <f t="shared" si="58"/>
        <v>0</v>
      </c>
      <c r="Z194" s="183">
        <f t="shared" si="58"/>
        <v>0</v>
      </c>
      <c r="AA194" s="183">
        <f t="shared" si="58"/>
        <v>0</v>
      </c>
      <c r="AB194" s="183">
        <f t="shared" si="58"/>
        <v>0</v>
      </c>
      <c r="AC194" s="183">
        <f t="shared" si="58"/>
        <v>0</v>
      </c>
      <c r="AD194" s="183">
        <f t="shared" si="58"/>
        <v>0</v>
      </c>
      <c r="AE194" s="183">
        <f t="shared" si="58"/>
        <v>0</v>
      </c>
      <c r="AF194" s="196">
        <f t="shared" si="58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57"/>
        <v>0</v>
      </c>
      <c r="D195" s="183">
        <f t="shared" si="57"/>
        <v>0</v>
      </c>
      <c r="E195" s="183">
        <f t="shared" si="57"/>
        <v>0</v>
      </c>
      <c r="F195" s="183">
        <f t="shared" si="57"/>
        <v>0</v>
      </c>
      <c r="G195" s="183">
        <f t="shared" si="57"/>
        <v>0</v>
      </c>
      <c r="H195" s="183">
        <f t="shared" si="57"/>
        <v>0</v>
      </c>
      <c r="I195" s="183">
        <f t="shared" si="57"/>
        <v>0</v>
      </c>
      <c r="J195" s="183">
        <f t="shared" si="57"/>
        <v>0</v>
      </c>
      <c r="K195" s="183">
        <f t="shared" si="57"/>
        <v>0</v>
      </c>
      <c r="L195" s="183">
        <f t="shared" si="57"/>
        <v>0</v>
      </c>
      <c r="M195" s="183">
        <f t="shared" si="57"/>
        <v>0</v>
      </c>
      <c r="N195" s="183">
        <f t="shared" si="57"/>
        <v>0</v>
      </c>
      <c r="O195" s="183">
        <f t="shared" si="57"/>
        <v>0</v>
      </c>
      <c r="P195" s="183">
        <f t="shared" si="57"/>
        <v>0</v>
      </c>
      <c r="Q195" s="183">
        <f t="shared" si="57"/>
        <v>0</v>
      </c>
      <c r="R195" s="183">
        <f t="shared" ref="R195:AF236" si="59">Q195</f>
        <v>0</v>
      </c>
      <c r="S195" s="183">
        <f t="shared" si="59"/>
        <v>0</v>
      </c>
      <c r="T195" s="183">
        <f t="shared" si="59"/>
        <v>0</v>
      </c>
      <c r="U195" s="183">
        <f t="shared" si="59"/>
        <v>0</v>
      </c>
      <c r="V195" s="183">
        <f t="shared" si="59"/>
        <v>0</v>
      </c>
      <c r="W195" s="183">
        <f t="shared" si="59"/>
        <v>0</v>
      </c>
      <c r="X195" s="183">
        <f t="shared" si="59"/>
        <v>0</v>
      </c>
      <c r="Y195" s="183">
        <f t="shared" si="59"/>
        <v>0</v>
      </c>
      <c r="Z195" s="183">
        <f t="shared" si="59"/>
        <v>0</v>
      </c>
      <c r="AA195" s="183">
        <f t="shared" si="59"/>
        <v>0</v>
      </c>
      <c r="AB195" s="183">
        <f t="shared" si="58"/>
        <v>0</v>
      </c>
      <c r="AC195" s="183">
        <f t="shared" si="58"/>
        <v>0</v>
      </c>
      <c r="AD195" s="183">
        <f t="shared" si="59"/>
        <v>0</v>
      </c>
      <c r="AE195" s="183">
        <f t="shared" si="59"/>
        <v>0</v>
      </c>
      <c r="AF195" s="196">
        <f t="shared" si="59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37" si="60">B196</f>
        <v>0</v>
      </c>
      <c r="D196" s="183">
        <f t="shared" si="60"/>
        <v>0</v>
      </c>
      <c r="E196" s="183">
        <f t="shared" si="60"/>
        <v>0</v>
      </c>
      <c r="F196" s="183">
        <f t="shared" si="60"/>
        <v>0</v>
      </c>
      <c r="G196" s="183">
        <f t="shared" si="60"/>
        <v>0</v>
      </c>
      <c r="H196" s="183">
        <f t="shared" si="60"/>
        <v>0</v>
      </c>
      <c r="I196" s="183">
        <f t="shared" si="60"/>
        <v>0</v>
      </c>
      <c r="J196" s="183">
        <f t="shared" si="60"/>
        <v>0</v>
      </c>
      <c r="K196" s="183">
        <f t="shared" si="60"/>
        <v>0</v>
      </c>
      <c r="L196" s="183">
        <f t="shared" si="60"/>
        <v>0</v>
      </c>
      <c r="M196" s="183">
        <f t="shared" si="60"/>
        <v>0</v>
      </c>
      <c r="N196" s="183">
        <f t="shared" si="60"/>
        <v>0</v>
      </c>
      <c r="O196" s="183">
        <f t="shared" si="60"/>
        <v>0</v>
      </c>
      <c r="P196" s="183">
        <f t="shared" si="60"/>
        <v>0</v>
      </c>
      <c r="Q196" s="183">
        <f t="shared" si="60"/>
        <v>0</v>
      </c>
      <c r="R196" s="183">
        <f t="shared" si="60"/>
        <v>0</v>
      </c>
      <c r="S196" s="183">
        <f t="shared" si="59"/>
        <v>0</v>
      </c>
      <c r="T196" s="183">
        <f t="shared" si="59"/>
        <v>0</v>
      </c>
      <c r="U196" s="183">
        <f t="shared" si="59"/>
        <v>0</v>
      </c>
      <c r="V196" s="183">
        <f t="shared" si="59"/>
        <v>0</v>
      </c>
      <c r="W196" s="183">
        <f t="shared" si="59"/>
        <v>0</v>
      </c>
      <c r="X196" s="183">
        <f t="shared" si="59"/>
        <v>0</v>
      </c>
      <c r="Y196" s="183">
        <f t="shared" si="59"/>
        <v>0</v>
      </c>
      <c r="Z196" s="183">
        <f t="shared" si="59"/>
        <v>0</v>
      </c>
      <c r="AA196" s="183">
        <f t="shared" si="59"/>
        <v>0</v>
      </c>
      <c r="AB196" s="183">
        <f t="shared" si="59"/>
        <v>0</v>
      </c>
      <c r="AC196" s="183">
        <f t="shared" si="59"/>
        <v>0</v>
      </c>
      <c r="AD196" s="183">
        <f t="shared" si="59"/>
        <v>0</v>
      </c>
      <c r="AE196" s="183">
        <f t="shared" si="59"/>
        <v>0</v>
      </c>
      <c r="AF196" s="196">
        <f t="shared" si="59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60"/>
        <v>0</v>
      </c>
      <c r="D197" s="183">
        <f t="shared" si="60"/>
        <v>0</v>
      </c>
      <c r="E197" s="183">
        <f t="shared" si="60"/>
        <v>0</v>
      </c>
      <c r="F197" s="183">
        <f t="shared" si="60"/>
        <v>0</v>
      </c>
      <c r="G197" s="183">
        <f t="shared" si="60"/>
        <v>0</v>
      </c>
      <c r="H197" s="183">
        <f t="shared" si="60"/>
        <v>0</v>
      </c>
      <c r="I197" s="183">
        <f t="shared" si="60"/>
        <v>0</v>
      </c>
      <c r="J197" s="183">
        <f t="shared" si="60"/>
        <v>0</v>
      </c>
      <c r="K197" s="183">
        <f t="shared" si="60"/>
        <v>0</v>
      </c>
      <c r="L197" s="183">
        <f t="shared" si="60"/>
        <v>0</v>
      </c>
      <c r="M197" s="183">
        <f t="shared" si="60"/>
        <v>0</v>
      </c>
      <c r="N197" s="183">
        <f t="shared" si="60"/>
        <v>0</v>
      </c>
      <c r="O197" s="183">
        <f t="shared" si="60"/>
        <v>0</v>
      </c>
      <c r="P197" s="183">
        <f t="shared" si="60"/>
        <v>0</v>
      </c>
      <c r="Q197" s="183">
        <f t="shared" si="60"/>
        <v>0</v>
      </c>
      <c r="R197" s="183">
        <f t="shared" si="60"/>
        <v>0</v>
      </c>
      <c r="S197" s="183">
        <f t="shared" si="59"/>
        <v>0</v>
      </c>
      <c r="T197" s="183">
        <f t="shared" si="59"/>
        <v>0</v>
      </c>
      <c r="U197" s="183">
        <f t="shared" si="59"/>
        <v>0</v>
      </c>
      <c r="V197" s="183">
        <f t="shared" si="59"/>
        <v>0</v>
      </c>
      <c r="W197" s="183">
        <f t="shared" si="59"/>
        <v>0</v>
      </c>
      <c r="X197" s="183">
        <f t="shared" si="59"/>
        <v>0</v>
      </c>
      <c r="Y197" s="183">
        <f t="shared" si="59"/>
        <v>0</v>
      </c>
      <c r="Z197" s="183">
        <f t="shared" si="59"/>
        <v>0</v>
      </c>
      <c r="AA197" s="183">
        <f t="shared" si="59"/>
        <v>0</v>
      </c>
      <c r="AB197" s="183">
        <f t="shared" si="59"/>
        <v>0</v>
      </c>
      <c r="AC197" s="183">
        <f t="shared" si="59"/>
        <v>0</v>
      </c>
      <c r="AD197" s="183">
        <f t="shared" si="59"/>
        <v>0</v>
      </c>
      <c r="AE197" s="183">
        <f t="shared" si="59"/>
        <v>0</v>
      </c>
      <c r="AF197" s="196">
        <f t="shared" si="59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60"/>
        <v>0</v>
      </c>
      <c r="D198" s="183">
        <f t="shared" si="60"/>
        <v>0</v>
      </c>
      <c r="E198" s="183">
        <f t="shared" si="60"/>
        <v>0</v>
      </c>
      <c r="F198" s="183">
        <f t="shared" si="60"/>
        <v>0</v>
      </c>
      <c r="G198" s="183">
        <f t="shared" si="60"/>
        <v>0</v>
      </c>
      <c r="H198" s="183">
        <f t="shared" si="60"/>
        <v>0</v>
      </c>
      <c r="I198" s="183">
        <f t="shared" si="60"/>
        <v>0</v>
      </c>
      <c r="J198" s="183">
        <f t="shared" si="60"/>
        <v>0</v>
      </c>
      <c r="K198" s="183">
        <f t="shared" si="60"/>
        <v>0</v>
      </c>
      <c r="L198" s="183">
        <f t="shared" si="60"/>
        <v>0</v>
      </c>
      <c r="M198" s="183">
        <f t="shared" si="60"/>
        <v>0</v>
      </c>
      <c r="N198" s="183">
        <f t="shared" si="60"/>
        <v>0</v>
      </c>
      <c r="O198" s="183">
        <f t="shared" si="60"/>
        <v>0</v>
      </c>
      <c r="P198" s="183">
        <f t="shared" si="60"/>
        <v>0</v>
      </c>
      <c r="Q198" s="183">
        <f t="shared" si="60"/>
        <v>0</v>
      </c>
      <c r="R198" s="183">
        <f t="shared" si="60"/>
        <v>0</v>
      </c>
      <c r="S198" s="183">
        <f t="shared" si="59"/>
        <v>0</v>
      </c>
      <c r="T198" s="183">
        <f t="shared" si="59"/>
        <v>0</v>
      </c>
      <c r="U198" s="183">
        <f t="shared" si="59"/>
        <v>0</v>
      </c>
      <c r="V198" s="183">
        <f t="shared" si="59"/>
        <v>0</v>
      </c>
      <c r="W198" s="183">
        <f t="shared" si="59"/>
        <v>0</v>
      </c>
      <c r="X198" s="183">
        <f t="shared" si="59"/>
        <v>0</v>
      </c>
      <c r="Y198" s="183">
        <f t="shared" si="59"/>
        <v>0</v>
      </c>
      <c r="Z198" s="183">
        <f t="shared" si="59"/>
        <v>0</v>
      </c>
      <c r="AA198" s="183">
        <f t="shared" si="59"/>
        <v>0</v>
      </c>
      <c r="AB198" s="183">
        <f t="shared" si="59"/>
        <v>0</v>
      </c>
      <c r="AC198" s="183">
        <f t="shared" si="59"/>
        <v>0</v>
      </c>
      <c r="AD198" s="183">
        <f t="shared" si="59"/>
        <v>0</v>
      </c>
      <c r="AE198" s="183">
        <f t="shared" si="59"/>
        <v>0</v>
      </c>
      <c r="AF198" s="196">
        <f t="shared" si="59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60"/>
        <v>0</v>
      </c>
      <c r="D199" s="183">
        <f t="shared" si="60"/>
        <v>0</v>
      </c>
      <c r="E199" s="183">
        <f t="shared" si="60"/>
        <v>0</v>
      </c>
      <c r="F199" s="183">
        <f t="shared" si="60"/>
        <v>0</v>
      </c>
      <c r="G199" s="183">
        <f t="shared" si="60"/>
        <v>0</v>
      </c>
      <c r="H199" s="183">
        <f t="shared" si="60"/>
        <v>0</v>
      </c>
      <c r="I199" s="183">
        <f t="shared" si="60"/>
        <v>0</v>
      </c>
      <c r="J199" s="183">
        <f t="shared" si="60"/>
        <v>0</v>
      </c>
      <c r="K199" s="183">
        <f t="shared" si="60"/>
        <v>0</v>
      </c>
      <c r="L199" s="183">
        <f t="shared" si="60"/>
        <v>0</v>
      </c>
      <c r="M199" s="183">
        <f t="shared" si="60"/>
        <v>0</v>
      </c>
      <c r="N199" s="183">
        <f t="shared" si="60"/>
        <v>0</v>
      </c>
      <c r="O199" s="183">
        <f t="shared" si="60"/>
        <v>0</v>
      </c>
      <c r="P199" s="183">
        <f t="shared" si="60"/>
        <v>0</v>
      </c>
      <c r="Q199" s="183">
        <f t="shared" si="60"/>
        <v>0</v>
      </c>
      <c r="R199" s="183">
        <f t="shared" si="60"/>
        <v>0</v>
      </c>
      <c r="S199" s="183">
        <f t="shared" si="59"/>
        <v>0</v>
      </c>
      <c r="T199" s="183">
        <f t="shared" si="59"/>
        <v>0</v>
      </c>
      <c r="U199" s="183">
        <f t="shared" si="59"/>
        <v>0</v>
      </c>
      <c r="V199" s="183">
        <f t="shared" si="59"/>
        <v>0</v>
      </c>
      <c r="W199" s="183">
        <f t="shared" si="59"/>
        <v>0</v>
      </c>
      <c r="X199" s="183">
        <f t="shared" si="59"/>
        <v>0</v>
      </c>
      <c r="Y199" s="183">
        <f t="shared" si="59"/>
        <v>0</v>
      </c>
      <c r="Z199" s="183">
        <f t="shared" si="59"/>
        <v>0</v>
      </c>
      <c r="AA199" s="183">
        <f t="shared" si="59"/>
        <v>0</v>
      </c>
      <c r="AB199" s="183">
        <f t="shared" si="59"/>
        <v>0</v>
      </c>
      <c r="AC199" s="183">
        <f t="shared" si="59"/>
        <v>0</v>
      </c>
      <c r="AD199" s="183">
        <f t="shared" si="59"/>
        <v>0</v>
      </c>
      <c r="AE199" s="183">
        <f t="shared" si="59"/>
        <v>0</v>
      </c>
      <c r="AF199" s="196">
        <f t="shared" si="59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ref="C200:R215" si="61">B200</f>
        <v>0</v>
      </c>
      <c r="D200" s="183">
        <f t="shared" si="61"/>
        <v>0</v>
      </c>
      <c r="E200" s="183">
        <f t="shared" si="61"/>
        <v>0</v>
      </c>
      <c r="F200" s="183">
        <f t="shared" si="61"/>
        <v>0</v>
      </c>
      <c r="G200" s="183">
        <f t="shared" si="61"/>
        <v>0</v>
      </c>
      <c r="H200" s="183">
        <f t="shared" si="61"/>
        <v>0</v>
      </c>
      <c r="I200" s="183">
        <f t="shared" si="61"/>
        <v>0</v>
      </c>
      <c r="J200" s="183">
        <f t="shared" si="61"/>
        <v>0</v>
      </c>
      <c r="K200" s="183">
        <f t="shared" si="61"/>
        <v>0</v>
      </c>
      <c r="L200" s="183">
        <f t="shared" si="61"/>
        <v>0</v>
      </c>
      <c r="M200" s="183">
        <f t="shared" si="61"/>
        <v>0</v>
      </c>
      <c r="N200" s="183">
        <f t="shared" si="61"/>
        <v>0</v>
      </c>
      <c r="O200" s="183">
        <f t="shared" si="61"/>
        <v>0</v>
      </c>
      <c r="P200" s="183">
        <f t="shared" si="61"/>
        <v>0</v>
      </c>
      <c r="Q200" s="183">
        <f t="shared" si="61"/>
        <v>0</v>
      </c>
      <c r="R200" s="183">
        <f t="shared" si="61"/>
        <v>0</v>
      </c>
      <c r="S200" s="183">
        <f t="shared" ref="S200:S225" si="62">R200</f>
        <v>0</v>
      </c>
      <c r="T200" s="183">
        <f t="shared" ref="T200:T225" si="63">S200</f>
        <v>0</v>
      </c>
      <c r="U200" s="183">
        <f t="shared" ref="U200:U225" si="64">T200</f>
        <v>0</v>
      </c>
      <c r="V200" s="183">
        <f t="shared" ref="V200:V225" si="65">U200</f>
        <v>0</v>
      </c>
      <c r="W200" s="183">
        <f t="shared" ref="W200:W225" si="66">V200</f>
        <v>0</v>
      </c>
      <c r="X200" s="183">
        <f t="shared" ref="X200:X225" si="67">W200</f>
        <v>0</v>
      </c>
      <c r="Y200" s="183">
        <f t="shared" ref="Y200:Y225" si="68">X200</f>
        <v>0</v>
      </c>
      <c r="Z200" s="183">
        <f t="shared" ref="Z200:Z225" si="69">Y200</f>
        <v>0</v>
      </c>
      <c r="AA200" s="183">
        <f t="shared" ref="AA200:AA225" si="70">Z200</f>
        <v>0</v>
      </c>
      <c r="AB200" s="183">
        <f t="shared" ref="AB200:AB225" si="71">AA200</f>
        <v>0</v>
      </c>
      <c r="AC200" s="183">
        <f t="shared" ref="AC200:AC225" si="72">AB200</f>
        <v>0</v>
      </c>
      <c r="AD200" s="183">
        <f t="shared" ref="AD200:AD225" si="73">AC200</f>
        <v>0</v>
      </c>
      <c r="AE200" s="183">
        <f t="shared" ref="AE200:AE225" si="74">AD200</f>
        <v>0</v>
      </c>
      <c r="AF200" s="196">
        <f t="shared" ref="AF200:AF225" si="75">AE200</f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61"/>
        <v>0</v>
      </c>
      <c r="D201" s="183">
        <f t="shared" si="61"/>
        <v>0</v>
      </c>
      <c r="E201" s="183">
        <f t="shared" si="61"/>
        <v>0</v>
      </c>
      <c r="F201" s="183">
        <f t="shared" si="61"/>
        <v>0</v>
      </c>
      <c r="G201" s="183">
        <f t="shared" si="61"/>
        <v>0</v>
      </c>
      <c r="H201" s="183">
        <f t="shared" si="61"/>
        <v>0</v>
      </c>
      <c r="I201" s="183">
        <f t="shared" si="61"/>
        <v>0</v>
      </c>
      <c r="J201" s="183">
        <f t="shared" si="61"/>
        <v>0</v>
      </c>
      <c r="K201" s="183">
        <f t="shared" si="61"/>
        <v>0</v>
      </c>
      <c r="L201" s="183">
        <f t="shared" si="61"/>
        <v>0</v>
      </c>
      <c r="M201" s="183">
        <f t="shared" si="61"/>
        <v>0</v>
      </c>
      <c r="N201" s="183">
        <f t="shared" si="61"/>
        <v>0</v>
      </c>
      <c r="O201" s="183">
        <f t="shared" si="61"/>
        <v>0</v>
      </c>
      <c r="P201" s="183">
        <f t="shared" si="61"/>
        <v>0</v>
      </c>
      <c r="Q201" s="183">
        <f t="shared" si="61"/>
        <v>0</v>
      </c>
      <c r="R201" s="183">
        <f t="shared" si="61"/>
        <v>0</v>
      </c>
      <c r="S201" s="183">
        <f t="shared" si="62"/>
        <v>0</v>
      </c>
      <c r="T201" s="183">
        <f t="shared" si="63"/>
        <v>0</v>
      </c>
      <c r="U201" s="183">
        <f t="shared" si="64"/>
        <v>0</v>
      </c>
      <c r="V201" s="183">
        <f t="shared" si="65"/>
        <v>0</v>
      </c>
      <c r="W201" s="183">
        <f t="shared" si="66"/>
        <v>0</v>
      </c>
      <c r="X201" s="183">
        <f t="shared" si="67"/>
        <v>0</v>
      </c>
      <c r="Y201" s="183">
        <f t="shared" si="68"/>
        <v>0</v>
      </c>
      <c r="Z201" s="183">
        <f t="shared" si="69"/>
        <v>0</v>
      </c>
      <c r="AA201" s="183">
        <f t="shared" si="70"/>
        <v>0</v>
      </c>
      <c r="AB201" s="183">
        <f t="shared" si="71"/>
        <v>0</v>
      </c>
      <c r="AC201" s="183">
        <f t="shared" si="72"/>
        <v>0</v>
      </c>
      <c r="AD201" s="183">
        <f t="shared" si="73"/>
        <v>0</v>
      </c>
      <c r="AE201" s="183">
        <f t="shared" si="74"/>
        <v>0</v>
      </c>
      <c r="AF201" s="196">
        <f t="shared" si="75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61"/>
        <v>0</v>
      </c>
      <c r="D202" s="183">
        <f t="shared" si="61"/>
        <v>0</v>
      </c>
      <c r="E202" s="183">
        <f t="shared" si="61"/>
        <v>0</v>
      </c>
      <c r="F202" s="183">
        <f t="shared" si="61"/>
        <v>0</v>
      </c>
      <c r="G202" s="183">
        <f t="shared" si="61"/>
        <v>0</v>
      </c>
      <c r="H202" s="183">
        <f t="shared" si="61"/>
        <v>0</v>
      </c>
      <c r="I202" s="183">
        <f t="shared" si="61"/>
        <v>0</v>
      </c>
      <c r="J202" s="183">
        <f t="shared" si="61"/>
        <v>0</v>
      </c>
      <c r="K202" s="183">
        <f t="shared" si="61"/>
        <v>0</v>
      </c>
      <c r="L202" s="183">
        <f t="shared" si="61"/>
        <v>0</v>
      </c>
      <c r="M202" s="183">
        <f t="shared" si="61"/>
        <v>0</v>
      </c>
      <c r="N202" s="183">
        <f t="shared" si="61"/>
        <v>0</v>
      </c>
      <c r="O202" s="183">
        <f t="shared" si="61"/>
        <v>0</v>
      </c>
      <c r="P202" s="183">
        <f t="shared" si="61"/>
        <v>0</v>
      </c>
      <c r="Q202" s="183">
        <f t="shared" si="61"/>
        <v>0</v>
      </c>
      <c r="R202" s="183">
        <f t="shared" si="61"/>
        <v>0</v>
      </c>
      <c r="S202" s="183">
        <f t="shared" si="62"/>
        <v>0</v>
      </c>
      <c r="T202" s="183">
        <f t="shared" si="63"/>
        <v>0</v>
      </c>
      <c r="U202" s="183">
        <f t="shared" si="64"/>
        <v>0</v>
      </c>
      <c r="V202" s="183">
        <f t="shared" si="65"/>
        <v>0</v>
      </c>
      <c r="W202" s="183">
        <f t="shared" si="66"/>
        <v>0</v>
      </c>
      <c r="X202" s="183">
        <f t="shared" si="67"/>
        <v>0</v>
      </c>
      <c r="Y202" s="183">
        <f t="shared" si="68"/>
        <v>0</v>
      </c>
      <c r="Z202" s="183">
        <f t="shared" si="69"/>
        <v>0</v>
      </c>
      <c r="AA202" s="183">
        <f t="shared" si="70"/>
        <v>0</v>
      </c>
      <c r="AB202" s="183">
        <f t="shared" si="71"/>
        <v>0</v>
      </c>
      <c r="AC202" s="183">
        <f t="shared" si="72"/>
        <v>0</v>
      </c>
      <c r="AD202" s="183">
        <f t="shared" si="73"/>
        <v>0</v>
      </c>
      <c r="AE202" s="183">
        <f t="shared" si="74"/>
        <v>0</v>
      </c>
      <c r="AF202" s="196">
        <f t="shared" si="75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61"/>
        <v>0</v>
      </c>
      <c r="D203" s="183">
        <f t="shared" si="61"/>
        <v>0</v>
      </c>
      <c r="E203" s="183">
        <f t="shared" si="61"/>
        <v>0</v>
      </c>
      <c r="F203" s="183">
        <f t="shared" si="61"/>
        <v>0</v>
      </c>
      <c r="G203" s="183">
        <f t="shared" si="61"/>
        <v>0</v>
      </c>
      <c r="H203" s="183">
        <f t="shared" si="61"/>
        <v>0</v>
      </c>
      <c r="I203" s="183">
        <f t="shared" si="61"/>
        <v>0</v>
      </c>
      <c r="J203" s="183">
        <f t="shared" si="61"/>
        <v>0</v>
      </c>
      <c r="K203" s="183">
        <f t="shared" si="61"/>
        <v>0</v>
      </c>
      <c r="L203" s="183">
        <f t="shared" si="61"/>
        <v>0</v>
      </c>
      <c r="M203" s="183">
        <f t="shared" si="61"/>
        <v>0</v>
      </c>
      <c r="N203" s="183">
        <f t="shared" si="61"/>
        <v>0</v>
      </c>
      <c r="O203" s="183">
        <f t="shared" si="61"/>
        <v>0</v>
      </c>
      <c r="P203" s="183">
        <f t="shared" si="61"/>
        <v>0</v>
      </c>
      <c r="Q203" s="183">
        <f t="shared" si="61"/>
        <v>0</v>
      </c>
      <c r="R203" s="183">
        <f t="shared" si="61"/>
        <v>0</v>
      </c>
      <c r="S203" s="183">
        <f t="shared" si="62"/>
        <v>0</v>
      </c>
      <c r="T203" s="183">
        <f t="shared" si="63"/>
        <v>0</v>
      </c>
      <c r="U203" s="183">
        <f t="shared" si="64"/>
        <v>0</v>
      </c>
      <c r="V203" s="183">
        <f t="shared" si="65"/>
        <v>0</v>
      </c>
      <c r="W203" s="183">
        <f t="shared" si="66"/>
        <v>0</v>
      </c>
      <c r="X203" s="183">
        <f t="shared" si="67"/>
        <v>0</v>
      </c>
      <c r="Y203" s="183">
        <f t="shared" si="68"/>
        <v>0</v>
      </c>
      <c r="Z203" s="183">
        <f t="shared" si="69"/>
        <v>0</v>
      </c>
      <c r="AA203" s="183">
        <f t="shared" si="70"/>
        <v>0</v>
      </c>
      <c r="AB203" s="183">
        <f t="shared" si="71"/>
        <v>0</v>
      </c>
      <c r="AC203" s="183">
        <f t="shared" si="72"/>
        <v>0</v>
      </c>
      <c r="AD203" s="183">
        <f t="shared" si="73"/>
        <v>0</v>
      </c>
      <c r="AE203" s="183">
        <f t="shared" si="74"/>
        <v>0</v>
      </c>
      <c r="AF203" s="196">
        <f t="shared" si="75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61"/>
        <v>0</v>
      </c>
      <c r="D204" s="183">
        <f t="shared" si="61"/>
        <v>0</v>
      </c>
      <c r="E204" s="183">
        <f t="shared" si="61"/>
        <v>0</v>
      </c>
      <c r="F204" s="183">
        <f t="shared" si="61"/>
        <v>0</v>
      </c>
      <c r="G204" s="183">
        <f t="shared" si="61"/>
        <v>0</v>
      </c>
      <c r="H204" s="183">
        <f t="shared" si="61"/>
        <v>0</v>
      </c>
      <c r="I204" s="183">
        <f t="shared" si="61"/>
        <v>0</v>
      </c>
      <c r="J204" s="183">
        <f t="shared" si="61"/>
        <v>0</v>
      </c>
      <c r="K204" s="183">
        <f t="shared" si="61"/>
        <v>0</v>
      </c>
      <c r="L204" s="183">
        <f t="shared" si="61"/>
        <v>0</v>
      </c>
      <c r="M204" s="183">
        <f t="shared" si="61"/>
        <v>0</v>
      </c>
      <c r="N204" s="183">
        <f t="shared" si="61"/>
        <v>0</v>
      </c>
      <c r="O204" s="183">
        <f t="shared" si="61"/>
        <v>0</v>
      </c>
      <c r="P204" s="183">
        <f t="shared" si="61"/>
        <v>0</v>
      </c>
      <c r="Q204" s="183">
        <f t="shared" si="61"/>
        <v>0</v>
      </c>
      <c r="R204" s="183">
        <f t="shared" si="61"/>
        <v>0</v>
      </c>
      <c r="S204" s="183">
        <f t="shared" si="62"/>
        <v>0</v>
      </c>
      <c r="T204" s="183">
        <f t="shared" si="63"/>
        <v>0</v>
      </c>
      <c r="U204" s="183">
        <f t="shared" si="64"/>
        <v>0</v>
      </c>
      <c r="V204" s="183">
        <f t="shared" si="65"/>
        <v>0</v>
      </c>
      <c r="W204" s="183">
        <f t="shared" si="66"/>
        <v>0</v>
      </c>
      <c r="X204" s="183">
        <f t="shared" si="67"/>
        <v>0</v>
      </c>
      <c r="Y204" s="183">
        <f t="shared" si="68"/>
        <v>0</v>
      </c>
      <c r="Z204" s="183">
        <f t="shared" si="69"/>
        <v>0</v>
      </c>
      <c r="AA204" s="183">
        <f t="shared" si="70"/>
        <v>0</v>
      </c>
      <c r="AB204" s="183">
        <f t="shared" si="71"/>
        <v>0</v>
      </c>
      <c r="AC204" s="183">
        <f t="shared" si="72"/>
        <v>0</v>
      </c>
      <c r="AD204" s="183">
        <f t="shared" si="73"/>
        <v>0</v>
      </c>
      <c r="AE204" s="183">
        <f t="shared" si="74"/>
        <v>0</v>
      </c>
      <c r="AF204" s="196">
        <f t="shared" si="75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61"/>
        <v>0</v>
      </c>
      <c r="D205" s="183">
        <f t="shared" si="61"/>
        <v>0</v>
      </c>
      <c r="E205" s="183">
        <f t="shared" si="61"/>
        <v>0</v>
      </c>
      <c r="F205" s="183">
        <f t="shared" si="61"/>
        <v>0</v>
      </c>
      <c r="G205" s="183">
        <f t="shared" si="61"/>
        <v>0</v>
      </c>
      <c r="H205" s="183">
        <f t="shared" si="61"/>
        <v>0</v>
      </c>
      <c r="I205" s="183">
        <f t="shared" si="61"/>
        <v>0</v>
      </c>
      <c r="J205" s="183">
        <f t="shared" si="61"/>
        <v>0</v>
      </c>
      <c r="K205" s="183">
        <f t="shared" si="61"/>
        <v>0</v>
      </c>
      <c r="L205" s="183">
        <f t="shared" si="61"/>
        <v>0</v>
      </c>
      <c r="M205" s="183">
        <f t="shared" si="61"/>
        <v>0</v>
      </c>
      <c r="N205" s="183">
        <f t="shared" si="61"/>
        <v>0</v>
      </c>
      <c r="O205" s="183">
        <f t="shared" si="61"/>
        <v>0</v>
      </c>
      <c r="P205" s="183">
        <f t="shared" si="61"/>
        <v>0</v>
      </c>
      <c r="Q205" s="183">
        <f t="shared" si="61"/>
        <v>0</v>
      </c>
      <c r="R205" s="183">
        <f t="shared" si="61"/>
        <v>0</v>
      </c>
      <c r="S205" s="183">
        <f t="shared" si="62"/>
        <v>0</v>
      </c>
      <c r="T205" s="183">
        <f t="shared" si="63"/>
        <v>0</v>
      </c>
      <c r="U205" s="183">
        <f t="shared" si="64"/>
        <v>0</v>
      </c>
      <c r="V205" s="183">
        <f t="shared" si="65"/>
        <v>0</v>
      </c>
      <c r="W205" s="183">
        <f t="shared" si="66"/>
        <v>0</v>
      </c>
      <c r="X205" s="183">
        <f t="shared" si="67"/>
        <v>0</v>
      </c>
      <c r="Y205" s="183">
        <f t="shared" si="68"/>
        <v>0</v>
      </c>
      <c r="Z205" s="183">
        <f t="shared" si="69"/>
        <v>0</v>
      </c>
      <c r="AA205" s="183">
        <f t="shared" si="70"/>
        <v>0</v>
      </c>
      <c r="AB205" s="183">
        <f t="shared" si="71"/>
        <v>0</v>
      </c>
      <c r="AC205" s="183">
        <f t="shared" si="72"/>
        <v>0</v>
      </c>
      <c r="AD205" s="183">
        <f t="shared" si="73"/>
        <v>0</v>
      </c>
      <c r="AE205" s="183">
        <f t="shared" si="74"/>
        <v>0</v>
      </c>
      <c r="AF205" s="196">
        <f t="shared" si="75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61"/>
        <v>0</v>
      </c>
      <c r="D206" s="183">
        <f t="shared" si="61"/>
        <v>0</v>
      </c>
      <c r="E206" s="183">
        <f t="shared" si="61"/>
        <v>0</v>
      </c>
      <c r="F206" s="183">
        <f t="shared" si="61"/>
        <v>0</v>
      </c>
      <c r="G206" s="183">
        <f t="shared" si="61"/>
        <v>0</v>
      </c>
      <c r="H206" s="183">
        <f t="shared" si="61"/>
        <v>0</v>
      </c>
      <c r="I206" s="183">
        <f t="shared" si="61"/>
        <v>0</v>
      </c>
      <c r="J206" s="183">
        <f t="shared" si="61"/>
        <v>0</v>
      </c>
      <c r="K206" s="183">
        <f t="shared" si="61"/>
        <v>0</v>
      </c>
      <c r="L206" s="183">
        <f t="shared" si="61"/>
        <v>0</v>
      </c>
      <c r="M206" s="183">
        <f t="shared" si="61"/>
        <v>0</v>
      </c>
      <c r="N206" s="183">
        <f t="shared" si="61"/>
        <v>0</v>
      </c>
      <c r="O206" s="183">
        <f t="shared" si="61"/>
        <v>0</v>
      </c>
      <c r="P206" s="183">
        <f t="shared" si="61"/>
        <v>0</v>
      </c>
      <c r="Q206" s="183">
        <f t="shared" si="61"/>
        <v>0</v>
      </c>
      <c r="R206" s="183">
        <f t="shared" si="61"/>
        <v>0</v>
      </c>
      <c r="S206" s="183">
        <f t="shared" si="62"/>
        <v>0</v>
      </c>
      <c r="T206" s="183">
        <f t="shared" si="63"/>
        <v>0</v>
      </c>
      <c r="U206" s="183">
        <f t="shared" si="64"/>
        <v>0</v>
      </c>
      <c r="V206" s="183">
        <f t="shared" si="65"/>
        <v>0</v>
      </c>
      <c r="W206" s="183">
        <f t="shared" si="66"/>
        <v>0</v>
      </c>
      <c r="X206" s="183">
        <f t="shared" si="67"/>
        <v>0</v>
      </c>
      <c r="Y206" s="183">
        <f t="shared" si="68"/>
        <v>0</v>
      </c>
      <c r="Z206" s="183">
        <f t="shared" si="69"/>
        <v>0</v>
      </c>
      <c r="AA206" s="183">
        <f t="shared" si="70"/>
        <v>0</v>
      </c>
      <c r="AB206" s="183">
        <f t="shared" si="71"/>
        <v>0</v>
      </c>
      <c r="AC206" s="183">
        <f t="shared" si="72"/>
        <v>0</v>
      </c>
      <c r="AD206" s="183">
        <f t="shared" si="73"/>
        <v>0</v>
      </c>
      <c r="AE206" s="183">
        <f t="shared" si="74"/>
        <v>0</v>
      </c>
      <c r="AF206" s="196">
        <f t="shared" si="75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61"/>
        <v>0</v>
      </c>
      <c r="D207" s="183">
        <f t="shared" si="61"/>
        <v>0</v>
      </c>
      <c r="E207" s="183">
        <f t="shared" si="61"/>
        <v>0</v>
      </c>
      <c r="F207" s="183">
        <f t="shared" si="61"/>
        <v>0</v>
      </c>
      <c r="G207" s="183">
        <f t="shared" si="61"/>
        <v>0</v>
      </c>
      <c r="H207" s="183">
        <f t="shared" si="61"/>
        <v>0</v>
      </c>
      <c r="I207" s="183">
        <f t="shared" si="61"/>
        <v>0</v>
      </c>
      <c r="J207" s="183">
        <f t="shared" si="61"/>
        <v>0</v>
      </c>
      <c r="K207" s="183">
        <f t="shared" si="61"/>
        <v>0</v>
      </c>
      <c r="L207" s="183">
        <f t="shared" si="61"/>
        <v>0</v>
      </c>
      <c r="M207" s="183">
        <f t="shared" si="61"/>
        <v>0</v>
      </c>
      <c r="N207" s="183">
        <f t="shared" si="61"/>
        <v>0</v>
      </c>
      <c r="O207" s="183">
        <f t="shared" si="61"/>
        <v>0</v>
      </c>
      <c r="P207" s="183">
        <f t="shared" si="61"/>
        <v>0</v>
      </c>
      <c r="Q207" s="183">
        <f t="shared" si="61"/>
        <v>0</v>
      </c>
      <c r="R207" s="183">
        <f t="shared" si="61"/>
        <v>0</v>
      </c>
      <c r="S207" s="183">
        <f t="shared" si="62"/>
        <v>0</v>
      </c>
      <c r="T207" s="183">
        <f t="shared" si="63"/>
        <v>0</v>
      </c>
      <c r="U207" s="183">
        <f t="shared" si="64"/>
        <v>0</v>
      </c>
      <c r="V207" s="183">
        <f t="shared" si="65"/>
        <v>0</v>
      </c>
      <c r="W207" s="183">
        <f t="shared" si="66"/>
        <v>0</v>
      </c>
      <c r="X207" s="183">
        <f t="shared" si="67"/>
        <v>0</v>
      </c>
      <c r="Y207" s="183">
        <f t="shared" si="68"/>
        <v>0</v>
      </c>
      <c r="Z207" s="183">
        <f t="shared" si="69"/>
        <v>0</v>
      </c>
      <c r="AA207" s="183">
        <f t="shared" si="70"/>
        <v>0</v>
      </c>
      <c r="AB207" s="183">
        <f t="shared" si="71"/>
        <v>0</v>
      </c>
      <c r="AC207" s="183">
        <f t="shared" si="72"/>
        <v>0</v>
      </c>
      <c r="AD207" s="183">
        <f t="shared" si="73"/>
        <v>0</v>
      </c>
      <c r="AE207" s="183">
        <f t="shared" si="74"/>
        <v>0</v>
      </c>
      <c r="AF207" s="196">
        <f t="shared" si="75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61"/>
        <v>0</v>
      </c>
      <c r="D208" s="183">
        <f t="shared" si="61"/>
        <v>0</v>
      </c>
      <c r="E208" s="183">
        <f t="shared" si="61"/>
        <v>0</v>
      </c>
      <c r="F208" s="183">
        <f t="shared" si="61"/>
        <v>0</v>
      </c>
      <c r="G208" s="183">
        <f t="shared" si="61"/>
        <v>0</v>
      </c>
      <c r="H208" s="183">
        <f t="shared" si="61"/>
        <v>0</v>
      </c>
      <c r="I208" s="183">
        <f t="shared" si="61"/>
        <v>0</v>
      </c>
      <c r="J208" s="183">
        <f t="shared" si="61"/>
        <v>0</v>
      </c>
      <c r="K208" s="183">
        <f t="shared" si="61"/>
        <v>0</v>
      </c>
      <c r="L208" s="183">
        <f t="shared" si="61"/>
        <v>0</v>
      </c>
      <c r="M208" s="183">
        <f t="shared" si="61"/>
        <v>0</v>
      </c>
      <c r="N208" s="183">
        <f t="shared" si="61"/>
        <v>0</v>
      </c>
      <c r="O208" s="183">
        <f t="shared" si="61"/>
        <v>0</v>
      </c>
      <c r="P208" s="183">
        <f t="shared" si="61"/>
        <v>0</v>
      </c>
      <c r="Q208" s="183">
        <f t="shared" si="61"/>
        <v>0</v>
      </c>
      <c r="R208" s="183">
        <f t="shared" si="61"/>
        <v>0</v>
      </c>
      <c r="S208" s="183">
        <f t="shared" si="62"/>
        <v>0</v>
      </c>
      <c r="T208" s="183">
        <f t="shared" si="63"/>
        <v>0</v>
      </c>
      <c r="U208" s="183">
        <f t="shared" si="64"/>
        <v>0</v>
      </c>
      <c r="V208" s="183">
        <f t="shared" si="65"/>
        <v>0</v>
      </c>
      <c r="W208" s="183">
        <f t="shared" si="66"/>
        <v>0</v>
      </c>
      <c r="X208" s="183">
        <f t="shared" si="67"/>
        <v>0</v>
      </c>
      <c r="Y208" s="183">
        <f t="shared" si="68"/>
        <v>0</v>
      </c>
      <c r="Z208" s="183">
        <f t="shared" si="69"/>
        <v>0</v>
      </c>
      <c r="AA208" s="183">
        <f t="shared" si="70"/>
        <v>0</v>
      </c>
      <c r="AB208" s="183">
        <f t="shared" si="71"/>
        <v>0</v>
      </c>
      <c r="AC208" s="183">
        <f t="shared" si="72"/>
        <v>0</v>
      </c>
      <c r="AD208" s="183">
        <f t="shared" si="73"/>
        <v>0</v>
      </c>
      <c r="AE208" s="183">
        <f t="shared" si="74"/>
        <v>0</v>
      </c>
      <c r="AF208" s="196">
        <f t="shared" si="75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61"/>
        <v>0</v>
      </c>
      <c r="D209" s="183">
        <f t="shared" si="61"/>
        <v>0</v>
      </c>
      <c r="E209" s="183">
        <f t="shared" si="61"/>
        <v>0</v>
      </c>
      <c r="F209" s="183">
        <f t="shared" si="61"/>
        <v>0</v>
      </c>
      <c r="G209" s="183">
        <f t="shared" si="61"/>
        <v>0</v>
      </c>
      <c r="H209" s="183">
        <f t="shared" si="61"/>
        <v>0</v>
      </c>
      <c r="I209" s="183">
        <f t="shared" si="61"/>
        <v>0</v>
      </c>
      <c r="J209" s="183">
        <f t="shared" si="61"/>
        <v>0</v>
      </c>
      <c r="K209" s="183">
        <f t="shared" si="61"/>
        <v>0</v>
      </c>
      <c r="L209" s="183">
        <f t="shared" si="61"/>
        <v>0</v>
      </c>
      <c r="M209" s="183">
        <f t="shared" si="61"/>
        <v>0</v>
      </c>
      <c r="N209" s="183">
        <f t="shared" si="61"/>
        <v>0</v>
      </c>
      <c r="O209" s="183">
        <f t="shared" si="61"/>
        <v>0</v>
      </c>
      <c r="P209" s="183">
        <f t="shared" si="61"/>
        <v>0</v>
      </c>
      <c r="Q209" s="183">
        <f t="shared" si="61"/>
        <v>0</v>
      </c>
      <c r="R209" s="183">
        <f t="shared" si="61"/>
        <v>0</v>
      </c>
      <c r="S209" s="183">
        <f t="shared" si="62"/>
        <v>0</v>
      </c>
      <c r="T209" s="183">
        <f t="shared" si="63"/>
        <v>0</v>
      </c>
      <c r="U209" s="183">
        <f t="shared" si="64"/>
        <v>0</v>
      </c>
      <c r="V209" s="183">
        <f t="shared" si="65"/>
        <v>0</v>
      </c>
      <c r="W209" s="183">
        <f t="shared" si="66"/>
        <v>0</v>
      </c>
      <c r="X209" s="183">
        <f t="shared" si="67"/>
        <v>0</v>
      </c>
      <c r="Y209" s="183">
        <f t="shared" si="68"/>
        <v>0</v>
      </c>
      <c r="Z209" s="183">
        <f t="shared" si="69"/>
        <v>0</v>
      </c>
      <c r="AA209" s="183">
        <f t="shared" si="70"/>
        <v>0</v>
      </c>
      <c r="AB209" s="183">
        <f t="shared" si="71"/>
        <v>0</v>
      </c>
      <c r="AC209" s="183">
        <f t="shared" si="72"/>
        <v>0</v>
      </c>
      <c r="AD209" s="183">
        <f t="shared" si="73"/>
        <v>0</v>
      </c>
      <c r="AE209" s="183">
        <f t="shared" si="74"/>
        <v>0</v>
      </c>
      <c r="AF209" s="196">
        <f t="shared" si="75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61"/>
        <v>0</v>
      </c>
      <c r="D210" s="183">
        <f t="shared" si="61"/>
        <v>0</v>
      </c>
      <c r="E210" s="183">
        <f t="shared" si="61"/>
        <v>0</v>
      </c>
      <c r="F210" s="183">
        <f t="shared" si="61"/>
        <v>0</v>
      </c>
      <c r="G210" s="183">
        <f t="shared" si="61"/>
        <v>0</v>
      </c>
      <c r="H210" s="183">
        <f t="shared" si="61"/>
        <v>0</v>
      </c>
      <c r="I210" s="183">
        <f t="shared" si="61"/>
        <v>0</v>
      </c>
      <c r="J210" s="183">
        <f t="shared" si="61"/>
        <v>0</v>
      </c>
      <c r="K210" s="183">
        <f t="shared" si="61"/>
        <v>0</v>
      </c>
      <c r="L210" s="183">
        <f t="shared" si="61"/>
        <v>0</v>
      </c>
      <c r="M210" s="183">
        <f t="shared" si="61"/>
        <v>0</v>
      </c>
      <c r="N210" s="183">
        <f t="shared" si="61"/>
        <v>0</v>
      </c>
      <c r="O210" s="183">
        <f t="shared" si="61"/>
        <v>0</v>
      </c>
      <c r="P210" s="183">
        <f t="shared" si="61"/>
        <v>0</v>
      </c>
      <c r="Q210" s="183">
        <f t="shared" si="61"/>
        <v>0</v>
      </c>
      <c r="R210" s="183">
        <f t="shared" si="61"/>
        <v>0</v>
      </c>
      <c r="S210" s="183">
        <f t="shared" si="62"/>
        <v>0</v>
      </c>
      <c r="T210" s="183">
        <f t="shared" si="63"/>
        <v>0</v>
      </c>
      <c r="U210" s="183">
        <f t="shared" si="64"/>
        <v>0</v>
      </c>
      <c r="V210" s="183">
        <f t="shared" si="65"/>
        <v>0</v>
      </c>
      <c r="W210" s="183">
        <f t="shared" si="66"/>
        <v>0</v>
      </c>
      <c r="X210" s="183">
        <f t="shared" si="67"/>
        <v>0</v>
      </c>
      <c r="Y210" s="183">
        <f t="shared" si="68"/>
        <v>0</v>
      </c>
      <c r="Z210" s="183">
        <f t="shared" si="69"/>
        <v>0</v>
      </c>
      <c r="AA210" s="183">
        <f t="shared" si="70"/>
        <v>0</v>
      </c>
      <c r="AB210" s="183">
        <f t="shared" si="71"/>
        <v>0</v>
      </c>
      <c r="AC210" s="183">
        <f t="shared" si="72"/>
        <v>0</v>
      </c>
      <c r="AD210" s="183">
        <f t="shared" si="73"/>
        <v>0</v>
      </c>
      <c r="AE210" s="183">
        <f t="shared" si="74"/>
        <v>0</v>
      </c>
      <c r="AF210" s="196">
        <f t="shared" si="75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61"/>
        <v>0</v>
      </c>
      <c r="D211" s="183">
        <f t="shared" si="61"/>
        <v>0</v>
      </c>
      <c r="E211" s="183">
        <f t="shared" si="61"/>
        <v>0</v>
      </c>
      <c r="F211" s="183">
        <f t="shared" si="61"/>
        <v>0</v>
      </c>
      <c r="G211" s="183">
        <f t="shared" si="61"/>
        <v>0</v>
      </c>
      <c r="H211" s="183">
        <f t="shared" si="61"/>
        <v>0</v>
      </c>
      <c r="I211" s="183">
        <f t="shared" si="61"/>
        <v>0</v>
      </c>
      <c r="J211" s="183">
        <f t="shared" si="61"/>
        <v>0</v>
      </c>
      <c r="K211" s="183">
        <f t="shared" si="61"/>
        <v>0</v>
      </c>
      <c r="L211" s="183">
        <f t="shared" si="61"/>
        <v>0</v>
      </c>
      <c r="M211" s="183">
        <f t="shared" si="61"/>
        <v>0</v>
      </c>
      <c r="N211" s="183">
        <f t="shared" si="61"/>
        <v>0</v>
      </c>
      <c r="O211" s="183">
        <f t="shared" si="61"/>
        <v>0</v>
      </c>
      <c r="P211" s="183">
        <f t="shared" si="61"/>
        <v>0</v>
      </c>
      <c r="Q211" s="183">
        <f t="shared" si="61"/>
        <v>0</v>
      </c>
      <c r="R211" s="183">
        <f t="shared" si="61"/>
        <v>0</v>
      </c>
      <c r="S211" s="183">
        <f t="shared" si="62"/>
        <v>0</v>
      </c>
      <c r="T211" s="183">
        <f t="shared" si="63"/>
        <v>0</v>
      </c>
      <c r="U211" s="183">
        <f t="shared" si="64"/>
        <v>0</v>
      </c>
      <c r="V211" s="183">
        <f t="shared" si="65"/>
        <v>0</v>
      </c>
      <c r="W211" s="183">
        <f t="shared" si="66"/>
        <v>0</v>
      </c>
      <c r="X211" s="183">
        <f t="shared" si="67"/>
        <v>0</v>
      </c>
      <c r="Y211" s="183">
        <f t="shared" si="68"/>
        <v>0</v>
      </c>
      <c r="Z211" s="183">
        <f t="shared" si="69"/>
        <v>0</v>
      </c>
      <c r="AA211" s="183">
        <f t="shared" si="70"/>
        <v>0</v>
      </c>
      <c r="AB211" s="183">
        <f t="shared" si="71"/>
        <v>0</v>
      </c>
      <c r="AC211" s="183">
        <f t="shared" si="72"/>
        <v>0</v>
      </c>
      <c r="AD211" s="183">
        <f t="shared" si="73"/>
        <v>0</v>
      </c>
      <c r="AE211" s="183">
        <f t="shared" si="74"/>
        <v>0</v>
      </c>
      <c r="AF211" s="196">
        <f t="shared" si="75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61"/>
        <v>0</v>
      </c>
      <c r="D212" s="183">
        <f t="shared" si="61"/>
        <v>0</v>
      </c>
      <c r="E212" s="183">
        <f t="shared" si="61"/>
        <v>0</v>
      </c>
      <c r="F212" s="183">
        <f t="shared" si="61"/>
        <v>0</v>
      </c>
      <c r="G212" s="183">
        <f t="shared" si="61"/>
        <v>0</v>
      </c>
      <c r="H212" s="183">
        <f t="shared" si="61"/>
        <v>0</v>
      </c>
      <c r="I212" s="183">
        <f t="shared" si="61"/>
        <v>0</v>
      </c>
      <c r="J212" s="183">
        <f t="shared" si="61"/>
        <v>0</v>
      </c>
      <c r="K212" s="183">
        <f t="shared" si="61"/>
        <v>0</v>
      </c>
      <c r="L212" s="183">
        <f t="shared" si="61"/>
        <v>0</v>
      </c>
      <c r="M212" s="183">
        <f t="shared" si="61"/>
        <v>0</v>
      </c>
      <c r="N212" s="183">
        <f t="shared" si="61"/>
        <v>0</v>
      </c>
      <c r="O212" s="183">
        <f t="shared" si="61"/>
        <v>0</v>
      </c>
      <c r="P212" s="183">
        <f t="shared" si="61"/>
        <v>0</v>
      </c>
      <c r="Q212" s="183">
        <f t="shared" si="61"/>
        <v>0</v>
      </c>
      <c r="R212" s="183">
        <f t="shared" si="61"/>
        <v>0</v>
      </c>
      <c r="S212" s="183">
        <f t="shared" si="62"/>
        <v>0</v>
      </c>
      <c r="T212" s="183">
        <f t="shared" si="63"/>
        <v>0</v>
      </c>
      <c r="U212" s="183">
        <f t="shared" si="64"/>
        <v>0</v>
      </c>
      <c r="V212" s="183">
        <f t="shared" si="65"/>
        <v>0</v>
      </c>
      <c r="W212" s="183">
        <f t="shared" si="66"/>
        <v>0</v>
      </c>
      <c r="X212" s="183">
        <f t="shared" si="67"/>
        <v>0</v>
      </c>
      <c r="Y212" s="183">
        <f t="shared" si="68"/>
        <v>0</v>
      </c>
      <c r="Z212" s="183">
        <f t="shared" si="69"/>
        <v>0</v>
      </c>
      <c r="AA212" s="183">
        <f t="shared" si="70"/>
        <v>0</v>
      </c>
      <c r="AB212" s="183">
        <f t="shared" si="71"/>
        <v>0</v>
      </c>
      <c r="AC212" s="183">
        <f t="shared" si="72"/>
        <v>0</v>
      </c>
      <c r="AD212" s="183">
        <f t="shared" si="73"/>
        <v>0</v>
      </c>
      <c r="AE212" s="183">
        <f t="shared" si="74"/>
        <v>0</v>
      </c>
      <c r="AF212" s="196">
        <f t="shared" si="75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61"/>
        <v>0</v>
      </c>
      <c r="D213" s="183">
        <f t="shared" si="61"/>
        <v>0</v>
      </c>
      <c r="E213" s="183">
        <f t="shared" si="61"/>
        <v>0</v>
      </c>
      <c r="F213" s="183">
        <f t="shared" si="61"/>
        <v>0</v>
      </c>
      <c r="G213" s="183">
        <f t="shared" si="61"/>
        <v>0</v>
      </c>
      <c r="H213" s="183">
        <f t="shared" si="61"/>
        <v>0</v>
      </c>
      <c r="I213" s="183">
        <f t="shared" si="61"/>
        <v>0</v>
      </c>
      <c r="J213" s="183">
        <f t="shared" si="61"/>
        <v>0</v>
      </c>
      <c r="K213" s="183">
        <f t="shared" si="61"/>
        <v>0</v>
      </c>
      <c r="L213" s="183">
        <f t="shared" si="61"/>
        <v>0</v>
      </c>
      <c r="M213" s="183">
        <f t="shared" si="61"/>
        <v>0</v>
      </c>
      <c r="N213" s="183">
        <f t="shared" si="61"/>
        <v>0</v>
      </c>
      <c r="O213" s="183">
        <f t="shared" si="61"/>
        <v>0</v>
      </c>
      <c r="P213" s="183">
        <f t="shared" si="61"/>
        <v>0</v>
      </c>
      <c r="Q213" s="183">
        <f t="shared" si="61"/>
        <v>0</v>
      </c>
      <c r="R213" s="183">
        <f t="shared" si="61"/>
        <v>0</v>
      </c>
      <c r="S213" s="183">
        <f t="shared" si="62"/>
        <v>0</v>
      </c>
      <c r="T213" s="183">
        <f t="shared" si="63"/>
        <v>0</v>
      </c>
      <c r="U213" s="183">
        <f t="shared" si="64"/>
        <v>0</v>
      </c>
      <c r="V213" s="183">
        <f t="shared" si="65"/>
        <v>0</v>
      </c>
      <c r="W213" s="183">
        <f t="shared" si="66"/>
        <v>0</v>
      </c>
      <c r="X213" s="183">
        <f t="shared" si="67"/>
        <v>0</v>
      </c>
      <c r="Y213" s="183">
        <f t="shared" si="68"/>
        <v>0</v>
      </c>
      <c r="Z213" s="183">
        <f t="shared" si="69"/>
        <v>0</v>
      </c>
      <c r="AA213" s="183">
        <f t="shared" si="70"/>
        <v>0</v>
      </c>
      <c r="AB213" s="183">
        <f t="shared" si="71"/>
        <v>0</v>
      </c>
      <c r="AC213" s="183">
        <f t="shared" si="72"/>
        <v>0</v>
      </c>
      <c r="AD213" s="183">
        <f t="shared" si="73"/>
        <v>0</v>
      </c>
      <c r="AE213" s="183">
        <f t="shared" si="74"/>
        <v>0</v>
      </c>
      <c r="AF213" s="196">
        <f t="shared" si="75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61"/>
        <v>0</v>
      </c>
      <c r="D214" s="183">
        <f t="shared" si="61"/>
        <v>0</v>
      </c>
      <c r="E214" s="183">
        <f t="shared" si="61"/>
        <v>0</v>
      </c>
      <c r="F214" s="183">
        <f t="shared" si="61"/>
        <v>0</v>
      </c>
      <c r="G214" s="183">
        <f t="shared" si="61"/>
        <v>0</v>
      </c>
      <c r="H214" s="183">
        <f t="shared" si="61"/>
        <v>0</v>
      </c>
      <c r="I214" s="183">
        <f t="shared" si="61"/>
        <v>0</v>
      </c>
      <c r="J214" s="183">
        <f t="shared" si="61"/>
        <v>0</v>
      </c>
      <c r="K214" s="183">
        <f t="shared" si="61"/>
        <v>0</v>
      </c>
      <c r="L214" s="183">
        <f t="shared" si="61"/>
        <v>0</v>
      </c>
      <c r="M214" s="183">
        <f t="shared" si="61"/>
        <v>0</v>
      </c>
      <c r="N214" s="183">
        <f t="shared" si="61"/>
        <v>0</v>
      </c>
      <c r="O214" s="183">
        <f t="shared" si="61"/>
        <v>0</v>
      </c>
      <c r="P214" s="183">
        <f t="shared" si="61"/>
        <v>0</v>
      </c>
      <c r="Q214" s="183">
        <f t="shared" si="61"/>
        <v>0</v>
      </c>
      <c r="R214" s="183">
        <f t="shared" si="61"/>
        <v>0</v>
      </c>
      <c r="S214" s="183">
        <f t="shared" si="62"/>
        <v>0</v>
      </c>
      <c r="T214" s="183">
        <f t="shared" si="63"/>
        <v>0</v>
      </c>
      <c r="U214" s="183">
        <f t="shared" si="64"/>
        <v>0</v>
      </c>
      <c r="V214" s="183">
        <f t="shared" si="65"/>
        <v>0</v>
      </c>
      <c r="W214" s="183">
        <f t="shared" si="66"/>
        <v>0</v>
      </c>
      <c r="X214" s="183">
        <f t="shared" si="67"/>
        <v>0</v>
      </c>
      <c r="Y214" s="183">
        <f t="shared" si="68"/>
        <v>0</v>
      </c>
      <c r="Z214" s="183">
        <f t="shared" si="69"/>
        <v>0</v>
      </c>
      <c r="AA214" s="183">
        <f t="shared" si="70"/>
        <v>0</v>
      </c>
      <c r="AB214" s="183">
        <f t="shared" si="71"/>
        <v>0</v>
      </c>
      <c r="AC214" s="183">
        <f t="shared" si="72"/>
        <v>0</v>
      </c>
      <c r="AD214" s="183">
        <f t="shared" si="73"/>
        <v>0</v>
      </c>
      <c r="AE214" s="183">
        <f t="shared" si="74"/>
        <v>0</v>
      </c>
      <c r="AF214" s="196">
        <f t="shared" si="75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61"/>
        <v>0</v>
      </c>
      <c r="D215" s="183">
        <f t="shared" si="61"/>
        <v>0</v>
      </c>
      <c r="E215" s="183">
        <f t="shared" si="61"/>
        <v>0</v>
      </c>
      <c r="F215" s="183">
        <f t="shared" si="61"/>
        <v>0</v>
      </c>
      <c r="G215" s="183">
        <f t="shared" si="61"/>
        <v>0</v>
      </c>
      <c r="H215" s="183">
        <f t="shared" si="61"/>
        <v>0</v>
      </c>
      <c r="I215" s="183">
        <f t="shared" si="61"/>
        <v>0</v>
      </c>
      <c r="J215" s="183">
        <f t="shared" si="61"/>
        <v>0</v>
      </c>
      <c r="K215" s="183">
        <f t="shared" si="61"/>
        <v>0</v>
      </c>
      <c r="L215" s="183">
        <f t="shared" si="61"/>
        <v>0</v>
      </c>
      <c r="M215" s="183">
        <f t="shared" si="61"/>
        <v>0</v>
      </c>
      <c r="N215" s="183">
        <f t="shared" si="61"/>
        <v>0</v>
      </c>
      <c r="O215" s="183">
        <f t="shared" si="61"/>
        <v>0</v>
      </c>
      <c r="P215" s="183">
        <f t="shared" si="61"/>
        <v>0</v>
      </c>
      <c r="Q215" s="183">
        <f t="shared" si="61"/>
        <v>0</v>
      </c>
      <c r="R215" s="183">
        <f t="shared" ref="C215:R225" si="76">Q215</f>
        <v>0</v>
      </c>
      <c r="S215" s="183">
        <f t="shared" si="62"/>
        <v>0</v>
      </c>
      <c r="T215" s="183">
        <f t="shared" si="63"/>
        <v>0</v>
      </c>
      <c r="U215" s="183">
        <f t="shared" si="64"/>
        <v>0</v>
      </c>
      <c r="V215" s="183">
        <f t="shared" si="65"/>
        <v>0</v>
      </c>
      <c r="W215" s="183">
        <f t="shared" si="66"/>
        <v>0</v>
      </c>
      <c r="X215" s="183">
        <f t="shared" si="67"/>
        <v>0</v>
      </c>
      <c r="Y215" s="183">
        <f t="shared" si="68"/>
        <v>0</v>
      </c>
      <c r="Z215" s="183">
        <f t="shared" si="69"/>
        <v>0</v>
      </c>
      <c r="AA215" s="183">
        <f t="shared" si="70"/>
        <v>0</v>
      </c>
      <c r="AB215" s="183">
        <f t="shared" si="71"/>
        <v>0</v>
      </c>
      <c r="AC215" s="183">
        <f t="shared" si="72"/>
        <v>0</v>
      </c>
      <c r="AD215" s="183">
        <f t="shared" si="73"/>
        <v>0</v>
      </c>
      <c r="AE215" s="183">
        <f t="shared" si="74"/>
        <v>0</v>
      </c>
      <c r="AF215" s="196">
        <f t="shared" si="75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76"/>
        <v>0</v>
      </c>
      <c r="D216" s="183">
        <f t="shared" si="76"/>
        <v>0</v>
      </c>
      <c r="E216" s="183">
        <f t="shared" si="76"/>
        <v>0</v>
      </c>
      <c r="F216" s="183">
        <f t="shared" si="76"/>
        <v>0</v>
      </c>
      <c r="G216" s="183">
        <f t="shared" si="76"/>
        <v>0</v>
      </c>
      <c r="H216" s="183">
        <f t="shared" si="76"/>
        <v>0</v>
      </c>
      <c r="I216" s="183">
        <f t="shared" si="76"/>
        <v>0</v>
      </c>
      <c r="J216" s="183">
        <f t="shared" si="76"/>
        <v>0</v>
      </c>
      <c r="K216" s="183">
        <f t="shared" si="76"/>
        <v>0</v>
      </c>
      <c r="L216" s="183">
        <f t="shared" si="76"/>
        <v>0</v>
      </c>
      <c r="M216" s="183">
        <f t="shared" si="76"/>
        <v>0</v>
      </c>
      <c r="N216" s="183">
        <f t="shared" si="76"/>
        <v>0</v>
      </c>
      <c r="O216" s="183">
        <f t="shared" si="76"/>
        <v>0</v>
      </c>
      <c r="P216" s="183">
        <f t="shared" si="76"/>
        <v>0</v>
      </c>
      <c r="Q216" s="183">
        <f t="shared" si="76"/>
        <v>0</v>
      </c>
      <c r="R216" s="183">
        <f t="shared" si="76"/>
        <v>0</v>
      </c>
      <c r="S216" s="183">
        <f t="shared" si="62"/>
        <v>0</v>
      </c>
      <c r="T216" s="183">
        <f t="shared" si="63"/>
        <v>0</v>
      </c>
      <c r="U216" s="183">
        <f t="shared" si="64"/>
        <v>0</v>
      </c>
      <c r="V216" s="183">
        <f t="shared" si="65"/>
        <v>0</v>
      </c>
      <c r="W216" s="183">
        <f t="shared" si="66"/>
        <v>0</v>
      </c>
      <c r="X216" s="183">
        <f t="shared" si="67"/>
        <v>0</v>
      </c>
      <c r="Y216" s="183">
        <f t="shared" si="68"/>
        <v>0</v>
      </c>
      <c r="Z216" s="183">
        <f t="shared" si="69"/>
        <v>0</v>
      </c>
      <c r="AA216" s="183">
        <f t="shared" si="70"/>
        <v>0</v>
      </c>
      <c r="AB216" s="183">
        <f t="shared" si="71"/>
        <v>0</v>
      </c>
      <c r="AC216" s="183">
        <f t="shared" si="72"/>
        <v>0</v>
      </c>
      <c r="AD216" s="183">
        <f t="shared" si="73"/>
        <v>0</v>
      </c>
      <c r="AE216" s="183">
        <f t="shared" si="74"/>
        <v>0</v>
      </c>
      <c r="AF216" s="196">
        <f t="shared" si="75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76"/>
        <v>0</v>
      </c>
      <c r="D217" s="183">
        <f t="shared" si="76"/>
        <v>0</v>
      </c>
      <c r="E217" s="183">
        <f t="shared" si="76"/>
        <v>0</v>
      </c>
      <c r="F217" s="183">
        <f t="shared" si="76"/>
        <v>0</v>
      </c>
      <c r="G217" s="183">
        <f t="shared" si="76"/>
        <v>0</v>
      </c>
      <c r="H217" s="183">
        <f t="shared" si="76"/>
        <v>0</v>
      </c>
      <c r="I217" s="183">
        <f t="shared" si="76"/>
        <v>0</v>
      </c>
      <c r="J217" s="183">
        <f t="shared" si="76"/>
        <v>0</v>
      </c>
      <c r="K217" s="183">
        <f t="shared" si="76"/>
        <v>0</v>
      </c>
      <c r="L217" s="183">
        <f t="shared" si="76"/>
        <v>0</v>
      </c>
      <c r="M217" s="183">
        <f t="shared" si="76"/>
        <v>0</v>
      </c>
      <c r="N217" s="183">
        <f t="shared" si="76"/>
        <v>0</v>
      </c>
      <c r="O217" s="183">
        <f t="shared" si="76"/>
        <v>0</v>
      </c>
      <c r="P217" s="183">
        <f t="shared" si="76"/>
        <v>0</v>
      </c>
      <c r="Q217" s="183">
        <f t="shared" si="76"/>
        <v>0</v>
      </c>
      <c r="R217" s="183">
        <f t="shared" si="76"/>
        <v>0</v>
      </c>
      <c r="S217" s="183">
        <f t="shared" si="62"/>
        <v>0</v>
      </c>
      <c r="T217" s="183">
        <f t="shared" si="63"/>
        <v>0</v>
      </c>
      <c r="U217" s="183">
        <f t="shared" si="64"/>
        <v>0</v>
      </c>
      <c r="V217" s="183">
        <f t="shared" si="65"/>
        <v>0</v>
      </c>
      <c r="W217" s="183">
        <f t="shared" si="66"/>
        <v>0</v>
      </c>
      <c r="X217" s="183">
        <f t="shared" si="67"/>
        <v>0</v>
      </c>
      <c r="Y217" s="183">
        <f t="shared" si="68"/>
        <v>0</v>
      </c>
      <c r="Z217" s="183">
        <f t="shared" si="69"/>
        <v>0</v>
      </c>
      <c r="AA217" s="183">
        <f t="shared" si="70"/>
        <v>0</v>
      </c>
      <c r="AB217" s="183">
        <f t="shared" si="71"/>
        <v>0</v>
      </c>
      <c r="AC217" s="183">
        <f t="shared" si="72"/>
        <v>0</v>
      </c>
      <c r="AD217" s="183">
        <f t="shared" si="73"/>
        <v>0</v>
      </c>
      <c r="AE217" s="183">
        <f t="shared" si="74"/>
        <v>0</v>
      </c>
      <c r="AF217" s="196">
        <f t="shared" si="75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76"/>
        <v>0</v>
      </c>
      <c r="D218" s="183">
        <f t="shared" si="76"/>
        <v>0</v>
      </c>
      <c r="E218" s="183">
        <f t="shared" si="76"/>
        <v>0</v>
      </c>
      <c r="F218" s="183">
        <f t="shared" si="76"/>
        <v>0</v>
      </c>
      <c r="G218" s="183">
        <f t="shared" si="76"/>
        <v>0</v>
      </c>
      <c r="H218" s="183">
        <f t="shared" si="76"/>
        <v>0</v>
      </c>
      <c r="I218" s="183">
        <f t="shared" si="76"/>
        <v>0</v>
      </c>
      <c r="J218" s="183">
        <f t="shared" si="76"/>
        <v>0</v>
      </c>
      <c r="K218" s="183">
        <f t="shared" si="76"/>
        <v>0</v>
      </c>
      <c r="L218" s="183">
        <f t="shared" si="76"/>
        <v>0</v>
      </c>
      <c r="M218" s="183">
        <f t="shared" si="76"/>
        <v>0</v>
      </c>
      <c r="N218" s="183">
        <f t="shared" si="76"/>
        <v>0</v>
      </c>
      <c r="O218" s="183">
        <f t="shared" si="76"/>
        <v>0</v>
      </c>
      <c r="P218" s="183">
        <f t="shared" si="76"/>
        <v>0</v>
      </c>
      <c r="Q218" s="183">
        <f t="shared" si="76"/>
        <v>0</v>
      </c>
      <c r="R218" s="183">
        <f t="shared" si="76"/>
        <v>0</v>
      </c>
      <c r="S218" s="183">
        <f t="shared" si="62"/>
        <v>0</v>
      </c>
      <c r="T218" s="183">
        <f t="shared" si="63"/>
        <v>0</v>
      </c>
      <c r="U218" s="183">
        <f t="shared" si="64"/>
        <v>0</v>
      </c>
      <c r="V218" s="183">
        <f t="shared" si="65"/>
        <v>0</v>
      </c>
      <c r="W218" s="183">
        <f t="shared" si="66"/>
        <v>0</v>
      </c>
      <c r="X218" s="183">
        <f t="shared" si="67"/>
        <v>0</v>
      </c>
      <c r="Y218" s="183">
        <f t="shared" si="68"/>
        <v>0</v>
      </c>
      <c r="Z218" s="183">
        <f t="shared" si="69"/>
        <v>0</v>
      </c>
      <c r="AA218" s="183">
        <f t="shared" si="70"/>
        <v>0</v>
      </c>
      <c r="AB218" s="183">
        <f t="shared" si="71"/>
        <v>0</v>
      </c>
      <c r="AC218" s="183">
        <f t="shared" si="72"/>
        <v>0</v>
      </c>
      <c r="AD218" s="183">
        <f t="shared" si="73"/>
        <v>0</v>
      </c>
      <c r="AE218" s="183">
        <f t="shared" si="74"/>
        <v>0</v>
      </c>
      <c r="AF218" s="196">
        <f t="shared" si="75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76"/>
        <v>0</v>
      </c>
      <c r="D219" s="183">
        <f t="shared" si="76"/>
        <v>0</v>
      </c>
      <c r="E219" s="183">
        <f t="shared" si="76"/>
        <v>0</v>
      </c>
      <c r="F219" s="183">
        <f t="shared" si="76"/>
        <v>0</v>
      </c>
      <c r="G219" s="183">
        <f t="shared" si="76"/>
        <v>0</v>
      </c>
      <c r="H219" s="183">
        <f t="shared" si="76"/>
        <v>0</v>
      </c>
      <c r="I219" s="183">
        <f t="shared" si="76"/>
        <v>0</v>
      </c>
      <c r="J219" s="183">
        <f t="shared" si="76"/>
        <v>0</v>
      </c>
      <c r="K219" s="183">
        <f t="shared" si="76"/>
        <v>0</v>
      </c>
      <c r="L219" s="183">
        <f t="shared" si="76"/>
        <v>0</v>
      </c>
      <c r="M219" s="183">
        <f t="shared" si="76"/>
        <v>0</v>
      </c>
      <c r="N219" s="183">
        <f t="shared" si="76"/>
        <v>0</v>
      </c>
      <c r="O219" s="183">
        <f t="shared" si="76"/>
        <v>0</v>
      </c>
      <c r="P219" s="183">
        <f t="shared" si="76"/>
        <v>0</v>
      </c>
      <c r="Q219" s="183">
        <f t="shared" si="76"/>
        <v>0</v>
      </c>
      <c r="R219" s="183">
        <f t="shared" si="76"/>
        <v>0</v>
      </c>
      <c r="S219" s="183">
        <f t="shared" si="62"/>
        <v>0</v>
      </c>
      <c r="T219" s="183">
        <f t="shared" si="63"/>
        <v>0</v>
      </c>
      <c r="U219" s="183">
        <f t="shared" si="64"/>
        <v>0</v>
      </c>
      <c r="V219" s="183">
        <f t="shared" si="65"/>
        <v>0</v>
      </c>
      <c r="W219" s="183">
        <f t="shared" si="66"/>
        <v>0</v>
      </c>
      <c r="X219" s="183">
        <f t="shared" si="67"/>
        <v>0</v>
      </c>
      <c r="Y219" s="183">
        <f t="shared" si="68"/>
        <v>0</v>
      </c>
      <c r="Z219" s="183">
        <f t="shared" si="69"/>
        <v>0</v>
      </c>
      <c r="AA219" s="183">
        <f t="shared" si="70"/>
        <v>0</v>
      </c>
      <c r="AB219" s="183">
        <f t="shared" si="71"/>
        <v>0</v>
      </c>
      <c r="AC219" s="183">
        <f t="shared" si="72"/>
        <v>0</v>
      </c>
      <c r="AD219" s="183">
        <f t="shared" si="73"/>
        <v>0</v>
      </c>
      <c r="AE219" s="183">
        <f t="shared" si="74"/>
        <v>0</v>
      </c>
      <c r="AF219" s="196">
        <f t="shared" si="75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76"/>
        <v>0</v>
      </c>
      <c r="D220" s="183">
        <f t="shared" si="76"/>
        <v>0</v>
      </c>
      <c r="E220" s="183">
        <f t="shared" si="76"/>
        <v>0</v>
      </c>
      <c r="F220" s="183">
        <f t="shared" si="76"/>
        <v>0</v>
      </c>
      <c r="G220" s="183">
        <f t="shared" si="76"/>
        <v>0</v>
      </c>
      <c r="H220" s="183">
        <f t="shared" si="76"/>
        <v>0</v>
      </c>
      <c r="I220" s="183">
        <f t="shared" si="76"/>
        <v>0</v>
      </c>
      <c r="J220" s="183">
        <f t="shared" si="76"/>
        <v>0</v>
      </c>
      <c r="K220" s="183">
        <f t="shared" si="76"/>
        <v>0</v>
      </c>
      <c r="L220" s="183">
        <f t="shared" si="76"/>
        <v>0</v>
      </c>
      <c r="M220" s="183">
        <f t="shared" si="76"/>
        <v>0</v>
      </c>
      <c r="N220" s="183">
        <f t="shared" si="76"/>
        <v>0</v>
      </c>
      <c r="O220" s="183">
        <f t="shared" si="76"/>
        <v>0</v>
      </c>
      <c r="P220" s="183">
        <f t="shared" si="76"/>
        <v>0</v>
      </c>
      <c r="Q220" s="183">
        <f t="shared" si="76"/>
        <v>0</v>
      </c>
      <c r="R220" s="183">
        <f t="shared" si="76"/>
        <v>0</v>
      </c>
      <c r="S220" s="183">
        <f t="shared" si="62"/>
        <v>0</v>
      </c>
      <c r="T220" s="183">
        <f t="shared" si="63"/>
        <v>0</v>
      </c>
      <c r="U220" s="183">
        <f t="shared" si="64"/>
        <v>0</v>
      </c>
      <c r="V220" s="183">
        <f t="shared" si="65"/>
        <v>0</v>
      </c>
      <c r="W220" s="183">
        <f t="shared" si="66"/>
        <v>0</v>
      </c>
      <c r="X220" s="183">
        <f t="shared" si="67"/>
        <v>0</v>
      </c>
      <c r="Y220" s="183">
        <f t="shared" si="68"/>
        <v>0</v>
      </c>
      <c r="Z220" s="183">
        <f t="shared" si="69"/>
        <v>0</v>
      </c>
      <c r="AA220" s="183">
        <f t="shared" si="70"/>
        <v>0</v>
      </c>
      <c r="AB220" s="183">
        <f t="shared" si="71"/>
        <v>0</v>
      </c>
      <c r="AC220" s="183">
        <f t="shared" si="72"/>
        <v>0</v>
      </c>
      <c r="AD220" s="183">
        <f t="shared" si="73"/>
        <v>0</v>
      </c>
      <c r="AE220" s="183">
        <f t="shared" si="74"/>
        <v>0</v>
      </c>
      <c r="AF220" s="196">
        <f t="shared" si="75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76"/>
        <v>0</v>
      </c>
      <c r="D221" s="183">
        <f t="shared" si="76"/>
        <v>0</v>
      </c>
      <c r="E221" s="183">
        <f t="shared" si="76"/>
        <v>0</v>
      </c>
      <c r="F221" s="183">
        <f t="shared" si="76"/>
        <v>0</v>
      </c>
      <c r="G221" s="183">
        <f t="shared" si="76"/>
        <v>0</v>
      </c>
      <c r="H221" s="183">
        <f t="shared" si="76"/>
        <v>0</v>
      </c>
      <c r="I221" s="183">
        <f t="shared" si="76"/>
        <v>0</v>
      </c>
      <c r="J221" s="183">
        <f t="shared" si="76"/>
        <v>0</v>
      </c>
      <c r="K221" s="183">
        <f t="shared" si="76"/>
        <v>0</v>
      </c>
      <c r="L221" s="183">
        <f t="shared" si="76"/>
        <v>0</v>
      </c>
      <c r="M221" s="183">
        <f t="shared" si="76"/>
        <v>0</v>
      </c>
      <c r="N221" s="183">
        <f t="shared" si="76"/>
        <v>0</v>
      </c>
      <c r="O221" s="183">
        <f t="shared" si="76"/>
        <v>0</v>
      </c>
      <c r="P221" s="183">
        <f t="shared" si="76"/>
        <v>0</v>
      </c>
      <c r="Q221" s="183">
        <f t="shared" si="76"/>
        <v>0</v>
      </c>
      <c r="R221" s="183">
        <f t="shared" si="76"/>
        <v>0</v>
      </c>
      <c r="S221" s="183">
        <f t="shared" si="62"/>
        <v>0</v>
      </c>
      <c r="T221" s="183">
        <f t="shared" si="63"/>
        <v>0</v>
      </c>
      <c r="U221" s="183">
        <f t="shared" si="64"/>
        <v>0</v>
      </c>
      <c r="V221" s="183">
        <f t="shared" si="65"/>
        <v>0</v>
      </c>
      <c r="W221" s="183">
        <f t="shared" si="66"/>
        <v>0</v>
      </c>
      <c r="X221" s="183">
        <f t="shared" si="67"/>
        <v>0</v>
      </c>
      <c r="Y221" s="183">
        <f t="shared" si="68"/>
        <v>0</v>
      </c>
      <c r="Z221" s="183">
        <f t="shared" si="69"/>
        <v>0</v>
      </c>
      <c r="AA221" s="183">
        <f t="shared" si="70"/>
        <v>0</v>
      </c>
      <c r="AB221" s="183">
        <f t="shared" si="71"/>
        <v>0</v>
      </c>
      <c r="AC221" s="183">
        <f t="shared" si="72"/>
        <v>0</v>
      </c>
      <c r="AD221" s="183">
        <f t="shared" si="73"/>
        <v>0</v>
      </c>
      <c r="AE221" s="183">
        <f t="shared" si="74"/>
        <v>0</v>
      </c>
      <c r="AF221" s="196">
        <f t="shared" si="75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76"/>
        <v>0</v>
      </c>
      <c r="D222" s="183">
        <f t="shared" si="76"/>
        <v>0</v>
      </c>
      <c r="E222" s="183">
        <f t="shared" si="76"/>
        <v>0</v>
      </c>
      <c r="F222" s="183">
        <f t="shared" si="76"/>
        <v>0</v>
      </c>
      <c r="G222" s="183">
        <f t="shared" si="76"/>
        <v>0</v>
      </c>
      <c r="H222" s="183">
        <f t="shared" si="76"/>
        <v>0</v>
      </c>
      <c r="I222" s="183">
        <f t="shared" si="76"/>
        <v>0</v>
      </c>
      <c r="J222" s="183">
        <f t="shared" si="76"/>
        <v>0</v>
      </c>
      <c r="K222" s="183">
        <f t="shared" si="76"/>
        <v>0</v>
      </c>
      <c r="L222" s="183">
        <f t="shared" si="76"/>
        <v>0</v>
      </c>
      <c r="M222" s="183">
        <f t="shared" si="76"/>
        <v>0</v>
      </c>
      <c r="N222" s="183">
        <f t="shared" si="76"/>
        <v>0</v>
      </c>
      <c r="O222" s="183">
        <f t="shared" si="76"/>
        <v>0</v>
      </c>
      <c r="P222" s="183">
        <f t="shared" si="76"/>
        <v>0</v>
      </c>
      <c r="Q222" s="183">
        <f t="shared" si="76"/>
        <v>0</v>
      </c>
      <c r="R222" s="183">
        <f t="shared" si="76"/>
        <v>0</v>
      </c>
      <c r="S222" s="183">
        <f t="shared" si="62"/>
        <v>0</v>
      </c>
      <c r="T222" s="183">
        <f t="shared" si="63"/>
        <v>0</v>
      </c>
      <c r="U222" s="183">
        <f t="shared" si="64"/>
        <v>0</v>
      </c>
      <c r="V222" s="183">
        <f t="shared" si="65"/>
        <v>0</v>
      </c>
      <c r="W222" s="183">
        <f t="shared" si="66"/>
        <v>0</v>
      </c>
      <c r="X222" s="183">
        <f t="shared" si="67"/>
        <v>0</v>
      </c>
      <c r="Y222" s="183">
        <f t="shared" si="68"/>
        <v>0</v>
      </c>
      <c r="Z222" s="183">
        <f t="shared" si="69"/>
        <v>0</v>
      </c>
      <c r="AA222" s="183">
        <f t="shared" si="70"/>
        <v>0</v>
      </c>
      <c r="AB222" s="183">
        <f t="shared" si="71"/>
        <v>0</v>
      </c>
      <c r="AC222" s="183">
        <f t="shared" si="72"/>
        <v>0</v>
      </c>
      <c r="AD222" s="183">
        <f t="shared" si="73"/>
        <v>0</v>
      </c>
      <c r="AE222" s="183">
        <f t="shared" si="74"/>
        <v>0</v>
      </c>
      <c r="AF222" s="196">
        <f t="shared" si="75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76"/>
        <v>0</v>
      </c>
      <c r="D223" s="183">
        <f t="shared" si="76"/>
        <v>0</v>
      </c>
      <c r="E223" s="183">
        <f t="shared" si="76"/>
        <v>0</v>
      </c>
      <c r="F223" s="183">
        <f t="shared" si="76"/>
        <v>0</v>
      </c>
      <c r="G223" s="183">
        <f t="shared" si="76"/>
        <v>0</v>
      </c>
      <c r="H223" s="183">
        <f t="shared" si="76"/>
        <v>0</v>
      </c>
      <c r="I223" s="183">
        <f t="shared" si="76"/>
        <v>0</v>
      </c>
      <c r="J223" s="183">
        <f t="shared" si="76"/>
        <v>0</v>
      </c>
      <c r="K223" s="183">
        <f t="shared" si="76"/>
        <v>0</v>
      </c>
      <c r="L223" s="183">
        <f t="shared" si="76"/>
        <v>0</v>
      </c>
      <c r="M223" s="183">
        <f t="shared" si="76"/>
        <v>0</v>
      </c>
      <c r="N223" s="183">
        <f t="shared" si="76"/>
        <v>0</v>
      </c>
      <c r="O223" s="183">
        <f t="shared" si="76"/>
        <v>0</v>
      </c>
      <c r="P223" s="183">
        <f t="shared" si="76"/>
        <v>0</v>
      </c>
      <c r="Q223" s="183">
        <f t="shared" si="76"/>
        <v>0</v>
      </c>
      <c r="R223" s="183">
        <f t="shared" si="76"/>
        <v>0</v>
      </c>
      <c r="S223" s="183">
        <f t="shared" si="62"/>
        <v>0</v>
      </c>
      <c r="T223" s="183">
        <f t="shared" si="63"/>
        <v>0</v>
      </c>
      <c r="U223" s="183">
        <f t="shared" si="64"/>
        <v>0</v>
      </c>
      <c r="V223" s="183">
        <f t="shared" si="65"/>
        <v>0</v>
      </c>
      <c r="W223" s="183">
        <f t="shared" si="66"/>
        <v>0</v>
      </c>
      <c r="X223" s="183">
        <f t="shared" si="67"/>
        <v>0</v>
      </c>
      <c r="Y223" s="183">
        <f t="shared" si="68"/>
        <v>0</v>
      </c>
      <c r="Z223" s="183">
        <f t="shared" si="69"/>
        <v>0</v>
      </c>
      <c r="AA223" s="183">
        <f t="shared" si="70"/>
        <v>0</v>
      </c>
      <c r="AB223" s="183">
        <f t="shared" si="71"/>
        <v>0</v>
      </c>
      <c r="AC223" s="183">
        <f t="shared" si="72"/>
        <v>0</v>
      </c>
      <c r="AD223" s="183">
        <f t="shared" si="73"/>
        <v>0</v>
      </c>
      <c r="AE223" s="183">
        <f t="shared" si="74"/>
        <v>0</v>
      </c>
      <c r="AF223" s="196">
        <f t="shared" si="75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76"/>
        <v>0</v>
      </c>
      <c r="D224" s="183">
        <f t="shared" si="76"/>
        <v>0</v>
      </c>
      <c r="E224" s="183">
        <f t="shared" si="76"/>
        <v>0</v>
      </c>
      <c r="F224" s="183">
        <f t="shared" si="76"/>
        <v>0</v>
      </c>
      <c r="G224" s="183">
        <f t="shared" si="76"/>
        <v>0</v>
      </c>
      <c r="H224" s="183">
        <f t="shared" si="76"/>
        <v>0</v>
      </c>
      <c r="I224" s="183">
        <f t="shared" si="76"/>
        <v>0</v>
      </c>
      <c r="J224" s="183">
        <f t="shared" si="76"/>
        <v>0</v>
      </c>
      <c r="K224" s="183">
        <f t="shared" si="76"/>
        <v>0</v>
      </c>
      <c r="L224" s="183">
        <f t="shared" si="76"/>
        <v>0</v>
      </c>
      <c r="M224" s="183">
        <f t="shared" si="76"/>
        <v>0</v>
      </c>
      <c r="N224" s="183">
        <f t="shared" si="76"/>
        <v>0</v>
      </c>
      <c r="O224" s="183">
        <f t="shared" si="76"/>
        <v>0</v>
      </c>
      <c r="P224" s="183">
        <f t="shared" si="76"/>
        <v>0</v>
      </c>
      <c r="Q224" s="183">
        <f t="shared" si="76"/>
        <v>0</v>
      </c>
      <c r="R224" s="183">
        <f t="shared" si="76"/>
        <v>0</v>
      </c>
      <c r="S224" s="183">
        <f t="shared" si="62"/>
        <v>0</v>
      </c>
      <c r="T224" s="183">
        <f t="shared" si="63"/>
        <v>0</v>
      </c>
      <c r="U224" s="183">
        <f t="shared" si="64"/>
        <v>0</v>
      </c>
      <c r="V224" s="183">
        <f t="shared" si="65"/>
        <v>0</v>
      </c>
      <c r="W224" s="183">
        <f t="shared" si="66"/>
        <v>0</v>
      </c>
      <c r="X224" s="183">
        <f t="shared" si="67"/>
        <v>0</v>
      </c>
      <c r="Y224" s="183">
        <f t="shared" si="68"/>
        <v>0</v>
      </c>
      <c r="Z224" s="183">
        <f t="shared" si="69"/>
        <v>0</v>
      </c>
      <c r="AA224" s="183">
        <f t="shared" si="70"/>
        <v>0</v>
      </c>
      <c r="AB224" s="183">
        <f t="shared" si="71"/>
        <v>0</v>
      </c>
      <c r="AC224" s="183">
        <f t="shared" si="72"/>
        <v>0</v>
      </c>
      <c r="AD224" s="183">
        <f t="shared" si="73"/>
        <v>0</v>
      </c>
      <c r="AE224" s="183">
        <f t="shared" si="74"/>
        <v>0</v>
      </c>
      <c r="AF224" s="196">
        <f t="shared" si="75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76"/>
        <v>0</v>
      </c>
      <c r="D225" s="183">
        <f t="shared" si="76"/>
        <v>0</v>
      </c>
      <c r="E225" s="183">
        <f t="shared" si="76"/>
        <v>0</v>
      </c>
      <c r="F225" s="183">
        <f t="shared" si="76"/>
        <v>0</v>
      </c>
      <c r="G225" s="183">
        <f t="shared" si="76"/>
        <v>0</v>
      </c>
      <c r="H225" s="183">
        <f t="shared" si="76"/>
        <v>0</v>
      </c>
      <c r="I225" s="183">
        <f t="shared" si="76"/>
        <v>0</v>
      </c>
      <c r="J225" s="183">
        <f t="shared" si="76"/>
        <v>0</v>
      </c>
      <c r="K225" s="183">
        <f t="shared" si="76"/>
        <v>0</v>
      </c>
      <c r="L225" s="183">
        <f t="shared" si="76"/>
        <v>0</v>
      </c>
      <c r="M225" s="183">
        <f t="shared" si="76"/>
        <v>0</v>
      </c>
      <c r="N225" s="183">
        <f t="shared" si="76"/>
        <v>0</v>
      </c>
      <c r="O225" s="183">
        <f t="shared" si="76"/>
        <v>0</v>
      </c>
      <c r="P225" s="183">
        <f t="shared" si="76"/>
        <v>0</v>
      </c>
      <c r="Q225" s="183">
        <f t="shared" si="76"/>
        <v>0</v>
      </c>
      <c r="R225" s="183">
        <f t="shared" si="76"/>
        <v>0</v>
      </c>
      <c r="S225" s="183">
        <f t="shared" si="62"/>
        <v>0</v>
      </c>
      <c r="T225" s="183">
        <f t="shared" si="63"/>
        <v>0</v>
      </c>
      <c r="U225" s="183">
        <f t="shared" si="64"/>
        <v>0</v>
      </c>
      <c r="V225" s="183">
        <f t="shared" si="65"/>
        <v>0</v>
      </c>
      <c r="W225" s="183">
        <f t="shared" si="66"/>
        <v>0</v>
      </c>
      <c r="X225" s="183">
        <f t="shared" si="67"/>
        <v>0</v>
      </c>
      <c r="Y225" s="183">
        <f t="shared" si="68"/>
        <v>0</v>
      </c>
      <c r="Z225" s="183">
        <f t="shared" si="69"/>
        <v>0</v>
      </c>
      <c r="AA225" s="183">
        <f t="shared" si="70"/>
        <v>0</v>
      </c>
      <c r="AB225" s="183">
        <f t="shared" si="71"/>
        <v>0</v>
      </c>
      <c r="AC225" s="183">
        <f t="shared" si="72"/>
        <v>0</v>
      </c>
      <c r="AD225" s="183">
        <f t="shared" si="73"/>
        <v>0</v>
      </c>
      <c r="AE225" s="183">
        <f t="shared" si="74"/>
        <v>0</v>
      </c>
      <c r="AF225" s="196">
        <f t="shared" si="75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60"/>
        <v>0</v>
      </c>
      <c r="D226" s="183">
        <f t="shared" si="60"/>
        <v>0</v>
      </c>
      <c r="E226" s="183">
        <f t="shared" si="60"/>
        <v>0</v>
      </c>
      <c r="F226" s="183">
        <f t="shared" si="60"/>
        <v>0</v>
      </c>
      <c r="G226" s="183">
        <f t="shared" si="60"/>
        <v>0</v>
      </c>
      <c r="H226" s="183">
        <f t="shared" si="60"/>
        <v>0</v>
      </c>
      <c r="I226" s="183">
        <f t="shared" si="60"/>
        <v>0</v>
      </c>
      <c r="J226" s="183">
        <f t="shared" si="60"/>
        <v>0</v>
      </c>
      <c r="K226" s="183">
        <f t="shared" si="60"/>
        <v>0</v>
      </c>
      <c r="L226" s="183">
        <f t="shared" si="60"/>
        <v>0</v>
      </c>
      <c r="M226" s="183">
        <f t="shared" si="60"/>
        <v>0</v>
      </c>
      <c r="N226" s="183">
        <f t="shared" si="60"/>
        <v>0</v>
      </c>
      <c r="O226" s="183">
        <f t="shared" si="60"/>
        <v>0</v>
      </c>
      <c r="P226" s="183">
        <f t="shared" si="60"/>
        <v>0</v>
      </c>
      <c r="Q226" s="183">
        <f t="shared" si="60"/>
        <v>0</v>
      </c>
      <c r="R226" s="183">
        <f t="shared" si="60"/>
        <v>0</v>
      </c>
      <c r="S226" s="183">
        <f t="shared" si="59"/>
        <v>0</v>
      </c>
      <c r="T226" s="183">
        <f t="shared" si="59"/>
        <v>0</v>
      </c>
      <c r="U226" s="183">
        <f t="shared" si="59"/>
        <v>0</v>
      </c>
      <c r="V226" s="183">
        <f t="shared" si="59"/>
        <v>0</v>
      </c>
      <c r="W226" s="183">
        <f t="shared" si="59"/>
        <v>0</v>
      </c>
      <c r="X226" s="183">
        <f t="shared" si="59"/>
        <v>0</v>
      </c>
      <c r="Y226" s="183">
        <f t="shared" si="59"/>
        <v>0</v>
      </c>
      <c r="Z226" s="183">
        <f t="shared" si="59"/>
        <v>0</v>
      </c>
      <c r="AA226" s="183">
        <f t="shared" si="59"/>
        <v>0</v>
      </c>
      <c r="AB226" s="183">
        <f t="shared" si="59"/>
        <v>0</v>
      </c>
      <c r="AC226" s="183">
        <f t="shared" si="59"/>
        <v>0</v>
      </c>
      <c r="AD226" s="183">
        <f t="shared" si="59"/>
        <v>0</v>
      </c>
      <c r="AE226" s="183">
        <f t="shared" si="59"/>
        <v>0</v>
      </c>
      <c r="AF226" s="196">
        <f t="shared" si="59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si="60"/>
        <v>0</v>
      </c>
      <c r="D227" s="183">
        <f t="shared" si="60"/>
        <v>0</v>
      </c>
      <c r="E227" s="183">
        <f t="shared" si="60"/>
        <v>0</v>
      </c>
      <c r="F227" s="183">
        <f t="shared" si="60"/>
        <v>0</v>
      </c>
      <c r="G227" s="183">
        <f t="shared" si="60"/>
        <v>0</v>
      </c>
      <c r="H227" s="183">
        <f t="shared" si="60"/>
        <v>0</v>
      </c>
      <c r="I227" s="183">
        <f t="shared" si="60"/>
        <v>0</v>
      </c>
      <c r="J227" s="183">
        <f t="shared" si="60"/>
        <v>0</v>
      </c>
      <c r="K227" s="183">
        <f t="shared" si="60"/>
        <v>0</v>
      </c>
      <c r="L227" s="183">
        <f t="shared" si="60"/>
        <v>0</v>
      </c>
      <c r="M227" s="183">
        <f t="shared" si="60"/>
        <v>0</v>
      </c>
      <c r="N227" s="183">
        <f t="shared" si="60"/>
        <v>0</v>
      </c>
      <c r="O227" s="183">
        <f t="shared" si="60"/>
        <v>0</v>
      </c>
      <c r="P227" s="183">
        <f t="shared" si="60"/>
        <v>0</v>
      </c>
      <c r="Q227" s="183">
        <f t="shared" si="60"/>
        <v>0</v>
      </c>
      <c r="R227" s="183">
        <f t="shared" si="60"/>
        <v>0</v>
      </c>
      <c r="S227" s="183">
        <f t="shared" si="59"/>
        <v>0</v>
      </c>
      <c r="T227" s="183">
        <f t="shared" si="59"/>
        <v>0</v>
      </c>
      <c r="U227" s="183">
        <f t="shared" si="59"/>
        <v>0</v>
      </c>
      <c r="V227" s="183">
        <f t="shared" si="59"/>
        <v>0</v>
      </c>
      <c r="W227" s="183">
        <f t="shared" si="59"/>
        <v>0</v>
      </c>
      <c r="X227" s="183">
        <f t="shared" si="59"/>
        <v>0</v>
      </c>
      <c r="Y227" s="183">
        <f t="shared" si="59"/>
        <v>0</v>
      </c>
      <c r="Z227" s="183">
        <f t="shared" si="59"/>
        <v>0</v>
      </c>
      <c r="AA227" s="183">
        <f t="shared" si="59"/>
        <v>0</v>
      </c>
      <c r="AB227" s="183">
        <f t="shared" si="59"/>
        <v>0</v>
      </c>
      <c r="AC227" s="183">
        <f t="shared" si="59"/>
        <v>0</v>
      </c>
      <c r="AD227" s="183">
        <f t="shared" si="59"/>
        <v>0</v>
      </c>
      <c r="AE227" s="183">
        <f t="shared" si="59"/>
        <v>0</v>
      </c>
      <c r="AF227" s="196">
        <f t="shared" si="59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60"/>
        <v>0</v>
      </c>
      <c r="D228" s="183">
        <f t="shared" si="60"/>
        <v>0</v>
      </c>
      <c r="E228" s="183">
        <f t="shared" si="60"/>
        <v>0</v>
      </c>
      <c r="F228" s="183">
        <f t="shared" si="60"/>
        <v>0</v>
      </c>
      <c r="G228" s="183">
        <f t="shared" si="60"/>
        <v>0</v>
      </c>
      <c r="H228" s="183">
        <f t="shared" si="60"/>
        <v>0</v>
      </c>
      <c r="I228" s="183">
        <f t="shared" si="60"/>
        <v>0</v>
      </c>
      <c r="J228" s="183">
        <f t="shared" si="60"/>
        <v>0</v>
      </c>
      <c r="K228" s="183">
        <f t="shared" si="60"/>
        <v>0</v>
      </c>
      <c r="L228" s="183">
        <f t="shared" si="60"/>
        <v>0</v>
      </c>
      <c r="M228" s="183">
        <f t="shared" si="60"/>
        <v>0</v>
      </c>
      <c r="N228" s="183">
        <f t="shared" si="60"/>
        <v>0</v>
      </c>
      <c r="O228" s="183">
        <f t="shared" si="60"/>
        <v>0</v>
      </c>
      <c r="P228" s="183">
        <f t="shared" si="60"/>
        <v>0</v>
      </c>
      <c r="Q228" s="183">
        <f t="shared" si="60"/>
        <v>0</v>
      </c>
      <c r="R228" s="183">
        <f t="shared" si="60"/>
        <v>0</v>
      </c>
      <c r="S228" s="183">
        <f t="shared" si="59"/>
        <v>0</v>
      </c>
      <c r="T228" s="183">
        <f t="shared" si="59"/>
        <v>0</v>
      </c>
      <c r="U228" s="183">
        <f t="shared" si="59"/>
        <v>0</v>
      </c>
      <c r="V228" s="183">
        <f t="shared" si="59"/>
        <v>0</v>
      </c>
      <c r="W228" s="183">
        <f t="shared" si="59"/>
        <v>0</v>
      </c>
      <c r="X228" s="183">
        <f t="shared" si="59"/>
        <v>0</v>
      </c>
      <c r="Y228" s="183">
        <f t="shared" si="59"/>
        <v>0</v>
      </c>
      <c r="Z228" s="183">
        <f t="shared" si="59"/>
        <v>0</v>
      </c>
      <c r="AA228" s="183">
        <f t="shared" si="59"/>
        <v>0</v>
      </c>
      <c r="AB228" s="183">
        <f t="shared" si="59"/>
        <v>0</v>
      </c>
      <c r="AC228" s="183">
        <f t="shared" si="59"/>
        <v>0</v>
      </c>
      <c r="AD228" s="183">
        <f t="shared" si="59"/>
        <v>0</v>
      </c>
      <c r="AE228" s="183">
        <f t="shared" si="59"/>
        <v>0</v>
      </c>
      <c r="AF228" s="196">
        <f t="shared" si="59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60"/>
        <v>0</v>
      </c>
      <c r="D229" s="183">
        <f t="shared" si="60"/>
        <v>0</v>
      </c>
      <c r="E229" s="183">
        <f t="shared" si="60"/>
        <v>0</v>
      </c>
      <c r="F229" s="183">
        <f t="shared" si="60"/>
        <v>0</v>
      </c>
      <c r="G229" s="183">
        <f t="shared" si="60"/>
        <v>0</v>
      </c>
      <c r="H229" s="183">
        <f t="shared" si="60"/>
        <v>0</v>
      </c>
      <c r="I229" s="183">
        <f t="shared" si="60"/>
        <v>0</v>
      </c>
      <c r="J229" s="183">
        <f t="shared" si="60"/>
        <v>0</v>
      </c>
      <c r="K229" s="183">
        <f t="shared" si="60"/>
        <v>0</v>
      </c>
      <c r="L229" s="183">
        <f t="shared" si="60"/>
        <v>0</v>
      </c>
      <c r="M229" s="183">
        <f t="shared" si="60"/>
        <v>0</v>
      </c>
      <c r="N229" s="183">
        <f t="shared" si="60"/>
        <v>0</v>
      </c>
      <c r="O229" s="183">
        <f t="shared" si="60"/>
        <v>0</v>
      </c>
      <c r="P229" s="183">
        <f t="shared" si="60"/>
        <v>0</v>
      </c>
      <c r="Q229" s="183">
        <f t="shared" si="60"/>
        <v>0</v>
      </c>
      <c r="R229" s="183">
        <f t="shared" si="60"/>
        <v>0</v>
      </c>
      <c r="S229" s="183">
        <f t="shared" si="59"/>
        <v>0</v>
      </c>
      <c r="T229" s="183">
        <f t="shared" si="59"/>
        <v>0</v>
      </c>
      <c r="U229" s="183">
        <f t="shared" si="59"/>
        <v>0</v>
      </c>
      <c r="V229" s="183">
        <f t="shared" si="59"/>
        <v>0</v>
      </c>
      <c r="W229" s="183">
        <f t="shared" si="59"/>
        <v>0</v>
      </c>
      <c r="X229" s="183">
        <f t="shared" si="59"/>
        <v>0</v>
      </c>
      <c r="Y229" s="183">
        <f t="shared" si="59"/>
        <v>0</v>
      </c>
      <c r="Z229" s="183">
        <f t="shared" si="59"/>
        <v>0</v>
      </c>
      <c r="AA229" s="183">
        <f t="shared" si="59"/>
        <v>0</v>
      </c>
      <c r="AB229" s="183">
        <f t="shared" si="59"/>
        <v>0</v>
      </c>
      <c r="AC229" s="183">
        <f t="shared" si="59"/>
        <v>0</v>
      </c>
      <c r="AD229" s="183">
        <f t="shared" si="59"/>
        <v>0</v>
      </c>
      <c r="AE229" s="183">
        <f t="shared" si="59"/>
        <v>0</v>
      </c>
      <c r="AF229" s="196">
        <f t="shared" si="59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60"/>
        <v>0</v>
      </c>
      <c r="D230" s="183">
        <f t="shared" si="60"/>
        <v>0</v>
      </c>
      <c r="E230" s="183">
        <f t="shared" si="60"/>
        <v>0</v>
      </c>
      <c r="F230" s="183">
        <f t="shared" si="60"/>
        <v>0</v>
      </c>
      <c r="G230" s="183">
        <f t="shared" si="60"/>
        <v>0</v>
      </c>
      <c r="H230" s="183">
        <f t="shared" si="60"/>
        <v>0</v>
      </c>
      <c r="I230" s="183">
        <f t="shared" si="60"/>
        <v>0</v>
      </c>
      <c r="J230" s="183">
        <f t="shared" si="60"/>
        <v>0</v>
      </c>
      <c r="K230" s="183">
        <f t="shared" si="60"/>
        <v>0</v>
      </c>
      <c r="L230" s="183">
        <f t="shared" si="60"/>
        <v>0</v>
      </c>
      <c r="M230" s="183">
        <f t="shared" si="60"/>
        <v>0</v>
      </c>
      <c r="N230" s="183">
        <f t="shared" si="60"/>
        <v>0</v>
      </c>
      <c r="O230" s="183">
        <f t="shared" si="60"/>
        <v>0</v>
      </c>
      <c r="P230" s="183">
        <f t="shared" si="60"/>
        <v>0</v>
      </c>
      <c r="Q230" s="183">
        <f t="shared" si="60"/>
        <v>0</v>
      </c>
      <c r="R230" s="183">
        <f t="shared" si="60"/>
        <v>0</v>
      </c>
      <c r="S230" s="183">
        <f t="shared" si="59"/>
        <v>0</v>
      </c>
      <c r="T230" s="183">
        <f t="shared" si="59"/>
        <v>0</v>
      </c>
      <c r="U230" s="183">
        <f t="shared" si="59"/>
        <v>0</v>
      </c>
      <c r="V230" s="183">
        <f t="shared" si="59"/>
        <v>0</v>
      </c>
      <c r="W230" s="183">
        <f t="shared" si="59"/>
        <v>0</v>
      </c>
      <c r="X230" s="183">
        <f t="shared" si="59"/>
        <v>0</v>
      </c>
      <c r="Y230" s="183">
        <f t="shared" si="59"/>
        <v>0</v>
      </c>
      <c r="Z230" s="183">
        <f t="shared" si="59"/>
        <v>0</v>
      </c>
      <c r="AA230" s="183">
        <f t="shared" si="59"/>
        <v>0</v>
      </c>
      <c r="AB230" s="183">
        <f t="shared" si="59"/>
        <v>0</v>
      </c>
      <c r="AC230" s="183">
        <f t="shared" si="59"/>
        <v>0</v>
      </c>
      <c r="AD230" s="183">
        <f t="shared" si="59"/>
        <v>0</v>
      </c>
      <c r="AE230" s="183">
        <f t="shared" si="59"/>
        <v>0</v>
      </c>
      <c r="AF230" s="196">
        <f t="shared" si="59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60"/>
        <v>0</v>
      </c>
      <c r="D231" s="183">
        <f t="shared" si="60"/>
        <v>0</v>
      </c>
      <c r="E231" s="183">
        <f t="shared" si="60"/>
        <v>0</v>
      </c>
      <c r="F231" s="183">
        <f t="shared" si="60"/>
        <v>0</v>
      </c>
      <c r="G231" s="183">
        <f t="shared" si="60"/>
        <v>0</v>
      </c>
      <c r="H231" s="183">
        <f t="shared" si="60"/>
        <v>0</v>
      </c>
      <c r="I231" s="183">
        <f t="shared" si="60"/>
        <v>0</v>
      </c>
      <c r="J231" s="183">
        <f t="shared" si="60"/>
        <v>0</v>
      </c>
      <c r="K231" s="183">
        <f t="shared" si="60"/>
        <v>0</v>
      </c>
      <c r="L231" s="183">
        <f t="shared" si="60"/>
        <v>0</v>
      </c>
      <c r="M231" s="183">
        <f t="shared" si="60"/>
        <v>0</v>
      </c>
      <c r="N231" s="183">
        <f t="shared" si="60"/>
        <v>0</v>
      </c>
      <c r="O231" s="183">
        <f t="shared" si="60"/>
        <v>0</v>
      </c>
      <c r="P231" s="183">
        <f t="shared" si="60"/>
        <v>0</v>
      </c>
      <c r="Q231" s="183">
        <f t="shared" si="60"/>
        <v>0</v>
      </c>
      <c r="R231" s="183">
        <f t="shared" si="60"/>
        <v>0</v>
      </c>
      <c r="S231" s="183">
        <f t="shared" si="59"/>
        <v>0</v>
      </c>
      <c r="T231" s="183">
        <f t="shared" si="59"/>
        <v>0</v>
      </c>
      <c r="U231" s="183">
        <f t="shared" si="59"/>
        <v>0</v>
      </c>
      <c r="V231" s="183">
        <f t="shared" si="59"/>
        <v>0</v>
      </c>
      <c r="W231" s="183">
        <f t="shared" si="59"/>
        <v>0</v>
      </c>
      <c r="X231" s="183">
        <f t="shared" si="59"/>
        <v>0</v>
      </c>
      <c r="Y231" s="183">
        <f t="shared" si="59"/>
        <v>0</v>
      </c>
      <c r="Z231" s="183">
        <f t="shared" si="59"/>
        <v>0</v>
      </c>
      <c r="AA231" s="183">
        <f t="shared" si="59"/>
        <v>0</v>
      </c>
      <c r="AB231" s="183">
        <f t="shared" si="59"/>
        <v>0</v>
      </c>
      <c r="AC231" s="183">
        <f t="shared" si="59"/>
        <v>0</v>
      </c>
      <c r="AD231" s="183">
        <f t="shared" si="59"/>
        <v>0</v>
      </c>
      <c r="AE231" s="183">
        <f t="shared" si="59"/>
        <v>0</v>
      </c>
      <c r="AF231" s="196">
        <f t="shared" si="59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60"/>
        <v>0</v>
      </c>
      <c r="D232" s="183">
        <f t="shared" si="60"/>
        <v>0</v>
      </c>
      <c r="E232" s="183">
        <f t="shared" si="60"/>
        <v>0</v>
      </c>
      <c r="F232" s="183">
        <f t="shared" si="60"/>
        <v>0</v>
      </c>
      <c r="G232" s="183">
        <f t="shared" si="60"/>
        <v>0</v>
      </c>
      <c r="H232" s="183">
        <f t="shared" si="60"/>
        <v>0</v>
      </c>
      <c r="I232" s="183">
        <f t="shared" si="60"/>
        <v>0</v>
      </c>
      <c r="J232" s="183">
        <f t="shared" si="60"/>
        <v>0</v>
      </c>
      <c r="K232" s="183">
        <f t="shared" si="60"/>
        <v>0</v>
      </c>
      <c r="L232" s="183">
        <f t="shared" si="60"/>
        <v>0</v>
      </c>
      <c r="M232" s="183">
        <f t="shared" si="60"/>
        <v>0</v>
      </c>
      <c r="N232" s="183">
        <f t="shared" si="60"/>
        <v>0</v>
      </c>
      <c r="O232" s="183">
        <f t="shared" si="60"/>
        <v>0</v>
      </c>
      <c r="P232" s="183">
        <f t="shared" si="60"/>
        <v>0</v>
      </c>
      <c r="Q232" s="183">
        <f t="shared" si="60"/>
        <v>0</v>
      </c>
      <c r="R232" s="183">
        <f t="shared" si="60"/>
        <v>0</v>
      </c>
      <c r="S232" s="183">
        <f t="shared" si="59"/>
        <v>0</v>
      </c>
      <c r="T232" s="183">
        <f t="shared" si="59"/>
        <v>0</v>
      </c>
      <c r="U232" s="183">
        <f t="shared" si="59"/>
        <v>0</v>
      </c>
      <c r="V232" s="183">
        <f t="shared" si="59"/>
        <v>0</v>
      </c>
      <c r="W232" s="183">
        <f t="shared" si="59"/>
        <v>0</v>
      </c>
      <c r="X232" s="183">
        <f t="shared" si="59"/>
        <v>0</v>
      </c>
      <c r="Y232" s="183">
        <f t="shared" si="59"/>
        <v>0</v>
      </c>
      <c r="Z232" s="183">
        <f t="shared" si="59"/>
        <v>0</v>
      </c>
      <c r="AA232" s="183">
        <f t="shared" si="59"/>
        <v>0</v>
      </c>
      <c r="AB232" s="183">
        <f t="shared" si="59"/>
        <v>0</v>
      </c>
      <c r="AC232" s="183">
        <f t="shared" si="59"/>
        <v>0</v>
      </c>
      <c r="AD232" s="183">
        <f t="shared" si="59"/>
        <v>0</v>
      </c>
      <c r="AE232" s="183">
        <f t="shared" si="59"/>
        <v>0</v>
      </c>
      <c r="AF232" s="196">
        <f t="shared" si="59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60"/>
        <v>0</v>
      </c>
      <c r="D233" s="183">
        <f t="shared" si="60"/>
        <v>0</v>
      </c>
      <c r="E233" s="183">
        <f t="shared" si="60"/>
        <v>0</v>
      </c>
      <c r="F233" s="183">
        <f t="shared" si="60"/>
        <v>0</v>
      </c>
      <c r="G233" s="183">
        <f t="shared" si="60"/>
        <v>0</v>
      </c>
      <c r="H233" s="183">
        <f t="shared" si="60"/>
        <v>0</v>
      </c>
      <c r="I233" s="183">
        <f t="shared" si="60"/>
        <v>0</v>
      </c>
      <c r="J233" s="183">
        <f t="shared" si="60"/>
        <v>0</v>
      </c>
      <c r="K233" s="183">
        <f t="shared" si="60"/>
        <v>0</v>
      </c>
      <c r="L233" s="183">
        <f t="shared" si="60"/>
        <v>0</v>
      </c>
      <c r="M233" s="183">
        <f t="shared" si="60"/>
        <v>0</v>
      </c>
      <c r="N233" s="183">
        <f t="shared" si="60"/>
        <v>0</v>
      </c>
      <c r="O233" s="183">
        <f t="shared" si="60"/>
        <v>0</v>
      </c>
      <c r="P233" s="183">
        <f t="shared" si="60"/>
        <v>0</v>
      </c>
      <c r="Q233" s="183">
        <f t="shared" si="60"/>
        <v>0</v>
      </c>
      <c r="R233" s="183">
        <f t="shared" si="60"/>
        <v>0</v>
      </c>
      <c r="S233" s="183">
        <f t="shared" si="59"/>
        <v>0</v>
      </c>
      <c r="T233" s="183">
        <f t="shared" si="59"/>
        <v>0</v>
      </c>
      <c r="U233" s="183">
        <f t="shared" si="59"/>
        <v>0</v>
      </c>
      <c r="V233" s="183">
        <f t="shared" si="59"/>
        <v>0</v>
      </c>
      <c r="W233" s="183">
        <f t="shared" si="59"/>
        <v>0</v>
      </c>
      <c r="X233" s="183">
        <f t="shared" si="59"/>
        <v>0</v>
      </c>
      <c r="Y233" s="183">
        <f t="shared" si="59"/>
        <v>0</v>
      </c>
      <c r="Z233" s="183">
        <f t="shared" si="59"/>
        <v>0</v>
      </c>
      <c r="AA233" s="183">
        <f t="shared" si="59"/>
        <v>0</v>
      </c>
      <c r="AB233" s="183">
        <f t="shared" si="59"/>
        <v>0</v>
      </c>
      <c r="AC233" s="183">
        <f t="shared" si="59"/>
        <v>0</v>
      </c>
      <c r="AD233" s="183">
        <f t="shared" si="59"/>
        <v>0</v>
      </c>
      <c r="AE233" s="183">
        <f t="shared" si="59"/>
        <v>0</v>
      </c>
      <c r="AF233" s="196">
        <f t="shared" si="59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60"/>
        <v>0</v>
      </c>
      <c r="D234" s="183">
        <f t="shared" si="60"/>
        <v>0</v>
      </c>
      <c r="E234" s="183">
        <f t="shared" si="60"/>
        <v>0</v>
      </c>
      <c r="F234" s="183">
        <f t="shared" si="60"/>
        <v>0</v>
      </c>
      <c r="G234" s="183">
        <f t="shared" si="60"/>
        <v>0</v>
      </c>
      <c r="H234" s="183">
        <f t="shared" si="60"/>
        <v>0</v>
      </c>
      <c r="I234" s="183">
        <f t="shared" si="60"/>
        <v>0</v>
      </c>
      <c r="J234" s="183">
        <f t="shared" si="60"/>
        <v>0</v>
      </c>
      <c r="K234" s="183">
        <f t="shared" si="60"/>
        <v>0</v>
      </c>
      <c r="L234" s="183">
        <f t="shared" si="60"/>
        <v>0</v>
      </c>
      <c r="M234" s="183">
        <f t="shared" si="60"/>
        <v>0</v>
      </c>
      <c r="N234" s="183">
        <f t="shared" si="60"/>
        <v>0</v>
      </c>
      <c r="O234" s="183">
        <f t="shared" si="60"/>
        <v>0</v>
      </c>
      <c r="P234" s="183">
        <f t="shared" si="60"/>
        <v>0</v>
      </c>
      <c r="Q234" s="183">
        <f t="shared" si="60"/>
        <v>0</v>
      </c>
      <c r="R234" s="183">
        <f t="shared" si="60"/>
        <v>0</v>
      </c>
      <c r="S234" s="183">
        <f t="shared" si="59"/>
        <v>0</v>
      </c>
      <c r="T234" s="183">
        <f t="shared" si="59"/>
        <v>0</v>
      </c>
      <c r="U234" s="183">
        <f t="shared" si="59"/>
        <v>0</v>
      </c>
      <c r="V234" s="183">
        <f t="shared" si="59"/>
        <v>0</v>
      </c>
      <c r="W234" s="183">
        <f t="shared" si="59"/>
        <v>0</v>
      </c>
      <c r="X234" s="183">
        <f t="shared" si="59"/>
        <v>0</v>
      </c>
      <c r="Y234" s="183">
        <f t="shared" si="59"/>
        <v>0</v>
      </c>
      <c r="Z234" s="183">
        <f t="shared" si="59"/>
        <v>0</v>
      </c>
      <c r="AA234" s="183">
        <f t="shared" si="59"/>
        <v>0</v>
      </c>
      <c r="AB234" s="183">
        <f t="shared" si="59"/>
        <v>0</v>
      </c>
      <c r="AC234" s="183">
        <f t="shared" si="59"/>
        <v>0</v>
      </c>
      <c r="AD234" s="183">
        <f t="shared" si="59"/>
        <v>0</v>
      </c>
      <c r="AE234" s="183">
        <f t="shared" si="59"/>
        <v>0</v>
      </c>
      <c r="AF234" s="196">
        <f t="shared" si="59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60"/>
        <v>0</v>
      </c>
      <c r="D235" s="183">
        <f t="shared" si="60"/>
        <v>0</v>
      </c>
      <c r="E235" s="183">
        <f t="shared" si="60"/>
        <v>0</v>
      </c>
      <c r="F235" s="183">
        <f t="shared" si="60"/>
        <v>0</v>
      </c>
      <c r="G235" s="183">
        <f t="shared" si="60"/>
        <v>0</v>
      </c>
      <c r="H235" s="183">
        <f t="shared" si="60"/>
        <v>0</v>
      </c>
      <c r="I235" s="183">
        <f t="shared" si="60"/>
        <v>0</v>
      </c>
      <c r="J235" s="183">
        <f t="shared" si="60"/>
        <v>0</v>
      </c>
      <c r="K235" s="183">
        <f t="shared" si="60"/>
        <v>0</v>
      </c>
      <c r="L235" s="183">
        <f t="shared" si="60"/>
        <v>0</v>
      </c>
      <c r="M235" s="183">
        <f t="shared" si="60"/>
        <v>0</v>
      </c>
      <c r="N235" s="183">
        <f t="shared" si="60"/>
        <v>0</v>
      </c>
      <c r="O235" s="183">
        <f t="shared" si="60"/>
        <v>0</v>
      </c>
      <c r="P235" s="183">
        <f t="shared" si="60"/>
        <v>0</v>
      </c>
      <c r="Q235" s="183">
        <f t="shared" si="60"/>
        <v>0</v>
      </c>
      <c r="R235" s="183">
        <f t="shared" si="60"/>
        <v>0</v>
      </c>
      <c r="S235" s="183">
        <f t="shared" si="59"/>
        <v>0</v>
      </c>
      <c r="T235" s="183">
        <f t="shared" si="59"/>
        <v>0</v>
      </c>
      <c r="U235" s="183">
        <f t="shared" si="59"/>
        <v>0</v>
      </c>
      <c r="V235" s="183">
        <f t="shared" si="59"/>
        <v>0</v>
      </c>
      <c r="W235" s="183">
        <f t="shared" si="59"/>
        <v>0</v>
      </c>
      <c r="X235" s="183">
        <f t="shared" si="59"/>
        <v>0</v>
      </c>
      <c r="Y235" s="183">
        <f t="shared" si="59"/>
        <v>0</v>
      </c>
      <c r="Z235" s="183">
        <f t="shared" si="59"/>
        <v>0</v>
      </c>
      <c r="AA235" s="183">
        <f t="shared" si="59"/>
        <v>0</v>
      </c>
      <c r="AB235" s="183">
        <f t="shared" si="59"/>
        <v>0</v>
      </c>
      <c r="AC235" s="183">
        <f t="shared" si="59"/>
        <v>0</v>
      </c>
      <c r="AD235" s="183">
        <f t="shared" si="59"/>
        <v>0</v>
      </c>
      <c r="AE235" s="183">
        <f t="shared" si="59"/>
        <v>0</v>
      </c>
      <c r="AF235" s="196">
        <f t="shared" si="59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60"/>
        <v>0</v>
      </c>
      <c r="D236" s="183">
        <f t="shared" si="60"/>
        <v>0</v>
      </c>
      <c r="E236" s="183">
        <f t="shared" si="60"/>
        <v>0</v>
      </c>
      <c r="F236" s="183">
        <f t="shared" si="60"/>
        <v>0</v>
      </c>
      <c r="G236" s="183">
        <f t="shared" si="60"/>
        <v>0</v>
      </c>
      <c r="H236" s="183">
        <f t="shared" si="60"/>
        <v>0</v>
      </c>
      <c r="I236" s="183">
        <f t="shared" si="60"/>
        <v>0</v>
      </c>
      <c r="J236" s="183">
        <f t="shared" si="60"/>
        <v>0</v>
      </c>
      <c r="K236" s="183">
        <f t="shared" si="60"/>
        <v>0</v>
      </c>
      <c r="L236" s="183">
        <f t="shared" si="60"/>
        <v>0</v>
      </c>
      <c r="M236" s="183">
        <f t="shared" si="60"/>
        <v>0</v>
      </c>
      <c r="N236" s="183">
        <f t="shared" si="60"/>
        <v>0</v>
      </c>
      <c r="O236" s="183">
        <f t="shared" si="60"/>
        <v>0</v>
      </c>
      <c r="P236" s="183">
        <f t="shared" si="60"/>
        <v>0</v>
      </c>
      <c r="Q236" s="183">
        <f t="shared" si="60"/>
        <v>0</v>
      </c>
      <c r="R236" s="183">
        <f t="shared" si="60"/>
        <v>0</v>
      </c>
      <c r="S236" s="183">
        <f t="shared" si="59"/>
        <v>0</v>
      </c>
      <c r="T236" s="183">
        <f t="shared" si="59"/>
        <v>0</v>
      </c>
      <c r="U236" s="183">
        <f t="shared" si="59"/>
        <v>0</v>
      </c>
      <c r="V236" s="183">
        <f t="shared" si="59"/>
        <v>0</v>
      </c>
      <c r="W236" s="183">
        <f t="shared" si="59"/>
        <v>0</v>
      </c>
      <c r="X236" s="183">
        <f t="shared" si="59"/>
        <v>0</v>
      </c>
      <c r="Y236" s="183">
        <f t="shared" si="59"/>
        <v>0</v>
      </c>
      <c r="Z236" s="183">
        <f t="shared" si="59"/>
        <v>0</v>
      </c>
      <c r="AA236" s="183">
        <f t="shared" si="59"/>
        <v>0</v>
      </c>
      <c r="AB236" s="183">
        <f t="shared" si="59"/>
        <v>0</v>
      </c>
      <c r="AC236" s="183">
        <f t="shared" si="59"/>
        <v>0</v>
      </c>
      <c r="AD236" s="183">
        <f t="shared" si="59"/>
        <v>0</v>
      </c>
      <c r="AE236" s="183">
        <f t="shared" si="59"/>
        <v>0</v>
      </c>
      <c r="AF236" s="196">
        <f t="shared" si="59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60"/>
        <v>0</v>
      </c>
      <c r="D237" s="183">
        <f t="shared" si="60"/>
        <v>0</v>
      </c>
      <c r="E237" s="183">
        <f t="shared" si="60"/>
        <v>0</v>
      </c>
      <c r="F237" s="183">
        <f t="shared" si="60"/>
        <v>0</v>
      </c>
      <c r="G237" s="183">
        <f t="shared" si="60"/>
        <v>0</v>
      </c>
      <c r="H237" s="183">
        <f t="shared" si="60"/>
        <v>0</v>
      </c>
      <c r="I237" s="183">
        <f t="shared" si="60"/>
        <v>0</v>
      </c>
      <c r="J237" s="183">
        <f t="shared" si="60"/>
        <v>0</v>
      </c>
      <c r="K237" s="183">
        <f t="shared" si="60"/>
        <v>0</v>
      </c>
      <c r="L237" s="183">
        <f t="shared" si="60"/>
        <v>0</v>
      </c>
      <c r="M237" s="183">
        <f t="shared" si="60"/>
        <v>0</v>
      </c>
      <c r="N237" s="183">
        <f t="shared" si="60"/>
        <v>0</v>
      </c>
      <c r="O237" s="183">
        <f t="shared" si="60"/>
        <v>0</v>
      </c>
      <c r="P237" s="183">
        <f t="shared" si="60"/>
        <v>0</v>
      </c>
      <c r="Q237" s="183">
        <f t="shared" si="60"/>
        <v>0</v>
      </c>
      <c r="R237" s="183">
        <f t="shared" ref="R237:AF252" si="77">Q237</f>
        <v>0</v>
      </c>
      <c r="S237" s="183">
        <f t="shared" si="77"/>
        <v>0</v>
      </c>
      <c r="T237" s="183">
        <f t="shared" si="77"/>
        <v>0</v>
      </c>
      <c r="U237" s="183">
        <f t="shared" si="77"/>
        <v>0</v>
      </c>
      <c r="V237" s="183">
        <f t="shared" si="77"/>
        <v>0</v>
      </c>
      <c r="W237" s="183">
        <f t="shared" si="77"/>
        <v>0</v>
      </c>
      <c r="X237" s="183">
        <f t="shared" si="77"/>
        <v>0</v>
      </c>
      <c r="Y237" s="183">
        <f t="shared" si="77"/>
        <v>0</v>
      </c>
      <c r="Z237" s="183">
        <f t="shared" si="77"/>
        <v>0</v>
      </c>
      <c r="AA237" s="183">
        <f t="shared" si="77"/>
        <v>0</v>
      </c>
      <c r="AB237" s="183">
        <f t="shared" si="77"/>
        <v>0</v>
      </c>
      <c r="AC237" s="183">
        <f t="shared" si="77"/>
        <v>0</v>
      </c>
      <c r="AD237" s="183">
        <f t="shared" si="77"/>
        <v>0</v>
      </c>
      <c r="AE237" s="183">
        <f t="shared" si="77"/>
        <v>0</v>
      </c>
      <c r="AF237" s="196">
        <f t="shared" si="77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ref="C238:R253" si="78">B238</f>
        <v>0</v>
      </c>
      <c r="D238" s="183">
        <f t="shared" si="78"/>
        <v>0</v>
      </c>
      <c r="E238" s="183">
        <f t="shared" si="78"/>
        <v>0</v>
      </c>
      <c r="F238" s="183">
        <f t="shared" si="78"/>
        <v>0</v>
      </c>
      <c r="G238" s="183">
        <f t="shared" si="78"/>
        <v>0</v>
      </c>
      <c r="H238" s="183">
        <f t="shared" si="78"/>
        <v>0</v>
      </c>
      <c r="I238" s="183">
        <f t="shared" si="78"/>
        <v>0</v>
      </c>
      <c r="J238" s="183">
        <f t="shared" si="78"/>
        <v>0</v>
      </c>
      <c r="K238" s="183">
        <f t="shared" si="78"/>
        <v>0</v>
      </c>
      <c r="L238" s="183">
        <f t="shared" si="78"/>
        <v>0</v>
      </c>
      <c r="M238" s="183">
        <f t="shared" si="78"/>
        <v>0</v>
      </c>
      <c r="N238" s="183">
        <f t="shared" si="78"/>
        <v>0</v>
      </c>
      <c r="O238" s="183">
        <f t="shared" si="78"/>
        <v>0</v>
      </c>
      <c r="P238" s="183">
        <f t="shared" si="78"/>
        <v>0</v>
      </c>
      <c r="Q238" s="183">
        <f t="shared" si="78"/>
        <v>0</v>
      </c>
      <c r="R238" s="183">
        <f t="shared" si="78"/>
        <v>0</v>
      </c>
      <c r="S238" s="183">
        <f t="shared" si="77"/>
        <v>0</v>
      </c>
      <c r="T238" s="183">
        <f t="shared" si="77"/>
        <v>0</v>
      </c>
      <c r="U238" s="183">
        <f t="shared" si="77"/>
        <v>0</v>
      </c>
      <c r="V238" s="183">
        <f t="shared" si="77"/>
        <v>0</v>
      </c>
      <c r="W238" s="183">
        <f t="shared" si="77"/>
        <v>0</v>
      </c>
      <c r="X238" s="183">
        <f t="shared" si="77"/>
        <v>0</v>
      </c>
      <c r="Y238" s="183">
        <f t="shared" si="77"/>
        <v>0</v>
      </c>
      <c r="Z238" s="183">
        <f t="shared" si="77"/>
        <v>0</v>
      </c>
      <c r="AA238" s="183">
        <f t="shared" si="77"/>
        <v>0</v>
      </c>
      <c r="AB238" s="183">
        <f t="shared" si="77"/>
        <v>0</v>
      </c>
      <c r="AC238" s="183">
        <f t="shared" si="77"/>
        <v>0</v>
      </c>
      <c r="AD238" s="183">
        <f t="shared" si="77"/>
        <v>0</v>
      </c>
      <c r="AE238" s="183">
        <f t="shared" si="77"/>
        <v>0</v>
      </c>
      <c r="AF238" s="196">
        <f t="shared" si="77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78"/>
        <v>0</v>
      </c>
      <c r="D239" s="183">
        <f t="shared" si="78"/>
        <v>0</v>
      </c>
      <c r="E239" s="183">
        <f t="shared" si="78"/>
        <v>0</v>
      </c>
      <c r="F239" s="183">
        <f t="shared" si="78"/>
        <v>0</v>
      </c>
      <c r="G239" s="183">
        <f t="shared" si="78"/>
        <v>0</v>
      </c>
      <c r="H239" s="183">
        <f t="shared" si="78"/>
        <v>0</v>
      </c>
      <c r="I239" s="183">
        <f t="shared" si="78"/>
        <v>0</v>
      </c>
      <c r="J239" s="183">
        <f t="shared" si="78"/>
        <v>0</v>
      </c>
      <c r="K239" s="183">
        <f t="shared" si="78"/>
        <v>0</v>
      </c>
      <c r="L239" s="183">
        <f t="shared" si="78"/>
        <v>0</v>
      </c>
      <c r="M239" s="183">
        <f t="shared" si="78"/>
        <v>0</v>
      </c>
      <c r="N239" s="183">
        <f t="shared" si="78"/>
        <v>0</v>
      </c>
      <c r="O239" s="183">
        <f t="shared" si="78"/>
        <v>0</v>
      </c>
      <c r="P239" s="183">
        <f t="shared" si="78"/>
        <v>0</v>
      </c>
      <c r="Q239" s="183">
        <f t="shared" si="78"/>
        <v>0</v>
      </c>
      <c r="R239" s="183">
        <f t="shared" si="78"/>
        <v>0</v>
      </c>
      <c r="S239" s="183">
        <f t="shared" si="77"/>
        <v>0</v>
      </c>
      <c r="T239" s="183">
        <f t="shared" si="77"/>
        <v>0</v>
      </c>
      <c r="U239" s="183">
        <f t="shared" si="77"/>
        <v>0</v>
      </c>
      <c r="V239" s="183">
        <f t="shared" si="77"/>
        <v>0</v>
      </c>
      <c r="W239" s="183">
        <f t="shared" si="77"/>
        <v>0</v>
      </c>
      <c r="X239" s="183">
        <f t="shared" si="77"/>
        <v>0</v>
      </c>
      <c r="Y239" s="183">
        <f t="shared" si="77"/>
        <v>0</v>
      </c>
      <c r="Z239" s="183">
        <f t="shared" si="77"/>
        <v>0</v>
      </c>
      <c r="AA239" s="183">
        <f t="shared" si="77"/>
        <v>0</v>
      </c>
      <c r="AB239" s="183">
        <f t="shared" si="77"/>
        <v>0</v>
      </c>
      <c r="AC239" s="183">
        <f t="shared" si="77"/>
        <v>0</v>
      </c>
      <c r="AD239" s="183">
        <f t="shared" si="77"/>
        <v>0</v>
      </c>
      <c r="AE239" s="183">
        <f t="shared" si="77"/>
        <v>0</v>
      </c>
      <c r="AF239" s="196">
        <f t="shared" si="77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78"/>
        <v>0</v>
      </c>
      <c r="D240" s="183">
        <f t="shared" si="78"/>
        <v>0</v>
      </c>
      <c r="E240" s="183">
        <f t="shared" si="78"/>
        <v>0</v>
      </c>
      <c r="F240" s="183">
        <f t="shared" si="78"/>
        <v>0</v>
      </c>
      <c r="G240" s="183">
        <f t="shared" si="78"/>
        <v>0</v>
      </c>
      <c r="H240" s="183">
        <f t="shared" si="78"/>
        <v>0</v>
      </c>
      <c r="I240" s="183">
        <f t="shared" si="78"/>
        <v>0</v>
      </c>
      <c r="J240" s="183">
        <f t="shared" si="78"/>
        <v>0</v>
      </c>
      <c r="K240" s="183">
        <f t="shared" si="78"/>
        <v>0</v>
      </c>
      <c r="L240" s="183">
        <f t="shared" si="78"/>
        <v>0</v>
      </c>
      <c r="M240" s="183">
        <f t="shared" si="78"/>
        <v>0</v>
      </c>
      <c r="N240" s="183">
        <f t="shared" si="78"/>
        <v>0</v>
      </c>
      <c r="O240" s="183">
        <f t="shared" si="78"/>
        <v>0</v>
      </c>
      <c r="P240" s="183">
        <f t="shared" si="78"/>
        <v>0</v>
      </c>
      <c r="Q240" s="183">
        <f t="shared" si="78"/>
        <v>0</v>
      </c>
      <c r="R240" s="183">
        <f t="shared" si="78"/>
        <v>0</v>
      </c>
      <c r="S240" s="183">
        <f t="shared" si="77"/>
        <v>0</v>
      </c>
      <c r="T240" s="183">
        <f t="shared" si="77"/>
        <v>0</v>
      </c>
      <c r="U240" s="183">
        <f t="shared" si="77"/>
        <v>0</v>
      </c>
      <c r="V240" s="183">
        <f t="shared" si="77"/>
        <v>0</v>
      </c>
      <c r="W240" s="183">
        <f t="shared" si="77"/>
        <v>0</v>
      </c>
      <c r="X240" s="183">
        <f t="shared" si="77"/>
        <v>0</v>
      </c>
      <c r="Y240" s="183">
        <f t="shared" si="77"/>
        <v>0</v>
      </c>
      <c r="Z240" s="183">
        <f t="shared" si="77"/>
        <v>0</v>
      </c>
      <c r="AA240" s="183">
        <f t="shared" si="77"/>
        <v>0</v>
      </c>
      <c r="AB240" s="183">
        <f t="shared" si="77"/>
        <v>0</v>
      </c>
      <c r="AC240" s="183">
        <f t="shared" si="77"/>
        <v>0</v>
      </c>
      <c r="AD240" s="183">
        <f t="shared" si="77"/>
        <v>0</v>
      </c>
      <c r="AE240" s="183">
        <f t="shared" si="77"/>
        <v>0</v>
      </c>
      <c r="AF240" s="196">
        <f t="shared" si="77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78"/>
        <v>0</v>
      </c>
      <c r="D241" s="183">
        <f t="shared" si="78"/>
        <v>0</v>
      </c>
      <c r="E241" s="183">
        <f t="shared" si="78"/>
        <v>0</v>
      </c>
      <c r="F241" s="183">
        <f t="shared" si="78"/>
        <v>0</v>
      </c>
      <c r="G241" s="183">
        <f t="shared" si="78"/>
        <v>0</v>
      </c>
      <c r="H241" s="183">
        <f t="shared" si="78"/>
        <v>0</v>
      </c>
      <c r="I241" s="183">
        <f t="shared" si="78"/>
        <v>0</v>
      </c>
      <c r="J241" s="183">
        <f t="shared" si="78"/>
        <v>0</v>
      </c>
      <c r="K241" s="183">
        <f t="shared" si="78"/>
        <v>0</v>
      </c>
      <c r="L241" s="183">
        <f t="shared" si="78"/>
        <v>0</v>
      </c>
      <c r="M241" s="183">
        <f t="shared" si="78"/>
        <v>0</v>
      </c>
      <c r="N241" s="183">
        <f t="shared" si="78"/>
        <v>0</v>
      </c>
      <c r="O241" s="183">
        <f t="shared" si="78"/>
        <v>0</v>
      </c>
      <c r="P241" s="183">
        <f t="shared" si="78"/>
        <v>0</v>
      </c>
      <c r="Q241" s="183">
        <f t="shared" si="78"/>
        <v>0</v>
      </c>
      <c r="R241" s="183">
        <f t="shared" si="78"/>
        <v>0</v>
      </c>
      <c r="S241" s="183">
        <f t="shared" si="77"/>
        <v>0</v>
      </c>
      <c r="T241" s="183">
        <f t="shared" si="77"/>
        <v>0</v>
      </c>
      <c r="U241" s="183">
        <f t="shared" si="77"/>
        <v>0</v>
      </c>
      <c r="V241" s="183">
        <f t="shared" si="77"/>
        <v>0</v>
      </c>
      <c r="W241" s="183">
        <f t="shared" si="77"/>
        <v>0</v>
      </c>
      <c r="X241" s="183">
        <f t="shared" si="77"/>
        <v>0</v>
      </c>
      <c r="Y241" s="183">
        <f t="shared" si="77"/>
        <v>0</v>
      </c>
      <c r="Z241" s="183">
        <f t="shared" si="77"/>
        <v>0</v>
      </c>
      <c r="AA241" s="183">
        <f t="shared" si="77"/>
        <v>0</v>
      </c>
      <c r="AB241" s="183">
        <f t="shared" si="77"/>
        <v>0</v>
      </c>
      <c r="AC241" s="183">
        <f t="shared" si="77"/>
        <v>0</v>
      </c>
      <c r="AD241" s="183">
        <f t="shared" si="77"/>
        <v>0</v>
      </c>
      <c r="AE241" s="183">
        <f t="shared" si="77"/>
        <v>0</v>
      </c>
      <c r="AF241" s="196">
        <f t="shared" si="77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78"/>
        <v>0</v>
      </c>
      <c r="D242" s="183">
        <f t="shared" si="78"/>
        <v>0</v>
      </c>
      <c r="E242" s="183">
        <f t="shared" si="78"/>
        <v>0</v>
      </c>
      <c r="F242" s="183">
        <f t="shared" si="78"/>
        <v>0</v>
      </c>
      <c r="G242" s="183">
        <f t="shared" si="78"/>
        <v>0</v>
      </c>
      <c r="H242" s="183">
        <f t="shared" si="78"/>
        <v>0</v>
      </c>
      <c r="I242" s="183">
        <f t="shared" si="78"/>
        <v>0</v>
      </c>
      <c r="J242" s="183">
        <f t="shared" si="78"/>
        <v>0</v>
      </c>
      <c r="K242" s="183">
        <f t="shared" si="78"/>
        <v>0</v>
      </c>
      <c r="L242" s="183">
        <f t="shared" si="78"/>
        <v>0</v>
      </c>
      <c r="M242" s="183">
        <f t="shared" si="78"/>
        <v>0</v>
      </c>
      <c r="N242" s="183">
        <f t="shared" si="78"/>
        <v>0</v>
      </c>
      <c r="O242" s="183">
        <f t="shared" si="78"/>
        <v>0</v>
      </c>
      <c r="P242" s="183">
        <f t="shared" si="78"/>
        <v>0</v>
      </c>
      <c r="Q242" s="183">
        <f t="shared" si="78"/>
        <v>0</v>
      </c>
      <c r="R242" s="183">
        <f t="shared" si="78"/>
        <v>0</v>
      </c>
      <c r="S242" s="183">
        <f t="shared" si="77"/>
        <v>0</v>
      </c>
      <c r="T242" s="183">
        <f t="shared" si="77"/>
        <v>0</v>
      </c>
      <c r="U242" s="183">
        <f t="shared" si="77"/>
        <v>0</v>
      </c>
      <c r="V242" s="183">
        <f t="shared" si="77"/>
        <v>0</v>
      </c>
      <c r="W242" s="183">
        <f t="shared" si="77"/>
        <v>0</v>
      </c>
      <c r="X242" s="183">
        <f t="shared" si="77"/>
        <v>0</v>
      </c>
      <c r="Y242" s="183">
        <f t="shared" si="77"/>
        <v>0</v>
      </c>
      <c r="Z242" s="183">
        <f t="shared" si="77"/>
        <v>0</v>
      </c>
      <c r="AA242" s="183">
        <f t="shared" si="77"/>
        <v>0</v>
      </c>
      <c r="AB242" s="183">
        <f t="shared" si="77"/>
        <v>0</v>
      </c>
      <c r="AC242" s="183">
        <f t="shared" si="77"/>
        <v>0</v>
      </c>
      <c r="AD242" s="183">
        <f t="shared" si="77"/>
        <v>0</v>
      </c>
      <c r="AE242" s="183">
        <f t="shared" si="77"/>
        <v>0</v>
      </c>
      <c r="AF242" s="196">
        <f t="shared" si="77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78"/>
        <v>0</v>
      </c>
      <c r="D243" s="183">
        <f t="shared" si="78"/>
        <v>0</v>
      </c>
      <c r="E243" s="183">
        <f t="shared" si="78"/>
        <v>0</v>
      </c>
      <c r="F243" s="183">
        <f t="shared" si="78"/>
        <v>0</v>
      </c>
      <c r="G243" s="183">
        <f t="shared" si="78"/>
        <v>0</v>
      </c>
      <c r="H243" s="183">
        <f t="shared" si="78"/>
        <v>0</v>
      </c>
      <c r="I243" s="183">
        <f t="shared" si="78"/>
        <v>0</v>
      </c>
      <c r="J243" s="183">
        <f t="shared" si="78"/>
        <v>0</v>
      </c>
      <c r="K243" s="183">
        <f t="shared" si="78"/>
        <v>0</v>
      </c>
      <c r="L243" s="183">
        <f t="shared" si="78"/>
        <v>0</v>
      </c>
      <c r="M243" s="183">
        <f t="shared" si="78"/>
        <v>0</v>
      </c>
      <c r="N243" s="183">
        <f t="shared" si="78"/>
        <v>0</v>
      </c>
      <c r="O243" s="183">
        <f t="shared" si="78"/>
        <v>0</v>
      </c>
      <c r="P243" s="183">
        <f t="shared" si="78"/>
        <v>0</v>
      </c>
      <c r="Q243" s="183">
        <f t="shared" si="78"/>
        <v>0</v>
      </c>
      <c r="R243" s="183">
        <f t="shared" si="78"/>
        <v>0</v>
      </c>
      <c r="S243" s="183">
        <f t="shared" si="77"/>
        <v>0</v>
      </c>
      <c r="T243" s="183">
        <f t="shared" si="77"/>
        <v>0</v>
      </c>
      <c r="U243" s="183">
        <f t="shared" si="77"/>
        <v>0</v>
      </c>
      <c r="V243" s="183">
        <f t="shared" si="77"/>
        <v>0</v>
      </c>
      <c r="W243" s="183">
        <f t="shared" si="77"/>
        <v>0</v>
      </c>
      <c r="X243" s="183">
        <f t="shared" si="77"/>
        <v>0</v>
      </c>
      <c r="Y243" s="183">
        <f t="shared" si="77"/>
        <v>0</v>
      </c>
      <c r="Z243" s="183">
        <f t="shared" si="77"/>
        <v>0</v>
      </c>
      <c r="AA243" s="183">
        <f t="shared" si="77"/>
        <v>0</v>
      </c>
      <c r="AB243" s="183">
        <f t="shared" si="77"/>
        <v>0</v>
      </c>
      <c r="AC243" s="183">
        <f t="shared" si="77"/>
        <v>0</v>
      </c>
      <c r="AD243" s="183">
        <f t="shared" si="77"/>
        <v>0</v>
      </c>
      <c r="AE243" s="183">
        <f t="shared" si="77"/>
        <v>0</v>
      </c>
      <c r="AF243" s="196">
        <f t="shared" si="77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78"/>
        <v>0</v>
      </c>
      <c r="D244" s="183">
        <f t="shared" si="78"/>
        <v>0</v>
      </c>
      <c r="E244" s="183">
        <f t="shared" si="78"/>
        <v>0</v>
      </c>
      <c r="F244" s="183">
        <f t="shared" si="78"/>
        <v>0</v>
      </c>
      <c r="G244" s="183">
        <f t="shared" si="78"/>
        <v>0</v>
      </c>
      <c r="H244" s="183">
        <f t="shared" si="78"/>
        <v>0</v>
      </c>
      <c r="I244" s="183">
        <f t="shared" si="78"/>
        <v>0</v>
      </c>
      <c r="J244" s="183">
        <f t="shared" si="78"/>
        <v>0</v>
      </c>
      <c r="K244" s="183">
        <f t="shared" si="78"/>
        <v>0</v>
      </c>
      <c r="L244" s="183">
        <f t="shared" si="78"/>
        <v>0</v>
      </c>
      <c r="M244" s="183">
        <f t="shared" si="78"/>
        <v>0</v>
      </c>
      <c r="N244" s="183">
        <f t="shared" si="78"/>
        <v>0</v>
      </c>
      <c r="O244" s="183">
        <f t="shared" si="78"/>
        <v>0</v>
      </c>
      <c r="P244" s="183">
        <f t="shared" si="78"/>
        <v>0</v>
      </c>
      <c r="Q244" s="183">
        <f t="shared" si="78"/>
        <v>0</v>
      </c>
      <c r="R244" s="183">
        <f t="shared" si="78"/>
        <v>0</v>
      </c>
      <c r="S244" s="183">
        <f t="shared" si="77"/>
        <v>0</v>
      </c>
      <c r="T244" s="183">
        <f t="shared" si="77"/>
        <v>0</v>
      </c>
      <c r="U244" s="183">
        <f t="shared" si="77"/>
        <v>0</v>
      </c>
      <c r="V244" s="183">
        <f t="shared" si="77"/>
        <v>0</v>
      </c>
      <c r="W244" s="183">
        <f t="shared" si="77"/>
        <v>0</v>
      </c>
      <c r="X244" s="183">
        <f t="shared" si="77"/>
        <v>0</v>
      </c>
      <c r="Y244" s="183">
        <f t="shared" si="77"/>
        <v>0</v>
      </c>
      <c r="Z244" s="183">
        <f t="shared" si="77"/>
        <v>0</v>
      </c>
      <c r="AA244" s="183">
        <f t="shared" si="77"/>
        <v>0</v>
      </c>
      <c r="AB244" s="183">
        <f t="shared" si="77"/>
        <v>0</v>
      </c>
      <c r="AC244" s="183">
        <f t="shared" si="77"/>
        <v>0</v>
      </c>
      <c r="AD244" s="183">
        <f t="shared" si="77"/>
        <v>0</v>
      </c>
      <c r="AE244" s="183">
        <f t="shared" si="77"/>
        <v>0</v>
      </c>
      <c r="AF244" s="196">
        <f t="shared" si="77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78"/>
        <v>0</v>
      </c>
      <c r="D245" s="183">
        <f t="shared" si="78"/>
        <v>0</v>
      </c>
      <c r="E245" s="183">
        <f t="shared" si="78"/>
        <v>0</v>
      </c>
      <c r="F245" s="183">
        <f t="shared" si="78"/>
        <v>0</v>
      </c>
      <c r="G245" s="183">
        <f t="shared" si="78"/>
        <v>0</v>
      </c>
      <c r="H245" s="183">
        <f t="shared" si="78"/>
        <v>0</v>
      </c>
      <c r="I245" s="183">
        <f t="shared" si="78"/>
        <v>0</v>
      </c>
      <c r="J245" s="183">
        <f t="shared" si="78"/>
        <v>0</v>
      </c>
      <c r="K245" s="183">
        <f t="shared" si="78"/>
        <v>0</v>
      </c>
      <c r="L245" s="183">
        <f t="shared" si="78"/>
        <v>0</v>
      </c>
      <c r="M245" s="183">
        <f t="shared" si="78"/>
        <v>0</v>
      </c>
      <c r="N245" s="183">
        <f t="shared" si="78"/>
        <v>0</v>
      </c>
      <c r="O245" s="183">
        <f t="shared" si="78"/>
        <v>0</v>
      </c>
      <c r="P245" s="183">
        <f t="shared" si="78"/>
        <v>0</v>
      </c>
      <c r="Q245" s="183">
        <f t="shared" si="78"/>
        <v>0</v>
      </c>
      <c r="R245" s="183">
        <f t="shared" si="78"/>
        <v>0</v>
      </c>
      <c r="S245" s="183">
        <f t="shared" si="77"/>
        <v>0</v>
      </c>
      <c r="T245" s="183">
        <f t="shared" si="77"/>
        <v>0</v>
      </c>
      <c r="U245" s="183">
        <f t="shared" si="77"/>
        <v>0</v>
      </c>
      <c r="V245" s="183">
        <f t="shared" si="77"/>
        <v>0</v>
      </c>
      <c r="W245" s="183">
        <f t="shared" si="77"/>
        <v>0</v>
      </c>
      <c r="X245" s="183">
        <f t="shared" si="77"/>
        <v>0</v>
      </c>
      <c r="Y245" s="183">
        <f t="shared" si="77"/>
        <v>0</v>
      </c>
      <c r="Z245" s="183">
        <f t="shared" si="77"/>
        <v>0</v>
      </c>
      <c r="AA245" s="183">
        <f t="shared" si="77"/>
        <v>0</v>
      </c>
      <c r="AB245" s="183">
        <f t="shared" si="77"/>
        <v>0</v>
      </c>
      <c r="AC245" s="183">
        <f t="shared" si="77"/>
        <v>0</v>
      </c>
      <c r="AD245" s="183">
        <f t="shared" si="77"/>
        <v>0</v>
      </c>
      <c r="AE245" s="183">
        <f t="shared" si="77"/>
        <v>0</v>
      </c>
      <c r="AF245" s="196">
        <f t="shared" si="77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78"/>
        <v>0</v>
      </c>
      <c r="D246" s="183">
        <f t="shared" si="78"/>
        <v>0</v>
      </c>
      <c r="E246" s="183">
        <f t="shared" si="78"/>
        <v>0</v>
      </c>
      <c r="F246" s="183">
        <f t="shared" si="78"/>
        <v>0</v>
      </c>
      <c r="G246" s="183">
        <f t="shared" si="78"/>
        <v>0</v>
      </c>
      <c r="H246" s="183">
        <f t="shared" si="78"/>
        <v>0</v>
      </c>
      <c r="I246" s="183">
        <f t="shared" si="78"/>
        <v>0</v>
      </c>
      <c r="J246" s="183">
        <f t="shared" si="78"/>
        <v>0</v>
      </c>
      <c r="K246" s="183">
        <f t="shared" si="78"/>
        <v>0</v>
      </c>
      <c r="L246" s="183">
        <f t="shared" si="78"/>
        <v>0</v>
      </c>
      <c r="M246" s="183">
        <f t="shared" si="78"/>
        <v>0</v>
      </c>
      <c r="N246" s="183">
        <f t="shared" si="78"/>
        <v>0</v>
      </c>
      <c r="O246" s="183">
        <f t="shared" si="78"/>
        <v>0</v>
      </c>
      <c r="P246" s="183">
        <f t="shared" si="78"/>
        <v>0</v>
      </c>
      <c r="Q246" s="183">
        <f t="shared" si="78"/>
        <v>0</v>
      </c>
      <c r="R246" s="183">
        <f t="shared" si="78"/>
        <v>0</v>
      </c>
      <c r="S246" s="183">
        <f t="shared" si="77"/>
        <v>0</v>
      </c>
      <c r="T246" s="183">
        <f t="shared" si="77"/>
        <v>0</v>
      </c>
      <c r="U246" s="183">
        <f t="shared" si="77"/>
        <v>0</v>
      </c>
      <c r="V246" s="183">
        <f t="shared" si="77"/>
        <v>0</v>
      </c>
      <c r="W246" s="183">
        <f t="shared" si="77"/>
        <v>0</v>
      </c>
      <c r="X246" s="183">
        <f t="shared" si="77"/>
        <v>0</v>
      </c>
      <c r="Y246" s="183">
        <f t="shared" si="77"/>
        <v>0</v>
      </c>
      <c r="Z246" s="183">
        <f t="shared" si="77"/>
        <v>0</v>
      </c>
      <c r="AA246" s="183">
        <f t="shared" si="77"/>
        <v>0</v>
      </c>
      <c r="AB246" s="183">
        <f t="shared" si="77"/>
        <v>0</v>
      </c>
      <c r="AC246" s="183">
        <f t="shared" si="77"/>
        <v>0</v>
      </c>
      <c r="AD246" s="183">
        <f t="shared" si="77"/>
        <v>0</v>
      </c>
      <c r="AE246" s="183">
        <f t="shared" si="77"/>
        <v>0</v>
      </c>
      <c r="AF246" s="196">
        <f t="shared" si="77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78"/>
        <v>0</v>
      </c>
      <c r="D247" s="183">
        <f t="shared" si="78"/>
        <v>0</v>
      </c>
      <c r="E247" s="183">
        <f t="shared" si="78"/>
        <v>0</v>
      </c>
      <c r="F247" s="183">
        <f t="shared" si="78"/>
        <v>0</v>
      </c>
      <c r="G247" s="183">
        <f t="shared" si="78"/>
        <v>0</v>
      </c>
      <c r="H247" s="183">
        <f t="shared" si="78"/>
        <v>0</v>
      </c>
      <c r="I247" s="183">
        <f t="shared" si="78"/>
        <v>0</v>
      </c>
      <c r="J247" s="183">
        <f t="shared" si="78"/>
        <v>0</v>
      </c>
      <c r="K247" s="183">
        <f t="shared" si="78"/>
        <v>0</v>
      </c>
      <c r="L247" s="183">
        <f t="shared" si="78"/>
        <v>0</v>
      </c>
      <c r="M247" s="183">
        <f t="shared" si="78"/>
        <v>0</v>
      </c>
      <c r="N247" s="183">
        <f t="shared" si="78"/>
        <v>0</v>
      </c>
      <c r="O247" s="183">
        <f t="shared" si="78"/>
        <v>0</v>
      </c>
      <c r="P247" s="183">
        <f t="shared" si="78"/>
        <v>0</v>
      </c>
      <c r="Q247" s="183">
        <f t="shared" si="78"/>
        <v>0</v>
      </c>
      <c r="R247" s="183">
        <f t="shared" si="78"/>
        <v>0</v>
      </c>
      <c r="S247" s="183">
        <f t="shared" si="77"/>
        <v>0</v>
      </c>
      <c r="T247" s="183">
        <f t="shared" si="77"/>
        <v>0</v>
      </c>
      <c r="U247" s="183">
        <f t="shared" si="77"/>
        <v>0</v>
      </c>
      <c r="V247" s="183">
        <f t="shared" si="77"/>
        <v>0</v>
      </c>
      <c r="W247" s="183">
        <f t="shared" si="77"/>
        <v>0</v>
      </c>
      <c r="X247" s="183">
        <f t="shared" si="77"/>
        <v>0</v>
      </c>
      <c r="Y247" s="183">
        <f t="shared" si="77"/>
        <v>0</v>
      </c>
      <c r="Z247" s="183">
        <f t="shared" si="77"/>
        <v>0</v>
      </c>
      <c r="AA247" s="183">
        <f t="shared" si="77"/>
        <v>0</v>
      </c>
      <c r="AB247" s="183">
        <f t="shared" si="77"/>
        <v>0</v>
      </c>
      <c r="AC247" s="183">
        <f t="shared" si="77"/>
        <v>0</v>
      </c>
      <c r="AD247" s="183">
        <f t="shared" si="77"/>
        <v>0</v>
      </c>
      <c r="AE247" s="183">
        <f t="shared" si="77"/>
        <v>0</v>
      </c>
      <c r="AF247" s="196">
        <f t="shared" si="77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78"/>
        <v>0</v>
      </c>
      <c r="D248" s="183">
        <f t="shared" si="78"/>
        <v>0</v>
      </c>
      <c r="E248" s="183">
        <f t="shared" si="78"/>
        <v>0</v>
      </c>
      <c r="F248" s="183">
        <f t="shared" si="78"/>
        <v>0</v>
      </c>
      <c r="G248" s="183">
        <f t="shared" si="78"/>
        <v>0</v>
      </c>
      <c r="H248" s="183">
        <f t="shared" si="78"/>
        <v>0</v>
      </c>
      <c r="I248" s="183">
        <f t="shared" si="78"/>
        <v>0</v>
      </c>
      <c r="J248" s="183">
        <f t="shared" si="78"/>
        <v>0</v>
      </c>
      <c r="K248" s="183">
        <f t="shared" si="78"/>
        <v>0</v>
      </c>
      <c r="L248" s="183">
        <f t="shared" si="78"/>
        <v>0</v>
      </c>
      <c r="M248" s="183">
        <f t="shared" si="78"/>
        <v>0</v>
      </c>
      <c r="N248" s="183">
        <f t="shared" si="78"/>
        <v>0</v>
      </c>
      <c r="O248" s="183">
        <f t="shared" si="78"/>
        <v>0</v>
      </c>
      <c r="P248" s="183">
        <f t="shared" si="78"/>
        <v>0</v>
      </c>
      <c r="Q248" s="183">
        <f t="shared" si="78"/>
        <v>0</v>
      </c>
      <c r="R248" s="183">
        <f t="shared" si="78"/>
        <v>0</v>
      </c>
      <c r="S248" s="183">
        <f t="shared" si="77"/>
        <v>0</v>
      </c>
      <c r="T248" s="183">
        <f t="shared" si="77"/>
        <v>0</v>
      </c>
      <c r="U248" s="183">
        <f t="shared" si="77"/>
        <v>0</v>
      </c>
      <c r="V248" s="183">
        <f t="shared" si="77"/>
        <v>0</v>
      </c>
      <c r="W248" s="183">
        <f t="shared" si="77"/>
        <v>0</v>
      </c>
      <c r="X248" s="183">
        <f t="shared" si="77"/>
        <v>0</v>
      </c>
      <c r="Y248" s="183">
        <f t="shared" si="77"/>
        <v>0</v>
      </c>
      <c r="Z248" s="183">
        <f t="shared" si="77"/>
        <v>0</v>
      </c>
      <c r="AA248" s="183">
        <f t="shared" si="77"/>
        <v>0</v>
      </c>
      <c r="AB248" s="183">
        <f t="shared" si="77"/>
        <v>0</v>
      </c>
      <c r="AC248" s="183">
        <f t="shared" si="77"/>
        <v>0</v>
      </c>
      <c r="AD248" s="183">
        <f t="shared" si="77"/>
        <v>0</v>
      </c>
      <c r="AE248" s="183">
        <f t="shared" si="77"/>
        <v>0</v>
      </c>
      <c r="AF248" s="196">
        <f t="shared" si="77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78"/>
        <v>0</v>
      </c>
      <c r="D249" s="183">
        <f t="shared" si="78"/>
        <v>0</v>
      </c>
      <c r="E249" s="183">
        <f t="shared" si="78"/>
        <v>0</v>
      </c>
      <c r="F249" s="183">
        <f t="shared" si="78"/>
        <v>0</v>
      </c>
      <c r="G249" s="183">
        <f t="shared" si="78"/>
        <v>0</v>
      </c>
      <c r="H249" s="183">
        <f t="shared" si="78"/>
        <v>0</v>
      </c>
      <c r="I249" s="183">
        <f t="shared" si="78"/>
        <v>0</v>
      </c>
      <c r="J249" s="183">
        <f t="shared" si="78"/>
        <v>0</v>
      </c>
      <c r="K249" s="183">
        <f t="shared" si="78"/>
        <v>0</v>
      </c>
      <c r="L249" s="183">
        <f t="shared" si="78"/>
        <v>0</v>
      </c>
      <c r="M249" s="183">
        <f t="shared" si="78"/>
        <v>0</v>
      </c>
      <c r="N249" s="183">
        <f t="shared" si="78"/>
        <v>0</v>
      </c>
      <c r="O249" s="183">
        <f t="shared" si="78"/>
        <v>0</v>
      </c>
      <c r="P249" s="183">
        <f t="shared" si="78"/>
        <v>0</v>
      </c>
      <c r="Q249" s="183">
        <f t="shared" si="78"/>
        <v>0</v>
      </c>
      <c r="R249" s="183">
        <f t="shared" si="78"/>
        <v>0</v>
      </c>
      <c r="S249" s="183">
        <f t="shared" si="77"/>
        <v>0</v>
      </c>
      <c r="T249" s="183">
        <f t="shared" si="77"/>
        <v>0</v>
      </c>
      <c r="U249" s="183">
        <f t="shared" si="77"/>
        <v>0</v>
      </c>
      <c r="V249" s="183">
        <f t="shared" si="77"/>
        <v>0</v>
      </c>
      <c r="W249" s="183">
        <f t="shared" si="77"/>
        <v>0</v>
      </c>
      <c r="X249" s="183">
        <f t="shared" si="77"/>
        <v>0</v>
      </c>
      <c r="Y249" s="183">
        <f t="shared" si="77"/>
        <v>0</v>
      </c>
      <c r="Z249" s="183">
        <f t="shared" si="77"/>
        <v>0</v>
      </c>
      <c r="AA249" s="183">
        <f t="shared" si="77"/>
        <v>0</v>
      </c>
      <c r="AB249" s="183">
        <f t="shared" si="77"/>
        <v>0</v>
      </c>
      <c r="AC249" s="183">
        <f t="shared" si="77"/>
        <v>0</v>
      </c>
      <c r="AD249" s="183">
        <f t="shared" si="77"/>
        <v>0</v>
      </c>
      <c r="AE249" s="183">
        <f t="shared" si="77"/>
        <v>0</v>
      </c>
      <c r="AF249" s="196">
        <f t="shared" si="77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78"/>
        <v>0</v>
      </c>
      <c r="D250" s="183">
        <f t="shared" si="78"/>
        <v>0</v>
      </c>
      <c r="E250" s="183">
        <f t="shared" si="78"/>
        <v>0</v>
      </c>
      <c r="F250" s="183">
        <f t="shared" si="78"/>
        <v>0</v>
      </c>
      <c r="G250" s="183">
        <f t="shared" si="78"/>
        <v>0</v>
      </c>
      <c r="H250" s="183">
        <f t="shared" si="78"/>
        <v>0</v>
      </c>
      <c r="I250" s="183">
        <f t="shared" si="78"/>
        <v>0</v>
      </c>
      <c r="J250" s="183">
        <f t="shared" si="78"/>
        <v>0</v>
      </c>
      <c r="K250" s="183">
        <f t="shared" si="78"/>
        <v>0</v>
      </c>
      <c r="L250" s="183">
        <f t="shared" si="78"/>
        <v>0</v>
      </c>
      <c r="M250" s="183">
        <f t="shared" si="78"/>
        <v>0</v>
      </c>
      <c r="N250" s="183">
        <f t="shared" si="78"/>
        <v>0</v>
      </c>
      <c r="O250" s="183">
        <f t="shared" si="78"/>
        <v>0</v>
      </c>
      <c r="P250" s="183">
        <f t="shared" si="78"/>
        <v>0</v>
      </c>
      <c r="Q250" s="183">
        <f t="shared" si="78"/>
        <v>0</v>
      </c>
      <c r="R250" s="183">
        <f t="shared" si="78"/>
        <v>0</v>
      </c>
      <c r="S250" s="183">
        <f t="shared" si="77"/>
        <v>0</v>
      </c>
      <c r="T250" s="183">
        <f t="shared" si="77"/>
        <v>0</v>
      </c>
      <c r="U250" s="183">
        <f t="shared" si="77"/>
        <v>0</v>
      </c>
      <c r="V250" s="183">
        <f t="shared" si="77"/>
        <v>0</v>
      </c>
      <c r="W250" s="183">
        <f t="shared" si="77"/>
        <v>0</v>
      </c>
      <c r="X250" s="183">
        <f t="shared" si="77"/>
        <v>0</v>
      </c>
      <c r="Y250" s="183">
        <f t="shared" si="77"/>
        <v>0</v>
      </c>
      <c r="Z250" s="183">
        <f t="shared" si="77"/>
        <v>0</v>
      </c>
      <c r="AA250" s="183">
        <f t="shared" si="77"/>
        <v>0</v>
      </c>
      <c r="AB250" s="183">
        <f t="shared" si="77"/>
        <v>0</v>
      </c>
      <c r="AC250" s="183">
        <f t="shared" si="77"/>
        <v>0</v>
      </c>
      <c r="AD250" s="183">
        <f t="shared" si="77"/>
        <v>0</v>
      </c>
      <c r="AE250" s="183">
        <f t="shared" si="77"/>
        <v>0</v>
      </c>
      <c r="AF250" s="196">
        <f t="shared" si="77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78"/>
        <v>0</v>
      </c>
      <c r="D251" s="183">
        <f t="shared" si="78"/>
        <v>0</v>
      </c>
      <c r="E251" s="183">
        <f t="shared" si="78"/>
        <v>0</v>
      </c>
      <c r="F251" s="183">
        <f t="shared" si="78"/>
        <v>0</v>
      </c>
      <c r="G251" s="183">
        <f t="shared" si="78"/>
        <v>0</v>
      </c>
      <c r="H251" s="183">
        <f t="shared" si="78"/>
        <v>0</v>
      </c>
      <c r="I251" s="183">
        <f t="shared" si="78"/>
        <v>0</v>
      </c>
      <c r="J251" s="183">
        <f t="shared" si="78"/>
        <v>0</v>
      </c>
      <c r="K251" s="183">
        <f t="shared" si="78"/>
        <v>0</v>
      </c>
      <c r="L251" s="183">
        <f t="shared" si="78"/>
        <v>0</v>
      </c>
      <c r="M251" s="183">
        <f t="shared" si="78"/>
        <v>0</v>
      </c>
      <c r="N251" s="183">
        <f t="shared" si="78"/>
        <v>0</v>
      </c>
      <c r="O251" s="183">
        <f t="shared" si="78"/>
        <v>0</v>
      </c>
      <c r="P251" s="183">
        <f t="shared" si="78"/>
        <v>0</v>
      </c>
      <c r="Q251" s="183">
        <f t="shared" si="78"/>
        <v>0</v>
      </c>
      <c r="R251" s="183">
        <f t="shared" si="78"/>
        <v>0</v>
      </c>
      <c r="S251" s="183">
        <f t="shared" si="77"/>
        <v>0</v>
      </c>
      <c r="T251" s="183">
        <f t="shared" si="77"/>
        <v>0</v>
      </c>
      <c r="U251" s="183">
        <f t="shared" si="77"/>
        <v>0</v>
      </c>
      <c r="V251" s="183">
        <f t="shared" si="77"/>
        <v>0</v>
      </c>
      <c r="W251" s="183">
        <f t="shared" si="77"/>
        <v>0</v>
      </c>
      <c r="X251" s="183">
        <f t="shared" si="77"/>
        <v>0</v>
      </c>
      <c r="Y251" s="183">
        <f t="shared" si="77"/>
        <v>0</v>
      </c>
      <c r="Z251" s="183">
        <f t="shared" si="77"/>
        <v>0</v>
      </c>
      <c r="AA251" s="183">
        <f t="shared" si="77"/>
        <v>0</v>
      </c>
      <c r="AB251" s="183">
        <f t="shared" si="77"/>
        <v>0</v>
      </c>
      <c r="AC251" s="183">
        <f t="shared" si="77"/>
        <v>0</v>
      </c>
      <c r="AD251" s="183">
        <f t="shared" si="77"/>
        <v>0</v>
      </c>
      <c r="AE251" s="183">
        <f t="shared" si="77"/>
        <v>0</v>
      </c>
      <c r="AF251" s="196">
        <f t="shared" si="77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78"/>
        <v>0</v>
      </c>
      <c r="D252" s="183">
        <f t="shared" si="78"/>
        <v>0</v>
      </c>
      <c r="E252" s="183">
        <f t="shared" si="78"/>
        <v>0</v>
      </c>
      <c r="F252" s="183">
        <f t="shared" si="78"/>
        <v>0</v>
      </c>
      <c r="G252" s="183">
        <f t="shared" si="78"/>
        <v>0</v>
      </c>
      <c r="H252" s="183">
        <f t="shared" si="78"/>
        <v>0</v>
      </c>
      <c r="I252" s="183">
        <f t="shared" si="78"/>
        <v>0</v>
      </c>
      <c r="J252" s="183">
        <f t="shared" si="78"/>
        <v>0</v>
      </c>
      <c r="K252" s="183">
        <f t="shared" si="78"/>
        <v>0</v>
      </c>
      <c r="L252" s="183">
        <f t="shared" si="78"/>
        <v>0</v>
      </c>
      <c r="M252" s="183">
        <f t="shared" si="78"/>
        <v>0</v>
      </c>
      <c r="N252" s="183">
        <f t="shared" si="78"/>
        <v>0</v>
      </c>
      <c r="O252" s="183">
        <f t="shared" si="78"/>
        <v>0</v>
      </c>
      <c r="P252" s="183">
        <f t="shared" si="78"/>
        <v>0</v>
      </c>
      <c r="Q252" s="183">
        <f t="shared" si="78"/>
        <v>0</v>
      </c>
      <c r="R252" s="183">
        <f t="shared" si="78"/>
        <v>0</v>
      </c>
      <c r="S252" s="183">
        <f t="shared" si="77"/>
        <v>0</v>
      </c>
      <c r="T252" s="183">
        <f t="shared" si="77"/>
        <v>0</v>
      </c>
      <c r="U252" s="183">
        <f t="shared" si="77"/>
        <v>0</v>
      </c>
      <c r="V252" s="183">
        <f t="shared" si="77"/>
        <v>0</v>
      </c>
      <c r="W252" s="183">
        <f t="shared" si="77"/>
        <v>0</v>
      </c>
      <c r="X252" s="183">
        <f t="shared" si="77"/>
        <v>0</v>
      </c>
      <c r="Y252" s="183">
        <f t="shared" si="77"/>
        <v>0</v>
      </c>
      <c r="Z252" s="183">
        <f t="shared" si="77"/>
        <v>0</v>
      </c>
      <c r="AA252" s="183">
        <f t="shared" si="77"/>
        <v>0</v>
      </c>
      <c r="AB252" s="183">
        <f t="shared" si="77"/>
        <v>0</v>
      </c>
      <c r="AC252" s="183">
        <f t="shared" si="77"/>
        <v>0</v>
      </c>
      <c r="AD252" s="183">
        <f t="shared" si="77"/>
        <v>0</v>
      </c>
      <c r="AE252" s="183">
        <f t="shared" si="77"/>
        <v>0</v>
      </c>
      <c r="AF252" s="196">
        <f t="shared" si="77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78"/>
        <v>0</v>
      </c>
      <c r="D253" s="183">
        <f t="shared" si="78"/>
        <v>0</v>
      </c>
      <c r="E253" s="183">
        <f t="shared" si="78"/>
        <v>0</v>
      </c>
      <c r="F253" s="183">
        <f t="shared" si="78"/>
        <v>0</v>
      </c>
      <c r="G253" s="183">
        <f t="shared" si="78"/>
        <v>0</v>
      </c>
      <c r="H253" s="183">
        <f t="shared" si="78"/>
        <v>0</v>
      </c>
      <c r="I253" s="183">
        <f t="shared" si="78"/>
        <v>0</v>
      </c>
      <c r="J253" s="183">
        <f t="shared" si="78"/>
        <v>0</v>
      </c>
      <c r="K253" s="183">
        <f t="shared" si="78"/>
        <v>0</v>
      </c>
      <c r="L253" s="183">
        <f t="shared" si="78"/>
        <v>0</v>
      </c>
      <c r="M253" s="183">
        <f t="shared" si="78"/>
        <v>0</v>
      </c>
      <c r="N253" s="183">
        <f t="shared" si="78"/>
        <v>0</v>
      </c>
      <c r="O253" s="183">
        <f t="shared" si="78"/>
        <v>0</v>
      </c>
      <c r="P253" s="183">
        <f t="shared" si="78"/>
        <v>0</v>
      </c>
      <c r="Q253" s="183">
        <f t="shared" si="78"/>
        <v>0</v>
      </c>
      <c r="R253" s="183">
        <f t="shared" ref="R253:AF268" si="79">Q253</f>
        <v>0</v>
      </c>
      <c r="S253" s="183">
        <f t="shared" si="79"/>
        <v>0</v>
      </c>
      <c r="T253" s="183">
        <f t="shared" si="79"/>
        <v>0</v>
      </c>
      <c r="U253" s="183">
        <f t="shared" si="79"/>
        <v>0</v>
      </c>
      <c r="V253" s="183">
        <f t="shared" si="79"/>
        <v>0</v>
      </c>
      <c r="W253" s="183">
        <f t="shared" si="79"/>
        <v>0</v>
      </c>
      <c r="X253" s="183">
        <f t="shared" si="79"/>
        <v>0</v>
      </c>
      <c r="Y253" s="183">
        <f t="shared" si="79"/>
        <v>0</v>
      </c>
      <c r="Z253" s="183">
        <f t="shared" si="79"/>
        <v>0</v>
      </c>
      <c r="AA253" s="183">
        <f t="shared" si="79"/>
        <v>0</v>
      </c>
      <c r="AB253" s="183">
        <f t="shared" si="79"/>
        <v>0</v>
      </c>
      <c r="AC253" s="183">
        <f t="shared" si="79"/>
        <v>0</v>
      </c>
      <c r="AD253" s="183">
        <f t="shared" si="79"/>
        <v>0</v>
      </c>
      <c r="AE253" s="183">
        <f t="shared" si="79"/>
        <v>0</v>
      </c>
      <c r="AF253" s="196">
        <f t="shared" si="79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ref="C254:R269" si="80">B254</f>
        <v>0</v>
      </c>
      <c r="D254" s="183">
        <f t="shared" si="80"/>
        <v>0</v>
      </c>
      <c r="E254" s="183">
        <f t="shared" si="80"/>
        <v>0</v>
      </c>
      <c r="F254" s="183">
        <f t="shared" si="80"/>
        <v>0</v>
      </c>
      <c r="G254" s="183">
        <f t="shared" si="80"/>
        <v>0</v>
      </c>
      <c r="H254" s="183">
        <f t="shared" si="80"/>
        <v>0</v>
      </c>
      <c r="I254" s="183">
        <f t="shared" si="80"/>
        <v>0</v>
      </c>
      <c r="J254" s="183">
        <f t="shared" si="80"/>
        <v>0</v>
      </c>
      <c r="K254" s="183">
        <f t="shared" si="80"/>
        <v>0</v>
      </c>
      <c r="L254" s="183">
        <f t="shared" si="80"/>
        <v>0</v>
      </c>
      <c r="M254" s="183">
        <f t="shared" si="80"/>
        <v>0</v>
      </c>
      <c r="N254" s="183">
        <f t="shared" si="80"/>
        <v>0</v>
      </c>
      <c r="O254" s="183">
        <f t="shared" si="80"/>
        <v>0</v>
      </c>
      <c r="P254" s="183">
        <f t="shared" si="80"/>
        <v>0</v>
      </c>
      <c r="Q254" s="183">
        <f t="shared" si="80"/>
        <v>0</v>
      </c>
      <c r="R254" s="183">
        <f t="shared" si="80"/>
        <v>0</v>
      </c>
      <c r="S254" s="183">
        <f t="shared" si="79"/>
        <v>0</v>
      </c>
      <c r="T254" s="183">
        <f t="shared" si="79"/>
        <v>0</v>
      </c>
      <c r="U254" s="183">
        <f t="shared" si="79"/>
        <v>0</v>
      </c>
      <c r="V254" s="183">
        <f t="shared" si="79"/>
        <v>0</v>
      </c>
      <c r="W254" s="183">
        <f t="shared" si="79"/>
        <v>0</v>
      </c>
      <c r="X254" s="183">
        <f t="shared" si="79"/>
        <v>0</v>
      </c>
      <c r="Y254" s="183">
        <f t="shared" si="79"/>
        <v>0</v>
      </c>
      <c r="Z254" s="183">
        <f t="shared" si="79"/>
        <v>0</v>
      </c>
      <c r="AA254" s="183">
        <f t="shared" si="79"/>
        <v>0</v>
      </c>
      <c r="AB254" s="183">
        <f t="shared" si="79"/>
        <v>0</v>
      </c>
      <c r="AC254" s="183">
        <f t="shared" si="79"/>
        <v>0</v>
      </c>
      <c r="AD254" s="183">
        <f t="shared" si="79"/>
        <v>0</v>
      </c>
      <c r="AE254" s="183">
        <f t="shared" si="79"/>
        <v>0</v>
      </c>
      <c r="AF254" s="196">
        <f t="shared" si="79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80"/>
        <v>0</v>
      </c>
      <c r="D255" s="183">
        <f t="shared" si="80"/>
        <v>0</v>
      </c>
      <c r="E255" s="183">
        <f t="shared" si="80"/>
        <v>0</v>
      </c>
      <c r="F255" s="183">
        <f t="shared" si="80"/>
        <v>0</v>
      </c>
      <c r="G255" s="183">
        <f t="shared" si="80"/>
        <v>0</v>
      </c>
      <c r="H255" s="183">
        <f t="shared" si="80"/>
        <v>0</v>
      </c>
      <c r="I255" s="183">
        <f t="shared" si="80"/>
        <v>0</v>
      </c>
      <c r="J255" s="183">
        <f t="shared" si="80"/>
        <v>0</v>
      </c>
      <c r="K255" s="183">
        <f t="shared" si="80"/>
        <v>0</v>
      </c>
      <c r="L255" s="183">
        <f t="shared" si="80"/>
        <v>0</v>
      </c>
      <c r="M255" s="183">
        <f t="shared" si="80"/>
        <v>0</v>
      </c>
      <c r="N255" s="183">
        <f t="shared" si="80"/>
        <v>0</v>
      </c>
      <c r="O255" s="183">
        <f t="shared" si="80"/>
        <v>0</v>
      </c>
      <c r="P255" s="183">
        <f t="shared" si="80"/>
        <v>0</v>
      </c>
      <c r="Q255" s="183">
        <f t="shared" si="80"/>
        <v>0</v>
      </c>
      <c r="R255" s="183">
        <f t="shared" si="80"/>
        <v>0</v>
      </c>
      <c r="S255" s="183">
        <f t="shared" si="79"/>
        <v>0</v>
      </c>
      <c r="T255" s="183">
        <f t="shared" si="79"/>
        <v>0</v>
      </c>
      <c r="U255" s="183">
        <f t="shared" si="79"/>
        <v>0</v>
      </c>
      <c r="V255" s="183">
        <f t="shared" si="79"/>
        <v>0</v>
      </c>
      <c r="W255" s="183">
        <f t="shared" si="79"/>
        <v>0</v>
      </c>
      <c r="X255" s="183">
        <f t="shared" si="79"/>
        <v>0</v>
      </c>
      <c r="Y255" s="183">
        <f t="shared" si="79"/>
        <v>0</v>
      </c>
      <c r="Z255" s="183">
        <f t="shared" si="79"/>
        <v>0</v>
      </c>
      <c r="AA255" s="183">
        <f t="shared" si="79"/>
        <v>0</v>
      </c>
      <c r="AB255" s="183">
        <f t="shared" si="79"/>
        <v>0</v>
      </c>
      <c r="AC255" s="183">
        <f t="shared" si="79"/>
        <v>0</v>
      </c>
      <c r="AD255" s="183">
        <f t="shared" si="79"/>
        <v>0</v>
      </c>
      <c r="AE255" s="183">
        <f t="shared" si="79"/>
        <v>0</v>
      </c>
      <c r="AF255" s="196">
        <f t="shared" si="79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80"/>
        <v>0</v>
      </c>
      <c r="D256" s="183">
        <f t="shared" si="80"/>
        <v>0</v>
      </c>
      <c r="E256" s="183">
        <f t="shared" si="80"/>
        <v>0</v>
      </c>
      <c r="F256" s="183">
        <f t="shared" si="80"/>
        <v>0</v>
      </c>
      <c r="G256" s="183">
        <f t="shared" si="80"/>
        <v>0</v>
      </c>
      <c r="H256" s="183">
        <f t="shared" si="80"/>
        <v>0</v>
      </c>
      <c r="I256" s="183">
        <f t="shared" si="80"/>
        <v>0</v>
      </c>
      <c r="J256" s="183">
        <f t="shared" si="80"/>
        <v>0</v>
      </c>
      <c r="K256" s="183">
        <f t="shared" si="80"/>
        <v>0</v>
      </c>
      <c r="L256" s="183">
        <f t="shared" si="80"/>
        <v>0</v>
      </c>
      <c r="M256" s="183">
        <f t="shared" si="80"/>
        <v>0</v>
      </c>
      <c r="N256" s="183">
        <f t="shared" si="80"/>
        <v>0</v>
      </c>
      <c r="O256" s="183">
        <f t="shared" si="80"/>
        <v>0</v>
      </c>
      <c r="P256" s="183">
        <f t="shared" si="80"/>
        <v>0</v>
      </c>
      <c r="Q256" s="183">
        <f t="shared" si="80"/>
        <v>0</v>
      </c>
      <c r="R256" s="183">
        <f t="shared" si="80"/>
        <v>0</v>
      </c>
      <c r="S256" s="183">
        <f t="shared" si="79"/>
        <v>0</v>
      </c>
      <c r="T256" s="183">
        <f t="shared" si="79"/>
        <v>0</v>
      </c>
      <c r="U256" s="183">
        <f t="shared" si="79"/>
        <v>0</v>
      </c>
      <c r="V256" s="183">
        <f t="shared" si="79"/>
        <v>0</v>
      </c>
      <c r="W256" s="183">
        <f t="shared" si="79"/>
        <v>0</v>
      </c>
      <c r="X256" s="183">
        <f t="shared" si="79"/>
        <v>0</v>
      </c>
      <c r="Y256" s="183">
        <f t="shared" si="79"/>
        <v>0</v>
      </c>
      <c r="Z256" s="183">
        <f t="shared" si="79"/>
        <v>0</v>
      </c>
      <c r="AA256" s="183">
        <f t="shared" si="79"/>
        <v>0</v>
      </c>
      <c r="AB256" s="183">
        <f t="shared" si="79"/>
        <v>0</v>
      </c>
      <c r="AC256" s="183">
        <f t="shared" si="79"/>
        <v>0</v>
      </c>
      <c r="AD256" s="183">
        <f t="shared" si="79"/>
        <v>0</v>
      </c>
      <c r="AE256" s="183">
        <f t="shared" si="79"/>
        <v>0</v>
      </c>
      <c r="AF256" s="196">
        <f t="shared" si="79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80"/>
        <v>0</v>
      </c>
      <c r="D257" s="183">
        <f t="shared" si="80"/>
        <v>0</v>
      </c>
      <c r="E257" s="183">
        <f t="shared" si="80"/>
        <v>0</v>
      </c>
      <c r="F257" s="183">
        <f t="shared" si="80"/>
        <v>0</v>
      </c>
      <c r="G257" s="183">
        <f t="shared" si="80"/>
        <v>0</v>
      </c>
      <c r="H257" s="183">
        <f t="shared" si="80"/>
        <v>0</v>
      </c>
      <c r="I257" s="183">
        <f t="shared" si="80"/>
        <v>0</v>
      </c>
      <c r="J257" s="183">
        <f t="shared" si="80"/>
        <v>0</v>
      </c>
      <c r="K257" s="183">
        <f t="shared" si="80"/>
        <v>0</v>
      </c>
      <c r="L257" s="183">
        <f t="shared" si="80"/>
        <v>0</v>
      </c>
      <c r="M257" s="183">
        <f t="shared" si="80"/>
        <v>0</v>
      </c>
      <c r="N257" s="183">
        <f t="shared" si="80"/>
        <v>0</v>
      </c>
      <c r="O257" s="183">
        <f t="shared" si="80"/>
        <v>0</v>
      </c>
      <c r="P257" s="183">
        <f t="shared" si="80"/>
        <v>0</v>
      </c>
      <c r="Q257" s="183">
        <f t="shared" si="80"/>
        <v>0</v>
      </c>
      <c r="R257" s="183">
        <f t="shared" si="80"/>
        <v>0</v>
      </c>
      <c r="S257" s="183">
        <f t="shared" si="79"/>
        <v>0</v>
      </c>
      <c r="T257" s="183">
        <f t="shared" si="79"/>
        <v>0</v>
      </c>
      <c r="U257" s="183">
        <f t="shared" si="79"/>
        <v>0</v>
      </c>
      <c r="V257" s="183">
        <f t="shared" si="79"/>
        <v>0</v>
      </c>
      <c r="W257" s="183">
        <f t="shared" si="79"/>
        <v>0</v>
      </c>
      <c r="X257" s="183">
        <f t="shared" si="79"/>
        <v>0</v>
      </c>
      <c r="Y257" s="183">
        <f t="shared" si="79"/>
        <v>0</v>
      </c>
      <c r="Z257" s="183">
        <f t="shared" si="79"/>
        <v>0</v>
      </c>
      <c r="AA257" s="183">
        <f t="shared" si="79"/>
        <v>0</v>
      </c>
      <c r="AB257" s="183">
        <f t="shared" si="79"/>
        <v>0</v>
      </c>
      <c r="AC257" s="183">
        <f t="shared" si="79"/>
        <v>0</v>
      </c>
      <c r="AD257" s="183">
        <f t="shared" si="79"/>
        <v>0</v>
      </c>
      <c r="AE257" s="183">
        <f t="shared" si="79"/>
        <v>0</v>
      </c>
      <c r="AF257" s="196">
        <f t="shared" si="79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si="80"/>
        <v>0</v>
      </c>
      <c r="D258" s="183">
        <f t="shared" si="80"/>
        <v>0</v>
      </c>
      <c r="E258" s="183">
        <f t="shared" si="80"/>
        <v>0</v>
      </c>
      <c r="F258" s="183">
        <f t="shared" si="80"/>
        <v>0</v>
      </c>
      <c r="G258" s="183">
        <f t="shared" si="80"/>
        <v>0</v>
      </c>
      <c r="H258" s="183">
        <f t="shared" si="80"/>
        <v>0</v>
      </c>
      <c r="I258" s="183">
        <f t="shared" si="80"/>
        <v>0</v>
      </c>
      <c r="J258" s="183">
        <f t="shared" si="80"/>
        <v>0</v>
      </c>
      <c r="K258" s="183">
        <f t="shared" si="80"/>
        <v>0</v>
      </c>
      <c r="L258" s="183">
        <f t="shared" si="80"/>
        <v>0</v>
      </c>
      <c r="M258" s="183">
        <f t="shared" si="80"/>
        <v>0</v>
      </c>
      <c r="N258" s="183">
        <f t="shared" si="80"/>
        <v>0</v>
      </c>
      <c r="O258" s="183">
        <f t="shared" si="80"/>
        <v>0</v>
      </c>
      <c r="P258" s="183">
        <f t="shared" si="80"/>
        <v>0</v>
      </c>
      <c r="Q258" s="183">
        <f t="shared" si="80"/>
        <v>0</v>
      </c>
      <c r="R258" s="183">
        <f t="shared" si="80"/>
        <v>0</v>
      </c>
      <c r="S258" s="183">
        <f t="shared" si="79"/>
        <v>0</v>
      </c>
      <c r="T258" s="183">
        <f t="shared" si="79"/>
        <v>0</v>
      </c>
      <c r="U258" s="183">
        <f t="shared" si="79"/>
        <v>0</v>
      </c>
      <c r="V258" s="183">
        <f t="shared" si="79"/>
        <v>0</v>
      </c>
      <c r="W258" s="183">
        <f t="shared" si="79"/>
        <v>0</v>
      </c>
      <c r="X258" s="183">
        <f t="shared" si="79"/>
        <v>0</v>
      </c>
      <c r="Y258" s="183">
        <f t="shared" si="79"/>
        <v>0</v>
      </c>
      <c r="Z258" s="183">
        <f t="shared" si="79"/>
        <v>0</v>
      </c>
      <c r="AA258" s="183">
        <f t="shared" si="79"/>
        <v>0</v>
      </c>
      <c r="AB258" s="183">
        <f t="shared" si="79"/>
        <v>0</v>
      </c>
      <c r="AC258" s="183">
        <f t="shared" si="79"/>
        <v>0</v>
      </c>
      <c r="AD258" s="183">
        <f t="shared" si="79"/>
        <v>0</v>
      </c>
      <c r="AE258" s="183">
        <f t="shared" si="79"/>
        <v>0</v>
      </c>
      <c r="AF258" s="196">
        <f t="shared" si="79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80"/>
        <v>0</v>
      </c>
      <c r="D259" s="183">
        <f t="shared" si="80"/>
        <v>0</v>
      </c>
      <c r="E259" s="183">
        <f t="shared" si="80"/>
        <v>0</v>
      </c>
      <c r="F259" s="183">
        <f t="shared" si="80"/>
        <v>0</v>
      </c>
      <c r="G259" s="183">
        <f t="shared" si="80"/>
        <v>0</v>
      </c>
      <c r="H259" s="183">
        <f t="shared" si="80"/>
        <v>0</v>
      </c>
      <c r="I259" s="183">
        <f t="shared" si="80"/>
        <v>0</v>
      </c>
      <c r="J259" s="183">
        <f t="shared" si="80"/>
        <v>0</v>
      </c>
      <c r="K259" s="183">
        <f t="shared" si="80"/>
        <v>0</v>
      </c>
      <c r="L259" s="183">
        <f t="shared" si="80"/>
        <v>0</v>
      </c>
      <c r="M259" s="183">
        <f t="shared" si="80"/>
        <v>0</v>
      </c>
      <c r="N259" s="183">
        <f t="shared" si="80"/>
        <v>0</v>
      </c>
      <c r="O259" s="183">
        <f t="shared" si="80"/>
        <v>0</v>
      </c>
      <c r="P259" s="183">
        <f t="shared" si="80"/>
        <v>0</v>
      </c>
      <c r="Q259" s="183">
        <f t="shared" si="80"/>
        <v>0</v>
      </c>
      <c r="R259" s="183">
        <f t="shared" si="80"/>
        <v>0</v>
      </c>
      <c r="S259" s="183">
        <f t="shared" si="79"/>
        <v>0</v>
      </c>
      <c r="T259" s="183">
        <f t="shared" si="79"/>
        <v>0</v>
      </c>
      <c r="U259" s="183">
        <f t="shared" si="79"/>
        <v>0</v>
      </c>
      <c r="V259" s="183">
        <f t="shared" si="79"/>
        <v>0</v>
      </c>
      <c r="W259" s="183">
        <f t="shared" si="79"/>
        <v>0</v>
      </c>
      <c r="X259" s="183">
        <f t="shared" si="79"/>
        <v>0</v>
      </c>
      <c r="Y259" s="183">
        <f t="shared" si="79"/>
        <v>0</v>
      </c>
      <c r="Z259" s="183">
        <f t="shared" si="79"/>
        <v>0</v>
      </c>
      <c r="AA259" s="183">
        <f t="shared" si="79"/>
        <v>0</v>
      </c>
      <c r="AB259" s="183">
        <f t="shared" si="79"/>
        <v>0</v>
      </c>
      <c r="AC259" s="183">
        <f t="shared" si="79"/>
        <v>0</v>
      </c>
      <c r="AD259" s="183">
        <f t="shared" si="79"/>
        <v>0</v>
      </c>
      <c r="AE259" s="183">
        <f t="shared" si="79"/>
        <v>0</v>
      </c>
      <c r="AF259" s="196">
        <f t="shared" si="79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80"/>
        <v>0</v>
      </c>
      <c r="D260" s="183">
        <f t="shared" si="80"/>
        <v>0</v>
      </c>
      <c r="E260" s="183">
        <f t="shared" si="80"/>
        <v>0</v>
      </c>
      <c r="F260" s="183">
        <f t="shared" si="80"/>
        <v>0</v>
      </c>
      <c r="G260" s="183">
        <f t="shared" si="80"/>
        <v>0</v>
      </c>
      <c r="H260" s="183">
        <f t="shared" si="80"/>
        <v>0</v>
      </c>
      <c r="I260" s="183">
        <f t="shared" si="80"/>
        <v>0</v>
      </c>
      <c r="J260" s="183">
        <f t="shared" si="80"/>
        <v>0</v>
      </c>
      <c r="K260" s="183">
        <f t="shared" si="80"/>
        <v>0</v>
      </c>
      <c r="L260" s="183">
        <f t="shared" si="80"/>
        <v>0</v>
      </c>
      <c r="M260" s="183">
        <f t="shared" si="80"/>
        <v>0</v>
      </c>
      <c r="N260" s="183">
        <f t="shared" si="80"/>
        <v>0</v>
      </c>
      <c r="O260" s="183">
        <f t="shared" si="80"/>
        <v>0</v>
      </c>
      <c r="P260" s="183">
        <f t="shared" si="80"/>
        <v>0</v>
      </c>
      <c r="Q260" s="183">
        <f t="shared" si="80"/>
        <v>0</v>
      </c>
      <c r="R260" s="183">
        <f t="shared" si="80"/>
        <v>0</v>
      </c>
      <c r="S260" s="183">
        <f t="shared" si="79"/>
        <v>0</v>
      </c>
      <c r="T260" s="183">
        <f t="shared" si="79"/>
        <v>0</v>
      </c>
      <c r="U260" s="183">
        <f t="shared" si="79"/>
        <v>0</v>
      </c>
      <c r="V260" s="183">
        <f t="shared" si="79"/>
        <v>0</v>
      </c>
      <c r="W260" s="183">
        <f t="shared" si="79"/>
        <v>0</v>
      </c>
      <c r="X260" s="183">
        <f t="shared" si="79"/>
        <v>0</v>
      </c>
      <c r="Y260" s="183">
        <f t="shared" si="79"/>
        <v>0</v>
      </c>
      <c r="Z260" s="183">
        <f t="shared" si="79"/>
        <v>0</v>
      </c>
      <c r="AA260" s="183">
        <f t="shared" si="79"/>
        <v>0</v>
      </c>
      <c r="AB260" s="183">
        <f t="shared" si="79"/>
        <v>0</v>
      </c>
      <c r="AC260" s="183">
        <f t="shared" si="79"/>
        <v>0</v>
      </c>
      <c r="AD260" s="183">
        <f t="shared" si="79"/>
        <v>0</v>
      </c>
      <c r="AE260" s="183">
        <f t="shared" si="79"/>
        <v>0</v>
      </c>
      <c r="AF260" s="196">
        <f t="shared" si="79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80"/>
        <v>0</v>
      </c>
      <c r="D261" s="183">
        <f t="shared" si="80"/>
        <v>0</v>
      </c>
      <c r="E261" s="183">
        <f t="shared" si="80"/>
        <v>0</v>
      </c>
      <c r="F261" s="183">
        <f t="shared" si="80"/>
        <v>0</v>
      </c>
      <c r="G261" s="183">
        <f t="shared" si="80"/>
        <v>0</v>
      </c>
      <c r="H261" s="183">
        <f t="shared" si="80"/>
        <v>0</v>
      </c>
      <c r="I261" s="183">
        <f t="shared" si="80"/>
        <v>0</v>
      </c>
      <c r="J261" s="183">
        <f t="shared" si="80"/>
        <v>0</v>
      </c>
      <c r="K261" s="183">
        <f t="shared" si="80"/>
        <v>0</v>
      </c>
      <c r="L261" s="183">
        <f t="shared" si="80"/>
        <v>0</v>
      </c>
      <c r="M261" s="183">
        <f t="shared" si="80"/>
        <v>0</v>
      </c>
      <c r="N261" s="183">
        <f t="shared" si="80"/>
        <v>0</v>
      </c>
      <c r="O261" s="183">
        <f t="shared" si="80"/>
        <v>0</v>
      </c>
      <c r="P261" s="183">
        <f t="shared" si="80"/>
        <v>0</v>
      </c>
      <c r="Q261" s="183">
        <f t="shared" si="80"/>
        <v>0</v>
      </c>
      <c r="R261" s="183">
        <f t="shared" si="80"/>
        <v>0</v>
      </c>
      <c r="S261" s="183">
        <f t="shared" si="79"/>
        <v>0</v>
      </c>
      <c r="T261" s="183">
        <f t="shared" si="79"/>
        <v>0</v>
      </c>
      <c r="U261" s="183">
        <f t="shared" si="79"/>
        <v>0</v>
      </c>
      <c r="V261" s="183">
        <f t="shared" si="79"/>
        <v>0</v>
      </c>
      <c r="W261" s="183">
        <f t="shared" si="79"/>
        <v>0</v>
      </c>
      <c r="X261" s="183">
        <f t="shared" si="79"/>
        <v>0</v>
      </c>
      <c r="Y261" s="183">
        <f t="shared" si="79"/>
        <v>0</v>
      </c>
      <c r="Z261" s="183">
        <f t="shared" si="79"/>
        <v>0</v>
      </c>
      <c r="AA261" s="183">
        <f t="shared" si="79"/>
        <v>0</v>
      </c>
      <c r="AB261" s="183">
        <f t="shared" si="79"/>
        <v>0</v>
      </c>
      <c r="AC261" s="183">
        <f t="shared" si="79"/>
        <v>0</v>
      </c>
      <c r="AD261" s="183">
        <f t="shared" si="79"/>
        <v>0</v>
      </c>
      <c r="AE261" s="183">
        <f t="shared" si="79"/>
        <v>0</v>
      </c>
      <c r="AF261" s="196">
        <f t="shared" si="79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80"/>
        <v>0</v>
      </c>
      <c r="D262" s="183">
        <f t="shared" si="80"/>
        <v>0</v>
      </c>
      <c r="E262" s="183">
        <f t="shared" si="80"/>
        <v>0</v>
      </c>
      <c r="F262" s="183">
        <f t="shared" si="80"/>
        <v>0</v>
      </c>
      <c r="G262" s="183">
        <f t="shared" si="80"/>
        <v>0</v>
      </c>
      <c r="H262" s="183">
        <f t="shared" si="80"/>
        <v>0</v>
      </c>
      <c r="I262" s="183">
        <f t="shared" si="80"/>
        <v>0</v>
      </c>
      <c r="J262" s="183">
        <f t="shared" si="80"/>
        <v>0</v>
      </c>
      <c r="K262" s="183">
        <f t="shared" si="80"/>
        <v>0</v>
      </c>
      <c r="L262" s="183">
        <f t="shared" si="80"/>
        <v>0</v>
      </c>
      <c r="M262" s="183">
        <f t="shared" si="80"/>
        <v>0</v>
      </c>
      <c r="N262" s="183">
        <f t="shared" si="80"/>
        <v>0</v>
      </c>
      <c r="O262" s="183">
        <f t="shared" si="80"/>
        <v>0</v>
      </c>
      <c r="P262" s="183">
        <f t="shared" si="80"/>
        <v>0</v>
      </c>
      <c r="Q262" s="183">
        <f t="shared" si="80"/>
        <v>0</v>
      </c>
      <c r="R262" s="183">
        <f t="shared" si="80"/>
        <v>0</v>
      </c>
      <c r="S262" s="183">
        <f t="shared" si="79"/>
        <v>0</v>
      </c>
      <c r="T262" s="183">
        <f t="shared" si="79"/>
        <v>0</v>
      </c>
      <c r="U262" s="183">
        <f t="shared" si="79"/>
        <v>0</v>
      </c>
      <c r="V262" s="183">
        <f t="shared" si="79"/>
        <v>0</v>
      </c>
      <c r="W262" s="183">
        <f t="shared" si="79"/>
        <v>0</v>
      </c>
      <c r="X262" s="183">
        <f t="shared" si="79"/>
        <v>0</v>
      </c>
      <c r="Y262" s="183">
        <f t="shared" si="79"/>
        <v>0</v>
      </c>
      <c r="Z262" s="183">
        <f t="shared" si="79"/>
        <v>0</v>
      </c>
      <c r="AA262" s="183">
        <f t="shared" si="79"/>
        <v>0</v>
      </c>
      <c r="AB262" s="183">
        <f t="shared" si="79"/>
        <v>0</v>
      </c>
      <c r="AC262" s="183">
        <f t="shared" si="79"/>
        <v>0</v>
      </c>
      <c r="AD262" s="183">
        <f t="shared" si="79"/>
        <v>0</v>
      </c>
      <c r="AE262" s="183">
        <f t="shared" si="79"/>
        <v>0</v>
      </c>
      <c r="AF262" s="196">
        <f t="shared" si="79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80"/>
        <v>0</v>
      </c>
      <c r="D263" s="183">
        <f t="shared" si="80"/>
        <v>0</v>
      </c>
      <c r="E263" s="183">
        <f t="shared" si="80"/>
        <v>0</v>
      </c>
      <c r="F263" s="183">
        <f t="shared" si="80"/>
        <v>0</v>
      </c>
      <c r="G263" s="183">
        <f t="shared" si="80"/>
        <v>0</v>
      </c>
      <c r="H263" s="183">
        <f t="shared" si="80"/>
        <v>0</v>
      </c>
      <c r="I263" s="183">
        <f t="shared" si="80"/>
        <v>0</v>
      </c>
      <c r="J263" s="183">
        <f t="shared" si="80"/>
        <v>0</v>
      </c>
      <c r="K263" s="183">
        <f t="shared" si="80"/>
        <v>0</v>
      </c>
      <c r="L263" s="183">
        <f t="shared" si="80"/>
        <v>0</v>
      </c>
      <c r="M263" s="183">
        <f t="shared" si="80"/>
        <v>0</v>
      </c>
      <c r="N263" s="183">
        <f t="shared" si="80"/>
        <v>0</v>
      </c>
      <c r="O263" s="183">
        <f t="shared" si="80"/>
        <v>0</v>
      </c>
      <c r="P263" s="183">
        <f t="shared" si="80"/>
        <v>0</v>
      </c>
      <c r="Q263" s="183">
        <f t="shared" si="80"/>
        <v>0</v>
      </c>
      <c r="R263" s="183">
        <f t="shared" si="80"/>
        <v>0</v>
      </c>
      <c r="S263" s="183">
        <f t="shared" si="79"/>
        <v>0</v>
      </c>
      <c r="T263" s="183">
        <f t="shared" si="79"/>
        <v>0</v>
      </c>
      <c r="U263" s="183">
        <f t="shared" si="79"/>
        <v>0</v>
      </c>
      <c r="V263" s="183">
        <f t="shared" si="79"/>
        <v>0</v>
      </c>
      <c r="W263" s="183">
        <f t="shared" si="79"/>
        <v>0</v>
      </c>
      <c r="X263" s="183">
        <f t="shared" si="79"/>
        <v>0</v>
      </c>
      <c r="Y263" s="183">
        <f t="shared" si="79"/>
        <v>0</v>
      </c>
      <c r="Z263" s="183">
        <f t="shared" si="79"/>
        <v>0</v>
      </c>
      <c r="AA263" s="183">
        <f t="shared" si="79"/>
        <v>0</v>
      </c>
      <c r="AB263" s="183">
        <f t="shared" si="79"/>
        <v>0</v>
      </c>
      <c r="AC263" s="183">
        <f t="shared" si="79"/>
        <v>0</v>
      </c>
      <c r="AD263" s="183">
        <f t="shared" si="79"/>
        <v>0</v>
      </c>
      <c r="AE263" s="183">
        <f t="shared" si="79"/>
        <v>0</v>
      </c>
      <c r="AF263" s="196">
        <f t="shared" si="79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80"/>
        <v>0</v>
      </c>
      <c r="D264" s="183">
        <f t="shared" si="80"/>
        <v>0</v>
      </c>
      <c r="E264" s="183">
        <f t="shared" si="80"/>
        <v>0</v>
      </c>
      <c r="F264" s="183">
        <f t="shared" si="80"/>
        <v>0</v>
      </c>
      <c r="G264" s="183">
        <f t="shared" si="80"/>
        <v>0</v>
      </c>
      <c r="H264" s="183">
        <f t="shared" si="80"/>
        <v>0</v>
      </c>
      <c r="I264" s="183">
        <f t="shared" si="80"/>
        <v>0</v>
      </c>
      <c r="J264" s="183">
        <f t="shared" si="80"/>
        <v>0</v>
      </c>
      <c r="K264" s="183">
        <f t="shared" si="80"/>
        <v>0</v>
      </c>
      <c r="L264" s="183">
        <f t="shared" si="80"/>
        <v>0</v>
      </c>
      <c r="M264" s="183">
        <f t="shared" si="80"/>
        <v>0</v>
      </c>
      <c r="N264" s="183">
        <f t="shared" si="80"/>
        <v>0</v>
      </c>
      <c r="O264" s="183">
        <f t="shared" si="80"/>
        <v>0</v>
      </c>
      <c r="P264" s="183">
        <f t="shared" si="80"/>
        <v>0</v>
      </c>
      <c r="Q264" s="183">
        <f t="shared" si="80"/>
        <v>0</v>
      </c>
      <c r="R264" s="183">
        <f t="shared" si="80"/>
        <v>0</v>
      </c>
      <c r="S264" s="183">
        <f t="shared" si="79"/>
        <v>0</v>
      </c>
      <c r="T264" s="183">
        <f t="shared" si="79"/>
        <v>0</v>
      </c>
      <c r="U264" s="183">
        <f t="shared" si="79"/>
        <v>0</v>
      </c>
      <c r="V264" s="183">
        <f t="shared" si="79"/>
        <v>0</v>
      </c>
      <c r="W264" s="183">
        <f t="shared" si="79"/>
        <v>0</v>
      </c>
      <c r="X264" s="183">
        <f t="shared" si="79"/>
        <v>0</v>
      </c>
      <c r="Y264" s="183">
        <f t="shared" si="79"/>
        <v>0</v>
      </c>
      <c r="Z264" s="183">
        <f t="shared" si="79"/>
        <v>0</v>
      </c>
      <c r="AA264" s="183">
        <f t="shared" si="79"/>
        <v>0</v>
      </c>
      <c r="AB264" s="183">
        <f t="shared" si="79"/>
        <v>0</v>
      </c>
      <c r="AC264" s="183">
        <f t="shared" si="79"/>
        <v>0</v>
      </c>
      <c r="AD264" s="183">
        <f t="shared" si="79"/>
        <v>0</v>
      </c>
      <c r="AE264" s="183">
        <f t="shared" si="79"/>
        <v>0</v>
      </c>
      <c r="AF264" s="196">
        <f t="shared" si="79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80"/>
        <v>0</v>
      </c>
      <c r="D265" s="183">
        <f t="shared" si="80"/>
        <v>0</v>
      </c>
      <c r="E265" s="183">
        <f t="shared" si="80"/>
        <v>0</v>
      </c>
      <c r="F265" s="183">
        <f t="shared" si="80"/>
        <v>0</v>
      </c>
      <c r="G265" s="183">
        <f t="shared" si="80"/>
        <v>0</v>
      </c>
      <c r="H265" s="183">
        <f t="shared" si="80"/>
        <v>0</v>
      </c>
      <c r="I265" s="183">
        <f t="shared" si="80"/>
        <v>0</v>
      </c>
      <c r="J265" s="183">
        <f t="shared" si="80"/>
        <v>0</v>
      </c>
      <c r="K265" s="183">
        <f t="shared" si="80"/>
        <v>0</v>
      </c>
      <c r="L265" s="183">
        <f t="shared" si="80"/>
        <v>0</v>
      </c>
      <c r="M265" s="183">
        <f t="shared" si="80"/>
        <v>0</v>
      </c>
      <c r="N265" s="183">
        <f t="shared" si="80"/>
        <v>0</v>
      </c>
      <c r="O265" s="183">
        <f t="shared" si="80"/>
        <v>0</v>
      </c>
      <c r="P265" s="183">
        <f t="shared" si="80"/>
        <v>0</v>
      </c>
      <c r="Q265" s="183">
        <f t="shared" si="80"/>
        <v>0</v>
      </c>
      <c r="R265" s="183">
        <f t="shared" si="80"/>
        <v>0</v>
      </c>
      <c r="S265" s="183">
        <f t="shared" si="79"/>
        <v>0</v>
      </c>
      <c r="T265" s="183">
        <f t="shared" si="79"/>
        <v>0</v>
      </c>
      <c r="U265" s="183">
        <f t="shared" si="79"/>
        <v>0</v>
      </c>
      <c r="V265" s="183">
        <f t="shared" si="79"/>
        <v>0</v>
      </c>
      <c r="W265" s="183">
        <f t="shared" si="79"/>
        <v>0</v>
      </c>
      <c r="X265" s="183">
        <f t="shared" si="79"/>
        <v>0</v>
      </c>
      <c r="Y265" s="183">
        <f t="shared" si="79"/>
        <v>0</v>
      </c>
      <c r="Z265" s="183">
        <f t="shared" si="79"/>
        <v>0</v>
      </c>
      <c r="AA265" s="183">
        <f t="shared" si="79"/>
        <v>0</v>
      </c>
      <c r="AB265" s="183">
        <f t="shared" si="79"/>
        <v>0</v>
      </c>
      <c r="AC265" s="183">
        <f t="shared" si="79"/>
        <v>0</v>
      </c>
      <c r="AD265" s="183">
        <f t="shared" si="79"/>
        <v>0</v>
      </c>
      <c r="AE265" s="183">
        <f t="shared" si="79"/>
        <v>0</v>
      </c>
      <c r="AF265" s="196">
        <f t="shared" si="79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80"/>
        <v>0</v>
      </c>
      <c r="D266" s="183">
        <f t="shared" si="80"/>
        <v>0</v>
      </c>
      <c r="E266" s="183">
        <f t="shared" si="80"/>
        <v>0</v>
      </c>
      <c r="F266" s="183">
        <f t="shared" si="80"/>
        <v>0</v>
      </c>
      <c r="G266" s="183">
        <f t="shared" si="80"/>
        <v>0</v>
      </c>
      <c r="H266" s="183">
        <f t="shared" si="80"/>
        <v>0</v>
      </c>
      <c r="I266" s="183">
        <f t="shared" si="80"/>
        <v>0</v>
      </c>
      <c r="J266" s="183">
        <f t="shared" si="80"/>
        <v>0</v>
      </c>
      <c r="K266" s="183">
        <f t="shared" si="80"/>
        <v>0</v>
      </c>
      <c r="L266" s="183">
        <f t="shared" si="80"/>
        <v>0</v>
      </c>
      <c r="M266" s="183">
        <f t="shared" si="80"/>
        <v>0</v>
      </c>
      <c r="N266" s="183">
        <f t="shared" si="80"/>
        <v>0</v>
      </c>
      <c r="O266" s="183">
        <f t="shared" si="80"/>
        <v>0</v>
      </c>
      <c r="P266" s="183">
        <f t="shared" si="80"/>
        <v>0</v>
      </c>
      <c r="Q266" s="183">
        <f t="shared" si="80"/>
        <v>0</v>
      </c>
      <c r="R266" s="183">
        <f t="shared" si="80"/>
        <v>0</v>
      </c>
      <c r="S266" s="183">
        <f t="shared" si="79"/>
        <v>0</v>
      </c>
      <c r="T266" s="183">
        <f t="shared" si="79"/>
        <v>0</v>
      </c>
      <c r="U266" s="183">
        <f t="shared" si="79"/>
        <v>0</v>
      </c>
      <c r="V266" s="183">
        <f t="shared" si="79"/>
        <v>0</v>
      </c>
      <c r="W266" s="183">
        <f t="shared" si="79"/>
        <v>0</v>
      </c>
      <c r="X266" s="183">
        <f t="shared" si="79"/>
        <v>0</v>
      </c>
      <c r="Y266" s="183">
        <f t="shared" si="79"/>
        <v>0</v>
      </c>
      <c r="Z266" s="183">
        <f t="shared" si="79"/>
        <v>0</v>
      </c>
      <c r="AA266" s="183">
        <f t="shared" si="79"/>
        <v>0</v>
      </c>
      <c r="AB266" s="183">
        <f t="shared" si="79"/>
        <v>0</v>
      </c>
      <c r="AC266" s="183">
        <f t="shared" si="79"/>
        <v>0</v>
      </c>
      <c r="AD266" s="183">
        <f t="shared" si="79"/>
        <v>0</v>
      </c>
      <c r="AE266" s="183">
        <f t="shared" si="79"/>
        <v>0</v>
      </c>
      <c r="AF266" s="196">
        <f t="shared" si="79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80"/>
        <v>0</v>
      </c>
      <c r="D267" s="183">
        <f t="shared" si="80"/>
        <v>0</v>
      </c>
      <c r="E267" s="183">
        <f t="shared" si="80"/>
        <v>0</v>
      </c>
      <c r="F267" s="183">
        <f t="shared" si="80"/>
        <v>0</v>
      </c>
      <c r="G267" s="183">
        <f t="shared" si="80"/>
        <v>0</v>
      </c>
      <c r="H267" s="183">
        <f t="shared" si="80"/>
        <v>0</v>
      </c>
      <c r="I267" s="183">
        <f t="shared" si="80"/>
        <v>0</v>
      </c>
      <c r="J267" s="183">
        <f t="shared" si="80"/>
        <v>0</v>
      </c>
      <c r="K267" s="183">
        <f t="shared" si="80"/>
        <v>0</v>
      </c>
      <c r="L267" s="183">
        <f t="shared" si="80"/>
        <v>0</v>
      </c>
      <c r="M267" s="183">
        <f t="shared" si="80"/>
        <v>0</v>
      </c>
      <c r="N267" s="183">
        <f t="shared" si="80"/>
        <v>0</v>
      </c>
      <c r="O267" s="183">
        <f t="shared" si="80"/>
        <v>0</v>
      </c>
      <c r="P267" s="183">
        <f t="shared" si="80"/>
        <v>0</v>
      </c>
      <c r="Q267" s="183">
        <f t="shared" si="80"/>
        <v>0</v>
      </c>
      <c r="R267" s="183">
        <f t="shared" si="80"/>
        <v>0</v>
      </c>
      <c r="S267" s="183">
        <f t="shared" si="79"/>
        <v>0</v>
      </c>
      <c r="T267" s="183">
        <f t="shared" si="79"/>
        <v>0</v>
      </c>
      <c r="U267" s="183">
        <f t="shared" si="79"/>
        <v>0</v>
      </c>
      <c r="V267" s="183">
        <f t="shared" si="79"/>
        <v>0</v>
      </c>
      <c r="W267" s="183">
        <f t="shared" si="79"/>
        <v>0</v>
      </c>
      <c r="X267" s="183">
        <f t="shared" si="79"/>
        <v>0</v>
      </c>
      <c r="Y267" s="183">
        <f t="shared" si="79"/>
        <v>0</v>
      </c>
      <c r="Z267" s="183">
        <f t="shared" si="79"/>
        <v>0</v>
      </c>
      <c r="AA267" s="183">
        <f t="shared" si="79"/>
        <v>0</v>
      </c>
      <c r="AB267" s="183">
        <f t="shared" si="79"/>
        <v>0</v>
      </c>
      <c r="AC267" s="183">
        <f t="shared" si="79"/>
        <v>0</v>
      </c>
      <c r="AD267" s="183">
        <f t="shared" si="79"/>
        <v>0</v>
      </c>
      <c r="AE267" s="183">
        <f t="shared" si="79"/>
        <v>0</v>
      </c>
      <c r="AF267" s="196">
        <f t="shared" si="79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80"/>
        <v>0</v>
      </c>
      <c r="D268" s="183">
        <f t="shared" si="80"/>
        <v>0</v>
      </c>
      <c r="E268" s="183">
        <f t="shared" si="80"/>
        <v>0</v>
      </c>
      <c r="F268" s="183">
        <f t="shared" si="80"/>
        <v>0</v>
      </c>
      <c r="G268" s="183">
        <f t="shared" si="80"/>
        <v>0</v>
      </c>
      <c r="H268" s="183">
        <f t="shared" si="80"/>
        <v>0</v>
      </c>
      <c r="I268" s="183">
        <f t="shared" si="80"/>
        <v>0</v>
      </c>
      <c r="J268" s="183">
        <f t="shared" si="80"/>
        <v>0</v>
      </c>
      <c r="K268" s="183">
        <f t="shared" si="80"/>
        <v>0</v>
      </c>
      <c r="L268" s="183">
        <f t="shared" si="80"/>
        <v>0</v>
      </c>
      <c r="M268" s="183">
        <f t="shared" si="80"/>
        <v>0</v>
      </c>
      <c r="N268" s="183">
        <f t="shared" si="80"/>
        <v>0</v>
      </c>
      <c r="O268" s="183">
        <f t="shared" si="80"/>
        <v>0</v>
      </c>
      <c r="P268" s="183">
        <f t="shared" si="80"/>
        <v>0</v>
      </c>
      <c r="Q268" s="183">
        <f t="shared" si="80"/>
        <v>0</v>
      </c>
      <c r="R268" s="183">
        <f t="shared" si="80"/>
        <v>0</v>
      </c>
      <c r="S268" s="183">
        <f t="shared" si="79"/>
        <v>0</v>
      </c>
      <c r="T268" s="183">
        <f t="shared" si="79"/>
        <v>0</v>
      </c>
      <c r="U268" s="183">
        <f t="shared" si="79"/>
        <v>0</v>
      </c>
      <c r="V268" s="183">
        <f t="shared" si="79"/>
        <v>0</v>
      </c>
      <c r="W268" s="183">
        <f t="shared" si="79"/>
        <v>0</v>
      </c>
      <c r="X268" s="183">
        <f t="shared" si="79"/>
        <v>0</v>
      </c>
      <c r="Y268" s="183">
        <f t="shared" si="79"/>
        <v>0</v>
      </c>
      <c r="Z268" s="183">
        <f t="shared" si="79"/>
        <v>0</v>
      </c>
      <c r="AA268" s="183">
        <f t="shared" si="79"/>
        <v>0</v>
      </c>
      <c r="AB268" s="183">
        <f t="shared" si="79"/>
        <v>0</v>
      </c>
      <c r="AC268" s="183">
        <f t="shared" si="79"/>
        <v>0</v>
      </c>
      <c r="AD268" s="183">
        <f t="shared" si="79"/>
        <v>0</v>
      </c>
      <c r="AE268" s="183">
        <f t="shared" si="79"/>
        <v>0</v>
      </c>
      <c r="AF268" s="196">
        <f t="shared" si="79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80"/>
        <v>0</v>
      </c>
      <c r="D269" s="183">
        <f t="shared" si="80"/>
        <v>0</v>
      </c>
      <c r="E269" s="183">
        <f t="shared" si="80"/>
        <v>0</v>
      </c>
      <c r="F269" s="183">
        <f t="shared" si="80"/>
        <v>0</v>
      </c>
      <c r="G269" s="183">
        <f t="shared" si="80"/>
        <v>0</v>
      </c>
      <c r="H269" s="183">
        <f t="shared" si="80"/>
        <v>0</v>
      </c>
      <c r="I269" s="183">
        <f t="shared" si="80"/>
        <v>0</v>
      </c>
      <c r="J269" s="183">
        <f t="shared" si="80"/>
        <v>0</v>
      </c>
      <c r="K269" s="183">
        <f t="shared" si="80"/>
        <v>0</v>
      </c>
      <c r="L269" s="183">
        <f t="shared" si="80"/>
        <v>0</v>
      </c>
      <c r="M269" s="183">
        <f t="shared" si="80"/>
        <v>0</v>
      </c>
      <c r="N269" s="183">
        <f t="shared" si="80"/>
        <v>0</v>
      </c>
      <c r="O269" s="183">
        <f t="shared" si="80"/>
        <v>0</v>
      </c>
      <c r="P269" s="183">
        <f t="shared" si="80"/>
        <v>0</v>
      </c>
      <c r="Q269" s="183">
        <f t="shared" si="80"/>
        <v>0</v>
      </c>
      <c r="R269" s="183">
        <f t="shared" ref="R269:AF284" si="81">Q269</f>
        <v>0</v>
      </c>
      <c r="S269" s="183">
        <f t="shared" si="81"/>
        <v>0</v>
      </c>
      <c r="T269" s="183">
        <f t="shared" si="81"/>
        <v>0</v>
      </c>
      <c r="U269" s="183">
        <f t="shared" si="81"/>
        <v>0</v>
      </c>
      <c r="V269" s="183">
        <f t="shared" si="81"/>
        <v>0</v>
      </c>
      <c r="W269" s="183">
        <f t="shared" si="81"/>
        <v>0</v>
      </c>
      <c r="X269" s="183">
        <f t="shared" si="81"/>
        <v>0</v>
      </c>
      <c r="Y269" s="183">
        <f t="shared" si="81"/>
        <v>0</v>
      </c>
      <c r="Z269" s="183">
        <f t="shared" si="81"/>
        <v>0</v>
      </c>
      <c r="AA269" s="183">
        <f t="shared" si="81"/>
        <v>0</v>
      </c>
      <c r="AB269" s="183">
        <f t="shared" si="81"/>
        <v>0</v>
      </c>
      <c r="AC269" s="183">
        <f t="shared" si="81"/>
        <v>0</v>
      </c>
      <c r="AD269" s="183">
        <f t="shared" si="81"/>
        <v>0</v>
      </c>
      <c r="AE269" s="183">
        <f t="shared" si="81"/>
        <v>0</v>
      </c>
      <c r="AF269" s="196">
        <f t="shared" si="81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ref="C270:R285" si="82">B270</f>
        <v>0</v>
      </c>
      <c r="D270" s="183">
        <f t="shared" si="82"/>
        <v>0</v>
      </c>
      <c r="E270" s="183">
        <f t="shared" si="82"/>
        <v>0</v>
      </c>
      <c r="F270" s="183">
        <f t="shared" si="82"/>
        <v>0</v>
      </c>
      <c r="G270" s="183">
        <f t="shared" si="82"/>
        <v>0</v>
      </c>
      <c r="H270" s="183">
        <f t="shared" si="82"/>
        <v>0</v>
      </c>
      <c r="I270" s="183">
        <f t="shared" si="82"/>
        <v>0</v>
      </c>
      <c r="J270" s="183">
        <f t="shared" si="82"/>
        <v>0</v>
      </c>
      <c r="K270" s="183">
        <f t="shared" si="82"/>
        <v>0</v>
      </c>
      <c r="L270" s="183">
        <f t="shared" si="82"/>
        <v>0</v>
      </c>
      <c r="M270" s="183">
        <f t="shared" si="82"/>
        <v>0</v>
      </c>
      <c r="N270" s="183">
        <f t="shared" si="82"/>
        <v>0</v>
      </c>
      <c r="O270" s="183">
        <f t="shared" si="82"/>
        <v>0</v>
      </c>
      <c r="P270" s="183">
        <f t="shared" si="82"/>
        <v>0</v>
      </c>
      <c r="Q270" s="183">
        <f t="shared" si="82"/>
        <v>0</v>
      </c>
      <c r="R270" s="183">
        <f t="shared" si="82"/>
        <v>0</v>
      </c>
      <c r="S270" s="183">
        <f t="shared" si="81"/>
        <v>0</v>
      </c>
      <c r="T270" s="183">
        <f t="shared" si="81"/>
        <v>0</v>
      </c>
      <c r="U270" s="183">
        <f t="shared" si="81"/>
        <v>0</v>
      </c>
      <c r="V270" s="183">
        <f t="shared" si="81"/>
        <v>0</v>
      </c>
      <c r="W270" s="183">
        <f t="shared" si="81"/>
        <v>0</v>
      </c>
      <c r="X270" s="183">
        <f t="shared" si="81"/>
        <v>0</v>
      </c>
      <c r="Y270" s="183">
        <f t="shared" si="81"/>
        <v>0</v>
      </c>
      <c r="Z270" s="183">
        <f t="shared" si="81"/>
        <v>0</v>
      </c>
      <c r="AA270" s="183">
        <f t="shared" si="81"/>
        <v>0</v>
      </c>
      <c r="AB270" s="183">
        <f t="shared" si="81"/>
        <v>0</v>
      </c>
      <c r="AC270" s="183">
        <f t="shared" si="81"/>
        <v>0</v>
      </c>
      <c r="AD270" s="183">
        <f t="shared" si="81"/>
        <v>0</v>
      </c>
      <c r="AE270" s="183">
        <f t="shared" si="81"/>
        <v>0</v>
      </c>
      <c r="AF270" s="196">
        <f t="shared" si="81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82"/>
        <v>0</v>
      </c>
      <c r="D271" s="183">
        <f t="shared" si="82"/>
        <v>0</v>
      </c>
      <c r="E271" s="183">
        <f t="shared" si="82"/>
        <v>0</v>
      </c>
      <c r="F271" s="183">
        <f t="shared" si="82"/>
        <v>0</v>
      </c>
      <c r="G271" s="183">
        <f t="shared" si="82"/>
        <v>0</v>
      </c>
      <c r="H271" s="183">
        <f t="shared" si="82"/>
        <v>0</v>
      </c>
      <c r="I271" s="183">
        <f t="shared" si="82"/>
        <v>0</v>
      </c>
      <c r="J271" s="183">
        <f t="shared" si="82"/>
        <v>0</v>
      </c>
      <c r="K271" s="183">
        <f t="shared" si="82"/>
        <v>0</v>
      </c>
      <c r="L271" s="183">
        <f t="shared" si="82"/>
        <v>0</v>
      </c>
      <c r="M271" s="183">
        <f t="shared" si="82"/>
        <v>0</v>
      </c>
      <c r="N271" s="183">
        <f t="shared" si="82"/>
        <v>0</v>
      </c>
      <c r="O271" s="183">
        <f t="shared" si="82"/>
        <v>0</v>
      </c>
      <c r="P271" s="183">
        <f t="shared" si="82"/>
        <v>0</v>
      </c>
      <c r="Q271" s="183">
        <f t="shared" si="82"/>
        <v>0</v>
      </c>
      <c r="R271" s="183">
        <f t="shared" si="82"/>
        <v>0</v>
      </c>
      <c r="S271" s="183">
        <f t="shared" si="81"/>
        <v>0</v>
      </c>
      <c r="T271" s="183">
        <f t="shared" si="81"/>
        <v>0</v>
      </c>
      <c r="U271" s="183">
        <f t="shared" si="81"/>
        <v>0</v>
      </c>
      <c r="V271" s="183">
        <f t="shared" si="81"/>
        <v>0</v>
      </c>
      <c r="W271" s="183">
        <f t="shared" si="81"/>
        <v>0</v>
      </c>
      <c r="X271" s="183">
        <f t="shared" si="81"/>
        <v>0</v>
      </c>
      <c r="Y271" s="183">
        <f t="shared" si="81"/>
        <v>0</v>
      </c>
      <c r="Z271" s="183">
        <f t="shared" si="81"/>
        <v>0</v>
      </c>
      <c r="AA271" s="183">
        <f t="shared" si="81"/>
        <v>0</v>
      </c>
      <c r="AB271" s="183">
        <f t="shared" si="81"/>
        <v>0</v>
      </c>
      <c r="AC271" s="183">
        <f t="shared" si="81"/>
        <v>0</v>
      </c>
      <c r="AD271" s="183">
        <f t="shared" si="81"/>
        <v>0</v>
      </c>
      <c r="AE271" s="183">
        <f t="shared" si="81"/>
        <v>0</v>
      </c>
      <c r="AF271" s="196">
        <f t="shared" si="81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82"/>
        <v>0</v>
      </c>
      <c r="D272" s="183">
        <f t="shared" si="82"/>
        <v>0</v>
      </c>
      <c r="E272" s="183">
        <f t="shared" si="82"/>
        <v>0</v>
      </c>
      <c r="F272" s="183">
        <f t="shared" si="82"/>
        <v>0</v>
      </c>
      <c r="G272" s="183">
        <f t="shared" si="82"/>
        <v>0</v>
      </c>
      <c r="H272" s="183">
        <f t="shared" si="82"/>
        <v>0</v>
      </c>
      <c r="I272" s="183">
        <f t="shared" si="82"/>
        <v>0</v>
      </c>
      <c r="J272" s="183">
        <f t="shared" si="82"/>
        <v>0</v>
      </c>
      <c r="K272" s="183">
        <f t="shared" si="82"/>
        <v>0</v>
      </c>
      <c r="L272" s="183">
        <f t="shared" si="82"/>
        <v>0</v>
      </c>
      <c r="M272" s="183">
        <f t="shared" si="82"/>
        <v>0</v>
      </c>
      <c r="N272" s="183">
        <f t="shared" si="82"/>
        <v>0</v>
      </c>
      <c r="O272" s="183">
        <f t="shared" si="82"/>
        <v>0</v>
      </c>
      <c r="P272" s="183">
        <f t="shared" si="82"/>
        <v>0</v>
      </c>
      <c r="Q272" s="183">
        <f t="shared" si="82"/>
        <v>0</v>
      </c>
      <c r="R272" s="183">
        <f t="shared" si="82"/>
        <v>0</v>
      </c>
      <c r="S272" s="183">
        <f t="shared" si="81"/>
        <v>0</v>
      </c>
      <c r="T272" s="183">
        <f t="shared" si="81"/>
        <v>0</v>
      </c>
      <c r="U272" s="183">
        <f t="shared" si="81"/>
        <v>0</v>
      </c>
      <c r="V272" s="183">
        <f t="shared" si="81"/>
        <v>0</v>
      </c>
      <c r="W272" s="183">
        <f t="shared" si="81"/>
        <v>0</v>
      </c>
      <c r="X272" s="183">
        <f t="shared" si="81"/>
        <v>0</v>
      </c>
      <c r="Y272" s="183">
        <f t="shared" si="81"/>
        <v>0</v>
      </c>
      <c r="Z272" s="183">
        <f t="shared" si="81"/>
        <v>0</v>
      </c>
      <c r="AA272" s="183">
        <f t="shared" si="81"/>
        <v>0</v>
      </c>
      <c r="AB272" s="183">
        <f t="shared" si="81"/>
        <v>0</v>
      </c>
      <c r="AC272" s="183">
        <f t="shared" si="81"/>
        <v>0</v>
      </c>
      <c r="AD272" s="183">
        <f t="shared" si="81"/>
        <v>0</v>
      </c>
      <c r="AE272" s="183">
        <f t="shared" si="81"/>
        <v>0</v>
      </c>
      <c r="AF272" s="196">
        <f t="shared" si="81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82"/>
        <v>0</v>
      </c>
      <c r="D273" s="183">
        <f t="shared" si="82"/>
        <v>0</v>
      </c>
      <c r="E273" s="183">
        <f t="shared" si="82"/>
        <v>0</v>
      </c>
      <c r="F273" s="183">
        <f t="shared" si="82"/>
        <v>0</v>
      </c>
      <c r="G273" s="183">
        <f t="shared" si="82"/>
        <v>0</v>
      </c>
      <c r="H273" s="183">
        <f t="shared" si="82"/>
        <v>0</v>
      </c>
      <c r="I273" s="183">
        <f t="shared" si="82"/>
        <v>0</v>
      </c>
      <c r="J273" s="183">
        <f t="shared" si="82"/>
        <v>0</v>
      </c>
      <c r="K273" s="183">
        <f t="shared" si="82"/>
        <v>0</v>
      </c>
      <c r="L273" s="183">
        <f t="shared" si="82"/>
        <v>0</v>
      </c>
      <c r="M273" s="183">
        <f t="shared" si="82"/>
        <v>0</v>
      </c>
      <c r="N273" s="183">
        <f t="shared" si="82"/>
        <v>0</v>
      </c>
      <c r="O273" s="183">
        <f t="shared" si="82"/>
        <v>0</v>
      </c>
      <c r="P273" s="183">
        <f t="shared" si="82"/>
        <v>0</v>
      </c>
      <c r="Q273" s="183">
        <f t="shared" si="82"/>
        <v>0</v>
      </c>
      <c r="R273" s="183">
        <f t="shared" si="82"/>
        <v>0</v>
      </c>
      <c r="S273" s="183">
        <f t="shared" si="81"/>
        <v>0</v>
      </c>
      <c r="T273" s="183">
        <f t="shared" si="81"/>
        <v>0</v>
      </c>
      <c r="U273" s="183">
        <f t="shared" si="81"/>
        <v>0</v>
      </c>
      <c r="V273" s="183">
        <f t="shared" si="81"/>
        <v>0</v>
      </c>
      <c r="W273" s="183">
        <f t="shared" si="81"/>
        <v>0</v>
      </c>
      <c r="X273" s="183">
        <f t="shared" si="81"/>
        <v>0</v>
      </c>
      <c r="Y273" s="183">
        <f t="shared" si="81"/>
        <v>0</v>
      </c>
      <c r="Z273" s="183">
        <f t="shared" si="81"/>
        <v>0</v>
      </c>
      <c r="AA273" s="183">
        <f t="shared" si="81"/>
        <v>0</v>
      </c>
      <c r="AB273" s="183">
        <f t="shared" si="81"/>
        <v>0</v>
      </c>
      <c r="AC273" s="183">
        <f t="shared" si="81"/>
        <v>0</v>
      </c>
      <c r="AD273" s="183">
        <f t="shared" si="81"/>
        <v>0</v>
      </c>
      <c r="AE273" s="183">
        <f t="shared" si="81"/>
        <v>0</v>
      </c>
      <c r="AF273" s="196">
        <f t="shared" si="81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82"/>
        <v>0</v>
      </c>
      <c r="D274" s="183">
        <f t="shared" si="82"/>
        <v>0</v>
      </c>
      <c r="E274" s="183">
        <f t="shared" si="82"/>
        <v>0</v>
      </c>
      <c r="F274" s="183">
        <f t="shared" si="82"/>
        <v>0</v>
      </c>
      <c r="G274" s="183">
        <f t="shared" si="82"/>
        <v>0</v>
      </c>
      <c r="H274" s="183">
        <f t="shared" si="82"/>
        <v>0</v>
      </c>
      <c r="I274" s="183">
        <f t="shared" si="82"/>
        <v>0</v>
      </c>
      <c r="J274" s="183">
        <f t="shared" si="82"/>
        <v>0</v>
      </c>
      <c r="K274" s="183">
        <f t="shared" si="82"/>
        <v>0</v>
      </c>
      <c r="L274" s="183">
        <f t="shared" si="82"/>
        <v>0</v>
      </c>
      <c r="M274" s="183">
        <f t="shared" si="82"/>
        <v>0</v>
      </c>
      <c r="N274" s="183">
        <f t="shared" si="82"/>
        <v>0</v>
      </c>
      <c r="O274" s="183">
        <f t="shared" si="82"/>
        <v>0</v>
      </c>
      <c r="P274" s="183">
        <f t="shared" si="82"/>
        <v>0</v>
      </c>
      <c r="Q274" s="183">
        <f t="shared" si="82"/>
        <v>0</v>
      </c>
      <c r="R274" s="183">
        <f t="shared" si="82"/>
        <v>0</v>
      </c>
      <c r="S274" s="183">
        <f t="shared" si="81"/>
        <v>0</v>
      </c>
      <c r="T274" s="183">
        <f t="shared" si="81"/>
        <v>0</v>
      </c>
      <c r="U274" s="183">
        <f t="shared" si="81"/>
        <v>0</v>
      </c>
      <c r="V274" s="183">
        <f t="shared" si="81"/>
        <v>0</v>
      </c>
      <c r="W274" s="183">
        <f t="shared" si="81"/>
        <v>0</v>
      </c>
      <c r="X274" s="183">
        <f t="shared" si="81"/>
        <v>0</v>
      </c>
      <c r="Y274" s="183">
        <f t="shared" si="81"/>
        <v>0</v>
      </c>
      <c r="Z274" s="183">
        <f t="shared" si="81"/>
        <v>0</v>
      </c>
      <c r="AA274" s="183">
        <f t="shared" si="81"/>
        <v>0</v>
      </c>
      <c r="AB274" s="183">
        <f t="shared" si="81"/>
        <v>0</v>
      </c>
      <c r="AC274" s="183">
        <f t="shared" si="81"/>
        <v>0</v>
      </c>
      <c r="AD274" s="183">
        <f t="shared" si="81"/>
        <v>0</v>
      </c>
      <c r="AE274" s="183">
        <f t="shared" si="81"/>
        <v>0</v>
      </c>
      <c r="AF274" s="196">
        <f t="shared" si="81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82"/>
        <v>0</v>
      </c>
      <c r="D275" s="183">
        <f t="shared" si="82"/>
        <v>0</v>
      </c>
      <c r="E275" s="183">
        <f t="shared" si="82"/>
        <v>0</v>
      </c>
      <c r="F275" s="183">
        <f t="shared" si="82"/>
        <v>0</v>
      </c>
      <c r="G275" s="183">
        <f t="shared" si="82"/>
        <v>0</v>
      </c>
      <c r="H275" s="183">
        <f t="shared" si="82"/>
        <v>0</v>
      </c>
      <c r="I275" s="183">
        <f t="shared" si="82"/>
        <v>0</v>
      </c>
      <c r="J275" s="183">
        <f t="shared" si="82"/>
        <v>0</v>
      </c>
      <c r="K275" s="183">
        <f t="shared" si="82"/>
        <v>0</v>
      </c>
      <c r="L275" s="183">
        <f t="shared" si="82"/>
        <v>0</v>
      </c>
      <c r="M275" s="183">
        <f t="shared" si="82"/>
        <v>0</v>
      </c>
      <c r="N275" s="183">
        <f t="shared" si="82"/>
        <v>0</v>
      </c>
      <c r="O275" s="183">
        <f t="shared" si="82"/>
        <v>0</v>
      </c>
      <c r="P275" s="183">
        <f t="shared" si="82"/>
        <v>0</v>
      </c>
      <c r="Q275" s="183">
        <f t="shared" si="82"/>
        <v>0</v>
      </c>
      <c r="R275" s="183">
        <f t="shared" si="82"/>
        <v>0</v>
      </c>
      <c r="S275" s="183">
        <f t="shared" si="81"/>
        <v>0</v>
      </c>
      <c r="T275" s="183">
        <f t="shared" si="81"/>
        <v>0</v>
      </c>
      <c r="U275" s="183">
        <f t="shared" si="81"/>
        <v>0</v>
      </c>
      <c r="V275" s="183">
        <f t="shared" si="81"/>
        <v>0</v>
      </c>
      <c r="W275" s="183">
        <f t="shared" si="81"/>
        <v>0</v>
      </c>
      <c r="X275" s="183">
        <f t="shared" si="81"/>
        <v>0</v>
      </c>
      <c r="Y275" s="183">
        <f t="shared" si="81"/>
        <v>0</v>
      </c>
      <c r="Z275" s="183">
        <f t="shared" si="81"/>
        <v>0</v>
      </c>
      <c r="AA275" s="183">
        <f t="shared" si="81"/>
        <v>0</v>
      </c>
      <c r="AB275" s="183">
        <f t="shared" si="81"/>
        <v>0</v>
      </c>
      <c r="AC275" s="183">
        <f t="shared" si="81"/>
        <v>0</v>
      </c>
      <c r="AD275" s="183">
        <f t="shared" si="81"/>
        <v>0</v>
      </c>
      <c r="AE275" s="183">
        <f t="shared" si="81"/>
        <v>0</v>
      </c>
      <c r="AF275" s="196">
        <f t="shared" si="81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82"/>
        <v>0</v>
      </c>
      <c r="D276" s="183">
        <f t="shared" si="82"/>
        <v>0</v>
      </c>
      <c r="E276" s="183">
        <f t="shared" si="82"/>
        <v>0</v>
      </c>
      <c r="F276" s="183">
        <f t="shared" si="82"/>
        <v>0</v>
      </c>
      <c r="G276" s="183">
        <f t="shared" si="82"/>
        <v>0</v>
      </c>
      <c r="H276" s="183">
        <f t="shared" si="82"/>
        <v>0</v>
      </c>
      <c r="I276" s="183">
        <f t="shared" si="82"/>
        <v>0</v>
      </c>
      <c r="J276" s="183">
        <f t="shared" si="82"/>
        <v>0</v>
      </c>
      <c r="K276" s="183">
        <f t="shared" si="82"/>
        <v>0</v>
      </c>
      <c r="L276" s="183">
        <f t="shared" si="82"/>
        <v>0</v>
      </c>
      <c r="M276" s="183">
        <f t="shared" si="82"/>
        <v>0</v>
      </c>
      <c r="N276" s="183">
        <f t="shared" si="82"/>
        <v>0</v>
      </c>
      <c r="O276" s="183">
        <f t="shared" si="82"/>
        <v>0</v>
      </c>
      <c r="P276" s="183">
        <f t="shared" si="82"/>
        <v>0</v>
      </c>
      <c r="Q276" s="183">
        <f t="shared" si="82"/>
        <v>0</v>
      </c>
      <c r="R276" s="183">
        <f t="shared" si="82"/>
        <v>0</v>
      </c>
      <c r="S276" s="183">
        <f t="shared" si="81"/>
        <v>0</v>
      </c>
      <c r="T276" s="183">
        <f t="shared" si="81"/>
        <v>0</v>
      </c>
      <c r="U276" s="183">
        <f t="shared" si="81"/>
        <v>0</v>
      </c>
      <c r="V276" s="183">
        <f t="shared" si="81"/>
        <v>0</v>
      </c>
      <c r="W276" s="183">
        <f t="shared" si="81"/>
        <v>0</v>
      </c>
      <c r="X276" s="183">
        <f t="shared" si="81"/>
        <v>0</v>
      </c>
      <c r="Y276" s="183">
        <f t="shared" si="81"/>
        <v>0</v>
      </c>
      <c r="Z276" s="183">
        <f t="shared" si="81"/>
        <v>0</v>
      </c>
      <c r="AA276" s="183">
        <f t="shared" si="81"/>
        <v>0</v>
      </c>
      <c r="AB276" s="183">
        <f t="shared" si="81"/>
        <v>0</v>
      </c>
      <c r="AC276" s="183">
        <f t="shared" si="81"/>
        <v>0</v>
      </c>
      <c r="AD276" s="183">
        <f t="shared" si="81"/>
        <v>0</v>
      </c>
      <c r="AE276" s="183">
        <f t="shared" si="81"/>
        <v>0</v>
      </c>
      <c r="AF276" s="196">
        <f t="shared" si="81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82"/>
        <v>0</v>
      </c>
      <c r="D277" s="183">
        <f t="shared" si="82"/>
        <v>0</v>
      </c>
      <c r="E277" s="183">
        <f t="shared" si="82"/>
        <v>0</v>
      </c>
      <c r="F277" s="183">
        <f t="shared" si="82"/>
        <v>0</v>
      </c>
      <c r="G277" s="183">
        <f t="shared" si="82"/>
        <v>0</v>
      </c>
      <c r="H277" s="183">
        <f t="shared" si="82"/>
        <v>0</v>
      </c>
      <c r="I277" s="183">
        <f t="shared" si="82"/>
        <v>0</v>
      </c>
      <c r="J277" s="183">
        <f t="shared" si="82"/>
        <v>0</v>
      </c>
      <c r="K277" s="183">
        <f t="shared" si="82"/>
        <v>0</v>
      </c>
      <c r="L277" s="183">
        <f t="shared" si="82"/>
        <v>0</v>
      </c>
      <c r="M277" s="183">
        <f t="shared" si="82"/>
        <v>0</v>
      </c>
      <c r="N277" s="183">
        <f t="shared" si="82"/>
        <v>0</v>
      </c>
      <c r="O277" s="183">
        <f t="shared" si="82"/>
        <v>0</v>
      </c>
      <c r="P277" s="183">
        <f t="shared" si="82"/>
        <v>0</v>
      </c>
      <c r="Q277" s="183">
        <f t="shared" si="82"/>
        <v>0</v>
      </c>
      <c r="R277" s="183">
        <f t="shared" si="82"/>
        <v>0</v>
      </c>
      <c r="S277" s="183">
        <f t="shared" si="81"/>
        <v>0</v>
      </c>
      <c r="T277" s="183">
        <f t="shared" si="81"/>
        <v>0</v>
      </c>
      <c r="U277" s="183">
        <f t="shared" si="81"/>
        <v>0</v>
      </c>
      <c r="V277" s="183">
        <f t="shared" si="81"/>
        <v>0</v>
      </c>
      <c r="W277" s="183">
        <f t="shared" si="81"/>
        <v>0</v>
      </c>
      <c r="X277" s="183">
        <f t="shared" si="81"/>
        <v>0</v>
      </c>
      <c r="Y277" s="183">
        <f t="shared" si="81"/>
        <v>0</v>
      </c>
      <c r="Z277" s="183">
        <f t="shared" si="81"/>
        <v>0</v>
      </c>
      <c r="AA277" s="183">
        <f t="shared" si="81"/>
        <v>0</v>
      </c>
      <c r="AB277" s="183">
        <f t="shared" si="81"/>
        <v>0</v>
      </c>
      <c r="AC277" s="183">
        <f t="shared" si="81"/>
        <v>0</v>
      </c>
      <c r="AD277" s="183">
        <f t="shared" si="81"/>
        <v>0</v>
      </c>
      <c r="AE277" s="183">
        <f t="shared" si="81"/>
        <v>0</v>
      </c>
      <c r="AF277" s="196">
        <f t="shared" si="81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82"/>
        <v>0</v>
      </c>
      <c r="D278" s="183">
        <f t="shared" si="82"/>
        <v>0</v>
      </c>
      <c r="E278" s="183">
        <f t="shared" si="82"/>
        <v>0</v>
      </c>
      <c r="F278" s="183">
        <f t="shared" si="82"/>
        <v>0</v>
      </c>
      <c r="G278" s="183">
        <f t="shared" si="82"/>
        <v>0</v>
      </c>
      <c r="H278" s="183">
        <f t="shared" si="82"/>
        <v>0</v>
      </c>
      <c r="I278" s="183">
        <f t="shared" si="82"/>
        <v>0</v>
      </c>
      <c r="J278" s="183">
        <f t="shared" si="82"/>
        <v>0</v>
      </c>
      <c r="K278" s="183">
        <f t="shared" si="82"/>
        <v>0</v>
      </c>
      <c r="L278" s="183">
        <f t="shared" si="82"/>
        <v>0</v>
      </c>
      <c r="M278" s="183">
        <f t="shared" si="82"/>
        <v>0</v>
      </c>
      <c r="N278" s="183">
        <f t="shared" si="82"/>
        <v>0</v>
      </c>
      <c r="O278" s="183">
        <f t="shared" si="82"/>
        <v>0</v>
      </c>
      <c r="P278" s="183">
        <f t="shared" si="82"/>
        <v>0</v>
      </c>
      <c r="Q278" s="183">
        <f t="shared" si="82"/>
        <v>0</v>
      </c>
      <c r="R278" s="183">
        <f t="shared" si="82"/>
        <v>0</v>
      </c>
      <c r="S278" s="183">
        <f t="shared" si="81"/>
        <v>0</v>
      </c>
      <c r="T278" s="183">
        <f t="shared" si="81"/>
        <v>0</v>
      </c>
      <c r="U278" s="183">
        <f t="shared" si="81"/>
        <v>0</v>
      </c>
      <c r="V278" s="183">
        <f t="shared" si="81"/>
        <v>0</v>
      </c>
      <c r="W278" s="183">
        <f t="shared" si="81"/>
        <v>0</v>
      </c>
      <c r="X278" s="183">
        <f t="shared" si="81"/>
        <v>0</v>
      </c>
      <c r="Y278" s="183">
        <f t="shared" si="81"/>
        <v>0</v>
      </c>
      <c r="Z278" s="183">
        <f t="shared" si="81"/>
        <v>0</v>
      </c>
      <c r="AA278" s="183">
        <f t="shared" si="81"/>
        <v>0</v>
      </c>
      <c r="AB278" s="183">
        <f t="shared" si="81"/>
        <v>0</v>
      </c>
      <c r="AC278" s="183">
        <f t="shared" si="81"/>
        <v>0</v>
      </c>
      <c r="AD278" s="183">
        <f t="shared" si="81"/>
        <v>0</v>
      </c>
      <c r="AE278" s="183">
        <f t="shared" si="81"/>
        <v>0</v>
      </c>
      <c r="AF278" s="196">
        <f t="shared" si="81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82"/>
        <v>0</v>
      </c>
      <c r="D279" s="183">
        <f t="shared" si="82"/>
        <v>0</v>
      </c>
      <c r="E279" s="183">
        <f t="shared" si="82"/>
        <v>0</v>
      </c>
      <c r="F279" s="183">
        <f t="shared" si="82"/>
        <v>0</v>
      </c>
      <c r="G279" s="183">
        <f t="shared" si="82"/>
        <v>0</v>
      </c>
      <c r="H279" s="183">
        <f t="shared" si="82"/>
        <v>0</v>
      </c>
      <c r="I279" s="183">
        <f t="shared" si="82"/>
        <v>0</v>
      </c>
      <c r="J279" s="183">
        <f t="shared" si="82"/>
        <v>0</v>
      </c>
      <c r="K279" s="183">
        <f t="shared" si="82"/>
        <v>0</v>
      </c>
      <c r="L279" s="183">
        <f t="shared" si="82"/>
        <v>0</v>
      </c>
      <c r="M279" s="183">
        <f t="shared" si="82"/>
        <v>0</v>
      </c>
      <c r="N279" s="183">
        <f t="shared" si="82"/>
        <v>0</v>
      </c>
      <c r="O279" s="183">
        <f t="shared" si="82"/>
        <v>0</v>
      </c>
      <c r="P279" s="183">
        <f t="shared" si="82"/>
        <v>0</v>
      </c>
      <c r="Q279" s="183">
        <f t="shared" si="82"/>
        <v>0</v>
      </c>
      <c r="R279" s="183">
        <f t="shared" si="82"/>
        <v>0</v>
      </c>
      <c r="S279" s="183">
        <f t="shared" si="81"/>
        <v>0</v>
      </c>
      <c r="T279" s="183">
        <f t="shared" si="81"/>
        <v>0</v>
      </c>
      <c r="U279" s="183">
        <f t="shared" si="81"/>
        <v>0</v>
      </c>
      <c r="V279" s="183">
        <f t="shared" si="81"/>
        <v>0</v>
      </c>
      <c r="W279" s="183">
        <f t="shared" si="81"/>
        <v>0</v>
      </c>
      <c r="X279" s="183">
        <f t="shared" si="81"/>
        <v>0</v>
      </c>
      <c r="Y279" s="183">
        <f t="shared" si="81"/>
        <v>0</v>
      </c>
      <c r="Z279" s="183">
        <f t="shared" si="81"/>
        <v>0</v>
      </c>
      <c r="AA279" s="183">
        <f t="shared" si="81"/>
        <v>0</v>
      </c>
      <c r="AB279" s="183">
        <f t="shared" si="81"/>
        <v>0</v>
      </c>
      <c r="AC279" s="183">
        <f t="shared" si="81"/>
        <v>0</v>
      </c>
      <c r="AD279" s="183">
        <f t="shared" si="81"/>
        <v>0</v>
      </c>
      <c r="AE279" s="183">
        <f t="shared" si="81"/>
        <v>0</v>
      </c>
      <c r="AF279" s="196">
        <f t="shared" si="81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82"/>
        <v>0</v>
      </c>
      <c r="D280" s="183">
        <f t="shared" si="82"/>
        <v>0</v>
      </c>
      <c r="E280" s="183">
        <f t="shared" si="82"/>
        <v>0</v>
      </c>
      <c r="F280" s="183">
        <f t="shared" si="82"/>
        <v>0</v>
      </c>
      <c r="G280" s="183">
        <f t="shared" si="82"/>
        <v>0</v>
      </c>
      <c r="H280" s="183">
        <f t="shared" si="82"/>
        <v>0</v>
      </c>
      <c r="I280" s="183">
        <f t="shared" si="82"/>
        <v>0</v>
      </c>
      <c r="J280" s="183">
        <f t="shared" si="82"/>
        <v>0</v>
      </c>
      <c r="K280" s="183">
        <f t="shared" si="82"/>
        <v>0</v>
      </c>
      <c r="L280" s="183">
        <f t="shared" si="82"/>
        <v>0</v>
      </c>
      <c r="M280" s="183">
        <f t="shared" si="82"/>
        <v>0</v>
      </c>
      <c r="N280" s="183">
        <f t="shared" si="82"/>
        <v>0</v>
      </c>
      <c r="O280" s="183">
        <f t="shared" si="82"/>
        <v>0</v>
      </c>
      <c r="P280" s="183">
        <f t="shared" si="82"/>
        <v>0</v>
      </c>
      <c r="Q280" s="183">
        <f t="shared" si="82"/>
        <v>0</v>
      </c>
      <c r="R280" s="183">
        <f t="shared" si="82"/>
        <v>0</v>
      </c>
      <c r="S280" s="183">
        <f t="shared" si="81"/>
        <v>0</v>
      </c>
      <c r="T280" s="183">
        <f t="shared" si="81"/>
        <v>0</v>
      </c>
      <c r="U280" s="183">
        <f t="shared" si="81"/>
        <v>0</v>
      </c>
      <c r="V280" s="183">
        <f t="shared" si="81"/>
        <v>0</v>
      </c>
      <c r="W280" s="183">
        <f t="shared" si="81"/>
        <v>0</v>
      </c>
      <c r="X280" s="183">
        <f t="shared" si="81"/>
        <v>0</v>
      </c>
      <c r="Y280" s="183">
        <f t="shared" si="81"/>
        <v>0</v>
      </c>
      <c r="Z280" s="183">
        <f t="shared" si="81"/>
        <v>0</v>
      </c>
      <c r="AA280" s="183">
        <f t="shared" si="81"/>
        <v>0</v>
      </c>
      <c r="AB280" s="183">
        <f t="shared" si="81"/>
        <v>0</v>
      </c>
      <c r="AC280" s="183">
        <f t="shared" si="81"/>
        <v>0</v>
      </c>
      <c r="AD280" s="183">
        <f t="shared" si="81"/>
        <v>0</v>
      </c>
      <c r="AE280" s="183">
        <f t="shared" si="81"/>
        <v>0</v>
      </c>
      <c r="AF280" s="196">
        <f t="shared" si="81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82"/>
        <v>0</v>
      </c>
      <c r="D281" s="183">
        <f t="shared" si="82"/>
        <v>0</v>
      </c>
      <c r="E281" s="183">
        <f t="shared" si="82"/>
        <v>0</v>
      </c>
      <c r="F281" s="183">
        <f t="shared" si="82"/>
        <v>0</v>
      </c>
      <c r="G281" s="183">
        <f t="shared" si="82"/>
        <v>0</v>
      </c>
      <c r="H281" s="183">
        <f t="shared" si="82"/>
        <v>0</v>
      </c>
      <c r="I281" s="183">
        <f t="shared" si="82"/>
        <v>0</v>
      </c>
      <c r="J281" s="183">
        <f t="shared" si="82"/>
        <v>0</v>
      </c>
      <c r="K281" s="183">
        <f t="shared" si="82"/>
        <v>0</v>
      </c>
      <c r="L281" s="183">
        <f t="shared" si="82"/>
        <v>0</v>
      </c>
      <c r="M281" s="183">
        <f t="shared" si="82"/>
        <v>0</v>
      </c>
      <c r="N281" s="183">
        <f t="shared" si="82"/>
        <v>0</v>
      </c>
      <c r="O281" s="183">
        <f t="shared" si="82"/>
        <v>0</v>
      </c>
      <c r="P281" s="183">
        <f t="shared" si="82"/>
        <v>0</v>
      </c>
      <c r="Q281" s="183">
        <f t="shared" si="82"/>
        <v>0</v>
      </c>
      <c r="R281" s="183">
        <f t="shared" si="82"/>
        <v>0</v>
      </c>
      <c r="S281" s="183">
        <f t="shared" si="81"/>
        <v>0</v>
      </c>
      <c r="T281" s="183">
        <f t="shared" si="81"/>
        <v>0</v>
      </c>
      <c r="U281" s="183">
        <f t="shared" si="81"/>
        <v>0</v>
      </c>
      <c r="V281" s="183">
        <f t="shared" si="81"/>
        <v>0</v>
      </c>
      <c r="W281" s="183">
        <f t="shared" si="81"/>
        <v>0</v>
      </c>
      <c r="X281" s="183">
        <f t="shared" si="81"/>
        <v>0</v>
      </c>
      <c r="Y281" s="183">
        <f t="shared" si="81"/>
        <v>0</v>
      </c>
      <c r="Z281" s="183">
        <f t="shared" si="81"/>
        <v>0</v>
      </c>
      <c r="AA281" s="183">
        <f t="shared" si="81"/>
        <v>0</v>
      </c>
      <c r="AB281" s="183">
        <f t="shared" si="81"/>
        <v>0</v>
      </c>
      <c r="AC281" s="183">
        <f t="shared" si="81"/>
        <v>0</v>
      </c>
      <c r="AD281" s="183">
        <f t="shared" si="81"/>
        <v>0</v>
      </c>
      <c r="AE281" s="183">
        <f t="shared" si="81"/>
        <v>0</v>
      </c>
      <c r="AF281" s="196">
        <f t="shared" si="81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82"/>
        <v>0</v>
      </c>
      <c r="D282" s="183">
        <f t="shared" si="82"/>
        <v>0</v>
      </c>
      <c r="E282" s="183">
        <f t="shared" si="82"/>
        <v>0</v>
      </c>
      <c r="F282" s="183">
        <f t="shared" si="82"/>
        <v>0</v>
      </c>
      <c r="G282" s="183">
        <f t="shared" si="82"/>
        <v>0</v>
      </c>
      <c r="H282" s="183">
        <f t="shared" si="82"/>
        <v>0</v>
      </c>
      <c r="I282" s="183">
        <f t="shared" si="82"/>
        <v>0</v>
      </c>
      <c r="J282" s="183">
        <f t="shared" si="82"/>
        <v>0</v>
      </c>
      <c r="K282" s="183">
        <f t="shared" si="82"/>
        <v>0</v>
      </c>
      <c r="L282" s="183">
        <f t="shared" si="82"/>
        <v>0</v>
      </c>
      <c r="M282" s="183">
        <f t="shared" si="82"/>
        <v>0</v>
      </c>
      <c r="N282" s="183">
        <f t="shared" si="82"/>
        <v>0</v>
      </c>
      <c r="O282" s="183">
        <f t="shared" si="82"/>
        <v>0</v>
      </c>
      <c r="P282" s="183">
        <f t="shared" si="82"/>
        <v>0</v>
      </c>
      <c r="Q282" s="183">
        <f t="shared" si="82"/>
        <v>0</v>
      </c>
      <c r="R282" s="183">
        <f t="shared" si="82"/>
        <v>0</v>
      </c>
      <c r="S282" s="183">
        <f t="shared" si="81"/>
        <v>0</v>
      </c>
      <c r="T282" s="183">
        <f t="shared" si="81"/>
        <v>0</v>
      </c>
      <c r="U282" s="183">
        <f t="shared" si="81"/>
        <v>0</v>
      </c>
      <c r="V282" s="183">
        <f t="shared" si="81"/>
        <v>0</v>
      </c>
      <c r="W282" s="183">
        <f t="shared" si="81"/>
        <v>0</v>
      </c>
      <c r="X282" s="183">
        <f t="shared" si="81"/>
        <v>0</v>
      </c>
      <c r="Y282" s="183">
        <f t="shared" si="81"/>
        <v>0</v>
      </c>
      <c r="Z282" s="183">
        <f t="shared" si="81"/>
        <v>0</v>
      </c>
      <c r="AA282" s="183">
        <f t="shared" si="81"/>
        <v>0</v>
      </c>
      <c r="AB282" s="183">
        <f t="shared" si="81"/>
        <v>0</v>
      </c>
      <c r="AC282" s="183">
        <f t="shared" si="81"/>
        <v>0</v>
      </c>
      <c r="AD282" s="183">
        <f t="shared" si="81"/>
        <v>0</v>
      </c>
      <c r="AE282" s="183">
        <f t="shared" si="81"/>
        <v>0</v>
      </c>
      <c r="AF282" s="196">
        <f t="shared" si="81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82"/>
        <v>0</v>
      </c>
      <c r="D283" s="183">
        <f t="shared" si="82"/>
        <v>0</v>
      </c>
      <c r="E283" s="183">
        <f t="shared" si="82"/>
        <v>0</v>
      </c>
      <c r="F283" s="183">
        <f t="shared" si="82"/>
        <v>0</v>
      </c>
      <c r="G283" s="183">
        <f t="shared" si="82"/>
        <v>0</v>
      </c>
      <c r="H283" s="183">
        <f t="shared" si="82"/>
        <v>0</v>
      </c>
      <c r="I283" s="183">
        <f t="shared" si="82"/>
        <v>0</v>
      </c>
      <c r="J283" s="183">
        <f t="shared" si="82"/>
        <v>0</v>
      </c>
      <c r="K283" s="183">
        <f t="shared" si="82"/>
        <v>0</v>
      </c>
      <c r="L283" s="183">
        <f t="shared" si="82"/>
        <v>0</v>
      </c>
      <c r="M283" s="183">
        <f t="shared" si="82"/>
        <v>0</v>
      </c>
      <c r="N283" s="183">
        <f t="shared" si="82"/>
        <v>0</v>
      </c>
      <c r="O283" s="183">
        <f t="shared" si="82"/>
        <v>0</v>
      </c>
      <c r="P283" s="183">
        <f t="shared" si="82"/>
        <v>0</v>
      </c>
      <c r="Q283" s="183">
        <f t="shared" si="82"/>
        <v>0</v>
      </c>
      <c r="R283" s="183">
        <f t="shared" si="82"/>
        <v>0</v>
      </c>
      <c r="S283" s="183">
        <f t="shared" si="81"/>
        <v>0</v>
      </c>
      <c r="T283" s="183">
        <f t="shared" si="81"/>
        <v>0</v>
      </c>
      <c r="U283" s="183">
        <f t="shared" si="81"/>
        <v>0</v>
      </c>
      <c r="V283" s="183">
        <f t="shared" si="81"/>
        <v>0</v>
      </c>
      <c r="W283" s="183">
        <f t="shared" si="81"/>
        <v>0</v>
      </c>
      <c r="X283" s="183">
        <f t="shared" si="81"/>
        <v>0</v>
      </c>
      <c r="Y283" s="183">
        <f t="shared" si="81"/>
        <v>0</v>
      </c>
      <c r="Z283" s="183">
        <f t="shared" si="81"/>
        <v>0</v>
      </c>
      <c r="AA283" s="183">
        <f t="shared" si="81"/>
        <v>0</v>
      </c>
      <c r="AB283" s="183">
        <f t="shared" si="81"/>
        <v>0</v>
      </c>
      <c r="AC283" s="183">
        <f t="shared" si="81"/>
        <v>0</v>
      </c>
      <c r="AD283" s="183">
        <f t="shared" si="81"/>
        <v>0</v>
      </c>
      <c r="AE283" s="183">
        <f t="shared" si="81"/>
        <v>0</v>
      </c>
      <c r="AF283" s="196">
        <f t="shared" si="81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82"/>
        <v>0</v>
      </c>
      <c r="D284" s="183">
        <f t="shared" si="82"/>
        <v>0</v>
      </c>
      <c r="E284" s="183">
        <f t="shared" si="82"/>
        <v>0</v>
      </c>
      <c r="F284" s="183">
        <f t="shared" si="82"/>
        <v>0</v>
      </c>
      <c r="G284" s="183">
        <f t="shared" si="82"/>
        <v>0</v>
      </c>
      <c r="H284" s="183">
        <f t="shared" si="82"/>
        <v>0</v>
      </c>
      <c r="I284" s="183">
        <f t="shared" si="82"/>
        <v>0</v>
      </c>
      <c r="J284" s="183">
        <f t="shared" si="82"/>
        <v>0</v>
      </c>
      <c r="K284" s="183">
        <f t="shared" si="82"/>
        <v>0</v>
      </c>
      <c r="L284" s="183">
        <f t="shared" si="82"/>
        <v>0</v>
      </c>
      <c r="M284" s="183">
        <f t="shared" si="82"/>
        <v>0</v>
      </c>
      <c r="N284" s="183">
        <f t="shared" si="82"/>
        <v>0</v>
      </c>
      <c r="O284" s="183">
        <f t="shared" si="82"/>
        <v>0</v>
      </c>
      <c r="P284" s="183">
        <f t="shared" si="82"/>
        <v>0</v>
      </c>
      <c r="Q284" s="183">
        <f t="shared" si="82"/>
        <v>0</v>
      </c>
      <c r="R284" s="183">
        <f t="shared" si="82"/>
        <v>0</v>
      </c>
      <c r="S284" s="183">
        <f t="shared" si="81"/>
        <v>0</v>
      </c>
      <c r="T284" s="183">
        <f t="shared" si="81"/>
        <v>0</v>
      </c>
      <c r="U284" s="183">
        <f t="shared" si="81"/>
        <v>0</v>
      </c>
      <c r="V284" s="183">
        <f t="shared" si="81"/>
        <v>0</v>
      </c>
      <c r="W284" s="183">
        <f t="shared" si="81"/>
        <v>0</v>
      </c>
      <c r="X284" s="183">
        <f t="shared" si="81"/>
        <v>0</v>
      </c>
      <c r="Y284" s="183">
        <f t="shared" si="81"/>
        <v>0</v>
      </c>
      <c r="Z284" s="183">
        <f t="shared" si="81"/>
        <v>0</v>
      </c>
      <c r="AA284" s="183">
        <f t="shared" si="81"/>
        <v>0</v>
      </c>
      <c r="AB284" s="183">
        <f t="shared" si="81"/>
        <v>0</v>
      </c>
      <c r="AC284" s="183">
        <f t="shared" si="81"/>
        <v>0</v>
      </c>
      <c r="AD284" s="183">
        <f t="shared" si="81"/>
        <v>0</v>
      </c>
      <c r="AE284" s="183">
        <f t="shared" si="81"/>
        <v>0</v>
      </c>
      <c r="AF284" s="196">
        <f t="shared" si="81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82"/>
        <v>0</v>
      </c>
      <c r="D285" s="183">
        <f t="shared" si="82"/>
        <v>0</v>
      </c>
      <c r="E285" s="183">
        <f t="shared" si="82"/>
        <v>0</v>
      </c>
      <c r="F285" s="183">
        <f t="shared" si="82"/>
        <v>0</v>
      </c>
      <c r="G285" s="183">
        <f t="shared" si="82"/>
        <v>0</v>
      </c>
      <c r="H285" s="183">
        <f t="shared" si="82"/>
        <v>0</v>
      </c>
      <c r="I285" s="183">
        <f t="shared" si="82"/>
        <v>0</v>
      </c>
      <c r="J285" s="183">
        <f t="shared" si="82"/>
        <v>0</v>
      </c>
      <c r="K285" s="183">
        <f t="shared" si="82"/>
        <v>0</v>
      </c>
      <c r="L285" s="183">
        <f t="shared" si="82"/>
        <v>0</v>
      </c>
      <c r="M285" s="183">
        <f t="shared" si="82"/>
        <v>0</v>
      </c>
      <c r="N285" s="183">
        <f t="shared" si="82"/>
        <v>0</v>
      </c>
      <c r="O285" s="183">
        <f t="shared" si="82"/>
        <v>0</v>
      </c>
      <c r="P285" s="183">
        <f t="shared" si="82"/>
        <v>0</v>
      </c>
      <c r="Q285" s="183">
        <f t="shared" si="82"/>
        <v>0</v>
      </c>
      <c r="R285" s="183">
        <f t="shared" ref="R285:AF300" si="83">Q285</f>
        <v>0</v>
      </c>
      <c r="S285" s="183">
        <f t="shared" si="83"/>
        <v>0</v>
      </c>
      <c r="T285" s="183">
        <f t="shared" si="83"/>
        <v>0</v>
      </c>
      <c r="U285" s="183">
        <f t="shared" si="83"/>
        <v>0</v>
      </c>
      <c r="V285" s="183">
        <f t="shared" si="83"/>
        <v>0</v>
      </c>
      <c r="W285" s="183">
        <f t="shared" si="83"/>
        <v>0</v>
      </c>
      <c r="X285" s="183">
        <f t="shared" si="83"/>
        <v>0</v>
      </c>
      <c r="Y285" s="183">
        <f t="shared" si="83"/>
        <v>0</v>
      </c>
      <c r="Z285" s="183">
        <f t="shared" si="83"/>
        <v>0</v>
      </c>
      <c r="AA285" s="183">
        <f t="shared" si="83"/>
        <v>0</v>
      </c>
      <c r="AB285" s="183">
        <f t="shared" si="83"/>
        <v>0</v>
      </c>
      <c r="AC285" s="183">
        <f t="shared" si="83"/>
        <v>0</v>
      </c>
      <c r="AD285" s="183">
        <f t="shared" si="83"/>
        <v>0</v>
      </c>
      <c r="AE285" s="183">
        <f t="shared" si="83"/>
        <v>0</v>
      </c>
      <c r="AF285" s="196">
        <f t="shared" si="83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ref="C286:R301" si="84">B286</f>
        <v>0</v>
      </c>
      <c r="D286" s="183">
        <f t="shared" si="84"/>
        <v>0</v>
      </c>
      <c r="E286" s="183">
        <f t="shared" si="84"/>
        <v>0</v>
      </c>
      <c r="F286" s="183">
        <f t="shared" si="84"/>
        <v>0</v>
      </c>
      <c r="G286" s="183">
        <f t="shared" si="84"/>
        <v>0</v>
      </c>
      <c r="H286" s="183">
        <f t="shared" si="84"/>
        <v>0</v>
      </c>
      <c r="I286" s="183">
        <f t="shared" si="84"/>
        <v>0</v>
      </c>
      <c r="J286" s="183">
        <f t="shared" si="84"/>
        <v>0</v>
      </c>
      <c r="K286" s="183">
        <f t="shared" si="84"/>
        <v>0</v>
      </c>
      <c r="L286" s="183">
        <f t="shared" si="84"/>
        <v>0</v>
      </c>
      <c r="M286" s="183">
        <f t="shared" si="84"/>
        <v>0</v>
      </c>
      <c r="N286" s="183">
        <f t="shared" si="84"/>
        <v>0</v>
      </c>
      <c r="O286" s="183">
        <f t="shared" si="84"/>
        <v>0</v>
      </c>
      <c r="P286" s="183">
        <f t="shared" si="84"/>
        <v>0</v>
      </c>
      <c r="Q286" s="183">
        <f t="shared" si="84"/>
        <v>0</v>
      </c>
      <c r="R286" s="183">
        <f t="shared" si="83"/>
        <v>0</v>
      </c>
      <c r="S286" s="183">
        <f t="shared" si="83"/>
        <v>0</v>
      </c>
      <c r="T286" s="183">
        <f t="shared" si="83"/>
        <v>0</v>
      </c>
      <c r="U286" s="183">
        <f t="shared" si="83"/>
        <v>0</v>
      </c>
      <c r="V286" s="183">
        <f t="shared" si="83"/>
        <v>0</v>
      </c>
      <c r="W286" s="183">
        <f t="shared" si="83"/>
        <v>0</v>
      </c>
      <c r="X286" s="183">
        <f t="shared" si="83"/>
        <v>0</v>
      </c>
      <c r="Y286" s="183">
        <f t="shared" si="83"/>
        <v>0</v>
      </c>
      <c r="Z286" s="183">
        <f t="shared" si="83"/>
        <v>0</v>
      </c>
      <c r="AA286" s="183">
        <f t="shared" si="83"/>
        <v>0</v>
      </c>
      <c r="AB286" s="183">
        <f t="shared" si="83"/>
        <v>0</v>
      </c>
      <c r="AC286" s="183">
        <f t="shared" si="83"/>
        <v>0</v>
      </c>
      <c r="AD286" s="183">
        <f t="shared" si="83"/>
        <v>0</v>
      </c>
      <c r="AE286" s="183">
        <f t="shared" si="83"/>
        <v>0</v>
      </c>
      <c r="AF286" s="196">
        <f t="shared" si="83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84"/>
        <v>0</v>
      </c>
      <c r="D287" s="183">
        <f t="shared" si="84"/>
        <v>0</v>
      </c>
      <c r="E287" s="183">
        <f t="shared" si="84"/>
        <v>0</v>
      </c>
      <c r="F287" s="183">
        <f t="shared" si="84"/>
        <v>0</v>
      </c>
      <c r="G287" s="183">
        <f t="shared" si="84"/>
        <v>0</v>
      </c>
      <c r="H287" s="183">
        <f t="shared" si="84"/>
        <v>0</v>
      </c>
      <c r="I287" s="183">
        <f t="shared" si="84"/>
        <v>0</v>
      </c>
      <c r="J287" s="183">
        <f t="shared" si="84"/>
        <v>0</v>
      </c>
      <c r="K287" s="183">
        <f t="shared" si="84"/>
        <v>0</v>
      </c>
      <c r="L287" s="183">
        <f t="shared" si="84"/>
        <v>0</v>
      </c>
      <c r="M287" s="183">
        <f t="shared" si="84"/>
        <v>0</v>
      </c>
      <c r="N287" s="183">
        <f t="shared" si="84"/>
        <v>0</v>
      </c>
      <c r="O287" s="183">
        <f t="shared" si="84"/>
        <v>0</v>
      </c>
      <c r="P287" s="183">
        <f t="shared" si="84"/>
        <v>0</v>
      </c>
      <c r="Q287" s="183">
        <f t="shared" si="84"/>
        <v>0</v>
      </c>
      <c r="R287" s="183">
        <f t="shared" si="84"/>
        <v>0</v>
      </c>
      <c r="S287" s="183">
        <f t="shared" si="83"/>
        <v>0</v>
      </c>
      <c r="T287" s="183">
        <f t="shared" si="83"/>
        <v>0</v>
      </c>
      <c r="U287" s="183">
        <f t="shared" si="83"/>
        <v>0</v>
      </c>
      <c r="V287" s="183">
        <f t="shared" si="83"/>
        <v>0</v>
      </c>
      <c r="W287" s="183">
        <f t="shared" si="83"/>
        <v>0</v>
      </c>
      <c r="X287" s="183">
        <f t="shared" si="83"/>
        <v>0</v>
      </c>
      <c r="Y287" s="183">
        <f t="shared" si="83"/>
        <v>0</v>
      </c>
      <c r="Z287" s="183">
        <f t="shared" si="83"/>
        <v>0</v>
      </c>
      <c r="AA287" s="183">
        <f t="shared" si="83"/>
        <v>0</v>
      </c>
      <c r="AB287" s="183">
        <f t="shared" si="83"/>
        <v>0</v>
      </c>
      <c r="AC287" s="183">
        <f t="shared" si="83"/>
        <v>0</v>
      </c>
      <c r="AD287" s="183">
        <f t="shared" si="83"/>
        <v>0</v>
      </c>
      <c r="AE287" s="183">
        <f t="shared" si="83"/>
        <v>0</v>
      </c>
      <c r="AF287" s="196">
        <f t="shared" si="83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84"/>
        <v>0</v>
      </c>
      <c r="D288" s="183">
        <f t="shared" si="84"/>
        <v>0</v>
      </c>
      <c r="E288" s="183">
        <f t="shared" si="84"/>
        <v>0</v>
      </c>
      <c r="F288" s="183">
        <f t="shared" si="84"/>
        <v>0</v>
      </c>
      <c r="G288" s="183">
        <f t="shared" si="84"/>
        <v>0</v>
      </c>
      <c r="H288" s="183">
        <f t="shared" si="84"/>
        <v>0</v>
      </c>
      <c r="I288" s="183">
        <f t="shared" si="84"/>
        <v>0</v>
      </c>
      <c r="J288" s="183">
        <f t="shared" si="84"/>
        <v>0</v>
      </c>
      <c r="K288" s="183">
        <f t="shared" si="84"/>
        <v>0</v>
      </c>
      <c r="L288" s="183">
        <f t="shared" si="84"/>
        <v>0</v>
      </c>
      <c r="M288" s="183">
        <f t="shared" si="84"/>
        <v>0</v>
      </c>
      <c r="N288" s="183">
        <f t="shared" si="84"/>
        <v>0</v>
      </c>
      <c r="O288" s="183">
        <f t="shared" si="84"/>
        <v>0</v>
      </c>
      <c r="P288" s="183">
        <f t="shared" si="84"/>
        <v>0</v>
      </c>
      <c r="Q288" s="183">
        <f t="shared" si="84"/>
        <v>0</v>
      </c>
      <c r="R288" s="183">
        <f t="shared" si="84"/>
        <v>0</v>
      </c>
      <c r="S288" s="183">
        <f t="shared" si="83"/>
        <v>0</v>
      </c>
      <c r="T288" s="183">
        <f t="shared" si="83"/>
        <v>0</v>
      </c>
      <c r="U288" s="183">
        <f t="shared" si="83"/>
        <v>0</v>
      </c>
      <c r="V288" s="183">
        <f t="shared" si="83"/>
        <v>0</v>
      </c>
      <c r="W288" s="183">
        <f t="shared" si="83"/>
        <v>0</v>
      </c>
      <c r="X288" s="183">
        <f t="shared" si="83"/>
        <v>0</v>
      </c>
      <c r="Y288" s="183">
        <f t="shared" si="83"/>
        <v>0</v>
      </c>
      <c r="Z288" s="183">
        <f t="shared" si="83"/>
        <v>0</v>
      </c>
      <c r="AA288" s="183">
        <f t="shared" si="83"/>
        <v>0</v>
      </c>
      <c r="AB288" s="183">
        <f t="shared" si="83"/>
        <v>0</v>
      </c>
      <c r="AC288" s="183">
        <f t="shared" si="83"/>
        <v>0</v>
      </c>
      <c r="AD288" s="183">
        <f t="shared" si="83"/>
        <v>0</v>
      </c>
      <c r="AE288" s="183">
        <f t="shared" si="83"/>
        <v>0</v>
      </c>
      <c r="AF288" s="196">
        <f t="shared" si="83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si="84"/>
        <v>0</v>
      </c>
      <c r="D289" s="183">
        <f t="shared" si="84"/>
        <v>0</v>
      </c>
      <c r="E289" s="183">
        <f t="shared" si="84"/>
        <v>0</v>
      </c>
      <c r="F289" s="183">
        <f t="shared" si="84"/>
        <v>0</v>
      </c>
      <c r="G289" s="183">
        <f t="shared" si="84"/>
        <v>0</v>
      </c>
      <c r="H289" s="183">
        <f t="shared" si="84"/>
        <v>0</v>
      </c>
      <c r="I289" s="183">
        <f t="shared" si="84"/>
        <v>0</v>
      </c>
      <c r="J289" s="183">
        <f t="shared" si="84"/>
        <v>0</v>
      </c>
      <c r="K289" s="183">
        <f t="shared" si="84"/>
        <v>0</v>
      </c>
      <c r="L289" s="183">
        <f t="shared" si="84"/>
        <v>0</v>
      </c>
      <c r="M289" s="183">
        <f t="shared" si="84"/>
        <v>0</v>
      </c>
      <c r="N289" s="183">
        <f t="shared" si="84"/>
        <v>0</v>
      </c>
      <c r="O289" s="183">
        <f t="shared" si="84"/>
        <v>0</v>
      </c>
      <c r="P289" s="183">
        <f t="shared" si="84"/>
        <v>0</v>
      </c>
      <c r="Q289" s="183">
        <f t="shared" si="84"/>
        <v>0</v>
      </c>
      <c r="R289" s="183">
        <f t="shared" si="84"/>
        <v>0</v>
      </c>
      <c r="S289" s="183">
        <f t="shared" si="83"/>
        <v>0</v>
      </c>
      <c r="T289" s="183">
        <f t="shared" si="83"/>
        <v>0</v>
      </c>
      <c r="U289" s="183">
        <f t="shared" si="83"/>
        <v>0</v>
      </c>
      <c r="V289" s="183">
        <f t="shared" si="83"/>
        <v>0</v>
      </c>
      <c r="W289" s="183">
        <f t="shared" si="83"/>
        <v>0</v>
      </c>
      <c r="X289" s="183">
        <f t="shared" si="83"/>
        <v>0</v>
      </c>
      <c r="Y289" s="183">
        <f t="shared" si="83"/>
        <v>0</v>
      </c>
      <c r="Z289" s="183">
        <f t="shared" si="83"/>
        <v>0</v>
      </c>
      <c r="AA289" s="183">
        <f t="shared" si="83"/>
        <v>0</v>
      </c>
      <c r="AB289" s="183">
        <f t="shared" si="83"/>
        <v>0</v>
      </c>
      <c r="AC289" s="183">
        <f t="shared" si="83"/>
        <v>0</v>
      </c>
      <c r="AD289" s="183">
        <f t="shared" si="83"/>
        <v>0</v>
      </c>
      <c r="AE289" s="183">
        <f t="shared" si="83"/>
        <v>0</v>
      </c>
      <c r="AF289" s="196">
        <f t="shared" si="83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84"/>
        <v>0</v>
      </c>
      <c r="D290" s="183">
        <f t="shared" si="84"/>
        <v>0</v>
      </c>
      <c r="E290" s="183">
        <f t="shared" si="84"/>
        <v>0</v>
      </c>
      <c r="F290" s="183">
        <f t="shared" si="84"/>
        <v>0</v>
      </c>
      <c r="G290" s="183">
        <f t="shared" si="84"/>
        <v>0</v>
      </c>
      <c r="H290" s="183">
        <f t="shared" si="84"/>
        <v>0</v>
      </c>
      <c r="I290" s="183">
        <f t="shared" si="84"/>
        <v>0</v>
      </c>
      <c r="J290" s="183">
        <f t="shared" si="84"/>
        <v>0</v>
      </c>
      <c r="K290" s="183">
        <f t="shared" si="84"/>
        <v>0</v>
      </c>
      <c r="L290" s="183">
        <f t="shared" si="84"/>
        <v>0</v>
      </c>
      <c r="M290" s="183">
        <f t="shared" si="84"/>
        <v>0</v>
      </c>
      <c r="N290" s="183">
        <f t="shared" si="84"/>
        <v>0</v>
      </c>
      <c r="O290" s="183">
        <f t="shared" si="84"/>
        <v>0</v>
      </c>
      <c r="P290" s="183">
        <f t="shared" si="84"/>
        <v>0</v>
      </c>
      <c r="Q290" s="183">
        <f t="shared" si="84"/>
        <v>0</v>
      </c>
      <c r="R290" s="183">
        <f t="shared" si="84"/>
        <v>0</v>
      </c>
      <c r="S290" s="183">
        <f t="shared" si="83"/>
        <v>0</v>
      </c>
      <c r="T290" s="183">
        <f t="shared" si="83"/>
        <v>0</v>
      </c>
      <c r="U290" s="183">
        <f t="shared" si="83"/>
        <v>0</v>
      </c>
      <c r="V290" s="183">
        <f t="shared" si="83"/>
        <v>0</v>
      </c>
      <c r="W290" s="183">
        <f t="shared" si="83"/>
        <v>0</v>
      </c>
      <c r="X290" s="183">
        <f t="shared" si="83"/>
        <v>0</v>
      </c>
      <c r="Y290" s="183">
        <f t="shared" si="83"/>
        <v>0</v>
      </c>
      <c r="Z290" s="183">
        <f t="shared" si="83"/>
        <v>0</v>
      </c>
      <c r="AA290" s="183">
        <f t="shared" si="83"/>
        <v>0</v>
      </c>
      <c r="AB290" s="183">
        <f t="shared" si="83"/>
        <v>0</v>
      </c>
      <c r="AC290" s="183">
        <f t="shared" si="83"/>
        <v>0</v>
      </c>
      <c r="AD290" s="183">
        <f t="shared" si="83"/>
        <v>0</v>
      </c>
      <c r="AE290" s="183">
        <f t="shared" si="83"/>
        <v>0</v>
      </c>
      <c r="AF290" s="196">
        <f t="shared" si="83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84"/>
        <v>0</v>
      </c>
      <c r="D291" s="183">
        <f t="shared" si="84"/>
        <v>0</v>
      </c>
      <c r="E291" s="183">
        <f t="shared" si="84"/>
        <v>0</v>
      </c>
      <c r="F291" s="183">
        <f t="shared" si="84"/>
        <v>0</v>
      </c>
      <c r="G291" s="183">
        <f t="shared" si="84"/>
        <v>0</v>
      </c>
      <c r="H291" s="183">
        <f t="shared" si="84"/>
        <v>0</v>
      </c>
      <c r="I291" s="183">
        <f t="shared" si="84"/>
        <v>0</v>
      </c>
      <c r="J291" s="183">
        <f t="shared" si="84"/>
        <v>0</v>
      </c>
      <c r="K291" s="183">
        <f t="shared" si="84"/>
        <v>0</v>
      </c>
      <c r="L291" s="183">
        <f t="shared" si="84"/>
        <v>0</v>
      </c>
      <c r="M291" s="183">
        <f t="shared" si="84"/>
        <v>0</v>
      </c>
      <c r="N291" s="183">
        <f t="shared" si="84"/>
        <v>0</v>
      </c>
      <c r="O291" s="183">
        <f t="shared" si="84"/>
        <v>0</v>
      </c>
      <c r="P291" s="183">
        <f t="shared" si="84"/>
        <v>0</v>
      </c>
      <c r="Q291" s="183">
        <f t="shared" si="84"/>
        <v>0</v>
      </c>
      <c r="R291" s="183">
        <f t="shared" si="84"/>
        <v>0</v>
      </c>
      <c r="S291" s="183">
        <f t="shared" si="83"/>
        <v>0</v>
      </c>
      <c r="T291" s="183">
        <f t="shared" si="83"/>
        <v>0</v>
      </c>
      <c r="U291" s="183">
        <f t="shared" si="83"/>
        <v>0</v>
      </c>
      <c r="V291" s="183">
        <f t="shared" si="83"/>
        <v>0</v>
      </c>
      <c r="W291" s="183">
        <f t="shared" si="83"/>
        <v>0</v>
      </c>
      <c r="X291" s="183">
        <f t="shared" si="83"/>
        <v>0</v>
      </c>
      <c r="Y291" s="183">
        <f t="shared" si="83"/>
        <v>0</v>
      </c>
      <c r="Z291" s="183">
        <f t="shared" si="83"/>
        <v>0</v>
      </c>
      <c r="AA291" s="183">
        <f t="shared" si="83"/>
        <v>0</v>
      </c>
      <c r="AB291" s="183">
        <f t="shared" si="83"/>
        <v>0</v>
      </c>
      <c r="AC291" s="183">
        <f t="shared" si="83"/>
        <v>0</v>
      </c>
      <c r="AD291" s="183">
        <f t="shared" si="83"/>
        <v>0</v>
      </c>
      <c r="AE291" s="183">
        <f t="shared" si="83"/>
        <v>0</v>
      </c>
      <c r="AF291" s="196">
        <f t="shared" si="83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84"/>
        <v>0</v>
      </c>
      <c r="D292" s="183">
        <f t="shared" si="84"/>
        <v>0</v>
      </c>
      <c r="E292" s="183">
        <f t="shared" si="84"/>
        <v>0</v>
      </c>
      <c r="F292" s="183">
        <f t="shared" si="84"/>
        <v>0</v>
      </c>
      <c r="G292" s="183">
        <f t="shared" si="84"/>
        <v>0</v>
      </c>
      <c r="H292" s="183">
        <f t="shared" si="84"/>
        <v>0</v>
      </c>
      <c r="I292" s="183">
        <f t="shared" si="84"/>
        <v>0</v>
      </c>
      <c r="J292" s="183">
        <f t="shared" si="84"/>
        <v>0</v>
      </c>
      <c r="K292" s="183">
        <f t="shared" si="84"/>
        <v>0</v>
      </c>
      <c r="L292" s="183">
        <f t="shared" si="84"/>
        <v>0</v>
      </c>
      <c r="M292" s="183">
        <f t="shared" si="84"/>
        <v>0</v>
      </c>
      <c r="N292" s="183">
        <f t="shared" si="84"/>
        <v>0</v>
      </c>
      <c r="O292" s="183">
        <f t="shared" si="84"/>
        <v>0</v>
      </c>
      <c r="P292" s="183">
        <f t="shared" si="84"/>
        <v>0</v>
      </c>
      <c r="Q292" s="183">
        <f t="shared" si="84"/>
        <v>0</v>
      </c>
      <c r="R292" s="183">
        <f t="shared" si="84"/>
        <v>0</v>
      </c>
      <c r="S292" s="183">
        <f t="shared" si="83"/>
        <v>0</v>
      </c>
      <c r="T292" s="183">
        <f t="shared" si="83"/>
        <v>0</v>
      </c>
      <c r="U292" s="183">
        <f t="shared" si="83"/>
        <v>0</v>
      </c>
      <c r="V292" s="183">
        <f t="shared" si="83"/>
        <v>0</v>
      </c>
      <c r="W292" s="183">
        <f t="shared" si="83"/>
        <v>0</v>
      </c>
      <c r="X292" s="183">
        <f t="shared" si="83"/>
        <v>0</v>
      </c>
      <c r="Y292" s="183">
        <f t="shared" si="83"/>
        <v>0</v>
      </c>
      <c r="Z292" s="183">
        <f t="shared" si="83"/>
        <v>0</v>
      </c>
      <c r="AA292" s="183">
        <f t="shared" si="83"/>
        <v>0</v>
      </c>
      <c r="AB292" s="183">
        <f t="shared" si="83"/>
        <v>0</v>
      </c>
      <c r="AC292" s="183">
        <f t="shared" si="83"/>
        <v>0</v>
      </c>
      <c r="AD292" s="183">
        <f t="shared" si="83"/>
        <v>0</v>
      </c>
      <c r="AE292" s="183">
        <f t="shared" si="83"/>
        <v>0</v>
      </c>
      <c r="AF292" s="196">
        <f t="shared" si="83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84"/>
        <v>0</v>
      </c>
      <c r="D293" s="183">
        <f t="shared" si="84"/>
        <v>0</v>
      </c>
      <c r="E293" s="183">
        <f t="shared" si="84"/>
        <v>0</v>
      </c>
      <c r="F293" s="183">
        <f t="shared" si="84"/>
        <v>0</v>
      </c>
      <c r="G293" s="183">
        <f t="shared" si="84"/>
        <v>0</v>
      </c>
      <c r="H293" s="183">
        <f t="shared" si="84"/>
        <v>0</v>
      </c>
      <c r="I293" s="183">
        <f t="shared" si="84"/>
        <v>0</v>
      </c>
      <c r="J293" s="183">
        <f t="shared" si="84"/>
        <v>0</v>
      </c>
      <c r="K293" s="183">
        <f t="shared" si="84"/>
        <v>0</v>
      </c>
      <c r="L293" s="183">
        <f t="shared" si="84"/>
        <v>0</v>
      </c>
      <c r="M293" s="183">
        <f t="shared" si="84"/>
        <v>0</v>
      </c>
      <c r="N293" s="183">
        <f t="shared" si="84"/>
        <v>0</v>
      </c>
      <c r="O293" s="183">
        <f t="shared" si="84"/>
        <v>0</v>
      </c>
      <c r="P293" s="183">
        <f t="shared" si="84"/>
        <v>0</v>
      </c>
      <c r="Q293" s="183">
        <f t="shared" si="84"/>
        <v>0</v>
      </c>
      <c r="R293" s="183">
        <f t="shared" si="84"/>
        <v>0</v>
      </c>
      <c r="S293" s="183">
        <f t="shared" si="83"/>
        <v>0</v>
      </c>
      <c r="T293" s="183">
        <f t="shared" si="83"/>
        <v>0</v>
      </c>
      <c r="U293" s="183">
        <f t="shared" si="83"/>
        <v>0</v>
      </c>
      <c r="V293" s="183">
        <f t="shared" si="83"/>
        <v>0</v>
      </c>
      <c r="W293" s="183">
        <f t="shared" si="83"/>
        <v>0</v>
      </c>
      <c r="X293" s="183">
        <f t="shared" si="83"/>
        <v>0</v>
      </c>
      <c r="Y293" s="183">
        <f t="shared" si="83"/>
        <v>0</v>
      </c>
      <c r="Z293" s="183">
        <f t="shared" si="83"/>
        <v>0</v>
      </c>
      <c r="AA293" s="183">
        <f t="shared" si="83"/>
        <v>0</v>
      </c>
      <c r="AB293" s="183">
        <f t="shared" si="83"/>
        <v>0</v>
      </c>
      <c r="AC293" s="183">
        <f t="shared" si="83"/>
        <v>0</v>
      </c>
      <c r="AD293" s="183">
        <f t="shared" si="83"/>
        <v>0</v>
      </c>
      <c r="AE293" s="183">
        <f t="shared" si="83"/>
        <v>0</v>
      </c>
      <c r="AF293" s="196">
        <f t="shared" si="83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84"/>
        <v>0</v>
      </c>
      <c r="D294" s="183">
        <f t="shared" si="84"/>
        <v>0</v>
      </c>
      <c r="E294" s="183">
        <f t="shared" si="84"/>
        <v>0</v>
      </c>
      <c r="F294" s="183">
        <f t="shared" si="84"/>
        <v>0</v>
      </c>
      <c r="G294" s="183">
        <f t="shared" si="84"/>
        <v>0</v>
      </c>
      <c r="H294" s="183">
        <f t="shared" si="84"/>
        <v>0</v>
      </c>
      <c r="I294" s="183">
        <f t="shared" si="84"/>
        <v>0</v>
      </c>
      <c r="J294" s="183">
        <f t="shared" si="84"/>
        <v>0</v>
      </c>
      <c r="K294" s="183">
        <f t="shared" si="84"/>
        <v>0</v>
      </c>
      <c r="L294" s="183">
        <f t="shared" si="84"/>
        <v>0</v>
      </c>
      <c r="M294" s="183">
        <f t="shared" si="84"/>
        <v>0</v>
      </c>
      <c r="N294" s="183">
        <f t="shared" si="84"/>
        <v>0</v>
      </c>
      <c r="O294" s="183">
        <f t="shared" si="84"/>
        <v>0</v>
      </c>
      <c r="P294" s="183">
        <f t="shared" si="84"/>
        <v>0</v>
      </c>
      <c r="Q294" s="183">
        <f t="shared" si="84"/>
        <v>0</v>
      </c>
      <c r="R294" s="183">
        <f t="shared" si="84"/>
        <v>0</v>
      </c>
      <c r="S294" s="183">
        <f t="shared" si="83"/>
        <v>0</v>
      </c>
      <c r="T294" s="183">
        <f t="shared" si="83"/>
        <v>0</v>
      </c>
      <c r="U294" s="183">
        <f t="shared" si="83"/>
        <v>0</v>
      </c>
      <c r="V294" s="183">
        <f t="shared" si="83"/>
        <v>0</v>
      </c>
      <c r="W294" s="183">
        <f t="shared" si="83"/>
        <v>0</v>
      </c>
      <c r="X294" s="183">
        <f t="shared" si="83"/>
        <v>0</v>
      </c>
      <c r="Y294" s="183">
        <f t="shared" si="83"/>
        <v>0</v>
      </c>
      <c r="Z294" s="183">
        <f t="shared" si="83"/>
        <v>0</v>
      </c>
      <c r="AA294" s="183">
        <f t="shared" si="83"/>
        <v>0</v>
      </c>
      <c r="AB294" s="183">
        <f t="shared" si="83"/>
        <v>0</v>
      </c>
      <c r="AC294" s="183">
        <f t="shared" si="83"/>
        <v>0</v>
      </c>
      <c r="AD294" s="183">
        <f t="shared" si="83"/>
        <v>0</v>
      </c>
      <c r="AE294" s="183">
        <f t="shared" si="83"/>
        <v>0</v>
      </c>
      <c r="AF294" s="196">
        <f t="shared" si="83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84"/>
        <v>0</v>
      </c>
      <c r="D295" s="183">
        <f t="shared" si="84"/>
        <v>0</v>
      </c>
      <c r="E295" s="183">
        <f t="shared" si="84"/>
        <v>0</v>
      </c>
      <c r="F295" s="183">
        <f t="shared" si="84"/>
        <v>0</v>
      </c>
      <c r="G295" s="183">
        <f t="shared" si="84"/>
        <v>0</v>
      </c>
      <c r="H295" s="183">
        <f t="shared" si="84"/>
        <v>0</v>
      </c>
      <c r="I295" s="183">
        <f t="shared" si="84"/>
        <v>0</v>
      </c>
      <c r="J295" s="183">
        <f t="shared" si="84"/>
        <v>0</v>
      </c>
      <c r="K295" s="183">
        <f t="shared" si="84"/>
        <v>0</v>
      </c>
      <c r="L295" s="183">
        <f t="shared" si="84"/>
        <v>0</v>
      </c>
      <c r="M295" s="183">
        <f t="shared" si="84"/>
        <v>0</v>
      </c>
      <c r="N295" s="183">
        <f t="shared" si="84"/>
        <v>0</v>
      </c>
      <c r="O295" s="183">
        <f t="shared" si="84"/>
        <v>0</v>
      </c>
      <c r="P295" s="183">
        <f t="shared" si="84"/>
        <v>0</v>
      </c>
      <c r="Q295" s="183">
        <f t="shared" si="84"/>
        <v>0</v>
      </c>
      <c r="R295" s="183">
        <f t="shared" si="84"/>
        <v>0</v>
      </c>
      <c r="S295" s="183">
        <f t="shared" si="83"/>
        <v>0</v>
      </c>
      <c r="T295" s="183">
        <f t="shared" si="83"/>
        <v>0</v>
      </c>
      <c r="U295" s="183">
        <f t="shared" si="83"/>
        <v>0</v>
      </c>
      <c r="V295" s="183">
        <f t="shared" si="83"/>
        <v>0</v>
      </c>
      <c r="W295" s="183">
        <f t="shared" si="83"/>
        <v>0</v>
      </c>
      <c r="X295" s="183">
        <f t="shared" si="83"/>
        <v>0</v>
      </c>
      <c r="Y295" s="183">
        <f t="shared" si="83"/>
        <v>0</v>
      </c>
      <c r="Z295" s="183">
        <f t="shared" si="83"/>
        <v>0</v>
      </c>
      <c r="AA295" s="183">
        <f t="shared" si="83"/>
        <v>0</v>
      </c>
      <c r="AB295" s="183">
        <f t="shared" si="83"/>
        <v>0</v>
      </c>
      <c r="AC295" s="183">
        <f t="shared" si="83"/>
        <v>0</v>
      </c>
      <c r="AD295" s="183">
        <f t="shared" si="83"/>
        <v>0</v>
      </c>
      <c r="AE295" s="183">
        <f t="shared" si="83"/>
        <v>0</v>
      </c>
      <c r="AF295" s="196">
        <f t="shared" si="83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84"/>
        <v>0</v>
      </c>
      <c r="D296" s="183">
        <f t="shared" si="84"/>
        <v>0</v>
      </c>
      <c r="E296" s="183">
        <f t="shared" si="84"/>
        <v>0</v>
      </c>
      <c r="F296" s="183">
        <f t="shared" si="84"/>
        <v>0</v>
      </c>
      <c r="G296" s="183">
        <f t="shared" si="84"/>
        <v>0</v>
      </c>
      <c r="H296" s="183">
        <f t="shared" si="84"/>
        <v>0</v>
      </c>
      <c r="I296" s="183">
        <f t="shared" si="84"/>
        <v>0</v>
      </c>
      <c r="J296" s="183">
        <f t="shared" si="84"/>
        <v>0</v>
      </c>
      <c r="K296" s="183">
        <f t="shared" si="84"/>
        <v>0</v>
      </c>
      <c r="L296" s="183">
        <f t="shared" si="84"/>
        <v>0</v>
      </c>
      <c r="M296" s="183">
        <f t="shared" si="84"/>
        <v>0</v>
      </c>
      <c r="N296" s="183">
        <f t="shared" si="84"/>
        <v>0</v>
      </c>
      <c r="O296" s="183">
        <f t="shared" si="84"/>
        <v>0</v>
      </c>
      <c r="P296" s="183">
        <f t="shared" si="84"/>
        <v>0</v>
      </c>
      <c r="Q296" s="183">
        <f t="shared" si="84"/>
        <v>0</v>
      </c>
      <c r="R296" s="183">
        <f t="shared" si="84"/>
        <v>0</v>
      </c>
      <c r="S296" s="183">
        <f t="shared" si="83"/>
        <v>0</v>
      </c>
      <c r="T296" s="183">
        <f t="shared" si="83"/>
        <v>0</v>
      </c>
      <c r="U296" s="183">
        <f t="shared" si="83"/>
        <v>0</v>
      </c>
      <c r="V296" s="183">
        <f t="shared" si="83"/>
        <v>0</v>
      </c>
      <c r="W296" s="183">
        <f t="shared" si="83"/>
        <v>0</v>
      </c>
      <c r="X296" s="183">
        <f t="shared" si="83"/>
        <v>0</v>
      </c>
      <c r="Y296" s="183">
        <f t="shared" si="83"/>
        <v>0</v>
      </c>
      <c r="Z296" s="183">
        <f t="shared" si="83"/>
        <v>0</v>
      </c>
      <c r="AA296" s="183">
        <f t="shared" si="83"/>
        <v>0</v>
      </c>
      <c r="AB296" s="183">
        <f t="shared" si="83"/>
        <v>0</v>
      </c>
      <c r="AC296" s="183">
        <f t="shared" si="83"/>
        <v>0</v>
      </c>
      <c r="AD296" s="183">
        <f t="shared" si="83"/>
        <v>0</v>
      </c>
      <c r="AE296" s="183">
        <f t="shared" si="83"/>
        <v>0</v>
      </c>
      <c r="AF296" s="196">
        <f t="shared" si="83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84"/>
        <v>0</v>
      </c>
      <c r="D297" s="183">
        <f t="shared" si="84"/>
        <v>0</v>
      </c>
      <c r="E297" s="183">
        <f t="shared" si="84"/>
        <v>0</v>
      </c>
      <c r="F297" s="183">
        <f t="shared" si="84"/>
        <v>0</v>
      </c>
      <c r="G297" s="183">
        <f t="shared" si="84"/>
        <v>0</v>
      </c>
      <c r="H297" s="183">
        <f t="shared" si="84"/>
        <v>0</v>
      </c>
      <c r="I297" s="183">
        <f t="shared" si="84"/>
        <v>0</v>
      </c>
      <c r="J297" s="183">
        <f t="shared" si="84"/>
        <v>0</v>
      </c>
      <c r="K297" s="183">
        <f t="shared" si="84"/>
        <v>0</v>
      </c>
      <c r="L297" s="183">
        <f t="shared" si="84"/>
        <v>0</v>
      </c>
      <c r="M297" s="183">
        <f t="shared" si="84"/>
        <v>0</v>
      </c>
      <c r="N297" s="183">
        <f t="shared" si="84"/>
        <v>0</v>
      </c>
      <c r="O297" s="183">
        <f t="shared" si="84"/>
        <v>0</v>
      </c>
      <c r="P297" s="183">
        <f t="shared" si="84"/>
        <v>0</v>
      </c>
      <c r="Q297" s="183">
        <f t="shared" si="84"/>
        <v>0</v>
      </c>
      <c r="R297" s="183">
        <f t="shared" si="84"/>
        <v>0</v>
      </c>
      <c r="S297" s="183">
        <f t="shared" si="83"/>
        <v>0</v>
      </c>
      <c r="T297" s="183">
        <f t="shared" si="83"/>
        <v>0</v>
      </c>
      <c r="U297" s="183">
        <f t="shared" si="83"/>
        <v>0</v>
      </c>
      <c r="V297" s="183">
        <f t="shared" si="83"/>
        <v>0</v>
      </c>
      <c r="W297" s="183">
        <f t="shared" si="83"/>
        <v>0</v>
      </c>
      <c r="X297" s="183">
        <f t="shared" si="83"/>
        <v>0</v>
      </c>
      <c r="Y297" s="183">
        <f t="shared" si="83"/>
        <v>0</v>
      </c>
      <c r="Z297" s="183">
        <f t="shared" si="83"/>
        <v>0</v>
      </c>
      <c r="AA297" s="183">
        <f t="shared" si="83"/>
        <v>0</v>
      </c>
      <c r="AB297" s="183">
        <f t="shared" si="83"/>
        <v>0</v>
      </c>
      <c r="AC297" s="183">
        <f t="shared" si="83"/>
        <v>0</v>
      </c>
      <c r="AD297" s="183">
        <f t="shared" si="83"/>
        <v>0</v>
      </c>
      <c r="AE297" s="183">
        <f t="shared" si="83"/>
        <v>0</v>
      </c>
      <c r="AF297" s="196">
        <f t="shared" si="83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84"/>
        <v>0</v>
      </c>
      <c r="D298" s="183">
        <f t="shared" si="84"/>
        <v>0</v>
      </c>
      <c r="E298" s="183">
        <f t="shared" si="84"/>
        <v>0</v>
      </c>
      <c r="F298" s="183">
        <f t="shared" si="84"/>
        <v>0</v>
      </c>
      <c r="G298" s="183">
        <f t="shared" si="84"/>
        <v>0</v>
      </c>
      <c r="H298" s="183">
        <f t="shared" si="84"/>
        <v>0</v>
      </c>
      <c r="I298" s="183">
        <f t="shared" si="84"/>
        <v>0</v>
      </c>
      <c r="J298" s="183">
        <f t="shared" si="84"/>
        <v>0</v>
      </c>
      <c r="K298" s="183">
        <f t="shared" si="84"/>
        <v>0</v>
      </c>
      <c r="L298" s="183">
        <f t="shared" si="84"/>
        <v>0</v>
      </c>
      <c r="M298" s="183">
        <f t="shared" si="84"/>
        <v>0</v>
      </c>
      <c r="N298" s="183">
        <f t="shared" si="84"/>
        <v>0</v>
      </c>
      <c r="O298" s="183">
        <f t="shared" si="84"/>
        <v>0</v>
      </c>
      <c r="P298" s="183">
        <f t="shared" si="84"/>
        <v>0</v>
      </c>
      <c r="Q298" s="183">
        <f t="shared" si="84"/>
        <v>0</v>
      </c>
      <c r="R298" s="183">
        <f t="shared" si="84"/>
        <v>0</v>
      </c>
      <c r="S298" s="183">
        <f t="shared" si="83"/>
        <v>0</v>
      </c>
      <c r="T298" s="183">
        <f t="shared" si="83"/>
        <v>0</v>
      </c>
      <c r="U298" s="183">
        <f t="shared" si="83"/>
        <v>0</v>
      </c>
      <c r="V298" s="183">
        <f t="shared" si="83"/>
        <v>0</v>
      </c>
      <c r="W298" s="183">
        <f t="shared" si="83"/>
        <v>0</v>
      </c>
      <c r="X298" s="183">
        <f t="shared" si="83"/>
        <v>0</v>
      </c>
      <c r="Y298" s="183">
        <f t="shared" si="83"/>
        <v>0</v>
      </c>
      <c r="Z298" s="183">
        <f t="shared" si="83"/>
        <v>0</v>
      </c>
      <c r="AA298" s="183">
        <f t="shared" si="83"/>
        <v>0</v>
      </c>
      <c r="AB298" s="183">
        <f t="shared" si="83"/>
        <v>0</v>
      </c>
      <c r="AC298" s="183">
        <f t="shared" si="83"/>
        <v>0</v>
      </c>
      <c r="AD298" s="183">
        <f t="shared" si="83"/>
        <v>0</v>
      </c>
      <c r="AE298" s="183">
        <f t="shared" si="83"/>
        <v>0</v>
      </c>
      <c r="AF298" s="196">
        <f t="shared" si="83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84"/>
        <v>0</v>
      </c>
      <c r="D299" s="183">
        <f t="shared" si="84"/>
        <v>0</v>
      </c>
      <c r="E299" s="183">
        <f t="shared" si="84"/>
        <v>0</v>
      </c>
      <c r="F299" s="183">
        <f t="shared" si="84"/>
        <v>0</v>
      </c>
      <c r="G299" s="183">
        <f t="shared" si="84"/>
        <v>0</v>
      </c>
      <c r="H299" s="183">
        <f t="shared" si="84"/>
        <v>0</v>
      </c>
      <c r="I299" s="183">
        <f t="shared" si="84"/>
        <v>0</v>
      </c>
      <c r="J299" s="183">
        <f t="shared" si="84"/>
        <v>0</v>
      </c>
      <c r="K299" s="183">
        <f t="shared" si="84"/>
        <v>0</v>
      </c>
      <c r="L299" s="183">
        <f t="shared" si="84"/>
        <v>0</v>
      </c>
      <c r="M299" s="183">
        <f t="shared" si="84"/>
        <v>0</v>
      </c>
      <c r="N299" s="183">
        <f t="shared" si="84"/>
        <v>0</v>
      </c>
      <c r="O299" s="183">
        <f t="shared" si="84"/>
        <v>0</v>
      </c>
      <c r="P299" s="183">
        <f t="shared" si="84"/>
        <v>0</v>
      </c>
      <c r="Q299" s="183">
        <f t="shared" si="84"/>
        <v>0</v>
      </c>
      <c r="R299" s="183">
        <f t="shared" si="84"/>
        <v>0</v>
      </c>
      <c r="S299" s="183">
        <f t="shared" si="83"/>
        <v>0</v>
      </c>
      <c r="T299" s="183">
        <f t="shared" si="83"/>
        <v>0</v>
      </c>
      <c r="U299" s="183">
        <f t="shared" si="83"/>
        <v>0</v>
      </c>
      <c r="V299" s="183">
        <f t="shared" si="83"/>
        <v>0</v>
      </c>
      <c r="W299" s="183">
        <f t="shared" si="83"/>
        <v>0</v>
      </c>
      <c r="X299" s="183">
        <f t="shared" si="83"/>
        <v>0</v>
      </c>
      <c r="Y299" s="183">
        <f t="shared" si="83"/>
        <v>0</v>
      </c>
      <c r="Z299" s="183">
        <f t="shared" si="83"/>
        <v>0</v>
      </c>
      <c r="AA299" s="183">
        <f t="shared" si="83"/>
        <v>0</v>
      </c>
      <c r="AB299" s="183">
        <f t="shared" si="83"/>
        <v>0</v>
      </c>
      <c r="AC299" s="183">
        <f t="shared" si="83"/>
        <v>0</v>
      </c>
      <c r="AD299" s="183">
        <f t="shared" si="83"/>
        <v>0</v>
      </c>
      <c r="AE299" s="183">
        <f t="shared" si="83"/>
        <v>0</v>
      </c>
      <c r="AF299" s="196">
        <f t="shared" si="83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84"/>
        <v>0</v>
      </c>
      <c r="D300" s="183">
        <f t="shared" si="84"/>
        <v>0</v>
      </c>
      <c r="E300" s="183">
        <f t="shared" si="84"/>
        <v>0</v>
      </c>
      <c r="F300" s="183">
        <f t="shared" si="84"/>
        <v>0</v>
      </c>
      <c r="G300" s="183">
        <f t="shared" si="84"/>
        <v>0</v>
      </c>
      <c r="H300" s="183">
        <f t="shared" si="84"/>
        <v>0</v>
      </c>
      <c r="I300" s="183">
        <f t="shared" si="84"/>
        <v>0</v>
      </c>
      <c r="J300" s="183">
        <f t="shared" si="84"/>
        <v>0</v>
      </c>
      <c r="K300" s="183">
        <f t="shared" si="84"/>
        <v>0</v>
      </c>
      <c r="L300" s="183">
        <f t="shared" si="84"/>
        <v>0</v>
      </c>
      <c r="M300" s="183">
        <f t="shared" si="84"/>
        <v>0</v>
      </c>
      <c r="N300" s="183">
        <f t="shared" si="84"/>
        <v>0</v>
      </c>
      <c r="O300" s="183">
        <f t="shared" si="84"/>
        <v>0</v>
      </c>
      <c r="P300" s="183">
        <f t="shared" si="84"/>
        <v>0</v>
      </c>
      <c r="Q300" s="183">
        <f t="shared" si="84"/>
        <v>0</v>
      </c>
      <c r="R300" s="183">
        <f t="shared" si="84"/>
        <v>0</v>
      </c>
      <c r="S300" s="183">
        <f t="shared" si="83"/>
        <v>0</v>
      </c>
      <c r="T300" s="183">
        <f t="shared" si="83"/>
        <v>0</v>
      </c>
      <c r="U300" s="183">
        <f t="shared" si="83"/>
        <v>0</v>
      </c>
      <c r="V300" s="183">
        <f t="shared" si="83"/>
        <v>0</v>
      </c>
      <c r="W300" s="183">
        <f t="shared" si="83"/>
        <v>0</v>
      </c>
      <c r="X300" s="183">
        <f t="shared" si="83"/>
        <v>0</v>
      </c>
      <c r="Y300" s="183">
        <f t="shared" si="83"/>
        <v>0</v>
      </c>
      <c r="Z300" s="183">
        <f t="shared" si="83"/>
        <v>0</v>
      </c>
      <c r="AA300" s="183">
        <f t="shared" si="83"/>
        <v>0</v>
      </c>
      <c r="AB300" s="183">
        <f t="shared" si="83"/>
        <v>0</v>
      </c>
      <c r="AC300" s="183">
        <f t="shared" si="83"/>
        <v>0</v>
      </c>
      <c r="AD300" s="183">
        <f t="shared" si="83"/>
        <v>0</v>
      </c>
      <c r="AE300" s="183">
        <f t="shared" si="83"/>
        <v>0</v>
      </c>
      <c r="AF300" s="196">
        <f t="shared" si="83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84"/>
        <v>0</v>
      </c>
      <c r="D301" s="183">
        <f t="shared" si="84"/>
        <v>0</v>
      </c>
      <c r="E301" s="183">
        <f t="shared" si="84"/>
        <v>0</v>
      </c>
      <c r="F301" s="183">
        <f t="shared" si="84"/>
        <v>0</v>
      </c>
      <c r="G301" s="183">
        <f t="shared" si="84"/>
        <v>0</v>
      </c>
      <c r="H301" s="183">
        <f t="shared" si="84"/>
        <v>0</v>
      </c>
      <c r="I301" s="183">
        <f t="shared" si="84"/>
        <v>0</v>
      </c>
      <c r="J301" s="183">
        <f t="shared" si="84"/>
        <v>0</v>
      </c>
      <c r="K301" s="183">
        <f t="shared" si="84"/>
        <v>0</v>
      </c>
      <c r="L301" s="183">
        <f t="shared" si="84"/>
        <v>0</v>
      </c>
      <c r="M301" s="183">
        <f t="shared" si="84"/>
        <v>0</v>
      </c>
      <c r="N301" s="183">
        <f t="shared" si="84"/>
        <v>0</v>
      </c>
      <c r="O301" s="183">
        <f t="shared" si="84"/>
        <v>0</v>
      </c>
      <c r="P301" s="183">
        <f t="shared" si="84"/>
        <v>0</v>
      </c>
      <c r="Q301" s="183">
        <f t="shared" si="84"/>
        <v>0</v>
      </c>
      <c r="R301" s="183">
        <f t="shared" si="84"/>
        <v>0</v>
      </c>
      <c r="S301" s="183">
        <f t="shared" ref="S301:AF310" si="85">R301</f>
        <v>0</v>
      </c>
      <c r="T301" s="183">
        <f t="shared" si="85"/>
        <v>0</v>
      </c>
      <c r="U301" s="183">
        <f t="shared" si="85"/>
        <v>0</v>
      </c>
      <c r="V301" s="183">
        <f t="shared" si="85"/>
        <v>0</v>
      </c>
      <c r="W301" s="183">
        <f t="shared" si="85"/>
        <v>0</v>
      </c>
      <c r="X301" s="183">
        <f t="shared" si="85"/>
        <v>0</v>
      </c>
      <c r="Y301" s="183">
        <f t="shared" si="85"/>
        <v>0</v>
      </c>
      <c r="Z301" s="183">
        <f t="shared" si="85"/>
        <v>0</v>
      </c>
      <c r="AA301" s="183">
        <f t="shared" si="85"/>
        <v>0</v>
      </c>
      <c r="AB301" s="183">
        <f t="shared" si="85"/>
        <v>0</v>
      </c>
      <c r="AC301" s="183">
        <f t="shared" si="85"/>
        <v>0</v>
      </c>
      <c r="AD301" s="183">
        <f t="shared" si="85"/>
        <v>0</v>
      </c>
      <c r="AE301" s="183">
        <f t="shared" si="85"/>
        <v>0</v>
      </c>
      <c r="AF301" s="196">
        <f t="shared" si="85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ref="C302:R310" si="86">B302</f>
        <v>0</v>
      </c>
      <c r="D302" s="183">
        <f t="shared" si="86"/>
        <v>0</v>
      </c>
      <c r="E302" s="183">
        <f t="shared" si="86"/>
        <v>0</v>
      </c>
      <c r="F302" s="183">
        <f t="shared" si="86"/>
        <v>0</v>
      </c>
      <c r="G302" s="183">
        <f t="shared" si="86"/>
        <v>0</v>
      </c>
      <c r="H302" s="183">
        <f t="shared" si="86"/>
        <v>0</v>
      </c>
      <c r="I302" s="183">
        <f t="shared" si="86"/>
        <v>0</v>
      </c>
      <c r="J302" s="183">
        <f t="shared" si="86"/>
        <v>0</v>
      </c>
      <c r="K302" s="183">
        <f t="shared" si="86"/>
        <v>0</v>
      </c>
      <c r="L302" s="183">
        <f t="shared" si="86"/>
        <v>0</v>
      </c>
      <c r="M302" s="183">
        <f t="shared" si="86"/>
        <v>0</v>
      </c>
      <c r="N302" s="183">
        <f t="shared" si="86"/>
        <v>0</v>
      </c>
      <c r="O302" s="183">
        <f t="shared" si="86"/>
        <v>0</v>
      </c>
      <c r="P302" s="183">
        <f t="shared" si="86"/>
        <v>0</v>
      </c>
      <c r="Q302" s="183">
        <f t="shared" si="86"/>
        <v>0</v>
      </c>
      <c r="R302" s="183">
        <f t="shared" si="86"/>
        <v>0</v>
      </c>
      <c r="S302" s="183">
        <f t="shared" si="85"/>
        <v>0</v>
      </c>
      <c r="T302" s="183">
        <f t="shared" si="85"/>
        <v>0</v>
      </c>
      <c r="U302" s="183">
        <f t="shared" si="85"/>
        <v>0</v>
      </c>
      <c r="V302" s="183">
        <f t="shared" si="85"/>
        <v>0</v>
      </c>
      <c r="W302" s="183">
        <f t="shared" si="85"/>
        <v>0</v>
      </c>
      <c r="X302" s="183">
        <f t="shared" si="85"/>
        <v>0</v>
      </c>
      <c r="Y302" s="183">
        <f t="shared" si="85"/>
        <v>0</v>
      </c>
      <c r="Z302" s="183">
        <f t="shared" si="85"/>
        <v>0</v>
      </c>
      <c r="AA302" s="183">
        <f t="shared" si="85"/>
        <v>0</v>
      </c>
      <c r="AB302" s="183">
        <f t="shared" si="85"/>
        <v>0</v>
      </c>
      <c r="AC302" s="183">
        <f t="shared" si="85"/>
        <v>0</v>
      </c>
      <c r="AD302" s="183">
        <f t="shared" si="85"/>
        <v>0</v>
      </c>
      <c r="AE302" s="183">
        <f t="shared" si="85"/>
        <v>0</v>
      </c>
      <c r="AF302" s="196">
        <f t="shared" si="85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86"/>
        <v>0</v>
      </c>
      <c r="D303" s="183">
        <f t="shared" si="86"/>
        <v>0</v>
      </c>
      <c r="E303" s="183">
        <f t="shared" si="86"/>
        <v>0</v>
      </c>
      <c r="F303" s="183">
        <f t="shared" si="86"/>
        <v>0</v>
      </c>
      <c r="G303" s="183">
        <f t="shared" si="86"/>
        <v>0</v>
      </c>
      <c r="H303" s="183">
        <f t="shared" si="86"/>
        <v>0</v>
      </c>
      <c r="I303" s="183">
        <f t="shared" si="86"/>
        <v>0</v>
      </c>
      <c r="J303" s="183">
        <f t="shared" si="86"/>
        <v>0</v>
      </c>
      <c r="K303" s="183">
        <f t="shared" si="86"/>
        <v>0</v>
      </c>
      <c r="L303" s="183">
        <f t="shared" si="86"/>
        <v>0</v>
      </c>
      <c r="M303" s="183">
        <f t="shared" si="86"/>
        <v>0</v>
      </c>
      <c r="N303" s="183">
        <f t="shared" si="86"/>
        <v>0</v>
      </c>
      <c r="O303" s="183">
        <f t="shared" si="86"/>
        <v>0</v>
      </c>
      <c r="P303" s="183">
        <f t="shared" si="86"/>
        <v>0</v>
      </c>
      <c r="Q303" s="183">
        <f t="shared" si="86"/>
        <v>0</v>
      </c>
      <c r="R303" s="183">
        <f t="shared" si="86"/>
        <v>0</v>
      </c>
      <c r="S303" s="183">
        <f t="shared" si="85"/>
        <v>0</v>
      </c>
      <c r="T303" s="183">
        <f t="shared" si="85"/>
        <v>0</v>
      </c>
      <c r="U303" s="183">
        <f t="shared" si="85"/>
        <v>0</v>
      </c>
      <c r="V303" s="183">
        <f t="shared" si="85"/>
        <v>0</v>
      </c>
      <c r="W303" s="183">
        <f t="shared" si="85"/>
        <v>0</v>
      </c>
      <c r="X303" s="183">
        <f t="shared" si="85"/>
        <v>0</v>
      </c>
      <c r="Y303" s="183">
        <f t="shared" si="85"/>
        <v>0</v>
      </c>
      <c r="Z303" s="183">
        <f t="shared" si="85"/>
        <v>0</v>
      </c>
      <c r="AA303" s="183">
        <f t="shared" si="85"/>
        <v>0</v>
      </c>
      <c r="AB303" s="183">
        <f t="shared" si="85"/>
        <v>0</v>
      </c>
      <c r="AC303" s="183">
        <f t="shared" si="85"/>
        <v>0</v>
      </c>
      <c r="AD303" s="183">
        <f t="shared" si="85"/>
        <v>0</v>
      </c>
      <c r="AE303" s="183">
        <f t="shared" si="85"/>
        <v>0</v>
      </c>
      <c r="AF303" s="196">
        <f t="shared" si="85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86"/>
        <v>0</v>
      </c>
      <c r="D304" s="183">
        <f t="shared" si="86"/>
        <v>0</v>
      </c>
      <c r="E304" s="183">
        <f t="shared" si="86"/>
        <v>0</v>
      </c>
      <c r="F304" s="183">
        <f t="shared" si="86"/>
        <v>0</v>
      </c>
      <c r="G304" s="183">
        <f t="shared" si="86"/>
        <v>0</v>
      </c>
      <c r="H304" s="183">
        <f t="shared" si="86"/>
        <v>0</v>
      </c>
      <c r="I304" s="183">
        <f t="shared" si="86"/>
        <v>0</v>
      </c>
      <c r="J304" s="183">
        <f t="shared" si="86"/>
        <v>0</v>
      </c>
      <c r="K304" s="183">
        <f t="shared" si="86"/>
        <v>0</v>
      </c>
      <c r="L304" s="183">
        <f t="shared" si="86"/>
        <v>0</v>
      </c>
      <c r="M304" s="183">
        <f t="shared" si="86"/>
        <v>0</v>
      </c>
      <c r="N304" s="183">
        <f t="shared" si="86"/>
        <v>0</v>
      </c>
      <c r="O304" s="183">
        <f t="shared" si="86"/>
        <v>0</v>
      </c>
      <c r="P304" s="183">
        <f t="shared" si="86"/>
        <v>0</v>
      </c>
      <c r="Q304" s="183">
        <f t="shared" si="86"/>
        <v>0</v>
      </c>
      <c r="R304" s="183">
        <f t="shared" si="86"/>
        <v>0</v>
      </c>
      <c r="S304" s="183">
        <f t="shared" si="85"/>
        <v>0</v>
      </c>
      <c r="T304" s="183">
        <f t="shared" si="85"/>
        <v>0</v>
      </c>
      <c r="U304" s="183">
        <f t="shared" si="85"/>
        <v>0</v>
      </c>
      <c r="V304" s="183">
        <f t="shared" si="85"/>
        <v>0</v>
      </c>
      <c r="W304" s="183">
        <f t="shared" si="85"/>
        <v>0</v>
      </c>
      <c r="X304" s="183">
        <f t="shared" si="85"/>
        <v>0</v>
      </c>
      <c r="Y304" s="183">
        <f t="shared" si="85"/>
        <v>0</v>
      </c>
      <c r="Z304" s="183">
        <f t="shared" si="85"/>
        <v>0</v>
      </c>
      <c r="AA304" s="183">
        <f t="shared" si="85"/>
        <v>0</v>
      </c>
      <c r="AB304" s="183">
        <f t="shared" si="85"/>
        <v>0</v>
      </c>
      <c r="AC304" s="183">
        <f t="shared" si="85"/>
        <v>0</v>
      </c>
      <c r="AD304" s="183">
        <f t="shared" si="85"/>
        <v>0</v>
      </c>
      <c r="AE304" s="183">
        <f t="shared" si="85"/>
        <v>0</v>
      </c>
      <c r="AF304" s="196">
        <f t="shared" si="85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si="86"/>
        <v>0</v>
      </c>
      <c r="D305" s="183">
        <f t="shared" si="86"/>
        <v>0</v>
      </c>
      <c r="E305" s="183">
        <f t="shared" si="86"/>
        <v>0</v>
      </c>
      <c r="F305" s="183">
        <f t="shared" si="86"/>
        <v>0</v>
      </c>
      <c r="G305" s="183">
        <f t="shared" si="86"/>
        <v>0</v>
      </c>
      <c r="H305" s="183">
        <f t="shared" si="86"/>
        <v>0</v>
      </c>
      <c r="I305" s="183">
        <f t="shared" si="86"/>
        <v>0</v>
      </c>
      <c r="J305" s="183">
        <f t="shared" si="86"/>
        <v>0</v>
      </c>
      <c r="K305" s="183">
        <f t="shared" si="86"/>
        <v>0</v>
      </c>
      <c r="L305" s="183">
        <f t="shared" si="86"/>
        <v>0</v>
      </c>
      <c r="M305" s="183">
        <f t="shared" si="86"/>
        <v>0</v>
      </c>
      <c r="N305" s="183">
        <f t="shared" si="86"/>
        <v>0</v>
      </c>
      <c r="O305" s="183">
        <f t="shared" si="86"/>
        <v>0</v>
      </c>
      <c r="P305" s="183">
        <f t="shared" si="86"/>
        <v>0</v>
      </c>
      <c r="Q305" s="183">
        <f t="shared" si="86"/>
        <v>0</v>
      </c>
      <c r="R305" s="183">
        <f t="shared" si="86"/>
        <v>0</v>
      </c>
      <c r="S305" s="183">
        <f t="shared" si="85"/>
        <v>0</v>
      </c>
      <c r="T305" s="183">
        <f t="shared" si="85"/>
        <v>0</v>
      </c>
      <c r="U305" s="183">
        <f t="shared" si="85"/>
        <v>0</v>
      </c>
      <c r="V305" s="183">
        <f t="shared" si="85"/>
        <v>0</v>
      </c>
      <c r="W305" s="183">
        <f t="shared" si="85"/>
        <v>0</v>
      </c>
      <c r="X305" s="183">
        <f t="shared" si="85"/>
        <v>0</v>
      </c>
      <c r="Y305" s="183">
        <f t="shared" si="85"/>
        <v>0</v>
      </c>
      <c r="Z305" s="183">
        <f t="shared" si="85"/>
        <v>0</v>
      </c>
      <c r="AA305" s="183">
        <f t="shared" si="85"/>
        <v>0</v>
      </c>
      <c r="AB305" s="183">
        <f t="shared" si="85"/>
        <v>0</v>
      </c>
      <c r="AC305" s="183">
        <f t="shared" si="85"/>
        <v>0</v>
      </c>
      <c r="AD305" s="183">
        <f t="shared" si="85"/>
        <v>0</v>
      </c>
      <c r="AE305" s="183">
        <f t="shared" si="85"/>
        <v>0</v>
      </c>
      <c r="AF305" s="196">
        <f t="shared" si="85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86"/>
        <v>0</v>
      </c>
      <c r="D306" s="183">
        <f t="shared" si="86"/>
        <v>0</v>
      </c>
      <c r="E306" s="183">
        <f t="shared" si="86"/>
        <v>0</v>
      </c>
      <c r="F306" s="183">
        <f t="shared" si="86"/>
        <v>0</v>
      </c>
      <c r="G306" s="183">
        <f t="shared" si="86"/>
        <v>0</v>
      </c>
      <c r="H306" s="183">
        <f t="shared" si="86"/>
        <v>0</v>
      </c>
      <c r="I306" s="183">
        <f t="shared" si="86"/>
        <v>0</v>
      </c>
      <c r="J306" s="183">
        <f t="shared" si="86"/>
        <v>0</v>
      </c>
      <c r="K306" s="183">
        <f t="shared" si="86"/>
        <v>0</v>
      </c>
      <c r="L306" s="183">
        <f t="shared" si="86"/>
        <v>0</v>
      </c>
      <c r="M306" s="183">
        <f t="shared" si="86"/>
        <v>0</v>
      </c>
      <c r="N306" s="183">
        <f t="shared" si="86"/>
        <v>0</v>
      </c>
      <c r="O306" s="183">
        <f t="shared" si="86"/>
        <v>0</v>
      </c>
      <c r="P306" s="183">
        <f t="shared" si="86"/>
        <v>0</v>
      </c>
      <c r="Q306" s="183">
        <f t="shared" si="86"/>
        <v>0</v>
      </c>
      <c r="R306" s="183">
        <f t="shared" si="86"/>
        <v>0</v>
      </c>
      <c r="S306" s="183">
        <f t="shared" si="85"/>
        <v>0</v>
      </c>
      <c r="T306" s="183">
        <f t="shared" si="85"/>
        <v>0</v>
      </c>
      <c r="U306" s="183">
        <f t="shared" si="85"/>
        <v>0</v>
      </c>
      <c r="V306" s="183">
        <f t="shared" si="85"/>
        <v>0</v>
      </c>
      <c r="W306" s="183">
        <f t="shared" si="85"/>
        <v>0</v>
      </c>
      <c r="X306" s="183">
        <f t="shared" si="85"/>
        <v>0</v>
      </c>
      <c r="Y306" s="183">
        <f t="shared" si="85"/>
        <v>0</v>
      </c>
      <c r="Z306" s="183">
        <f t="shared" si="85"/>
        <v>0</v>
      </c>
      <c r="AA306" s="183">
        <f t="shared" si="85"/>
        <v>0</v>
      </c>
      <c r="AB306" s="183">
        <f t="shared" si="85"/>
        <v>0</v>
      </c>
      <c r="AC306" s="183">
        <f t="shared" si="85"/>
        <v>0</v>
      </c>
      <c r="AD306" s="183">
        <f t="shared" si="85"/>
        <v>0</v>
      </c>
      <c r="AE306" s="183">
        <f t="shared" si="85"/>
        <v>0</v>
      </c>
      <c r="AF306" s="196">
        <f t="shared" si="85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86"/>
        <v>0</v>
      </c>
      <c r="D307" s="183">
        <f t="shared" si="86"/>
        <v>0</v>
      </c>
      <c r="E307" s="183">
        <f t="shared" si="86"/>
        <v>0</v>
      </c>
      <c r="F307" s="183">
        <f t="shared" si="86"/>
        <v>0</v>
      </c>
      <c r="G307" s="183">
        <f t="shared" si="86"/>
        <v>0</v>
      </c>
      <c r="H307" s="183">
        <f t="shared" si="86"/>
        <v>0</v>
      </c>
      <c r="I307" s="183">
        <f t="shared" si="86"/>
        <v>0</v>
      </c>
      <c r="J307" s="183">
        <f t="shared" si="86"/>
        <v>0</v>
      </c>
      <c r="K307" s="183">
        <f t="shared" si="86"/>
        <v>0</v>
      </c>
      <c r="L307" s="183">
        <f t="shared" si="86"/>
        <v>0</v>
      </c>
      <c r="M307" s="183">
        <f t="shared" si="86"/>
        <v>0</v>
      </c>
      <c r="N307" s="183">
        <f t="shared" si="86"/>
        <v>0</v>
      </c>
      <c r="O307" s="183">
        <f t="shared" si="86"/>
        <v>0</v>
      </c>
      <c r="P307" s="183">
        <f t="shared" si="86"/>
        <v>0</v>
      </c>
      <c r="Q307" s="183">
        <f t="shared" si="86"/>
        <v>0</v>
      </c>
      <c r="R307" s="183">
        <f t="shared" si="86"/>
        <v>0</v>
      </c>
      <c r="S307" s="183">
        <f t="shared" si="85"/>
        <v>0</v>
      </c>
      <c r="T307" s="183">
        <f t="shared" si="85"/>
        <v>0</v>
      </c>
      <c r="U307" s="183">
        <f t="shared" si="85"/>
        <v>0</v>
      </c>
      <c r="V307" s="183">
        <f t="shared" si="85"/>
        <v>0</v>
      </c>
      <c r="W307" s="183">
        <f t="shared" si="85"/>
        <v>0</v>
      </c>
      <c r="X307" s="183">
        <f t="shared" si="85"/>
        <v>0</v>
      </c>
      <c r="Y307" s="183">
        <f t="shared" si="85"/>
        <v>0</v>
      </c>
      <c r="Z307" s="183">
        <f t="shared" si="85"/>
        <v>0</v>
      </c>
      <c r="AA307" s="183">
        <f t="shared" si="85"/>
        <v>0</v>
      </c>
      <c r="AB307" s="183">
        <f t="shared" si="85"/>
        <v>0</v>
      </c>
      <c r="AC307" s="183">
        <f t="shared" si="85"/>
        <v>0</v>
      </c>
      <c r="AD307" s="183">
        <f t="shared" si="85"/>
        <v>0</v>
      </c>
      <c r="AE307" s="183">
        <f t="shared" si="85"/>
        <v>0</v>
      </c>
      <c r="AF307" s="196">
        <f t="shared" si="85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86"/>
        <v>0</v>
      </c>
      <c r="D308" s="183">
        <f t="shared" si="86"/>
        <v>0</v>
      </c>
      <c r="E308" s="183">
        <f t="shared" si="86"/>
        <v>0</v>
      </c>
      <c r="F308" s="183">
        <f t="shared" si="86"/>
        <v>0</v>
      </c>
      <c r="G308" s="183">
        <f t="shared" si="86"/>
        <v>0</v>
      </c>
      <c r="H308" s="183">
        <f t="shared" si="86"/>
        <v>0</v>
      </c>
      <c r="I308" s="183">
        <f t="shared" si="86"/>
        <v>0</v>
      </c>
      <c r="J308" s="183">
        <f t="shared" si="86"/>
        <v>0</v>
      </c>
      <c r="K308" s="183">
        <f t="shared" si="86"/>
        <v>0</v>
      </c>
      <c r="L308" s="183">
        <f t="shared" si="86"/>
        <v>0</v>
      </c>
      <c r="M308" s="183">
        <f t="shared" si="86"/>
        <v>0</v>
      </c>
      <c r="N308" s="183">
        <f t="shared" si="86"/>
        <v>0</v>
      </c>
      <c r="O308" s="183">
        <f t="shared" si="86"/>
        <v>0</v>
      </c>
      <c r="P308" s="183">
        <f t="shared" si="86"/>
        <v>0</v>
      </c>
      <c r="Q308" s="183">
        <f t="shared" si="86"/>
        <v>0</v>
      </c>
      <c r="R308" s="183">
        <f t="shared" si="86"/>
        <v>0</v>
      </c>
      <c r="S308" s="183">
        <f t="shared" si="85"/>
        <v>0</v>
      </c>
      <c r="T308" s="183">
        <f t="shared" si="85"/>
        <v>0</v>
      </c>
      <c r="U308" s="183">
        <f t="shared" si="85"/>
        <v>0</v>
      </c>
      <c r="V308" s="183">
        <f t="shared" si="85"/>
        <v>0</v>
      </c>
      <c r="W308" s="183">
        <f t="shared" si="85"/>
        <v>0</v>
      </c>
      <c r="X308" s="183">
        <f t="shared" si="85"/>
        <v>0</v>
      </c>
      <c r="Y308" s="183">
        <f t="shared" si="85"/>
        <v>0</v>
      </c>
      <c r="Z308" s="183">
        <f t="shared" si="85"/>
        <v>0</v>
      </c>
      <c r="AA308" s="183">
        <f t="shared" si="85"/>
        <v>0</v>
      </c>
      <c r="AB308" s="183">
        <f t="shared" si="85"/>
        <v>0</v>
      </c>
      <c r="AC308" s="183">
        <f t="shared" si="85"/>
        <v>0</v>
      </c>
      <c r="AD308" s="183">
        <f t="shared" si="85"/>
        <v>0</v>
      </c>
      <c r="AE308" s="183">
        <f t="shared" si="85"/>
        <v>0</v>
      </c>
      <c r="AF308" s="196">
        <f t="shared" si="85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86"/>
        <v>0</v>
      </c>
      <c r="D309" s="183">
        <f t="shared" si="86"/>
        <v>0</v>
      </c>
      <c r="E309" s="183">
        <f t="shared" si="86"/>
        <v>0</v>
      </c>
      <c r="F309" s="183">
        <f t="shared" si="86"/>
        <v>0</v>
      </c>
      <c r="G309" s="183">
        <f t="shared" si="86"/>
        <v>0</v>
      </c>
      <c r="H309" s="183">
        <f t="shared" si="86"/>
        <v>0</v>
      </c>
      <c r="I309" s="183">
        <f t="shared" si="86"/>
        <v>0</v>
      </c>
      <c r="J309" s="183">
        <f t="shared" si="86"/>
        <v>0</v>
      </c>
      <c r="K309" s="183">
        <f t="shared" si="86"/>
        <v>0</v>
      </c>
      <c r="L309" s="183">
        <f t="shared" si="86"/>
        <v>0</v>
      </c>
      <c r="M309" s="183">
        <f t="shared" si="86"/>
        <v>0</v>
      </c>
      <c r="N309" s="183">
        <f t="shared" si="86"/>
        <v>0</v>
      </c>
      <c r="O309" s="183">
        <f t="shared" si="86"/>
        <v>0</v>
      </c>
      <c r="P309" s="183">
        <f t="shared" si="86"/>
        <v>0</v>
      </c>
      <c r="Q309" s="183">
        <f t="shared" si="86"/>
        <v>0</v>
      </c>
      <c r="R309" s="183">
        <f t="shared" si="86"/>
        <v>0</v>
      </c>
      <c r="S309" s="183">
        <f t="shared" si="85"/>
        <v>0</v>
      </c>
      <c r="T309" s="183">
        <f t="shared" si="85"/>
        <v>0</v>
      </c>
      <c r="U309" s="183">
        <f t="shared" si="85"/>
        <v>0</v>
      </c>
      <c r="V309" s="183">
        <f t="shared" si="85"/>
        <v>0</v>
      </c>
      <c r="W309" s="183">
        <f t="shared" si="85"/>
        <v>0</v>
      </c>
      <c r="X309" s="183">
        <f t="shared" si="85"/>
        <v>0</v>
      </c>
      <c r="Y309" s="183">
        <f t="shared" si="85"/>
        <v>0</v>
      </c>
      <c r="Z309" s="183">
        <f t="shared" si="85"/>
        <v>0</v>
      </c>
      <c r="AA309" s="183">
        <f t="shared" si="85"/>
        <v>0</v>
      </c>
      <c r="AB309" s="183">
        <f t="shared" si="85"/>
        <v>0</v>
      </c>
      <c r="AC309" s="183">
        <f t="shared" si="85"/>
        <v>0</v>
      </c>
      <c r="AD309" s="183">
        <f t="shared" si="85"/>
        <v>0</v>
      </c>
      <c r="AE309" s="183">
        <f t="shared" si="85"/>
        <v>0</v>
      </c>
      <c r="AF309" s="196">
        <f t="shared" si="85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86"/>
        <v>0</v>
      </c>
      <c r="D310" s="209">
        <f t="shared" si="86"/>
        <v>0</v>
      </c>
      <c r="E310" s="209">
        <f t="shared" si="86"/>
        <v>0</v>
      </c>
      <c r="F310" s="209">
        <f t="shared" si="86"/>
        <v>0</v>
      </c>
      <c r="G310" s="209">
        <f t="shared" si="86"/>
        <v>0</v>
      </c>
      <c r="H310" s="209">
        <f t="shared" si="86"/>
        <v>0</v>
      </c>
      <c r="I310" s="209">
        <f t="shared" si="86"/>
        <v>0</v>
      </c>
      <c r="J310" s="209">
        <f t="shared" si="86"/>
        <v>0</v>
      </c>
      <c r="K310" s="209">
        <f t="shared" si="86"/>
        <v>0</v>
      </c>
      <c r="L310" s="209">
        <f t="shared" si="86"/>
        <v>0</v>
      </c>
      <c r="M310" s="209">
        <f t="shared" si="86"/>
        <v>0</v>
      </c>
      <c r="N310" s="209">
        <f t="shared" si="86"/>
        <v>0</v>
      </c>
      <c r="O310" s="209">
        <f t="shared" si="86"/>
        <v>0</v>
      </c>
      <c r="P310" s="209">
        <f t="shared" si="86"/>
        <v>0</v>
      </c>
      <c r="Q310" s="209">
        <f t="shared" si="86"/>
        <v>0</v>
      </c>
      <c r="R310" s="209">
        <f t="shared" si="86"/>
        <v>0</v>
      </c>
      <c r="S310" s="209">
        <f t="shared" si="85"/>
        <v>0</v>
      </c>
      <c r="T310" s="209">
        <f t="shared" si="85"/>
        <v>0</v>
      </c>
      <c r="U310" s="209">
        <f t="shared" si="85"/>
        <v>0</v>
      </c>
      <c r="V310" s="209">
        <f t="shared" si="85"/>
        <v>0</v>
      </c>
      <c r="W310" s="209">
        <f t="shared" si="85"/>
        <v>0</v>
      </c>
      <c r="X310" s="209">
        <f t="shared" si="85"/>
        <v>0</v>
      </c>
      <c r="Y310" s="209">
        <f t="shared" si="85"/>
        <v>0</v>
      </c>
      <c r="Z310" s="209">
        <f t="shared" si="85"/>
        <v>0</v>
      </c>
      <c r="AA310" s="209">
        <f t="shared" si="85"/>
        <v>0</v>
      </c>
      <c r="AB310" s="209">
        <f t="shared" si="85"/>
        <v>0</v>
      </c>
      <c r="AC310" s="209">
        <f t="shared" si="85"/>
        <v>0</v>
      </c>
      <c r="AD310" s="209">
        <f t="shared" si="85"/>
        <v>0</v>
      </c>
      <c r="AE310" s="209">
        <f t="shared" si="85"/>
        <v>0</v>
      </c>
      <c r="AF310" s="210">
        <f t="shared" si="85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87">SUM(B180:B310)</f>
        <v>0</v>
      </c>
      <c r="C311" s="212">
        <f t="shared" si="87"/>
        <v>0</v>
      </c>
      <c r="D311" s="212">
        <f t="shared" si="87"/>
        <v>0</v>
      </c>
      <c r="E311" s="212">
        <f t="shared" si="87"/>
        <v>0</v>
      </c>
      <c r="F311" s="212">
        <f t="shared" si="87"/>
        <v>0</v>
      </c>
      <c r="G311" s="212">
        <f t="shared" si="87"/>
        <v>0</v>
      </c>
      <c r="H311" s="212">
        <f t="shared" si="87"/>
        <v>0</v>
      </c>
      <c r="I311" s="212">
        <f t="shared" si="87"/>
        <v>0</v>
      </c>
      <c r="J311" s="212">
        <f t="shared" si="87"/>
        <v>0</v>
      </c>
      <c r="K311" s="212">
        <f t="shared" si="87"/>
        <v>0</v>
      </c>
      <c r="L311" s="212">
        <f t="shared" si="87"/>
        <v>0</v>
      </c>
      <c r="M311" s="212">
        <f t="shared" si="87"/>
        <v>0</v>
      </c>
      <c r="N311" s="212">
        <f t="shared" si="87"/>
        <v>0</v>
      </c>
      <c r="O311" s="212">
        <f t="shared" si="87"/>
        <v>0</v>
      </c>
      <c r="P311" s="212">
        <f t="shared" si="87"/>
        <v>0</v>
      </c>
      <c r="Q311" s="212">
        <f t="shared" si="87"/>
        <v>0</v>
      </c>
      <c r="R311" s="212">
        <f t="shared" si="87"/>
        <v>0</v>
      </c>
      <c r="S311" s="212">
        <f t="shared" si="87"/>
        <v>0</v>
      </c>
      <c r="T311" s="212">
        <f t="shared" si="87"/>
        <v>0</v>
      </c>
      <c r="U311" s="212">
        <f t="shared" si="87"/>
        <v>0</v>
      </c>
      <c r="V311" s="212">
        <f t="shared" si="87"/>
        <v>0</v>
      </c>
      <c r="W311" s="212">
        <f t="shared" si="87"/>
        <v>0</v>
      </c>
      <c r="X311" s="212">
        <f t="shared" si="87"/>
        <v>0</v>
      </c>
      <c r="Y311" s="212">
        <f t="shared" si="87"/>
        <v>0</v>
      </c>
      <c r="Z311" s="212">
        <f t="shared" si="87"/>
        <v>0</v>
      </c>
      <c r="AA311" s="212">
        <f t="shared" si="87"/>
        <v>0</v>
      </c>
      <c r="AB311" s="212">
        <f t="shared" si="87"/>
        <v>0</v>
      </c>
      <c r="AC311" s="212">
        <f t="shared" si="87"/>
        <v>0</v>
      </c>
      <c r="AD311" s="212">
        <f t="shared" si="87"/>
        <v>0</v>
      </c>
      <c r="AE311" s="212">
        <f t="shared" si="87"/>
        <v>0</v>
      </c>
      <c r="AF311" s="213">
        <f t="shared" si="87"/>
        <v>0</v>
      </c>
      <c r="AG311" s="214">
        <f t="shared" si="87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88">B313</f>
        <v>0</v>
      </c>
      <c r="D313" s="181">
        <f t="shared" si="88"/>
        <v>0</v>
      </c>
      <c r="E313" s="181">
        <f t="shared" si="88"/>
        <v>0</v>
      </c>
      <c r="F313" s="181">
        <f t="shared" si="88"/>
        <v>0</v>
      </c>
      <c r="G313" s="181">
        <f t="shared" si="88"/>
        <v>0</v>
      </c>
      <c r="H313" s="181">
        <f t="shared" si="88"/>
        <v>0</v>
      </c>
      <c r="I313" s="181">
        <f t="shared" si="88"/>
        <v>0</v>
      </c>
      <c r="J313" s="181">
        <f t="shared" si="88"/>
        <v>0</v>
      </c>
      <c r="K313" s="181">
        <f t="shared" si="88"/>
        <v>0</v>
      </c>
      <c r="L313" s="181">
        <f t="shared" si="88"/>
        <v>0</v>
      </c>
      <c r="M313" s="181">
        <f t="shared" si="88"/>
        <v>0</v>
      </c>
      <c r="N313" s="181">
        <f t="shared" si="88"/>
        <v>0</v>
      </c>
      <c r="O313" s="181">
        <f t="shared" si="88"/>
        <v>0</v>
      </c>
      <c r="P313" s="181">
        <f t="shared" si="88"/>
        <v>0</v>
      </c>
      <c r="Q313" s="181">
        <f t="shared" si="88"/>
        <v>0</v>
      </c>
      <c r="R313" s="181">
        <f t="shared" si="88"/>
        <v>0</v>
      </c>
      <c r="S313" s="181">
        <f t="shared" ref="S313:S334" si="89">R313</f>
        <v>0</v>
      </c>
      <c r="T313" s="181">
        <f t="shared" ref="T313:T334" si="90">S313</f>
        <v>0</v>
      </c>
      <c r="U313" s="181">
        <f t="shared" ref="U313:U334" si="91">T313</f>
        <v>0</v>
      </c>
      <c r="V313" s="181">
        <f t="shared" ref="V313:V334" si="92">U313</f>
        <v>0</v>
      </c>
      <c r="W313" s="181">
        <f t="shared" ref="W313:W334" si="93">V313</f>
        <v>0</v>
      </c>
      <c r="X313" s="181">
        <f t="shared" ref="X313:X334" si="94">W313</f>
        <v>0</v>
      </c>
      <c r="Y313" s="181">
        <f t="shared" ref="Y313:Y334" si="95">X313</f>
        <v>0</v>
      </c>
      <c r="Z313" s="181">
        <f t="shared" ref="Z313:Z334" si="96">Y313</f>
        <v>0</v>
      </c>
      <c r="AA313" s="181">
        <f t="shared" ref="AA313:AA334" si="97">Z313</f>
        <v>0</v>
      </c>
      <c r="AB313" s="181">
        <f t="shared" ref="AB313:AB334" si="98">AA313</f>
        <v>0</v>
      </c>
      <c r="AC313" s="181">
        <f t="shared" ref="AC313:AC334" si="99">AB313</f>
        <v>0</v>
      </c>
      <c r="AD313" s="181">
        <f t="shared" ref="AD313:AD334" si="100">AC313</f>
        <v>0</v>
      </c>
      <c r="AE313" s="181">
        <f t="shared" ref="AE313:AE334" si="101">AD313</f>
        <v>0</v>
      </c>
      <c r="AF313" s="194">
        <f t="shared" ref="AF313:AF334" si="102">AE313</f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88"/>
        <v>0</v>
      </c>
      <c r="D314" s="183">
        <f t="shared" si="88"/>
        <v>0</v>
      </c>
      <c r="E314" s="183">
        <f t="shared" si="88"/>
        <v>0</v>
      </c>
      <c r="F314" s="183">
        <f t="shared" si="88"/>
        <v>0</v>
      </c>
      <c r="G314" s="183">
        <f t="shared" si="88"/>
        <v>0</v>
      </c>
      <c r="H314" s="183">
        <f t="shared" si="88"/>
        <v>0</v>
      </c>
      <c r="I314" s="183">
        <f t="shared" si="88"/>
        <v>0</v>
      </c>
      <c r="J314" s="183">
        <f t="shared" si="88"/>
        <v>0</v>
      </c>
      <c r="K314" s="183">
        <f t="shared" si="88"/>
        <v>0</v>
      </c>
      <c r="L314" s="183">
        <f t="shared" si="88"/>
        <v>0</v>
      </c>
      <c r="M314" s="183">
        <f t="shared" si="88"/>
        <v>0</v>
      </c>
      <c r="N314" s="183">
        <f t="shared" si="88"/>
        <v>0</v>
      </c>
      <c r="O314" s="183">
        <f t="shared" si="88"/>
        <v>0</v>
      </c>
      <c r="P314" s="183">
        <f t="shared" si="88"/>
        <v>0</v>
      </c>
      <c r="Q314" s="183">
        <f t="shared" si="88"/>
        <v>0</v>
      </c>
      <c r="R314" s="183">
        <f t="shared" si="88"/>
        <v>0</v>
      </c>
      <c r="S314" s="183">
        <f t="shared" si="89"/>
        <v>0</v>
      </c>
      <c r="T314" s="183">
        <f t="shared" si="90"/>
        <v>0</v>
      </c>
      <c r="U314" s="183">
        <f t="shared" si="91"/>
        <v>0</v>
      </c>
      <c r="V314" s="183">
        <f t="shared" si="92"/>
        <v>0</v>
      </c>
      <c r="W314" s="183">
        <f t="shared" si="93"/>
        <v>0</v>
      </c>
      <c r="X314" s="183">
        <f t="shared" si="94"/>
        <v>0</v>
      </c>
      <c r="Y314" s="183">
        <f t="shared" si="95"/>
        <v>0</v>
      </c>
      <c r="Z314" s="183">
        <f t="shared" si="96"/>
        <v>0</v>
      </c>
      <c r="AA314" s="183">
        <f t="shared" si="97"/>
        <v>0</v>
      </c>
      <c r="AB314" s="183">
        <f t="shared" si="98"/>
        <v>0</v>
      </c>
      <c r="AC314" s="183">
        <f t="shared" si="99"/>
        <v>0</v>
      </c>
      <c r="AD314" s="183">
        <f t="shared" si="100"/>
        <v>0</v>
      </c>
      <c r="AE314" s="183">
        <f t="shared" si="101"/>
        <v>0</v>
      </c>
      <c r="AF314" s="196">
        <f t="shared" si="102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88"/>
        <v>0</v>
      </c>
      <c r="D315" s="183">
        <f t="shared" si="88"/>
        <v>0</v>
      </c>
      <c r="E315" s="183">
        <f t="shared" si="88"/>
        <v>0</v>
      </c>
      <c r="F315" s="183">
        <f t="shared" si="88"/>
        <v>0</v>
      </c>
      <c r="G315" s="183">
        <f t="shared" si="88"/>
        <v>0</v>
      </c>
      <c r="H315" s="183">
        <f t="shared" si="88"/>
        <v>0</v>
      </c>
      <c r="I315" s="183">
        <f t="shared" si="88"/>
        <v>0</v>
      </c>
      <c r="J315" s="183">
        <f t="shared" si="88"/>
        <v>0</v>
      </c>
      <c r="K315" s="183">
        <f t="shared" si="88"/>
        <v>0</v>
      </c>
      <c r="L315" s="183">
        <f t="shared" si="88"/>
        <v>0</v>
      </c>
      <c r="M315" s="183">
        <f t="shared" si="88"/>
        <v>0</v>
      </c>
      <c r="N315" s="183">
        <f t="shared" si="88"/>
        <v>0</v>
      </c>
      <c r="O315" s="183">
        <f t="shared" si="88"/>
        <v>0</v>
      </c>
      <c r="P315" s="183">
        <f t="shared" si="88"/>
        <v>0</v>
      </c>
      <c r="Q315" s="183">
        <f t="shared" si="88"/>
        <v>0</v>
      </c>
      <c r="R315" s="183">
        <f t="shared" si="88"/>
        <v>0</v>
      </c>
      <c r="S315" s="183">
        <f t="shared" si="89"/>
        <v>0</v>
      </c>
      <c r="T315" s="183">
        <f t="shared" si="90"/>
        <v>0</v>
      </c>
      <c r="U315" s="183">
        <f t="shared" si="91"/>
        <v>0</v>
      </c>
      <c r="V315" s="183">
        <f t="shared" si="92"/>
        <v>0</v>
      </c>
      <c r="W315" s="183">
        <f t="shared" si="93"/>
        <v>0</v>
      </c>
      <c r="X315" s="183">
        <f t="shared" si="94"/>
        <v>0</v>
      </c>
      <c r="Y315" s="183">
        <f t="shared" si="95"/>
        <v>0</v>
      </c>
      <c r="Z315" s="183">
        <f t="shared" si="96"/>
        <v>0</v>
      </c>
      <c r="AA315" s="183">
        <f t="shared" si="97"/>
        <v>0</v>
      </c>
      <c r="AB315" s="183">
        <f t="shared" si="98"/>
        <v>0</v>
      </c>
      <c r="AC315" s="183">
        <f t="shared" si="99"/>
        <v>0</v>
      </c>
      <c r="AD315" s="183">
        <f t="shared" si="100"/>
        <v>0</v>
      </c>
      <c r="AE315" s="183">
        <f t="shared" si="101"/>
        <v>0</v>
      </c>
      <c r="AF315" s="196">
        <f t="shared" si="102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88"/>
        <v>0</v>
      </c>
      <c r="D316" s="183">
        <f t="shared" si="88"/>
        <v>0</v>
      </c>
      <c r="E316" s="183">
        <f t="shared" si="88"/>
        <v>0</v>
      </c>
      <c r="F316" s="183">
        <f t="shared" si="88"/>
        <v>0</v>
      </c>
      <c r="G316" s="183">
        <f t="shared" si="88"/>
        <v>0</v>
      </c>
      <c r="H316" s="183">
        <f t="shared" si="88"/>
        <v>0</v>
      </c>
      <c r="I316" s="183">
        <f t="shared" si="88"/>
        <v>0</v>
      </c>
      <c r="J316" s="183">
        <f t="shared" si="88"/>
        <v>0</v>
      </c>
      <c r="K316" s="183">
        <f t="shared" si="88"/>
        <v>0</v>
      </c>
      <c r="L316" s="183">
        <f t="shared" si="88"/>
        <v>0</v>
      </c>
      <c r="M316" s="183">
        <f t="shared" si="88"/>
        <v>0</v>
      </c>
      <c r="N316" s="183">
        <f t="shared" si="88"/>
        <v>0</v>
      </c>
      <c r="O316" s="183">
        <f t="shared" si="88"/>
        <v>0</v>
      </c>
      <c r="P316" s="183">
        <f t="shared" si="88"/>
        <v>0</v>
      </c>
      <c r="Q316" s="183">
        <f t="shared" si="88"/>
        <v>0</v>
      </c>
      <c r="R316" s="183">
        <f t="shared" si="88"/>
        <v>0</v>
      </c>
      <c r="S316" s="183">
        <f t="shared" si="89"/>
        <v>0</v>
      </c>
      <c r="T316" s="183">
        <f t="shared" si="90"/>
        <v>0</v>
      </c>
      <c r="U316" s="183">
        <f t="shared" si="91"/>
        <v>0</v>
      </c>
      <c r="V316" s="183">
        <f t="shared" si="92"/>
        <v>0</v>
      </c>
      <c r="W316" s="183">
        <f t="shared" si="93"/>
        <v>0</v>
      </c>
      <c r="X316" s="183">
        <f t="shared" si="94"/>
        <v>0</v>
      </c>
      <c r="Y316" s="183">
        <f t="shared" si="95"/>
        <v>0</v>
      </c>
      <c r="Z316" s="183">
        <f t="shared" si="96"/>
        <v>0</v>
      </c>
      <c r="AA316" s="183">
        <f t="shared" si="97"/>
        <v>0</v>
      </c>
      <c r="AB316" s="183">
        <f t="shared" si="98"/>
        <v>0</v>
      </c>
      <c r="AC316" s="183">
        <f t="shared" si="99"/>
        <v>0</v>
      </c>
      <c r="AD316" s="183">
        <f t="shared" si="100"/>
        <v>0</v>
      </c>
      <c r="AE316" s="183">
        <f t="shared" si="101"/>
        <v>0</v>
      </c>
      <c r="AF316" s="196">
        <f t="shared" si="102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88"/>
        <v>0</v>
      </c>
      <c r="D317" s="183">
        <f t="shared" si="88"/>
        <v>0</v>
      </c>
      <c r="E317" s="183">
        <f t="shared" si="88"/>
        <v>0</v>
      </c>
      <c r="F317" s="183">
        <f t="shared" si="88"/>
        <v>0</v>
      </c>
      <c r="G317" s="183">
        <f t="shared" si="88"/>
        <v>0</v>
      </c>
      <c r="H317" s="183">
        <f t="shared" si="88"/>
        <v>0</v>
      </c>
      <c r="I317" s="183">
        <f t="shared" si="88"/>
        <v>0</v>
      </c>
      <c r="J317" s="183">
        <f t="shared" si="88"/>
        <v>0</v>
      </c>
      <c r="K317" s="183">
        <f t="shared" si="88"/>
        <v>0</v>
      </c>
      <c r="L317" s="183">
        <f t="shared" si="88"/>
        <v>0</v>
      </c>
      <c r="M317" s="183">
        <f t="shared" si="88"/>
        <v>0</v>
      </c>
      <c r="N317" s="183">
        <f t="shared" si="88"/>
        <v>0</v>
      </c>
      <c r="O317" s="183">
        <f t="shared" si="88"/>
        <v>0</v>
      </c>
      <c r="P317" s="183">
        <f t="shared" si="88"/>
        <v>0</v>
      </c>
      <c r="Q317" s="183">
        <f t="shared" si="88"/>
        <v>0</v>
      </c>
      <c r="R317" s="183">
        <f t="shared" si="88"/>
        <v>0</v>
      </c>
      <c r="S317" s="183">
        <f t="shared" si="89"/>
        <v>0</v>
      </c>
      <c r="T317" s="183">
        <f t="shared" si="90"/>
        <v>0</v>
      </c>
      <c r="U317" s="183">
        <f t="shared" si="91"/>
        <v>0</v>
      </c>
      <c r="V317" s="183">
        <f t="shared" si="92"/>
        <v>0</v>
      </c>
      <c r="W317" s="183">
        <f t="shared" si="93"/>
        <v>0</v>
      </c>
      <c r="X317" s="183">
        <f t="shared" si="94"/>
        <v>0</v>
      </c>
      <c r="Y317" s="183">
        <f t="shared" si="95"/>
        <v>0</v>
      </c>
      <c r="Z317" s="183">
        <f t="shared" si="96"/>
        <v>0</v>
      </c>
      <c r="AA317" s="183">
        <f t="shared" si="97"/>
        <v>0</v>
      </c>
      <c r="AB317" s="183">
        <f t="shared" si="98"/>
        <v>0</v>
      </c>
      <c r="AC317" s="183">
        <f t="shared" si="99"/>
        <v>0</v>
      </c>
      <c r="AD317" s="183">
        <f t="shared" si="100"/>
        <v>0</v>
      </c>
      <c r="AE317" s="183">
        <f t="shared" si="101"/>
        <v>0</v>
      </c>
      <c r="AF317" s="196">
        <f t="shared" si="102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88"/>
        <v>0</v>
      </c>
      <c r="D318" s="183">
        <f t="shared" si="88"/>
        <v>0</v>
      </c>
      <c r="E318" s="183">
        <f t="shared" si="88"/>
        <v>0</v>
      </c>
      <c r="F318" s="183">
        <f t="shared" si="88"/>
        <v>0</v>
      </c>
      <c r="G318" s="183">
        <f t="shared" si="88"/>
        <v>0</v>
      </c>
      <c r="H318" s="183">
        <f t="shared" si="88"/>
        <v>0</v>
      </c>
      <c r="I318" s="183">
        <f t="shared" si="88"/>
        <v>0</v>
      </c>
      <c r="J318" s="183">
        <f t="shared" si="88"/>
        <v>0</v>
      </c>
      <c r="K318" s="183">
        <f t="shared" si="88"/>
        <v>0</v>
      </c>
      <c r="L318" s="183">
        <f t="shared" si="88"/>
        <v>0</v>
      </c>
      <c r="M318" s="183">
        <f t="shared" si="88"/>
        <v>0</v>
      </c>
      <c r="N318" s="183">
        <f t="shared" si="88"/>
        <v>0</v>
      </c>
      <c r="O318" s="183">
        <f t="shared" si="88"/>
        <v>0</v>
      </c>
      <c r="P318" s="183">
        <f t="shared" si="88"/>
        <v>0</v>
      </c>
      <c r="Q318" s="183">
        <f t="shared" si="88"/>
        <v>0</v>
      </c>
      <c r="R318" s="183">
        <f t="shared" si="88"/>
        <v>0</v>
      </c>
      <c r="S318" s="183">
        <f t="shared" si="89"/>
        <v>0</v>
      </c>
      <c r="T318" s="183">
        <f t="shared" si="90"/>
        <v>0</v>
      </c>
      <c r="U318" s="183">
        <f t="shared" si="91"/>
        <v>0</v>
      </c>
      <c r="V318" s="183">
        <f t="shared" si="92"/>
        <v>0</v>
      </c>
      <c r="W318" s="183">
        <f t="shared" si="93"/>
        <v>0</v>
      </c>
      <c r="X318" s="183">
        <f t="shared" si="94"/>
        <v>0</v>
      </c>
      <c r="Y318" s="183">
        <f t="shared" si="95"/>
        <v>0</v>
      </c>
      <c r="Z318" s="183">
        <f t="shared" si="96"/>
        <v>0</v>
      </c>
      <c r="AA318" s="183">
        <f t="shared" si="97"/>
        <v>0</v>
      </c>
      <c r="AB318" s="183">
        <f t="shared" si="98"/>
        <v>0</v>
      </c>
      <c r="AC318" s="183">
        <f t="shared" si="99"/>
        <v>0</v>
      </c>
      <c r="AD318" s="183">
        <f t="shared" si="100"/>
        <v>0</v>
      </c>
      <c r="AE318" s="183">
        <f t="shared" si="101"/>
        <v>0</v>
      </c>
      <c r="AF318" s="196">
        <f t="shared" si="102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88"/>
        <v>0</v>
      </c>
      <c r="D319" s="183">
        <f t="shared" si="88"/>
        <v>0</v>
      </c>
      <c r="E319" s="183">
        <f t="shared" si="88"/>
        <v>0</v>
      </c>
      <c r="F319" s="183">
        <f t="shared" si="88"/>
        <v>0</v>
      </c>
      <c r="G319" s="183">
        <f t="shared" si="88"/>
        <v>0</v>
      </c>
      <c r="H319" s="183">
        <f t="shared" si="88"/>
        <v>0</v>
      </c>
      <c r="I319" s="183">
        <f t="shared" si="88"/>
        <v>0</v>
      </c>
      <c r="J319" s="183">
        <f t="shared" si="88"/>
        <v>0</v>
      </c>
      <c r="K319" s="183">
        <f t="shared" si="88"/>
        <v>0</v>
      </c>
      <c r="L319" s="183">
        <f t="shared" si="88"/>
        <v>0</v>
      </c>
      <c r="M319" s="183">
        <f t="shared" si="88"/>
        <v>0</v>
      </c>
      <c r="N319" s="183">
        <f t="shared" si="88"/>
        <v>0</v>
      </c>
      <c r="O319" s="183">
        <f t="shared" si="88"/>
        <v>0</v>
      </c>
      <c r="P319" s="183">
        <f t="shared" si="88"/>
        <v>0</v>
      </c>
      <c r="Q319" s="183">
        <f t="shared" si="88"/>
        <v>0</v>
      </c>
      <c r="R319" s="183">
        <f t="shared" si="88"/>
        <v>0</v>
      </c>
      <c r="S319" s="183">
        <f t="shared" si="89"/>
        <v>0</v>
      </c>
      <c r="T319" s="183">
        <f t="shared" si="90"/>
        <v>0</v>
      </c>
      <c r="U319" s="183">
        <f t="shared" si="91"/>
        <v>0</v>
      </c>
      <c r="V319" s="183">
        <f t="shared" si="92"/>
        <v>0</v>
      </c>
      <c r="W319" s="183">
        <f t="shared" si="93"/>
        <v>0</v>
      </c>
      <c r="X319" s="183">
        <f t="shared" si="94"/>
        <v>0</v>
      </c>
      <c r="Y319" s="183">
        <f t="shared" si="95"/>
        <v>0</v>
      </c>
      <c r="Z319" s="183">
        <f t="shared" si="96"/>
        <v>0</v>
      </c>
      <c r="AA319" s="183">
        <f t="shared" si="97"/>
        <v>0</v>
      </c>
      <c r="AB319" s="183">
        <f t="shared" si="98"/>
        <v>0</v>
      </c>
      <c r="AC319" s="183">
        <f t="shared" si="99"/>
        <v>0</v>
      </c>
      <c r="AD319" s="183">
        <f t="shared" si="100"/>
        <v>0</v>
      </c>
      <c r="AE319" s="183">
        <f t="shared" si="101"/>
        <v>0</v>
      </c>
      <c r="AF319" s="196">
        <f t="shared" si="102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88"/>
        <v>0</v>
      </c>
      <c r="D320" s="183">
        <f t="shared" si="88"/>
        <v>0</v>
      </c>
      <c r="E320" s="183">
        <f t="shared" si="88"/>
        <v>0</v>
      </c>
      <c r="F320" s="183">
        <f t="shared" si="88"/>
        <v>0</v>
      </c>
      <c r="G320" s="183">
        <f t="shared" si="88"/>
        <v>0</v>
      </c>
      <c r="H320" s="183">
        <f t="shared" si="88"/>
        <v>0</v>
      </c>
      <c r="I320" s="183">
        <f t="shared" si="88"/>
        <v>0</v>
      </c>
      <c r="J320" s="183">
        <f t="shared" si="88"/>
        <v>0</v>
      </c>
      <c r="K320" s="183">
        <f t="shared" si="88"/>
        <v>0</v>
      </c>
      <c r="L320" s="183">
        <f t="shared" si="88"/>
        <v>0</v>
      </c>
      <c r="M320" s="183">
        <f t="shared" si="88"/>
        <v>0</v>
      </c>
      <c r="N320" s="183">
        <f t="shared" si="88"/>
        <v>0</v>
      </c>
      <c r="O320" s="183">
        <f t="shared" si="88"/>
        <v>0</v>
      </c>
      <c r="P320" s="183">
        <f t="shared" si="88"/>
        <v>0</v>
      </c>
      <c r="Q320" s="183">
        <f t="shared" si="88"/>
        <v>0</v>
      </c>
      <c r="R320" s="183">
        <f t="shared" si="88"/>
        <v>0</v>
      </c>
      <c r="S320" s="183">
        <f t="shared" si="89"/>
        <v>0</v>
      </c>
      <c r="T320" s="183">
        <f t="shared" si="90"/>
        <v>0</v>
      </c>
      <c r="U320" s="183">
        <f t="shared" si="91"/>
        <v>0</v>
      </c>
      <c r="V320" s="183">
        <f t="shared" si="92"/>
        <v>0</v>
      </c>
      <c r="W320" s="183">
        <f t="shared" si="93"/>
        <v>0</v>
      </c>
      <c r="X320" s="183">
        <f t="shared" si="94"/>
        <v>0</v>
      </c>
      <c r="Y320" s="183">
        <f t="shared" si="95"/>
        <v>0</v>
      </c>
      <c r="Z320" s="183">
        <f t="shared" si="96"/>
        <v>0</v>
      </c>
      <c r="AA320" s="183">
        <f t="shared" si="97"/>
        <v>0</v>
      </c>
      <c r="AB320" s="183">
        <f t="shared" si="98"/>
        <v>0</v>
      </c>
      <c r="AC320" s="183">
        <f t="shared" si="99"/>
        <v>0</v>
      </c>
      <c r="AD320" s="183">
        <f t="shared" si="100"/>
        <v>0</v>
      </c>
      <c r="AE320" s="183">
        <f t="shared" si="101"/>
        <v>0</v>
      </c>
      <c r="AF320" s="196">
        <f t="shared" si="102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88"/>
        <v>0</v>
      </c>
      <c r="D321" s="183">
        <f t="shared" si="88"/>
        <v>0</v>
      </c>
      <c r="E321" s="183">
        <f t="shared" si="88"/>
        <v>0</v>
      </c>
      <c r="F321" s="183">
        <f t="shared" si="88"/>
        <v>0</v>
      </c>
      <c r="G321" s="183">
        <f t="shared" si="88"/>
        <v>0</v>
      </c>
      <c r="H321" s="183">
        <f t="shared" si="88"/>
        <v>0</v>
      </c>
      <c r="I321" s="183">
        <f t="shared" si="88"/>
        <v>0</v>
      </c>
      <c r="J321" s="183">
        <f t="shared" si="88"/>
        <v>0</v>
      </c>
      <c r="K321" s="183">
        <f t="shared" si="88"/>
        <v>0</v>
      </c>
      <c r="L321" s="183">
        <f t="shared" si="88"/>
        <v>0</v>
      </c>
      <c r="M321" s="183">
        <f t="shared" si="88"/>
        <v>0</v>
      </c>
      <c r="N321" s="183">
        <f t="shared" si="88"/>
        <v>0</v>
      </c>
      <c r="O321" s="183">
        <f t="shared" si="88"/>
        <v>0</v>
      </c>
      <c r="P321" s="183">
        <f t="shared" si="88"/>
        <v>0</v>
      </c>
      <c r="Q321" s="183">
        <f t="shared" si="88"/>
        <v>0</v>
      </c>
      <c r="R321" s="183">
        <f t="shared" si="88"/>
        <v>0</v>
      </c>
      <c r="S321" s="183">
        <f t="shared" si="89"/>
        <v>0</v>
      </c>
      <c r="T321" s="183">
        <f t="shared" si="90"/>
        <v>0</v>
      </c>
      <c r="U321" s="183">
        <f t="shared" si="91"/>
        <v>0</v>
      </c>
      <c r="V321" s="183">
        <f t="shared" si="92"/>
        <v>0</v>
      </c>
      <c r="W321" s="183">
        <f t="shared" si="93"/>
        <v>0</v>
      </c>
      <c r="X321" s="183">
        <f t="shared" si="94"/>
        <v>0</v>
      </c>
      <c r="Y321" s="183">
        <f t="shared" si="95"/>
        <v>0</v>
      </c>
      <c r="Z321" s="183">
        <f t="shared" si="96"/>
        <v>0</v>
      </c>
      <c r="AA321" s="183">
        <f t="shared" si="97"/>
        <v>0</v>
      </c>
      <c r="AB321" s="183">
        <f t="shared" si="98"/>
        <v>0</v>
      </c>
      <c r="AC321" s="183">
        <f t="shared" si="99"/>
        <v>0</v>
      </c>
      <c r="AD321" s="183">
        <f t="shared" si="100"/>
        <v>0</v>
      </c>
      <c r="AE321" s="183">
        <f t="shared" si="101"/>
        <v>0</v>
      </c>
      <c r="AF321" s="196">
        <f t="shared" si="102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88"/>
        <v>0</v>
      </c>
      <c r="D322" s="183">
        <f t="shared" si="88"/>
        <v>0</v>
      </c>
      <c r="E322" s="183">
        <f t="shared" si="88"/>
        <v>0</v>
      </c>
      <c r="F322" s="183">
        <f t="shared" si="88"/>
        <v>0</v>
      </c>
      <c r="G322" s="183">
        <f t="shared" si="88"/>
        <v>0</v>
      </c>
      <c r="H322" s="183">
        <f t="shared" si="88"/>
        <v>0</v>
      </c>
      <c r="I322" s="183">
        <f t="shared" si="88"/>
        <v>0</v>
      </c>
      <c r="J322" s="183">
        <f t="shared" si="88"/>
        <v>0</v>
      </c>
      <c r="K322" s="183">
        <f t="shared" si="88"/>
        <v>0</v>
      </c>
      <c r="L322" s="183">
        <f t="shared" si="88"/>
        <v>0</v>
      </c>
      <c r="M322" s="183">
        <f t="shared" si="88"/>
        <v>0</v>
      </c>
      <c r="N322" s="183">
        <f t="shared" si="88"/>
        <v>0</v>
      </c>
      <c r="O322" s="183">
        <f t="shared" si="88"/>
        <v>0</v>
      </c>
      <c r="P322" s="183">
        <f t="shared" si="88"/>
        <v>0</v>
      </c>
      <c r="Q322" s="183">
        <f t="shared" si="88"/>
        <v>0</v>
      </c>
      <c r="R322" s="183">
        <f t="shared" si="88"/>
        <v>0</v>
      </c>
      <c r="S322" s="183">
        <f t="shared" si="89"/>
        <v>0</v>
      </c>
      <c r="T322" s="183">
        <f t="shared" si="90"/>
        <v>0</v>
      </c>
      <c r="U322" s="183">
        <f t="shared" si="91"/>
        <v>0</v>
      </c>
      <c r="V322" s="183">
        <f t="shared" si="92"/>
        <v>0</v>
      </c>
      <c r="W322" s="183">
        <f t="shared" si="93"/>
        <v>0</v>
      </c>
      <c r="X322" s="183">
        <f t="shared" si="94"/>
        <v>0</v>
      </c>
      <c r="Y322" s="183">
        <f t="shared" si="95"/>
        <v>0</v>
      </c>
      <c r="Z322" s="183">
        <f t="shared" si="96"/>
        <v>0</v>
      </c>
      <c r="AA322" s="183">
        <f t="shared" si="97"/>
        <v>0</v>
      </c>
      <c r="AB322" s="183">
        <f t="shared" si="98"/>
        <v>0</v>
      </c>
      <c r="AC322" s="183">
        <f t="shared" si="99"/>
        <v>0</v>
      </c>
      <c r="AD322" s="183">
        <f t="shared" si="100"/>
        <v>0</v>
      </c>
      <c r="AE322" s="183">
        <f t="shared" si="101"/>
        <v>0</v>
      </c>
      <c r="AF322" s="196">
        <f t="shared" si="102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88"/>
        <v>0</v>
      </c>
      <c r="D323" s="183">
        <f t="shared" si="88"/>
        <v>0</v>
      </c>
      <c r="E323" s="183">
        <f t="shared" si="88"/>
        <v>0</v>
      </c>
      <c r="F323" s="183">
        <f t="shared" si="88"/>
        <v>0</v>
      </c>
      <c r="G323" s="183">
        <f t="shared" si="88"/>
        <v>0</v>
      </c>
      <c r="H323" s="183">
        <f t="shared" si="88"/>
        <v>0</v>
      </c>
      <c r="I323" s="183">
        <f t="shared" si="88"/>
        <v>0</v>
      </c>
      <c r="J323" s="183">
        <f t="shared" si="88"/>
        <v>0</v>
      </c>
      <c r="K323" s="183">
        <f t="shared" si="88"/>
        <v>0</v>
      </c>
      <c r="L323" s="183">
        <f t="shared" si="88"/>
        <v>0</v>
      </c>
      <c r="M323" s="183">
        <f t="shared" si="88"/>
        <v>0</v>
      </c>
      <c r="N323" s="183">
        <f t="shared" si="88"/>
        <v>0</v>
      </c>
      <c r="O323" s="183">
        <f t="shared" si="88"/>
        <v>0</v>
      </c>
      <c r="P323" s="183">
        <f t="shared" si="88"/>
        <v>0</v>
      </c>
      <c r="Q323" s="183">
        <f t="shared" si="88"/>
        <v>0</v>
      </c>
      <c r="R323" s="183">
        <f t="shared" si="88"/>
        <v>0</v>
      </c>
      <c r="S323" s="183">
        <f t="shared" si="89"/>
        <v>0</v>
      </c>
      <c r="T323" s="183">
        <f t="shared" si="90"/>
        <v>0</v>
      </c>
      <c r="U323" s="183">
        <f t="shared" si="91"/>
        <v>0</v>
      </c>
      <c r="V323" s="183">
        <f t="shared" si="92"/>
        <v>0</v>
      </c>
      <c r="W323" s="183">
        <f t="shared" si="93"/>
        <v>0</v>
      </c>
      <c r="X323" s="183">
        <f t="shared" si="94"/>
        <v>0</v>
      </c>
      <c r="Y323" s="183">
        <f t="shared" si="95"/>
        <v>0</v>
      </c>
      <c r="Z323" s="183">
        <f t="shared" si="96"/>
        <v>0</v>
      </c>
      <c r="AA323" s="183">
        <f t="shared" si="97"/>
        <v>0</v>
      </c>
      <c r="AB323" s="183">
        <f t="shared" si="98"/>
        <v>0</v>
      </c>
      <c r="AC323" s="183">
        <f t="shared" si="99"/>
        <v>0</v>
      </c>
      <c r="AD323" s="183">
        <f t="shared" si="100"/>
        <v>0</v>
      </c>
      <c r="AE323" s="183">
        <f t="shared" si="101"/>
        <v>0</v>
      </c>
      <c r="AF323" s="196">
        <f t="shared" si="102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88"/>
        <v>0</v>
      </c>
      <c r="D324" s="183">
        <f t="shared" si="88"/>
        <v>0</v>
      </c>
      <c r="E324" s="183">
        <f t="shared" si="88"/>
        <v>0</v>
      </c>
      <c r="F324" s="183">
        <f t="shared" si="88"/>
        <v>0</v>
      </c>
      <c r="G324" s="183">
        <f t="shared" si="88"/>
        <v>0</v>
      </c>
      <c r="H324" s="183">
        <f t="shared" si="88"/>
        <v>0</v>
      </c>
      <c r="I324" s="183">
        <f t="shared" si="88"/>
        <v>0</v>
      </c>
      <c r="J324" s="183">
        <f t="shared" si="88"/>
        <v>0</v>
      </c>
      <c r="K324" s="183">
        <f t="shared" si="88"/>
        <v>0</v>
      </c>
      <c r="L324" s="183">
        <f t="shared" si="88"/>
        <v>0</v>
      </c>
      <c r="M324" s="183">
        <f t="shared" si="88"/>
        <v>0</v>
      </c>
      <c r="N324" s="183">
        <f t="shared" si="88"/>
        <v>0</v>
      </c>
      <c r="O324" s="183">
        <f t="shared" si="88"/>
        <v>0</v>
      </c>
      <c r="P324" s="183">
        <f t="shared" si="88"/>
        <v>0</v>
      </c>
      <c r="Q324" s="183">
        <f t="shared" si="88"/>
        <v>0</v>
      </c>
      <c r="R324" s="183">
        <f t="shared" si="88"/>
        <v>0</v>
      </c>
      <c r="S324" s="183">
        <f t="shared" si="89"/>
        <v>0</v>
      </c>
      <c r="T324" s="183">
        <f t="shared" si="90"/>
        <v>0</v>
      </c>
      <c r="U324" s="183">
        <f t="shared" si="91"/>
        <v>0</v>
      </c>
      <c r="V324" s="183">
        <f t="shared" si="92"/>
        <v>0</v>
      </c>
      <c r="W324" s="183">
        <f t="shared" si="93"/>
        <v>0</v>
      </c>
      <c r="X324" s="183">
        <f t="shared" si="94"/>
        <v>0</v>
      </c>
      <c r="Y324" s="183">
        <f t="shared" si="95"/>
        <v>0</v>
      </c>
      <c r="Z324" s="183">
        <f t="shared" si="96"/>
        <v>0</v>
      </c>
      <c r="AA324" s="183">
        <f t="shared" si="97"/>
        <v>0</v>
      </c>
      <c r="AB324" s="183">
        <f t="shared" si="98"/>
        <v>0</v>
      </c>
      <c r="AC324" s="183">
        <f t="shared" si="99"/>
        <v>0</v>
      </c>
      <c r="AD324" s="183">
        <f t="shared" si="100"/>
        <v>0</v>
      </c>
      <c r="AE324" s="183">
        <f t="shared" si="101"/>
        <v>0</v>
      </c>
      <c r="AF324" s="196">
        <f t="shared" si="102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88"/>
        <v>0</v>
      </c>
      <c r="D325" s="183">
        <f t="shared" si="88"/>
        <v>0</v>
      </c>
      <c r="E325" s="183">
        <f t="shared" si="88"/>
        <v>0</v>
      </c>
      <c r="F325" s="183">
        <f t="shared" si="88"/>
        <v>0</v>
      </c>
      <c r="G325" s="183">
        <f t="shared" si="88"/>
        <v>0</v>
      </c>
      <c r="H325" s="183">
        <f t="shared" si="88"/>
        <v>0</v>
      </c>
      <c r="I325" s="183">
        <f t="shared" si="88"/>
        <v>0</v>
      </c>
      <c r="J325" s="183">
        <f t="shared" si="88"/>
        <v>0</v>
      </c>
      <c r="K325" s="183">
        <f t="shared" si="88"/>
        <v>0</v>
      </c>
      <c r="L325" s="183">
        <f t="shared" si="88"/>
        <v>0</v>
      </c>
      <c r="M325" s="183">
        <f t="shared" si="88"/>
        <v>0</v>
      </c>
      <c r="N325" s="183">
        <f t="shared" si="88"/>
        <v>0</v>
      </c>
      <c r="O325" s="183">
        <f t="shared" si="88"/>
        <v>0</v>
      </c>
      <c r="P325" s="183">
        <f t="shared" si="88"/>
        <v>0</v>
      </c>
      <c r="Q325" s="183">
        <f t="shared" si="88"/>
        <v>0</v>
      </c>
      <c r="R325" s="183">
        <f t="shared" si="88"/>
        <v>0</v>
      </c>
      <c r="S325" s="183">
        <f t="shared" si="89"/>
        <v>0</v>
      </c>
      <c r="T325" s="183">
        <f t="shared" si="90"/>
        <v>0</v>
      </c>
      <c r="U325" s="183">
        <f t="shared" si="91"/>
        <v>0</v>
      </c>
      <c r="V325" s="183">
        <f t="shared" si="92"/>
        <v>0</v>
      </c>
      <c r="W325" s="183">
        <f t="shared" si="93"/>
        <v>0</v>
      </c>
      <c r="X325" s="183">
        <f t="shared" si="94"/>
        <v>0</v>
      </c>
      <c r="Y325" s="183">
        <f t="shared" si="95"/>
        <v>0</v>
      </c>
      <c r="Z325" s="183">
        <f t="shared" si="96"/>
        <v>0</v>
      </c>
      <c r="AA325" s="183">
        <f t="shared" si="97"/>
        <v>0</v>
      </c>
      <c r="AB325" s="183">
        <f t="shared" si="98"/>
        <v>0</v>
      </c>
      <c r="AC325" s="183">
        <f t="shared" si="99"/>
        <v>0</v>
      </c>
      <c r="AD325" s="183">
        <f t="shared" si="100"/>
        <v>0</v>
      </c>
      <c r="AE325" s="183">
        <f t="shared" si="101"/>
        <v>0</v>
      </c>
      <c r="AF325" s="196">
        <f t="shared" si="102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88"/>
        <v>0</v>
      </c>
      <c r="D326" s="183">
        <f t="shared" si="88"/>
        <v>0</v>
      </c>
      <c r="E326" s="183">
        <f t="shared" si="88"/>
        <v>0</v>
      </c>
      <c r="F326" s="183">
        <f t="shared" si="88"/>
        <v>0</v>
      </c>
      <c r="G326" s="183">
        <f t="shared" si="88"/>
        <v>0</v>
      </c>
      <c r="H326" s="183">
        <f t="shared" si="88"/>
        <v>0</v>
      </c>
      <c r="I326" s="183">
        <f t="shared" si="88"/>
        <v>0</v>
      </c>
      <c r="J326" s="183">
        <f t="shared" si="88"/>
        <v>0</v>
      </c>
      <c r="K326" s="183">
        <f t="shared" si="88"/>
        <v>0</v>
      </c>
      <c r="L326" s="183">
        <f t="shared" si="88"/>
        <v>0</v>
      </c>
      <c r="M326" s="183">
        <f t="shared" si="88"/>
        <v>0</v>
      </c>
      <c r="N326" s="183">
        <f t="shared" si="88"/>
        <v>0</v>
      </c>
      <c r="O326" s="183">
        <f t="shared" si="88"/>
        <v>0</v>
      </c>
      <c r="P326" s="183">
        <f t="shared" si="88"/>
        <v>0</v>
      </c>
      <c r="Q326" s="183">
        <f t="shared" si="88"/>
        <v>0</v>
      </c>
      <c r="R326" s="183">
        <f t="shared" si="88"/>
        <v>0</v>
      </c>
      <c r="S326" s="183">
        <f t="shared" si="89"/>
        <v>0</v>
      </c>
      <c r="T326" s="183">
        <f t="shared" si="90"/>
        <v>0</v>
      </c>
      <c r="U326" s="183">
        <f t="shared" si="91"/>
        <v>0</v>
      </c>
      <c r="V326" s="183">
        <f t="shared" si="92"/>
        <v>0</v>
      </c>
      <c r="W326" s="183">
        <f t="shared" si="93"/>
        <v>0</v>
      </c>
      <c r="X326" s="183">
        <f t="shared" si="94"/>
        <v>0</v>
      </c>
      <c r="Y326" s="183">
        <f t="shared" si="95"/>
        <v>0</v>
      </c>
      <c r="Z326" s="183">
        <f t="shared" si="96"/>
        <v>0</v>
      </c>
      <c r="AA326" s="183">
        <f t="shared" si="97"/>
        <v>0</v>
      </c>
      <c r="AB326" s="183">
        <f t="shared" si="98"/>
        <v>0</v>
      </c>
      <c r="AC326" s="183">
        <f t="shared" si="99"/>
        <v>0</v>
      </c>
      <c r="AD326" s="183">
        <f t="shared" si="100"/>
        <v>0</v>
      </c>
      <c r="AE326" s="183">
        <f t="shared" si="101"/>
        <v>0</v>
      </c>
      <c r="AF326" s="196">
        <f t="shared" si="102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88"/>
        <v>0</v>
      </c>
      <c r="D327" s="183">
        <f t="shared" si="88"/>
        <v>0</v>
      </c>
      <c r="E327" s="183">
        <f t="shared" si="88"/>
        <v>0</v>
      </c>
      <c r="F327" s="183">
        <f t="shared" si="88"/>
        <v>0</v>
      </c>
      <c r="G327" s="183">
        <f t="shared" si="88"/>
        <v>0</v>
      </c>
      <c r="H327" s="183">
        <f t="shared" si="88"/>
        <v>0</v>
      </c>
      <c r="I327" s="183">
        <f t="shared" si="88"/>
        <v>0</v>
      </c>
      <c r="J327" s="183">
        <f t="shared" si="88"/>
        <v>0</v>
      </c>
      <c r="K327" s="183">
        <f t="shared" si="88"/>
        <v>0</v>
      </c>
      <c r="L327" s="183">
        <f t="shared" si="88"/>
        <v>0</v>
      </c>
      <c r="M327" s="183">
        <f t="shared" si="88"/>
        <v>0</v>
      </c>
      <c r="N327" s="183">
        <f t="shared" si="88"/>
        <v>0</v>
      </c>
      <c r="O327" s="183">
        <f t="shared" si="88"/>
        <v>0</v>
      </c>
      <c r="P327" s="183">
        <f t="shared" si="88"/>
        <v>0</v>
      </c>
      <c r="Q327" s="183">
        <f t="shared" si="88"/>
        <v>0</v>
      </c>
      <c r="R327" s="183">
        <f t="shared" si="88"/>
        <v>0</v>
      </c>
      <c r="S327" s="183">
        <f t="shared" si="89"/>
        <v>0</v>
      </c>
      <c r="T327" s="183">
        <f t="shared" si="90"/>
        <v>0</v>
      </c>
      <c r="U327" s="183">
        <f t="shared" si="91"/>
        <v>0</v>
      </c>
      <c r="V327" s="183">
        <f t="shared" si="92"/>
        <v>0</v>
      </c>
      <c r="W327" s="183">
        <f t="shared" si="93"/>
        <v>0</v>
      </c>
      <c r="X327" s="183">
        <f t="shared" si="94"/>
        <v>0</v>
      </c>
      <c r="Y327" s="183">
        <f t="shared" si="95"/>
        <v>0</v>
      </c>
      <c r="Z327" s="183">
        <f t="shared" si="96"/>
        <v>0</v>
      </c>
      <c r="AA327" s="183">
        <f t="shared" si="97"/>
        <v>0</v>
      </c>
      <c r="AB327" s="183">
        <f t="shared" si="98"/>
        <v>0</v>
      </c>
      <c r="AC327" s="183">
        <f t="shared" si="99"/>
        <v>0</v>
      </c>
      <c r="AD327" s="183">
        <f t="shared" si="100"/>
        <v>0</v>
      </c>
      <c r="AE327" s="183">
        <f t="shared" si="101"/>
        <v>0</v>
      </c>
      <c r="AF327" s="196">
        <f t="shared" si="102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88"/>
        <v>0</v>
      </c>
      <c r="D328" s="183">
        <f t="shared" si="88"/>
        <v>0</v>
      </c>
      <c r="E328" s="183">
        <f t="shared" si="88"/>
        <v>0</v>
      </c>
      <c r="F328" s="183">
        <f t="shared" si="88"/>
        <v>0</v>
      </c>
      <c r="G328" s="183">
        <f t="shared" si="88"/>
        <v>0</v>
      </c>
      <c r="H328" s="183">
        <f t="shared" si="88"/>
        <v>0</v>
      </c>
      <c r="I328" s="183">
        <f t="shared" si="88"/>
        <v>0</v>
      </c>
      <c r="J328" s="183">
        <f t="shared" si="88"/>
        <v>0</v>
      </c>
      <c r="K328" s="183">
        <f t="shared" si="88"/>
        <v>0</v>
      </c>
      <c r="L328" s="183">
        <f t="shared" si="88"/>
        <v>0</v>
      </c>
      <c r="M328" s="183">
        <f t="shared" si="88"/>
        <v>0</v>
      </c>
      <c r="N328" s="183">
        <f t="shared" si="88"/>
        <v>0</v>
      </c>
      <c r="O328" s="183">
        <f t="shared" si="88"/>
        <v>0</v>
      </c>
      <c r="P328" s="183">
        <f t="shared" si="88"/>
        <v>0</v>
      </c>
      <c r="Q328" s="183">
        <f t="shared" si="88"/>
        <v>0</v>
      </c>
      <c r="R328" s="183">
        <f t="shared" ref="R328" si="103">Q328</f>
        <v>0</v>
      </c>
      <c r="S328" s="183">
        <f t="shared" si="89"/>
        <v>0</v>
      </c>
      <c r="T328" s="183">
        <f t="shared" si="90"/>
        <v>0</v>
      </c>
      <c r="U328" s="183">
        <f t="shared" si="91"/>
        <v>0</v>
      </c>
      <c r="V328" s="183">
        <f t="shared" si="92"/>
        <v>0</v>
      </c>
      <c r="W328" s="183">
        <f t="shared" si="93"/>
        <v>0</v>
      </c>
      <c r="X328" s="183">
        <f t="shared" si="94"/>
        <v>0</v>
      </c>
      <c r="Y328" s="183">
        <f t="shared" si="95"/>
        <v>0</v>
      </c>
      <c r="Z328" s="183">
        <f t="shared" si="96"/>
        <v>0</v>
      </c>
      <c r="AA328" s="183">
        <f t="shared" si="97"/>
        <v>0</v>
      </c>
      <c r="AB328" s="183">
        <f t="shared" si="98"/>
        <v>0</v>
      </c>
      <c r="AC328" s="183">
        <f t="shared" si="99"/>
        <v>0</v>
      </c>
      <c r="AD328" s="183">
        <f t="shared" si="100"/>
        <v>0</v>
      </c>
      <c r="AE328" s="183">
        <f t="shared" si="101"/>
        <v>0</v>
      </c>
      <c r="AF328" s="196">
        <f t="shared" si="102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04">B329</f>
        <v>0</v>
      </c>
      <c r="D329" s="183">
        <f t="shared" si="104"/>
        <v>0</v>
      </c>
      <c r="E329" s="183">
        <f t="shared" si="104"/>
        <v>0</v>
      </c>
      <c r="F329" s="183">
        <f t="shared" si="104"/>
        <v>0</v>
      </c>
      <c r="G329" s="183">
        <f t="shared" si="104"/>
        <v>0</v>
      </c>
      <c r="H329" s="183">
        <f t="shared" si="104"/>
        <v>0</v>
      </c>
      <c r="I329" s="183">
        <f t="shared" si="104"/>
        <v>0</v>
      </c>
      <c r="J329" s="183">
        <f t="shared" si="104"/>
        <v>0</v>
      </c>
      <c r="K329" s="183">
        <f t="shared" si="104"/>
        <v>0</v>
      </c>
      <c r="L329" s="183">
        <f t="shared" si="104"/>
        <v>0</v>
      </c>
      <c r="M329" s="183">
        <f t="shared" si="104"/>
        <v>0</v>
      </c>
      <c r="N329" s="183">
        <f t="shared" si="104"/>
        <v>0</v>
      </c>
      <c r="O329" s="183">
        <f t="shared" si="104"/>
        <v>0</v>
      </c>
      <c r="P329" s="183">
        <f t="shared" si="104"/>
        <v>0</v>
      </c>
      <c r="Q329" s="183">
        <f t="shared" si="104"/>
        <v>0</v>
      </c>
      <c r="R329" s="183">
        <f t="shared" si="104"/>
        <v>0</v>
      </c>
      <c r="S329" s="183">
        <f t="shared" si="89"/>
        <v>0</v>
      </c>
      <c r="T329" s="183">
        <f t="shared" si="90"/>
        <v>0</v>
      </c>
      <c r="U329" s="183">
        <f t="shared" si="91"/>
        <v>0</v>
      </c>
      <c r="V329" s="183">
        <f t="shared" si="92"/>
        <v>0</v>
      </c>
      <c r="W329" s="183">
        <f t="shared" si="93"/>
        <v>0</v>
      </c>
      <c r="X329" s="183">
        <f t="shared" si="94"/>
        <v>0</v>
      </c>
      <c r="Y329" s="183">
        <f t="shared" si="95"/>
        <v>0</v>
      </c>
      <c r="Z329" s="183">
        <f t="shared" si="96"/>
        <v>0</v>
      </c>
      <c r="AA329" s="183">
        <f t="shared" si="97"/>
        <v>0</v>
      </c>
      <c r="AB329" s="183">
        <f t="shared" si="98"/>
        <v>0</v>
      </c>
      <c r="AC329" s="183">
        <f t="shared" si="99"/>
        <v>0</v>
      </c>
      <c r="AD329" s="183">
        <f t="shared" si="100"/>
        <v>0</v>
      </c>
      <c r="AE329" s="183">
        <f t="shared" si="101"/>
        <v>0</v>
      </c>
      <c r="AF329" s="196">
        <f t="shared" si="102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04"/>
        <v>0</v>
      </c>
      <c r="D330" s="183">
        <f t="shared" si="104"/>
        <v>0</v>
      </c>
      <c r="E330" s="183">
        <f t="shared" si="104"/>
        <v>0</v>
      </c>
      <c r="F330" s="183">
        <f t="shared" si="104"/>
        <v>0</v>
      </c>
      <c r="G330" s="183">
        <f t="shared" si="104"/>
        <v>0</v>
      </c>
      <c r="H330" s="183">
        <f t="shared" si="104"/>
        <v>0</v>
      </c>
      <c r="I330" s="183">
        <f t="shared" si="104"/>
        <v>0</v>
      </c>
      <c r="J330" s="183">
        <f t="shared" si="104"/>
        <v>0</v>
      </c>
      <c r="K330" s="183">
        <f t="shared" si="104"/>
        <v>0</v>
      </c>
      <c r="L330" s="183">
        <f t="shared" si="104"/>
        <v>0</v>
      </c>
      <c r="M330" s="183">
        <f t="shared" si="104"/>
        <v>0</v>
      </c>
      <c r="N330" s="183">
        <f t="shared" si="104"/>
        <v>0</v>
      </c>
      <c r="O330" s="183">
        <f t="shared" si="104"/>
        <v>0</v>
      </c>
      <c r="P330" s="183">
        <f t="shared" si="104"/>
        <v>0</v>
      </c>
      <c r="Q330" s="183">
        <f t="shared" si="104"/>
        <v>0</v>
      </c>
      <c r="R330" s="183">
        <f t="shared" si="104"/>
        <v>0</v>
      </c>
      <c r="S330" s="183">
        <f t="shared" si="89"/>
        <v>0</v>
      </c>
      <c r="T330" s="183">
        <f t="shared" si="90"/>
        <v>0</v>
      </c>
      <c r="U330" s="183">
        <f t="shared" si="91"/>
        <v>0</v>
      </c>
      <c r="V330" s="183">
        <f t="shared" si="92"/>
        <v>0</v>
      </c>
      <c r="W330" s="183">
        <f t="shared" si="93"/>
        <v>0</v>
      </c>
      <c r="X330" s="183">
        <f t="shared" si="94"/>
        <v>0</v>
      </c>
      <c r="Y330" s="183">
        <f t="shared" si="95"/>
        <v>0</v>
      </c>
      <c r="Z330" s="183">
        <f t="shared" si="96"/>
        <v>0</v>
      </c>
      <c r="AA330" s="183">
        <f t="shared" si="97"/>
        <v>0</v>
      </c>
      <c r="AB330" s="183">
        <f t="shared" si="98"/>
        <v>0</v>
      </c>
      <c r="AC330" s="183">
        <f t="shared" si="99"/>
        <v>0</v>
      </c>
      <c r="AD330" s="183">
        <f t="shared" si="100"/>
        <v>0</v>
      </c>
      <c r="AE330" s="183">
        <f t="shared" si="101"/>
        <v>0</v>
      </c>
      <c r="AF330" s="196">
        <f t="shared" si="102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04"/>
        <v>0</v>
      </c>
      <c r="D331" s="183">
        <f t="shared" si="104"/>
        <v>0</v>
      </c>
      <c r="E331" s="183">
        <f t="shared" si="104"/>
        <v>0</v>
      </c>
      <c r="F331" s="183">
        <f t="shared" si="104"/>
        <v>0</v>
      </c>
      <c r="G331" s="183">
        <f t="shared" si="104"/>
        <v>0</v>
      </c>
      <c r="H331" s="183">
        <f t="shared" si="104"/>
        <v>0</v>
      </c>
      <c r="I331" s="183">
        <f t="shared" si="104"/>
        <v>0</v>
      </c>
      <c r="J331" s="183">
        <f t="shared" si="104"/>
        <v>0</v>
      </c>
      <c r="K331" s="183">
        <f t="shared" si="104"/>
        <v>0</v>
      </c>
      <c r="L331" s="183">
        <f t="shared" si="104"/>
        <v>0</v>
      </c>
      <c r="M331" s="183">
        <f t="shared" si="104"/>
        <v>0</v>
      </c>
      <c r="N331" s="183">
        <f t="shared" si="104"/>
        <v>0</v>
      </c>
      <c r="O331" s="183">
        <f t="shared" si="104"/>
        <v>0</v>
      </c>
      <c r="P331" s="183">
        <f t="shared" si="104"/>
        <v>0</v>
      </c>
      <c r="Q331" s="183">
        <f t="shared" si="104"/>
        <v>0</v>
      </c>
      <c r="R331" s="183">
        <f t="shared" si="104"/>
        <v>0</v>
      </c>
      <c r="S331" s="183">
        <f t="shared" si="89"/>
        <v>0</v>
      </c>
      <c r="T331" s="183">
        <f t="shared" si="90"/>
        <v>0</v>
      </c>
      <c r="U331" s="183">
        <f t="shared" si="91"/>
        <v>0</v>
      </c>
      <c r="V331" s="183">
        <f t="shared" si="92"/>
        <v>0</v>
      </c>
      <c r="W331" s="183">
        <f t="shared" si="93"/>
        <v>0</v>
      </c>
      <c r="X331" s="183">
        <f t="shared" si="94"/>
        <v>0</v>
      </c>
      <c r="Y331" s="183">
        <f t="shared" si="95"/>
        <v>0</v>
      </c>
      <c r="Z331" s="183">
        <f t="shared" si="96"/>
        <v>0</v>
      </c>
      <c r="AA331" s="183">
        <f t="shared" si="97"/>
        <v>0</v>
      </c>
      <c r="AB331" s="183">
        <f t="shared" si="98"/>
        <v>0</v>
      </c>
      <c r="AC331" s="183">
        <f t="shared" si="99"/>
        <v>0</v>
      </c>
      <c r="AD331" s="183">
        <f t="shared" si="100"/>
        <v>0</v>
      </c>
      <c r="AE331" s="183">
        <f t="shared" si="101"/>
        <v>0</v>
      </c>
      <c r="AF331" s="196">
        <f t="shared" si="102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04"/>
        <v>0</v>
      </c>
      <c r="D332" s="183">
        <f t="shared" si="104"/>
        <v>0</v>
      </c>
      <c r="E332" s="183">
        <f t="shared" si="104"/>
        <v>0</v>
      </c>
      <c r="F332" s="183">
        <f t="shared" si="104"/>
        <v>0</v>
      </c>
      <c r="G332" s="183">
        <f t="shared" si="104"/>
        <v>0</v>
      </c>
      <c r="H332" s="183">
        <f t="shared" si="104"/>
        <v>0</v>
      </c>
      <c r="I332" s="183">
        <f t="shared" si="104"/>
        <v>0</v>
      </c>
      <c r="J332" s="183">
        <f t="shared" si="104"/>
        <v>0</v>
      </c>
      <c r="K332" s="183">
        <f t="shared" si="104"/>
        <v>0</v>
      </c>
      <c r="L332" s="183">
        <f t="shared" si="104"/>
        <v>0</v>
      </c>
      <c r="M332" s="183">
        <f t="shared" si="104"/>
        <v>0</v>
      </c>
      <c r="N332" s="183">
        <f t="shared" si="104"/>
        <v>0</v>
      </c>
      <c r="O332" s="183">
        <f t="shared" si="104"/>
        <v>0</v>
      </c>
      <c r="P332" s="183">
        <f t="shared" si="104"/>
        <v>0</v>
      </c>
      <c r="Q332" s="183">
        <f t="shared" si="104"/>
        <v>0</v>
      </c>
      <c r="R332" s="183">
        <f t="shared" si="104"/>
        <v>0</v>
      </c>
      <c r="S332" s="183">
        <f t="shared" si="89"/>
        <v>0</v>
      </c>
      <c r="T332" s="183">
        <f t="shared" si="90"/>
        <v>0</v>
      </c>
      <c r="U332" s="183">
        <f t="shared" si="91"/>
        <v>0</v>
      </c>
      <c r="V332" s="183">
        <f t="shared" si="92"/>
        <v>0</v>
      </c>
      <c r="W332" s="183">
        <f t="shared" si="93"/>
        <v>0</v>
      </c>
      <c r="X332" s="183">
        <f t="shared" si="94"/>
        <v>0</v>
      </c>
      <c r="Y332" s="183">
        <f t="shared" si="95"/>
        <v>0</v>
      </c>
      <c r="Z332" s="183">
        <f t="shared" si="96"/>
        <v>0</v>
      </c>
      <c r="AA332" s="183">
        <f t="shared" si="97"/>
        <v>0</v>
      </c>
      <c r="AB332" s="183">
        <f t="shared" si="98"/>
        <v>0</v>
      </c>
      <c r="AC332" s="183">
        <f t="shared" si="99"/>
        <v>0</v>
      </c>
      <c r="AD332" s="183">
        <f t="shared" si="100"/>
        <v>0</v>
      </c>
      <c r="AE332" s="183">
        <f t="shared" si="101"/>
        <v>0</v>
      </c>
      <c r="AF332" s="196">
        <f t="shared" si="102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04"/>
        <v>0</v>
      </c>
      <c r="D333" s="183">
        <f t="shared" si="104"/>
        <v>0</v>
      </c>
      <c r="E333" s="183">
        <f t="shared" si="104"/>
        <v>0</v>
      </c>
      <c r="F333" s="183">
        <f t="shared" si="104"/>
        <v>0</v>
      </c>
      <c r="G333" s="183">
        <f t="shared" si="104"/>
        <v>0</v>
      </c>
      <c r="H333" s="183">
        <f t="shared" si="104"/>
        <v>0</v>
      </c>
      <c r="I333" s="183">
        <f t="shared" si="104"/>
        <v>0</v>
      </c>
      <c r="J333" s="183">
        <f t="shared" si="104"/>
        <v>0</v>
      </c>
      <c r="K333" s="183">
        <f t="shared" si="104"/>
        <v>0</v>
      </c>
      <c r="L333" s="183">
        <f t="shared" si="104"/>
        <v>0</v>
      </c>
      <c r="M333" s="183">
        <f t="shared" si="104"/>
        <v>0</v>
      </c>
      <c r="N333" s="183">
        <f t="shared" si="104"/>
        <v>0</v>
      </c>
      <c r="O333" s="183">
        <f t="shared" si="104"/>
        <v>0</v>
      </c>
      <c r="P333" s="183">
        <f t="shared" si="104"/>
        <v>0</v>
      </c>
      <c r="Q333" s="183">
        <f t="shared" si="104"/>
        <v>0</v>
      </c>
      <c r="R333" s="183">
        <f t="shared" si="104"/>
        <v>0</v>
      </c>
      <c r="S333" s="183">
        <f t="shared" si="89"/>
        <v>0</v>
      </c>
      <c r="T333" s="183">
        <f t="shared" si="90"/>
        <v>0</v>
      </c>
      <c r="U333" s="183">
        <f t="shared" si="91"/>
        <v>0</v>
      </c>
      <c r="V333" s="183">
        <f t="shared" si="92"/>
        <v>0</v>
      </c>
      <c r="W333" s="183">
        <f t="shared" si="93"/>
        <v>0</v>
      </c>
      <c r="X333" s="183">
        <f t="shared" si="94"/>
        <v>0</v>
      </c>
      <c r="Y333" s="183">
        <f t="shared" si="95"/>
        <v>0</v>
      </c>
      <c r="Z333" s="183">
        <f t="shared" si="96"/>
        <v>0</v>
      </c>
      <c r="AA333" s="183">
        <f t="shared" si="97"/>
        <v>0</v>
      </c>
      <c r="AB333" s="183">
        <f t="shared" si="98"/>
        <v>0</v>
      </c>
      <c r="AC333" s="183">
        <f t="shared" si="99"/>
        <v>0</v>
      </c>
      <c r="AD333" s="183">
        <f t="shared" si="100"/>
        <v>0</v>
      </c>
      <c r="AE333" s="183">
        <f t="shared" si="101"/>
        <v>0</v>
      </c>
      <c r="AF333" s="196">
        <f t="shared" si="102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04"/>
        <v>0</v>
      </c>
      <c r="D334" s="186">
        <f t="shared" si="104"/>
        <v>0</v>
      </c>
      <c r="E334" s="186">
        <f t="shared" si="104"/>
        <v>0</v>
      </c>
      <c r="F334" s="186">
        <f t="shared" si="104"/>
        <v>0</v>
      </c>
      <c r="G334" s="186">
        <f t="shared" si="104"/>
        <v>0</v>
      </c>
      <c r="H334" s="186">
        <f t="shared" si="104"/>
        <v>0</v>
      </c>
      <c r="I334" s="186">
        <f t="shared" si="104"/>
        <v>0</v>
      </c>
      <c r="J334" s="186">
        <f t="shared" si="104"/>
        <v>0</v>
      </c>
      <c r="K334" s="186">
        <f t="shared" si="104"/>
        <v>0</v>
      </c>
      <c r="L334" s="186">
        <f t="shared" si="104"/>
        <v>0</v>
      </c>
      <c r="M334" s="186">
        <f t="shared" si="104"/>
        <v>0</v>
      </c>
      <c r="N334" s="186">
        <f t="shared" si="104"/>
        <v>0</v>
      </c>
      <c r="O334" s="186">
        <f t="shared" si="104"/>
        <v>0</v>
      </c>
      <c r="P334" s="186">
        <f t="shared" si="104"/>
        <v>0</v>
      </c>
      <c r="Q334" s="186">
        <f t="shared" si="104"/>
        <v>0</v>
      </c>
      <c r="R334" s="186">
        <f t="shared" si="104"/>
        <v>0</v>
      </c>
      <c r="S334" s="186">
        <f t="shared" si="89"/>
        <v>0</v>
      </c>
      <c r="T334" s="186">
        <f t="shared" si="90"/>
        <v>0</v>
      </c>
      <c r="U334" s="186">
        <f t="shared" si="91"/>
        <v>0</v>
      </c>
      <c r="V334" s="186">
        <f t="shared" si="92"/>
        <v>0</v>
      </c>
      <c r="W334" s="186">
        <f t="shared" si="93"/>
        <v>0</v>
      </c>
      <c r="X334" s="186">
        <f t="shared" si="94"/>
        <v>0</v>
      </c>
      <c r="Y334" s="186">
        <f t="shared" si="95"/>
        <v>0</v>
      </c>
      <c r="Z334" s="186">
        <f t="shared" si="96"/>
        <v>0</v>
      </c>
      <c r="AA334" s="186">
        <f t="shared" si="97"/>
        <v>0</v>
      </c>
      <c r="AB334" s="186">
        <f t="shared" si="98"/>
        <v>0</v>
      </c>
      <c r="AC334" s="186">
        <f t="shared" si="99"/>
        <v>0</v>
      </c>
      <c r="AD334" s="186">
        <f t="shared" si="100"/>
        <v>0</v>
      </c>
      <c r="AE334" s="186">
        <f t="shared" si="101"/>
        <v>0</v>
      </c>
      <c r="AF334" s="219">
        <f t="shared" si="102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105">SUM(B204:B334)</f>
        <v>0</v>
      </c>
      <c r="C335" s="189">
        <f t="shared" si="105"/>
        <v>0</v>
      </c>
      <c r="D335" s="189">
        <f t="shared" si="105"/>
        <v>0</v>
      </c>
      <c r="E335" s="189">
        <f t="shared" si="105"/>
        <v>0</v>
      </c>
      <c r="F335" s="189">
        <f t="shared" si="105"/>
        <v>0</v>
      </c>
      <c r="G335" s="189">
        <f t="shared" si="105"/>
        <v>0</v>
      </c>
      <c r="H335" s="189">
        <f t="shared" si="105"/>
        <v>0</v>
      </c>
      <c r="I335" s="189">
        <f t="shared" si="105"/>
        <v>0</v>
      </c>
      <c r="J335" s="189">
        <f t="shared" si="105"/>
        <v>0</v>
      </c>
      <c r="K335" s="189">
        <f t="shared" si="105"/>
        <v>0</v>
      </c>
      <c r="L335" s="189">
        <f t="shared" si="105"/>
        <v>0</v>
      </c>
      <c r="M335" s="189">
        <f t="shared" si="105"/>
        <v>0</v>
      </c>
      <c r="N335" s="189">
        <f t="shared" si="105"/>
        <v>0</v>
      </c>
      <c r="O335" s="189">
        <f t="shared" si="105"/>
        <v>0</v>
      </c>
      <c r="P335" s="189">
        <f t="shared" si="105"/>
        <v>0</v>
      </c>
      <c r="Q335" s="189">
        <f t="shared" si="105"/>
        <v>0</v>
      </c>
      <c r="R335" s="189">
        <f t="shared" si="105"/>
        <v>0</v>
      </c>
      <c r="S335" s="189">
        <f t="shared" si="105"/>
        <v>0</v>
      </c>
      <c r="T335" s="189">
        <f t="shared" si="105"/>
        <v>0</v>
      </c>
      <c r="U335" s="189">
        <f t="shared" si="105"/>
        <v>0</v>
      </c>
      <c r="V335" s="189">
        <f t="shared" si="105"/>
        <v>0</v>
      </c>
      <c r="W335" s="189">
        <f t="shared" si="105"/>
        <v>0</v>
      </c>
      <c r="X335" s="189">
        <f t="shared" si="105"/>
        <v>0</v>
      </c>
      <c r="Y335" s="189">
        <f t="shared" si="105"/>
        <v>0</v>
      </c>
      <c r="Z335" s="189">
        <f t="shared" si="105"/>
        <v>0</v>
      </c>
      <c r="AA335" s="189">
        <f t="shared" si="105"/>
        <v>0</v>
      </c>
      <c r="AB335" s="189">
        <f t="shared" si="105"/>
        <v>0</v>
      </c>
      <c r="AC335" s="189">
        <f t="shared" si="105"/>
        <v>0</v>
      </c>
      <c r="AD335" s="189">
        <f t="shared" si="105"/>
        <v>0</v>
      </c>
      <c r="AE335" s="189">
        <f t="shared" si="105"/>
        <v>0</v>
      </c>
      <c r="AF335" s="221">
        <f t="shared" si="105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06">B337</f>
        <v>0</v>
      </c>
      <c r="D337" s="181">
        <f t="shared" si="106"/>
        <v>0</v>
      </c>
      <c r="E337" s="181">
        <f t="shared" si="106"/>
        <v>0</v>
      </c>
      <c r="F337" s="181">
        <f t="shared" si="106"/>
        <v>0</v>
      </c>
      <c r="G337" s="181">
        <f t="shared" si="106"/>
        <v>0</v>
      </c>
      <c r="H337" s="181">
        <f t="shared" si="106"/>
        <v>0</v>
      </c>
      <c r="I337" s="181">
        <f t="shared" si="106"/>
        <v>0</v>
      </c>
      <c r="J337" s="181">
        <f t="shared" si="106"/>
        <v>0</v>
      </c>
      <c r="K337" s="181">
        <f t="shared" si="106"/>
        <v>0</v>
      </c>
      <c r="L337" s="181">
        <f t="shared" si="106"/>
        <v>0</v>
      </c>
      <c r="M337" s="181">
        <f t="shared" si="106"/>
        <v>0</v>
      </c>
      <c r="N337" s="181">
        <f t="shared" si="106"/>
        <v>0</v>
      </c>
      <c r="O337" s="181">
        <f t="shared" si="106"/>
        <v>0</v>
      </c>
      <c r="P337" s="181">
        <f t="shared" si="106"/>
        <v>0</v>
      </c>
      <c r="Q337" s="181">
        <f t="shared" si="106"/>
        <v>0</v>
      </c>
      <c r="R337" s="181">
        <f t="shared" si="106"/>
        <v>0</v>
      </c>
      <c r="S337" s="181">
        <f t="shared" ref="S337:S338" si="107">R337</f>
        <v>0</v>
      </c>
      <c r="T337" s="181">
        <f t="shared" ref="T337:T338" si="108">S337</f>
        <v>0</v>
      </c>
      <c r="U337" s="181">
        <f t="shared" ref="U337:U338" si="109">T337</f>
        <v>0</v>
      </c>
      <c r="V337" s="181">
        <f t="shared" ref="V337:V338" si="110">U337</f>
        <v>0</v>
      </c>
      <c r="W337" s="181">
        <f t="shared" ref="W337:W338" si="111">V337</f>
        <v>0</v>
      </c>
      <c r="X337" s="181">
        <f t="shared" ref="X337:X338" si="112">W337</f>
        <v>0</v>
      </c>
      <c r="Y337" s="181">
        <f t="shared" ref="Y337:Y338" si="113">X337</f>
        <v>0</v>
      </c>
      <c r="Z337" s="181">
        <f t="shared" ref="Z337:Z338" si="114">Y337</f>
        <v>0</v>
      </c>
      <c r="AA337" s="181">
        <f t="shared" ref="AA337:AA338" si="115">Z337</f>
        <v>0</v>
      </c>
      <c r="AB337" s="181">
        <f t="shared" ref="AB337:AB338" si="116">AA337</f>
        <v>0</v>
      </c>
      <c r="AC337" s="181">
        <f t="shared" ref="AC337:AC338" si="117">AB337</f>
        <v>0</v>
      </c>
      <c r="AD337" s="181">
        <f t="shared" ref="AD337:AD338" si="118">AC337</f>
        <v>0</v>
      </c>
      <c r="AE337" s="181">
        <f t="shared" ref="AE337:AE338" si="119">AD337</f>
        <v>0</v>
      </c>
      <c r="AF337" s="194">
        <f t="shared" ref="AF337:AF338" si="120">AE337</f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06"/>
        <v>0</v>
      </c>
      <c r="D338" s="186">
        <f t="shared" si="106"/>
        <v>0</v>
      </c>
      <c r="E338" s="186">
        <f t="shared" si="106"/>
        <v>0</v>
      </c>
      <c r="F338" s="186">
        <f t="shared" si="106"/>
        <v>0</v>
      </c>
      <c r="G338" s="186">
        <f t="shared" si="106"/>
        <v>0</v>
      </c>
      <c r="H338" s="186">
        <f t="shared" si="106"/>
        <v>0</v>
      </c>
      <c r="I338" s="186">
        <f t="shared" si="106"/>
        <v>0</v>
      </c>
      <c r="J338" s="186">
        <f t="shared" si="106"/>
        <v>0</v>
      </c>
      <c r="K338" s="186">
        <f t="shared" si="106"/>
        <v>0</v>
      </c>
      <c r="L338" s="186">
        <f t="shared" si="106"/>
        <v>0</v>
      </c>
      <c r="M338" s="186">
        <f t="shared" si="106"/>
        <v>0</v>
      </c>
      <c r="N338" s="186">
        <f t="shared" si="106"/>
        <v>0</v>
      </c>
      <c r="O338" s="186">
        <f t="shared" si="106"/>
        <v>0</v>
      </c>
      <c r="P338" s="186">
        <f t="shared" si="106"/>
        <v>0</v>
      </c>
      <c r="Q338" s="186">
        <f t="shared" si="106"/>
        <v>0</v>
      </c>
      <c r="R338" s="186">
        <f t="shared" si="106"/>
        <v>0</v>
      </c>
      <c r="S338" s="186">
        <f t="shared" si="107"/>
        <v>0</v>
      </c>
      <c r="T338" s="186">
        <f t="shared" si="108"/>
        <v>0</v>
      </c>
      <c r="U338" s="186">
        <f t="shared" si="109"/>
        <v>0</v>
      </c>
      <c r="V338" s="186">
        <f t="shared" si="110"/>
        <v>0</v>
      </c>
      <c r="W338" s="186">
        <f t="shared" si="111"/>
        <v>0</v>
      </c>
      <c r="X338" s="186">
        <f t="shared" si="112"/>
        <v>0</v>
      </c>
      <c r="Y338" s="186">
        <f t="shared" si="113"/>
        <v>0</v>
      </c>
      <c r="Z338" s="186">
        <f t="shared" si="114"/>
        <v>0</v>
      </c>
      <c r="AA338" s="186">
        <f t="shared" si="115"/>
        <v>0</v>
      </c>
      <c r="AB338" s="186">
        <f t="shared" si="116"/>
        <v>0</v>
      </c>
      <c r="AC338" s="186">
        <f t="shared" si="117"/>
        <v>0</v>
      </c>
      <c r="AD338" s="186">
        <f t="shared" si="118"/>
        <v>0</v>
      </c>
      <c r="AE338" s="186">
        <f t="shared" si="119"/>
        <v>0</v>
      </c>
      <c r="AF338" s="219">
        <f t="shared" si="120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121">SUM(B208:B338)</f>
        <v>0</v>
      </c>
      <c r="C339" s="189">
        <f t="shared" si="121"/>
        <v>0</v>
      </c>
      <c r="D339" s="189">
        <f t="shared" si="121"/>
        <v>0</v>
      </c>
      <c r="E339" s="189">
        <f t="shared" si="121"/>
        <v>0</v>
      </c>
      <c r="F339" s="189">
        <f t="shared" si="121"/>
        <v>0</v>
      </c>
      <c r="G339" s="189">
        <f t="shared" si="121"/>
        <v>0</v>
      </c>
      <c r="H339" s="189">
        <f t="shared" si="121"/>
        <v>0</v>
      </c>
      <c r="I339" s="189">
        <f t="shared" si="121"/>
        <v>0</v>
      </c>
      <c r="J339" s="189">
        <f t="shared" si="121"/>
        <v>0</v>
      </c>
      <c r="K339" s="189">
        <f t="shared" si="121"/>
        <v>0</v>
      </c>
      <c r="L339" s="189">
        <f t="shared" si="121"/>
        <v>0</v>
      </c>
      <c r="M339" s="189">
        <f t="shared" si="121"/>
        <v>0</v>
      </c>
      <c r="N339" s="189">
        <f t="shared" si="121"/>
        <v>0</v>
      </c>
      <c r="O339" s="189">
        <f t="shared" si="121"/>
        <v>0</v>
      </c>
      <c r="P339" s="189">
        <f t="shared" si="121"/>
        <v>0</v>
      </c>
      <c r="Q339" s="189">
        <f t="shared" si="121"/>
        <v>0</v>
      </c>
      <c r="R339" s="189">
        <f t="shared" si="121"/>
        <v>0</v>
      </c>
      <c r="S339" s="189">
        <f t="shared" si="121"/>
        <v>0</v>
      </c>
      <c r="T339" s="189">
        <f t="shared" si="121"/>
        <v>0</v>
      </c>
      <c r="U339" s="189">
        <f t="shared" si="121"/>
        <v>0</v>
      </c>
      <c r="V339" s="189">
        <f t="shared" si="121"/>
        <v>0</v>
      </c>
      <c r="W339" s="189">
        <f t="shared" si="121"/>
        <v>0</v>
      </c>
      <c r="X339" s="189">
        <f t="shared" si="121"/>
        <v>0</v>
      </c>
      <c r="Y339" s="189">
        <f t="shared" si="121"/>
        <v>0</v>
      </c>
      <c r="Z339" s="189">
        <f t="shared" si="121"/>
        <v>0</v>
      </c>
      <c r="AA339" s="189">
        <f t="shared" si="121"/>
        <v>0</v>
      </c>
      <c r="AB339" s="189">
        <f t="shared" si="121"/>
        <v>0</v>
      </c>
      <c r="AC339" s="189">
        <f t="shared" si="121"/>
        <v>0</v>
      </c>
      <c r="AD339" s="189">
        <f t="shared" si="121"/>
        <v>0</v>
      </c>
      <c r="AE339" s="189">
        <f t="shared" si="121"/>
        <v>0</v>
      </c>
      <c r="AF339" s="221">
        <f t="shared" si="121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122">C311+C335+C339</f>
        <v>0</v>
      </c>
      <c r="D340" s="216">
        <f t="shared" si="122"/>
        <v>0</v>
      </c>
      <c r="E340" s="216">
        <f t="shared" si="122"/>
        <v>0</v>
      </c>
      <c r="F340" s="216">
        <f t="shared" si="122"/>
        <v>0</v>
      </c>
      <c r="G340" s="216">
        <f t="shared" si="122"/>
        <v>0</v>
      </c>
      <c r="H340" s="216">
        <f t="shared" si="122"/>
        <v>0</v>
      </c>
      <c r="I340" s="216">
        <f t="shared" si="122"/>
        <v>0</v>
      </c>
      <c r="J340" s="216">
        <f t="shared" si="122"/>
        <v>0</v>
      </c>
      <c r="K340" s="216">
        <f t="shared" si="122"/>
        <v>0</v>
      </c>
      <c r="L340" s="216">
        <f t="shared" si="122"/>
        <v>0</v>
      </c>
      <c r="M340" s="216">
        <f t="shared" si="122"/>
        <v>0</v>
      </c>
      <c r="N340" s="216">
        <f t="shared" si="122"/>
        <v>0</v>
      </c>
      <c r="O340" s="216">
        <f t="shared" si="122"/>
        <v>0</v>
      </c>
      <c r="P340" s="216">
        <f t="shared" si="122"/>
        <v>0</v>
      </c>
      <c r="Q340" s="216">
        <f t="shared" si="122"/>
        <v>0</v>
      </c>
      <c r="R340" s="216">
        <f t="shared" si="122"/>
        <v>0</v>
      </c>
      <c r="S340" s="216">
        <f t="shared" si="122"/>
        <v>0</v>
      </c>
      <c r="T340" s="216">
        <f t="shared" si="122"/>
        <v>0</v>
      </c>
      <c r="U340" s="216">
        <f t="shared" si="122"/>
        <v>0</v>
      </c>
      <c r="V340" s="216">
        <f t="shared" si="122"/>
        <v>0</v>
      </c>
      <c r="W340" s="216">
        <f t="shared" si="122"/>
        <v>0</v>
      </c>
      <c r="X340" s="216">
        <f t="shared" si="122"/>
        <v>0</v>
      </c>
      <c r="Y340" s="216">
        <f t="shared" si="122"/>
        <v>0</v>
      </c>
      <c r="Z340" s="216">
        <f t="shared" si="122"/>
        <v>0</v>
      </c>
      <c r="AA340" s="216">
        <f t="shared" si="122"/>
        <v>0</v>
      </c>
      <c r="AB340" s="216">
        <f t="shared" si="122"/>
        <v>0</v>
      </c>
      <c r="AC340" s="216">
        <f t="shared" si="122"/>
        <v>0</v>
      </c>
      <c r="AD340" s="216">
        <f t="shared" si="122"/>
        <v>0</v>
      </c>
      <c r="AE340" s="216">
        <f t="shared" si="122"/>
        <v>0</v>
      </c>
      <c r="AF340" s="216">
        <f t="shared" si="122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112">
    <cfRule type="expression" dxfId="194" priority="60">
      <formula>$AH11=0</formula>
    </cfRule>
  </conditionalFormatting>
  <conditionalFormatting sqref="A111:A112">
    <cfRule type="expression" dxfId="193" priority="229">
      <formula>$AH116=0</formula>
    </cfRule>
  </conditionalFormatting>
  <conditionalFormatting sqref="A113:A117">
    <cfRule type="expression" dxfId="192" priority="177">
      <formula>$AH112=0</formula>
    </cfRule>
  </conditionalFormatting>
  <conditionalFormatting sqref="A118:A169">
    <cfRule type="expression" dxfId="191" priority="61">
      <formula>$AH118=0</formula>
    </cfRule>
  </conditionalFormatting>
  <conditionalFormatting sqref="A163">
    <cfRule type="expression" dxfId="190" priority="41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89" priority="230">
      <formula>$AH304=0</formula>
    </cfRule>
  </conditionalFormatting>
  <conditionalFormatting sqref="A179:A340">
    <cfRule type="expression" dxfId="188" priority="100">
      <formula>$AH179=0</formula>
    </cfRule>
  </conditionalFormatting>
  <conditionalFormatting sqref="B8">
    <cfRule type="expression" dxfId="187" priority="225">
      <formula>AND(C$9&gt;=14/24,C$9&lt;20/24)</formula>
    </cfRule>
    <cfRule type="expression" dxfId="186" priority="226">
      <formula>AND(C$9&gt;=8/24,C$9&lt;14/24)</formula>
    </cfRule>
    <cfRule type="expression" dxfId="185" priority="227">
      <formula>C$9&lt;8/24</formula>
    </cfRule>
    <cfRule type="expression" dxfId="184" priority="228">
      <formula>C$9&gt;=20/24</formula>
    </cfRule>
  </conditionalFormatting>
  <conditionalFormatting sqref="B11:P13 B107:AF125 S11:AA13 E83:AF88 B147:AF170 B127:AF144">
    <cfRule type="expression" dxfId="183" priority="56">
      <formula>B$9&gt;=20/24</formula>
    </cfRule>
    <cfRule type="expression" dxfId="182" priority="57">
      <formula>AND(B$9&gt;=14/24,B$9&lt;20/24)</formula>
    </cfRule>
    <cfRule type="expression" dxfId="181" priority="58">
      <formula>AND(B$9&gt;=8/24,B$9&lt;14/24)</formula>
    </cfRule>
    <cfRule type="expression" dxfId="180" priority="59">
      <formula>B$9&lt;8/24</formula>
    </cfRule>
  </conditionalFormatting>
  <conditionalFormatting sqref="B11:P13 S11:AA13 B82:AF88">
    <cfRule type="expression" dxfId="179" priority="55">
      <formula>B11&gt;$AG11*1</formula>
    </cfRule>
  </conditionalFormatting>
  <conditionalFormatting sqref="AD90:AF100 AB79:AF80 AA80 AB12:AF13 B81:AG81 AG88 B101:AF101 AF102:AF105 B102:AE106 AF106:AG106 B79:AA79 B89:AC100">
    <cfRule type="expression" dxfId="178" priority="141">
      <formula>B12&gt;$AG12*1</formula>
    </cfRule>
  </conditionalFormatting>
  <conditionalFormatting sqref="AB12:AF13 B82:L82 E90:E100 F92:G100 H94:J100 K95:Q100 B103:AF106 B9:AF10 B87:D100 S95:AF100 Q89:R100">
    <cfRule type="expression" dxfId="177" priority="143">
      <formula>AND(B$9&gt;=14/24,B$9&lt;20/24)</formula>
    </cfRule>
    <cfRule type="expression" dxfId="176" priority="144">
      <formula>AND(B$9&gt;=8/24,B$9&lt;14/24)</formula>
    </cfRule>
    <cfRule type="expression" dxfId="175" priority="145">
      <formula>B$9&lt;8/24</formula>
    </cfRule>
  </conditionalFormatting>
  <conditionalFormatting sqref="B14:P63 S14:AF63">
    <cfRule type="expression" dxfId="174" priority="46">
      <formula>B14&gt;$AG14*1</formula>
    </cfRule>
  </conditionalFormatting>
  <conditionalFormatting sqref="B14:P70 S14:AF78 B71:R78">
    <cfRule type="expression" dxfId="173" priority="50">
      <formula>B$9&lt;8/24</formula>
    </cfRule>
  </conditionalFormatting>
  <conditionalFormatting sqref="B14:P70 S14:AF79 B71:R79 B80:AF80">
    <cfRule type="expression" dxfId="172" priority="47">
      <formula>B$9&gt;=20/24</formula>
    </cfRule>
    <cfRule type="expression" dxfId="171" priority="48">
      <formula>AND(B$9&gt;=14/24,B$9&lt;20/24)</formula>
    </cfRule>
    <cfRule type="expression" dxfId="170" priority="49">
      <formula>AND(B$9&gt;=8/24,B$9&lt;14/24)</formula>
    </cfRule>
  </conditionalFormatting>
  <conditionalFormatting sqref="B73:AF75">
    <cfRule type="expression" dxfId="169" priority="79">
      <formula>B73&gt;$AG73</formula>
    </cfRule>
  </conditionalFormatting>
  <conditionalFormatting sqref="B79:AF80">
    <cfRule type="expression" dxfId="168" priority="150">
      <formula>B$9&lt;8/24</formula>
    </cfRule>
  </conditionalFormatting>
  <conditionalFormatting sqref="B82:AF82">
    <cfRule type="expression" dxfId="167" priority="161">
      <formula>B$9&gt;=20/24</formula>
    </cfRule>
    <cfRule type="expression" dxfId="166" priority="162">
      <formula>AND(B$9&gt;=14/24,B$9&lt;20/24)</formula>
    </cfRule>
    <cfRule type="expression" dxfId="165" priority="163">
      <formula>AND(B$9&gt;=8/24,B$9&lt;14/24)</formula>
    </cfRule>
    <cfRule type="expression" dxfId="164" priority="164">
      <formula>B$9&lt;8/24</formula>
    </cfRule>
  </conditionalFormatting>
  <conditionalFormatting sqref="B83:AF86">
    <cfRule type="expression" dxfId="163" priority="67">
      <formula>B$9&gt;=20/24</formula>
    </cfRule>
    <cfRule type="expression" dxfId="162" priority="68">
      <formula>AND(B$9&gt;=14/24,B$9&lt;20/24)</formula>
    </cfRule>
    <cfRule type="expression" dxfId="161" priority="69">
      <formula>AND(B$9&gt;=8/24,B$9&lt;14/24)</formula>
    </cfRule>
    <cfRule type="expression" dxfId="160" priority="70">
      <formula>B$9&lt;8/24</formula>
    </cfRule>
  </conditionalFormatting>
  <conditionalFormatting sqref="B172:AF178">
    <cfRule type="expression" dxfId="159" priority="51">
      <formula>B$9&gt;=20/24</formula>
    </cfRule>
    <cfRule type="expression" dxfId="158" priority="52">
      <formula>AND(B$9&gt;=14/24,B$9&lt;20/24)</formula>
    </cfRule>
    <cfRule type="expression" dxfId="157" priority="53">
      <formula>AND(B$9&gt;=8/24,B$9&lt;14/24)</formula>
    </cfRule>
    <cfRule type="expression" dxfId="156" priority="54">
      <formula>B$9&lt;8/24</formula>
    </cfRule>
  </conditionalFormatting>
  <conditionalFormatting sqref="B180:AF311">
    <cfRule type="expression" dxfId="155" priority="42">
      <formula>B$9&gt;=20/24</formula>
    </cfRule>
    <cfRule type="expression" dxfId="154" priority="43">
      <formula>AND(B$9&gt;=14/24,B$9&lt;20/24)</formula>
    </cfRule>
    <cfRule type="expression" dxfId="153" priority="44">
      <formula>AND(B$9&gt;=8/24,B$9&lt;14/24)</formula>
    </cfRule>
    <cfRule type="expression" dxfId="152" priority="45">
      <formula>B$9&lt;8/24</formula>
    </cfRule>
  </conditionalFormatting>
  <conditionalFormatting sqref="E89:I93 J90:J93 K93:O93">
    <cfRule type="expression" dxfId="151" priority="151">
      <formula>E$9&gt;=20/24</formula>
    </cfRule>
    <cfRule type="expression" dxfId="150" priority="152">
      <formula>AND(E$9&gt;=14/24,E$9&lt;20/24)</formula>
    </cfRule>
    <cfRule type="expression" dxfId="149" priority="153">
      <formula>AND(E$9&gt;=8/24,E$9&lt;14/24)</formula>
    </cfRule>
    <cfRule type="expression" dxfId="148" priority="154">
      <formula>E$9&lt;8/24</formula>
    </cfRule>
  </conditionalFormatting>
  <conditionalFormatting sqref="E94:O94">
    <cfRule type="expression" dxfId="147" priority="146">
      <formula>E$9&gt;=20/24</formula>
    </cfRule>
    <cfRule type="expression" dxfId="146" priority="147">
      <formula>AND(E$9&gt;=14/24,E$9&lt;20/24)</formula>
    </cfRule>
    <cfRule type="expression" dxfId="145" priority="148">
      <formula>AND(E$9&gt;=8/24,E$9&lt;14/24)</formula>
    </cfRule>
    <cfRule type="expression" dxfId="144" priority="149">
      <formula>E$9&lt;8/24</formula>
    </cfRule>
  </conditionalFormatting>
  <conditionalFormatting sqref="F89:O91">
    <cfRule type="expression" dxfId="143" priority="169">
      <formula>F$9&gt;=20/24</formula>
    </cfRule>
    <cfRule type="expression" dxfId="142" priority="170">
      <formula>AND(F$9&gt;=14/24,F$9&lt;20/24)</formula>
    </cfRule>
    <cfRule type="expression" dxfId="141" priority="171">
      <formula>AND(F$9&gt;=8/24,F$9&lt;14/24)</formula>
    </cfRule>
    <cfRule type="expression" dxfId="140" priority="172">
      <formula>F$9&lt;8/24</formula>
    </cfRule>
  </conditionalFormatting>
  <conditionalFormatting sqref="L94:AF94">
    <cfRule type="expression" dxfId="139" priority="165">
      <formula>L$9&gt;=20/24</formula>
    </cfRule>
    <cfRule type="expression" dxfId="138" priority="166">
      <formula>AND(L$9&gt;=14/24,L$9&lt;20/24)</formula>
    </cfRule>
    <cfRule type="expression" dxfId="137" priority="167">
      <formula>AND(L$9&gt;=8/24,L$9&lt;14/24)</formula>
    </cfRule>
    <cfRule type="expression" dxfId="136" priority="168">
      <formula>L$9&lt;8/24</formula>
    </cfRule>
  </conditionalFormatting>
  <conditionalFormatting sqref="M8 S8 AB8">
    <cfRule type="expression" dxfId="135" priority="218">
      <formula>AND(N$9&gt;=14/24,N$9&lt;20/24)</formula>
    </cfRule>
    <cfRule type="expression" dxfId="134" priority="219">
      <formula>AND(N$9&gt;=8/24,N$9&lt;14/24)</formula>
    </cfRule>
    <cfRule type="expression" dxfId="133" priority="220">
      <formula>N$9&lt;8/24</formula>
    </cfRule>
  </conditionalFormatting>
  <conditionalFormatting sqref="Z90:AA93 M89:Y93">
    <cfRule type="expression" dxfId="132" priority="173">
      <formula>M$9&gt;=20/24</formula>
    </cfRule>
    <cfRule type="expression" dxfId="131" priority="174">
      <formula>AND(M$9&gt;=14/24,M$9&lt;20/24)</formula>
    </cfRule>
    <cfRule type="expression" dxfId="130" priority="175">
      <formula>AND(M$9&gt;=8/24,M$9&lt;14/24)</formula>
    </cfRule>
    <cfRule type="expression" dxfId="129" priority="176">
      <formula>M$9&lt;8/24</formula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8" priority="217">
      <formula>N$9&gt;=20/24</formula>
    </cfRule>
  </conditionalFormatting>
  <conditionalFormatting sqref="S8">
    <cfRule type="expression" dxfId="127" priority="208">
      <formula>U$9&gt;=20/24</formula>
    </cfRule>
    <cfRule type="expression" dxfId="126" priority="209">
      <formula>AND(U$9&gt;=14/24,U$9&lt;20/24)</formula>
    </cfRule>
    <cfRule type="expression" dxfId="125" priority="210">
      <formula>AND(U$9&gt;=8/24,U$9&lt;14/24)</formula>
    </cfRule>
    <cfRule type="expression" dxfId="124" priority="211">
      <formula>U$9&lt;8/24</formula>
    </cfRule>
  </conditionalFormatting>
  <conditionalFormatting sqref="T89:AF94">
    <cfRule type="expression" dxfId="123" priority="95">
      <formula>T$9&gt;=20/24</formula>
    </cfRule>
    <cfRule type="expression" dxfId="122" priority="96">
      <formula>AND(T$9&gt;=14/24,T$9&lt;20/24)</formula>
    </cfRule>
    <cfRule type="expression" dxfId="121" priority="97">
      <formula>AND(T$9&gt;=8/24,T$9&lt;14/24)</formula>
    </cfRule>
    <cfRule type="expression" dxfId="120" priority="98">
      <formula>T$9&lt;8/24</formula>
    </cfRule>
  </conditionalFormatting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Y75:AF75">
    <cfRule type="expression" dxfId="119" priority="80">
      <formula>Y$9&gt;=20/24</formula>
    </cfRule>
    <cfRule type="expression" dxfId="118" priority="81">
      <formula>AND(Y$9&gt;=14/24,Y$9&lt;20/24)</formula>
    </cfRule>
    <cfRule type="expression" dxfId="117" priority="82">
      <formula>AND(Y$9&gt;=8/24,Y$9&lt;14/24)</formula>
    </cfRule>
    <cfRule type="expression" dxfId="116" priority="83">
      <formula>Y$9&lt;8/24</formula>
    </cfRule>
  </conditionalFormatting>
  <conditionalFormatting sqref="Z79:Z80">
    <cfRule type="expression" dxfId="115" priority="160">
      <formula>Z79&gt;$AG79</formula>
    </cfRule>
  </conditionalFormatting>
  <conditionalFormatting sqref="AB11:AF11 B64:P70 S64:AF72 B71:R72 B76:AF79 B80:Y80">
    <cfRule type="expression" dxfId="114" priority="155">
      <formula>B11&gt;$AG11</formula>
    </cfRule>
  </conditionalFormatting>
  <conditionalFormatting sqref="AB8">
    <cfRule type="expression" dxfId="113" priority="204">
      <formula>AD$9&gt;=20/24</formula>
    </cfRule>
    <cfRule type="expression" dxfId="112" priority="205">
      <formula>AND(AD$9&gt;=14/24,AD$9&lt;20/24)</formula>
    </cfRule>
    <cfRule type="expression" dxfId="111" priority="206">
      <formula>AND(AD$9&gt;=8/24,AD$9&lt;14/24)</formula>
    </cfRule>
    <cfRule type="expression" dxfId="110" priority="207">
      <formula>AD$9&lt;8/24</formula>
    </cfRule>
  </conditionalFormatting>
  <conditionalFormatting sqref="AB11:AF11">
    <cfRule type="expression" dxfId="109" priority="156">
      <formula>AB$9&gt;=20/24</formula>
    </cfRule>
    <cfRule type="expression" dxfId="108" priority="157">
      <formula>AND(AB$9&gt;=14/24,AB$9&lt;20/24)</formula>
    </cfRule>
    <cfRule type="expression" dxfId="107" priority="158">
      <formula>AND(AB$9&gt;=8/24,AB$9&lt;14/24)</formula>
    </cfRule>
    <cfRule type="expression" dxfId="106" priority="159">
      <formula>AB$9&lt;8/24</formula>
    </cfRule>
  </conditionalFormatting>
  <conditionalFormatting sqref="AB12:AF13 E90:E100 F92:G100 H94:J100 K95:Q100 B103:AF106 B82:L82 B9:AF10 B87:D100 S95:AF100 Q89:R100">
    <cfRule type="expression" dxfId="105" priority="142">
      <formula>B$9&gt;=20/24</formula>
    </cfRule>
  </conditionalFormatting>
  <conditionalFormatting sqref="AD89:AF89">
    <cfRule type="expression" dxfId="104" priority="231">
      <formula>AD89&gt;$AG90*1</formula>
    </cfRule>
  </conditionalFormatting>
  <conditionalFormatting sqref="AG88">
    <cfRule type="expression" dxfId="103" priority="183">
      <formula>AG$9&gt;=20/24</formula>
    </cfRule>
    <cfRule type="expression" dxfId="102" priority="184">
      <formula>AND(AG$9&gt;=14/24,AG$9&lt;20/24)</formula>
    </cfRule>
    <cfRule type="expression" dxfId="101" priority="185">
      <formula>AND(AG$9&gt;=8/24,AG$9&lt;14/24)</formula>
    </cfRule>
    <cfRule type="expression" dxfId="100" priority="186">
      <formula>AG$9&lt;8/24</formula>
    </cfRule>
  </conditionalFormatting>
  <conditionalFormatting sqref="AG101:AG102">
    <cfRule type="expression" dxfId="99" priority="178">
      <formula>AG101&gt;$AG101</formula>
    </cfRule>
  </conditionalFormatting>
  <conditionalFormatting sqref="AG106">
    <cfRule type="expression" dxfId="98" priority="179">
      <formula>AG$9&gt;=20/24</formula>
    </cfRule>
    <cfRule type="expression" dxfId="97" priority="180">
      <formula>AND(AG$9&gt;=14/24,AG$9&lt;20/24)</formula>
    </cfRule>
    <cfRule type="expression" dxfId="96" priority="181">
      <formula>AND(AG$9&gt;=8/24,AG$9&lt;14/24)</formula>
    </cfRule>
    <cfRule type="expression" dxfId="95" priority="182">
      <formula>AG$9&lt;8/24</formula>
    </cfRule>
  </conditionalFormatting>
  <conditionalFormatting sqref="AG123">
    <cfRule type="expression" dxfId="94" priority="200">
      <formula>AG$9&gt;=20/24</formula>
    </cfRule>
    <cfRule type="expression" dxfId="93" priority="201">
      <formula>AND(AG$9&gt;=14/24,AG$9&lt;20/24)</formula>
    </cfRule>
    <cfRule type="expression" dxfId="92" priority="202">
      <formula>AND(AG$9&gt;=8/24,AG$9&lt;14/24)</formula>
    </cfRule>
    <cfRule type="expression" dxfId="91" priority="203">
      <formula>AG$9&lt;8/24</formula>
    </cfRule>
  </conditionalFormatting>
  <conditionalFormatting sqref="AH8:AI10">
    <cfRule type="expression" dxfId="90" priority="91">
      <formula>AH$9&gt;=20/24</formula>
    </cfRule>
    <cfRule type="expression" dxfId="89" priority="92">
      <formula>AND(AH$9&gt;=14/24,AH$9&lt;20/24)</formula>
    </cfRule>
    <cfRule type="expression" dxfId="88" priority="93">
      <formula>AND(AH$9&gt;=8/24,AH$9&lt;14/24)</formula>
    </cfRule>
    <cfRule type="expression" dxfId="87" priority="94">
      <formula>AH$9&lt;8/24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99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86" priority="221">
      <formula>AJ$9&gt;=20/24</formula>
    </cfRule>
    <cfRule type="expression" dxfId="85" priority="222">
      <formula>AND(AJ$9&gt;=14/24,AJ$9&lt;20/24)</formula>
    </cfRule>
    <cfRule type="expression" dxfId="84" priority="223">
      <formula>AND(AJ$9&gt;=8/24,AJ$9&lt;14/24)</formula>
    </cfRule>
    <cfRule type="expression" dxfId="83" priority="224">
      <formula>AJ$9&lt;8/24</formula>
    </cfRule>
  </conditionalFormatting>
  <conditionalFormatting sqref="AL109:AN109 AL115:AN115">
    <cfRule type="expression" dxfId="82" priority="193">
      <formula>AL$9&gt;=20/24</formula>
    </cfRule>
    <cfRule type="expression" dxfId="81" priority="194">
      <formula>AND(AL$9&gt;=14/24,AL$9&lt;20/24)</formula>
    </cfRule>
    <cfRule type="expression" dxfId="80" priority="195">
      <formula>AND(AL$9&gt;=8/24,AL$9&lt;14/24)</formula>
    </cfRule>
    <cfRule type="expression" dxfId="79" priority="196">
      <formula>AL$9&lt;8/24</formula>
    </cfRule>
  </conditionalFormatting>
  <conditionalFormatting sqref="AM15:AM21 AN16:AR21">
    <cfRule type="expression" dxfId="78" priority="117">
      <formula>AX$9&gt;=20/24</formula>
    </cfRule>
    <cfRule type="expression" dxfId="77" priority="118">
      <formula>AND(AX$9&gt;=14/24,AX$9&lt;20/24)</formula>
    </cfRule>
    <cfRule type="expression" dxfId="76" priority="119">
      <formula>AND(AX$9&gt;=8/24,AX$9&lt;14/24)</formula>
    </cfRule>
    <cfRule type="expression" dxfId="75" priority="120">
      <formula>AX$9&lt;8/24</formula>
    </cfRule>
  </conditionalFormatting>
  <conditionalFormatting sqref="AN110:AN113">
    <cfRule type="expression" dxfId="74" priority="189">
      <formula>AN$9&gt;=20/24</formula>
    </cfRule>
    <cfRule type="expression" dxfId="73" priority="190">
      <formula>AND(AN$9&gt;=14/24,AN$9&lt;20/24)</formula>
    </cfRule>
    <cfRule type="expression" dxfId="72" priority="191">
      <formula>AND(AN$9&gt;=8/24,AN$9&lt;14/24)</formula>
    </cfRule>
    <cfRule type="expression" dxfId="71" priority="192">
      <formula>AN$9&lt;8/24</formula>
    </cfRule>
  </conditionalFormatting>
  <conditionalFormatting sqref="AN15:AR15">
    <cfRule type="expression" dxfId="70" priority="105">
      <formula>U$9&gt;=20/24</formula>
    </cfRule>
    <cfRule type="expression" dxfId="69" priority="106">
      <formula>AND(U$9&gt;=14/24,U$9&lt;20/24)</formula>
    </cfRule>
    <cfRule type="expression" dxfId="68" priority="107">
      <formula>AND(U$9&gt;=8/24,U$9&lt;14/24)</formula>
    </cfRule>
    <cfRule type="expression" dxfId="67" priority="108">
      <formula>U$9&lt;8/24</formula>
    </cfRule>
  </conditionalFormatting>
  <conditionalFormatting sqref="AS15">
    <cfRule type="expression" dxfId="66" priority="113">
      <formula>AA$9&gt;=20/24</formula>
    </cfRule>
    <cfRule type="expression" dxfId="65" priority="114">
      <formula>AND(AA$9&gt;=14/24,AA$9&lt;20/24)</formula>
    </cfRule>
    <cfRule type="expression" dxfId="64" priority="115">
      <formula>AND(AA$9&gt;=8/24,AA$9&lt;14/24)</formula>
    </cfRule>
    <cfRule type="expression" dxfId="63" priority="116">
      <formula>AA$9&lt;8/24</formula>
    </cfRule>
  </conditionalFormatting>
  <conditionalFormatting sqref="AS16:AS21">
    <cfRule type="expression" dxfId="62" priority="121">
      <formula>BE$9&gt;=20/24</formula>
    </cfRule>
    <cfRule type="expression" dxfId="61" priority="122">
      <formula>AND(BE$9&gt;=14/24,BE$9&lt;20/24)</formula>
    </cfRule>
    <cfRule type="expression" dxfId="60" priority="123">
      <formula>AND(BE$9&gt;=8/24,BE$9&lt;14/24)</formula>
    </cfRule>
    <cfRule type="expression" dxfId="59" priority="124">
      <formula>BE$9&lt;8/24</formula>
    </cfRule>
  </conditionalFormatting>
  <conditionalFormatting sqref="AT15 AX15:BJ15">
    <cfRule type="expression" dxfId="58" priority="125">
      <formula>AC$9&gt;=20/24</formula>
    </cfRule>
    <cfRule type="expression" dxfId="57" priority="126">
      <formula>AND(AC$9&gt;=14/24,AC$9&lt;20/24)</formula>
    </cfRule>
    <cfRule type="expression" dxfId="56" priority="127">
      <formula>AND(AC$9&gt;=8/24,AC$9&lt;14/24)</formula>
    </cfRule>
    <cfRule type="expression" dxfId="55" priority="128">
      <formula>AC$9&lt;8/24</formula>
    </cfRule>
  </conditionalFormatting>
  <conditionalFormatting sqref="AT16:AT21">
    <cfRule type="expression" dxfId="54" priority="129">
      <formula>BG$9&gt;=20/24</formula>
    </cfRule>
    <cfRule type="expression" dxfId="53" priority="130">
      <formula>AND(BG$9&gt;=14/24,BG$9&lt;20/24)</formula>
    </cfRule>
    <cfRule type="expression" dxfId="52" priority="131">
      <formula>AND(BG$9&gt;=8/24,BG$9&lt;14/24)</formula>
    </cfRule>
    <cfRule type="expression" dxfId="51" priority="132">
      <formula>BG$9&lt;8/24</formula>
    </cfRule>
  </conditionalFormatting>
  <conditionalFormatting sqref="AU15:AV15">
    <cfRule type="expression" dxfId="50" priority="133">
      <formula>AE$9&gt;=20/24</formula>
    </cfRule>
    <cfRule type="expression" dxfId="49" priority="134">
      <formula>AND(AE$9&gt;=14/24,AE$9&lt;20/24)</formula>
    </cfRule>
    <cfRule type="expression" dxfId="48" priority="135">
      <formula>AND(AE$9&gt;=8/24,AE$9&lt;14/24)</formula>
    </cfRule>
    <cfRule type="expression" dxfId="47" priority="136">
      <formula>AE$9&lt;8/24</formula>
    </cfRule>
  </conditionalFormatting>
  <conditionalFormatting sqref="AU16:BJ21">
    <cfRule type="expression" dxfId="46" priority="137">
      <formula>BI$9&gt;=20/24</formula>
    </cfRule>
    <cfRule type="expression" dxfId="45" priority="138">
      <formula>AND(BI$9&gt;=14/24,BI$9&lt;20/24)</formula>
    </cfRule>
    <cfRule type="expression" dxfId="44" priority="139">
      <formula>AND(BI$9&gt;=8/24,BI$9&lt;14/24)</formula>
    </cfRule>
    <cfRule type="expression" dxfId="43" priority="140">
      <formula>BI$9&lt;8/24</formula>
    </cfRule>
  </conditionalFormatting>
  <conditionalFormatting sqref="AW15">
    <cfRule type="expression" dxfId="42" priority="109">
      <formula>B$9&gt;=20/24</formula>
    </cfRule>
    <cfRule type="expression" dxfId="41" priority="110">
      <formula>AND(B$9&gt;=14/24,B$9&lt;20/24)</formula>
    </cfRule>
    <cfRule type="expression" dxfId="40" priority="111">
      <formula>AND(B$9&gt;=8/24,B$9&lt;14/24)</formula>
    </cfRule>
    <cfRule type="expression" dxfId="39" priority="112">
      <formula>B$9&lt;8/24</formula>
    </cfRule>
  </conditionalFormatting>
  <conditionalFormatting sqref="AL49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B313:AF334">
    <cfRule type="expression" dxfId="38" priority="36">
      <formula>B$9&gt;=20/24</formula>
    </cfRule>
    <cfRule type="expression" dxfId="37" priority="37">
      <formula>AND(B$9&gt;=14/24,B$9&lt;20/24)</formula>
    </cfRule>
    <cfRule type="expression" dxfId="36" priority="38">
      <formula>AND(B$9&gt;=8/24,B$9&lt;14/24)</formula>
    </cfRule>
    <cfRule type="expression" dxfId="35" priority="39">
      <formula>B$9&lt;8/24</formula>
    </cfRule>
  </conditionalFormatting>
  <conditionalFormatting sqref="B335:AF335">
    <cfRule type="expression" dxfId="34" priority="32">
      <formula>B$9&gt;=20/24</formula>
    </cfRule>
    <cfRule type="expression" dxfId="33" priority="33">
      <formula>AND(B$9&gt;=14/24,B$9&lt;20/24)</formula>
    </cfRule>
    <cfRule type="expression" dxfId="32" priority="34">
      <formula>AND(B$9&gt;=8/24,B$9&lt;14/24)</formula>
    </cfRule>
    <cfRule type="expression" dxfId="31" priority="35">
      <formula>B$9&lt;8/24</formula>
    </cfRule>
  </conditionalFormatting>
  <conditionalFormatting sqref="B340:AF340">
    <cfRule type="expression" dxfId="30" priority="28">
      <formula>B$9&gt;=20/24</formula>
    </cfRule>
    <cfRule type="expression" dxfId="29" priority="29">
      <formula>AND(B$9&gt;=14/24,B$9&lt;20/24)</formula>
    </cfRule>
    <cfRule type="expression" dxfId="28" priority="30">
      <formula>AND(B$9&gt;=8/24,B$9&lt;14/24)</formula>
    </cfRule>
    <cfRule type="expression" dxfId="27" priority="31">
      <formula>B$9&lt;8/24</formula>
    </cfRule>
  </conditionalFormatting>
  <conditionalFormatting sqref="B337:AF338">
    <cfRule type="expression" dxfId="26" priority="24">
      <formula>B$9&gt;=20/24</formula>
    </cfRule>
    <cfRule type="expression" dxfId="25" priority="25">
      <formula>AND(B$9&gt;=14/24,B$9&lt;20/24)</formula>
    </cfRule>
    <cfRule type="expression" dxfId="24" priority="26">
      <formula>AND(B$9&gt;=8/24,B$9&lt;14/24)</formula>
    </cfRule>
    <cfRule type="expression" dxfId="23" priority="27">
      <formula>B$9&lt;8/24</formula>
    </cfRule>
  </conditionalFormatting>
  <conditionalFormatting sqref="B339:AF339">
    <cfRule type="expression" dxfId="22" priority="20">
      <formula>B$9&gt;=20/24</formula>
    </cfRule>
    <cfRule type="expression" dxfId="21" priority="21">
      <formula>AND(B$9&gt;=14/24,B$9&lt;20/24)</formula>
    </cfRule>
    <cfRule type="expression" dxfId="20" priority="22">
      <formula>AND(B$9&gt;=8/24,B$9&lt;14/24)</formula>
    </cfRule>
    <cfRule type="expression" dxfId="19" priority="23">
      <formula>B$9&lt;8/24</formula>
    </cfRule>
  </conditionalFormatting>
  <conditionalFormatting sqref="AG9:AG10">
    <cfRule type="expression" dxfId="18" priority="17">
      <formula>AND(AG$9&gt;=14/24,AG$9&lt;20/24)</formula>
    </cfRule>
    <cfRule type="expression" dxfId="17" priority="18">
      <formula>AND(AG$9&gt;=8/24,AG$9&lt;14/24)</formula>
    </cfRule>
    <cfRule type="expression" dxfId="16" priority="19">
      <formula>AG$9&lt;8/24</formula>
    </cfRule>
  </conditionalFormatting>
  <conditionalFormatting sqref="AG9:AG10">
    <cfRule type="expression" dxfId="15" priority="16">
      <formula>AG$9&gt;=20/24</formula>
    </cfRule>
  </conditionalFormatting>
  <conditionalFormatting sqref="Q82:R82 Q87:R87">
    <cfRule type="expression" dxfId="14" priority="13">
      <formula>AND(Q$9&gt;=14/24,Q$9&lt;20/24)</formula>
    </cfRule>
    <cfRule type="expression" dxfId="13" priority="14">
      <formula>AND(Q$9&gt;=8/24,Q$9&lt;14/24)</formula>
    </cfRule>
    <cfRule type="expression" dxfId="12" priority="15">
      <formula>Q$9&lt;8/24</formula>
    </cfRule>
  </conditionalFormatting>
  <conditionalFormatting sqref="Q82:R82 Q87:R87">
    <cfRule type="expression" dxfId="11" priority="12">
      <formula>Q$9&gt;=20/24</formula>
    </cfRule>
  </conditionalFormatting>
  <conditionalFormatting sqref="Q11:R13">
    <cfRule type="expression" dxfId="10" priority="7">
      <formula>Q$9&gt;=20/24</formula>
    </cfRule>
    <cfRule type="expression" dxfId="9" priority="8">
      <formula>AND(Q$9&gt;=14/24,Q$9&lt;20/24)</formula>
    </cfRule>
    <cfRule type="expression" dxfId="8" priority="9">
      <formula>AND(Q$9&gt;=8/24,Q$9&lt;14/24)</formula>
    </cfRule>
    <cfRule type="expression" dxfId="7" priority="10">
      <formula>Q$9&lt;8/24</formula>
    </cfRule>
  </conditionalFormatting>
  <conditionalFormatting sqref="Q11:R13">
    <cfRule type="expression" dxfId="6" priority="6">
      <formula>Q11&gt;$AG11*1</formula>
    </cfRule>
  </conditionalFormatting>
  <conditionalFormatting sqref="Q14:R63">
    <cfRule type="expression" dxfId="5" priority="1">
      <formula>Q14&gt;$AG14*1</formula>
    </cfRule>
  </conditionalFormatting>
  <conditionalFormatting sqref="Q14:R70">
    <cfRule type="expression" dxfId="4" priority="5">
      <formula>Q$9&lt;8/24</formula>
    </cfRule>
  </conditionalFormatting>
  <conditionalFormatting sqref="Q14:R70">
    <cfRule type="expression" dxfId="3" priority="2">
      <formula>Q$9&gt;=20/24</formula>
    </cfRule>
    <cfRule type="expression" dxfId="2" priority="3">
      <formula>AND(Q$9&gt;=14/24,Q$9&lt;20/24)</formula>
    </cfRule>
    <cfRule type="expression" dxfId="1" priority="4">
      <formula>AND(Q$9&gt;=8/24,Q$9&lt;14/24)</formula>
    </cfRule>
  </conditionalFormatting>
  <conditionalFormatting sqref="Q64:R70">
    <cfRule type="expression" dxfId="0" priority="11">
      <formula>Q64&gt;$AG64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dcterms:created xsi:type="dcterms:W3CDTF">2026-07-16T17:23:03Z</dcterms:created>
  <dcterms:modified xsi:type="dcterms:W3CDTF">2026-07-29T15:28:34Z</dcterms:modified>
</cp:coreProperties>
</file>