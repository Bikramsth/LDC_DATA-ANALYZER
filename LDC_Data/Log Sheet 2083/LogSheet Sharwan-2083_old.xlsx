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ATA\0 Data_Collection 75\Daily_Log_Sheets\Log Sheet 2083\"/>
    </mc:Choice>
  </mc:AlternateContent>
  <bookViews>
    <workbookView xWindow="0" yWindow="0" windowWidth="28800" windowHeight="12180" activeTab="1"/>
  </bookViews>
  <sheets>
    <sheet name="00" sheetId="1" r:id="rId1"/>
    <sheet name="01" sheetId="2" r:id="rId2"/>
    <sheet name="Sample" sheetId="3" r:id="rId3"/>
  </sheets>
  <definedNames>
    <definedName name="a" localSheetId="0">#REF!</definedName>
    <definedName name="a" localSheetId="1">#REF!</definedName>
    <definedName name="a" localSheetId="2">#REF!</definedName>
    <definedName name="a">#REF!</definedName>
    <definedName name="IPP" localSheetId="0">#REF!</definedName>
    <definedName name="IPP" localSheetId="1">#REF!</definedName>
    <definedName name="IPP" localSheetId="2">#REF!</definedName>
    <definedName name="IPP">#REF!</definedName>
    <definedName name="ippp" localSheetId="0">#REF!</definedName>
    <definedName name="ippp" localSheetId="1">#REF!</definedName>
    <definedName name="ippp" localSheetId="2">#REF!</definedName>
    <definedName name="ippp">#REF!</definedName>
    <definedName name="samolea" localSheetId="0">#REF!</definedName>
    <definedName name="samolea" localSheetId="1">#REF!</definedName>
    <definedName name="samolea" localSheetId="2">#REF!</definedName>
    <definedName name="samolea">#REF!</definedName>
    <definedName name="sampke1" localSheetId="0">#REF!</definedName>
    <definedName name="sampke1" localSheetId="1">#REF!</definedName>
    <definedName name="sampke1" localSheetId="2">#REF!</definedName>
    <definedName name="sampke1">#REF!</definedName>
    <definedName name="sample" localSheetId="0">#REF!</definedName>
    <definedName name="sample" localSheetId="1">#REF!</definedName>
    <definedName name="sample" localSheetId="2">#REF!</definedName>
    <definedName name="sample">#REF!</definedName>
    <definedName name="SAMPLE1" localSheetId="0">#REF!</definedName>
    <definedName name="SAMPLE1" localSheetId="1">#REF!</definedName>
    <definedName name="SAMPLE1" localSheetId="2">#REF!</definedName>
    <definedName name="SAMPLE1">#REF!</definedName>
    <definedName name="sdasdf" localSheetId="0">#REF!</definedName>
    <definedName name="sdasdf" localSheetId="1">#REF!</definedName>
    <definedName name="sdasdf" localSheetId="2">#REF!</definedName>
    <definedName name="sdasdf">#REF!</definedName>
  </definedNames>
  <calcPr calcId="162913" iterate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71" i="2" l="1"/>
  <c r="R71" i="2"/>
  <c r="S71" i="2"/>
  <c r="P70" i="2" l="1"/>
  <c r="M70" i="2"/>
  <c r="N70" i="2"/>
  <c r="O70" i="2"/>
  <c r="N78" i="2"/>
  <c r="O78" i="2"/>
  <c r="P78" i="2"/>
  <c r="M78" i="2" l="1"/>
  <c r="L70" i="2"/>
  <c r="K70" i="2"/>
  <c r="J70" i="2"/>
  <c r="I70" i="2"/>
  <c r="H70" i="2"/>
  <c r="AH145" i="2"/>
  <c r="AI145" i="2"/>
  <c r="AH144" i="2"/>
  <c r="AI144" i="2"/>
  <c r="AH143" i="2"/>
  <c r="AI143" i="2"/>
  <c r="G70" i="2"/>
  <c r="F71" i="2"/>
  <c r="F78" i="2"/>
  <c r="F92" i="2"/>
  <c r="F96" i="2"/>
  <c r="F108" i="2"/>
  <c r="F117" i="2"/>
  <c r="F118" i="2"/>
  <c r="F119" i="2"/>
  <c r="F120" i="2"/>
  <c r="F121" i="2"/>
  <c r="F122" i="2"/>
  <c r="F135" i="2"/>
  <c r="F159" i="2"/>
  <c r="F160" i="2" a="1"/>
  <c r="F160" i="2" s="1"/>
  <c r="E71" i="2"/>
  <c r="E78" i="2"/>
  <c r="E92" i="2"/>
  <c r="E96" i="2"/>
  <c r="E108" i="2"/>
  <c r="E117" i="2"/>
  <c r="E118" i="2"/>
  <c r="E119" i="2"/>
  <c r="E120" i="2"/>
  <c r="E121" i="2"/>
  <c r="E122" i="2"/>
  <c r="E135" i="2"/>
  <c r="E159" i="2"/>
  <c r="E160" i="2" a="1"/>
  <c r="E160" i="2" s="1"/>
  <c r="F113" i="2" l="1"/>
  <c r="F115" i="2" s="1"/>
  <c r="F116" i="2" s="1"/>
  <c r="F123" i="2"/>
  <c r="F124" i="2" s="1"/>
  <c r="E123" i="2"/>
  <c r="E124" i="2" s="1"/>
  <c r="E113" i="2"/>
  <c r="E115" i="2" s="1"/>
  <c r="E116" i="2" s="1"/>
  <c r="C70" i="2" l="1"/>
  <c r="C71" i="2"/>
  <c r="D71" i="2"/>
  <c r="AO16" i="2" s="1"/>
  <c r="C78" i="2"/>
  <c r="D78" i="2"/>
  <c r="AO17" i="2" s="1"/>
  <c r="C92" i="2"/>
  <c r="AN18" i="2" s="1"/>
  <c r="D92" i="2"/>
  <c r="C96" i="2"/>
  <c r="D96" i="2"/>
  <c r="C108" i="2"/>
  <c r="C124" i="2" s="1"/>
  <c r="D108" i="2"/>
  <c r="C117" i="2"/>
  <c r="D117" i="2"/>
  <c r="C118" i="2"/>
  <c r="D118" i="2"/>
  <c r="C119" i="2"/>
  <c r="D119" i="2"/>
  <c r="C120" i="2"/>
  <c r="D120" i="2"/>
  <c r="C121" i="2"/>
  <c r="D121" i="2"/>
  <c r="C122" i="2"/>
  <c r="D122" i="2"/>
  <c r="C123" i="2"/>
  <c r="AN23" i="2" s="1"/>
  <c r="C135" i="2"/>
  <c r="D135" i="2"/>
  <c r="C159" i="2"/>
  <c r="D159" i="2"/>
  <c r="C160" i="2" a="1"/>
  <c r="C160" i="2" s="1"/>
  <c r="D160" i="2" a="1"/>
  <c r="D160" i="2" s="1"/>
  <c r="B135" i="2"/>
  <c r="B122" i="2"/>
  <c r="B121" i="2"/>
  <c r="B120" i="2"/>
  <c r="B119" i="2"/>
  <c r="B118" i="2"/>
  <c r="B117" i="2"/>
  <c r="B108" i="2"/>
  <c r="B96" i="2"/>
  <c r="AM20" i="2" s="1"/>
  <c r="B92" i="2"/>
  <c r="B78" i="2"/>
  <c r="B71" i="2"/>
  <c r="B70" i="2"/>
  <c r="AG275" i="3"/>
  <c r="B275" i="3"/>
  <c r="D274" i="3"/>
  <c r="E274" i="3" s="1"/>
  <c r="F274" i="3" s="1"/>
  <c r="G274" i="3" s="1"/>
  <c r="H274" i="3" s="1"/>
  <c r="I274" i="3" s="1"/>
  <c r="J274" i="3" s="1"/>
  <c r="K274" i="3" s="1"/>
  <c r="L274" i="3" s="1"/>
  <c r="M274" i="3" s="1"/>
  <c r="N274" i="3" s="1"/>
  <c r="O274" i="3" s="1"/>
  <c r="P274" i="3" s="1"/>
  <c r="Q274" i="3" s="1"/>
  <c r="R274" i="3" s="1"/>
  <c r="S274" i="3" s="1"/>
  <c r="T274" i="3" s="1"/>
  <c r="U274" i="3" s="1"/>
  <c r="V274" i="3" s="1"/>
  <c r="W274" i="3" s="1"/>
  <c r="X274" i="3" s="1"/>
  <c r="Y274" i="3" s="1"/>
  <c r="Z274" i="3" s="1"/>
  <c r="AA274" i="3" s="1"/>
  <c r="AB274" i="3" s="1"/>
  <c r="AC274" i="3" s="1"/>
  <c r="AD274" i="3" s="1"/>
  <c r="AE274" i="3" s="1"/>
  <c r="AF274" i="3" s="1"/>
  <c r="C274" i="3"/>
  <c r="P273" i="3"/>
  <c r="Q273" i="3" s="1"/>
  <c r="R273" i="3" s="1"/>
  <c r="S273" i="3" s="1"/>
  <c r="T273" i="3" s="1"/>
  <c r="U273" i="3" s="1"/>
  <c r="V273" i="3" s="1"/>
  <c r="W273" i="3" s="1"/>
  <c r="X273" i="3" s="1"/>
  <c r="Y273" i="3" s="1"/>
  <c r="Z273" i="3" s="1"/>
  <c r="AA273" i="3" s="1"/>
  <c r="AB273" i="3" s="1"/>
  <c r="AC273" i="3" s="1"/>
  <c r="AD273" i="3" s="1"/>
  <c r="AE273" i="3" s="1"/>
  <c r="AF273" i="3" s="1"/>
  <c r="H273" i="3"/>
  <c r="I273" i="3" s="1"/>
  <c r="J273" i="3" s="1"/>
  <c r="K273" i="3" s="1"/>
  <c r="L273" i="3" s="1"/>
  <c r="M273" i="3" s="1"/>
  <c r="N273" i="3" s="1"/>
  <c r="O273" i="3" s="1"/>
  <c r="G273" i="3"/>
  <c r="D273" i="3"/>
  <c r="E273" i="3" s="1"/>
  <c r="F273" i="3" s="1"/>
  <c r="C273" i="3"/>
  <c r="E272" i="3"/>
  <c r="F272" i="3" s="1"/>
  <c r="G272" i="3" s="1"/>
  <c r="H272" i="3" s="1"/>
  <c r="I272" i="3" s="1"/>
  <c r="J272" i="3" s="1"/>
  <c r="K272" i="3" s="1"/>
  <c r="L272" i="3" s="1"/>
  <c r="M272" i="3" s="1"/>
  <c r="N272" i="3" s="1"/>
  <c r="O272" i="3" s="1"/>
  <c r="P272" i="3" s="1"/>
  <c r="Q272" i="3" s="1"/>
  <c r="R272" i="3" s="1"/>
  <c r="S272" i="3" s="1"/>
  <c r="T272" i="3" s="1"/>
  <c r="U272" i="3" s="1"/>
  <c r="V272" i="3" s="1"/>
  <c r="W272" i="3" s="1"/>
  <c r="X272" i="3" s="1"/>
  <c r="Y272" i="3" s="1"/>
  <c r="Z272" i="3" s="1"/>
  <c r="AA272" i="3" s="1"/>
  <c r="AB272" i="3" s="1"/>
  <c r="AC272" i="3" s="1"/>
  <c r="AD272" i="3" s="1"/>
  <c r="AE272" i="3" s="1"/>
  <c r="AF272" i="3" s="1"/>
  <c r="C272" i="3"/>
  <c r="D272" i="3" s="1"/>
  <c r="C271" i="3"/>
  <c r="D271" i="3" s="1"/>
  <c r="E271" i="3" s="1"/>
  <c r="F271" i="3" s="1"/>
  <c r="G271" i="3" s="1"/>
  <c r="H271" i="3" s="1"/>
  <c r="I271" i="3" s="1"/>
  <c r="J271" i="3" s="1"/>
  <c r="K271" i="3" s="1"/>
  <c r="L271" i="3" s="1"/>
  <c r="M271" i="3" s="1"/>
  <c r="N271" i="3" s="1"/>
  <c r="O271" i="3" s="1"/>
  <c r="P271" i="3" s="1"/>
  <c r="Q271" i="3" s="1"/>
  <c r="R271" i="3" s="1"/>
  <c r="S271" i="3" s="1"/>
  <c r="T271" i="3" s="1"/>
  <c r="U271" i="3" s="1"/>
  <c r="V271" i="3" s="1"/>
  <c r="W271" i="3" s="1"/>
  <c r="X271" i="3" s="1"/>
  <c r="Y271" i="3" s="1"/>
  <c r="Z271" i="3" s="1"/>
  <c r="AA271" i="3" s="1"/>
  <c r="AB271" i="3" s="1"/>
  <c r="AC271" i="3" s="1"/>
  <c r="AD271" i="3" s="1"/>
  <c r="AE271" i="3" s="1"/>
  <c r="AF271" i="3" s="1"/>
  <c r="F270" i="3"/>
  <c r="G270" i="3" s="1"/>
  <c r="H270" i="3" s="1"/>
  <c r="I270" i="3" s="1"/>
  <c r="J270" i="3" s="1"/>
  <c r="K270" i="3" s="1"/>
  <c r="L270" i="3" s="1"/>
  <c r="M270" i="3" s="1"/>
  <c r="N270" i="3" s="1"/>
  <c r="O270" i="3" s="1"/>
  <c r="P270" i="3" s="1"/>
  <c r="Q270" i="3" s="1"/>
  <c r="R270" i="3" s="1"/>
  <c r="S270" i="3" s="1"/>
  <c r="T270" i="3" s="1"/>
  <c r="U270" i="3" s="1"/>
  <c r="V270" i="3" s="1"/>
  <c r="W270" i="3" s="1"/>
  <c r="X270" i="3" s="1"/>
  <c r="Y270" i="3" s="1"/>
  <c r="Z270" i="3" s="1"/>
  <c r="AA270" i="3" s="1"/>
  <c r="AB270" i="3" s="1"/>
  <c r="AC270" i="3" s="1"/>
  <c r="AD270" i="3" s="1"/>
  <c r="AE270" i="3" s="1"/>
  <c r="AF270" i="3" s="1"/>
  <c r="D270" i="3"/>
  <c r="E270" i="3" s="1"/>
  <c r="C270" i="3"/>
  <c r="D269" i="3"/>
  <c r="E269" i="3" s="1"/>
  <c r="F269" i="3" s="1"/>
  <c r="G269" i="3" s="1"/>
  <c r="H269" i="3" s="1"/>
  <c r="I269" i="3" s="1"/>
  <c r="J269" i="3" s="1"/>
  <c r="K269" i="3" s="1"/>
  <c r="L269" i="3" s="1"/>
  <c r="M269" i="3" s="1"/>
  <c r="N269" i="3" s="1"/>
  <c r="O269" i="3" s="1"/>
  <c r="P269" i="3" s="1"/>
  <c r="Q269" i="3" s="1"/>
  <c r="R269" i="3" s="1"/>
  <c r="S269" i="3" s="1"/>
  <c r="T269" i="3" s="1"/>
  <c r="U269" i="3" s="1"/>
  <c r="V269" i="3" s="1"/>
  <c r="W269" i="3" s="1"/>
  <c r="X269" i="3" s="1"/>
  <c r="Y269" i="3" s="1"/>
  <c r="Z269" i="3" s="1"/>
  <c r="AA269" i="3" s="1"/>
  <c r="AB269" i="3" s="1"/>
  <c r="AC269" i="3" s="1"/>
  <c r="AD269" i="3" s="1"/>
  <c r="AE269" i="3" s="1"/>
  <c r="AF269" i="3" s="1"/>
  <c r="C269" i="3"/>
  <c r="C268" i="3"/>
  <c r="D268" i="3" s="1"/>
  <c r="E268" i="3" s="1"/>
  <c r="F268" i="3" s="1"/>
  <c r="G268" i="3" s="1"/>
  <c r="H268" i="3" s="1"/>
  <c r="I268" i="3" s="1"/>
  <c r="J268" i="3" s="1"/>
  <c r="K268" i="3" s="1"/>
  <c r="L268" i="3" s="1"/>
  <c r="M268" i="3" s="1"/>
  <c r="N268" i="3" s="1"/>
  <c r="O268" i="3" s="1"/>
  <c r="P268" i="3" s="1"/>
  <c r="Q268" i="3" s="1"/>
  <c r="R268" i="3" s="1"/>
  <c r="S268" i="3" s="1"/>
  <c r="T268" i="3" s="1"/>
  <c r="U268" i="3" s="1"/>
  <c r="V268" i="3" s="1"/>
  <c r="W268" i="3" s="1"/>
  <c r="X268" i="3" s="1"/>
  <c r="Y268" i="3" s="1"/>
  <c r="Z268" i="3" s="1"/>
  <c r="AA268" i="3" s="1"/>
  <c r="AB268" i="3" s="1"/>
  <c r="AC268" i="3" s="1"/>
  <c r="AD268" i="3" s="1"/>
  <c r="AE268" i="3" s="1"/>
  <c r="AF268" i="3" s="1"/>
  <c r="D267" i="3"/>
  <c r="E267" i="3" s="1"/>
  <c r="F267" i="3" s="1"/>
  <c r="G267" i="3" s="1"/>
  <c r="H267" i="3" s="1"/>
  <c r="I267" i="3" s="1"/>
  <c r="J267" i="3" s="1"/>
  <c r="K267" i="3" s="1"/>
  <c r="L267" i="3" s="1"/>
  <c r="M267" i="3" s="1"/>
  <c r="N267" i="3" s="1"/>
  <c r="O267" i="3" s="1"/>
  <c r="P267" i="3" s="1"/>
  <c r="Q267" i="3" s="1"/>
  <c r="R267" i="3" s="1"/>
  <c r="S267" i="3" s="1"/>
  <c r="T267" i="3" s="1"/>
  <c r="U267" i="3" s="1"/>
  <c r="V267" i="3" s="1"/>
  <c r="W267" i="3" s="1"/>
  <c r="X267" i="3" s="1"/>
  <c r="Y267" i="3" s="1"/>
  <c r="Z267" i="3" s="1"/>
  <c r="AA267" i="3" s="1"/>
  <c r="AB267" i="3" s="1"/>
  <c r="AC267" i="3" s="1"/>
  <c r="AD267" i="3" s="1"/>
  <c r="AE267" i="3" s="1"/>
  <c r="AF267" i="3" s="1"/>
  <c r="C267" i="3"/>
  <c r="I266" i="3"/>
  <c r="J266" i="3" s="1"/>
  <c r="K266" i="3" s="1"/>
  <c r="L266" i="3" s="1"/>
  <c r="M266" i="3" s="1"/>
  <c r="N266" i="3" s="1"/>
  <c r="O266" i="3" s="1"/>
  <c r="P266" i="3" s="1"/>
  <c r="Q266" i="3" s="1"/>
  <c r="R266" i="3" s="1"/>
  <c r="S266" i="3" s="1"/>
  <c r="T266" i="3" s="1"/>
  <c r="U266" i="3" s="1"/>
  <c r="V266" i="3" s="1"/>
  <c r="W266" i="3" s="1"/>
  <c r="X266" i="3" s="1"/>
  <c r="Y266" i="3" s="1"/>
  <c r="Z266" i="3" s="1"/>
  <c r="AA266" i="3" s="1"/>
  <c r="AB266" i="3" s="1"/>
  <c r="AC266" i="3" s="1"/>
  <c r="AD266" i="3" s="1"/>
  <c r="AE266" i="3" s="1"/>
  <c r="AF266" i="3" s="1"/>
  <c r="F266" i="3"/>
  <c r="G266" i="3" s="1"/>
  <c r="H266" i="3" s="1"/>
  <c r="D266" i="3"/>
  <c r="E266" i="3" s="1"/>
  <c r="C266" i="3"/>
  <c r="G265" i="3"/>
  <c r="H265" i="3" s="1"/>
  <c r="I265" i="3" s="1"/>
  <c r="J265" i="3" s="1"/>
  <c r="K265" i="3" s="1"/>
  <c r="L265" i="3" s="1"/>
  <c r="M265" i="3" s="1"/>
  <c r="N265" i="3" s="1"/>
  <c r="O265" i="3" s="1"/>
  <c r="P265" i="3" s="1"/>
  <c r="Q265" i="3" s="1"/>
  <c r="R265" i="3" s="1"/>
  <c r="S265" i="3" s="1"/>
  <c r="T265" i="3" s="1"/>
  <c r="U265" i="3" s="1"/>
  <c r="V265" i="3" s="1"/>
  <c r="W265" i="3" s="1"/>
  <c r="X265" i="3" s="1"/>
  <c r="Y265" i="3" s="1"/>
  <c r="Z265" i="3" s="1"/>
  <c r="AA265" i="3" s="1"/>
  <c r="AB265" i="3" s="1"/>
  <c r="AC265" i="3" s="1"/>
  <c r="AD265" i="3" s="1"/>
  <c r="AE265" i="3" s="1"/>
  <c r="AF265" i="3" s="1"/>
  <c r="D265" i="3"/>
  <c r="E265" i="3" s="1"/>
  <c r="F265" i="3" s="1"/>
  <c r="C265" i="3"/>
  <c r="E264" i="3"/>
  <c r="F264" i="3" s="1"/>
  <c r="G264" i="3" s="1"/>
  <c r="H264" i="3" s="1"/>
  <c r="I264" i="3" s="1"/>
  <c r="J264" i="3" s="1"/>
  <c r="K264" i="3" s="1"/>
  <c r="L264" i="3" s="1"/>
  <c r="M264" i="3" s="1"/>
  <c r="N264" i="3" s="1"/>
  <c r="O264" i="3" s="1"/>
  <c r="P264" i="3" s="1"/>
  <c r="Q264" i="3" s="1"/>
  <c r="R264" i="3" s="1"/>
  <c r="S264" i="3" s="1"/>
  <c r="T264" i="3" s="1"/>
  <c r="U264" i="3" s="1"/>
  <c r="V264" i="3" s="1"/>
  <c r="W264" i="3" s="1"/>
  <c r="X264" i="3" s="1"/>
  <c r="Y264" i="3" s="1"/>
  <c r="Z264" i="3" s="1"/>
  <c r="AA264" i="3" s="1"/>
  <c r="AB264" i="3" s="1"/>
  <c r="AC264" i="3" s="1"/>
  <c r="AD264" i="3" s="1"/>
  <c r="AE264" i="3" s="1"/>
  <c r="AF264" i="3" s="1"/>
  <c r="C264" i="3"/>
  <c r="D264" i="3" s="1"/>
  <c r="P263" i="3"/>
  <c r="Q263" i="3" s="1"/>
  <c r="R263" i="3" s="1"/>
  <c r="S263" i="3" s="1"/>
  <c r="T263" i="3" s="1"/>
  <c r="U263" i="3" s="1"/>
  <c r="V263" i="3" s="1"/>
  <c r="W263" i="3" s="1"/>
  <c r="X263" i="3" s="1"/>
  <c r="Y263" i="3" s="1"/>
  <c r="Z263" i="3" s="1"/>
  <c r="AA263" i="3" s="1"/>
  <c r="AB263" i="3" s="1"/>
  <c r="AC263" i="3" s="1"/>
  <c r="AD263" i="3" s="1"/>
  <c r="AE263" i="3" s="1"/>
  <c r="AF263" i="3" s="1"/>
  <c r="I263" i="3"/>
  <c r="J263" i="3" s="1"/>
  <c r="K263" i="3" s="1"/>
  <c r="L263" i="3" s="1"/>
  <c r="M263" i="3" s="1"/>
  <c r="N263" i="3" s="1"/>
  <c r="O263" i="3" s="1"/>
  <c r="C263" i="3"/>
  <c r="D263" i="3" s="1"/>
  <c r="E263" i="3" s="1"/>
  <c r="F263" i="3" s="1"/>
  <c r="G263" i="3" s="1"/>
  <c r="H263" i="3" s="1"/>
  <c r="Q262" i="3"/>
  <c r="R262" i="3" s="1"/>
  <c r="S262" i="3" s="1"/>
  <c r="T262" i="3" s="1"/>
  <c r="U262" i="3" s="1"/>
  <c r="V262" i="3" s="1"/>
  <c r="W262" i="3" s="1"/>
  <c r="X262" i="3" s="1"/>
  <c r="Y262" i="3" s="1"/>
  <c r="Z262" i="3" s="1"/>
  <c r="AA262" i="3" s="1"/>
  <c r="AB262" i="3" s="1"/>
  <c r="AC262" i="3" s="1"/>
  <c r="AD262" i="3" s="1"/>
  <c r="AE262" i="3" s="1"/>
  <c r="AF262" i="3" s="1"/>
  <c r="G262" i="3"/>
  <c r="H262" i="3" s="1"/>
  <c r="I262" i="3" s="1"/>
  <c r="J262" i="3" s="1"/>
  <c r="K262" i="3" s="1"/>
  <c r="L262" i="3" s="1"/>
  <c r="M262" i="3" s="1"/>
  <c r="N262" i="3" s="1"/>
  <c r="O262" i="3" s="1"/>
  <c r="P262" i="3" s="1"/>
  <c r="F262" i="3"/>
  <c r="D262" i="3"/>
  <c r="E262" i="3" s="1"/>
  <c r="C262" i="3"/>
  <c r="G261" i="3"/>
  <c r="H261" i="3" s="1"/>
  <c r="I261" i="3" s="1"/>
  <c r="J261" i="3" s="1"/>
  <c r="K261" i="3" s="1"/>
  <c r="L261" i="3" s="1"/>
  <c r="M261" i="3" s="1"/>
  <c r="N261" i="3" s="1"/>
  <c r="O261" i="3" s="1"/>
  <c r="P261" i="3" s="1"/>
  <c r="Q261" i="3" s="1"/>
  <c r="R261" i="3" s="1"/>
  <c r="S261" i="3" s="1"/>
  <c r="T261" i="3" s="1"/>
  <c r="U261" i="3" s="1"/>
  <c r="V261" i="3" s="1"/>
  <c r="W261" i="3" s="1"/>
  <c r="X261" i="3" s="1"/>
  <c r="Y261" i="3" s="1"/>
  <c r="Z261" i="3" s="1"/>
  <c r="AA261" i="3" s="1"/>
  <c r="AB261" i="3" s="1"/>
  <c r="AC261" i="3" s="1"/>
  <c r="AD261" i="3" s="1"/>
  <c r="AE261" i="3" s="1"/>
  <c r="AF261" i="3" s="1"/>
  <c r="D261" i="3"/>
  <c r="E261" i="3" s="1"/>
  <c r="F261" i="3" s="1"/>
  <c r="C261" i="3"/>
  <c r="Z260" i="3"/>
  <c r="AA260" i="3" s="1"/>
  <c r="AB260" i="3" s="1"/>
  <c r="AC260" i="3" s="1"/>
  <c r="AD260" i="3" s="1"/>
  <c r="AE260" i="3" s="1"/>
  <c r="AF260" i="3" s="1"/>
  <c r="J260" i="3"/>
  <c r="K260" i="3" s="1"/>
  <c r="L260" i="3" s="1"/>
  <c r="M260" i="3" s="1"/>
  <c r="N260" i="3" s="1"/>
  <c r="O260" i="3" s="1"/>
  <c r="P260" i="3" s="1"/>
  <c r="Q260" i="3" s="1"/>
  <c r="R260" i="3" s="1"/>
  <c r="S260" i="3" s="1"/>
  <c r="T260" i="3" s="1"/>
  <c r="U260" i="3" s="1"/>
  <c r="V260" i="3" s="1"/>
  <c r="W260" i="3" s="1"/>
  <c r="X260" i="3" s="1"/>
  <c r="Y260" i="3" s="1"/>
  <c r="F260" i="3"/>
  <c r="G260" i="3" s="1"/>
  <c r="H260" i="3" s="1"/>
  <c r="I260" i="3" s="1"/>
  <c r="C260" i="3"/>
  <c r="D260" i="3" s="1"/>
  <c r="E260" i="3" s="1"/>
  <c r="H259" i="3"/>
  <c r="I259" i="3" s="1"/>
  <c r="J259" i="3" s="1"/>
  <c r="K259" i="3" s="1"/>
  <c r="L259" i="3" s="1"/>
  <c r="M259" i="3" s="1"/>
  <c r="N259" i="3" s="1"/>
  <c r="O259" i="3" s="1"/>
  <c r="P259" i="3" s="1"/>
  <c r="Q259" i="3" s="1"/>
  <c r="R259" i="3" s="1"/>
  <c r="S259" i="3" s="1"/>
  <c r="T259" i="3" s="1"/>
  <c r="U259" i="3" s="1"/>
  <c r="V259" i="3" s="1"/>
  <c r="W259" i="3" s="1"/>
  <c r="X259" i="3" s="1"/>
  <c r="Y259" i="3" s="1"/>
  <c r="Z259" i="3" s="1"/>
  <c r="AA259" i="3" s="1"/>
  <c r="AB259" i="3" s="1"/>
  <c r="AC259" i="3" s="1"/>
  <c r="AD259" i="3" s="1"/>
  <c r="AE259" i="3" s="1"/>
  <c r="AF259" i="3" s="1"/>
  <c r="D259" i="3"/>
  <c r="E259" i="3" s="1"/>
  <c r="F259" i="3" s="1"/>
  <c r="G259" i="3" s="1"/>
  <c r="C259" i="3"/>
  <c r="V258" i="3"/>
  <c r="W258" i="3" s="1"/>
  <c r="X258" i="3" s="1"/>
  <c r="Y258" i="3" s="1"/>
  <c r="Z258" i="3" s="1"/>
  <c r="AA258" i="3" s="1"/>
  <c r="AB258" i="3" s="1"/>
  <c r="AC258" i="3" s="1"/>
  <c r="AD258" i="3" s="1"/>
  <c r="AE258" i="3" s="1"/>
  <c r="AF258" i="3" s="1"/>
  <c r="J258" i="3"/>
  <c r="K258" i="3" s="1"/>
  <c r="L258" i="3" s="1"/>
  <c r="M258" i="3" s="1"/>
  <c r="N258" i="3" s="1"/>
  <c r="O258" i="3" s="1"/>
  <c r="P258" i="3" s="1"/>
  <c r="Q258" i="3" s="1"/>
  <c r="R258" i="3" s="1"/>
  <c r="S258" i="3" s="1"/>
  <c r="T258" i="3" s="1"/>
  <c r="U258" i="3" s="1"/>
  <c r="F258" i="3"/>
  <c r="G258" i="3" s="1"/>
  <c r="H258" i="3" s="1"/>
  <c r="I258" i="3" s="1"/>
  <c r="C258" i="3"/>
  <c r="D258" i="3" s="1"/>
  <c r="E258" i="3" s="1"/>
  <c r="U257" i="3"/>
  <c r="V257" i="3" s="1"/>
  <c r="W257" i="3" s="1"/>
  <c r="X257" i="3" s="1"/>
  <c r="Y257" i="3" s="1"/>
  <c r="Z257" i="3" s="1"/>
  <c r="AA257" i="3" s="1"/>
  <c r="AB257" i="3" s="1"/>
  <c r="AC257" i="3" s="1"/>
  <c r="AD257" i="3" s="1"/>
  <c r="AE257" i="3" s="1"/>
  <c r="AF257" i="3" s="1"/>
  <c r="L257" i="3"/>
  <c r="M257" i="3" s="1"/>
  <c r="N257" i="3" s="1"/>
  <c r="O257" i="3" s="1"/>
  <c r="P257" i="3" s="1"/>
  <c r="Q257" i="3" s="1"/>
  <c r="R257" i="3" s="1"/>
  <c r="S257" i="3" s="1"/>
  <c r="T257" i="3" s="1"/>
  <c r="E257" i="3"/>
  <c r="F257" i="3" s="1"/>
  <c r="G257" i="3" s="1"/>
  <c r="H257" i="3" s="1"/>
  <c r="I257" i="3" s="1"/>
  <c r="J257" i="3" s="1"/>
  <c r="K257" i="3" s="1"/>
  <c r="D257" i="3"/>
  <c r="C257" i="3"/>
  <c r="C256" i="3"/>
  <c r="D256" i="3" s="1"/>
  <c r="E256" i="3" s="1"/>
  <c r="F256" i="3" s="1"/>
  <c r="G256" i="3" s="1"/>
  <c r="H256" i="3" s="1"/>
  <c r="I256" i="3" s="1"/>
  <c r="J256" i="3" s="1"/>
  <c r="K256" i="3" s="1"/>
  <c r="L256" i="3" s="1"/>
  <c r="M256" i="3" s="1"/>
  <c r="N256" i="3" s="1"/>
  <c r="O256" i="3" s="1"/>
  <c r="P256" i="3" s="1"/>
  <c r="Q256" i="3" s="1"/>
  <c r="R256" i="3" s="1"/>
  <c r="S256" i="3" s="1"/>
  <c r="T256" i="3" s="1"/>
  <c r="U256" i="3" s="1"/>
  <c r="V256" i="3" s="1"/>
  <c r="W256" i="3" s="1"/>
  <c r="X256" i="3" s="1"/>
  <c r="Y256" i="3" s="1"/>
  <c r="Z256" i="3" s="1"/>
  <c r="AA256" i="3" s="1"/>
  <c r="AB256" i="3" s="1"/>
  <c r="AC256" i="3" s="1"/>
  <c r="AD256" i="3" s="1"/>
  <c r="AE256" i="3" s="1"/>
  <c r="AF256" i="3" s="1"/>
  <c r="L255" i="3"/>
  <c r="M255" i="3" s="1"/>
  <c r="N255" i="3" s="1"/>
  <c r="O255" i="3" s="1"/>
  <c r="P255" i="3" s="1"/>
  <c r="Q255" i="3" s="1"/>
  <c r="R255" i="3" s="1"/>
  <c r="S255" i="3" s="1"/>
  <c r="T255" i="3" s="1"/>
  <c r="U255" i="3" s="1"/>
  <c r="V255" i="3" s="1"/>
  <c r="W255" i="3" s="1"/>
  <c r="X255" i="3" s="1"/>
  <c r="Y255" i="3" s="1"/>
  <c r="Z255" i="3" s="1"/>
  <c r="AA255" i="3" s="1"/>
  <c r="AB255" i="3" s="1"/>
  <c r="AC255" i="3" s="1"/>
  <c r="AD255" i="3" s="1"/>
  <c r="AE255" i="3" s="1"/>
  <c r="AF255" i="3" s="1"/>
  <c r="I255" i="3"/>
  <c r="J255" i="3" s="1"/>
  <c r="K255" i="3" s="1"/>
  <c r="C255" i="3"/>
  <c r="D255" i="3" s="1"/>
  <c r="E255" i="3" s="1"/>
  <c r="F255" i="3" s="1"/>
  <c r="G255" i="3" s="1"/>
  <c r="H255" i="3" s="1"/>
  <c r="J254" i="3"/>
  <c r="K254" i="3" s="1"/>
  <c r="L254" i="3" s="1"/>
  <c r="M254" i="3" s="1"/>
  <c r="N254" i="3" s="1"/>
  <c r="O254" i="3" s="1"/>
  <c r="P254" i="3" s="1"/>
  <c r="Q254" i="3" s="1"/>
  <c r="R254" i="3" s="1"/>
  <c r="S254" i="3" s="1"/>
  <c r="T254" i="3" s="1"/>
  <c r="U254" i="3" s="1"/>
  <c r="V254" i="3" s="1"/>
  <c r="W254" i="3" s="1"/>
  <c r="X254" i="3" s="1"/>
  <c r="Y254" i="3" s="1"/>
  <c r="Z254" i="3" s="1"/>
  <c r="AA254" i="3" s="1"/>
  <c r="AB254" i="3" s="1"/>
  <c r="AC254" i="3" s="1"/>
  <c r="AD254" i="3" s="1"/>
  <c r="AE254" i="3" s="1"/>
  <c r="AF254" i="3" s="1"/>
  <c r="G254" i="3"/>
  <c r="H254" i="3" s="1"/>
  <c r="I254" i="3" s="1"/>
  <c r="F254" i="3"/>
  <c r="C254" i="3"/>
  <c r="D254" i="3" s="1"/>
  <c r="E254" i="3" s="1"/>
  <c r="C253" i="3"/>
  <c r="D253" i="3" s="1"/>
  <c r="E253" i="3" s="1"/>
  <c r="F253" i="3" s="1"/>
  <c r="G253" i="3" s="1"/>
  <c r="H253" i="3" s="1"/>
  <c r="I253" i="3" s="1"/>
  <c r="J253" i="3" s="1"/>
  <c r="K253" i="3" s="1"/>
  <c r="L253" i="3" s="1"/>
  <c r="M253" i="3" s="1"/>
  <c r="N253" i="3" s="1"/>
  <c r="O253" i="3" s="1"/>
  <c r="P253" i="3" s="1"/>
  <c r="Q253" i="3" s="1"/>
  <c r="R253" i="3" s="1"/>
  <c r="S253" i="3" s="1"/>
  <c r="T253" i="3" s="1"/>
  <c r="U253" i="3" s="1"/>
  <c r="V253" i="3" s="1"/>
  <c r="W253" i="3" s="1"/>
  <c r="X253" i="3" s="1"/>
  <c r="Y253" i="3" s="1"/>
  <c r="Z253" i="3" s="1"/>
  <c r="AA253" i="3" s="1"/>
  <c r="AB253" i="3" s="1"/>
  <c r="AC253" i="3" s="1"/>
  <c r="AD253" i="3" s="1"/>
  <c r="AE253" i="3" s="1"/>
  <c r="AF253" i="3" s="1"/>
  <c r="E252" i="3"/>
  <c r="F252" i="3" s="1"/>
  <c r="G252" i="3" s="1"/>
  <c r="H252" i="3" s="1"/>
  <c r="I252" i="3" s="1"/>
  <c r="J252" i="3" s="1"/>
  <c r="K252" i="3" s="1"/>
  <c r="L252" i="3" s="1"/>
  <c r="M252" i="3" s="1"/>
  <c r="N252" i="3" s="1"/>
  <c r="O252" i="3" s="1"/>
  <c r="P252" i="3" s="1"/>
  <c r="Q252" i="3" s="1"/>
  <c r="R252" i="3" s="1"/>
  <c r="S252" i="3" s="1"/>
  <c r="T252" i="3" s="1"/>
  <c r="U252" i="3" s="1"/>
  <c r="V252" i="3" s="1"/>
  <c r="W252" i="3" s="1"/>
  <c r="X252" i="3" s="1"/>
  <c r="Y252" i="3" s="1"/>
  <c r="Z252" i="3" s="1"/>
  <c r="AA252" i="3" s="1"/>
  <c r="AB252" i="3" s="1"/>
  <c r="AC252" i="3" s="1"/>
  <c r="AD252" i="3" s="1"/>
  <c r="AE252" i="3" s="1"/>
  <c r="AF252" i="3" s="1"/>
  <c r="C252" i="3"/>
  <c r="D252" i="3" s="1"/>
  <c r="C251" i="3"/>
  <c r="D251" i="3" s="1"/>
  <c r="E251" i="3" s="1"/>
  <c r="F251" i="3" s="1"/>
  <c r="G251" i="3" s="1"/>
  <c r="H251" i="3" s="1"/>
  <c r="I251" i="3" s="1"/>
  <c r="J251" i="3" s="1"/>
  <c r="K251" i="3" s="1"/>
  <c r="L251" i="3" s="1"/>
  <c r="M251" i="3" s="1"/>
  <c r="N251" i="3" s="1"/>
  <c r="O251" i="3" s="1"/>
  <c r="P251" i="3" s="1"/>
  <c r="Q251" i="3" s="1"/>
  <c r="R251" i="3" s="1"/>
  <c r="S251" i="3" s="1"/>
  <c r="T251" i="3" s="1"/>
  <c r="U251" i="3" s="1"/>
  <c r="V251" i="3" s="1"/>
  <c r="W251" i="3" s="1"/>
  <c r="X251" i="3" s="1"/>
  <c r="Y251" i="3" s="1"/>
  <c r="Z251" i="3" s="1"/>
  <c r="AA251" i="3" s="1"/>
  <c r="AB251" i="3" s="1"/>
  <c r="AC251" i="3" s="1"/>
  <c r="AD251" i="3" s="1"/>
  <c r="AE251" i="3" s="1"/>
  <c r="AF251" i="3" s="1"/>
  <c r="R250" i="3"/>
  <c r="S250" i="3" s="1"/>
  <c r="T250" i="3" s="1"/>
  <c r="U250" i="3" s="1"/>
  <c r="V250" i="3" s="1"/>
  <c r="W250" i="3" s="1"/>
  <c r="X250" i="3" s="1"/>
  <c r="Y250" i="3" s="1"/>
  <c r="Z250" i="3" s="1"/>
  <c r="AA250" i="3" s="1"/>
  <c r="AB250" i="3" s="1"/>
  <c r="AC250" i="3" s="1"/>
  <c r="AD250" i="3" s="1"/>
  <c r="AE250" i="3" s="1"/>
  <c r="AF250" i="3" s="1"/>
  <c r="J250" i="3"/>
  <c r="K250" i="3" s="1"/>
  <c r="L250" i="3" s="1"/>
  <c r="M250" i="3" s="1"/>
  <c r="N250" i="3" s="1"/>
  <c r="O250" i="3" s="1"/>
  <c r="P250" i="3" s="1"/>
  <c r="Q250" i="3" s="1"/>
  <c r="E250" i="3"/>
  <c r="F250" i="3" s="1"/>
  <c r="G250" i="3" s="1"/>
  <c r="H250" i="3" s="1"/>
  <c r="I250" i="3" s="1"/>
  <c r="D250" i="3"/>
  <c r="C250" i="3"/>
  <c r="E249" i="3"/>
  <c r="F249" i="3" s="1"/>
  <c r="G249" i="3" s="1"/>
  <c r="H249" i="3" s="1"/>
  <c r="I249" i="3" s="1"/>
  <c r="J249" i="3" s="1"/>
  <c r="K249" i="3" s="1"/>
  <c r="L249" i="3" s="1"/>
  <c r="M249" i="3" s="1"/>
  <c r="N249" i="3" s="1"/>
  <c r="O249" i="3" s="1"/>
  <c r="P249" i="3" s="1"/>
  <c r="Q249" i="3" s="1"/>
  <c r="R249" i="3" s="1"/>
  <c r="S249" i="3" s="1"/>
  <c r="T249" i="3" s="1"/>
  <c r="U249" i="3" s="1"/>
  <c r="V249" i="3" s="1"/>
  <c r="W249" i="3" s="1"/>
  <c r="X249" i="3" s="1"/>
  <c r="Y249" i="3" s="1"/>
  <c r="Z249" i="3" s="1"/>
  <c r="AA249" i="3" s="1"/>
  <c r="AB249" i="3" s="1"/>
  <c r="AC249" i="3" s="1"/>
  <c r="AD249" i="3" s="1"/>
  <c r="AE249" i="3" s="1"/>
  <c r="AF249" i="3" s="1"/>
  <c r="C249" i="3"/>
  <c r="D249" i="3" s="1"/>
  <c r="AA248" i="3"/>
  <c r="AB248" i="3" s="1"/>
  <c r="AC248" i="3" s="1"/>
  <c r="AD248" i="3" s="1"/>
  <c r="AE248" i="3" s="1"/>
  <c r="AF248" i="3" s="1"/>
  <c r="S248" i="3"/>
  <c r="T248" i="3" s="1"/>
  <c r="U248" i="3" s="1"/>
  <c r="V248" i="3" s="1"/>
  <c r="W248" i="3" s="1"/>
  <c r="X248" i="3" s="1"/>
  <c r="Y248" i="3" s="1"/>
  <c r="Z248" i="3" s="1"/>
  <c r="C248" i="3"/>
  <c r="D248" i="3" s="1"/>
  <c r="E248" i="3" s="1"/>
  <c r="F248" i="3" s="1"/>
  <c r="G248" i="3" s="1"/>
  <c r="H248" i="3" s="1"/>
  <c r="I248" i="3" s="1"/>
  <c r="J248" i="3" s="1"/>
  <c r="K248" i="3" s="1"/>
  <c r="L248" i="3" s="1"/>
  <c r="M248" i="3" s="1"/>
  <c r="N248" i="3" s="1"/>
  <c r="O248" i="3" s="1"/>
  <c r="P248" i="3" s="1"/>
  <c r="Q248" i="3" s="1"/>
  <c r="R248" i="3" s="1"/>
  <c r="C247" i="3"/>
  <c r="D247" i="3" s="1"/>
  <c r="E247" i="3" s="1"/>
  <c r="F247" i="3" s="1"/>
  <c r="G247" i="3" s="1"/>
  <c r="H247" i="3" s="1"/>
  <c r="I247" i="3" s="1"/>
  <c r="J247" i="3" s="1"/>
  <c r="K247" i="3" s="1"/>
  <c r="L247" i="3" s="1"/>
  <c r="M247" i="3" s="1"/>
  <c r="N247" i="3" s="1"/>
  <c r="O247" i="3" s="1"/>
  <c r="P247" i="3" s="1"/>
  <c r="Q247" i="3" s="1"/>
  <c r="R247" i="3" s="1"/>
  <c r="S247" i="3" s="1"/>
  <c r="T247" i="3" s="1"/>
  <c r="U247" i="3" s="1"/>
  <c r="V247" i="3" s="1"/>
  <c r="W247" i="3" s="1"/>
  <c r="X247" i="3" s="1"/>
  <c r="Y247" i="3" s="1"/>
  <c r="Z247" i="3" s="1"/>
  <c r="AA247" i="3" s="1"/>
  <c r="AB247" i="3" s="1"/>
  <c r="AC247" i="3" s="1"/>
  <c r="AD247" i="3" s="1"/>
  <c r="AE247" i="3" s="1"/>
  <c r="AF247" i="3" s="1"/>
  <c r="U246" i="3"/>
  <c r="V246" i="3" s="1"/>
  <c r="W246" i="3" s="1"/>
  <c r="X246" i="3" s="1"/>
  <c r="Y246" i="3" s="1"/>
  <c r="Z246" i="3" s="1"/>
  <c r="AA246" i="3" s="1"/>
  <c r="AB246" i="3" s="1"/>
  <c r="AC246" i="3" s="1"/>
  <c r="AD246" i="3" s="1"/>
  <c r="AE246" i="3" s="1"/>
  <c r="AF246" i="3" s="1"/>
  <c r="E246" i="3"/>
  <c r="F246" i="3" s="1"/>
  <c r="G246" i="3" s="1"/>
  <c r="H246" i="3" s="1"/>
  <c r="I246" i="3" s="1"/>
  <c r="J246" i="3" s="1"/>
  <c r="K246" i="3" s="1"/>
  <c r="L246" i="3" s="1"/>
  <c r="M246" i="3" s="1"/>
  <c r="N246" i="3" s="1"/>
  <c r="O246" i="3" s="1"/>
  <c r="P246" i="3" s="1"/>
  <c r="Q246" i="3" s="1"/>
  <c r="R246" i="3" s="1"/>
  <c r="S246" i="3" s="1"/>
  <c r="T246" i="3" s="1"/>
  <c r="D246" i="3"/>
  <c r="C246" i="3"/>
  <c r="P245" i="3"/>
  <c r="Q245" i="3" s="1"/>
  <c r="R245" i="3" s="1"/>
  <c r="S245" i="3" s="1"/>
  <c r="T245" i="3" s="1"/>
  <c r="U245" i="3" s="1"/>
  <c r="V245" i="3" s="1"/>
  <c r="W245" i="3" s="1"/>
  <c r="X245" i="3" s="1"/>
  <c r="Y245" i="3" s="1"/>
  <c r="Z245" i="3" s="1"/>
  <c r="AA245" i="3" s="1"/>
  <c r="AB245" i="3" s="1"/>
  <c r="AC245" i="3" s="1"/>
  <c r="AD245" i="3" s="1"/>
  <c r="AE245" i="3" s="1"/>
  <c r="AF245" i="3" s="1"/>
  <c r="E245" i="3"/>
  <c r="F245" i="3" s="1"/>
  <c r="G245" i="3" s="1"/>
  <c r="H245" i="3" s="1"/>
  <c r="I245" i="3" s="1"/>
  <c r="J245" i="3" s="1"/>
  <c r="K245" i="3" s="1"/>
  <c r="L245" i="3" s="1"/>
  <c r="M245" i="3" s="1"/>
  <c r="N245" i="3" s="1"/>
  <c r="O245" i="3" s="1"/>
  <c r="D245" i="3"/>
  <c r="C245" i="3"/>
  <c r="V244" i="3"/>
  <c r="W244" i="3" s="1"/>
  <c r="X244" i="3" s="1"/>
  <c r="Y244" i="3" s="1"/>
  <c r="Z244" i="3" s="1"/>
  <c r="AA244" i="3" s="1"/>
  <c r="AB244" i="3" s="1"/>
  <c r="AC244" i="3" s="1"/>
  <c r="AD244" i="3" s="1"/>
  <c r="AE244" i="3" s="1"/>
  <c r="AF244" i="3" s="1"/>
  <c r="Q244" i="3"/>
  <c r="R244" i="3" s="1"/>
  <c r="S244" i="3" s="1"/>
  <c r="T244" i="3" s="1"/>
  <c r="U244" i="3" s="1"/>
  <c r="J244" i="3"/>
  <c r="K244" i="3" s="1"/>
  <c r="L244" i="3" s="1"/>
  <c r="M244" i="3" s="1"/>
  <c r="N244" i="3" s="1"/>
  <c r="O244" i="3" s="1"/>
  <c r="P244" i="3" s="1"/>
  <c r="I244" i="3"/>
  <c r="C244" i="3"/>
  <c r="D244" i="3" s="1"/>
  <c r="E244" i="3" s="1"/>
  <c r="F244" i="3" s="1"/>
  <c r="G244" i="3" s="1"/>
  <c r="H244" i="3" s="1"/>
  <c r="C243" i="3"/>
  <c r="D243" i="3" s="1"/>
  <c r="E243" i="3" s="1"/>
  <c r="F243" i="3" s="1"/>
  <c r="G243" i="3" s="1"/>
  <c r="H243" i="3" s="1"/>
  <c r="I243" i="3" s="1"/>
  <c r="J243" i="3" s="1"/>
  <c r="K243" i="3" s="1"/>
  <c r="L243" i="3" s="1"/>
  <c r="M243" i="3" s="1"/>
  <c r="N243" i="3" s="1"/>
  <c r="O243" i="3" s="1"/>
  <c r="P243" i="3" s="1"/>
  <c r="Q243" i="3" s="1"/>
  <c r="R243" i="3" s="1"/>
  <c r="S243" i="3" s="1"/>
  <c r="T243" i="3" s="1"/>
  <c r="U243" i="3" s="1"/>
  <c r="V243" i="3" s="1"/>
  <c r="W243" i="3" s="1"/>
  <c r="X243" i="3" s="1"/>
  <c r="Y243" i="3" s="1"/>
  <c r="Z243" i="3" s="1"/>
  <c r="AA243" i="3" s="1"/>
  <c r="AB243" i="3" s="1"/>
  <c r="AC243" i="3" s="1"/>
  <c r="AD243" i="3" s="1"/>
  <c r="AE243" i="3" s="1"/>
  <c r="AF243" i="3" s="1"/>
  <c r="E242" i="3"/>
  <c r="F242" i="3" s="1"/>
  <c r="G242" i="3" s="1"/>
  <c r="H242" i="3" s="1"/>
  <c r="I242" i="3" s="1"/>
  <c r="J242" i="3" s="1"/>
  <c r="K242" i="3" s="1"/>
  <c r="L242" i="3" s="1"/>
  <c r="M242" i="3" s="1"/>
  <c r="N242" i="3" s="1"/>
  <c r="O242" i="3" s="1"/>
  <c r="P242" i="3" s="1"/>
  <c r="Q242" i="3" s="1"/>
  <c r="R242" i="3" s="1"/>
  <c r="S242" i="3" s="1"/>
  <c r="T242" i="3" s="1"/>
  <c r="U242" i="3" s="1"/>
  <c r="V242" i="3" s="1"/>
  <c r="W242" i="3" s="1"/>
  <c r="X242" i="3" s="1"/>
  <c r="Y242" i="3" s="1"/>
  <c r="Z242" i="3" s="1"/>
  <c r="AA242" i="3" s="1"/>
  <c r="AB242" i="3" s="1"/>
  <c r="AC242" i="3" s="1"/>
  <c r="AD242" i="3" s="1"/>
  <c r="AE242" i="3" s="1"/>
  <c r="AF242" i="3" s="1"/>
  <c r="D242" i="3"/>
  <c r="C242" i="3"/>
  <c r="N241" i="3"/>
  <c r="O241" i="3" s="1"/>
  <c r="P241" i="3" s="1"/>
  <c r="Q241" i="3" s="1"/>
  <c r="R241" i="3" s="1"/>
  <c r="S241" i="3" s="1"/>
  <c r="T241" i="3" s="1"/>
  <c r="U241" i="3" s="1"/>
  <c r="V241" i="3" s="1"/>
  <c r="W241" i="3" s="1"/>
  <c r="X241" i="3" s="1"/>
  <c r="Y241" i="3" s="1"/>
  <c r="Z241" i="3" s="1"/>
  <c r="AA241" i="3" s="1"/>
  <c r="AB241" i="3" s="1"/>
  <c r="AC241" i="3" s="1"/>
  <c r="AD241" i="3" s="1"/>
  <c r="AE241" i="3" s="1"/>
  <c r="AF241" i="3" s="1"/>
  <c r="D241" i="3"/>
  <c r="E241" i="3" s="1"/>
  <c r="F241" i="3" s="1"/>
  <c r="G241" i="3" s="1"/>
  <c r="H241" i="3" s="1"/>
  <c r="I241" i="3" s="1"/>
  <c r="J241" i="3" s="1"/>
  <c r="K241" i="3" s="1"/>
  <c r="L241" i="3" s="1"/>
  <c r="M241" i="3" s="1"/>
  <c r="C241" i="3"/>
  <c r="AC240" i="3"/>
  <c r="AD240" i="3" s="1"/>
  <c r="AE240" i="3" s="1"/>
  <c r="AF240" i="3" s="1"/>
  <c r="L240" i="3"/>
  <c r="M240" i="3" s="1"/>
  <c r="N240" i="3" s="1"/>
  <c r="O240" i="3" s="1"/>
  <c r="P240" i="3" s="1"/>
  <c r="Q240" i="3" s="1"/>
  <c r="R240" i="3" s="1"/>
  <c r="S240" i="3" s="1"/>
  <c r="T240" i="3" s="1"/>
  <c r="U240" i="3" s="1"/>
  <c r="V240" i="3" s="1"/>
  <c r="W240" i="3" s="1"/>
  <c r="X240" i="3" s="1"/>
  <c r="Y240" i="3" s="1"/>
  <c r="Z240" i="3" s="1"/>
  <c r="AA240" i="3" s="1"/>
  <c r="AB240" i="3" s="1"/>
  <c r="H240" i="3"/>
  <c r="I240" i="3" s="1"/>
  <c r="J240" i="3" s="1"/>
  <c r="K240" i="3" s="1"/>
  <c r="F240" i="3"/>
  <c r="G240" i="3" s="1"/>
  <c r="C240" i="3"/>
  <c r="D240" i="3" s="1"/>
  <c r="E240" i="3" s="1"/>
  <c r="R239" i="3"/>
  <c r="S239" i="3" s="1"/>
  <c r="T239" i="3" s="1"/>
  <c r="U239" i="3" s="1"/>
  <c r="V239" i="3" s="1"/>
  <c r="W239" i="3" s="1"/>
  <c r="X239" i="3" s="1"/>
  <c r="Y239" i="3" s="1"/>
  <c r="Z239" i="3" s="1"/>
  <c r="AA239" i="3" s="1"/>
  <c r="AB239" i="3" s="1"/>
  <c r="AC239" i="3" s="1"/>
  <c r="AD239" i="3" s="1"/>
  <c r="AE239" i="3" s="1"/>
  <c r="AF239" i="3" s="1"/>
  <c r="D239" i="3"/>
  <c r="E239" i="3" s="1"/>
  <c r="F239" i="3" s="1"/>
  <c r="G239" i="3" s="1"/>
  <c r="H239" i="3" s="1"/>
  <c r="I239" i="3" s="1"/>
  <c r="J239" i="3" s="1"/>
  <c r="K239" i="3" s="1"/>
  <c r="L239" i="3" s="1"/>
  <c r="M239" i="3" s="1"/>
  <c r="N239" i="3" s="1"/>
  <c r="O239" i="3" s="1"/>
  <c r="P239" i="3" s="1"/>
  <c r="Q239" i="3" s="1"/>
  <c r="C239" i="3"/>
  <c r="C238" i="3"/>
  <c r="D238" i="3" s="1"/>
  <c r="E238" i="3" s="1"/>
  <c r="F238" i="3" s="1"/>
  <c r="G238" i="3" s="1"/>
  <c r="H238" i="3" s="1"/>
  <c r="I238" i="3" s="1"/>
  <c r="J238" i="3" s="1"/>
  <c r="K238" i="3" s="1"/>
  <c r="L238" i="3" s="1"/>
  <c r="M238" i="3" s="1"/>
  <c r="N238" i="3" s="1"/>
  <c r="O238" i="3" s="1"/>
  <c r="P238" i="3" s="1"/>
  <c r="Q238" i="3" s="1"/>
  <c r="R238" i="3" s="1"/>
  <c r="S238" i="3" s="1"/>
  <c r="T238" i="3" s="1"/>
  <c r="U238" i="3" s="1"/>
  <c r="V238" i="3" s="1"/>
  <c r="W238" i="3" s="1"/>
  <c r="X238" i="3" s="1"/>
  <c r="Y238" i="3" s="1"/>
  <c r="Z238" i="3" s="1"/>
  <c r="AA238" i="3" s="1"/>
  <c r="AB238" i="3" s="1"/>
  <c r="AC238" i="3" s="1"/>
  <c r="AD238" i="3" s="1"/>
  <c r="AE238" i="3" s="1"/>
  <c r="AF238" i="3" s="1"/>
  <c r="P237" i="3"/>
  <c r="Q237" i="3" s="1"/>
  <c r="R237" i="3" s="1"/>
  <c r="S237" i="3" s="1"/>
  <c r="T237" i="3" s="1"/>
  <c r="U237" i="3" s="1"/>
  <c r="V237" i="3" s="1"/>
  <c r="W237" i="3" s="1"/>
  <c r="X237" i="3" s="1"/>
  <c r="Y237" i="3" s="1"/>
  <c r="Z237" i="3" s="1"/>
  <c r="AA237" i="3" s="1"/>
  <c r="AB237" i="3" s="1"/>
  <c r="AC237" i="3" s="1"/>
  <c r="AD237" i="3" s="1"/>
  <c r="AE237" i="3" s="1"/>
  <c r="AF237" i="3" s="1"/>
  <c r="H237" i="3"/>
  <c r="I237" i="3" s="1"/>
  <c r="J237" i="3" s="1"/>
  <c r="K237" i="3" s="1"/>
  <c r="L237" i="3" s="1"/>
  <c r="M237" i="3" s="1"/>
  <c r="N237" i="3" s="1"/>
  <c r="O237" i="3" s="1"/>
  <c r="D237" i="3"/>
  <c r="E237" i="3" s="1"/>
  <c r="F237" i="3" s="1"/>
  <c r="G237" i="3" s="1"/>
  <c r="C237" i="3"/>
  <c r="AD236" i="3"/>
  <c r="AE236" i="3" s="1"/>
  <c r="AF236" i="3" s="1"/>
  <c r="G236" i="3"/>
  <c r="H236" i="3" s="1"/>
  <c r="I236" i="3" s="1"/>
  <c r="J236" i="3" s="1"/>
  <c r="K236" i="3" s="1"/>
  <c r="L236" i="3" s="1"/>
  <c r="M236" i="3" s="1"/>
  <c r="N236" i="3" s="1"/>
  <c r="O236" i="3" s="1"/>
  <c r="P236" i="3" s="1"/>
  <c r="Q236" i="3" s="1"/>
  <c r="R236" i="3" s="1"/>
  <c r="S236" i="3" s="1"/>
  <c r="T236" i="3" s="1"/>
  <c r="U236" i="3" s="1"/>
  <c r="V236" i="3" s="1"/>
  <c r="W236" i="3" s="1"/>
  <c r="X236" i="3" s="1"/>
  <c r="Y236" i="3" s="1"/>
  <c r="Z236" i="3" s="1"/>
  <c r="AA236" i="3" s="1"/>
  <c r="AB236" i="3" s="1"/>
  <c r="AC236" i="3" s="1"/>
  <c r="C236" i="3"/>
  <c r="D236" i="3" s="1"/>
  <c r="E236" i="3" s="1"/>
  <c r="F236" i="3" s="1"/>
  <c r="E235" i="3"/>
  <c r="F235" i="3" s="1"/>
  <c r="G235" i="3" s="1"/>
  <c r="H235" i="3" s="1"/>
  <c r="I235" i="3" s="1"/>
  <c r="J235" i="3" s="1"/>
  <c r="K235" i="3" s="1"/>
  <c r="L235" i="3" s="1"/>
  <c r="M235" i="3" s="1"/>
  <c r="N235" i="3" s="1"/>
  <c r="O235" i="3" s="1"/>
  <c r="P235" i="3" s="1"/>
  <c r="Q235" i="3" s="1"/>
  <c r="R235" i="3" s="1"/>
  <c r="S235" i="3" s="1"/>
  <c r="T235" i="3" s="1"/>
  <c r="U235" i="3" s="1"/>
  <c r="V235" i="3" s="1"/>
  <c r="W235" i="3" s="1"/>
  <c r="X235" i="3" s="1"/>
  <c r="Y235" i="3" s="1"/>
  <c r="Z235" i="3" s="1"/>
  <c r="AA235" i="3" s="1"/>
  <c r="AB235" i="3" s="1"/>
  <c r="AC235" i="3" s="1"/>
  <c r="AD235" i="3" s="1"/>
  <c r="AE235" i="3" s="1"/>
  <c r="AF235" i="3" s="1"/>
  <c r="D235" i="3"/>
  <c r="C235" i="3"/>
  <c r="K234" i="3"/>
  <c r="L234" i="3" s="1"/>
  <c r="M234" i="3" s="1"/>
  <c r="N234" i="3" s="1"/>
  <c r="O234" i="3" s="1"/>
  <c r="P234" i="3" s="1"/>
  <c r="Q234" i="3" s="1"/>
  <c r="R234" i="3" s="1"/>
  <c r="S234" i="3" s="1"/>
  <c r="T234" i="3" s="1"/>
  <c r="U234" i="3" s="1"/>
  <c r="V234" i="3" s="1"/>
  <c r="W234" i="3" s="1"/>
  <c r="X234" i="3" s="1"/>
  <c r="Y234" i="3" s="1"/>
  <c r="Z234" i="3" s="1"/>
  <c r="AA234" i="3" s="1"/>
  <c r="AB234" i="3" s="1"/>
  <c r="AC234" i="3" s="1"/>
  <c r="AD234" i="3" s="1"/>
  <c r="AE234" i="3" s="1"/>
  <c r="AF234" i="3" s="1"/>
  <c r="F234" i="3"/>
  <c r="G234" i="3" s="1"/>
  <c r="H234" i="3" s="1"/>
  <c r="I234" i="3" s="1"/>
  <c r="J234" i="3" s="1"/>
  <c r="C234" i="3"/>
  <c r="D234" i="3" s="1"/>
  <c r="E234" i="3" s="1"/>
  <c r="AF233" i="3"/>
  <c r="D233" i="3"/>
  <c r="E233" i="3" s="1"/>
  <c r="F233" i="3" s="1"/>
  <c r="G233" i="3" s="1"/>
  <c r="H233" i="3" s="1"/>
  <c r="I233" i="3" s="1"/>
  <c r="J233" i="3" s="1"/>
  <c r="K233" i="3" s="1"/>
  <c r="L233" i="3" s="1"/>
  <c r="M233" i="3" s="1"/>
  <c r="N233" i="3" s="1"/>
  <c r="O233" i="3" s="1"/>
  <c r="P233" i="3" s="1"/>
  <c r="Q233" i="3" s="1"/>
  <c r="R233" i="3" s="1"/>
  <c r="S233" i="3" s="1"/>
  <c r="T233" i="3" s="1"/>
  <c r="U233" i="3" s="1"/>
  <c r="V233" i="3" s="1"/>
  <c r="W233" i="3" s="1"/>
  <c r="X233" i="3" s="1"/>
  <c r="Y233" i="3" s="1"/>
  <c r="Z233" i="3" s="1"/>
  <c r="AA233" i="3" s="1"/>
  <c r="AB233" i="3" s="1"/>
  <c r="AC233" i="3" s="1"/>
  <c r="AD233" i="3" s="1"/>
  <c r="AE233" i="3" s="1"/>
  <c r="C233" i="3"/>
  <c r="AA232" i="3"/>
  <c r="AB232" i="3" s="1"/>
  <c r="AC232" i="3" s="1"/>
  <c r="AD232" i="3" s="1"/>
  <c r="AE232" i="3" s="1"/>
  <c r="AF232" i="3" s="1"/>
  <c r="N232" i="3"/>
  <c r="O232" i="3" s="1"/>
  <c r="P232" i="3" s="1"/>
  <c r="Q232" i="3" s="1"/>
  <c r="R232" i="3" s="1"/>
  <c r="S232" i="3" s="1"/>
  <c r="T232" i="3" s="1"/>
  <c r="U232" i="3" s="1"/>
  <c r="V232" i="3" s="1"/>
  <c r="W232" i="3" s="1"/>
  <c r="X232" i="3" s="1"/>
  <c r="Y232" i="3" s="1"/>
  <c r="Z232" i="3" s="1"/>
  <c r="J232" i="3"/>
  <c r="K232" i="3" s="1"/>
  <c r="L232" i="3" s="1"/>
  <c r="M232" i="3" s="1"/>
  <c r="C232" i="3"/>
  <c r="D232" i="3" s="1"/>
  <c r="E232" i="3" s="1"/>
  <c r="F232" i="3" s="1"/>
  <c r="G232" i="3" s="1"/>
  <c r="H232" i="3" s="1"/>
  <c r="I232" i="3" s="1"/>
  <c r="Q231" i="3"/>
  <c r="R231" i="3" s="1"/>
  <c r="S231" i="3" s="1"/>
  <c r="T231" i="3" s="1"/>
  <c r="U231" i="3" s="1"/>
  <c r="V231" i="3" s="1"/>
  <c r="W231" i="3" s="1"/>
  <c r="X231" i="3" s="1"/>
  <c r="Y231" i="3" s="1"/>
  <c r="Z231" i="3" s="1"/>
  <c r="AA231" i="3" s="1"/>
  <c r="AB231" i="3" s="1"/>
  <c r="AC231" i="3" s="1"/>
  <c r="AD231" i="3" s="1"/>
  <c r="AE231" i="3" s="1"/>
  <c r="AF231" i="3" s="1"/>
  <c r="M231" i="3"/>
  <c r="N231" i="3" s="1"/>
  <c r="O231" i="3" s="1"/>
  <c r="P231" i="3" s="1"/>
  <c r="H231" i="3"/>
  <c r="I231" i="3" s="1"/>
  <c r="J231" i="3" s="1"/>
  <c r="K231" i="3" s="1"/>
  <c r="L231" i="3" s="1"/>
  <c r="D231" i="3"/>
  <c r="E231" i="3" s="1"/>
  <c r="F231" i="3" s="1"/>
  <c r="G231" i="3" s="1"/>
  <c r="C231" i="3"/>
  <c r="C230" i="3"/>
  <c r="D230" i="3" s="1"/>
  <c r="E230" i="3" s="1"/>
  <c r="F230" i="3" s="1"/>
  <c r="G230" i="3" s="1"/>
  <c r="H230" i="3" s="1"/>
  <c r="I230" i="3" s="1"/>
  <c r="J230" i="3" s="1"/>
  <c r="K230" i="3" s="1"/>
  <c r="L230" i="3" s="1"/>
  <c r="M230" i="3" s="1"/>
  <c r="N230" i="3" s="1"/>
  <c r="O230" i="3" s="1"/>
  <c r="P230" i="3" s="1"/>
  <c r="Q230" i="3" s="1"/>
  <c r="R230" i="3" s="1"/>
  <c r="S230" i="3" s="1"/>
  <c r="T230" i="3" s="1"/>
  <c r="U230" i="3" s="1"/>
  <c r="V230" i="3" s="1"/>
  <c r="W230" i="3" s="1"/>
  <c r="X230" i="3" s="1"/>
  <c r="Y230" i="3" s="1"/>
  <c r="Z230" i="3" s="1"/>
  <c r="AA230" i="3" s="1"/>
  <c r="AB230" i="3" s="1"/>
  <c r="AC230" i="3" s="1"/>
  <c r="AD230" i="3" s="1"/>
  <c r="AE230" i="3" s="1"/>
  <c r="AF230" i="3" s="1"/>
  <c r="E229" i="3"/>
  <c r="F229" i="3" s="1"/>
  <c r="G229" i="3" s="1"/>
  <c r="H229" i="3" s="1"/>
  <c r="I229" i="3" s="1"/>
  <c r="J229" i="3" s="1"/>
  <c r="K229" i="3" s="1"/>
  <c r="L229" i="3" s="1"/>
  <c r="M229" i="3" s="1"/>
  <c r="N229" i="3" s="1"/>
  <c r="O229" i="3" s="1"/>
  <c r="P229" i="3" s="1"/>
  <c r="Q229" i="3" s="1"/>
  <c r="R229" i="3" s="1"/>
  <c r="S229" i="3" s="1"/>
  <c r="T229" i="3" s="1"/>
  <c r="U229" i="3" s="1"/>
  <c r="V229" i="3" s="1"/>
  <c r="W229" i="3" s="1"/>
  <c r="X229" i="3" s="1"/>
  <c r="Y229" i="3" s="1"/>
  <c r="Z229" i="3" s="1"/>
  <c r="AA229" i="3" s="1"/>
  <c r="AB229" i="3" s="1"/>
  <c r="AC229" i="3" s="1"/>
  <c r="AD229" i="3" s="1"/>
  <c r="AE229" i="3" s="1"/>
  <c r="AF229" i="3" s="1"/>
  <c r="D229" i="3"/>
  <c r="C229" i="3"/>
  <c r="F228" i="3"/>
  <c r="G228" i="3" s="1"/>
  <c r="H228" i="3" s="1"/>
  <c r="I228" i="3" s="1"/>
  <c r="J228" i="3" s="1"/>
  <c r="K228" i="3" s="1"/>
  <c r="L228" i="3" s="1"/>
  <c r="M228" i="3" s="1"/>
  <c r="N228" i="3" s="1"/>
  <c r="O228" i="3" s="1"/>
  <c r="P228" i="3" s="1"/>
  <c r="Q228" i="3" s="1"/>
  <c r="R228" i="3" s="1"/>
  <c r="S228" i="3" s="1"/>
  <c r="T228" i="3" s="1"/>
  <c r="U228" i="3" s="1"/>
  <c r="V228" i="3" s="1"/>
  <c r="W228" i="3" s="1"/>
  <c r="X228" i="3" s="1"/>
  <c r="Y228" i="3" s="1"/>
  <c r="Z228" i="3" s="1"/>
  <c r="AA228" i="3" s="1"/>
  <c r="AB228" i="3" s="1"/>
  <c r="AC228" i="3" s="1"/>
  <c r="AD228" i="3" s="1"/>
  <c r="AE228" i="3" s="1"/>
  <c r="AF228" i="3" s="1"/>
  <c r="C228" i="3"/>
  <c r="D228" i="3" s="1"/>
  <c r="E228" i="3" s="1"/>
  <c r="Y227" i="3"/>
  <c r="Z227" i="3" s="1"/>
  <c r="AA227" i="3" s="1"/>
  <c r="AB227" i="3" s="1"/>
  <c r="AC227" i="3" s="1"/>
  <c r="AD227" i="3" s="1"/>
  <c r="AE227" i="3" s="1"/>
  <c r="AF227" i="3" s="1"/>
  <c r="E227" i="3"/>
  <c r="F227" i="3" s="1"/>
  <c r="G227" i="3" s="1"/>
  <c r="H227" i="3" s="1"/>
  <c r="I227" i="3" s="1"/>
  <c r="J227" i="3" s="1"/>
  <c r="K227" i="3" s="1"/>
  <c r="L227" i="3" s="1"/>
  <c r="M227" i="3" s="1"/>
  <c r="N227" i="3" s="1"/>
  <c r="O227" i="3" s="1"/>
  <c r="P227" i="3" s="1"/>
  <c r="Q227" i="3" s="1"/>
  <c r="R227" i="3" s="1"/>
  <c r="S227" i="3" s="1"/>
  <c r="T227" i="3" s="1"/>
  <c r="U227" i="3" s="1"/>
  <c r="V227" i="3" s="1"/>
  <c r="W227" i="3" s="1"/>
  <c r="X227" i="3" s="1"/>
  <c r="D227" i="3"/>
  <c r="C227" i="3"/>
  <c r="P226" i="3"/>
  <c r="Q226" i="3" s="1"/>
  <c r="R226" i="3" s="1"/>
  <c r="S226" i="3" s="1"/>
  <c r="T226" i="3" s="1"/>
  <c r="U226" i="3" s="1"/>
  <c r="V226" i="3" s="1"/>
  <c r="W226" i="3" s="1"/>
  <c r="X226" i="3" s="1"/>
  <c r="Y226" i="3" s="1"/>
  <c r="Z226" i="3" s="1"/>
  <c r="AA226" i="3" s="1"/>
  <c r="AB226" i="3" s="1"/>
  <c r="AC226" i="3" s="1"/>
  <c r="AD226" i="3" s="1"/>
  <c r="AE226" i="3" s="1"/>
  <c r="AF226" i="3" s="1"/>
  <c r="F226" i="3"/>
  <c r="G226" i="3" s="1"/>
  <c r="H226" i="3" s="1"/>
  <c r="I226" i="3" s="1"/>
  <c r="J226" i="3" s="1"/>
  <c r="K226" i="3" s="1"/>
  <c r="L226" i="3" s="1"/>
  <c r="M226" i="3" s="1"/>
  <c r="N226" i="3" s="1"/>
  <c r="O226" i="3" s="1"/>
  <c r="C226" i="3"/>
  <c r="D226" i="3" s="1"/>
  <c r="E226" i="3" s="1"/>
  <c r="N225" i="3"/>
  <c r="O225" i="3" s="1"/>
  <c r="P225" i="3" s="1"/>
  <c r="Q225" i="3" s="1"/>
  <c r="R225" i="3" s="1"/>
  <c r="S225" i="3" s="1"/>
  <c r="T225" i="3" s="1"/>
  <c r="U225" i="3" s="1"/>
  <c r="V225" i="3" s="1"/>
  <c r="W225" i="3" s="1"/>
  <c r="X225" i="3" s="1"/>
  <c r="Y225" i="3" s="1"/>
  <c r="Z225" i="3" s="1"/>
  <c r="AA225" i="3" s="1"/>
  <c r="AB225" i="3" s="1"/>
  <c r="AC225" i="3" s="1"/>
  <c r="AD225" i="3" s="1"/>
  <c r="AE225" i="3" s="1"/>
  <c r="AF225" i="3" s="1"/>
  <c r="D225" i="3"/>
  <c r="E225" i="3" s="1"/>
  <c r="F225" i="3" s="1"/>
  <c r="G225" i="3" s="1"/>
  <c r="H225" i="3" s="1"/>
  <c r="I225" i="3" s="1"/>
  <c r="J225" i="3" s="1"/>
  <c r="K225" i="3" s="1"/>
  <c r="L225" i="3" s="1"/>
  <c r="M225" i="3" s="1"/>
  <c r="C225" i="3"/>
  <c r="V224" i="3"/>
  <c r="W224" i="3" s="1"/>
  <c r="X224" i="3" s="1"/>
  <c r="Y224" i="3" s="1"/>
  <c r="Z224" i="3" s="1"/>
  <c r="AA224" i="3" s="1"/>
  <c r="AB224" i="3" s="1"/>
  <c r="AC224" i="3" s="1"/>
  <c r="AD224" i="3" s="1"/>
  <c r="AE224" i="3" s="1"/>
  <c r="AF224" i="3" s="1"/>
  <c r="N224" i="3"/>
  <c r="O224" i="3" s="1"/>
  <c r="P224" i="3" s="1"/>
  <c r="Q224" i="3" s="1"/>
  <c r="R224" i="3" s="1"/>
  <c r="S224" i="3" s="1"/>
  <c r="T224" i="3" s="1"/>
  <c r="U224" i="3" s="1"/>
  <c r="C224" i="3"/>
  <c r="D224" i="3" s="1"/>
  <c r="E224" i="3" s="1"/>
  <c r="F224" i="3" s="1"/>
  <c r="G224" i="3" s="1"/>
  <c r="H224" i="3" s="1"/>
  <c r="I224" i="3" s="1"/>
  <c r="J224" i="3" s="1"/>
  <c r="K224" i="3" s="1"/>
  <c r="L224" i="3" s="1"/>
  <c r="M224" i="3" s="1"/>
  <c r="F223" i="3"/>
  <c r="G223" i="3" s="1"/>
  <c r="H223" i="3" s="1"/>
  <c r="I223" i="3" s="1"/>
  <c r="J223" i="3" s="1"/>
  <c r="K223" i="3" s="1"/>
  <c r="L223" i="3" s="1"/>
  <c r="M223" i="3" s="1"/>
  <c r="N223" i="3" s="1"/>
  <c r="O223" i="3" s="1"/>
  <c r="P223" i="3" s="1"/>
  <c r="Q223" i="3" s="1"/>
  <c r="R223" i="3" s="1"/>
  <c r="S223" i="3" s="1"/>
  <c r="T223" i="3" s="1"/>
  <c r="U223" i="3" s="1"/>
  <c r="V223" i="3" s="1"/>
  <c r="W223" i="3" s="1"/>
  <c r="X223" i="3" s="1"/>
  <c r="Y223" i="3" s="1"/>
  <c r="Z223" i="3" s="1"/>
  <c r="AA223" i="3" s="1"/>
  <c r="AB223" i="3" s="1"/>
  <c r="AC223" i="3" s="1"/>
  <c r="AD223" i="3" s="1"/>
  <c r="AE223" i="3" s="1"/>
  <c r="AF223" i="3" s="1"/>
  <c r="D223" i="3"/>
  <c r="E223" i="3" s="1"/>
  <c r="C223" i="3"/>
  <c r="U222" i="3"/>
  <c r="V222" i="3" s="1"/>
  <c r="W222" i="3" s="1"/>
  <c r="X222" i="3" s="1"/>
  <c r="Y222" i="3" s="1"/>
  <c r="Z222" i="3" s="1"/>
  <c r="AA222" i="3" s="1"/>
  <c r="AB222" i="3" s="1"/>
  <c r="AC222" i="3" s="1"/>
  <c r="AD222" i="3" s="1"/>
  <c r="AE222" i="3" s="1"/>
  <c r="AF222" i="3" s="1"/>
  <c r="O222" i="3"/>
  <c r="P222" i="3" s="1"/>
  <c r="Q222" i="3" s="1"/>
  <c r="R222" i="3" s="1"/>
  <c r="S222" i="3" s="1"/>
  <c r="T222" i="3" s="1"/>
  <c r="H222" i="3"/>
  <c r="I222" i="3" s="1"/>
  <c r="J222" i="3" s="1"/>
  <c r="K222" i="3" s="1"/>
  <c r="L222" i="3" s="1"/>
  <c r="M222" i="3" s="1"/>
  <c r="N222" i="3" s="1"/>
  <c r="E222" i="3"/>
  <c r="F222" i="3" s="1"/>
  <c r="G222" i="3" s="1"/>
  <c r="D222" i="3"/>
  <c r="C222" i="3"/>
  <c r="M221" i="3"/>
  <c r="N221" i="3" s="1"/>
  <c r="O221" i="3" s="1"/>
  <c r="P221" i="3" s="1"/>
  <c r="Q221" i="3" s="1"/>
  <c r="R221" i="3" s="1"/>
  <c r="S221" i="3" s="1"/>
  <c r="T221" i="3" s="1"/>
  <c r="U221" i="3" s="1"/>
  <c r="V221" i="3" s="1"/>
  <c r="W221" i="3" s="1"/>
  <c r="X221" i="3" s="1"/>
  <c r="Y221" i="3" s="1"/>
  <c r="Z221" i="3" s="1"/>
  <c r="AA221" i="3" s="1"/>
  <c r="AB221" i="3" s="1"/>
  <c r="AC221" i="3" s="1"/>
  <c r="AD221" i="3" s="1"/>
  <c r="AE221" i="3" s="1"/>
  <c r="AF221" i="3" s="1"/>
  <c r="K221" i="3"/>
  <c r="L221" i="3" s="1"/>
  <c r="C221" i="3"/>
  <c r="D221" i="3" s="1"/>
  <c r="E221" i="3" s="1"/>
  <c r="F221" i="3" s="1"/>
  <c r="G221" i="3" s="1"/>
  <c r="H221" i="3" s="1"/>
  <c r="I221" i="3" s="1"/>
  <c r="J221" i="3" s="1"/>
  <c r="M220" i="3"/>
  <c r="N220" i="3" s="1"/>
  <c r="O220" i="3" s="1"/>
  <c r="P220" i="3" s="1"/>
  <c r="Q220" i="3" s="1"/>
  <c r="R220" i="3" s="1"/>
  <c r="S220" i="3" s="1"/>
  <c r="T220" i="3" s="1"/>
  <c r="U220" i="3" s="1"/>
  <c r="V220" i="3" s="1"/>
  <c r="W220" i="3" s="1"/>
  <c r="X220" i="3" s="1"/>
  <c r="Y220" i="3" s="1"/>
  <c r="Z220" i="3" s="1"/>
  <c r="AA220" i="3" s="1"/>
  <c r="AB220" i="3" s="1"/>
  <c r="AC220" i="3" s="1"/>
  <c r="AD220" i="3" s="1"/>
  <c r="AE220" i="3" s="1"/>
  <c r="AF220" i="3" s="1"/>
  <c r="H220" i="3"/>
  <c r="I220" i="3" s="1"/>
  <c r="J220" i="3" s="1"/>
  <c r="K220" i="3" s="1"/>
  <c r="L220" i="3" s="1"/>
  <c r="E220" i="3"/>
  <c r="F220" i="3" s="1"/>
  <c r="G220" i="3" s="1"/>
  <c r="C220" i="3"/>
  <c r="D220" i="3" s="1"/>
  <c r="C219" i="3"/>
  <c r="D219" i="3" s="1"/>
  <c r="E219" i="3" s="1"/>
  <c r="F219" i="3" s="1"/>
  <c r="G219" i="3" s="1"/>
  <c r="H219" i="3" s="1"/>
  <c r="I219" i="3" s="1"/>
  <c r="J219" i="3" s="1"/>
  <c r="K219" i="3" s="1"/>
  <c r="L219" i="3" s="1"/>
  <c r="M219" i="3" s="1"/>
  <c r="N219" i="3" s="1"/>
  <c r="O219" i="3" s="1"/>
  <c r="P219" i="3" s="1"/>
  <c r="Q219" i="3" s="1"/>
  <c r="R219" i="3" s="1"/>
  <c r="S219" i="3" s="1"/>
  <c r="T219" i="3" s="1"/>
  <c r="U219" i="3" s="1"/>
  <c r="V219" i="3" s="1"/>
  <c r="W219" i="3" s="1"/>
  <c r="X219" i="3" s="1"/>
  <c r="Y219" i="3" s="1"/>
  <c r="Z219" i="3" s="1"/>
  <c r="AA219" i="3" s="1"/>
  <c r="AB219" i="3" s="1"/>
  <c r="AC219" i="3" s="1"/>
  <c r="AD219" i="3" s="1"/>
  <c r="AE219" i="3" s="1"/>
  <c r="AF219" i="3" s="1"/>
  <c r="O218" i="3"/>
  <c r="P218" i="3" s="1"/>
  <c r="Q218" i="3" s="1"/>
  <c r="R218" i="3" s="1"/>
  <c r="S218" i="3" s="1"/>
  <c r="T218" i="3" s="1"/>
  <c r="U218" i="3" s="1"/>
  <c r="V218" i="3" s="1"/>
  <c r="W218" i="3" s="1"/>
  <c r="X218" i="3" s="1"/>
  <c r="Y218" i="3" s="1"/>
  <c r="Z218" i="3" s="1"/>
  <c r="AA218" i="3" s="1"/>
  <c r="AB218" i="3" s="1"/>
  <c r="AC218" i="3" s="1"/>
  <c r="AD218" i="3" s="1"/>
  <c r="AE218" i="3" s="1"/>
  <c r="AF218" i="3" s="1"/>
  <c r="E218" i="3"/>
  <c r="F218" i="3" s="1"/>
  <c r="G218" i="3" s="1"/>
  <c r="H218" i="3" s="1"/>
  <c r="I218" i="3" s="1"/>
  <c r="J218" i="3" s="1"/>
  <c r="K218" i="3" s="1"/>
  <c r="L218" i="3" s="1"/>
  <c r="M218" i="3" s="1"/>
  <c r="N218" i="3" s="1"/>
  <c r="D218" i="3"/>
  <c r="C218" i="3"/>
  <c r="X217" i="3"/>
  <c r="Y217" i="3" s="1"/>
  <c r="Z217" i="3" s="1"/>
  <c r="AA217" i="3" s="1"/>
  <c r="AB217" i="3" s="1"/>
  <c r="AC217" i="3" s="1"/>
  <c r="AD217" i="3" s="1"/>
  <c r="AE217" i="3" s="1"/>
  <c r="AF217" i="3" s="1"/>
  <c r="E217" i="3"/>
  <c r="F217" i="3" s="1"/>
  <c r="G217" i="3" s="1"/>
  <c r="H217" i="3" s="1"/>
  <c r="I217" i="3" s="1"/>
  <c r="J217" i="3" s="1"/>
  <c r="K217" i="3" s="1"/>
  <c r="L217" i="3" s="1"/>
  <c r="M217" i="3" s="1"/>
  <c r="N217" i="3" s="1"/>
  <c r="O217" i="3" s="1"/>
  <c r="P217" i="3" s="1"/>
  <c r="Q217" i="3" s="1"/>
  <c r="R217" i="3" s="1"/>
  <c r="S217" i="3" s="1"/>
  <c r="T217" i="3" s="1"/>
  <c r="U217" i="3" s="1"/>
  <c r="V217" i="3" s="1"/>
  <c r="W217" i="3" s="1"/>
  <c r="C217" i="3"/>
  <c r="D217" i="3" s="1"/>
  <c r="C216" i="3"/>
  <c r="D216" i="3" s="1"/>
  <c r="E216" i="3" s="1"/>
  <c r="F216" i="3" s="1"/>
  <c r="G216" i="3" s="1"/>
  <c r="H216" i="3" s="1"/>
  <c r="I216" i="3" s="1"/>
  <c r="J216" i="3" s="1"/>
  <c r="K216" i="3" s="1"/>
  <c r="L216" i="3" s="1"/>
  <c r="M216" i="3" s="1"/>
  <c r="N216" i="3" s="1"/>
  <c r="O216" i="3" s="1"/>
  <c r="P216" i="3" s="1"/>
  <c r="Q216" i="3" s="1"/>
  <c r="R216" i="3" s="1"/>
  <c r="S216" i="3" s="1"/>
  <c r="T216" i="3" s="1"/>
  <c r="U216" i="3" s="1"/>
  <c r="V216" i="3" s="1"/>
  <c r="W216" i="3" s="1"/>
  <c r="X216" i="3" s="1"/>
  <c r="Y216" i="3" s="1"/>
  <c r="Z216" i="3" s="1"/>
  <c r="AA216" i="3" s="1"/>
  <c r="AB216" i="3" s="1"/>
  <c r="AC216" i="3" s="1"/>
  <c r="AD216" i="3" s="1"/>
  <c r="AE216" i="3" s="1"/>
  <c r="AF216" i="3" s="1"/>
  <c r="K215" i="3"/>
  <c r="L215" i="3" s="1"/>
  <c r="M215" i="3" s="1"/>
  <c r="N215" i="3" s="1"/>
  <c r="O215" i="3" s="1"/>
  <c r="P215" i="3" s="1"/>
  <c r="Q215" i="3" s="1"/>
  <c r="R215" i="3" s="1"/>
  <c r="S215" i="3" s="1"/>
  <c r="T215" i="3" s="1"/>
  <c r="U215" i="3" s="1"/>
  <c r="V215" i="3" s="1"/>
  <c r="W215" i="3" s="1"/>
  <c r="X215" i="3" s="1"/>
  <c r="Y215" i="3" s="1"/>
  <c r="Z215" i="3" s="1"/>
  <c r="AA215" i="3" s="1"/>
  <c r="AB215" i="3" s="1"/>
  <c r="AC215" i="3" s="1"/>
  <c r="AD215" i="3" s="1"/>
  <c r="AE215" i="3" s="1"/>
  <c r="AF215" i="3" s="1"/>
  <c r="G215" i="3"/>
  <c r="H215" i="3" s="1"/>
  <c r="I215" i="3" s="1"/>
  <c r="J215" i="3" s="1"/>
  <c r="C215" i="3"/>
  <c r="D215" i="3" s="1"/>
  <c r="E215" i="3" s="1"/>
  <c r="F215" i="3" s="1"/>
  <c r="R214" i="3"/>
  <c r="S214" i="3" s="1"/>
  <c r="T214" i="3" s="1"/>
  <c r="U214" i="3" s="1"/>
  <c r="V214" i="3" s="1"/>
  <c r="W214" i="3" s="1"/>
  <c r="X214" i="3" s="1"/>
  <c r="Y214" i="3" s="1"/>
  <c r="Z214" i="3" s="1"/>
  <c r="AA214" i="3" s="1"/>
  <c r="AB214" i="3" s="1"/>
  <c r="AC214" i="3" s="1"/>
  <c r="AD214" i="3" s="1"/>
  <c r="AE214" i="3" s="1"/>
  <c r="AF214" i="3" s="1"/>
  <c r="E214" i="3"/>
  <c r="F214" i="3" s="1"/>
  <c r="G214" i="3" s="1"/>
  <c r="H214" i="3" s="1"/>
  <c r="I214" i="3" s="1"/>
  <c r="J214" i="3" s="1"/>
  <c r="K214" i="3" s="1"/>
  <c r="L214" i="3" s="1"/>
  <c r="M214" i="3" s="1"/>
  <c r="N214" i="3" s="1"/>
  <c r="O214" i="3" s="1"/>
  <c r="P214" i="3" s="1"/>
  <c r="Q214" i="3" s="1"/>
  <c r="D214" i="3"/>
  <c r="C214" i="3"/>
  <c r="AF213" i="3"/>
  <c r="S213" i="3"/>
  <c r="T213" i="3" s="1"/>
  <c r="U213" i="3" s="1"/>
  <c r="V213" i="3" s="1"/>
  <c r="W213" i="3" s="1"/>
  <c r="X213" i="3" s="1"/>
  <c r="Y213" i="3" s="1"/>
  <c r="Z213" i="3" s="1"/>
  <c r="AA213" i="3" s="1"/>
  <c r="AB213" i="3" s="1"/>
  <c r="AC213" i="3" s="1"/>
  <c r="AD213" i="3" s="1"/>
  <c r="AE213" i="3" s="1"/>
  <c r="O213" i="3"/>
  <c r="P213" i="3" s="1"/>
  <c r="Q213" i="3" s="1"/>
  <c r="R213" i="3" s="1"/>
  <c r="E213" i="3"/>
  <c r="F213" i="3" s="1"/>
  <c r="G213" i="3" s="1"/>
  <c r="H213" i="3" s="1"/>
  <c r="I213" i="3" s="1"/>
  <c r="J213" i="3" s="1"/>
  <c r="K213" i="3" s="1"/>
  <c r="L213" i="3" s="1"/>
  <c r="M213" i="3" s="1"/>
  <c r="N213" i="3" s="1"/>
  <c r="C213" i="3"/>
  <c r="D213" i="3" s="1"/>
  <c r="L212" i="3"/>
  <c r="M212" i="3" s="1"/>
  <c r="N212" i="3" s="1"/>
  <c r="O212" i="3" s="1"/>
  <c r="P212" i="3" s="1"/>
  <c r="Q212" i="3" s="1"/>
  <c r="R212" i="3" s="1"/>
  <c r="S212" i="3" s="1"/>
  <c r="T212" i="3" s="1"/>
  <c r="U212" i="3" s="1"/>
  <c r="V212" i="3" s="1"/>
  <c r="W212" i="3" s="1"/>
  <c r="X212" i="3" s="1"/>
  <c r="Y212" i="3" s="1"/>
  <c r="Z212" i="3" s="1"/>
  <c r="AA212" i="3" s="1"/>
  <c r="AB212" i="3" s="1"/>
  <c r="AC212" i="3" s="1"/>
  <c r="AD212" i="3" s="1"/>
  <c r="AE212" i="3" s="1"/>
  <c r="AF212" i="3" s="1"/>
  <c r="I212" i="3"/>
  <c r="J212" i="3" s="1"/>
  <c r="K212" i="3" s="1"/>
  <c r="G212" i="3"/>
  <c r="H212" i="3" s="1"/>
  <c r="E212" i="3"/>
  <c r="F212" i="3" s="1"/>
  <c r="C212" i="3"/>
  <c r="D212" i="3" s="1"/>
  <c r="L211" i="3"/>
  <c r="M211" i="3" s="1"/>
  <c r="N211" i="3" s="1"/>
  <c r="O211" i="3" s="1"/>
  <c r="P211" i="3" s="1"/>
  <c r="Q211" i="3" s="1"/>
  <c r="R211" i="3" s="1"/>
  <c r="S211" i="3" s="1"/>
  <c r="T211" i="3" s="1"/>
  <c r="U211" i="3" s="1"/>
  <c r="V211" i="3" s="1"/>
  <c r="W211" i="3" s="1"/>
  <c r="X211" i="3" s="1"/>
  <c r="Y211" i="3" s="1"/>
  <c r="Z211" i="3" s="1"/>
  <c r="AA211" i="3" s="1"/>
  <c r="AB211" i="3" s="1"/>
  <c r="AC211" i="3" s="1"/>
  <c r="AD211" i="3" s="1"/>
  <c r="AE211" i="3" s="1"/>
  <c r="AF211" i="3" s="1"/>
  <c r="E211" i="3"/>
  <c r="F211" i="3" s="1"/>
  <c r="G211" i="3" s="1"/>
  <c r="H211" i="3" s="1"/>
  <c r="I211" i="3" s="1"/>
  <c r="J211" i="3" s="1"/>
  <c r="K211" i="3" s="1"/>
  <c r="C211" i="3"/>
  <c r="D211" i="3" s="1"/>
  <c r="G210" i="3"/>
  <c r="H210" i="3" s="1"/>
  <c r="I210" i="3" s="1"/>
  <c r="J210" i="3" s="1"/>
  <c r="K210" i="3" s="1"/>
  <c r="L210" i="3" s="1"/>
  <c r="M210" i="3" s="1"/>
  <c r="N210" i="3" s="1"/>
  <c r="O210" i="3" s="1"/>
  <c r="P210" i="3" s="1"/>
  <c r="Q210" i="3" s="1"/>
  <c r="R210" i="3" s="1"/>
  <c r="S210" i="3" s="1"/>
  <c r="T210" i="3" s="1"/>
  <c r="U210" i="3" s="1"/>
  <c r="V210" i="3" s="1"/>
  <c r="W210" i="3" s="1"/>
  <c r="X210" i="3" s="1"/>
  <c r="Y210" i="3" s="1"/>
  <c r="Z210" i="3" s="1"/>
  <c r="AA210" i="3" s="1"/>
  <c r="AB210" i="3" s="1"/>
  <c r="AC210" i="3" s="1"/>
  <c r="AD210" i="3" s="1"/>
  <c r="AE210" i="3" s="1"/>
  <c r="AF210" i="3" s="1"/>
  <c r="D210" i="3"/>
  <c r="E210" i="3" s="1"/>
  <c r="F210" i="3" s="1"/>
  <c r="C210" i="3"/>
  <c r="G209" i="3"/>
  <c r="H209" i="3" s="1"/>
  <c r="I209" i="3" s="1"/>
  <c r="J209" i="3" s="1"/>
  <c r="K209" i="3" s="1"/>
  <c r="L209" i="3" s="1"/>
  <c r="M209" i="3" s="1"/>
  <c r="N209" i="3" s="1"/>
  <c r="O209" i="3" s="1"/>
  <c r="P209" i="3" s="1"/>
  <c r="Q209" i="3" s="1"/>
  <c r="R209" i="3" s="1"/>
  <c r="S209" i="3" s="1"/>
  <c r="T209" i="3" s="1"/>
  <c r="U209" i="3" s="1"/>
  <c r="V209" i="3" s="1"/>
  <c r="W209" i="3" s="1"/>
  <c r="X209" i="3" s="1"/>
  <c r="Y209" i="3" s="1"/>
  <c r="Z209" i="3" s="1"/>
  <c r="AA209" i="3" s="1"/>
  <c r="AB209" i="3" s="1"/>
  <c r="AC209" i="3" s="1"/>
  <c r="AD209" i="3" s="1"/>
  <c r="AE209" i="3" s="1"/>
  <c r="AF209" i="3" s="1"/>
  <c r="F209" i="3"/>
  <c r="C209" i="3"/>
  <c r="D209" i="3" s="1"/>
  <c r="E209" i="3" s="1"/>
  <c r="C208" i="3"/>
  <c r="D208" i="3" s="1"/>
  <c r="E208" i="3" s="1"/>
  <c r="F208" i="3" s="1"/>
  <c r="G208" i="3" s="1"/>
  <c r="H208" i="3" s="1"/>
  <c r="I208" i="3" s="1"/>
  <c r="J208" i="3" s="1"/>
  <c r="K208" i="3" s="1"/>
  <c r="L208" i="3" s="1"/>
  <c r="M208" i="3" s="1"/>
  <c r="N208" i="3" s="1"/>
  <c r="O208" i="3" s="1"/>
  <c r="P208" i="3" s="1"/>
  <c r="Q208" i="3" s="1"/>
  <c r="R208" i="3" s="1"/>
  <c r="S208" i="3" s="1"/>
  <c r="T208" i="3" s="1"/>
  <c r="U208" i="3" s="1"/>
  <c r="V208" i="3" s="1"/>
  <c r="W208" i="3" s="1"/>
  <c r="X208" i="3" s="1"/>
  <c r="Y208" i="3" s="1"/>
  <c r="Z208" i="3" s="1"/>
  <c r="AA208" i="3" s="1"/>
  <c r="AB208" i="3" s="1"/>
  <c r="AC208" i="3" s="1"/>
  <c r="AD208" i="3" s="1"/>
  <c r="AE208" i="3" s="1"/>
  <c r="AF208" i="3" s="1"/>
  <c r="E207" i="3"/>
  <c r="F207" i="3" s="1"/>
  <c r="G207" i="3" s="1"/>
  <c r="H207" i="3" s="1"/>
  <c r="I207" i="3" s="1"/>
  <c r="J207" i="3" s="1"/>
  <c r="K207" i="3" s="1"/>
  <c r="L207" i="3" s="1"/>
  <c r="M207" i="3" s="1"/>
  <c r="N207" i="3" s="1"/>
  <c r="O207" i="3" s="1"/>
  <c r="P207" i="3" s="1"/>
  <c r="Q207" i="3" s="1"/>
  <c r="R207" i="3" s="1"/>
  <c r="S207" i="3" s="1"/>
  <c r="T207" i="3" s="1"/>
  <c r="U207" i="3" s="1"/>
  <c r="V207" i="3" s="1"/>
  <c r="W207" i="3" s="1"/>
  <c r="X207" i="3" s="1"/>
  <c r="Y207" i="3" s="1"/>
  <c r="Z207" i="3" s="1"/>
  <c r="AA207" i="3" s="1"/>
  <c r="AB207" i="3" s="1"/>
  <c r="AC207" i="3" s="1"/>
  <c r="AD207" i="3" s="1"/>
  <c r="AE207" i="3" s="1"/>
  <c r="AF207" i="3" s="1"/>
  <c r="D207" i="3"/>
  <c r="C207" i="3"/>
  <c r="X206" i="3"/>
  <c r="Y206" i="3" s="1"/>
  <c r="Z206" i="3" s="1"/>
  <c r="AA206" i="3" s="1"/>
  <c r="AB206" i="3" s="1"/>
  <c r="AC206" i="3" s="1"/>
  <c r="AD206" i="3" s="1"/>
  <c r="AE206" i="3" s="1"/>
  <c r="AF206" i="3" s="1"/>
  <c r="D206" i="3"/>
  <c r="E206" i="3" s="1"/>
  <c r="F206" i="3" s="1"/>
  <c r="G206" i="3" s="1"/>
  <c r="H206" i="3" s="1"/>
  <c r="I206" i="3" s="1"/>
  <c r="J206" i="3" s="1"/>
  <c r="K206" i="3" s="1"/>
  <c r="L206" i="3" s="1"/>
  <c r="M206" i="3" s="1"/>
  <c r="N206" i="3" s="1"/>
  <c r="O206" i="3" s="1"/>
  <c r="P206" i="3" s="1"/>
  <c r="Q206" i="3" s="1"/>
  <c r="R206" i="3" s="1"/>
  <c r="S206" i="3" s="1"/>
  <c r="T206" i="3" s="1"/>
  <c r="U206" i="3" s="1"/>
  <c r="V206" i="3" s="1"/>
  <c r="W206" i="3" s="1"/>
  <c r="C206" i="3"/>
  <c r="W205" i="3"/>
  <c r="X205" i="3" s="1"/>
  <c r="Y205" i="3" s="1"/>
  <c r="Z205" i="3" s="1"/>
  <c r="AA205" i="3" s="1"/>
  <c r="AB205" i="3" s="1"/>
  <c r="AC205" i="3" s="1"/>
  <c r="AD205" i="3" s="1"/>
  <c r="AE205" i="3" s="1"/>
  <c r="AF205" i="3" s="1"/>
  <c r="N205" i="3"/>
  <c r="O205" i="3" s="1"/>
  <c r="P205" i="3" s="1"/>
  <c r="Q205" i="3" s="1"/>
  <c r="R205" i="3" s="1"/>
  <c r="S205" i="3" s="1"/>
  <c r="T205" i="3" s="1"/>
  <c r="U205" i="3" s="1"/>
  <c r="V205" i="3" s="1"/>
  <c r="I205" i="3"/>
  <c r="J205" i="3" s="1"/>
  <c r="K205" i="3" s="1"/>
  <c r="L205" i="3" s="1"/>
  <c r="M205" i="3" s="1"/>
  <c r="E205" i="3"/>
  <c r="F205" i="3" s="1"/>
  <c r="G205" i="3" s="1"/>
  <c r="H205" i="3" s="1"/>
  <c r="C205" i="3"/>
  <c r="D205" i="3" s="1"/>
  <c r="O204" i="3"/>
  <c r="P204" i="3" s="1"/>
  <c r="Q204" i="3" s="1"/>
  <c r="R204" i="3" s="1"/>
  <c r="S204" i="3" s="1"/>
  <c r="T204" i="3" s="1"/>
  <c r="U204" i="3" s="1"/>
  <c r="V204" i="3" s="1"/>
  <c r="W204" i="3" s="1"/>
  <c r="X204" i="3" s="1"/>
  <c r="Y204" i="3" s="1"/>
  <c r="Z204" i="3" s="1"/>
  <c r="AA204" i="3" s="1"/>
  <c r="AB204" i="3" s="1"/>
  <c r="AC204" i="3" s="1"/>
  <c r="AD204" i="3" s="1"/>
  <c r="AE204" i="3" s="1"/>
  <c r="AF204" i="3" s="1"/>
  <c r="K204" i="3"/>
  <c r="L204" i="3" s="1"/>
  <c r="M204" i="3" s="1"/>
  <c r="N204" i="3" s="1"/>
  <c r="F204" i="3"/>
  <c r="G204" i="3" s="1"/>
  <c r="H204" i="3" s="1"/>
  <c r="I204" i="3" s="1"/>
  <c r="J204" i="3" s="1"/>
  <c r="C204" i="3"/>
  <c r="D204" i="3" s="1"/>
  <c r="E204" i="3" s="1"/>
  <c r="P203" i="3"/>
  <c r="Q203" i="3" s="1"/>
  <c r="R203" i="3" s="1"/>
  <c r="S203" i="3" s="1"/>
  <c r="T203" i="3" s="1"/>
  <c r="U203" i="3" s="1"/>
  <c r="V203" i="3" s="1"/>
  <c r="W203" i="3" s="1"/>
  <c r="X203" i="3" s="1"/>
  <c r="Y203" i="3" s="1"/>
  <c r="Z203" i="3" s="1"/>
  <c r="AA203" i="3" s="1"/>
  <c r="AB203" i="3" s="1"/>
  <c r="AC203" i="3" s="1"/>
  <c r="AD203" i="3" s="1"/>
  <c r="AE203" i="3" s="1"/>
  <c r="AF203" i="3" s="1"/>
  <c r="O203" i="3"/>
  <c r="G203" i="3"/>
  <c r="H203" i="3" s="1"/>
  <c r="I203" i="3" s="1"/>
  <c r="J203" i="3" s="1"/>
  <c r="K203" i="3" s="1"/>
  <c r="L203" i="3" s="1"/>
  <c r="M203" i="3" s="1"/>
  <c r="N203" i="3" s="1"/>
  <c r="D203" i="3"/>
  <c r="E203" i="3" s="1"/>
  <c r="F203" i="3" s="1"/>
  <c r="C203" i="3"/>
  <c r="Q202" i="3"/>
  <c r="R202" i="3" s="1"/>
  <c r="S202" i="3" s="1"/>
  <c r="T202" i="3" s="1"/>
  <c r="U202" i="3" s="1"/>
  <c r="V202" i="3" s="1"/>
  <c r="W202" i="3" s="1"/>
  <c r="X202" i="3" s="1"/>
  <c r="Y202" i="3" s="1"/>
  <c r="Z202" i="3" s="1"/>
  <c r="AA202" i="3" s="1"/>
  <c r="AB202" i="3" s="1"/>
  <c r="AC202" i="3" s="1"/>
  <c r="AD202" i="3" s="1"/>
  <c r="AE202" i="3" s="1"/>
  <c r="AF202" i="3" s="1"/>
  <c r="M202" i="3"/>
  <c r="N202" i="3" s="1"/>
  <c r="O202" i="3" s="1"/>
  <c r="P202" i="3" s="1"/>
  <c r="K202" i="3"/>
  <c r="L202" i="3" s="1"/>
  <c r="F202" i="3"/>
  <c r="G202" i="3" s="1"/>
  <c r="H202" i="3" s="1"/>
  <c r="I202" i="3" s="1"/>
  <c r="J202" i="3" s="1"/>
  <c r="C202" i="3"/>
  <c r="D202" i="3" s="1"/>
  <c r="E202" i="3" s="1"/>
  <c r="E201" i="3"/>
  <c r="F201" i="3" s="1"/>
  <c r="G201" i="3" s="1"/>
  <c r="H201" i="3" s="1"/>
  <c r="I201" i="3" s="1"/>
  <c r="J201" i="3" s="1"/>
  <c r="K201" i="3" s="1"/>
  <c r="L201" i="3" s="1"/>
  <c r="M201" i="3" s="1"/>
  <c r="N201" i="3" s="1"/>
  <c r="O201" i="3" s="1"/>
  <c r="P201" i="3" s="1"/>
  <c r="Q201" i="3" s="1"/>
  <c r="R201" i="3" s="1"/>
  <c r="S201" i="3" s="1"/>
  <c r="T201" i="3" s="1"/>
  <c r="U201" i="3" s="1"/>
  <c r="V201" i="3" s="1"/>
  <c r="W201" i="3" s="1"/>
  <c r="X201" i="3" s="1"/>
  <c r="Y201" i="3" s="1"/>
  <c r="Z201" i="3" s="1"/>
  <c r="AA201" i="3" s="1"/>
  <c r="AB201" i="3" s="1"/>
  <c r="AC201" i="3" s="1"/>
  <c r="AD201" i="3" s="1"/>
  <c r="AE201" i="3" s="1"/>
  <c r="AF201" i="3" s="1"/>
  <c r="C201" i="3"/>
  <c r="D201" i="3" s="1"/>
  <c r="Z200" i="3"/>
  <c r="AA200" i="3" s="1"/>
  <c r="AB200" i="3" s="1"/>
  <c r="AC200" i="3" s="1"/>
  <c r="AD200" i="3" s="1"/>
  <c r="AE200" i="3" s="1"/>
  <c r="AF200" i="3" s="1"/>
  <c r="T200" i="3"/>
  <c r="U200" i="3" s="1"/>
  <c r="V200" i="3" s="1"/>
  <c r="W200" i="3" s="1"/>
  <c r="X200" i="3" s="1"/>
  <c r="Y200" i="3" s="1"/>
  <c r="I200" i="3"/>
  <c r="J200" i="3" s="1"/>
  <c r="K200" i="3" s="1"/>
  <c r="L200" i="3" s="1"/>
  <c r="M200" i="3" s="1"/>
  <c r="N200" i="3" s="1"/>
  <c r="O200" i="3" s="1"/>
  <c r="P200" i="3" s="1"/>
  <c r="Q200" i="3" s="1"/>
  <c r="R200" i="3" s="1"/>
  <c r="S200" i="3" s="1"/>
  <c r="G200" i="3"/>
  <c r="H200" i="3" s="1"/>
  <c r="D200" i="3"/>
  <c r="E200" i="3" s="1"/>
  <c r="F200" i="3" s="1"/>
  <c r="C200" i="3"/>
  <c r="Z199" i="3"/>
  <c r="AA199" i="3" s="1"/>
  <c r="AB199" i="3" s="1"/>
  <c r="AC199" i="3" s="1"/>
  <c r="AD199" i="3" s="1"/>
  <c r="AE199" i="3" s="1"/>
  <c r="AF199" i="3" s="1"/>
  <c r="O199" i="3"/>
  <c r="P199" i="3" s="1"/>
  <c r="Q199" i="3" s="1"/>
  <c r="R199" i="3" s="1"/>
  <c r="S199" i="3" s="1"/>
  <c r="T199" i="3" s="1"/>
  <c r="U199" i="3" s="1"/>
  <c r="V199" i="3" s="1"/>
  <c r="W199" i="3" s="1"/>
  <c r="X199" i="3" s="1"/>
  <c r="Y199" i="3" s="1"/>
  <c r="J199" i="3"/>
  <c r="K199" i="3" s="1"/>
  <c r="L199" i="3" s="1"/>
  <c r="M199" i="3" s="1"/>
  <c r="N199" i="3" s="1"/>
  <c r="G199" i="3"/>
  <c r="H199" i="3" s="1"/>
  <c r="I199" i="3" s="1"/>
  <c r="E199" i="3"/>
  <c r="F199" i="3" s="1"/>
  <c r="D199" i="3"/>
  <c r="C199" i="3"/>
  <c r="I198" i="3"/>
  <c r="J198" i="3" s="1"/>
  <c r="K198" i="3" s="1"/>
  <c r="L198" i="3" s="1"/>
  <c r="M198" i="3" s="1"/>
  <c r="N198" i="3" s="1"/>
  <c r="O198" i="3" s="1"/>
  <c r="P198" i="3" s="1"/>
  <c r="Q198" i="3" s="1"/>
  <c r="R198" i="3" s="1"/>
  <c r="S198" i="3" s="1"/>
  <c r="T198" i="3" s="1"/>
  <c r="U198" i="3" s="1"/>
  <c r="V198" i="3" s="1"/>
  <c r="W198" i="3" s="1"/>
  <c r="X198" i="3" s="1"/>
  <c r="Y198" i="3" s="1"/>
  <c r="Z198" i="3" s="1"/>
  <c r="AA198" i="3" s="1"/>
  <c r="AB198" i="3" s="1"/>
  <c r="AC198" i="3" s="1"/>
  <c r="AD198" i="3" s="1"/>
  <c r="AE198" i="3" s="1"/>
  <c r="AF198" i="3" s="1"/>
  <c r="H198" i="3"/>
  <c r="E198" i="3"/>
  <c r="F198" i="3" s="1"/>
  <c r="G198" i="3" s="1"/>
  <c r="C198" i="3"/>
  <c r="D198" i="3" s="1"/>
  <c r="O197" i="3"/>
  <c r="P197" i="3" s="1"/>
  <c r="Q197" i="3" s="1"/>
  <c r="R197" i="3" s="1"/>
  <c r="S197" i="3" s="1"/>
  <c r="T197" i="3" s="1"/>
  <c r="U197" i="3" s="1"/>
  <c r="V197" i="3" s="1"/>
  <c r="W197" i="3" s="1"/>
  <c r="X197" i="3" s="1"/>
  <c r="Y197" i="3" s="1"/>
  <c r="Z197" i="3" s="1"/>
  <c r="AA197" i="3" s="1"/>
  <c r="AB197" i="3" s="1"/>
  <c r="AC197" i="3" s="1"/>
  <c r="AD197" i="3" s="1"/>
  <c r="AE197" i="3" s="1"/>
  <c r="AF197" i="3" s="1"/>
  <c r="J197" i="3"/>
  <c r="K197" i="3" s="1"/>
  <c r="L197" i="3" s="1"/>
  <c r="M197" i="3" s="1"/>
  <c r="N197" i="3" s="1"/>
  <c r="I197" i="3"/>
  <c r="E197" i="3"/>
  <c r="F197" i="3" s="1"/>
  <c r="G197" i="3" s="1"/>
  <c r="H197" i="3" s="1"/>
  <c r="D197" i="3"/>
  <c r="C197" i="3"/>
  <c r="S196" i="3"/>
  <c r="T196" i="3" s="1"/>
  <c r="U196" i="3" s="1"/>
  <c r="V196" i="3" s="1"/>
  <c r="W196" i="3" s="1"/>
  <c r="X196" i="3" s="1"/>
  <c r="Y196" i="3" s="1"/>
  <c r="Z196" i="3" s="1"/>
  <c r="AA196" i="3" s="1"/>
  <c r="AB196" i="3" s="1"/>
  <c r="AC196" i="3" s="1"/>
  <c r="AD196" i="3" s="1"/>
  <c r="AE196" i="3" s="1"/>
  <c r="AF196" i="3" s="1"/>
  <c r="H196" i="3"/>
  <c r="I196" i="3" s="1"/>
  <c r="J196" i="3" s="1"/>
  <c r="K196" i="3" s="1"/>
  <c r="L196" i="3" s="1"/>
  <c r="M196" i="3" s="1"/>
  <c r="N196" i="3" s="1"/>
  <c r="O196" i="3" s="1"/>
  <c r="P196" i="3" s="1"/>
  <c r="Q196" i="3" s="1"/>
  <c r="R196" i="3" s="1"/>
  <c r="E196" i="3"/>
  <c r="F196" i="3" s="1"/>
  <c r="G196" i="3" s="1"/>
  <c r="D196" i="3"/>
  <c r="C196" i="3"/>
  <c r="E195" i="3"/>
  <c r="F195" i="3" s="1"/>
  <c r="G195" i="3" s="1"/>
  <c r="H195" i="3" s="1"/>
  <c r="I195" i="3" s="1"/>
  <c r="J195" i="3" s="1"/>
  <c r="K195" i="3" s="1"/>
  <c r="L195" i="3" s="1"/>
  <c r="M195" i="3" s="1"/>
  <c r="N195" i="3" s="1"/>
  <c r="O195" i="3" s="1"/>
  <c r="P195" i="3" s="1"/>
  <c r="Q195" i="3" s="1"/>
  <c r="R195" i="3" s="1"/>
  <c r="S195" i="3" s="1"/>
  <c r="T195" i="3" s="1"/>
  <c r="U195" i="3" s="1"/>
  <c r="V195" i="3" s="1"/>
  <c r="W195" i="3" s="1"/>
  <c r="X195" i="3" s="1"/>
  <c r="Y195" i="3" s="1"/>
  <c r="Z195" i="3" s="1"/>
  <c r="AA195" i="3" s="1"/>
  <c r="AB195" i="3" s="1"/>
  <c r="AC195" i="3" s="1"/>
  <c r="AD195" i="3" s="1"/>
  <c r="AE195" i="3" s="1"/>
  <c r="AF195" i="3" s="1"/>
  <c r="C195" i="3"/>
  <c r="D195" i="3" s="1"/>
  <c r="F194" i="3"/>
  <c r="G194" i="3" s="1"/>
  <c r="H194" i="3" s="1"/>
  <c r="I194" i="3" s="1"/>
  <c r="J194" i="3" s="1"/>
  <c r="K194" i="3" s="1"/>
  <c r="L194" i="3" s="1"/>
  <c r="M194" i="3" s="1"/>
  <c r="N194" i="3" s="1"/>
  <c r="O194" i="3" s="1"/>
  <c r="P194" i="3" s="1"/>
  <c r="Q194" i="3" s="1"/>
  <c r="R194" i="3" s="1"/>
  <c r="S194" i="3" s="1"/>
  <c r="T194" i="3" s="1"/>
  <c r="U194" i="3" s="1"/>
  <c r="V194" i="3" s="1"/>
  <c r="W194" i="3" s="1"/>
  <c r="X194" i="3" s="1"/>
  <c r="Y194" i="3" s="1"/>
  <c r="Z194" i="3" s="1"/>
  <c r="AA194" i="3" s="1"/>
  <c r="AB194" i="3" s="1"/>
  <c r="AC194" i="3" s="1"/>
  <c r="AD194" i="3" s="1"/>
  <c r="AE194" i="3" s="1"/>
  <c r="AF194" i="3" s="1"/>
  <c r="D194" i="3"/>
  <c r="E194" i="3" s="1"/>
  <c r="C194" i="3"/>
  <c r="F193" i="3"/>
  <c r="G193" i="3" s="1"/>
  <c r="H193" i="3" s="1"/>
  <c r="I193" i="3" s="1"/>
  <c r="J193" i="3" s="1"/>
  <c r="K193" i="3" s="1"/>
  <c r="L193" i="3" s="1"/>
  <c r="M193" i="3" s="1"/>
  <c r="N193" i="3" s="1"/>
  <c r="O193" i="3" s="1"/>
  <c r="P193" i="3" s="1"/>
  <c r="Q193" i="3" s="1"/>
  <c r="R193" i="3" s="1"/>
  <c r="S193" i="3" s="1"/>
  <c r="T193" i="3" s="1"/>
  <c r="U193" i="3" s="1"/>
  <c r="V193" i="3" s="1"/>
  <c r="W193" i="3" s="1"/>
  <c r="X193" i="3" s="1"/>
  <c r="Y193" i="3" s="1"/>
  <c r="Z193" i="3" s="1"/>
  <c r="AA193" i="3" s="1"/>
  <c r="AB193" i="3" s="1"/>
  <c r="AC193" i="3" s="1"/>
  <c r="AD193" i="3" s="1"/>
  <c r="AE193" i="3" s="1"/>
  <c r="AF193" i="3" s="1"/>
  <c r="D193" i="3"/>
  <c r="E193" i="3" s="1"/>
  <c r="C193" i="3"/>
  <c r="M192" i="3"/>
  <c r="N192" i="3" s="1"/>
  <c r="O192" i="3" s="1"/>
  <c r="P192" i="3" s="1"/>
  <c r="Q192" i="3" s="1"/>
  <c r="R192" i="3" s="1"/>
  <c r="S192" i="3" s="1"/>
  <c r="T192" i="3" s="1"/>
  <c r="U192" i="3" s="1"/>
  <c r="V192" i="3" s="1"/>
  <c r="W192" i="3" s="1"/>
  <c r="X192" i="3" s="1"/>
  <c r="Y192" i="3" s="1"/>
  <c r="Z192" i="3" s="1"/>
  <c r="AA192" i="3" s="1"/>
  <c r="AB192" i="3" s="1"/>
  <c r="AC192" i="3" s="1"/>
  <c r="AD192" i="3" s="1"/>
  <c r="AE192" i="3" s="1"/>
  <c r="AF192" i="3" s="1"/>
  <c r="C192" i="3"/>
  <c r="D192" i="3" s="1"/>
  <c r="E192" i="3" s="1"/>
  <c r="F192" i="3" s="1"/>
  <c r="G192" i="3" s="1"/>
  <c r="H192" i="3" s="1"/>
  <c r="I192" i="3" s="1"/>
  <c r="J192" i="3" s="1"/>
  <c r="K192" i="3" s="1"/>
  <c r="L192" i="3" s="1"/>
  <c r="C191" i="3"/>
  <c r="D191" i="3" s="1"/>
  <c r="E191" i="3" s="1"/>
  <c r="F191" i="3" s="1"/>
  <c r="G191" i="3" s="1"/>
  <c r="H191" i="3" s="1"/>
  <c r="I191" i="3" s="1"/>
  <c r="J191" i="3" s="1"/>
  <c r="K191" i="3" s="1"/>
  <c r="L191" i="3" s="1"/>
  <c r="M191" i="3" s="1"/>
  <c r="N191" i="3" s="1"/>
  <c r="O191" i="3" s="1"/>
  <c r="P191" i="3" s="1"/>
  <c r="Q191" i="3" s="1"/>
  <c r="R191" i="3" s="1"/>
  <c r="S191" i="3" s="1"/>
  <c r="T191" i="3" s="1"/>
  <c r="U191" i="3" s="1"/>
  <c r="V191" i="3" s="1"/>
  <c r="W191" i="3" s="1"/>
  <c r="X191" i="3" s="1"/>
  <c r="Y191" i="3" s="1"/>
  <c r="Z191" i="3" s="1"/>
  <c r="AA191" i="3" s="1"/>
  <c r="AB191" i="3" s="1"/>
  <c r="AC191" i="3" s="1"/>
  <c r="AD191" i="3" s="1"/>
  <c r="AE191" i="3" s="1"/>
  <c r="AF191" i="3" s="1"/>
  <c r="F190" i="3"/>
  <c r="G190" i="3" s="1"/>
  <c r="H190" i="3" s="1"/>
  <c r="I190" i="3" s="1"/>
  <c r="J190" i="3" s="1"/>
  <c r="K190" i="3" s="1"/>
  <c r="L190" i="3" s="1"/>
  <c r="M190" i="3" s="1"/>
  <c r="N190" i="3" s="1"/>
  <c r="O190" i="3" s="1"/>
  <c r="P190" i="3" s="1"/>
  <c r="Q190" i="3" s="1"/>
  <c r="R190" i="3" s="1"/>
  <c r="S190" i="3" s="1"/>
  <c r="T190" i="3" s="1"/>
  <c r="U190" i="3" s="1"/>
  <c r="V190" i="3" s="1"/>
  <c r="W190" i="3" s="1"/>
  <c r="X190" i="3" s="1"/>
  <c r="Y190" i="3" s="1"/>
  <c r="Z190" i="3" s="1"/>
  <c r="AA190" i="3" s="1"/>
  <c r="AB190" i="3" s="1"/>
  <c r="AC190" i="3" s="1"/>
  <c r="AD190" i="3" s="1"/>
  <c r="AE190" i="3" s="1"/>
  <c r="AF190" i="3" s="1"/>
  <c r="D190" i="3"/>
  <c r="E190" i="3" s="1"/>
  <c r="C190" i="3"/>
  <c r="D189" i="3"/>
  <c r="E189" i="3" s="1"/>
  <c r="F189" i="3" s="1"/>
  <c r="G189" i="3" s="1"/>
  <c r="H189" i="3" s="1"/>
  <c r="I189" i="3" s="1"/>
  <c r="J189" i="3" s="1"/>
  <c r="K189" i="3" s="1"/>
  <c r="L189" i="3" s="1"/>
  <c r="M189" i="3" s="1"/>
  <c r="N189" i="3" s="1"/>
  <c r="O189" i="3" s="1"/>
  <c r="P189" i="3" s="1"/>
  <c r="Q189" i="3" s="1"/>
  <c r="R189" i="3" s="1"/>
  <c r="S189" i="3" s="1"/>
  <c r="T189" i="3" s="1"/>
  <c r="U189" i="3" s="1"/>
  <c r="V189" i="3" s="1"/>
  <c r="W189" i="3" s="1"/>
  <c r="X189" i="3" s="1"/>
  <c r="Y189" i="3" s="1"/>
  <c r="Z189" i="3" s="1"/>
  <c r="AA189" i="3" s="1"/>
  <c r="AB189" i="3" s="1"/>
  <c r="AC189" i="3" s="1"/>
  <c r="AD189" i="3" s="1"/>
  <c r="AE189" i="3" s="1"/>
  <c r="AF189" i="3" s="1"/>
  <c r="C189" i="3"/>
  <c r="L188" i="3"/>
  <c r="M188" i="3" s="1"/>
  <c r="N188" i="3" s="1"/>
  <c r="O188" i="3" s="1"/>
  <c r="P188" i="3" s="1"/>
  <c r="Q188" i="3" s="1"/>
  <c r="R188" i="3" s="1"/>
  <c r="S188" i="3" s="1"/>
  <c r="T188" i="3" s="1"/>
  <c r="U188" i="3" s="1"/>
  <c r="V188" i="3" s="1"/>
  <c r="W188" i="3" s="1"/>
  <c r="X188" i="3" s="1"/>
  <c r="Y188" i="3" s="1"/>
  <c r="Z188" i="3" s="1"/>
  <c r="AA188" i="3" s="1"/>
  <c r="AB188" i="3" s="1"/>
  <c r="AC188" i="3" s="1"/>
  <c r="AD188" i="3" s="1"/>
  <c r="AE188" i="3" s="1"/>
  <c r="AF188" i="3" s="1"/>
  <c r="D188" i="3"/>
  <c r="E188" i="3" s="1"/>
  <c r="F188" i="3" s="1"/>
  <c r="G188" i="3" s="1"/>
  <c r="H188" i="3" s="1"/>
  <c r="I188" i="3" s="1"/>
  <c r="J188" i="3" s="1"/>
  <c r="K188" i="3" s="1"/>
  <c r="C188" i="3"/>
  <c r="H187" i="3"/>
  <c r="I187" i="3" s="1"/>
  <c r="J187" i="3" s="1"/>
  <c r="K187" i="3" s="1"/>
  <c r="L187" i="3" s="1"/>
  <c r="M187" i="3" s="1"/>
  <c r="N187" i="3" s="1"/>
  <c r="O187" i="3" s="1"/>
  <c r="P187" i="3" s="1"/>
  <c r="Q187" i="3" s="1"/>
  <c r="R187" i="3" s="1"/>
  <c r="S187" i="3" s="1"/>
  <c r="T187" i="3" s="1"/>
  <c r="U187" i="3" s="1"/>
  <c r="V187" i="3" s="1"/>
  <c r="W187" i="3" s="1"/>
  <c r="X187" i="3" s="1"/>
  <c r="Y187" i="3" s="1"/>
  <c r="Z187" i="3" s="1"/>
  <c r="AA187" i="3" s="1"/>
  <c r="AB187" i="3" s="1"/>
  <c r="AC187" i="3" s="1"/>
  <c r="AD187" i="3" s="1"/>
  <c r="AE187" i="3" s="1"/>
  <c r="AF187" i="3" s="1"/>
  <c r="E187" i="3"/>
  <c r="F187" i="3" s="1"/>
  <c r="G187" i="3" s="1"/>
  <c r="C187" i="3"/>
  <c r="D187" i="3" s="1"/>
  <c r="F186" i="3"/>
  <c r="G186" i="3" s="1"/>
  <c r="H186" i="3" s="1"/>
  <c r="I186" i="3" s="1"/>
  <c r="J186" i="3" s="1"/>
  <c r="K186" i="3" s="1"/>
  <c r="L186" i="3" s="1"/>
  <c r="M186" i="3" s="1"/>
  <c r="N186" i="3" s="1"/>
  <c r="O186" i="3" s="1"/>
  <c r="P186" i="3" s="1"/>
  <c r="Q186" i="3" s="1"/>
  <c r="R186" i="3" s="1"/>
  <c r="S186" i="3" s="1"/>
  <c r="T186" i="3" s="1"/>
  <c r="U186" i="3" s="1"/>
  <c r="V186" i="3" s="1"/>
  <c r="W186" i="3" s="1"/>
  <c r="X186" i="3" s="1"/>
  <c r="Y186" i="3" s="1"/>
  <c r="Z186" i="3" s="1"/>
  <c r="AA186" i="3" s="1"/>
  <c r="AB186" i="3" s="1"/>
  <c r="AC186" i="3" s="1"/>
  <c r="AD186" i="3" s="1"/>
  <c r="AE186" i="3" s="1"/>
  <c r="AF186" i="3" s="1"/>
  <c r="C186" i="3"/>
  <c r="D186" i="3" s="1"/>
  <c r="E186" i="3" s="1"/>
  <c r="F185" i="3"/>
  <c r="G185" i="3" s="1"/>
  <c r="H185" i="3" s="1"/>
  <c r="I185" i="3" s="1"/>
  <c r="J185" i="3" s="1"/>
  <c r="K185" i="3" s="1"/>
  <c r="L185" i="3" s="1"/>
  <c r="M185" i="3" s="1"/>
  <c r="N185" i="3" s="1"/>
  <c r="O185" i="3" s="1"/>
  <c r="P185" i="3" s="1"/>
  <c r="Q185" i="3" s="1"/>
  <c r="R185" i="3" s="1"/>
  <c r="S185" i="3" s="1"/>
  <c r="T185" i="3" s="1"/>
  <c r="U185" i="3" s="1"/>
  <c r="V185" i="3" s="1"/>
  <c r="W185" i="3" s="1"/>
  <c r="X185" i="3" s="1"/>
  <c r="Y185" i="3" s="1"/>
  <c r="Z185" i="3" s="1"/>
  <c r="AA185" i="3" s="1"/>
  <c r="AB185" i="3" s="1"/>
  <c r="AC185" i="3" s="1"/>
  <c r="AD185" i="3" s="1"/>
  <c r="AE185" i="3" s="1"/>
  <c r="AF185" i="3" s="1"/>
  <c r="E185" i="3"/>
  <c r="D185" i="3"/>
  <c r="C185" i="3"/>
  <c r="H184" i="3"/>
  <c r="I184" i="3" s="1"/>
  <c r="J184" i="3" s="1"/>
  <c r="K184" i="3" s="1"/>
  <c r="L184" i="3" s="1"/>
  <c r="M184" i="3" s="1"/>
  <c r="N184" i="3" s="1"/>
  <c r="O184" i="3" s="1"/>
  <c r="P184" i="3" s="1"/>
  <c r="Q184" i="3" s="1"/>
  <c r="R184" i="3" s="1"/>
  <c r="S184" i="3" s="1"/>
  <c r="T184" i="3" s="1"/>
  <c r="U184" i="3" s="1"/>
  <c r="V184" i="3" s="1"/>
  <c r="W184" i="3" s="1"/>
  <c r="X184" i="3" s="1"/>
  <c r="Y184" i="3" s="1"/>
  <c r="Z184" i="3" s="1"/>
  <c r="AA184" i="3" s="1"/>
  <c r="AB184" i="3" s="1"/>
  <c r="AC184" i="3" s="1"/>
  <c r="AD184" i="3" s="1"/>
  <c r="AE184" i="3" s="1"/>
  <c r="AF184" i="3" s="1"/>
  <c r="G184" i="3"/>
  <c r="D184" i="3"/>
  <c r="E184" i="3" s="1"/>
  <c r="F184" i="3" s="1"/>
  <c r="C184" i="3"/>
  <c r="F183" i="3"/>
  <c r="G183" i="3" s="1"/>
  <c r="H183" i="3" s="1"/>
  <c r="I183" i="3" s="1"/>
  <c r="J183" i="3" s="1"/>
  <c r="K183" i="3" s="1"/>
  <c r="L183" i="3" s="1"/>
  <c r="M183" i="3" s="1"/>
  <c r="N183" i="3" s="1"/>
  <c r="O183" i="3" s="1"/>
  <c r="P183" i="3" s="1"/>
  <c r="Q183" i="3" s="1"/>
  <c r="R183" i="3" s="1"/>
  <c r="S183" i="3" s="1"/>
  <c r="T183" i="3" s="1"/>
  <c r="U183" i="3" s="1"/>
  <c r="V183" i="3" s="1"/>
  <c r="W183" i="3" s="1"/>
  <c r="X183" i="3" s="1"/>
  <c r="Y183" i="3" s="1"/>
  <c r="Z183" i="3" s="1"/>
  <c r="AA183" i="3" s="1"/>
  <c r="AB183" i="3" s="1"/>
  <c r="AC183" i="3" s="1"/>
  <c r="AD183" i="3" s="1"/>
  <c r="AE183" i="3" s="1"/>
  <c r="AF183" i="3" s="1"/>
  <c r="C183" i="3"/>
  <c r="D183" i="3" s="1"/>
  <c r="E183" i="3" s="1"/>
  <c r="C182" i="3"/>
  <c r="D182" i="3" s="1"/>
  <c r="E182" i="3" s="1"/>
  <c r="F182" i="3" s="1"/>
  <c r="G182" i="3" s="1"/>
  <c r="H182" i="3" s="1"/>
  <c r="I182" i="3" s="1"/>
  <c r="J182" i="3" s="1"/>
  <c r="K182" i="3" s="1"/>
  <c r="L182" i="3" s="1"/>
  <c r="M182" i="3" s="1"/>
  <c r="N182" i="3" s="1"/>
  <c r="O182" i="3" s="1"/>
  <c r="P182" i="3" s="1"/>
  <c r="Q182" i="3" s="1"/>
  <c r="R182" i="3" s="1"/>
  <c r="S182" i="3" s="1"/>
  <c r="T182" i="3" s="1"/>
  <c r="U182" i="3" s="1"/>
  <c r="V182" i="3" s="1"/>
  <c r="W182" i="3" s="1"/>
  <c r="X182" i="3" s="1"/>
  <c r="Y182" i="3" s="1"/>
  <c r="Z182" i="3" s="1"/>
  <c r="AA182" i="3" s="1"/>
  <c r="AB182" i="3" s="1"/>
  <c r="AC182" i="3" s="1"/>
  <c r="AD182" i="3" s="1"/>
  <c r="AE182" i="3" s="1"/>
  <c r="AF182" i="3" s="1"/>
  <c r="Y181" i="3"/>
  <c r="Z181" i="3" s="1"/>
  <c r="AA181" i="3" s="1"/>
  <c r="AB181" i="3" s="1"/>
  <c r="AC181" i="3" s="1"/>
  <c r="AD181" i="3" s="1"/>
  <c r="AE181" i="3" s="1"/>
  <c r="AF181" i="3" s="1"/>
  <c r="I181" i="3"/>
  <c r="J181" i="3" s="1"/>
  <c r="K181" i="3" s="1"/>
  <c r="L181" i="3" s="1"/>
  <c r="M181" i="3" s="1"/>
  <c r="N181" i="3" s="1"/>
  <c r="O181" i="3" s="1"/>
  <c r="P181" i="3" s="1"/>
  <c r="Q181" i="3" s="1"/>
  <c r="R181" i="3" s="1"/>
  <c r="S181" i="3" s="1"/>
  <c r="T181" i="3" s="1"/>
  <c r="U181" i="3" s="1"/>
  <c r="V181" i="3" s="1"/>
  <c r="W181" i="3" s="1"/>
  <c r="X181" i="3" s="1"/>
  <c r="G181" i="3"/>
  <c r="H181" i="3" s="1"/>
  <c r="E181" i="3"/>
  <c r="F181" i="3" s="1"/>
  <c r="D181" i="3"/>
  <c r="C181" i="3"/>
  <c r="J180" i="3"/>
  <c r="K180" i="3" s="1"/>
  <c r="L180" i="3" s="1"/>
  <c r="M180" i="3" s="1"/>
  <c r="N180" i="3" s="1"/>
  <c r="O180" i="3" s="1"/>
  <c r="P180" i="3" s="1"/>
  <c r="Q180" i="3" s="1"/>
  <c r="R180" i="3" s="1"/>
  <c r="S180" i="3" s="1"/>
  <c r="T180" i="3" s="1"/>
  <c r="U180" i="3" s="1"/>
  <c r="V180" i="3" s="1"/>
  <c r="W180" i="3" s="1"/>
  <c r="X180" i="3" s="1"/>
  <c r="Y180" i="3" s="1"/>
  <c r="Z180" i="3" s="1"/>
  <c r="AA180" i="3" s="1"/>
  <c r="AB180" i="3" s="1"/>
  <c r="AC180" i="3" s="1"/>
  <c r="AD180" i="3" s="1"/>
  <c r="AE180" i="3" s="1"/>
  <c r="AF180" i="3" s="1"/>
  <c r="C180" i="3"/>
  <c r="D180" i="3" s="1"/>
  <c r="E180" i="3" s="1"/>
  <c r="F180" i="3" s="1"/>
  <c r="G180" i="3" s="1"/>
  <c r="H180" i="3" s="1"/>
  <c r="I180" i="3" s="1"/>
  <c r="AF179" i="3"/>
  <c r="H179" i="3"/>
  <c r="I179" i="3" s="1"/>
  <c r="J179" i="3" s="1"/>
  <c r="K179" i="3" s="1"/>
  <c r="L179" i="3" s="1"/>
  <c r="M179" i="3" s="1"/>
  <c r="N179" i="3" s="1"/>
  <c r="O179" i="3" s="1"/>
  <c r="P179" i="3" s="1"/>
  <c r="Q179" i="3" s="1"/>
  <c r="R179" i="3" s="1"/>
  <c r="S179" i="3" s="1"/>
  <c r="T179" i="3" s="1"/>
  <c r="U179" i="3" s="1"/>
  <c r="V179" i="3" s="1"/>
  <c r="W179" i="3" s="1"/>
  <c r="X179" i="3" s="1"/>
  <c r="Y179" i="3" s="1"/>
  <c r="Z179" i="3" s="1"/>
  <c r="AA179" i="3" s="1"/>
  <c r="AB179" i="3" s="1"/>
  <c r="AC179" i="3" s="1"/>
  <c r="AD179" i="3" s="1"/>
  <c r="AE179" i="3" s="1"/>
  <c r="F179" i="3"/>
  <c r="G179" i="3" s="1"/>
  <c r="E179" i="3"/>
  <c r="C179" i="3"/>
  <c r="D179" i="3" s="1"/>
  <c r="H178" i="3"/>
  <c r="I178" i="3" s="1"/>
  <c r="J178" i="3" s="1"/>
  <c r="K178" i="3" s="1"/>
  <c r="L178" i="3" s="1"/>
  <c r="M178" i="3" s="1"/>
  <c r="N178" i="3" s="1"/>
  <c r="C178" i="3"/>
  <c r="D178" i="3" s="1"/>
  <c r="E178" i="3" s="1"/>
  <c r="F178" i="3" s="1"/>
  <c r="G178" i="3" s="1"/>
  <c r="F177" i="3"/>
  <c r="G177" i="3" s="1"/>
  <c r="H177" i="3" s="1"/>
  <c r="I177" i="3" s="1"/>
  <c r="J177" i="3" s="1"/>
  <c r="K177" i="3" s="1"/>
  <c r="L177" i="3" s="1"/>
  <c r="M177" i="3" s="1"/>
  <c r="N177" i="3" s="1"/>
  <c r="O177" i="3" s="1"/>
  <c r="P177" i="3" s="1"/>
  <c r="Q177" i="3" s="1"/>
  <c r="R177" i="3" s="1"/>
  <c r="S177" i="3" s="1"/>
  <c r="T177" i="3" s="1"/>
  <c r="U177" i="3" s="1"/>
  <c r="V177" i="3" s="1"/>
  <c r="W177" i="3" s="1"/>
  <c r="X177" i="3" s="1"/>
  <c r="Y177" i="3" s="1"/>
  <c r="Z177" i="3" s="1"/>
  <c r="AA177" i="3" s="1"/>
  <c r="AB177" i="3" s="1"/>
  <c r="AC177" i="3" s="1"/>
  <c r="AD177" i="3" s="1"/>
  <c r="AE177" i="3" s="1"/>
  <c r="AF177" i="3" s="1"/>
  <c r="D177" i="3"/>
  <c r="E177" i="3" s="1"/>
  <c r="C177" i="3"/>
  <c r="E176" i="3"/>
  <c r="F176" i="3" s="1"/>
  <c r="G176" i="3" s="1"/>
  <c r="H176" i="3" s="1"/>
  <c r="I176" i="3" s="1"/>
  <c r="J176" i="3" s="1"/>
  <c r="K176" i="3" s="1"/>
  <c r="L176" i="3" s="1"/>
  <c r="M176" i="3" s="1"/>
  <c r="N176" i="3" s="1"/>
  <c r="O176" i="3" s="1"/>
  <c r="P176" i="3" s="1"/>
  <c r="Q176" i="3" s="1"/>
  <c r="R176" i="3" s="1"/>
  <c r="S176" i="3" s="1"/>
  <c r="T176" i="3" s="1"/>
  <c r="U176" i="3" s="1"/>
  <c r="V176" i="3" s="1"/>
  <c r="W176" i="3" s="1"/>
  <c r="X176" i="3" s="1"/>
  <c r="Y176" i="3" s="1"/>
  <c r="Z176" i="3" s="1"/>
  <c r="AA176" i="3" s="1"/>
  <c r="AB176" i="3" s="1"/>
  <c r="AC176" i="3" s="1"/>
  <c r="AD176" i="3" s="1"/>
  <c r="AE176" i="3" s="1"/>
  <c r="AF176" i="3" s="1"/>
  <c r="D176" i="3"/>
  <c r="C176" i="3"/>
  <c r="AN175" i="3"/>
  <c r="AM175" i="3"/>
  <c r="Z175" i="3"/>
  <c r="AA175" i="3" s="1"/>
  <c r="AB175" i="3" s="1"/>
  <c r="AC175" i="3" s="1"/>
  <c r="AD175" i="3" s="1"/>
  <c r="AE175" i="3" s="1"/>
  <c r="AF175" i="3" s="1"/>
  <c r="R175" i="3"/>
  <c r="S175" i="3" s="1"/>
  <c r="T175" i="3" s="1"/>
  <c r="U175" i="3" s="1"/>
  <c r="V175" i="3" s="1"/>
  <c r="W175" i="3" s="1"/>
  <c r="X175" i="3" s="1"/>
  <c r="Y175" i="3" s="1"/>
  <c r="O175" i="3"/>
  <c r="P175" i="3" s="1"/>
  <c r="Q175" i="3" s="1"/>
  <c r="I175" i="3"/>
  <c r="J175" i="3" s="1"/>
  <c r="K175" i="3" s="1"/>
  <c r="L175" i="3" s="1"/>
  <c r="M175" i="3" s="1"/>
  <c r="N175" i="3" s="1"/>
  <c r="D175" i="3"/>
  <c r="E175" i="3" s="1"/>
  <c r="F175" i="3" s="1"/>
  <c r="G175" i="3" s="1"/>
  <c r="H175" i="3" s="1"/>
  <c r="C175" i="3"/>
  <c r="AO174" i="3"/>
  <c r="H174" i="3"/>
  <c r="I174" i="3" s="1"/>
  <c r="J174" i="3" s="1"/>
  <c r="K174" i="3" s="1"/>
  <c r="L174" i="3" s="1"/>
  <c r="M174" i="3" s="1"/>
  <c r="N174" i="3" s="1"/>
  <c r="O174" i="3" s="1"/>
  <c r="P174" i="3" s="1"/>
  <c r="Q174" i="3" s="1"/>
  <c r="R174" i="3" s="1"/>
  <c r="S174" i="3" s="1"/>
  <c r="T174" i="3" s="1"/>
  <c r="U174" i="3" s="1"/>
  <c r="V174" i="3" s="1"/>
  <c r="W174" i="3" s="1"/>
  <c r="X174" i="3" s="1"/>
  <c r="Y174" i="3" s="1"/>
  <c r="Z174" i="3" s="1"/>
  <c r="AA174" i="3" s="1"/>
  <c r="AB174" i="3" s="1"/>
  <c r="AC174" i="3" s="1"/>
  <c r="AD174" i="3" s="1"/>
  <c r="AE174" i="3" s="1"/>
  <c r="AF174" i="3" s="1"/>
  <c r="E174" i="3"/>
  <c r="F174" i="3" s="1"/>
  <c r="G174" i="3" s="1"/>
  <c r="D174" i="3"/>
  <c r="C174" i="3"/>
  <c r="AO173" i="3"/>
  <c r="I173" i="3"/>
  <c r="J173" i="3" s="1"/>
  <c r="K173" i="3" s="1"/>
  <c r="L173" i="3" s="1"/>
  <c r="M173" i="3" s="1"/>
  <c r="N173" i="3" s="1"/>
  <c r="O173" i="3" s="1"/>
  <c r="P173" i="3" s="1"/>
  <c r="Q173" i="3" s="1"/>
  <c r="R173" i="3" s="1"/>
  <c r="S173" i="3" s="1"/>
  <c r="T173" i="3" s="1"/>
  <c r="U173" i="3" s="1"/>
  <c r="V173" i="3" s="1"/>
  <c r="W173" i="3" s="1"/>
  <c r="X173" i="3" s="1"/>
  <c r="Y173" i="3" s="1"/>
  <c r="Z173" i="3" s="1"/>
  <c r="AA173" i="3" s="1"/>
  <c r="AB173" i="3" s="1"/>
  <c r="AC173" i="3" s="1"/>
  <c r="AD173" i="3" s="1"/>
  <c r="AE173" i="3" s="1"/>
  <c r="AF173" i="3" s="1"/>
  <c r="F173" i="3"/>
  <c r="G173" i="3" s="1"/>
  <c r="H173" i="3" s="1"/>
  <c r="D173" i="3"/>
  <c r="E173" i="3" s="1"/>
  <c r="C173" i="3"/>
  <c r="AO172" i="3"/>
  <c r="AO175" i="3" s="1"/>
  <c r="F172" i="3"/>
  <c r="G172" i="3" s="1"/>
  <c r="H172" i="3" s="1"/>
  <c r="I172" i="3" s="1"/>
  <c r="J172" i="3" s="1"/>
  <c r="K172" i="3" s="1"/>
  <c r="L172" i="3" s="1"/>
  <c r="M172" i="3" s="1"/>
  <c r="N172" i="3" s="1"/>
  <c r="O172" i="3" s="1"/>
  <c r="P172" i="3" s="1"/>
  <c r="Q172" i="3" s="1"/>
  <c r="R172" i="3" s="1"/>
  <c r="S172" i="3" s="1"/>
  <c r="T172" i="3" s="1"/>
  <c r="U172" i="3" s="1"/>
  <c r="V172" i="3" s="1"/>
  <c r="W172" i="3" s="1"/>
  <c r="X172" i="3" s="1"/>
  <c r="Y172" i="3" s="1"/>
  <c r="Z172" i="3" s="1"/>
  <c r="AA172" i="3" s="1"/>
  <c r="AB172" i="3" s="1"/>
  <c r="AC172" i="3" s="1"/>
  <c r="AD172" i="3" s="1"/>
  <c r="AE172" i="3" s="1"/>
  <c r="AF172" i="3" s="1"/>
  <c r="C172" i="3"/>
  <c r="D172" i="3" s="1"/>
  <c r="E172" i="3" s="1"/>
  <c r="E171" i="3"/>
  <c r="F171" i="3" s="1"/>
  <c r="G171" i="3" s="1"/>
  <c r="H171" i="3" s="1"/>
  <c r="I171" i="3" s="1"/>
  <c r="J171" i="3" s="1"/>
  <c r="K171" i="3" s="1"/>
  <c r="L171" i="3" s="1"/>
  <c r="M171" i="3" s="1"/>
  <c r="N171" i="3" s="1"/>
  <c r="O171" i="3" s="1"/>
  <c r="P171" i="3" s="1"/>
  <c r="Q171" i="3" s="1"/>
  <c r="R171" i="3" s="1"/>
  <c r="S171" i="3" s="1"/>
  <c r="T171" i="3" s="1"/>
  <c r="U171" i="3" s="1"/>
  <c r="V171" i="3" s="1"/>
  <c r="W171" i="3" s="1"/>
  <c r="X171" i="3" s="1"/>
  <c r="Y171" i="3" s="1"/>
  <c r="Z171" i="3" s="1"/>
  <c r="D171" i="3"/>
  <c r="C171" i="3"/>
  <c r="D170" i="3"/>
  <c r="C170" i="3"/>
  <c r="AM168" i="3"/>
  <c r="AG168" i="3"/>
  <c r="AN167" i="3"/>
  <c r="AO167" i="3" s="1"/>
  <c r="E167" i="3"/>
  <c r="F167" i="3" s="1"/>
  <c r="G167" i="3" s="1"/>
  <c r="H167" i="3" s="1"/>
  <c r="I167" i="3" s="1"/>
  <c r="J167" i="3" s="1"/>
  <c r="K167" i="3" s="1"/>
  <c r="L167" i="3" s="1"/>
  <c r="M167" i="3" s="1"/>
  <c r="N167" i="3" s="1"/>
  <c r="O167" i="3" s="1"/>
  <c r="P167" i="3" s="1"/>
  <c r="Q167" i="3" s="1"/>
  <c r="R167" i="3" s="1"/>
  <c r="S167" i="3" s="1"/>
  <c r="T167" i="3" s="1"/>
  <c r="U167" i="3" s="1"/>
  <c r="V167" i="3" s="1"/>
  <c r="W167" i="3" s="1"/>
  <c r="X167" i="3" s="1"/>
  <c r="Y167" i="3" s="1"/>
  <c r="Z167" i="3" s="1"/>
  <c r="AA167" i="3" s="1"/>
  <c r="AB167" i="3" s="1"/>
  <c r="AC167" i="3" s="1"/>
  <c r="AD167" i="3" s="1"/>
  <c r="AE167" i="3" s="1"/>
  <c r="AF167" i="3" s="1"/>
  <c r="D167" i="3"/>
  <c r="C167" i="3"/>
  <c r="AN166" i="3"/>
  <c r="AO166" i="3" s="1"/>
  <c r="V166" i="3"/>
  <c r="W166" i="3" s="1"/>
  <c r="X166" i="3" s="1"/>
  <c r="Y166" i="3" s="1"/>
  <c r="Z166" i="3" s="1"/>
  <c r="AA166" i="3" s="1"/>
  <c r="AB166" i="3" s="1"/>
  <c r="AC166" i="3" s="1"/>
  <c r="AD166" i="3" s="1"/>
  <c r="AE166" i="3" s="1"/>
  <c r="AF166" i="3" s="1"/>
  <c r="D166" i="3"/>
  <c r="E166" i="3" s="1"/>
  <c r="F166" i="3" s="1"/>
  <c r="G166" i="3" s="1"/>
  <c r="H166" i="3" s="1"/>
  <c r="I166" i="3" s="1"/>
  <c r="J166" i="3" s="1"/>
  <c r="K166" i="3" s="1"/>
  <c r="L166" i="3" s="1"/>
  <c r="M166" i="3" s="1"/>
  <c r="N166" i="3" s="1"/>
  <c r="O166" i="3" s="1"/>
  <c r="P166" i="3" s="1"/>
  <c r="Q166" i="3" s="1"/>
  <c r="R166" i="3" s="1"/>
  <c r="S166" i="3" s="1"/>
  <c r="T166" i="3" s="1"/>
  <c r="U166" i="3" s="1"/>
  <c r="C166" i="3"/>
  <c r="AN165" i="3"/>
  <c r="AO165" i="3" s="1"/>
  <c r="E165" i="3"/>
  <c r="F165" i="3" s="1"/>
  <c r="G165" i="3" s="1"/>
  <c r="H165" i="3" s="1"/>
  <c r="I165" i="3" s="1"/>
  <c r="J165" i="3" s="1"/>
  <c r="K165" i="3" s="1"/>
  <c r="L165" i="3" s="1"/>
  <c r="M165" i="3" s="1"/>
  <c r="N165" i="3" s="1"/>
  <c r="O165" i="3" s="1"/>
  <c r="P165" i="3" s="1"/>
  <c r="Q165" i="3" s="1"/>
  <c r="R165" i="3" s="1"/>
  <c r="S165" i="3" s="1"/>
  <c r="T165" i="3" s="1"/>
  <c r="U165" i="3" s="1"/>
  <c r="V165" i="3" s="1"/>
  <c r="W165" i="3" s="1"/>
  <c r="X165" i="3" s="1"/>
  <c r="Y165" i="3" s="1"/>
  <c r="Z165" i="3" s="1"/>
  <c r="AA165" i="3" s="1"/>
  <c r="AB165" i="3" s="1"/>
  <c r="AC165" i="3" s="1"/>
  <c r="AD165" i="3" s="1"/>
  <c r="AE165" i="3" s="1"/>
  <c r="AF165" i="3" s="1"/>
  <c r="D165" i="3"/>
  <c r="C165" i="3"/>
  <c r="AN164" i="3"/>
  <c r="AO164" i="3" s="1"/>
  <c r="L164" i="3"/>
  <c r="M164" i="3" s="1"/>
  <c r="N164" i="3" s="1"/>
  <c r="O164" i="3" s="1"/>
  <c r="P164" i="3" s="1"/>
  <c r="Q164" i="3" s="1"/>
  <c r="R164" i="3" s="1"/>
  <c r="S164" i="3" s="1"/>
  <c r="T164" i="3" s="1"/>
  <c r="U164" i="3" s="1"/>
  <c r="V164" i="3" s="1"/>
  <c r="W164" i="3" s="1"/>
  <c r="X164" i="3" s="1"/>
  <c r="Y164" i="3" s="1"/>
  <c r="Z164" i="3" s="1"/>
  <c r="AA164" i="3" s="1"/>
  <c r="AB164" i="3" s="1"/>
  <c r="AC164" i="3" s="1"/>
  <c r="AD164" i="3" s="1"/>
  <c r="AE164" i="3" s="1"/>
  <c r="AF164" i="3" s="1"/>
  <c r="F164" i="3"/>
  <c r="G164" i="3" s="1"/>
  <c r="H164" i="3" s="1"/>
  <c r="I164" i="3" s="1"/>
  <c r="J164" i="3" s="1"/>
  <c r="K164" i="3" s="1"/>
  <c r="E164" i="3"/>
  <c r="D164" i="3"/>
  <c r="C164" i="3"/>
  <c r="AN163" i="3"/>
  <c r="AO163" i="3" s="1"/>
  <c r="I163" i="3"/>
  <c r="J163" i="3" s="1"/>
  <c r="K163" i="3" s="1"/>
  <c r="L163" i="3" s="1"/>
  <c r="M163" i="3" s="1"/>
  <c r="N163" i="3" s="1"/>
  <c r="O163" i="3" s="1"/>
  <c r="P163" i="3" s="1"/>
  <c r="Q163" i="3" s="1"/>
  <c r="R163" i="3" s="1"/>
  <c r="S163" i="3" s="1"/>
  <c r="T163" i="3" s="1"/>
  <c r="U163" i="3" s="1"/>
  <c r="V163" i="3" s="1"/>
  <c r="W163" i="3" s="1"/>
  <c r="X163" i="3" s="1"/>
  <c r="Y163" i="3" s="1"/>
  <c r="Z163" i="3" s="1"/>
  <c r="AA163" i="3" s="1"/>
  <c r="AB163" i="3" s="1"/>
  <c r="AC163" i="3" s="1"/>
  <c r="AD163" i="3" s="1"/>
  <c r="AE163" i="3" s="1"/>
  <c r="AF163" i="3" s="1"/>
  <c r="F163" i="3"/>
  <c r="G163" i="3" s="1"/>
  <c r="H163" i="3" s="1"/>
  <c r="E163" i="3"/>
  <c r="D163" i="3"/>
  <c r="C163" i="3"/>
  <c r="AN162" i="3"/>
  <c r="AO162" i="3" s="1"/>
  <c r="C162" i="3"/>
  <c r="C168" i="3" s="1"/>
  <c r="AN161" i="3"/>
  <c r="AO161" i="3" s="1"/>
  <c r="AO160" i="3"/>
  <c r="AN160" i="3"/>
  <c r="AF160" i="3" a="1"/>
  <c r="AF160" i="3" s="1"/>
  <c r="AE160" i="3" a="1"/>
  <c r="AE160" i="3" s="1"/>
  <c r="AD160" i="3" a="1"/>
  <c r="AD160" i="3" s="1"/>
  <c r="AC160" i="3" a="1"/>
  <c r="AC160" i="3" s="1"/>
  <c r="AB160" i="3" a="1"/>
  <c r="AB160" i="3" s="1"/>
  <c r="AA160" i="3"/>
  <c r="AA160" i="3" a="1"/>
  <c r="Z160" i="3" a="1"/>
  <c r="Z160" i="3" s="1"/>
  <c r="Y160" i="3"/>
  <c r="Y160" i="3" a="1"/>
  <c r="X160" i="3"/>
  <c r="X160" i="3" a="1"/>
  <c r="W160" i="3" a="1"/>
  <c r="W160" i="3" s="1"/>
  <c r="V160" i="3" a="1"/>
  <c r="V160" i="3" s="1"/>
  <c r="U160" i="3" a="1"/>
  <c r="U160" i="3" s="1"/>
  <c r="T160" i="3" a="1"/>
  <c r="T160" i="3" s="1"/>
  <c r="S160" i="3" a="1"/>
  <c r="S160" i="3" s="1"/>
  <c r="R160" i="3" a="1"/>
  <c r="R160" i="3" s="1"/>
  <c r="Q160" i="3" a="1"/>
  <c r="Q160" i="3" s="1"/>
  <c r="P160" i="3"/>
  <c r="P160" i="3" a="1"/>
  <c r="O160" i="3"/>
  <c r="O160" i="3" a="1"/>
  <c r="N160" i="3" a="1"/>
  <c r="N160" i="3" s="1"/>
  <c r="M160" i="3"/>
  <c r="M160" i="3" a="1"/>
  <c r="L160" i="3" a="1"/>
  <c r="L160" i="3" s="1"/>
  <c r="K160" i="3" a="1"/>
  <c r="K160" i="3" s="1"/>
  <c r="J160" i="3" a="1"/>
  <c r="J160" i="3" s="1"/>
  <c r="I160" i="3" a="1"/>
  <c r="I160" i="3" s="1"/>
  <c r="H160" i="3" a="1"/>
  <c r="H160" i="3" s="1"/>
  <c r="G160" i="3"/>
  <c r="G160" i="3" a="1"/>
  <c r="F160" i="3" a="1"/>
  <c r="F160" i="3" s="1"/>
  <c r="E160" i="3" a="1"/>
  <c r="E160" i="3" s="1"/>
  <c r="D160" i="3"/>
  <c r="D160" i="3" a="1"/>
  <c r="C160" i="3" a="1"/>
  <c r="C160" i="3" s="1"/>
  <c r="B160" i="3" a="1"/>
  <c r="B160" i="3" s="1"/>
  <c r="AO159" i="3"/>
  <c r="AO168" i="3" s="1"/>
  <c r="AN159" i="3"/>
  <c r="AN168" i="3" s="1"/>
  <c r="AF159" i="3"/>
  <c r="AE159" i="3"/>
  <c r="AD159" i="3"/>
  <c r="AC159" i="3"/>
  <c r="AB159" i="3"/>
  <c r="AA159" i="3"/>
  <c r="Z159" i="3"/>
  <c r="Y159" i="3"/>
  <c r="X159" i="3"/>
  <c r="W159" i="3"/>
  <c r="V159" i="3"/>
  <c r="U159" i="3"/>
  <c r="T159" i="3"/>
  <c r="S159" i="3"/>
  <c r="R159" i="3"/>
  <c r="Q159" i="3"/>
  <c r="P159" i="3"/>
  <c r="O159" i="3"/>
  <c r="N159" i="3"/>
  <c r="M159" i="3"/>
  <c r="L159" i="3"/>
  <c r="K159" i="3"/>
  <c r="J159" i="3"/>
  <c r="I159" i="3"/>
  <c r="H159" i="3"/>
  <c r="G159" i="3"/>
  <c r="F159" i="3"/>
  <c r="E159" i="3"/>
  <c r="D159" i="3"/>
  <c r="C159" i="3"/>
  <c r="B159" i="3"/>
  <c r="AI158" i="3"/>
  <c r="AH158" i="3"/>
  <c r="A158" i="3" a="1"/>
  <c r="A158" i="3" s="1"/>
  <c r="AI157" i="3"/>
  <c r="AH157" i="3"/>
  <c r="AI156" i="3"/>
  <c r="AH156" i="3"/>
  <c r="AN155" i="3"/>
  <c r="AM155" i="3"/>
  <c r="AI155" i="3"/>
  <c r="AH155" i="3"/>
  <c r="AN154" i="3"/>
  <c r="AO154" i="3" s="1"/>
  <c r="AI154" i="3"/>
  <c r="AH154" i="3"/>
  <c r="AN153" i="3"/>
  <c r="AO153" i="3" s="1"/>
  <c r="AI153" i="3"/>
  <c r="AH153" i="3"/>
  <c r="A153" i="3" a="1"/>
  <c r="A153" i="3" s="1"/>
  <c r="AO152" i="3"/>
  <c r="AN152" i="3"/>
  <c r="AI152" i="3"/>
  <c r="AH152" i="3"/>
  <c r="AN151" i="3"/>
  <c r="AO151" i="3" s="1"/>
  <c r="AI151" i="3"/>
  <c r="AH151" i="3"/>
  <c r="AI150" i="3"/>
  <c r="AH150" i="3"/>
  <c r="AI149" i="3"/>
  <c r="AH149" i="3"/>
  <c r="AI148" i="3"/>
  <c r="AH148" i="3"/>
  <c r="AM147" i="3"/>
  <c r="AI147" i="3"/>
  <c r="AH147" i="3"/>
  <c r="AO146" i="3"/>
  <c r="AN146" i="3"/>
  <c r="AI146" i="3"/>
  <c r="AH146" i="3"/>
  <c r="AO145" i="3"/>
  <c r="AN145" i="3"/>
  <c r="AN144" i="3"/>
  <c r="AO144" i="3" s="1"/>
  <c r="AO143" i="3"/>
  <c r="AN143" i="3"/>
  <c r="AI142" i="3"/>
  <c r="AH142" i="3"/>
  <c r="AI141" i="3"/>
  <c r="AH141" i="3"/>
  <c r="AI140" i="3"/>
  <c r="AH140" i="3"/>
  <c r="AO139" i="3"/>
  <c r="AN139" i="3"/>
  <c r="AM139" i="3"/>
  <c r="AI139" i="3"/>
  <c r="AH139" i="3"/>
  <c r="AO138" i="3"/>
  <c r="AN138" i="3"/>
  <c r="AI138" i="3"/>
  <c r="AH138" i="3"/>
  <c r="AO137" i="3"/>
  <c r="AN137" i="3"/>
  <c r="AI137" i="3"/>
  <c r="AH137" i="3"/>
  <c r="AO136" i="3"/>
  <c r="AN136" i="3"/>
  <c r="AI136" i="3"/>
  <c r="AH136" i="3"/>
  <c r="AO135" i="3"/>
  <c r="AN135" i="3"/>
  <c r="Y135" i="3"/>
  <c r="C135" i="3"/>
  <c r="AI134" i="3"/>
  <c r="AH134" i="3"/>
  <c r="AI133" i="3"/>
  <c r="AH133" i="3"/>
  <c r="AI132" i="3"/>
  <c r="AH132" i="3"/>
  <c r="AI131" i="3"/>
  <c r="AH131" i="3"/>
  <c r="AI130" i="3"/>
  <c r="AH130" i="3"/>
  <c r="AI129" i="3"/>
  <c r="AH129" i="3"/>
  <c r="AI128" i="3"/>
  <c r="AH128" i="3"/>
  <c r="AI127" i="3"/>
  <c r="AH127" i="3"/>
  <c r="AI126" i="3"/>
  <c r="AH126" i="3"/>
  <c r="AI125" i="3"/>
  <c r="AH125" i="3"/>
  <c r="AD124" i="3"/>
  <c r="U124" i="3"/>
  <c r="M124" i="3"/>
  <c r="E124" i="3"/>
  <c r="C124" i="3"/>
  <c r="AE123" i="3"/>
  <c r="AB123" i="3"/>
  <c r="T123" i="3"/>
  <c r="BB23" i="3" s="1"/>
  <c r="O123" i="3"/>
  <c r="L123" i="3"/>
  <c r="G123" i="3"/>
  <c r="G124" i="3" s="1"/>
  <c r="AF122" i="3"/>
  <c r="AE122" i="3"/>
  <c r="AD122" i="3"/>
  <c r="AC122" i="3"/>
  <c r="AB122" i="3"/>
  <c r="AA122" i="3"/>
  <c r="Z122" i="3"/>
  <c r="Z123" i="3" s="1"/>
  <c r="BF23" i="3" s="1"/>
  <c r="Y122" i="3"/>
  <c r="X122" i="3"/>
  <c r="W122" i="3"/>
  <c r="V122" i="3"/>
  <c r="U122" i="3"/>
  <c r="T122" i="3"/>
  <c r="S122" i="3"/>
  <c r="R122" i="3"/>
  <c r="Q122" i="3"/>
  <c r="P122" i="3"/>
  <c r="O122" i="3"/>
  <c r="N122" i="3"/>
  <c r="M122" i="3"/>
  <c r="L122" i="3"/>
  <c r="K122" i="3"/>
  <c r="J122" i="3"/>
  <c r="I122" i="3"/>
  <c r="H122" i="3"/>
  <c r="G122" i="3"/>
  <c r="F122" i="3"/>
  <c r="E122" i="3"/>
  <c r="D122" i="3"/>
  <c r="C122" i="3"/>
  <c r="B122" i="3"/>
  <c r="B123" i="3" s="1"/>
  <c r="AF121" i="3"/>
  <c r="AE121" i="3"/>
  <c r="AD121" i="3"/>
  <c r="AC121" i="3"/>
  <c r="AB121" i="3"/>
  <c r="AA121" i="3"/>
  <c r="Z121" i="3"/>
  <c r="Y121" i="3"/>
  <c r="X121" i="3"/>
  <c r="X123" i="3" s="1"/>
  <c r="BE23" i="3" s="1"/>
  <c r="W121" i="3"/>
  <c r="V121" i="3"/>
  <c r="U121" i="3"/>
  <c r="T121" i="3"/>
  <c r="S121" i="3"/>
  <c r="S123" i="3" s="1"/>
  <c r="S124" i="3" s="1"/>
  <c r="R121" i="3"/>
  <c r="Q121" i="3"/>
  <c r="P121" i="3"/>
  <c r="P123" i="3" s="1"/>
  <c r="P124" i="3" s="1"/>
  <c r="O121" i="3"/>
  <c r="N121" i="3"/>
  <c r="M121" i="3"/>
  <c r="L121" i="3"/>
  <c r="K121" i="3"/>
  <c r="K123" i="3" s="1"/>
  <c r="AT23" i="3" s="1"/>
  <c r="J121" i="3"/>
  <c r="I121" i="3"/>
  <c r="H121" i="3"/>
  <c r="AH121" i="3" s="1"/>
  <c r="G121" i="3"/>
  <c r="F121" i="3"/>
  <c r="E121" i="3"/>
  <c r="D121" i="3"/>
  <c r="C121" i="3"/>
  <c r="C123" i="3" s="1"/>
  <c r="B121" i="3"/>
  <c r="AI121" i="3" s="1"/>
  <c r="AF120" i="3"/>
  <c r="AE120" i="3"/>
  <c r="AD120" i="3"/>
  <c r="AC120" i="3"/>
  <c r="AB120" i="3"/>
  <c r="AA120" i="3"/>
  <c r="Z120" i="3"/>
  <c r="Y120" i="3"/>
  <c r="X120" i="3"/>
  <c r="W120" i="3"/>
  <c r="V120" i="3"/>
  <c r="U120" i="3"/>
  <c r="T120" i="3"/>
  <c r="S120" i="3"/>
  <c r="R120" i="3"/>
  <c r="Q120" i="3"/>
  <c r="P120" i="3"/>
  <c r="O120" i="3"/>
  <c r="N120" i="3"/>
  <c r="M120" i="3"/>
  <c r="L120" i="3"/>
  <c r="K120" i="3"/>
  <c r="J120" i="3"/>
  <c r="I120" i="3"/>
  <c r="AH120" i="3" s="1"/>
  <c r="H120" i="3"/>
  <c r="G120" i="3"/>
  <c r="F120" i="3"/>
  <c r="E120" i="3"/>
  <c r="D120" i="3"/>
  <c r="C120" i="3"/>
  <c r="B120" i="3"/>
  <c r="AI120" i="3" s="1"/>
  <c r="AI119" i="3"/>
  <c r="AF119" i="3"/>
  <c r="AE119" i="3"/>
  <c r="AD119" i="3"/>
  <c r="AC119" i="3"/>
  <c r="AB119" i="3"/>
  <c r="AA119" i="3"/>
  <c r="Z119" i="3"/>
  <c r="Y119" i="3"/>
  <c r="X119" i="3"/>
  <c r="W119" i="3"/>
  <c r="V119" i="3"/>
  <c r="U119" i="3"/>
  <c r="T119" i="3"/>
  <c r="S119" i="3"/>
  <c r="R119" i="3"/>
  <c r="Q119" i="3"/>
  <c r="P119" i="3"/>
  <c r="O119" i="3"/>
  <c r="N119" i="3"/>
  <c r="M119" i="3"/>
  <c r="L119" i="3"/>
  <c r="K119" i="3"/>
  <c r="J119" i="3"/>
  <c r="I119" i="3"/>
  <c r="H119" i="3"/>
  <c r="G119" i="3"/>
  <c r="F119" i="3"/>
  <c r="E119" i="3"/>
  <c r="D119" i="3"/>
  <c r="C119" i="3"/>
  <c r="B119" i="3"/>
  <c r="AH119" i="3" s="1"/>
  <c r="AF118" i="3"/>
  <c r="AE118" i="3"/>
  <c r="AD118" i="3"/>
  <c r="AC118" i="3"/>
  <c r="AB118" i="3"/>
  <c r="AA118" i="3"/>
  <c r="AA123" i="3" s="1"/>
  <c r="AA124" i="3" s="1"/>
  <c r="Z118" i="3"/>
  <c r="Y118" i="3"/>
  <c r="X118" i="3"/>
  <c r="W118" i="3"/>
  <c r="V118" i="3"/>
  <c r="V123" i="3" s="1"/>
  <c r="BD23" i="3" s="1"/>
  <c r="U118" i="3"/>
  <c r="T118" i="3"/>
  <c r="S118" i="3"/>
  <c r="R118" i="3"/>
  <c r="Q118" i="3"/>
  <c r="P118" i="3"/>
  <c r="O118" i="3"/>
  <c r="N118" i="3"/>
  <c r="M118" i="3"/>
  <c r="L118" i="3"/>
  <c r="K118" i="3"/>
  <c r="J118" i="3"/>
  <c r="I118" i="3"/>
  <c r="AH118" i="3" s="1"/>
  <c r="H118" i="3"/>
  <c r="G118" i="3"/>
  <c r="F118" i="3"/>
  <c r="E118" i="3"/>
  <c r="D118" i="3"/>
  <c r="C118" i="3"/>
  <c r="B118" i="3"/>
  <c r="AI117" i="3"/>
  <c r="AF117" i="3"/>
  <c r="AE117" i="3"/>
  <c r="AD117" i="3"/>
  <c r="AD123" i="3" s="1"/>
  <c r="AC117" i="3"/>
  <c r="AC123" i="3" s="1"/>
  <c r="AB117" i="3"/>
  <c r="AA117" i="3"/>
  <c r="Z117" i="3"/>
  <c r="Y117" i="3"/>
  <c r="Y123" i="3" s="1"/>
  <c r="X117" i="3"/>
  <c r="W117" i="3"/>
  <c r="V117" i="3"/>
  <c r="U117" i="3"/>
  <c r="U123" i="3" s="1"/>
  <c r="BC23" i="3" s="1"/>
  <c r="T117" i="3"/>
  <c r="S117" i="3"/>
  <c r="R117" i="3"/>
  <c r="Q117" i="3"/>
  <c r="P117" i="3"/>
  <c r="O117" i="3"/>
  <c r="N117" i="3"/>
  <c r="M117" i="3"/>
  <c r="M123" i="3" s="1"/>
  <c r="L117" i="3"/>
  <c r="K117" i="3"/>
  <c r="J117" i="3"/>
  <c r="I117" i="3"/>
  <c r="H117" i="3"/>
  <c r="G117" i="3"/>
  <c r="F117" i="3"/>
  <c r="F123" i="3" s="1"/>
  <c r="AQ23" i="3" s="1"/>
  <c r="E117" i="3"/>
  <c r="E123" i="3" s="1"/>
  <c r="AP23" i="3" s="1"/>
  <c r="D117" i="3"/>
  <c r="D123" i="3" s="1"/>
  <c r="AO23" i="3" s="1"/>
  <c r="C117" i="3"/>
  <c r="B117" i="3"/>
  <c r="AH117" i="3" s="1"/>
  <c r="AI114" i="3"/>
  <c r="AH114" i="3"/>
  <c r="AC113" i="3"/>
  <c r="AC115" i="3" s="1"/>
  <c r="AC116" i="3" s="1"/>
  <c r="AC7" i="3" s="1"/>
  <c r="S113" i="3"/>
  <c r="S115" i="3" s="1"/>
  <c r="S116" i="3" s="1"/>
  <c r="S7" i="3" s="1"/>
  <c r="AI112" i="3"/>
  <c r="AH112" i="3"/>
  <c r="AG112" i="3"/>
  <c r="AI111" i="3"/>
  <c r="AH111" i="3"/>
  <c r="AI110" i="3"/>
  <c r="AH110" i="3"/>
  <c r="AI109" i="3"/>
  <c r="AH109" i="3"/>
  <c r="AG108" i="3"/>
  <c r="AF108" i="3"/>
  <c r="BJ19" i="3" s="1"/>
  <c r="AE108" i="3"/>
  <c r="AD108" i="3"/>
  <c r="AC108" i="3"/>
  <c r="AB108" i="3"/>
  <c r="BG19" i="3" s="1"/>
  <c r="AA108" i="3"/>
  <c r="Z108" i="3"/>
  <c r="Y108" i="3"/>
  <c r="X108" i="3"/>
  <c r="W108" i="3"/>
  <c r="V108" i="3"/>
  <c r="U108" i="3"/>
  <c r="T108" i="3"/>
  <c r="S108" i="3"/>
  <c r="R108" i="3"/>
  <c r="Q108" i="3"/>
  <c r="P108" i="3"/>
  <c r="O108" i="3"/>
  <c r="N108" i="3"/>
  <c r="M108" i="3"/>
  <c r="L108" i="3"/>
  <c r="K108" i="3"/>
  <c r="AT19" i="3" s="1"/>
  <c r="J108" i="3"/>
  <c r="I108" i="3"/>
  <c r="H5" i="3" s="1"/>
  <c r="H108" i="3"/>
  <c r="G108" i="3"/>
  <c r="F108" i="3"/>
  <c r="E108" i="3"/>
  <c r="D108" i="3"/>
  <c r="C108" i="3"/>
  <c r="B108" i="3"/>
  <c r="AI107" i="3"/>
  <c r="AH107" i="3"/>
  <c r="AI106" i="3"/>
  <c r="AH106" i="3"/>
  <c r="AI105" i="3"/>
  <c r="AH105" i="3"/>
  <c r="AI104" i="3"/>
  <c r="AH104" i="3"/>
  <c r="AI103" i="3"/>
  <c r="AH103" i="3"/>
  <c r="AI102" i="3"/>
  <c r="AH102" i="3"/>
  <c r="AI101" i="3"/>
  <c r="AH101" i="3"/>
  <c r="AI100" i="3"/>
  <c r="AH100" i="3"/>
  <c r="AI99" i="3"/>
  <c r="AH99" i="3"/>
  <c r="AI98" i="3"/>
  <c r="AH98" i="3"/>
  <c r="AI97" i="3"/>
  <c r="AH97" i="3"/>
  <c r="AG96" i="3"/>
  <c r="AG4" i="3" s="1"/>
  <c r="AF96" i="3"/>
  <c r="BJ20" i="3" s="1"/>
  <c r="AE96" i="3"/>
  <c r="AD96" i="3"/>
  <c r="BH20" i="3" s="1"/>
  <c r="AC96" i="3"/>
  <c r="AB96" i="3"/>
  <c r="AA96" i="3"/>
  <c r="Z96" i="3"/>
  <c r="BF20" i="3" s="1"/>
  <c r="Y96" i="3"/>
  <c r="X96" i="3"/>
  <c r="BE20" i="3" s="1"/>
  <c r="W96" i="3"/>
  <c r="V96" i="3"/>
  <c r="V113" i="3" s="1"/>
  <c r="V115" i="3" s="1"/>
  <c r="V116" i="3" s="1"/>
  <c r="V7" i="3" s="1"/>
  <c r="U96" i="3"/>
  <c r="T96" i="3"/>
  <c r="S96" i="3"/>
  <c r="R96" i="3"/>
  <c r="AZ20" i="3" s="1"/>
  <c r="Q96" i="3"/>
  <c r="AY20" i="3" s="1"/>
  <c r="P96" i="3"/>
  <c r="O96" i="3"/>
  <c r="N96" i="3"/>
  <c r="AV20" i="3" s="1"/>
  <c r="M96" i="3"/>
  <c r="L96" i="3"/>
  <c r="K96" i="3"/>
  <c r="J96" i="3"/>
  <c r="I96" i="3"/>
  <c r="AS20" i="3" s="1"/>
  <c r="H96" i="3"/>
  <c r="G96" i="3"/>
  <c r="F96" i="3"/>
  <c r="E96" i="3"/>
  <c r="AP20" i="3" s="1"/>
  <c r="D96" i="3"/>
  <c r="C96" i="3"/>
  <c r="B96" i="3"/>
  <c r="BL118" i="3"/>
  <c r="BG117" i="3"/>
  <c r="BK115" i="3"/>
  <c r="BH114" i="3"/>
  <c r="BJ112" i="3"/>
  <c r="BG111" i="3"/>
  <c r="BK109" i="3"/>
  <c r="BG108" i="3"/>
  <c r="BI106" i="3"/>
  <c r="BL104" i="3"/>
  <c r="BG103" i="3"/>
  <c r="BL101" i="3"/>
  <c r="BI100" i="3"/>
  <c r="BI98" i="3"/>
  <c r="BL96" i="3"/>
  <c r="BK95" i="3"/>
  <c r="AI95" i="3"/>
  <c r="AH95" i="3"/>
  <c r="AI94" i="3"/>
  <c r="AH94" i="3"/>
  <c r="AI93" i="3"/>
  <c r="AH93" i="3"/>
  <c r="AG92" i="3"/>
  <c r="AG3" i="3" s="1"/>
  <c r="AF92" i="3"/>
  <c r="AE92" i="3"/>
  <c r="BI18" i="3" s="1"/>
  <c r="AD92" i="3"/>
  <c r="AC92" i="3"/>
  <c r="AB92" i="3"/>
  <c r="AA92" i="3"/>
  <c r="Z92" i="3"/>
  <c r="Y92" i="3"/>
  <c r="X92" i="3"/>
  <c r="W92" i="3"/>
  <c r="V92" i="3"/>
  <c r="BD18" i="3" s="1"/>
  <c r="U92" i="3"/>
  <c r="BC18" i="3" s="1"/>
  <c r="T92" i="3"/>
  <c r="BB18" i="3" s="1"/>
  <c r="S92" i="3"/>
  <c r="R92" i="3"/>
  <c r="Q92" i="3"/>
  <c r="AY18" i="3" s="1"/>
  <c r="P92" i="3"/>
  <c r="O92" i="3"/>
  <c r="N92" i="3"/>
  <c r="AV18" i="3" s="1"/>
  <c r="M92" i="3"/>
  <c r="AU18" i="3" s="1"/>
  <c r="L92" i="3"/>
  <c r="K92" i="3"/>
  <c r="AT18" i="3" s="1"/>
  <c r="AT22" i="3" s="1"/>
  <c r="J92" i="3"/>
  <c r="I92" i="3"/>
  <c r="AS18" i="3" s="1"/>
  <c r="H92" i="3"/>
  <c r="G92" i="3"/>
  <c r="AR18" i="3" s="1"/>
  <c r="F92" i="3"/>
  <c r="E92" i="3"/>
  <c r="AP18" i="3" s="1"/>
  <c r="D92" i="3"/>
  <c r="AO18" i="3" s="1"/>
  <c r="C92" i="3"/>
  <c r="B92" i="3"/>
  <c r="BW91" i="3"/>
  <c r="BU91" i="3"/>
  <c r="BT91" i="3"/>
  <c r="BQ91" i="3"/>
  <c r="BP91" i="3"/>
  <c r="BM91" i="3"/>
  <c r="BK91" i="3"/>
  <c r="BI91" i="3"/>
  <c r="BG91" i="3"/>
  <c r="BE91" i="3"/>
  <c r="BD91" i="3"/>
  <c r="BC91" i="3"/>
  <c r="AZ91" i="3"/>
  <c r="AI91" i="3"/>
  <c r="AH91" i="3"/>
  <c r="AG91" i="3"/>
  <c r="BW90" i="3"/>
  <c r="BU90" i="3"/>
  <c r="BS90" i="3"/>
  <c r="BR90" i="3"/>
  <c r="BP90" i="3"/>
  <c r="BO90" i="3"/>
  <c r="BM90" i="3"/>
  <c r="BJ90" i="3"/>
  <c r="BG90" i="3"/>
  <c r="BE90" i="3"/>
  <c r="BC90" i="3"/>
  <c r="AI90" i="3"/>
  <c r="AH90" i="3"/>
  <c r="BU89" i="3"/>
  <c r="BT89" i="3"/>
  <c r="BQ89" i="3"/>
  <c r="BO89" i="3"/>
  <c r="BM89" i="3"/>
  <c r="BL89" i="3"/>
  <c r="BI89" i="3"/>
  <c r="BH89" i="3"/>
  <c r="BG89" i="3"/>
  <c r="BF89" i="3"/>
  <c r="BA89" i="3"/>
  <c r="AI89" i="3"/>
  <c r="AH89" i="3"/>
  <c r="BW88" i="3"/>
  <c r="BS88" i="3"/>
  <c r="BO88" i="3"/>
  <c r="BK88" i="3"/>
  <c r="BI88" i="3"/>
  <c r="BG88" i="3"/>
  <c r="BF88" i="3"/>
  <c r="BD88" i="3"/>
  <c r="BC88" i="3"/>
  <c r="BA88" i="3"/>
  <c r="AI88" i="3"/>
  <c r="AH88" i="3"/>
  <c r="BU87" i="3"/>
  <c r="BS87" i="3"/>
  <c r="BQ87" i="3"/>
  <c r="BM87" i="3"/>
  <c r="BI87" i="3"/>
  <c r="BE87" i="3"/>
  <c r="BD87" i="3"/>
  <c r="BC87" i="3"/>
  <c r="BA87" i="3"/>
  <c r="AI87" i="3"/>
  <c r="AH87" i="3"/>
  <c r="BW86" i="3"/>
  <c r="BU86" i="3"/>
  <c r="BS86" i="3"/>
  <c r="BO86" i="3"/>
  <c r="BM86" i="3"/>
  <c r="BJ86" i="3"/>
  <c r="BH86" i="3"/>
  <c r="BG86" i="3"/>
  <c r="BE86" i="3"/>
  <c r="BC86" i="3"/>
  <c r="AI86" i="3"/>
  <c r="AH86" i="3"/>
  <c r="AI85" i="3"/>
  <c r="AH85" i="3"/>
  <c r="BW84" i="3"/>
  <c r="BV84" i="3"/>
  <c r="BV91" i="3" s="1"/>
  <c r="BU84" i="3"/>
  <c r="BT84" i="3"/>
  <c r="BS84" i="3"/>
  <c r="BS91" i="3" s="1"/>
  <c r="BR84" i="3"/>
  <c r="BR91" i="3" s="1"/>
  <c r="BQ84" i="3"/>
  <c r="BP84" i="3"/>
  <c r="BO84" i="3"/>
  <c r="BO91" i="3" s="1"/>
  <c r="BN84" i="3"/>
  <c r="BN91" i="3" s="1"/>
  <c r="BM84" i="3"/>
  <c r="BL84" i="3"/>
  <c r="BL91" i="3" s="1"/>
  <c r="BK84" i="3"/>
  <c r="BJ84" i="3"/>
  <c r="BJ91" i="3" s="1"/>
  <c r="BI84" i="3"/>
  <c r="BH84" i="3"/>
  <c r="BH91" i="3" s="1"/>
  <c r="BG84" i="3"/>
  <c r="BF84" i="3"/>
  <c r="BF91" i="3" s="1"/>
  <c r="BE84" i="3"/>
  <c r="BD84" i="3"/>
  <c r="BC84" i="3"/>
  <c r="BB84" i="3"/>
  <c r="BB91" i="3" s="1"/>
  <c r="BA84" i="3"/>
  <c r="BA91" i="3" s="1"/>
  <c r="AZ84" i="3"/>
  <c r="AI84" i="3"/>
  <c r="AH84" i="3"/>
  <c r="BW83" i="3"/>
  <c r="BV83" i="3"/>
  <c r="BV90" i="3" s="1"/>
  <c r="BU83" i="3"/>
  <c r="BT83" i="3"/>
  <c r="BT90" i="3" s="1"/>
  <c r="BS83" i="3"/>
  <c r="BR83" i="3"/>
  <c r="BQ83" i="3"/>
  <c r="BQ90" i="3" s="1"/>
  <c r="BP83" i="3"/>
  <c r="BO83" i="3"/>
  <c r="BN83" i="3"/>
  <c r="BN90" i="3" s="1"/>
  <c r="BM83" i="3"/>
  <c r="BL83" i="3"/>
  <c r="BL90" i="3" s="1"/>
  <c r="BK83" i="3"/>
  <c r="BK90" i="3" s="1"/>
  <c r="BJ83" i="3"/>
  <c r="BI83" i="3"/>
  <c r="BI90" i="3" s="1"/>
  <c r="BH83" i="3"/>
  <c r="BH90" i="3" s="1"/>
  <c r="BG83" i="3"/>
  <c r="BF83" i="3"/>
  <c r="BF90" i="3" s="1"/>
  <c r="BE83" i="3"/>
  <c r="BD83" i="3"/>
  <c r="BD90" i="3" s="1"/>
  <c r="BC83" i="3"/>
  <c r="BB83" i="3"/>
  <c r="BB90" i="3" s="1"/>
  <c r="BA83" i="3"/>
  <c r="BA90" i="3" s="1"/>
  <c r="AZ83" i="3"/>
  <c r="AZ90" i="3" s="1"/>
  <c r="AI83" i="3"/>
  <c r="AH83" i="3"/>
  <c r="BW82" i="3"/>
  <c r="BW89" i="3" s="1"/>
  <c r="BV82" i="3"/>
  <c r="BV89" i="3" s="1"/>
  <c r="BU82" i="3"/>
  <c r="BT82" i="3"/>
  <c r="BS82" i="3"/>
  <c r="BS89" i="3" s="1"/>
  <c r="BR82" i="3"/>
  <c r="BR89" i="3" s="1"/>
  <c r="BQ82" i="3"/>
  <c r="BP82" i="3"/>
  <c r="BP89" i="3" s="1"/>
  <c r="BO82" i="3"/>
  <c r="BN82" i="3"/>
  <c r="BN89" i="3" s="1"/>
  <c r="BM82" i="3"/>
  <c r="BL82" i="3"/>
  <c r="BK82" i="3"/>
  <c r="BK89" i="3" s="1"/>
  <c r="BJ82" i="3"/>
  <c r="BJ89" i="3" s="1"/>
  <c r="BI82" i="3"/>
  <c r="BH82" i="3"/>
  <c r="BG82" i="3"/>
  <c r="BF82" i="3"/>
  <c r="BE82" i="3"/>
  <c r="BE89" i="3" s="1"/>
  <c r="BD82" i="3"/>
  <c r="BD89" i="3" s="1"/>
  <c r="BC82" i="3"/>
  <c r="BC89" i="3" s="1"/>
  <c r="BB82" i="3"/>
  <c r="BB89" i="3" s="1"/>
  <c r="BA82" i="3"/>
  <c r="AZ82" i="3"/>
  <c r="AZ89" i="3" s="1"/>
  <c r="AI82" i="3"/>
  <c r="AH82" i="3"/>
  <c r="BW81" i="3"/>
  <c r="BV81" i="3"/>
  <c r="BV88" i="3" s="1"/>
  <c r="BU81" i="3"/>
  <c r="BU88" i="3" s="1"/>
  <c r="BT81" i="3"/>
  <c r="BT88" i="3" s="1"/>
  <c r="BS81" i="3"/>
  <c r="BR81" i="3"/>
  <c r="BR88" i="3" s="1"/>
  <c r="BQ81" i="3"/>
  <c r="BQ88" i="3" s="1"/>
  <c r="BP81" i="3"/>
  <c r="BP88" i="3" s="1"/>
  <c r="BO81" i="3"/>
  <c r="BN81" i="3"/>
  <c r="BN88" i="3" s="1"/>
  <c r="BM81" i="3"/>
  <c r="BM88" i="3" s="1"/>
  <c r="BL81" i="3"/>
  <c r="BL88" i="3" s="1"/>
  <c r="BK81" i="3"/>
  <c r="BJ81" i="3"/>
  <c r="BJ88" i="3" s="1"/>
  <c r="BI81" i="3"/>
  <c r="BH81" i="3"/>
  <c r="BH88" i="3" s="1"/>
  <c r="BG81" i="3"/>
  <c r="BF81" i="3"/>
  <c r="BE81" i="3"/>
  <c r="BE88" i="3" s="1"/>
  <c r="BD81" i="3"/>
  <c r="BC81" i="3"/>
  <c r="BB81" i="3"/>
  <c r="BB88" i="3" s="1"/>
  <c r="BA81" i="3"/>
  <c r="AZ81" i="3"/>
  <c r="AZ88" i="3" s="1"/>
  <c r="AI81" i="3"/>
  <c r="AH81" i="3"/>
  <c r="BW80" i="3"/>
  <c r="BW87" i="3" s="1"/>
  <c r="BV80" i="3"/>
  <c r="BV87" i="3" s="1"/>
  <c r="BU80" i="3"/>
  <c r="BT80" i="3"/>
  <c r="BT87" i="3" s="1"/>
  <c r="BS80" i="3"/>
  <c r="BR80" i="3"/>
  <c r="BR87" i="3" s="1"/>
  <c r="BQ80" i="3"/>
  <c r="BP80" i="3"/>
  <c r="BP87" i="3" s="1"/>
  <c r="BO80" i="3"/>
  <c r="BO87" i="3" s="1"/>
  <c r="BN80" i="3"/>
  <c r="BN87" i="3" s="1"/>
  <c r="BM80" i="3"/>
  <c r="BL80" i="3"/>
  <c r="BL87" i="3" s="1"/>
  <c r="BK80" i="3"/>
  <c r="BK87" i="3" s="1"/>
  <c r="BJ80" i="3"/>
  <c r="BJ87" i="3" s="1"/>
  <c r="BI80" i="3"/>
  <c r="BH80" i="3"/>
  <c r="BH87" i="3" s="1"/>
  <c r="BG80" i="3"/>
  <c r="BG87" i="3" s="1"/>
  <c r="BF80" i="3"/>
  <c r="BF87" i="3" s="1"/>
  <c r="BE80" i="3"/>
  <c r="BD80" i="3"/>
  <c r="BC80" i="3"/>
  <c r="BB80" i="3"/>
  <c r="BB87" i="3" s="1"/>
  <c r="BA80" i="3"/>
  <c r="AZ80" i="3"/>
  <c r="AZ87" i="3" s="1"/>
  <c r="AI80" i="3"/>
  <c r="AH80" i="3"/>
  <c r="BW79" i="3"/>
  <c r="BV79" i="3"/>
  <c r="BV86" i="3" s="1"/>
  <c r="BU79" i="3"/>
  <c r="BT79" i="3"/>
  <c r="BT86" i="3" s="1"/>
  <c r="BS79" i="3"/>
  <c r="BR79" i="3"/>
  <c r="BR86" i="3" s="1"/>
  <c r="BQ79" i="3"/>
  <c r="BQ86" i="3" s="1"/>
  <c r="BP79" i="3"/>
  <c r="BP86" i="3" s="1"/>
  <c r="BO79" i="3"/>
  <c r="BN79" i="3"/>
  <c r="BN86" i="3" s="1"/>
  <c r="BM79" i="3"/>
  <c r="BL79" i="3"/>
  <c r="BL86" i="3" s="1"/>
  <c r="BK79" i="3"/>
  <c r="BK86" i="3" s="1"/>
  <c r="BJ79" i="3"/>
  <c r="BI79" i="3"/>
  <c r="BI86" i="3" s="1"/>
  <c r="BH79" i="3"/>
  <c r="BG79" i="3"/>
  <c r="BF79" i="3"/>
  <c r="BF86" i="3" s="1"/>
  <c r="BE79" i="3"/>
  <c r="BD79" i="3"/>
  <c r="BD86" i="3" s="1"/>
  <c r="BC79" i="3"/>
  <c r="BB79" i="3"/>
  <c r="BB86" i="3" s="1"/>
  <c r="BA79" i="3"/>
  <c r="BA86" i="3" s="1"/>
  <c r="AZ79" i="3"/>
  <c r="BG95" i="3" s="1" a="1"/>
  <c r="AI79" i="3"/>
  <c r="AH79" i="3"/>
  <c r="AG78" i="3"/>
  <c r="AF78" i="3"/>
  <c r="AF113" i="3" s="1"/>
  <c r="AF115" i="3" s="1"/>
  <c r="AE78" i="3"/>
  <c r="AE113" i="3" s="1"/>
  <c r="AE115" i="3" s="1"/>
  <c r="AE116" i="3" s="1"/>
  <c r="AE7" i="3" s="1"/>
  <c r="AD78" i="3"/>
  <c r="BH17" i="3" s="1"/>
  <c r="AC78" i="3"/>
  <c r="AB78" i="3"/>
  <c r="AA78" i="3"/>
  <c r="Z78" i="3"/>
  <c r="BF17" i="3" s="1"/>
  <c r="Y78" i="3"/>
  <c r="X78" i="3"/>
  <c r="W78" i="3"/>
  <c r="W113" i="3" s="1"/>
  <c r="W115" i="3" s="1"/>
  <c r="V78" i="3"/>
  <c r="U78" i="3"/>
  <c r="T78" i="3"/>
  <c r="S78" i="3"/>
  <c r="R78" i="3"/>
  <c r="Q78" i="3"/>
  <c r="P78" i="3"/>
  <c r="AX17" i="3" s="1"/>
  <c r="O78" i="3"/>
  <c r="O113" i="3" s="1"/>
  <c r="O115" i="3" s="1"/>
  <c r="O116" i="3" s="1"/>
  <c r="O7" i="3" s="1"/>
  <c r="N78" i="3"/>
  <c r="M78" i="3"/>
  <c r="L78" i="3"/>
  <c r="K78" i="3"/>
  <c r="AT17" i="3" s="1"/>
  <c r="J78" i="3"/>
  <c r="I78" i="3"/>
  <c r="H78" i="3"/>
  <c r="H113" i="3" s="1"/>
  <c r="H115" i="3" s="1"/>
  <c r="G78" i="3"/>
  <c r="AR17" i="3" s="1"/>
  <c r="F78" i="3"/>
  <c r="F113" i="3" s="1"/>
  <c r="F115" i="3" s="1"/>
  <c r="F116" i="3" s="1"/>
  <c r="F7" i="3" s="1"/>
  <c r="E78" i="3"/>
  <c r="D78" i="3"/>
  <c r="C78" i="3"/>
  <c r="B78" i="3"/>
  <c r="AI77" i="3"/>
  <c r="AH77" i="3"/>
  <c r="AI76" i="3"/>
  <c r="AH76" i="3"/>
  <c r="AI75" i="3"/>
  <c r="AH75" i="3"/>
  <c r="AI74" i="3"/>
  <c r="AH74" i="3"/>
  <c r="AI73" i="3"/>
  <c r="AH73" i="3"/>
  <c r="AI72" i="3"/>
  <c r="AH72" i="3"/>
  <c r="AG71" i="3"/>
  <c r="AG113" i="3" s="1"/>
  <c r="AF71" i="3"/>
  <c r="AE71" i="3"/>
  <c r="AD71" i="3"/>
  <c r="BH16" i="3" s="1"/>
  <c r="AC71" i="3"/>
  <c r="AB71" i="3"/>
  <c r="AA71" i="3"/>
  <c r="Z71" i="3"/>
  <c r="Y71" i="3"/>
  <c r="Y113" i="3" s="1"/>
  <c r="Y115" i="3" s="1"/>
  <c r="Y116" i="3" s="1"/>
  <c r="Y7" i="3" s="1"/>
  <c r="X71" i="3"/>
  <c r="W71" i="3"/>
  <c r="V71" i="3"/>
  <c r="U71" i="3"/>
  <c r="T71" i="3"/>
  <c r="S71" i="3"/>
  <c r="R71" i="3"/>
  <c r="Q71" i="3"/>
  <c r="Q113" i="3" s="1"/>
  <c r="Q115" i="3" s="1"/>
  <c r="P71" i="3"/>
  <c r="O71" i="3"/>
  <c r="N71" i="3"/>
  <c r="M71" i="3"/>
  <c r="L71" i="3"/>
  <c r="L113" i="3" s="1"/>
  <c r="L115" i="3" s="1"/>
  <c r="L116" i="3" s="1"/>
  <c r="L7" i="3" s="1"/>
  <c r="K71" i="3"/>
  <c r="J71" i="3"/>
  <c r="I71" i="3"/>
  <c r="H71" i="3"/>
  <c r="G71" i="3"/>
  <c r="F71" i="3"/>
  <c r="E71" i="3"/>
  <c r="E113" i="3" s="1"/>
  <c r="E115" i="3" s="1"/>
  <c r="E116" i="3" s="1"/>
  <c r="E7" i="3" s="1"/>
  <c r="D71" i="3"/>
  <c r="C71" i="3"/>
  <c r="B71" i="3"/>
  <c r="AI70" i="3"/>
  <c r="AH70" i="3"/>
  <c r="AI69" i="3"/>
  <c r="AH69" i="3"/>
  <c r="AI68" i="3"/>
  <c r="AH68" i="3"/>
  <c r="AI67" i="3"/>
  <c r="AH67" i="3"/>
  <c r="AI66" i="3"/>
  <c r="AH66" i="3"/>
  <c r="AI65" i="3"/>
  <c r="AH65" i="3"/>
  <c r="AI64" i="3"/>
  <c r="AH64" i="3"/>
  <c r="AI63" i="3"/>
  <c r="AH63" i="3"/>
  <c r="AI62" i="3"/>
  <c r="AH62" i="3"/>
  <c r="AI61" i="3"/>
  <c r="AH61" i="3"/>
  <c r="AI60" i="3"/>
  <c r="AH60" i="3"/>
  <c r="AI59" i="3"/>
  <c r="AH59" i="3"/>
  <c r="AI58" i="3"/>
  <c r="AH58" i="3"/>
  <c r="AI57" i="3"/>
  <c r="AH57" i="3"/>
  <c r="AI56" i="3"/>
  <c r="AH56" i="3"/>
  <c r="AI55" i="3"/>
  <c r="AH55" i="3"/>
  <c r="AI54" i="3"/>
  <c r="AH54" i="3"/>
  <c r="AI53" i="3"/>
  <c r="AH53" i="3"/>
  <c r="AI52" i="3"/>
  <c r="AH52" i="3"/>
  <c r="AI51" i="3"/>
  <c r="AH51" i="3"/>
  <c r="AI50" i="3"/>
  <c r="AH50" i="3"/>
  <c r="AI49" i="3"/>
  <c r="AH49" i="3"/>
  <c r="AI48" i="3"/>
  <c r="AH48" i="3"/>
  <c r="AI47" i="3"/>
  <c r="AH47" i="3"/>
  <c r="AI46" i="3"/>
  <c r="AH46" i="3"/>
  <c r="AI45" i="3"/>
  <c r="AH45" i="3"/>
  <c r="AI44" i="3"/>
  <c r="AH44" i="3"/>
  <c r="AI43" i="3"/>
  <c r="AH43" i="3"/>
  <c r="AI42" i="3"/>
  <c r="AH42" i="3"/>
  <c r="AI41" i="3"/>
  <c r="AH41" i="3"/>
  <c r="AI40" i="3"/>
  <c r="AH40" i="3"/>
  <c r="AI39" i="3"/>
  <c r="AH39" i="3"/>
  <c r="AI38" i="3"/>
  <c r="AH38" i="3"/>
  <c r="AI37" i="3"/>
  <c r="AH37" i="3"/>
  <c r="AI36" i="3"/>
  <c r="AH36" i="3"/>
  <c r="AI35" i="3"/>
  <c r="AH35" i="3"/>
  <c r="AI34" i="3"/>
  <c r="AH34" i="3"/>
  <c r="AI33" i="3"/>
  <c r="AH33" i="3"/>
  <c r="AI32" i="3"/>
  <c r="AH32" i="3"/>
  <c r="AI31" i="3"/>
  <c r="AH31" i="3"/>
  <c r="AI30" i="3"/>
  <c r="AH30" i="3"/>
  <c r="AI29" i="3"/>
  <c r="AH29" i="3"/>
  <c r="AI28" i="3"/>
  <c r="AH28" i="3"/>
  <c r="AI27" i="3"/>
  <c r="AH27" i="3"/>
  <c r="AI26" i="3"/>
  <c r="AH26" i="3"/>
  <c r="AT25" i="3"/>
  <c r="AI25" i="3"/>
  <c r="AH25" i="3"/>
  <c r="AI24" i="3"/>
  <c r="AH24" i="3"/>
  <c r="BH23" i="3"/>
  <c r="BG23" i="3"/>
  <c r="BA23" i="3"/>
  <c r="AX23" i="3"/>
  <c r="AU23" i="3"/>
  <c r="AR23" i="3"/>
  <c r="AN23" i="3"/>
  <c r="AI23" i="3"/>
  <c r="AH23" i="3"/>
  <c r="AI22" i="3"/>
  <c r="AH22" i="3"/>
  <c r="BJ21" i="3"/>
  <c r="BI21" i="3"/>
  <c r="BH21" i="3"/>
  <c r="BG21" i="3"/>
  <c r="BF21" i="3"/>
  <c r="BE21" i="3"/>
  <c r="BD21" i="3"/>
  <c r="BC21" i="3"/>
  <c r="BB21" i="3"/>
  <c r="BA21" i="3"/>
  <c r="AZ21" i="3"/>
  <c r="AY21" i="3"/>
  <c r="AX21" i="3"/>
  <c r="AW21" i="3"/>
  <c r="AV21" i="3"/>
  <c r="AU21" i="3"/>
  <c r="AT21" i="3"/>
  <c r="AS21" i="3"/>
  <c r="AR21" i="3"/>
  <c r="AQ21" i="3"/>
  <c r="AP21" i="3"/>
  <c r="AO21" i="3"/>
  <c r="AN21" i="3"/>
  <c r="AM21" i="3"/>
  <c r="AI21" i="3"/>
  <c r="AH21" i="3"/>
  <c r="BI20" i="3"/>
  <c r="BG20" i="3"/>
  <c r="BC20" i="3"/>
  <c r="BB20" i="3"/>
  <c r="BA20" i="3"/>
  <c r="AX20" i="3"/>
  <c r="AW20" i="3"/>
  <c r="AU20" i="3"/>
  <c r="AT20" i="3"/>
  <c r="AR20" i="3"/>
  <c r="AQ20" i="3"/>
  <c r="AO20" i="3"/>
  <c r="AN20" i="3"/>
  <c r="AI20" i="3"/>
  <c r="AH20" i="3"/>
  <c r="BI19" i="3"/>
  <c r="BH19" i="3"/>
  <c r="BF19" i="3"/>
  <c r="BD19" i="3"/>
  <c r="BC19" i="3"/>
  <c r="BA19" i="3"/>
  <c r="AY19" i="3"/>
  <c r="AX19" i="3"/>
  <c r="AW19" i="3"/>
  <c r="AU19" i="3"/>
  <c r="AS19" i="3"/>
  <c r="AR19" i="3"/>
  <c r="AP19" i="3"/>
  <c r="AO19" i="3"/>
  <c r="AN19" i="3"/>
  <c r="AI19" i="3"/>
  <c r="AH19" i="3"/>
  <c r="BJ18" i="3"/>
  <c r="BH18" i="3"/>
  <c r="BH22" i="3" s="1"/>
  <c r="BH25" i="3" s="1"/>
  <c r="BG18" i="3"/>
  <c r="BF18" i="3"/>
  <c r="BE18" i="3"/>
  <c r="BA18" i="3"/>
  <c r="BA22" i="3" s="1"/>
  <c r="BA25" i="3" s="1"/>
  <c r="AZ18" i="3"/>
  <c r="AX18" i="3"/>
  <c r="AW18" i="3"/>
  <c r="AQ18" i="3"/>
  <c r="AM18" i="3"/>
  <c r="AI18" i="3"/>
  <c r="AH18" i="3"/>
  <c r="BJ17" i="3"/>
  <c r="BJ22" i="3" s="1"/>
  <c r="BI17" i="3"/>
  <c r="BG17" i="3"/>
  <c r="BD17" i="3"/>
  <c r="BC17" i="3"/>
  <c r="BB17" i="3"/>
  <c r="BA17" i="3"/>
  <c r="AZ17" i="3"/>
  <c r="AY17" i="3"/>
  <c r="AW17" i="3"/>
  <c r="AW22" i="3" s="1"/>
  <c r="AU17" i="3"/>
  <c r="AS17" i="3"/>
  <c r="AQ17" i="3"/>
  <c r="AP17" i="3"/>
  <c r="AO17" i="3"/>
  <c r="AN17" i="3"/>
  <c r="AI17" i="3"/>
  <c r="AH17" i="3"/>
  <c r="BJ16" i="3"/>
  <c r="BI16" i="3"/>
  <c r="BF16" i="3"/>
  <c r="BE16" i="3"/>
  <c r="BD16" i="3"/>
  <c r="BA16" i="3"/>
  <c r="AY16" i="3"/>
  <c r="AW16" i="3"/>
  <c r="AV16" i="3"/>
  <c r="AT16" i="3"/>
  <c r="AQ16" i="3"/>
  <c r="AN16" i="3"/>
  <c r="AM16" i="3"/>
  <c r="AI16" i="3"/>
  <c r="AH16" i="3"/>
  <c r="AI15" i="3"/>
  <c r="AH15" i="3"/>
  <c r="AI14" i="3"/>
  <c r="AH14" i="3"/>
  <c r="AI13" i="3"/>
  <c r="AH13" i="3"/>
  <c r="AL12" i="3"/>
  <c r="AI12" i="3"/>
  <c r="AH12" i="3"/>
  <c r="AI11" i="3"/>
  <c r="AH11" i="3"/>
  <c r="K6" i="3"/>
  <c r="AE5" i="3"/>
  <c r="AD5" i="3"/>
  <c r="AC5" i="3"/>
  <c r="Z5" i="3"/>
  <c r="V5" i="3"/>
  <c r="U5" i="3"/>
  <c r="T5" i="3"/>
  <c r="R5" i="3"/>
  <c r="O5" i="3"/>
  <c r="N5" i="3"/>
  <c r="L5" i="3"/>
  <c r="J5" i="3"/>
  <c r="G5" i="3"/>
  <c r="F5" i="3"/>
  <c r="D5" i="3"/>
  <c r="B5" i="3"/>
  <c r="K4" i="3"/>
  <c r="E4" i="3"/>
  <c r="H4" i="3" s="1"/>
  <c r="B4" i="3"/>
  <c r="AL13" i="3" s="1"/>
  <c r="AG275" i="2"/>
  <c r="B275" i="2"/>
  <c r="J274" i="2"/>
  <c r="K274" i="2" s="1"/>
  <c r="L274" i="2" s="1"/>
  <c r="M274" i="2" s="1"/>
  <c r="N274" i="2" s="1"/>
  <c r="O274" i="2" s="1"/>
  <c r="P274" i="2" s="1"/>
  <c r="Q274" i="2" s="1"/>
  <c r="R274" i="2" s="1"/>
  <c r="S274" i="2" s="1"/>
  <c r="T274" i="2" s="1"/>
  <c r="U274" i="2" s="1"/>
  <c r="V274" i="2" s="1"/>
  <c r="W274" i="2" s="1"/>
  <c r="X274" i="2" s="1"/>
  <c r="Y274" i="2" s="1"/>
  <c r="Z274" i="2" s="1"/>
  <c r="AA274" i="2" s="1"/>
  <c r="AB274" i="2" s="1"/>
  <c r="AC274" i="2" s="1"/>
  <c r="AD274" i="2" s="1"/>
  <c r="AE274" i="2" s="1"/>
  <c r="AF274" i="2" s="1"/>
  <c r="E274" i="2"/>
  <c r="F274" i="2" s="1"/>
  <c r="G274" i="2" s="1"/>
  <c r="H274" i="2" s="1"/>
  <c r="I274" i="2" s="1"/>
  <c r="D274" i="2"/>
  <c r="C274" i="2"/>
  <c r="C273" i="2"/>
  <c r="D273" i="2" s="1"/>
  <c r="E273" i="2" s="1"/>
  <c r="F273" i="2" s="1"/>
  <c r="G273" i="2" s="1"/>
  <c r="H273" i="2" s="1"/>
  <c r="I273" i="2" s="1"/>
  <c r="J273" i="2" s="1"/>
  <c r="K273" i="2" s="1"/>
  <c r="L273" i="2" s="1"/>
  <c r="M273" i="2" s="1"/>
  <c r="N273" i="2" s="1"/>
  <c r="O273" i="2" s="1"/>
  <c r="P273" i="2" s="1"/>
  <c r="Q273" i="2" s="1"/>
  <c r="R273" i="2" s="1"/>
  <c r="S273" i="2" s="1"/>
  <c r="T273" i="2" s="1"/>
  <c r="U273" i="2" s="1"/>
  <c r="V273" i="2" s="1"/>
  <c r="W273" i="2" s="1"/>
  <c r="X273" i="2" s="1"/>
  <c r="Y273" i="2" s="1"/>
  <c r="Z273" i="2" s="1"/>
  <c r="AA273" i="2" s="1"/>
  <c r="AB273" i="2" s="1"/>
  <c r="AC273" i="2" s="1"/>
  <c r="AD273" i="2" s="1"/>
  <c r="AE273" i="2" s="1"/>
  <c r="AF273" i="2" s="1"/>
  <c r="E272" i="2"/>
  <c r="F272" i="2" s="1"/>
  <c r="G272" i="2" s="1"/>
  <c r="H272" i="2" s="1"/>
  <c r="I272" i="2" s="1"/>
  <c r="J272" i="2" s="1"/>
  <c r="K272" i="2" s="1"/>
  <c r="L272" i="2" s="1"/>
  <c r="M272" i="2" s="1"/>
  <c r="N272" i="2" s="1"/>
  <c r="O272" i="2" s="1"/>
  <c r="P272" i="2" s="1"/>
  <c r="Q272" i="2" s="1"/>
  <c r="R272" i="2" s="1"/>
  <c r="S272" i="2" s="1"/>
  <c r="T272" i="2" s="1"/>
  <c r="U272" i="2" s="1"/>
  <c r="V272" i="2" s="1"/>
  <c r="W272" i="2" s="1"/>
  <c r="X272" i="2" s="1"/>
  <c r="Y272" i="2" s="1"/>
  <c r="Z272" i="2" s="1"/>
  <c r="AA272" i="2" s="1"/>
  <c r="AB272" i="2" s="1"/>
  <c r="AC272" i="2" s="1"/>
  <c r="AD272" i="2" s="1"/>
  <c r="AE272" i="2" s="1"/>
  <c r="AF272" i="2" s="1"/>
  <c r="C272" i="2"/>
  <c r="D272" i="2" s="1"/>
  <c r="M271" i="2"/>
  <c r="N271" i="2" s="1"/>
  <c r="O271" i="2" s="1"/>
  <c r="P271" i="2" s="1"/>
  <c r="Q271" i="2" s="1"/>
  <c r="R271" i="2" s="1"/>
  <c r="S271" i="2" s="1"/>
  <c r="T271" i="2" s="1"/>
  <c r="U271" i="2" s="1"/>
  <c r="V271" i="2" s="1"/>
  <c r="W271" i="2" s="1"/>
  <c r="X271" i="2" s="1"/>
  <c r="Y271" i="2" s="1"/>
  <c r="Z271" i="2" s="1"/>
  <c r="AA271" i="2" s="1"/>
  <c r="AB271" i="2" s="1"/>
  <c r="AC271" i="2" s="1"/>
  <c r="AD271" i="2" s="1"/>
  <c r="AE271" i="2" s="1"/>
  <c r="AF271" i="2" s="1"/>
  <c r="G271" i="2"/>
  <c r="H271" i="2" s="1"/>
  <c r="I271" i="2" s="1"/>
  <c r="J271" i="2" s="1"/>
  <c r="K271" i="2" s="1"/>
  <c r="L271" i="2" s="1"/>
  <c r="E271" i="2"/>
  <c r="F271" i="2" s="1"/>
  <c r="C271" i="2"/>
  <c r="D271" i="2" s="1"/>
  <c r="P270" i="2"/>
  <c r="Q270" i="2" s="1"/>
  <c r="R270" i="2" s="1"/>
  <c r="S270" i="2" s="1"/>
  <c r="T270" i="2" s="1"/>
  <c r="U270" i="2" s="1"/>
  <c r="V270" i="2" s="1"/>
  <c r="W270" i="2" s="1"/>
  <c r="X270" i="2" s="1"/>
  <c r="Y270" i="2" s="1"/>
  <c r="Z270" i="2" s="1"/>
  <c r="AA270" i="2" s="1"/>
  <c r="AB270" i="2" s="1"/>
  <c r="AC270" i="2" s="1"/>
  <c r="AD270" i="2" s="1"/>
  <c r="AE270" i="2" s="1"/>
  <c r="AF270" i="2" s="1"/>
  <c r="H270" i="2"/>
  <c r="I270" i="2" s="1"/>
  <c r="J270" i="2" s="1"/>
  <c r="K270" i="2" s="1"/>
  <c r="L270" i="2" s="1"/>
  <c r="M270" i="2" s="1"/>
  <c r="N270" i="2" s="1"/>
  <c r="O270" i="2" s="1"/>
  <c r="E270" i="2"/>
  <c r="F270" i="2" s="1"/>
  <c r="G270" i="2" s="1"/>
  <c r="C270" i="2"/>
  <c r="D270" i="2" s="1"/>
  <c r="V269" i="2"/>
  <c r="W269" i="2" s="1"/>
  <c r="X269" i="2" s="1"/>
  <c r="Y269" i="2" s="1"/>
  <c r="Z269" i="2" s="1"/>
  <c r="AA269" i="2" s="1"/>
  <c r="AB269" i="2" s="1"/>
  <c r="AC269" i="2" s="1"/>
  <c r="AD269" i="2" s="1"/>
  <c r="AE269" i="2" s="1"/>
  <c r="AF269" i="2" s="1"/>
  <c r="M269" i="2"/>
  <c r="N269" i="2" s="1"/>
  <c r="O269" i="2" s="1"/>
  <c r="P269" i="2" s="1"/>
  <c r="Q269" i="2" s="1"/>
  <c r="R269" i="2" s="1"/>
  <c r="S269" i="2" s="1"/>
  <c r="T269" i="2" s="1"/>
  <c r="U269" i="2" s="1"/>
  <c r="C269" i="2"/>
  <c r="D269" i="2" s="1"/>
  <c r="E269" i="2" s="1"/>
  <c r="F269" i="2" s="1"/>
  <c r="G269" i="2" s="1"/>
  <c r="H269" i="2" s="1"/>
  <c r="I269" i="2" s="1"/>
  <c r="J269" i="2" s="1"/>
  <c r="K269" i="2" s="1"/>
  <c r="L269" i="2" s="1"/>
  <c r="F268" i="2"/>
  <c r="G268" i="2" s="1"/>
  <c r="H268" i="2" s="1"/>
  <c r="I268" i="2" s="1"/>
  <c r="J268" i="2" s="1"/>
  <c r="K268" i="2" s="1"/>
  <c r="L268" i="2" s="1"/>
  <c r="M268" i="2" s="1"/>
  <c r="N268" i="2" s="1"/>
  <c r="O268" i="2" s="1"/>
  <c r="P268" i="2" s="1"/>
  <c r="Q268" i="2" s="1"/>
  <c r="R268" i="2" s="1"/>
  <c r="S268" i="2" s="1"/>
  <c r="T268" i="2" s="1"/>
  <c r="U268" i="2" s="1"/>
  <c r="V268" i="2" s="1"/>
  <c r="W268" i="2" s="1"/>
  <c r="X268" i="2" s="1"/>
  <c r="Y268" i="2" s="1"/>
  <c r="Z268" i="2" s="1"/>
  <c r="AA268" i="2" s="1"/>
  <c r="AB268" i="2" s="1"/>
  <c r="AC268" i="2" s="1"/>
  <c r="AD268" i="2" s="1"/>
  <c r="AE268" i="2" s="1"/>
  <c r="AF268" i="2" s="1"/>
  <c r="D268" i="2"/>
  <c r="E268" i="2" s="1"/>
  <c r="C268" i="2"/>
  <c r="H267" i="2"/>
  <c r="I267" i="2" s="1"/>
  <c r="J267" i="2" s="1"/>
  <c r="K267" i="2" s="1"/>
  <c r="L267" i="2" s="1"/>
  <c r="M267" i="2" s="1"/>
  <c r="N267" i="2" s="1"/>
  <c r="O267" i="2" s="1"/>
  <c r="P267" i="2" s="1"/>
  <c r="Q267" i="2" s="1"/>
  <c r="R267" i="2" s="1"/>
  <c r="S267" i="2" s="1"/>
  <c r="T267" i="2" s="1"/>
  <c r="U267" i="2" s="1"/>
  <c r="V267" i="2" s="1"/>
  <c r="W267" i="2" s="1"/>
  <c r="X267" i="2" s="1"/>
  <c r="Y267" i="2" s="1"/>
  <c r="Z267" i="2" s="1"/>
  <c r="AA267" i="2" s="1"/>
  <c r="AB267" i="2" s="1"/>
  <c r="AC267" i="2" s="1"/>
  <c r="AD267" i="2" s="1"/>
  <c r="AE267" i="2" s="1"/>
  <c r="AF267" i="2" s="1"/>
  <c r="D267" i="2"/>
  <c r="E267" i="2" s="1"/>
  <c r="F267" i="2" s="1"/>
  <c r="G267" i="2" s="1"/>
  <c r="C267" i="2"/>
  <c r="J266" i="2"/>
  <c r="K266" i="2" s="1"/>
  <c r="L266" i="2" s="1"/>
  <c r="M266" i="2" s="1"/>
  <c r="N266" i="2" s="1"/>
  <c r="O266" i="2" s="1"/>
  <c r="P266" i="2" s="1"/>
  <c r="Q266" i="2" s="1"/>
  <c r="R266" i="2" s="1"/>
  <c r="S266" i="2" s="1"/>
  <c r="T266" i="2" s="1"/>
  <c r="U266" i="2" s="1"/>
  <c r="V266" i="2" s="1"/>
  <c r="W266" i="2" s="1"/>
  <c r="X266" i="2" s="1"/>
  <c r="Y266" i="2" s="1"/>
  <c r="Z266" i="2" s="1"/>
  <c r="AA266" i="2" s="1"/>
  <c r="AB266" i="2" s="1"/>
  <c r="AC266" i="2" s="1"/>
  <c r="AD266" i="2" s="1"/>
  <c r="AE266" i="2" s="1"/>
  <c r="AF266" i="2" s="1"/>
  <c r="C266" i="2"/>
  <c r="D266" i="2" s="1"/>
  <c r="E266" i="2" s="1"/>
  <c r="F266" i="2" s="1"/>
  <c r="G266" i="2" s="1"/>
  <c r="H266" i="2" s="1"/>
  <c r="I266" i="2" s="1"/>
  <c r="C265" i="2"/>
  <c r="D265" i="2" s="1"/>
  <c r="E265" i="2" s="1"/>
  <c r="F265" i="2" s="1"/>
  <c r="G265" i="2" s="1"/>
  <c r="H265" i="2" s="1"/>
  <c r="I265" i="2" s="1"/>
  <c r="J265" i="2" s="1"/>
  <c r="K265" i="2" s="1"/>
  <c r="L265" i="2" s="1"/>
  <c r="M265" i="2" s="1"/>
  <c r="N265" i="2" s="1"/>
  <c r="O265" i="2" s="1"/>
  <c r="P265" i="2" s="1"/>
  <c r="Q265" i="2" s="1"/>
  <c r="R265" i="2" s="1"/>
  <c r="S265" i="2" s="1"/>
  <c r="T265" i="2" s="1"/>
  <c r="U265" i="2" s="1"/>
  <c r="V265" i="2" s="1"/>
  <c r="W265" i="2" s="1"/>
  <c r="X265" i="2" s="1"/>
  <c r="Y265" i="2" s="1"/>
  <c r="Z265" i="2" s="1"/>
  <c r="AA265" i="2" s="1"/>
  <c r="AB265" i="2" s="1"/>
  <c r="AC265" i="2" s="1"/>
  <c r="AD265" i="2" s="1"/>
  <c r="AE265" i="2" s="1"/>
  <c r="AF265" i="2" s="1"/>
  <c r="V264" i="2"/>
  <c r="W264" i="2" s="1"/>
  <c r="X264" i="2" s="1"/>
  <c r="Y264" i="2" s="1"/>
  <c r="Z264" i="2" s="1"/>
  <c r="AA264" i="2" s="1"/>
  <c r="AB264" i="2" s="1"/>
  <c r="AC264" i="2" s="1"/>
  <c r="AD264" i="2" s="1"/>
  <c r="AE264" i="2" s="1"/>
  <c r="AF264" i="2" s="1"/>
  <c r="K264" i="2"/>
  <c r="L264" i="2" s="1"/>
  <c r="M264" i="2" s="1"/>
  <c r="N264" i="2" s="1"/>
  <c r="O264" i="2" s="1"/>
  <c r="P264" i="2" s="1"/>
  <c r="Q264" i="2" s="1"/>
  <c r="R264" i="2" s="1"/>
  <c r="S264" i="2" s="1"/>
  <c r="T264" i="2" s="1"/>
  <c r="U264" i="2" s="1"/>
  <c r="F264" i="2"/>
  <c r="G264" i="2" s="1"/>
  <c r="H264" i="2" s="1"/>
  <c r="I264" i="2" s="1"/>
  <c r="J264" i="2" s="1"/>
  <c r="E264" i="2"/>
  <c r="C264" i="2"/>
  <c r="D264" i="2" s="1"/>
  <c r="G263" i="2"/>
  <c r="H263" i="2" s="1"/>
  <c r="I263" i="2" s="1"/>
  <c r="J263" i="2" s="1"/>
  <c r="K263" i="2" s="1"/>
  <c r="L263" i="2" s="1"/>
  <c r="M263" i="2" s="1"/>
  <c r="N263" i="2" s="1"/>
  <c r="O263" i="2" s="1"/>
  <c r="P263" i="2" s="1"/>
  <c r="Q263" i="2" s="1"/>
  <c r="R263" i="2" s="1"/>
  <c r="S263" i="2" s="1"/>
  <c r="T263" i="2" s="1"/>
  <c r="U263" i="2" s="1"/>
  <c r="V263" i="2" s="1"/>
  <c r="W263" i="2" s="1"/>
  <c r="X263" i="2" s="1"/>
  <c r="Y263" i="2" s="1"/>
  <c r="Z263" i="2" s="1"/>
  <c r="AA263" i="2" s="1"/>
  <c r="AB263" i="2" s="1"/>
  <c r="AC263" i="2" s="1"/>
  <c r="AD263" i="2" s="1"/>
  <c r="AE263" i="2" s="1"/>
  <c r="AF263" i="2" s="1"/>
  <c r="E263" i="2"/>
  <c r="F263" i="2" s="1"/>
  <c r="D263" i="2"/>
  <c r="C263" i="2"/>
  <c r="F262" i="2"/>
  <c r="G262" i="2" s="1"/>
  <c r="H262" i="2" s="1"/>
  <c r="I262" i="2" s="1"/>
  <c r="J262" i="2" s="1"/>
  <c r="K262" i="2" s="1"/>
  <c r="L262" i="2" s="1"/>
  <c r="M262" i="2" s="1"/>
  <c r="N262" i="2" s="1"/>
  <c r="O262" i="2" s="1"/>
  <c r="P262" i="2" s="1"/>
  <c r="Q262" i="2" s="1"/>
  <c r="R262" i="2" s="1"/>
  <c r="S262" i="2" s="1"/>
  <c r="T262" i="2" s="1"/>
  <c r="U262" i="2" s="1"/>
  <c r="V262" i="2" s="1"/>
  <c r="W262" i="2" s="1"/>
  <c r="X262" i="2" s="1"/>
  <c r="Y262" i="2" s="1"/>
  <c r="Z262" i="2" s="1"/>
  <c r="AA262" i="2" s="1"/>
  <c r="AB262" i="2" s="1"/>
  <c r="AC262" i="2" s="1"/>
  <c r="AD262" i="2" s="1"/>
  <c r="AE262" i="2" s="1"/>
  <c r="AF262" i="2" s="1"/>
  <c r="C262" i="2"/>
  <c r="D262" i="2" s="1"/>
  <c r="E262" i="2" s="1"/>
  <c r="C261" i="2"/>
  <c r="D261" i="2" s="1"/>
  <c r="E261" i="2" s="1"/>
  <c r="J260" i="2"/>
  <c r="K260" i="2" s="1"/>
  <c r="L260" i="2" s="1"/>
  <c r="M260" i="2" s="1"/>
  <c r="N260" i="2" s="1"/>
  <c r="O260" i="2" s="1"/>
  <c r="P260" i="2" s="1"/>
  <c r="Q260" i="2" s="1"/>
  <c r="R260" i="2" s="1"/>
  <c r="S260" i="2" s="1"/>
  <c r="T260" i="2" s="1"/>
  <c r="U260" i="2" s="1"/>
  <c r="V260" i="2" s="1"/>
  <c r="W260" i="2" s="1"/>
  <c r="X260" i="2" s="1"/>
  <c r="Y260" i="2" s="1"/>
  <c r="Z260" i="2" s="1"/>
  <c r="AA260" i="2" s="1"/>
  <c r="AB260" i="2" s="1"/>
  <c r="AC260" i="2" s="1"/>
  <c r="AD260" i="2" s="1"/>
  <c r="AE260" i="2" s="1"/>
  <c r="AF260" i="2" s="1"/>
  <c r="I260" i="2"/>
  <c r="E260" i="2"/>
  <c r="F260" i="2" s="1"/>
  <c r="G260" i="2" s="1"/>
  <c r="H260" i="2" s="1"/>
  <c r="C260" i="2"/>
  <c r="D260" i="2" s="1"/>
  <c r="H259" i="2"/>
  <c r="I259" i="2" s="1"/>
  <c r="J259" i="2" s="1"/>
  <c r="K259" i="2" s="1"/>
  <c r="L259" i="2" s="1"/>
  <c r="M259" i="2" s="1"/>
  <c r="N259" i="2" s="1"/>
  <c r="O259" i="2" s="1"/>
  <c r="P259" i="2" s="1"/>
  <c r="Q259" i="2" s="1"/>
  <c r="R259" i="2" s="1"/>
  <c r="S259" i="2" s="1"/>
  <c r="T259" i="2" s="1"/>
  <c r="U259" i="2" s="1"/>
  <c r="V259" i="2" s="1"/>
  <c r="W259" i="2" s="1"/>
  <c r="X259" i="2" s="1"/>
  <c r="Y259" i="2" s="1"/>
  <c r="Z259" i="2" s="1"/>
  <c r="AA259" i="2" s="1"/>
  <c r="AB259" i="2" s="1"/>
  <c r="AC259" i="2" s="1"/>
  <c r="AD259" i="2" s="1"/>
  <c r="AE259" i="2" s="1"/>
  <c r="AF259" i="2" s="1"/>
  <c r="G259" i="2"/>
  <c r="E259" i="2"/>
  <c r="F259" i="2" s="1"/>
  <c r="C259" i="2"/>
  <c r="D259" i="2" s="1"/>
  <c r="V258" i="2"/>
  <c r="W258" i="2" s="1"/>
  <c r="X258" i="2" s="1"/>
  <c r="Y258" i="2" s="1"/>
  <c r="Z258" i="2" s="1"/>
  <c r="AA258" i="2" s="1"/>
  <c r="AB258" i="2" s="1"/>
  <c r="AC258" i="2" s="1"/>
  <c r="AD258" i="2" s="1"/>
  <c r="AE258" i="2" s="1"/>
  <c r="AF258" i="2" s="1"/>
  <c r="N258" i="2"/>
  <c r="O258" i="2" s="1"/>
  <c r="P258" i="2" s="1"/>
  <c r="Q258" i="2" s="1"/>
  <c r="R258" i="2" s="1"/>
  <c r="S258" i="2" s="1"/>
  <c r="T258" i="2" s="1"/>
  <c r="U258" i="2" s="1"/>
  <c r="K258" i="2"/>
  <c r="L258" i="2" s="1"/>
  <c r="M258" i="2" s="1"/>
  <c r="G258" i="2"/>
  <c r="H258" i="2" s="1"/>
  <c r="I258" i="2" s="1"/>
  <c r="J258" i="2" s="1"/>
  <c r="E258" i="2"/>
  <c r="F258" i="2" s="1"/>
  <c r="C258" i="2"/>
  <c r="D258" i="2" s="1"/>
  <c r="O257" i="2"/>
  <c r="P257" i="2" s="1"/>
  <c r="Q257" i="2" s="1"/>
  <c r="R257" i="2" s="1"/>
  <c r="S257" i="2" s="1"/>
  <c r="T257" i="2" s="1"/>
  <c r="U257" i="2" s="1"/>
  <c r="V257" i="2" s="1"/>
  <c r="W257" i="2" s="1"/>
  <c r="X257" i="2" s="1"/>
  <c r="Y257" i="2" s="1"/>
  <c r="Z257" i="2" s="1"/>
  <c r="AA257" i="2" s="1"/>
  <c r="AB257" i="2" s="1"/>
  <c r="AC257" i="2" s="1"/>
  <c r="AD257" i="2" s="1"/>
  <c r="AE257" i="2" s="1"/>
  <c r="AF257" i="2" s="1"/>
  <c r="D257" i="2"/>
  <c r="E257" i="2" s="1"/>
  <c r="F257" i="2" s="1"/>
  <c r="G257" i="2" s="1"/>
  <c r="H257" i="2" s="1"/>
  <c r="I257" i="2" s="1"/>
  <c r="J257" i="2" s="1"/>
  <c r="K257" i="2" s="1"/>
  <c r="L257" i="2" s="1"/>
  <c r="M257" i="2" s="1"/>
  <c r="N257" i="2" s="1"/>
  <c r="C257" i="2"/>
  <c r="C256" i="2"/>
  <c r="D256" i="2" s="1"/>
  <c r="E256" i="2" s="1"/>
  <c r="F256" i="2" s="1"/>
  <c r="G256" i="2" s="1"/>
  <c r="H256" i="2" s="1"/>
  <c r="I256" i="2" s="1"/>
  <c r="J256" i="2" s="1"/>
  <c r="K256" i="2" s="1"/>
  <c r="L256" i="2" s="1"/>
  <c r="M256" i="2" s="1"/>
  <c r="N256" i="2" s="1"/>
  <c r="O256" i="2" s="1"/>
  <c r="P256" i="2" s="1"/>
  <c r="Q256" i="2" s="1"/>
  <c r="R256" i="2" s="1"/>
  <c r="S256" i="2" s="1"/>
  <c r="T256" i="2" s="1"/>
  <c r="U256" i="2" s="1"/>
  <c r="V256" i="2" s="1"/>
  <c r="W256" i="2" s="1"/>
  <c r="X256" i="2" s="1"/>
  <c r="Y256" i="2" s="1"/>
  <c r="Z256" i="2" s="1"/>
  <c r="AA256" i="2" s="1"/>
  <c r="AB256" i="2" s="1"/>
  <c r="AC256" i="2" s="1"/>
  <c r="AD256" i="2" s="1"/>
  <c r="AE256" i="2" s="1"/>
  <c r="AF256" i="2" s="1"/>
  <c r="P255" i="2"/>
  <c r="Q255" i="2" s="1"/>
  <c r="R255" i="2" s="1"/>
  <c r="S255" i="2" s="1"/>
  <c r="T255" i="2" s="1"/>
  <c r="U255" i="2" s="1"/>
  <c r="V255" i="2" s="1"/>
  <c r="W255" i="2" s="1"/>
  <c r="X255" i="2" s="1"/>
  <c r="Y255" i="2" s="1"/>
  <c r="Z255" i="2" s="1"/>
  <c r="AA255" i="2" s="1"/>
  <c r="AB255" i="2" s="1"/>
  <c r="AC255" i="2" s="1"/>
  <c r="AD255" i="2" s="1"/>
  <c r="AE255" i="2" s="1"/>
  <c r="AF255" i="2" s="1"/>
  <c r="O255" i="2"/>
  <c r="C255" i="2"/>
  <c r="D255" i="2" s="1"/>
  <c r="E255" i="2" s="1"/>
  <c r="F255" i="2" s="1"/>
  <c r="G255" i="2" s="1"/>
  <c r="H255" i="2" s="1"/>
  <c r="I255" i="2" s="1"/>
  <c r="J255" i="2" s="1"/>
  <c r="K255" i="2" s="1"/>
  <c r="L255" i="2" s="1"/>
  <c r="M255" i="2" s="1"/>
  <c r="N255" i="2" s="1"/>
  <c r="F254" i="2"/>
  <c r="G254" i="2" s="1"/>
  <c r="H254" i="2" s="1"/>
  <c r="I254" i="2" s="1"/>
  <c r="J254" i="2" s="1"/>
  <c r="K254" i="2" s="1"/>
  <c r="L254" i="2" s="1"/>
  <c r="M254" i="2" s="1"/>
  <c r="N254" i="2" s="1"/>
  <c r="O254" i="2" s="1"/>
  <c r="P254" i="2" s="1"/>
  <c r="Q254" i="2" s="1"/>
  <c r="R254" i="2" s="1"/>
  <c r="S254" i="2" s="1"/>
  <c r="T254" i="2" s="1"/>
  <c r="U254" i="2" s="1"/>
  <c r="V254" i="2" s="1"/>
  <c r="W254" i="2" s="1"/>
  <c r="X254" i="2" s="1"/>
  <c r="Y254" i="2" s="1"/>
  <c r="Z254" i="2" s="1"/>
  <c r="AA254" i="2" s="1"/>
  <c r="AB254" i="2" s="1"/>
  <c r="AC254" i="2" s="1"/>
  <c r="AD254" i="2" s="1"/>
  <c r="AE254" i="2" s="1"/>
  <c r="AF254" i="2" s="1"/>
  <c r="C254" i="2"/>
  <c r="D254" i="2" s="1"/>
  <c r="E254" i="2" s="1"/>
  <c r="E253" i="2"/>
  <c r="F253" i="2" s="1"/>
  <c r="G253" i="2" s="1"/>
  <c r="H253" i="2" s="1"/>
  <c r="I253" i="2" s="1"/>
  <c r="J253" i="2" s="1"/>
  <c r="K253" i="2" s="1"/>
  <c r="L253" i="2" s="1"/>
  <c r="M253" i="2" s="1"/>
  <c r="N253" i="2" s="1"/>
  <c r="O253" i="2" s="1"/>
  <c r="P253" i="2" s="1"/>
  <c r="Q253" i="2" s="1"/>
  <c r="R253" i="2" s="1"/>
  <c r="S253" i="2" s="1"/>
  <c r="T253" i="2" s="1"/>
  <c r="U253" i="2" s="1"/>
  <c r="V253" i="2" s="1"/>
  <c r="W253" i="2" s="1"/>
  <c r="X253" i="2" s="1"/>
  <c r="Y253" i="2" s="1"/>
  <c r="Z253" i="2" s="1"/>
  <c r="AA253" i="2" s="1"/>
  <c r="AB253" i="2" s="1"/>
  <c r="AC253" i="2" s="1"/>
  <c r="AD253" i="2" s="1"/>
  <c r="AE253" i="2" s="1"/>
  <c r="AF253" i="2" s="1"/>
  <c r="D253" i="2"/>
  <c r="C253" i="2"/>
  <c r="J252" i="2"/>
  <c r="K252" i="2" s="1"/>
  <c r="L252" i="2" s="1"/>
  <c r="M252" i="2" s="1"/>
  <c r="N252" i="2" s="1"/>
  <c r="O252" i="2" s="1"/>
  <c r="P252" i="2" s="1"/>
  <c r="Q252" i="2" s="1"/>
  <c r="R252" i="2" s="1"/>
  <c r="S252" i="2" s="1"/>
  <c r="T252" i="2" s="1"/>
  <c r="U252" i="2" s="1"/>
  <c r="V252" i="2" s="1"/>
  <c r="W252" i="2" s="1"/>
  <c r="X252" i="2" s="1"/>
  <c r="Y252" i="2" s="1"/>
  <c r="Z252" i="2" s="1"/>
  <c r="AA252" i="2" s="1"/>
  <c r="AB252" i="2" s="1"/>
  <c r="AC252" i="2" s="1"/>
  <c r="AD252" i="2" s="1"/>
  <c r="AE252" i="2" s="1"/>
  <c r="AF252" i="2" s="1"/>
  <c r="C252" i="2"/>
  <c r="D252" i="2" s="1"/>
  <c r="E252" i="2" s="1"/>
  <c r="F252" i="2" s="1"/>
  <c r="G252" i="2" s="1"/>
  <c r="H252" i="2" s="1"/>
  <c r="I252" i="2" s="1"/>
  <c r="Q251" i="2"/>
  <c r="R251" i="2" s="1"/>
  <c r="S251" i="2" s="1"/>
  <c r="T251" i="2" s="1"/>
  <c r="U251" i="2" s="1"/>
  <c r="V251" i="2" s="1"/>
  <c r="W251" i="2" s="1"/>
  <c r="X251" i="2" s="1"/>
  <c r="Y251" i="2" s="1"/>
  <c r="Z251" i="2" s="1"/>
  <c r="AA251" i="2" s="1"/>
  <c r="AB251" i="2" s="1"/>
  <c r="AC251" i="2" s="1"/>
  <c r="AD251" i="2" s="1"/>
  <c r="AE251" i="2" s="1"/>
  <c r="AF251" i="2" s="1"/>
  <c r="H251" i="2"/>
  <c r="I251" i="2" s="1"/>
  <c r="J251" i="2" s="1"/>
  <c r="K251" i="2" s="1"/>
  <c r="L251" i="2" s="1"/>
  <c r="M251" i="2" s="1"/>
  <c r="N251" i="2" s="1"/>
  <c r="O251" i="2" s="1"/>
  <c r="P251" i="2" s="1"/>
  <c r="C251" i="2"/>
  <c r="D251" i="2" s="1"/>
  <c r="E251" i="2" s="1"/>
  <c r="F251" i="2" s="1"/>
  <c r="G251" i="2" s="1"/>
  <c r="R250" i="2"/>
  <c r="S250" i="2" s="1"/>
  <c r="T250" i="2" s="1"/>
  <c r="U250" i="2" s="1"/>
  <c r="V250" i="2" s="1"/>
  <c r="W250" i="2" s="1"/>
  <c r="X250" i="2" s="1"/>
  <c r="Y250" i="2" s="1"/>
  <c r="Z250" i="2" s="1"/>
  <c r="AA250" i="2" s="1"/>
  <c r="AB250" i="2" s="1"/>
  <c r="AC250" i="2" s="1"/>
  <c r="AD250" i="2" s="1"/>
  <c r="AE250" i="2" s="1"/>
  <c r="AF250" i="2" s="1"/>
  <c r="I250" i="2"/>
  <c r="J250" i="2" s="1"/>
  <c r="K250" i="2" s="1"/>
  <c r="L250" i="2" s="1"/>
  <c r="M250" i="2" s="1"/>
  <c r="N250" i="2" s="1"/>
  <c r="O250" i="2" s="1"/>
  <c r="P250" i="2" s="1"/>
  <c r="Q250" i="2" s="1"/>
  <c r="C250" i="2"/>
  <c r="D250" i="2" s="1"/>
  <c r="E250" i="2" s="1"/>
  <c r="F250" i="2" s="1"/>
  <c r="G250" i="2" s="1"/>
  <c r="H250" i="2" s="1"/>
  <c r="J249" i="2"/>
  <c r="K249" i="2" s="1"/>
  <c r="L249" i="2" s="1"/>
  <c r="M249" i="2" s="1"/>
  <c r="N249" i="2" s="1"/>
  <c r="O249" i="2" s="1"/>
  <c r="P249" i="2" s="1"/>
  <c r="Q249" i="2" s="1"/>
  <c r="R249" i="2" s="1"/>
  <c r="S249" i="2" s="1"/>
  <c r="T249" i="2" s="1"/>
  <c r="U249" i="2" s="1"/>
  <c r="V249" i="2" s="1"/>
  <c r="W249" i="2" s="1"/>
  <c r="X249" i="2" s="1"/>
  <c r="Y249" i="2" s="1"/>
  <c r="Z249" i="2" s="1"/>
  <c r="AA249" i="2" s="1"/>
  <c r="AB249" i="2" s="1"/>
  <c r="AC249" i="2" s="1"/>
  <c r="AD249" i="2" s="1"/>
  <c r="AE249" i="2" s="1"/>
  <c r="AF249" i="2" s="1"/>
  <c r="D249" i="2"/>
  <c r="E249" i="2" s="1"/>
  <c r="F249" i="2" s="1"/>
  <c r="G249" i="2" s="1"/>
  <c r="H249" i="2" s="1"/>
  <c r="I249" i="2" s="1"/>
  <c r="C249" i="2"/>
  <c r="C248" i="2"/>
  <c r="D248" i="2" s="1"/>
  <c r="E248" i="2" s="1"/>
  <c r="F248" i="2" s="1"/>
  <c r="G248" i="2" s="1"/>
  <c r="H248" i="2" s="1"/>
  <c r="I248" i="2" s="1"/>
  <c r="J248" i="2" s="1"/>
  <c r="K248" i="2" s="1"/>
  <c r="L248" i="2" s="1"/>
  <c r="M248" i="2" s="1"/>
  <c r="N248" i="2" s="1"/>
  <c r="O248" i="2" s="1"/>
  <c r="P248" i="2" s="1"/>
  <c r="Q248" i="2" s="1"/>
  <c r="R248" i="2" s="1"/>
  <c r="S248" i="2" s="1"/>
  <c r="T248" i="2" s="1"/>
  <c r="U248" i="2" s="1"/>
  <c r="V248" i="2" s="1"/>
  <c r="W248" i="2" s="1"/>
  <c r="X248" i="2" s="1"/>
  <c r="Y248" i="2" s="1"/>
  <c r="Z248" i="2" s="1"/>
  <c r="AA248" i="2" s="1"/>
  <c r="AB248" i="2" s="1"/>
  <c r="AC248" i="2" s="1"/>
  <c r="AD248" i="2" s="1"/>
  <c r="AE248" i="2" s="1"/>
  <c r="AF248" i="2" s="1"/>
  <c r="M247" i="2"/>
  <c r="N247" i="2" s="1"/>
  <c r="O247" i="2" s="1"/>
  <c r="P247" i="2" s="1"/>
  <c r="Q247" i="2" s="1"/>
  <c r="R247" i="2" s="1"/>
  <c r="S247" i="2" s="1"/>
  <c r="T247" i="2" s="1"/>
  <c r="U247" i="2" s="1"/>
  <c r="V247" i="2" s="1"/>
  <c r="W247" i="2" s="1"/>
  <c r="X247" i="2" s="1"/>
  <c r="Y247" i="2" s="1"/>
  <c r="Z247" i="2" s="1"/>
  <c r="AA247" i="2" s="1"/>
  <c r="AB247" i="2" s="1"/>
  <c r="AC247" i="2" s="1"/>
  <c r="AD247" i="2" s="1"/>
  <c r="AE247" i="2" s="1"/>
  <c r="AF247" i="2" s="1"/>
  <c r="F247" i="2"/>
  <c r="G247" i="2" s="1"/>
  <c r="H247" i="2" s="1"/>
  <c r="I247" i="2" s="1"/>
  <c r="J247" i="2" s="1"/>
  <c r="K247" i="2" s="1"/>
  <c r="L247" i="2" s="1"/>
  <c r="E247" i="2"/>
  <c r="C247" i="2"/>
  <c r="D247" i="2" s="1"/>
  <c r="N246" i="2"/>
  <c r="O246" i="2" s="1"/>
  <c r="P246" i="2" s="1"/>
  <c r="Q246" i="2" s="1"/>
  <c r="R246" i="2" s="1"/>
  <c r="S246" i="2" s="1"/>
  <c r="T246" i="2" s="1"/>
  <c r="U246" i="2" s="1"/>
  <c r="V246" i="2" s="1"/>
  <c r="W246" i="2" s="1"/>
  <c r="X246" i="2" s="1"/>
  <c r="Y246" i="2" s="1"/>
  <c r="Z246" i="2" s="1"/>
  <c r="AA246" i="2" s="1"/>
  <c r="AB246" i="2" s="1"/>
  <c r="AC246" i="2" s="1"/>
  <c r="AD246" i="2" s="1"/>
  <c r="AE246" i="2" s="1"/>
  <c r="AF246" i="2" s="1"/>
  <c r="G246" i="2"/>
  <c r="H246" i="2" s="1"/>
  <c r="I246" i="2" s="1"/>
  <c r="J246" i="2" s="1"/>
  <c r="K246" i="2" s="1"/>
  <c r="L246" i="2" s="1"/>
  <c r="M246" i="2" s="1"/>
  <c r="F246" i="2"/>
  <c r="E246" i="2"/>
  <c r="D246" i="2"/>
  <c r="C246" i="2"/>
  <c r="C245" i="2"/>
  <c r="D245" i="2" s="1"/>
  <c r="E245" i="2" s="1"/>
  <c r="F245" i="2" s="1"/>
  <c r="G245" i="2" s="1"/>
  <c r="H245" i="2" s="1"/>
  <c r="I245" i="2" s="1"/>
  <c r="J245" i="2" s="1"/>
  <c r="K245" i="2" s="1"/>
  <c r="L245" i="2" s="1"/>
  <c r="M245" i="2" s="1"/>
  <c r="N245" i="2" s="1"/>
  <c r="O245" i="2" s="1"/>
  <c r="P245" i="2" s="1"/>
  <c r="Q245" i="2" s="1"/>
  <c r="R245" i="2" s="1"/>
  <c r="S245" i="2" s="1"/>
  <c r="T245" i="2" s="1"/>
  <c r="U245" i="2" s="1"/>
  <c r="V245" i="2" s="1"/>
  <c r="W245" i="2" s="1"/>
  <c r="X245" i="2" s="1"/>
  <c r="Y245" i="2" s="1"/>
  <c r="Z245" i="2" s="1"/>
  <c r="AA245" i="2" s="1"/>
  <c r="AB245" i="2" s="1"/>
  <c r="AC245" i="2" s="1"/>
  <c r="AD245" i="2" s="1"/>
  <c r="AE245" i="2" s="1"/>
  <c r="AF245" i="2" s="1"/>
  <c r="M244" i="2"/>
  <c r="N244" i="2" s="1"/>
  <c r="O244" i="2" s="1"/>
  <c r="P244" i="2" s="1"/>
  <c r="Q244" i="2" s="1"/>
  <c r="R244" i="2" s="1"/>
  <c r="S244" i="2" s="1"/>
  <c r="T244" i="2" s="1"/>
  <c r="U244" i="2" s="1"/>
  <c r="V244" i="2" s="1"/>
  <c r="W244" i="2" s="1"/>
  <c r="X244" i="2" s="1"/>
  <c r="Y244" i="2" s="1"/>
  <c r="Z244" i="2" s="1"/>
  <c r="AA244" i="2" s="1"/>
  <c r="AB244" i="2" s="1"/>
  <c r="AC244" i="2" s="1"/>
  <c r="AD244" i="2" s="1"/>
  <c r="AE244" i="2" s="1"/>
  <c r="AF244" i="2" s="1"/>
  <c r="E244" i="2"/>
  <c r="F244" i="2" s="1"/>
  <c r="G244" i="2" s="1"/>
  <c r="H244" i="2" s="1"/>
  <c r="I244" i="2" s="1"/>
  <c r="J244" i="2" s="1"/>
  <c r="K244" i="2" s="1"/>
  <c r="L244" i="2" s="1"/>
  <c r="C244" i="2"/>
  <c r="D244" i="2" s="1"/>
  <c r="O243" i="2"/>
  <c r="P243" i="2" s="1"/>
  <c r="Q243" i="2" s="1"/>
  <c r="R243" i="2" s="1"/>
  <c r="S243" i="2" s="1"/>
  <c r="T243" i="2" s="1"/>
  <c r="U243" i="2" s="1"/>
  <c r="V243" i="2" s="1"/>
  <c r="W243" i="2" s="1"/>
  <c r="X243" i="2" s="1"/>
  <c r="Y243" i="2" s="1"/>
  <c r="Z243" i="2" s="1"/>
  <c r="AA243" i="2" s="1"/>
  <c r="AB243" i="2" s="1"/>
  <c r="AC243" i="2" s="1"/>
  <c r="AD243" i="2" s="1"/>
  <c r="AE243" i="2" s="1"/>
  <c r="AF243" i="2" s="1"/>
  <c r="K243" i="2"/>
  <c r="L243" i="2" s="1"/>
  <c r="M243" i="2" s="1"/>
  <c r="N243" i="2" s="1"/>
  <c r="C243" i="2"/>
  <c r="D243" i="2" s="1"/>
  <c r="E243" i="2" s="1"/>
  <c r="F243" i="2" s="1"/>
  <c r="G243" i="2" s="1"/>
  <c r="H243" i="2" s="1"/>
  <c r="I243" i="2" s="1"/>
  <c r="J243" i="2" s="1"/>
  <c r="F242" i="2"/>
  <c r="G242" i="2" s="1"/>
  <c r="H242" i="2" s="1"/>
  <c r="I242" i="2" s="1"/>
  <c r="J242" i="2" s="1"/>
  <c r="K242" i="2" s="1"/>
  <c r="L242" i="2" s="1"/>
  <c r="M242" i="2" s="1"/>
  <c r="N242" i="2" s="1"/>
  <c r="O242" i="2" s="1"/>
  <c r="P242" i="2" s="1"/>
  <c r="Q242" i="2" s="1"/>
  <c r="R242" i="2" s="1"/>
  <c r="S242" i="2" s="1"/>
  <c r="T242" i="2" s="1"/>
  <c r="U242" i="2" s="1"/>
  <c r="V242" i="2" s="1"/>
  <c r="W242" i="2" s="1"/>
  <c r="X242" i="2" s="1"/>
  <c r="Y242" i="2" s="1"/>
  <c r="Z242" i="2" s="1"/>
  <c r="AA242" i="2" s="1"/>
  <c r="AB242" i="2" s="1"/>
  <c r="AC242" i="2" s="1"/>
  <c r="AD242" i="2" s="1"/>
  <c r="AE242" i="2" s="1"/>
  <c r="AF242" i="2" s="1"/>
  <c r="D242" i="2"/>
  <c r="E242" i="2" s="1"/>
  <c r="C242" i="2"/>
  <c r="E241" i="2"/>
  <c r="F241" i="2" s="1"/>
  <c r="G241" i="2" s="1"/>
  <c r="H241" i="2" s="1"/>
  <c r="I241" i="2" s="1"/>
  <c r="J241" i="2" s="1"/>
  <c r="K241" i="2" s="1"/>
  <c r="L241" i="2" s="1"/>
  <c r="M241" i="2" s="1"/>
  <c r="N241" i="2" s="1"/>
  <c r="O241" i="2" s="1"/>
  <c r="P241" i="2" s="1"/>
  <c r="Q241" i="2" s="1"/>
  <c r="R241" i="2" s="1"/>
  <c r="S241" i="2" s="1"/>
  <c r="T241" i="2" s="1"/>
  <c r="U241" i="2" s="1"/>
  <c r="V241" i="2" s="1"/>
  <c r="W241" i="2" s="1"/>
  <c r="X241" i="2" s="1"/>
  <c r="Y241" i="2" s="1"/>
  <c r="Z241" i="2" s="1"/>
  <c r="AA241" i="2" s="1"/>
  <c r="AB241" i="2" s="1"/>
  <c r="AC241" i="2" s="1"/>
  <c r="AD241" i="2" s="1"/>
  <c r="AE241" i="2" s="1"/>
  <c r="AF241" i="2" s="1"/>
  <c r="D241" i="2"/>
  <c r="C241" i="2"/>
  <c r="L240" i="2"/>
  <c r="M240" i="2" s="1"/>
  <c r="N240" i="2" s="1"/>
  <c r="O240" i="2" s="1"/>
  <c r="P240" i="2" s="1"/>
  <c r="Q240" i="2" s="1"/>
  <c r="R240" i="2" s="1"/>
  <c r="S240" i="2" s="1"/>
  <c r="T240" i="2" s="1"/>
  <c r="U240" i="2" s="1"/>
  <c r="V240" i="2" s="1"/>
  <c r="W240" i="2" s="1"/>
  <c r="X240" i="2" s="1"/>
  <c r="Y240" i="2" s="1"/>
  <c r="Z240" i="2" s="1"/>
  <c r="AA240" i="2" s="1"/>
  <c r="AB240" i="2" s="1"/>
  <c r="AC240" i="2" s="1"/>
  <c r="AD240" i="2" s="1"/>
  <c r="AE240" i="2" s="1"/>
  <c r="AF240" i="2" s="1"/>
  <c r="G240" i="2"/>
  <c r="H240" i="2" s="1"/>
  <c r="I240" i="2" s="1"/>
  <c r="J240" i="2" s="1"/>
  <c r="K240" i="2" s="1"/>
  <c r="E240" i="2"/>
  <c r="F240" i="2" s="1"/>
  <c r="C240" i="2"/>
  <c r="D240" i="2" s="1"/>
  <c r="E239" i="2"/>
  <c r="F239" i="2" s="1"/>
  <c r="G239" i="2" s="1"/>
  <c r="H239" i="2" s="1"/>
  <c r="I239" i="2" s="1"/>
  <c r="J239" i="2" s="1"/>
  <c r="K239" i="2" s="1"/>
  <c r="L239" i="2" s="1"/>
  <c r="M239" i="2" s="1"/>
  <c r="N239" i="2" s="1"/>
  <c r="O239" i="2" s="1"/>
  <c r="P239" i="2" s="1"/>
  <c r="Q239" i="2" s="1"/>
  <c r="R239" i="2" s="1"/>
  <c r="S239" i="2" s="1"/>
  <c r="T239" i="2" s="1"/>
  <c r="U239" i="2" s="1"/>
  <c r="V239" i="2" s="1"/>
  <c r="W239" i="2" s="1"/>
  <c r="X239" i="2" s="1"/>
  <c r="Y239" i="2" s="1"/>
  <c r="Z239" i="2" s="1"/>
  <c r="AA239" i="2" s="1"/>
  <c r="AB239" i="2" s="1"/>
  <c r="AC239" i="2" s="1"/>
  <c r="AD239" i="2" s="1"/>
  <c r="AE239" i="2" s="1"/>
  <c r="AF239" i="2" s="1"/>
  <c r="C239" i="2"/>
  <c r="D239" i="2" s="1"/>
  <c r="N238" i="2"/>
  <c r="O238" i="2" s="1"/>
  <c r="P238" i="2" s="1"/>
  <c r="Q238" i="2" s="1"/>
  <c r="R238" i="2" s="1"/>
  <c r="S238" i="2" s="1"/>
  <c r="T238" i="2" s="1"/>
  <c r="U238" i="2" s="1"/>
  <c r="V238" i="2" s="1"/>
  <c r="W238" i="2" s="1"/>
  <c r="X238" i="2" s="1"/>
  <c r="Y238" i="2" s="1"/>
  <c r="Z238" i="2" s="1"/>
  <c r="AA238" i="2" s="1"/>
  <c r="AB238" i="2" s="1"/>
  <c r="AC238" i="2" s="1"/>
  <c r="AD238" i="2" s="1"/>
  <c r="AE238" i="2" s="1"/>
  <c r="AF238" i="2" s="1"/>
  <c r="H238" i="2"/>
  <c r="I238" i="2" s="1"/>
  <c r="J238" i="2" s="1"/>
  <c r="K238" i="2" s="1"/>
  <c r="L238" i="2" s="1"/>
  <c r="M238" i="2" s="1"/>
  <c r="F238" i="2"/>
  <c r="G238" i="2" s="1"/>
  <c r="D238" i="2"/>
  <c r="E238" i="2" s="1"/>
  <c r="C238" i="2"/>
  <c r="Q237" i="2"/>
  <c r="R237" i="2" s="1"/>
  <c r="S237" i="2" s="1"/>
  <c r="T237" i="2" s="1"/>
  <c r="U237" i="2" s="1"/>
  <c r="V237" i="2" s="1"/>
  <c r="W237" i="2" s="1"/>
  <c r="X237" i="2" s="1"/>
  <c r="Y237" i="2" s="1"/>
  <c r="Z237" i="2" s="1"/>
  <c r="AA237" i="2" s="1"/>
  <c r="AB237" i="2" s="1"/>
  <c r="AC237" i="2" s="1"/>
  <c r="AD237" i="2" s="1"/>
  <c r="AE237" i="2" s="1"/>
  <c r="AF237" i="2" s="1"/>
  <c r="J237" i="2"/>
  <c r="K237" i="2" s="1"/>
  <c r="L237" i="2" s="1"/>
  <c r="M237" i="2" s="1"/>
  <c r="N237" i="2" s="1"/>
  <c r="O237" i="2" s="1"/>
  <c r="P237" i="2" s="1"/>
  <c r="F237" i="2"/>
  <c r="G237" i="2" s="1"/>
  <c r="H237" i="2" s="1"/>
  <c r="I237" i="2" s="1"/>
  <c r="D237" i="2"/>
  <c r="E237" i="2" s="1"/>
  <c r="C237" i="2"/>
  <c r="N236" i="2"/>
  <c r="O236" i="2" s="1"/>
  <c r="P236" i="2" s="1"/>
  <c r="Q236" i="2" s="1"/>
  <c r="R236" i="2" s="1"/>
  <c r="S236" i="2" s="1"/>
  <c r="T236" i="2" s="1"/>
  <c r="U236" i="2" s="1"/>
  <c r="V236" i="2" s="1"/>
  <c r="W236" i="2" s="1"/>
  <c r="X236" i="2" s="1"/>
  <c r="Y236" i="2" s="1"/>
  <c r="Z236" i="2" s="1"/>
  <c r="AA236" i="2" s="1"/>
  <c r="AB236" i="2" s="1"/>
  <c r="AC236" i="2" s="1"/>
  <c r="AD236" i="2" s="1"/>
  <c r="AE236" i="2" s="1"/>
  <c r="AF236" i="2" s="1"/>
  <c r="M236" i="2"/>
  <c r="G236" i="2"/>
  <c r="H236" i="2" s="1"/>
  <c r="I236" i="2" s="1"/>
  <c r="J236" i="2" s="1"/>
  <c r="K236" i="2" s="1"/>
  <c r="L236" i="2" s="1"/>
  <c r="C236" i="2"/>
  <c r="D236" i="2" s="1"/>
  <c r="E236" i="2" s="1"/>
  <c r="F236" i="2" s="1"/>
  <c r="M235" i="2"/>
  <c r="N235" i="2" s="1"/>
  <c r="O235" i="2" s="1"/>
  <c r="P235" i="2" s="1"/>
  <c r="Q235" i="2" s="1"/>
  <c r="R235" i="2" s="1"/>
  <c r="S235" i="2" s="1"/>
  <c r="T235" i="2" s="1"/>
  <c r="U235" i="2" s="1"/>
  <c r="V235" i="2" s="1"/>
  <c r="W235" i="2" s="1"/>
  <c r="X235" i="2" s="1"/>
  <c r="Y235" i="2" s="1"/>
  <c r="Z235" i="2" s="1"/>
  <c r="AA235" i="2" s="1"/>
  <c r="AB235" i="2" s="1"/>
  <c r="AC235" i="2" s="1"/>
  <c r="AD235" i="2" s="1"/>
  <c r="AE235" i="2" s="1"/>
  <c r="AF235" i="2" s="1"/>
  <c r="F235" i="2"/>
  <c r="G235" i="2" s="1"/>
  <c r="H235" i="2" s="1"/>
  <c r="I235" i="2" s="1"/>
  <c r="J235" i="2" s="1"/>
  <c r="K235" i="2" s="1"/>
  <c r="L235" i="2" s="1"/>
  <c r="D235" i="2"/>
  <c r="E235" i="2" s="1"/>
  <c r="C235" i="2"/>
  <c r="H234" i="2"/>
  <c r="I234" i="2" s="1"/>
  <c r="J234" i="2" s="1"/>
  <c r="K234" i="2" s="1"/>
  <c r="L234" i="2" s="1"/>
  <c r="M234" i="2" s="1"/>
  <c r="N234" i="2" s="1"/>
  <c r="O234" i="2" s="1"/>
  <c r="P234" i="2" s="1"/>
  <c r="Q234" i="2" s="1"/>
  <c r="R234" i="2" s="1"/>
  <c r="S234" i="2" s="1"/>
  <c r="T234" i="2" s="1"/>
  <c r="U234" i="2" s="1"/>
  <c r="V234" i="2" s="1"/>
  <c r="W234" i="2" s="1"/>
  <c r="X234" i="2" s="1"/>
  <c r="Y234" i="2" s="1"/>
  <c r="Z234" i="2" s="1"/>
  <c r="AA234" i="2" s="1"/>
  <c r="AB234" i="2" s="1"/>
  <c r="AC234" i="2" s="1"/>
  <c r="AD234" i="2" s="1"/>
  <c r="AE234" i="2" s="1"/>
  <c r="AF234" i="2" s="1"/>
  <c r="G234" i="2"/>
  <c r="F234" i="2"/>
  <c r="C234" i="2"/>
  <c r="D234" i="2" s="1"/>
  <c r="E234" i="2" s="1"/>
  <c r="M233" i="2"/>
  <c r="N233" i="2" s="1"/>
  <c r="O233" i="2" s="1"/>
  <c r="P233" i="2" s="1"/>
  <c r="Q233" i="2" s="1"/>
  <c r="R233" i="2" s="1"/>
  <c r="S233" i="2" s="1"/>
  <c r="T233" i="2" s="1"/>
  <c r="U233" i="2" s="1"/>
  <c r="V233" i="2" s="1"/>
  <c r="W233" i="2" s="1"/>
  <c r="X233" i="2" s="1"/>
  <c r="Y233" i="2" s="1"/>
  <c r="Z233" i="2" s="1"/>
  <c r="AA233" i="2" s="1"/>
  <c r="AB233" i="2" s="1"/>
  <c r="AC233" i="2" s="1"/>
  <c r="AD233" i="2" s="1"/>
  <c r="AE233" i="2" s="1"/>
  <c r="AF233" i="2" s="1"/>
  <c r="L233" i="2"/>
  <c r="H233" i="2"/>
  <c r="I233" i="2" s="1"/>
  <c r="J233" i="2" s="1"/>
  <c r="K233" i="2" s="1"/>
  <c r="F233" i="2"/>
  <c r="G233" i="2" s="1"/>
  <c r="D233" i="2"/>
  <c r="E233" i="2" s="1"/>
  <c r="C233" i="2"/>
  <c r="G232" i="2"/>
  <c r="H232" i="2" s="1"/>
  <c r="I232" i="2" s="1"/>
  <c r="J232" i="2" s="1"/>
  <c r="K232" i="2" s="1"/>
  <c r="L232" i="2" s="1"/>
  <c r="M232" i="2" s="1"/>
  <c r="N232" i="2" s="1"/>
  <c r="O232" i="2" s="1"/>
  <c r="P232" i="2" s="1"/>
  <c r="Q232" i="2" s="1"/>
  <c r="R232" i="2" s="1"/>
  <c r="S232" i="2" s="1"/>
  <c r="T232" i="2" s="1"/>
  <c r="U232" i="2" s="1"/>
  <c r="V232" i="2" s="1"/>
  <c r="W232" i="2" s="1"/>
  <c r="X232" i="2" s="1"/>
  <c r="Y232" i="2" s="1"/>
  <c r="Z232" i="2" s="1"/>
  <c r="AA232" i="2" s="1"/>
  <c r="AB232" i="2" s="1"/>
  <c r="AC232" i="2" s="1"/>
  <c r="AD232" i="2" s="1"/>
  <c r="AE232" i="2" s="1"/>
  <c r="AF232" i="2" s="1"/>
  <c r="F232" i="2"/>
  <c r="C232" i="2"/>
  <c r="D232" i="2" s="1"/>
  <c r="E232" i="2" s="1"/>
  <c r="C231" i="2"/>
  <c r="D231" i="2" s="1"/>
  <c r="E231" i="2" s="1"/>
  <c r="F231" i="2" s="1"/>
  <c r="G231" i="2" s="1"/>
  <c r="H231" i="2" s="1"/>
  <c r="I231" i="2" s="1"/>
  <c r="J231" i="2" s="1"/>
  <c r="K231" i="2" s="1"/>
  <c r="L231" i="2" s="1"/>
  <c r="M231" i="2" s="1"/>
  <c r="N231" i="2" s="1"/>
  <c r="O231" i="2" s="1"/>
  <c r="P231" i="2" s="1"/>
  <c r="Q231" i="2" s="1"/>
  <c r="R231" i="2" s="1"/>
  <c r="S231" i="2" s="1"/>
  <c r="T231" i="2" s="1"/>
  <c r="U231" i="2" s="1"/>
  <c r="V231" i="2" s="1"/>
  <c r="W231" i="2" s="1"/>
  <c r="X231" i="2" s="1"/>
  <c r="Y231" i="2" s="1"/>
  <c r="Z231" i="2" s="1"/>
  <c r="AA231" i="2" s="1"/>
  <c r="AB231" i="2" s="1"/>
  <c r="AC231" i="2" s="1"/>
  <c r="AD231" i="2" s="1"/>
  <c r="AE231" i="2" s="1"/>
  <c r="AF231" i="2" s="1"/>
  <c r="I230" i="2"/>
  <c r="J230" i="2" s="1"/>
  <c r="K230" i="2" s="1"/>
  <c r="L230" i="2" s="1"/>
  <c r="M230" i="2" s="1"/>
  <c r="N230" i="2" s="1"/>
  <c r="O230" i="2" s="1"/>
  <c r="P230" i="2" s="1"/>
  <c r="Q230" i="2" s="1"/>
  <c r="R230" i="2" s="1"/>
  <c r="S230" i="2" s="1"/>
  <c r="T230" i="2" s="1"/>
  <c r="U230" i="2" s="1"/>
  <c r="V230" i="2" s="1"/>
  <c r="W230" i="2" s="1"/>
  <c r="X230" i="2" s="1"/>
  <c r="Y230" i="2" s="1"/>
  <c r="Z230" i="2" s="1"/>
  <c r="AA230" i="2" s="1"/>
  <c r="AB230" i="2" s="1"/>
  <c r="AC230" i="2" s="1"/>
  <c r="AD230" i="2" s="1"/>
  <c r="AE230" i="2" s="1"/>
  <c r="AF230" i="2" s="1"/>
  <c r="H230" i="2"/>
  <c r="F230" i="2"/>
  <c r="G230" i="2" s="1"/>
  <c r="C230" i="2"/>
  <c r="D230" i="2" s="1"/>
  <c r="E230" i="2" s="1"/>
  <c r="M229" i="2"/>
  <c r="N229" i="2" s="1"/>
  <c r="O229" i="2" s="1"/>
  <c r="P229" i="2" s="1"/>
  <c r="Q229" i="2" s="1"/>
  <c r="R229" i="2" s="1"/>
  <c r="S229" i="2" s="1"/>
  <c r="T229" i="2" s="1"/>
  <c r="U229" i="2" s="1"/>
  <c r="V229" i="2" s="1"/>
  <c r="W229" i="2" s="1"/>
  <c r="X229" i="2" s="1"/>
  <c r="Y229" i="2" s="1"/>
  <c r="Z229" i="2" s="1"/>
  <c r="AA229" i="2" s="1"/>
  <c r="AB229" i="2" s="1"/>
  <c r="AC229" i="2" s="1"/>
  <c r="AD229" i="2" s="1"/>
  <c r="AE229" i="2" s="1"/>
  <c r="AF229" i="2" s="1"/>
  <c r="F229" i="2"/>
  <c r="G229" i="2" s="1"/>
  <c r="H229" i="2" s="1"/>
  <c r="I229" i="2" s="1"/>
  <c r="J229" i="2" s="1"/>
  <c r="K229" i="2" s="1"/>
  <c r="L229" i="2" s="1"/>
  <c r="E229" i="2"/>
  <c r="D229" i="2"/>
  <c r="C229" i="2"/>
  <c r="C228" i="2"/>
  <c r="D228" i="2" s="1"/>
  <c r="E228" i="2" s="1"/>
  <c r="F228" i="2" s="1"/>
  <c r="G228" i="2" s="1"/>
  <c r="H228" i="2" s="1"/>
  <c r="I228" i="2" s="1"/>
  <c r="J228" i="2" s="1"/>
  <c r="K228" i="2" s="1"/>
  <c r="L228" i="2" s="1"/>
  <c r="M228" i="2" s="1"/>
  <c r="N228" i="2" s="1"/>
  <c r="O228" i="2" s="1"/>
  <c r="P228" i="2" s="1"/>
  <c r="Q228" i="2" s="1"/>
  <c r="R228" i="2" s="1"/>
  <c r="S228" i="2" s="1"/>
  <c r="T228" i="2" s="1"/>
  <c r="U228" i="2" s="1"/>
  <c r="V228" i="2" s="1"/>
  <c r="W228" i="2" s="1"/>
  <c r="X228" i="2" s="1"/>
  <c r="Y228" i="2" s="1"/>
  <c r="Z228" i="2" s="1"/>
  <c r="AA228" i="2" s="1"/>
  <c r="AB228" i="2" s="1"/>
  <c r="AC228" i="2" s="1"/>
  <c r="AD228" i="2" s="1"/>
  <c r="AE228" i="2" s="1"/>
  <c r="AF228" i="2" s="1"/>
  <c r="D227" i="2"/>
  <c r="E227" i="2" s="1"/>
  <c r="F227" i="2" s="1"/>
  <c r="G227" i="2" s="1"/>
  <c r="H227" i="2" s="1"/>
  <c r="I227" i="2" s="1"/>
  <c r="J227" i="2" s="1"/>
  <c r="K227" i="2" s="1"/>
  <c r="L227" i="2" s="1"/>
  <c r="M227" i="2" s="1"/>
  <c r="N227" i="2" s="1"/>
  <c r="O227" i="2" s="1"/>
  <c r="P227" i="2" s="1"/>
  <c r="Q227" i="2" s="1"/>
  <c r="R227" i="2" s="1"/>
  <c r="S227" i="2" s="1"/>
  <c r="T227" i="2" s="1"/>
  <c r="U227" i="2" s="1"/>
  <c r="V227" i="2" s="1"/>
  <c r="W227" i="2" s="1"/>
  <c r="X227" i="2" s="1"/>
  <c r="Y227" i="2" s="1"/>
  <c r="Z227" i="2" s="1"/>
  <c r="AA227" i="2" s="1"/>
  <c r="AB227" i="2" s="1"/>
  <c r="AC227" i="2" s="1"/>
  <c r="AD227" i="2" s="1"/>
  <c r="AE227" i="2" s="1"/>
  <c r="AF227" i="2" s="1"/>
  <c r="C227" i="2"/>
  <c r="F226" i="2"/>
  <c r="G226" i="2" s="1"/>
  <c r="H226" i="2" s="1"/>
  <c r="I226" i="2" s="1"/>
  <c r="J226" i="2" s="1"/>
  <c r="K226" i="2" s="1"/>
  <c r="L226" i="2" s="1"/>
  <c r="M226" i="2" s="1"/>
  <c r="N226" i="2" s="1"/>
  <c r="O226" i="2" s="1"/>
  <c r="P226" i="2" s="1"/>
  <c r="Q226" i="2" s="1"/>
  <c r="R226" i="2" s="1"/>
  <c r="S226" i="2" s="1"/>
  <c r="T226" i="2" s="1"/>
  <c r="U226" i="2" s="1"/>
  <c r="V226" i="2" s="1"/>
  <c r="W226" i="2" s="1"/>
  <c r="X226" i="2" s="1"/>
  <c r="Y226" i="2" s="1"/>
  <c r="Z226" i="2" s="1"/>
  <c r="AA226" i="2" s="1"/>
  <c r="AB226" i="2" s="1"/>
  <c r="AC226" i="2" s="1"/>
  <c r="AD226" i="2" s="1"/>
  <c r="AE226" i="2" s="1"/>
  <c r="AF226" i="2" s="1"/>
  <c r="D226" i="2"/>
  <c r="E226" i="2" s="1"/>
  <c r="C226" i="2"/>
  <c r="H225" i="2"/>
  <c r="I225" i="2" s="1"/>
  <c r="J225" i="2" s="1"/>
  <c r="K225" i="2" s="1"/>
  <c r="L225" i="2" s="1"/>
  <c r="M225" i="2" s="1"/>
  <c r="N225" i="2" s="1"/>
  <c r="O225" i="2" s="1"/>
  <c r="P225" i="2" s="1"/>
  <c r="Q225" i="2" s="1"/>
  <c r="R225" i="2" s="1"/>
  <c r="S225" i="2" s="1"/>
  <c r="T225" i="2" s="1"/>
  <c r="U225" i="2" s="1"/>
  <c r="V225" i="2" s="1"/>
  <c r="W225" i="2" s="1"/>
  <c r="X225" i="2" s="1"/>
  <c r="Y225" i="2" s="1"/>
  <c r="Z225" i="2" s="1"/>
  <c r="AA225" i="2" s="1"/>
  <c r="AB225" i="2" s="1"/>
  <c r="AC225" i="2" s="1"/>
  <c r="AD225" i="2" s="1"/>
  <c r="AE225" i="2" s="1"/>
  <c r="AF225" i="2" s="1"/>
  <c r="E225" i="2"/>
  <c r="F225" i="2" s="1"/>
  <c r="G225" i="2" s="1"/>
  <c r="D225" i="2"/>
  <c r="C225" i="2"/>
  <c r="E224" i="2"/>
  <c r="F224" i="2" s="1"/>
  <c r="G224" i="2" s="1"/>
  <c r="H224" i="2" s="1"/>
  <c r="I224" i="2" s="1"/>
  <c r="J224" i="2" s="1"/>
  <c r="K224" i="2" s="1"/>
  <c r="L224" i="2" s="1"/>
  <c r="M224" i="2" s="1"/>
  <c r="N224" i="2" s="1"/>
  <c r="O224" i="2" s="1"/>
  <c r="P224" i="2" s="1"/>
  <c r="Q224" i="2" s="1"/>
  <c r="R224" i="2" s="1"/>
  <c r="S224" i="2" s="1"/>
  <c r="T224" i="2" s="1"/>
  <c r="U224" i="2" s="1"/>
  <c r="V224" i="2" s="1"/>
  <c r="W224" i="2" s="1"/>
  <c r="X224" i="2" s="1"/>
  <c r="Y224" i="2" s="1"/>
  <c r="Z224" i="2" s="1"/>
  <c r="AA224" i="2" s="1"/>
  <c r="AB224" i="2" s="1"/>
  <c r="AC224" i="2" s="1"/>
  <c r="AD224" i="2" s="1"/>
  <c r="AE224" i="2" s="1"/>
  <c r="AF224" i="2" s="1"/>
  <c r="C224" i="2"/>
  <c r="D224" i="2" s="1"/>
  <c r="F223" i="2"/>
  <c r="G223" i="2" s="1"/>
  <c r="H223" i="2" s="1"/>
  <c r="I223" i="2" s="1"/>
  <c r="J223" i="2" s="1"/>
  <c r="K223" i="2" s="1"/>
  <c r="L223" i="2" s="1"/>
  <c r="M223" i="2" s="1"/>
  <c r="N223" i="2" s="1"/>
  <c r="O223" i="2" s="1"/>
  <c r="P223" i="2" s="1"/>
  <c r="Q223" i="2" s="1"/>
  <c r="R223" i="2" s="1"/>
  <c r="S223" i="2" s="1"/>
  <c r="T223" i="2" s="1"/>
  <c r="U223" i="2" s="1"/>
  <c r="V223" i="2" s="1"/>
  <c r="W223" i="2" s="1"/>
  <c r="X223" i="2" s="1"/>
  <c r="Y223" i="2" s="1"/>
  <c r="Z223" i="2" s="1"/>
  <c r="AA223" i="2" s="1"/>
  <c r="AB223" i="2" s="1"/>
  <c r="AC223" i="2" s="1"/>
  <c r="AD223" i="2" s="1"/>
  <c r="AE223" i="2" s="1"/>
  <c r="AF223" i="2" s="1"/>
  <c r="E223" i="2"/>
  <c r="D223" i="2"/>
  <c r="C223" i="2"/>
  <c r="H222" i="2"/>
  <c r="I222" i="2" s="1"/>
  <c r="J222" i="2" s="1"/>
  <c r="K222" i="2" s="1"/>
  <c r="L222" i="2" s="1"/>
  <c r="M222" i="2" s="1"/>
  <c r="N222" i="2" s="1"/>
  <c r="O222" i="2" s="1"/>
  <c r="P222" i="2" s="1"/>
  <c r="Q222" i="2" s="1"/>
  <c r="R222" i="2" s="1"/>
  <c r="S222" i="2" s="1"/>
  <c r="T222" i="2" s="1"/>
  <c r="U222" i="2" s="1"/>
  <c r="V222" i="2" s="1"/>
  <c r="W222" i="2" s="1"/>
  <c r="X222" i="2" s="1"/>
  <c r="Y222" i="2" s="1"/>
  <c r="Z222" i="2" s="1"/>
  <c r="AA222" i="2" s="1"/>
  <c r="AB222" i="2" s="1"/>
  <c r="AC222" i="2" s="1"/>
  <c r="AD222" i="2" s="1"/>
  <c r="AE222" i="2" s="1"/>
  <c r="AF222" i="2" s="1"/>
  <c r="C222" i="2"/>
  <c r="D222" i="2" s="1"/>
  <c r="E222" i="2" s="1"/>
  <c r="F222" i="2" s="1"/>
  <c r="G222" i="2" s="1"/>
  <c r="G221" i="2"/>
  <c r="H221" i="2" s="1"/>
  <c r="I221" i="2" s="1"/>
  <c r="J221" i="2" s="1"/>
  <c r="K221" i="2" s="1"/>
  <c r="L221" i="2" s="1"/>
  <c r="M221" i="2" s="1"/>
  <c r="N221" i="2" s="1"/>
  <c r="O221" i="2" s="1"/>
  <c r="P221" i="2" s="1"/>
  <c r="Q221" i="2" s="1"/>
  <c r="R221" i="2" s="1"/>
  <c r="S221" i="2" s="1"/>
  <c r="T221" i="2" s="1"/>
  <c r="U221" i="2" s="1"/>
  <c r="V221" i="2" s="1"/>
  <c r="W221" i="2" s="1"/>
  <c r="X221" i="2" s="1"/>
  <c r="Y221" i="2" s="1"/>
  <c r="Z221" i="2" s="1"/>
  <c r="AA221" i="2" s="1"/>
  <c r="AB221" i="2" s="1"/>
  <c r="AC221" i="2" s="1"/>
  <c r="AD221" i="2" s="1"/>
  <c r="AE221" i="2" s="1"/>
  <c r="AF221" i="2" s="1"/>
  <c r="D221" i="2"/>
  <c r="E221" i="2" s="1"/>
  <c r="F221" i="2" s="1"/>
  <c r="C221" i="2"/>
  <c r="E220" i="2"/>
  <c r="F220" i="2" s="1"/>
  <c r="G220" i="2" s="1"/>
  <c r="H220" i="2" s="1"/>
  <c r="I220" i="2" s="1"/>
  <c r="J220" i="2" s="1"/>
  <c r="K220" i="2" s="1"/>
  <c r="L220" i="2" s="1"/>
  <c r="M220" i="2" s="1"/>
  <c r="N220" i="2" s="1"/>
  <c r="O220" i="2" s="1"/>
  <c r="P220" i="2" s="1"/>
  <c r="Q220" i="2" s="1"/>
  <c r="R220" i="2" s="1"/>
  <c r="S220" i="2" s="1"/>
  <c r="T220" i="2" s="1"/>
  <c r="U220" i="2" s="1"/>
  <c r="V220" i="2" s="1"/>
  <c r="W220" i="2" s="1"/>
  <c r="X220" i="2" s="1"/>
  <c r="Y220" i="2" s="1"/>
  <c r="Z220" i="2" s="1"/>
  <c r="AA220" i="2" s="1"/>
  <c r="AB220" i="2" s="1"/>
  <c r="AC220" i="2" s="1"/>
  <c r="AD220" i="2" s="1"/>
  <c r="AE220" i="2" s="1"/>
  <c r="AF220" i="2" s="1"/>
  <c r="D220" i="2"/>
  <c r="C220" i="2"/>
  <c r="C219" i="2"/>
  <c r="D219" i="2" s="1"/>
  <c r="E219" i="2" s="1"/>
  <c r="F219" i="2" s="1"/>
  <c r="G219" i="2" s="1"/>
  <c r="H219" i="2" s="1"/>
  <c r="I219" i="2" s="1"/>
  <c r="J219" i="2" s="1"/>
  <c r="K219" i="2" s="1"/>
  <c r="L219" i="2" s="1"/>
  <c r="M219" i="2" s="1"/>
  <c r="N219" i="2" s="1"/>
  <c r="O219" i="2" s="1"/>
  <c r="P219" i="2" s="1"/>
  <c r="Q219" i="2" s="1"/>
  <c r="R219" i="2" s="1"/>
  <c r="S219" i="2" s="1"/>
  <c r="T219" i="2" s="1"/>
  <c r="U219" i="2" s="1"/>
  <c r="V219" i="2" s="1"/>
  <c r="W219" i="2" s="1"/>
  <c r="X219" i="2" s="1"/>
  <c r="Y219" i="2" s="1"/>
  <c r="Z219" i="2" s="1"/>
  <c r="AA219" i="2" s="1"/>
  <c r="AB219" i="2" s="1"/>
  <c r="AC219" i="2" s="1"/>
  <c r="AD219" i="2" s="1"/>
  <c r="AE219" i="2" s="1"/>
  <c r="AF219" i="2" s="1"/>
  <c r="C218" i="2"/>
  <c r="D218" i="2" s="1"/>
  <c r="E218" i="2" s="1"/>
  <c r="F218" i="2" s="1"/>
  <c r="G218" i="2" s="1"/>
  <c r="H218" i="2" s="1"/>
  <c r="I218" i="2" s="1"/>
  <c r="J218" i="2" s="1"/>
  <c r="K218" i="2" s="1"/>
  <c r="L218" i="2" s="1"/>
  <c r="M218" i="2" s="1"/>
  <c r="N218" i="2" s="1"/>
  <c r="O218" i="2" s="1"/>
  <c r="P218" i="2" s="1"/>
  <c r="Q218" i="2" s="1"/>
  <c r="R218" i="2" s="1"/>
  <c r="S218" i="2" s="1"/>
  <c r="T218" i="2" s="1"/>
  <c r="U218" i="2" s="1"/>
  <c r="V218" i="2" s="1"/>
  <c r="W218" i="2" s="1"/>
  <c r="X218" i="2" s="1"/>
  <c r="Y218" i="2" s="1"/>
  <c r="Z218" i="2" s="1"/>
  <c r="AA218" i="2" s="1"/>
  <c r="AB218" i="2" s="1"/>
  <c r="AC218" i="2" s="1"/>
  <c r="AD218" i="2" s="1"/>
  <c r="AE218" i="2" s="1"/>
  <c r="AF218" i="2" s="1"/>
  <c r="E217" i="2"/>
  <c r="F217" i="2" s="1"/>
  <c r="G217" i="2" s="1"/>
  <c r="H217" i="2" s="1"/>
  <c r="I217" i="2" s="1"/>
  <c r="J217" i="2" s="1"/>
  <c r="K217" i="2" s="1"/>
  <c r="L217" i="2" s="1"/>
  <c r="M217" i="2" s="1"/>
  <c r="N217" i="2" s="1"/>
  <c r="O217" i="2" s="1"/>
  <c r="P217" i="2" s="1"/>
  <c r="Q217" i="2" s="1"/>
  <c r="R217" i="2" s="1"/>
  <c r="S217" i="2" s="1"/>
  <c r="T217" i="2" s="1"/>
  <c r="U217" i="2" s="1"/>
  <c r="V217" i="2" s="1"/>
  <c r="W217" i="2" s="1"/>
  <c r="X217" i="2" s="1"/>
  <c r="Y217" i="2" s="1"/>
  <c r="Z217" i="2" s="1"/>
  <c r="AA217" i="2" s="1"/>
  <c r="AB217" i="2" s="1"/>
  <c r="AC217" i="2" s="1"/>
  <c r="AD217" i="2" s="1"/>
  <c r="AE217" i="2" s="1"/>
  <c r="AF217" i="2" s="1"/>
  <c r="D217" i="2"/>
  <c r="C217" i="2"/>
  <c r="M216" i="2"/>
  <c r="N216" i="2" s="1"/>
  <c r="O216" i="2" s="1"/>
  <c r="P216" i="2" s="1"/>
  <c r="Q216" i="2" s="1"/>
  <c r="R216" i="2" s="1"/>
  <c r="S216" i="2" s="1"/>
  <c r="T216" i="2" s="1"/>
  <c r="U216" i="2" s="1"/>
  <c r="V216" i="2" s="1"/>
  <c r="W216" i="2" s="1"/>
  <c r="X216" i="2" s="1"/>
  <c r="Y216" i="2" s="1"/>
  <c r="Z216" i="2" s="1"/>
  <c r="AA216" i="2" s="1"/>
  <c r="AB216" i="2" s="1"/>
  <c r="AC216" i="2" s="1"/>
  <c r="AD216" i="2" s="1"/>
  <c r="AE216" i="2" s="1"/>
  <c r="AF216" i="2" s="1"/>
  <c r="H216" i="2"/>
  <c r="I216" i="2" s="1"/>
  <c r="J216" i="2" s="1"/>
  <c r="K216" i="2" s="1"/>
  <c r="L216" i="2" s="1"/>
  <c r="D216" i="2"/>
  <c r="E216" i="2" s="1"/>
  <c r="F216" i="2" s="1"/>
  <c r="G216" i="2" s="1"/>
  <c r="C216" i="2"/>
  <c r="E215" i="2"/>
  <c r="F215" i="2" s="1"/>
  <c r="G215" i="2" s="1"/>
  <c r="H215" i="2" s="1"/>
  <c r="I215" i="2" s="1"/>
  <c r="J215" i="2" s="1"/>
  <c r="K215" i="2" s="1"/>
  <c r="L215" i="2" s="1"/>
  <c r="M215" i="2" s="1"/>
  <c r="N215" i="2" s="1"/>
  <c r="O215" i="2" s="1"/>
  <c r="P215" i="2" s="1"/>
  <c r="Q215" i="2" s="1"/>
  <c r="R215" i="2" s="1"/>
  <c r="S215" i="2" s="1"/>
  <c r="T215" i="2" s="1"/>
  <c r="U215" i="2" s="1"/>
  <c r="V215" i="2" s="1"/>
  <c r="W215" i="2" s="1"/>
  <c r="X215" i="2" s="1"/>
  <c r="Y215" i="2" s="1"/>
  <c r="Z215" i="2" s="1"/>
  <c r="AA215" i="2" s="1"/>
  <c r="AB215" i="2" s="1"/>
  <c r="AC215" i="2" s="1"/>
  <c r="AD215" i="2" s="1"/>
  <c r="AE215" i="2" s="1"/>
  <c r="AF215" i="2" s="1"/>
  <c r="C215" i="2"/>
  <c r="D215" i="2" s="1"/>
  <c r="C214" i="2"/>
  <c r="D214" i="2" s="1"/>
  <c r="E214" i="2" s="1"/>
  <c r="F214" i="2" s="1"/>
  <c r="G214" i="2" s="1"/>
  <c r="H214" i="2" s="1"/>
  <c r="I214" i="2" s="1"/>
  <c r="J214" i="2" s="1"/>
  <c r="K214" i="2" s="1"/>
  <c r="L214" i="2" s="1"/>
  <c r="M214" i="2" s="1"/>
  <c r="N214" i="2" s="1"/>
  <c r="O214" i="2" s="1"/>
  <c r="P214" i="2" s="1"/>
  <c r="Q214" i="2" s="1"/>
  <c r="R214" i="2" s="1"/>
  <c r="S214" i="2" s="1"/>
  <c r="T214" i="2" s="1"/>
  <c r="U214" i="2" s="1"/>
  <c r="V214" i="2" s="1"/>
  <c r="W214" i="2" s="1"/>
  <c r="X214" i="2" s="1"/>
  <c r="Y214" i="2" s="1"/>
  <c r="Z214" i="2" s="1"/>
  <c r="AA214" i="2" s="1"/>
  <c r="AB214" i="2" s="1"/>
  <c r="AC214" i="2" s="1"/>
  <c r="AD214" i="2" s="1"/>
  <c r="AE214" i="2" s="1"/>
  <c r="AF214" i="2" s="1"/>
  <c r="J213" i="2"/>
  <c r="K213" i="2" s="1"/>
  <c r="L213" i="2" s="1"/>
  <c r="M213" i="2" s="1"/>
  <c r="N213" i="2" s="1"/>
  <c r="O213" i="2" s="1"/>
  <c r="P213" i="2" s="1"/>
  <c r="Q213" i="2" s="1"/>
  <c r="R213" i="2" s="1"/>
  <c r="S213" i="2" s="1"/>
  <c r="T213" i="2" s="1"/>
  <c r="U213" i="2" s="1"/>
  <c r="V213" i="2" s="1"/>
  <c r="W213" i="2" s="1"/>
  <c r="X213" i="2" s="1"/>
  <c r="Y213" i="2" s="1"/>
  <c r="Z213" i="2" s="1"/>
  <c r="AA213" i="2" s="1"/>
  <c r="AB213" i="2" s="1"/>
  <c r="AC213" i="2" s="1"/>
  <c r="AD213" i="2" s="1"/>
  <c r="AE213" i="2" s="1"/>
  <c r="AF213" i="2" s="1"/>
  <c r="G213" i="2"/>
  <c r="H213" i="2" s="1"/>
  <c r="I213" i="2" s="1"/>
  <c r="F213" i="2"/>
  <c r="E213" i="2"/>
  <c r="D213" i="2"/>
  <c r="C213" i="2"/>
  <c r="F212" i="2"/>
  <c r="G212" i="2" s="1"/>
  <c r="H212" i="2" s="1"/>
  <c r="I212" i="2" s="1"/>
  <c r="J212" i="2" s="1"/>
  <c r="K212" i="2" s="1"/>
  <c r="L212" i="2" s="1"/>
  <c r="M212" i="2" s="1"/>
  <c r="N212" i="2" s="1"/>
  <c r="O212" i="2" s="1"/>
  <c r="P212" i="2" s="1"/>
  <c r="Q212" i="2" s="1"/>
  <c r="R212" i="2" s="1"/>
  <c r="S212" i="2" s="1"/>
  <c r="T212" i="2" s="1"/>
  <c r="U212" i="2" s="1"/>
  <c r="V212" i="2" s="1"/>
  <c r="W212" i="2" s="1"/>
  <c r="X212" i="2" s="1"/>
  <c r="Y212" i="2" s="1"/>
  <c r="Z212" i="2" s="1"/>
  <c r="AA212" i="2" s="1"/>
  <c r="AB212" i="2" s="1"/>
  <c r="AC212" i="2" s="1"/>
  <c r="AD212" i="2" s="1"/>
  <c r="AE212" i="2" s="1"/>
  <c r="AF212" i="2" s="1"/>
  <c r="E212" i="2"/>
  <c r="C212" i="2"/>
  <c r="D212" i="2" s="1"/>
  <c r="C211" i="2"/>
  <c r="D211" i="2" s="1"/>
  <c r="E211" i="2" s="1"/>
  <c r="F211" i="2" s="1"/>
  <c r="G211" i="2" s="1"/>
  <c r="H211" i="2" s="1"/>
  <c r="I211" i="2" s="1"/>
  <c r="J211" i="2" s="1"/>
  <c r="K211" i="2" s="1"/>
  <c r="L211" i="2" s="1"/>
  <c r="M211" i="2" s="1"/>
  <c r="N211" i="2" s="1"/>
  <c r="O211" i="2" s="1"/>
  <c r="P211" i="2" s="1"/>
  <c r="Q211" i="2" s="1"/>
  <c r="R211" i="2" s="1"/>
  <c r="S211" i="2" s="1"/>
  <c r="T211" i="2" s="1"/>
  <c r="U211" i="2" s="1"/>
  <c r="V211" i="2" s="1"/>
  <c r="W211" i="2" s="1"/>
  <c r="X211" i="2" s="1"/>
  <c r="Y211" i="2" s="1"/>
  <c r="Z211" i="2" s="1"/>
  <c r="AA211" i="2" s="1"/>
  <c r="AB211" i="2" s="1"/>
  <c r="AC211" i="2" s="1"/>
  <c r="AD211" i="2" s="1"/>
  <c r="AE211" i="2" s="1"/>
  <c r="AF211" i="2" s="1"/>
  <c r="O210" i="2"/>
  <c r="P210" i="2" s="1"/>
  <c r="Q210" i="2" s="1"/>
  <c r="R210" i="2" s="1"/>
  <c r="S210" i="2" s="1"/>
  <c r="T210" i="2" s="1"/>
  <c r="U210" i="2" s="1"/>
  <c r="V210" i="2" s="1"/>
  <c r="W210" i="2" s="1"/>
  <c r="X210" i="2" s="1"/>
  <c r="Y210" i="2" s="1"/>
  <c r="Z210" i="2" s="1"/>
  <c r="AA210" i="2" s="1"/>
  <c r="AB210" i="2" s="1"/>
  <c r="AC210" i="2" s="1"/>
  <c r="AD210" i="2" s="1"/>
  <c r="AE210" i="2" s="1"/>
  <c r="AF210" i="2" s="1"/>
  <c r="J210" i="2"/>
  <c r="K210" i="2" s="1"/>
  <c r="L210" i="2" s="1"/>
  <c r="M210" i="2" s="1"/>
  <c r="N210" i="2" s="1"/>
  <c r="H210" i="2"/>
  <c r="I210" i="2" s="1"/>
  <c r="G210" i="2"/>
  <c r="F210" i="2"/>
  <c r="D210" i="2"/>
  <c r="E210" i="2" s="1"/>
  <c r="C210" i="2"/>
  <c r="H209" i="2"/>
  <c r="I209" i="2" s="1"/>
  <c r="J209" i="2" s="1"/>
  <c r="K209" i="2" s="1"/>
  <c r="L209" i="2" s="1"/>
  <c r="M209" i="2" s="1"/>
  <c r="N209" i="2" s="1"/>
  <c r="O209" i="2" s="1"/>
  <c r="P209" i="2" s="1"/>
  <c r="Q209" i="2" s="1"/>
  <c r="R209" i="2" s="1"/>
  <c r="S209" i="2" s="1"/>
  <c r="T209" i="2" s="1"/>
  <c r="U209" i="2" s="1"/>
  <c r="V209" i="2" s="1"/>
  <c r="W209" i="2" s="1"/>
  <c r="X209" i="2" s="1"/>
  <c r="Y209" i="2" s="1"/>
  <c r="Z209" i="2" s="1"/>
  <c r="AA209" i="2" s="1"/>
  <c r="AB209" i="2" s="1"/>
  <c r="AC209" i="2" s="1"/>
  <c r="AD209" i="2" s="1"/>
  <c r="AE209" i="2" s="1"/>
  <c r="AF209" i="2" s="1"/>
  <c r="D209" i="2"/>
  <c r="E209" i="2" s="1"/>
  <c r="F209" i="2" s="1"/>
  <c r="G209" i="2" s="1"/>
  <c r="C209" i="2"/>
  <c r="G208" i="2"/>
  <c r="H208" i="2" s="1"/>
  <c r="I208" i="2" s="1"/>
  <c r="J208" i="2" s="1"/>
  <c r="K208" i="2" s="1"/>
  <c r="L208" i="2" s="1"/>
  <c r="M208" i="2" s="1"/>
  <c r="N208" i="2" s="1"/>
  <c r="O208" i="2" s="1"/>
  <c r="P208" i="2" s="1"/>
  <c r="Q208" i="2" s="1"/>
  <c r="R208" i="2" s="1"/>
  <c r="S208" i="2" s="1"/>
  <c r="T208" i="2" s="1"/>
  <c r="U208" i="2" s="1"/>
  <c r="V208" i="2" s="1"/>
  <c r="W208" i="2" s="1"/>
  <c r="X208" i="2" s="1"/>
  <c r="Y208" i="2" s="1"/>
  <c r="Z208" i="2" s="1"/>
  <c r="AA208" i="2" s="1"/>
  <c r="AB208" i="2" s="1"/>
  <c r="AC208" i="2" s="1"/>
  <c r="AD208" i="2" s="1"/>
  <c r="AE208" i="2" s="1"/>
  <c r="AF208" i="2" s="1"/>
  <c r="D208" i="2"/>
  <c r="E208" i="2" s="1"/>
  <c r="F208" i="2" s="1"/>
  <c r="C208" i="2"/>
  <c r="H207" i="2"/>
  <c r="I207" i="2" s="1"/>
  <c r="J207" i="2" s="1"/>
  <c r="K207" i="2" s="1"/>
  <c r="L207" i="2" s="1"/>
  <c r="M207" i="2" s="1"/>
  <c r="N207" i="2" s="1"/>
  <c r="O207" i="2" s="1"/>
  <c r="P207" i="2" s="1"/>
  <c r="Q207" i="2" s="1"/>
  <c r="R207" i="2" s="1"/>
  <c r="S207" i="2" s="1"/>
  <c r="T207" i="2" s="1"/>
  <c r="U207" i="2" s="1"/>
  <c r="V207" i="2" s="1"/>
  <c r="W207" i="2" s="1"/>
  <c r="X207" i="2" s="1"/>
  <c r="Y207" i="2" s="1"/>
  <c r="Z207" i="2" s="1"/>
  <c r="AA207" i="2" s="1"/>
  <c r="AB207" i="2" s="1"/>
  <c r="AC207" i="2" s="1"/>
  <c r="AD207" i="2" s="1"/>
  <c r="AE207" i="2" s="1"/>
  <c r="AF207" i="2" s="1"/>
  <c r="E207" i="2"/>
  <c r="F207" i="2" s="1"/>
  <c r="G207" i="2" s="1"/>
  <c r="D207" i="2"/>
  <c r="C207" i="2"/>
  <c r="H206" i="2"/>
  <c r="I206" i="2" s="1"/>
  <c r="J206" i="2" s="1"/>
  <c r="K206" i="2" s="1"/>
  <c r="L206" i="2" s="1"/>
  <c r="M206" i="2" s="1"/>
  <c r="N206" i="2" s="1"/>
  <c r="O206" i="2" s="1"/>
  <c r="P206" i="2" s="1"/>
  <c r="Q206" i="2" s="1"/>
  <c r="R206" i="2" s="1"/>
  <c r="S206" i="2" s="1"/>
  <c r="T206" i="2" s="1"/>
  <c r="U206" i="2" s="1"/>
  <c r="V206" i="2" s="1"/>
  <c r="W206" i="2" s="1"/>
  <c r="X206" i="2" s="1"/>
  <c r="Y206" i="2" s="1"/>
  <c r="Z206" i="2" s="1"/>
  <c r="AA206" i="2" s="1"/>
  <c r="AB206" i="2" s="1"/>
  <c r="AC206" i="2" s="1"/>
  <c r="AD206" i="2" s="1"/>
  <c r="AE206" i="2" s="1"/>
  <c r="AF206" i="2" s="1"/>
  <c r="D206" i="2"/>
  <c r="E206" i="2" s="1"/>
  <c r="F206" i="2" s="1"/>
  <c r="G206" i="2" s="1"/>
  <c r="C206" i="2"/>
  <c r="G205" i="2"/>
  <c r="H205" i="2" s="1"/>
  <c r="I205" i="2" s="1"/>
  <c r="J205" i="2" s="1"/>
  <c r="K205" i="2" s="1"/>
  <c r="L205" i="2" s="1"/>
  <c r="M205" i="2" s="1"/>
  <c r="N205" i="2" s="1"/>
  <c r="O205" i="2" s="1"/>
  <c r="P205" i="2" s="1"/>
  <c r="Q205" i="2" s="1"/>
  <c r="R205" i="2" s="1"/>
  <c r="S205" i="2" s="1"/>
  <c r="T205" i="2" s="1"/>
  <c r="U205" i="2" s="1"/>
  <c r="V205" i="2" s="1"/>
  <c r="W205" i="2" s="1"/>
  <c r="X205" i="2" s="1"/>
  <c r="Y205" i="2" s="1"/>
  <c r="Z205" i="2" s="1"/>
  <c r="AA205" i="2" s="1"/>
  <c r="AB205" i="2" s="1"/>
  <c r="AC205" i="2" s="1"/>
  <c r="AD205" i="2" s="1"/>
  <c r="AE205" i="2" s="1"/>
  <c r="AF205" i="2" s="1"/>
  <c r="F205" i="2"/>
  <c r="D205" i="2"/>
  <c r="E205" i="2" s="1"/>
  <c r="C205" i="2"/>
  <c r="E204" i="2"/>
  <c r="F204" i="2" s="1"/>
  <c r="G204" i="2" s="1"/>
  <c r="H204" i="2" s="1"/>
  <c r="I204" i="2" s="1"/>
  <c r="J204" i="2" s="1"/>
  <c r="K204" i="2" s="1"/>
  <c r="L204" i="2" s="1"/>
  <c r="M204" i="2" s="1"/>
  <c r="N204" i="2" s="1"/>
  <c r="O204" i="2" s="1"/>
  <c r="P204" i="2" s="1"/>
  <c r="Q204" i="2" s="1"/>
  <c r="R204" i="2" s="1"/>
  <c r="S204" i="2" s="1"/>
  <c r="T204" i="2" s="1"/>
  <c r="U204" i="2" s="1"/>
  <c r="V204" i="2" s="1"/>
  <c r="W204" i="2" s="1"/>
  <c r="X204" i="2" s="1"/>
  <c r="Y204" i="2" s="1"/>
  <c r="Z204" i="2" s="1"/>
  <c r="AA204" i="2" s="1"/>
  <c r="AB204" i="2" s="1"/>
  <c r="AC204" i="2" s="1"/>
  <c r="AD204" i="2" s="1"/>
  <c r="AE204" i="2" s="1"/>
  <c r="AF204" i="2" s="1"/>
  <c r="D204" i="2"/>
  <c r="C204" i="2"/>
  <c r="M203" i="2"/>
  <c r="N203" i="2" s="1"/>
  <c r="O203" i="2" s="1"/>
  <c r="P203" i="2" s="1"/>
  <c r="Q203" i="2" s="1"/>
  <c r="R203" i="2" s="1"/>
  <c r="S203" i="2" s="1"/>
  <c r="T203" i="2" s="1"/>
  <c r="U203" i="2" s="1"/>
  <c r="V203" i="2" s="1"/>
  <c r="W203" i="2" s="1"/>
  <c r="X203" i="2" s="1"/>
  <c r="Y203" i="2" s="1"/>
  <c r="Z203" i="2" s="1"/>
  <c r="AA203" i="2" s="1"/>
  <c r="AB203" i="2" s="1"/>
  <c r="AC203" i="2" s="1"/>
  <c r="AD203" i="2" s="1"/>
  <c r="AE203" i="2" s="1"/>
  <c r="AF203" i="2" s="1"/>
  <c r="I203" i="2"/>
  <c r="J203" i="2" s="1"/>
  <c r="K203" i="2" s="1"/>
  <c r="L203" i="2" s="1"/>
  <c r="D203" i="2"/>
  <c r="E203" i="2" s="1"/>
  <c r="F203" i="2" s="1"/>
  <c r="G203" i="2" s="1"/>
  <c r="H203" i="2" s="1"/>
  <c r="C203" i="2"/>
  <c r="F202" i="2"/>
  <c r="G202" i="2" s="1"/>
  <c r="H202" i="2" s="1"/>
  <c r="I202" i="2" s="1"/>
  <c r="J202" i="2" s="1"/>
  <c r="K202" i="2" s="1"/>
  <c r="L202" i="2" s="1"/>
  <c r="M202" i="2" s="1"/>
  <c r="N202" i="2" s="1"/>
  <c r="O202" i="2" s="1"/>
  <c r="P202" i="2" s="1"/>
  <c r="Q202" i="2" s="1"/>
  <c r="R202" i="2" s="1"/>
  <c r="S202" i="2" s="1"/>
  <c r="T202" i="2" s="1"/>
  <c r="U202" i="2" s="1"/>
  <c r="V202" i="2" s="1"/>
  <c r="W202" i="2" s="1"/>
  <c r="X202" i="2" s="1"/>
  <c r="Y202" i="2" s="1"/>
  <c r="Z202" i="2" s="1"/>
  <c r="AA202" i="2" s="1"/>
  <c r="AB202" i="2" s="1"/>
  <c r="AC202" i="2" s="1"/>
  <c r="AD202" i="2" s="1"/>
  <c r="AE202" i="2" s="1"/>
  <c r="AF202" i="2" s="1"/>
  <c r="C202" i="2"/>
  <c r="D202" i="2" s="1"/>
  <c r="E202" i="2" s="1"/>
  <c r="D201" i="2"/>
  <c r="E201" i="2" s="1"/>
  <c r="F201" i="2" s="1"/>
  <c r="G201" i="2" s="1"/>
  <c r="H201" i="2" s="1"/>
  <c r="I201" i="2" s="1"/>
  <c r="J201" i="2" s="1"/>
  <c r="K201" i="2" s="1"/>
  <c r="L201" i="2" s="1"/>
  <c r="M201" i="2" s="1"/>
  <c r="N201" i="2" s="1"/>
  <c r="O201" i="2" s="1"/>
  <c r="P201" i="2" s="1"/>
  <c r="Q201" i="2" s="1"/>
  <c r="R201" i="2" s="1"/>
  <c r="S201" i="2" s="1"/>
  <c r="T201" i="2" s="1"/>
  <c r="U201" i="2" s="1"/>
  <c r="V201" i="2" s="1"/>
  <c r="W201" i="2" s="1"/>
  <c r="X201" i="2" s="1"/>
  <c r="Y201" i="2" s="1"/>
  <c r="Z201" i="2" s="1"/>
  <c r="AA201" i="2" s="1"/>
  <c r="AB201" i="2" s="1"/>
  <c r="AC201" i="2" s="1"/>
  <c r="AD201" i="2" s="1"/>
  <c r="AE201" i="2" s="1"/>
  <c r="AF201" i="2" s="1"/>
  <c r="C201" i="2"/>
  <c r="D200" i="2"/>
  <c r="E200" i="2" s="1"/>
  <c r="F200" i="2" s="1"/>
  <c r="G200" i="2" s="1"/>
  <c r="H200" i="2" s="1"/>
  <c r="I200" i="2" s="1"/>
  <c r="J200" i="2" s="1"/>
  <c r="K200" i="2" s="1"/>
  <c r="L200" i="2" s="1"/>
  <c r="M200" i="2" s="1"/>
  <c r="N200" i="2" s="1"/>
  <c r="O200" i="2" s="1"/>
  <c r="P200" i="2" s="1"/>
  <c r="Q200" i="2" s="1"/>
  <c r="R200" i="2" s="1"/>
  <c r="S200" i="2" s="1"/>
  <c r="T200" i="2" s="1"/>
  <c r="U200" i="2" s="1"/>
  <c r="V200" i="2" s="1"/>
  <c r="W200" i="2" s="1"/>
  <c r="X200" i="2" s="1"/>
  <c r="Y200" i="2" s="1"/>
  <c r="Z200" i="2" s="1"/>
  <c r="AA200" i="2" s="1"/>
  <c r="AB200" i="2" s="1"/>
  <c r="AC200" i="2" s="1"/>
  <c r="AD200" i="2" s="1"/>
  <c r="AE200" i="2" s="1"/>
  <c r="AF200" i="2" s="1"/>
  <c r="C200" i="2"/>
  <c r="F199" i="2"/>
  <c r="G199" i="2" s="1"/>
  <c r="H199" i="2" s="1"/>
  <c r="I199" i="2" s="1"/>
  <c r="J199" i="2" s="1"/>
  <c r="K199" i="2" s="1"/>
  <c r="L199" i="2" s="1"/>
  <c r="M199" i="2" s="1"/>
  <c r="N199" i="2" s="1"/>
  <c r="O199" i="2" s="1"/>
  <c r="P199" i="2" s="1"/>
  <c r="Q199" i="2" s="1"/>
  <c r="R199" i="2" s="1"/>
  <c r="S199" i="2" s="1"/>
  <c r="T199" i="2" s="1"/>
  <c r="U199" i="2" s="1"/>
  <c r="V199" i="2" s="1"/>
  <c r="W199" i="2" s="1"/>
  <c r="X199" i="2" s="1"/>
  <c r="Y199" i="2" s="1"/>
  <c r="Z199" i="2" s="1"/>
  <c r="AA199" i="2" s="1"/>
  <c r="AB199" i="2" s="1"/>
  <c r="AC199" i="2" s="1"/>
  <c r="AD199" i="2" s="1"/>
  <c r="AE199" i="2" s="1"/>
  <c r="AF199" i="2" s="1"/>
  <c r="E199" i="2"/>
  <c r="C199" i="2"/>
  <c r="D199" i="2" s="1"/>
  <c r="F198" i="2"/>
  <c r="G198" i="2" s="1"/>
  <c r="H198" i="2" s="1"/>
  <c r="I198" i="2" s="1"/>
  <c r="J198" i="2" s="1"/>
  <c r="K198" i="2" s="1"/>
  <c r="L198" i="2" s="1"/>
  <c r="M198" i="2" s="1"/>
  <c r="N198" i="2" s="1"/>
  <c r="O198" i="2" s="1"/>
  <c r="P198" i="2" s="1"/>
  <c r="Q198" i="2" s="1"/>
  <c r="R198" i="2" s="1"/>
  <c r="S198" i="2" s="1"/>
  <c r="T198" i="2" s="1"/>
  <c r="U198" i="2" s="1"/>
  <c r="V198" i="2" s="1"/>
  <c r="W198" i="2" s="1"/>
  <c r="X198" i="2" s="1"/>
  <c r="Y198" i="2" s="1"/>
  <c r="Z198" i="2" s="1"/>
  <c r="AA198" i="2" s="1"/>
  <c r="AB198" i="2" s="1"/>
  <c r="AC198" i="2" s="1"/>
  <c r="AD198" i="2" s="1"/>
  <c r="AE198" i="2" s="1"/>
  <c r="AF198" i="2" s="1"/>
  <c r="D198" i="2"/>
  <c r="E198" i="2" s="1"/>
  <c r="C198" i="2"/>
  <c r="L197" i="2"/>
  <c r="M197" i="2" s="1"/>
  <c r="N197" i="2" s="1"/>
  <c r="O197" i="2" s="1"/>
  <c r="P197" i="2" s="1"/>
  <c r="Q197" i="2" s="1"/>
  <c r="R197" i="2" s="1"/>
  <c r="S197" i="2" s="1"/>
  <c r="T197" i="2" s="1"/>
  <c r="U197" i="2" s="1"/>
  <c r="V197" i="2" s="1"/>
  <c r="W197" i="2" s="1"/>
  <c r="X197" i="2" s="1"/>
  <c r="Y197" i="2" s="1"/>
  <c r="Z197" i="2" s="1"/>
  <c r="AA197" i="2" s="1"/>
  <c r="AB197" i="2" s="1"/>
  <c r="AC197" i="2" s="1"/>
  <c r="AD197" i="2" s="1"/>
  <c r="AE197" i="2" s="1"/>
  <c r="AF197" i="2" s="1"/>
  <c r="H197" i="2"/>
  <c r="I197" i="2" s="1"/>
  <c r="J197" i="2" s="1"/>
  <c r="K197" i="2" s="1"/>
  <c r="G197" i="2"/>
  <c r="F197" i="2"/>
  <c r="E197" i="2"/>
  <c r="D197" i="2"/>
  <c r="C197" i="2"/>
  <c r="F196" i="2"/>
  <c r="G196" i="2" s="1"/>
  <c r="H196" i="2" s="1"/>
  <c r="I196" i="2" s="1"/>
  <c r="J196" i="2" s="1"/>
  <c r="K196" i="2" s="1"/>
  <c r="L196" i="2" s="1"/>
  <c r="M196" i="2" s="1"/>
  <c r="N196" i="2" s="1"/>
  <c r="O196" i="2" s="1"/>
  <c r="P196" i="2" s="1"/>
  <c r="Q196" i="2" s="1"/>
  <c r="R196" i="2" s="1"/>
  <c r="S196" i="2" s="1"/>
  <c r="T196" i="2" s="1"/>
  <c r="U196" i="2" s="1"/>
  <c r="V196" i="2" s="1"/>
  <c r="W196" i="2" s="1"/>
  <c r="X196" i="2" s="1"/>
  <c r="Y196" i="2" s="1"/>
  <c r="Z196" i="2" s="1"/>
  <c r="AA196" i="2" s="1"/>
  <c r="AB196" i="2" s="1"/>
  <c r="AC196" i="2" s="1"/>
  <c r="AD196" i="2" s="1"/>
  <c r="AE196" i="2" s="1"/>
  <c r="AF196" i="2" s="1"/>
  <c r="C196" i="2"/>
  <c r="D196" i="2" s="1"/>
  <c r="E196" i="2" s="1"/>
  <c r="H195" i="2"/>
  <c r="I195" i="2" s="1"/>
  <c r="J195" i="2" s="1"/>
  <c r="K195" i="2" s="1"/>
  <c r="L195" i="2" s="1"/>
  <c r="M195" i="2" s="1"/>
  <c r="N195" i="2" s="1"/>
  <c r="O195" i="2" s="1"/>
  <c r="P195" i="2" s="1"/>
  <c r="Q195" i="2" s="1"/>
  <c r="R195" i="2" s="1"/>
  <c r="S195" i="2" s="1"/>
  <c r="T195" i="2" s="1"/>
  <c r="U195" i="2" s="1"/>
  <c r="V195" i="2" s="1"/>
  <c r="W195" i="2" s="1"/>
  <c r="X195" i="2" s="1"/>
  <c r="Y195" i="2" s="1"/>
  <c r="Z195" i="2" s="1"/>
  <c r="AA195" i="2" s="1"/>
  <c r="AB195" i="2" s="1"/>
  <c r="AC195" i="2" s="1"/>
  <c r="AD195" i="2" s="1"/>
  <c r="AE195" i="2" s="1"/>
  <c r="AF195" i="2" s="1"/>
  <c r="D195" i="2"/>
  <c r="E195" i="2" s="1"/>
  <c r="F195" i="2" s="1"/>
  <c r="G195" i="2" s="1"/>
  <c r="C195" i="2"/>
  <c r="F194" i="2"/>
  <c r="G194" i="2" s="1"/>
  <c r="H194" i="2" s="1"/>
  <c r="I194" i="2" s="1"/>
  <c r="J194" i="2" s="1"/>
  <c r="K194" i="2" s="1"/>
  <c r="L194" i="2" s="1"/>
  <c r="M194" i="2" s="1"/>
  <c r="N194" i="2" s="1"/>
  <c r="O194" i="2" s="1"/>
  <c r="P194" i="2" s="1"/>
  <c r="Q194" i="2" s="1"/>
  <c r="R194" i="2" s="1"/>
  <c r="S194" i="2" s="1"/>
  <c r="T194" i="2" s="1"/>
  <c r="U194" i="2" s="1"/>
  <c r="V194" i="2" s="1"/>
  <c r="W194" i="2" s="1"/>
  <c r="X194" i="2" s="1"/>
  <c r="Y194" i="2" s="1"/>
  <c r="Z194" i="2" s="1"/>
  <c r="AA194" i="2" s="1"/>
  <c r="AB194" i="2" s="1"/>
  <c r="AC194" i="2" s="1"/>
  <c r="AD194" i="2" s="1"/>
  <c r="AE194" i="2" s="1"/>
  <c r="AF194" i="2" s="1"/>
  <c r="D194" i="2"/>
  <c r="E194" i="2" s="1"/>
  <c r="C194" i="2"/>
  <c r="D193" i="2"/>
  <c r="E193" i="2" s="1"/>
  <c r="F193" i="2" s="1"/>
  <c r="G193" i="2" s="1"/>
  <c r="H193" i="2" s="1"/>
  <c r="I193" i="2" s="1"/>
  <c r="J193" i="2" s="1"/>
  <c r="K193" i="2" s="1"/>
  <c r="L193" i="2" s="1"/>
  <c r="M193" i="2" s="1"/>
  <c r="N193" i="2" s="1"/>
  <c r="O193" i="2" s="1"/>
  <c r="P193" i="2" s="1"/>
  <c r="Q193" i="2" s="1"/>
  <c r="R193" i="2" s="1"/>
  <c r="S193" i="2" s="1"/>
  <c r="T193" i="2" s="1"/>
  <c r="U193" i="2" s="1"/>
  <c r="V193" i="2" s="1"/>
  <c r="W193" i="2" s="1"/>
  <c r="X193" i="2" s="1"/>
  <c r="Y193" i="2" s="1"/>
  <c r="Z193" i="2" s="1"/>
  <c r="AA193" i="2" s="1"/>
  <c r="AB193" i="2" s="1"/>
  <c r="AC193" i="2" s="1"/>
  <c r="AD193" i="2" s="1"/>
  <c r="AE193" i="2" s="1"/>
  <c r="AF193" i="2" s="1"/>
  <c r="C193" i="2"/>
  <c r="C192" i="2"/>
  <c r="D192" i="2" s="1"/>
  <c r="E192" i="2" s="1"/>
  <c r="F192" i="2" s="1"/>
  <c r="G192" i="2" s="1"/>
  <c r="H192" i="2" s="1"/>
  <c r="I192" i="2" s="1"/>
  <c r="J192" i="2" s="1"/>
  <c r="K192" i="2" s="1"/>
  <c r="L192" i="2" s="1"/>
  <c r="M192" i="2" s="1"/>
  <c r="N192" i="2" s="1"/>
  <c r="O192" i="2" s="1"/>
  <c r="P192" i="2" s="1"/>
  <c r="Q192" i="2" s="1"/>
  <c r="R192" i="2" s="1"/>
  <c r="S192" i="2" s="1"/>
  <c r="T192" i="2" s="1"/>
  <c r="U192" i="2" s="1"/>
  <c r="V192" i="2" s="1"/>
  <c r="W192" i="2" s="1"/>
  <c r="X192" i="2" s="1"/>
  <c r="Y192" i="2" s="1"/>
  <c r="Z192" i="2" s="1"/>
  <c r="AA192" i="2" s="1"/>
  <c r="AB192" i="2" s="1"/>
  <c r="AC192" i="2" s="1"/>
  <c r="AD192" i="2" s="1"/>
  <c r="AE192" i="2" s="1"/>
  <c r="AF192" i="2" s="1"/>
  <c r="J191" i="2"/>
  <c r="K191" i="2" s="1"/>
  <c r="L191" i="2" s="1"/>
  <c r="M191" i="2" s="1"/>
  <c r="N191" i="2" s="1"/>
  <c r="O191" i="2" s="1"/>
  <c r="P191" i="2" s="1"/>
  <c r="Q191" i="2" s="1"/>
  <c r="R191" i="2" s="1"/>
  <c r="S191" i="2" s="1"/>
  <c r="T191" i="2" s="1"/>
  <c r="U191" i="2" s="1"/>
  <c r="V191" i="2" s="1"/>
  <c r="W191" i="2" s="1"/>
  <c r="X191" i="2" s="1"/>
  <c r="Y191" i="2" s="1"/>
  <c r="Z191" i="2" s="1"/>
  <c r="AA191" i="2" s="1"/>
  <c r="AB191" i="2" s="1"/>
  <c r="AC191" i="2" s="1"/>
  <c r="AD191" i="2" s="1"/>
  <c r="AE191" i="2" s="1"/>
  <c r="AF191" i="2" s="1"/>
  <c r="H191" i="2"/>
  <c r="I191" i="2" s="1"/>
  <c r="F191" i="2"/>
  <c r="G191" i="2" s="1"/>
  <c r="E191" i="2"/>
  <c r="D191" i="2"/>
  <c r="C191" i="2"/>
  <c r="I190" i="2"/>
  <c r="J190" i="2" s="1"/>
  <c r="K190" i="2" s="1"/>
  <c r="L190" i="2" s="1"/>
  <c r="M190" i="2" s="1"/>
  <c r="N190" i="2" s="1"/>
  <c r="O190" i="2" s="1"/>
  <c r="P190" i="2" s="1"/>
  <c r="Q190" i="2" s="1"/>
  <c r="R190" i="2" s="1"/>
  <c r="S190" i="2" s="1"/>
  <c r="T190" i="2" s="1"/>
  <c r="U190" i="2" s="1"/>
  <c r="V190" i="2" s="1"/>
  <c r="W190" i="2" s="1"/>
  <c r="X190" i="2" s="1"/>
  <c r="Y190" i="2" s="1"/>
  <c r="Z190" i="2" s="1"/>
  <c r="AA190" i="2" s="1"/>
  <c r="AB190" i="2" s="1"/>
  <c r="AC190" i="2" s="1"/>
  <c r="AD190" i="2" s="1"/>
  <c r="AE190" i="2" s="1"/>
  <c r="AF190" i="2" s="1"/>
  <c r="E190" i="2"/>
  <c r="F190" i="2" s="1"/>
  <c r="G190" i="2" s="1"/>
  <c r="H190" i="2" s="1"/>
  <c r="C190" i="2"/>
  <c r="D190" i="2" s="1"/>
  <c r="G189" i="2"/>
  <c r="H189" i="2" s="1"/>
  <c r="I189" i="2" s="1"/>
  <c r="J189" i="2" s="1"/>
  <c r="K189" i="2" s="1"/>
  <c r="L189" i="2" s="1"/>
  <c r="M189" i="2" s="1"/>
  <c r="N189" i="2" s="1"/>
  <c r="O189" i="2" s="1"/>
  <c r="P189" i="2" s="1"/>
  <c r="Q189" i="2" s="1"/>
  <c r="R189" i="2" s="1"/>
  <c r="S189" i="2" s="1"/>
  <c r="T189" i="2" s="1"/>
  <c r="U189" i="2" s="1"/>
  <c r="V189" i="2" s="1"/>
  <c r="W189" i="2" s="1"/>
  <c r="X189" i="2" s="1"/>
  <c r="Y189" i="2" s="1"/>
  <c r="Z189" i="2" s="1"/>
  <c r="AA189" i="2" s="1"/>
  <c r="AB189" i="2" s="1"/>
  <c r="AC189" i="2" s="1"/>
  <c r="AD189" i="2" s="1"/>
  <c r="AE189" i="2" s="1"/>
  <c r="AF189" i="2" s="1"/>
  <c r="D189" i="2"/>
  <c r="E189" i="2" s="1"/>
  <c r="F189" i="2" s="1"/>
  <c r="C189" i="2"/>
  <c r="E188" i="2"/>
  <c r="F188" i="2" s="1"/>
  <c r="G188" i="2" s="1"/>
  <c r="H188" i="2" s="1"/>
  <c r="I188" i="2" s="1"/>
  <c r="J188" i="2" s="1"/>
  <c r="K188" i="2" s="1"/>
  <c r="L188" i="2" s="1"/>
  <c r="M188" i="2" s="1"/>
  <c r="N188" i="2" s="1"/>
  <c r="O188" i="2" s="1"/>
  <c r="P188" i="2" s="1"/>
  <c r="Q188" i="2" s="1"/>
  <c r="R188" i="2" s="1"/>
  <c r="S188" i="2" s="1"/>
  <c r="T188" i="2" s="1"/>
  <c r="U188" i="2" s="1"/>
  <c r="V188" i="2" s="1"/>
  <c r="W188" i="2" s="1"/>
  <c r="X188" i="2" s="1"/>
  <c r="Y188" i="2" s="1"/>
  <c r="Z188" i="2" s="1"/>
  <c r="AA188" i="2" s="1"/>
  <c r="AB188" i="2" s="1"/>
  <c r="AC188" i="2" s="1"/>
  <c r="AD188" i="2" s="1"/>
  <c r="AE188" i="2" s="1"/>
  <c r="AF188" i="2" s="1"/>
  <c r="D188" i="2"/>
  <c r="C188" i="2"/>
  <c r="H187" i="2"/>
  <c r="I187" i="2" s="1"/>
  <c r="J187" i="2" s="1"/>
  <c r="K187" i="2" s="1"/>
  <c r="L187" i="2" s="1"/>
  <c r="M187" i="2" s="1"/>
  <c r="N187" i="2" s="1"/>
  <c r="O187" i="2" s="1"/>
  <c r="P187" i="2" s="1"/>
  <c r="Q187" i="2" s="1"/>
  <c r="R187" i="2" s="1"/>
  <c r="S187" i="2" s="1"/>
  <c r="T187" i="2" s="1"/>
  <c r="U187" i="2" s="1"/>
  <c r="V187" i="2" s="1"/>
  <c r="W187" i="2" s="1"/>
  <c r="X187" i="2" s="1"/>
  <c r="Y187" i="2" s="1"/>
  <c r="Z187" i="2" s="1"/>
  <c r="AA187" i="2" s="1"/>
  <c r="AB187" i="2" s="1"/>
  <c r="AC187" i="2" s="1"/>
  <c r="AD187" i="2" s="1"/>
  <c r="AE187" i="2" s="1"/>
  <c r="AF187" i="2" s="1"/>
  <c r="E187" i="2"/>
  <c r="F187" i="2" s="1"/>
  <c r="G187" i="2" s="1"/>
  <c r="D187" i="2"/>
  <c r="C187" i="2"/>
  <c r="I186" i="2"/>
  <c r="J186" i="2" s="1"/>
  <c r="K186" i="2" s="1"/>
  <c r="L186" i="2" s="1"/>
  <c r="M186" i="2" s="1"/>
  <c r="N186" i="2" s="1"/>
  <c r="O186" i="2" s="1"/>
  <c r="P186" i="2" s="1"/>
  <c r="Q186" i="2" s="1"/>
  <c r="R186" i="2" s="1"/>
  <c r="S186" i="2" s="1"/>
  <c r="T186" i="2" s="1"/>
  <c r="U186" i="2" s="1"/>
  <c r="V186" i="2" s="1"/>
  <c r="W186" i="2" s="1"/>
  <c r="X186" i="2" s="1"/>
  <c r="Y186" i="2" s="1"/>
  <c r="Z186" i="2" s="1"/>
  <c r="AA186" i="2" s="1"/>
  <c r="AB186" i="2" s="1"/>
  <c r="AC186" i="2" s="1"/>
  <c r="AD186" i="2" s="1"/>
  <c r="AE186" i="2" s="1"/>
  <c r="AF186" i="2" s="1"/>
  <c r="C186" i="2"/>
  <c r="D186" i="2" s="1"/>
  <c r="E186" i="2" s="1"/>
  <c r="F186" i="2" s="1"/>
  <c r="G186" i="2" s="1"/>
  <c r="H186" i="2" s="1"/>
  <c r="D185" i="2"/>
  <c r="E185" i="2" s="1"/>
  <c r="F185" i="2" s="1"/>
  <c r="G185" i="2" s="1"/>
  <c r="H185" i="2" s="1"/>
  <c r="I185" i="2" s="1"/>
  <c r="J185" i="2" s="1"/>
  <c r="K185" i="2" s="1"/>
  <c r="L185" i="2" s="1"/>
  <c r="M185" i="2" s="1"/>
  <c r="N185" i="2" s="1"/>
  <c r="O185" i="2" s="1"/>
  <c r="P185" i="2" s="1"/>
  <c r="Q185" i="2" s="1"/>
  <c r="R185" i="2" s="1"/>
  <c r="S185" i="2" s="1"/>
  <c r="T185" i="2" s="1"/>
  <c r="U185" i="2" s="1"/>
  <c r="V185" i="2" s="1"/>
  <c r="W185" i="2" s="1"/>
  <c r="X185" i="2" s="1"/>
  <c r="Y185" i="2" s="1"/>
  <c r="Z185" i="2" s="1"/>
  <c r="AA185" i="2" s="1"/>
  <c r="AB185" i="2" s="1"/>
  <c r="AC185" i="2" s="1"/>
  <c r="AD185" i="2" s="1"/>
  <c r="AE185" i="2" s="1"/>
  <c r="AF185" i="2" s="1"/>
  <c r="C185" i="2"/>
  <c r="E184" i="2"/>
  <c r="F184" i="2" s="1"/>
  <c r="G184" i="2" s="1"/>
  <c r="H184" i="2" s="1"/>
  <c r="I184" i="2" s="1"/>
  <c r="J184" i="2" s="1"/>
  <c r="K184" i="2" s="1"/>
  <c r="L184" i="2" s="1"/>
  <c r="M184" i="2" s="1"/>
  <c r="N184" i="2" s="1"/>
  <c r="O184" i="2" s="1"/>
  <c r="P184" i="2" s="1"/>
  <c r="Q184" i="2" s="1"/>
  <c r="R184" i="2" s="1"/>
  <c r="S184" i="2" s="1"/>
  <c r="T184" i="2" s="1"/>
  <c r="U184" i="2" s="1"/>
  <c r="V184" i="2" s="1"/>
  <c r="W184" i="2" s="1"/>
  <c r="X184" i="2" s="1"/>
  <c r="Y184" i="2" s="1"/>
  <c r="Z184" i="2" s="1"/>
  <c r="AA184" i="2" s="1"/>
  <c r="AB184" i="2" s="1"/>
  <c r="AC184" i="2" s="1"/>
  <c r="AD184" i="2" s="1"/>
  <c r="AE184" i="2" s="1"/>
  <c r="AF184" i="2" s="1"/>
  <c r="D184" i="2"/>
  <c r="C184" i="2"/>
  <c r="G183" i="2"/>
  <c r="H183" i="2" s="1"/>
  <c r="I183" i="2" s="1"/>
  <c r="J183" i="2" s="1"/>
  <c r="K183" i="2" s="1"/>
  <c r="L183" i="2" s="1"/>
  <c r="M183" i="2" s="1"/>
  <c r="N183" i="2" s="1"/>
  <c r="O183" i="2" s="1"/>
  <c r="P183" i="2" s="1"/>
  <c r="Q183" i="2" s="1"/>
  <c r="R183" i="2" s="1"/>
  <c r="S183" i="2" s="1"/>
  <c r="T183" i="2" s="1"/>
  <c r="U183" i="2" s="1"/>
  <c r="V183" i="2" s="1"/>
  <c r="W183" i="2" s="1"/>
  <c r="X183" i="2" s="1"/>
  <c r="Y183" i="2" s="1"/>
  <c r="Z183" i="2" s="1"/>
  <c r="AA183" i="2" s="1"/>
  <c r="AB183" i="2" s="1"/>
  <c r="AC183" i="2" s="1"/>
  <c r="AD183" i="2" s="1"/>
  <c r="AE183" i="2" s="1"/>
  <c r="AF183" i="2" s="1"/>
  <c r="D183" i="2"/>
  <c r="E183" i="2" s="1"/>
  <c r="F183" i="2" s="1"/>
  <c r="C183" i="2"/>
  <c r="E182" i="2"/>
  <c r="F182" i="2" s="1"/>
  <c r="G182" i="2" s="1"/>
  <c r="H182" i="2" s="1"/>
  <c r="I182" i="2" s="1"/>
  <c r="J182" i="2" s="1"/>
  <c r="K182" i="2" s="1"/>
  <c r="L182" i="2" s="1"/>
  <c r="M182" i="2" s="1"/>
  <c r="N182" i="2" s="1"/>
  <c r="O182" i="2" s="1"/>
  <c r="P182" i="2" s="1"/>
  <c r="Q182" i="2" s="1"/>
  <c r="R182" i="2" s="1"/>
  <c r="S182" i="2" s="1"/>
  <c r="T182" i="2" s="1"/>
  <c r="U182" i="2" s="1"/>
  <c r="V182" i="2" s="1"/>
  <c r="W182" i="2" s="1"/>
  <c r="X182" i="2" s="1"/>
  <c r="Y182" i="2" s="1"/>
  <c r="Z182" i="2" s="1"/>
  <c r="AA182" i="2" s="1"/>
  <c r="AB182" i="2" s="1"/>
  <c r="AC182" i="2" s="1"/>
  <c r="AD182" i="2" s="1"/>
  <c r="AE182" i="2" s="1"/>
  <c r="AF182" i="2" s="1"/>
  <c r="C182" i="2"/>
  <c r="D182" i="2" s="1"/>
  <c r="C181" i="2"/>
  <c r="D181" i="2" s="1"/>
  <c r="E181" i="2" s="1"/>
  <c r="F181" i="2" s="1"/>
  <c r="G181" i="2" s="1"/>
  <c r="H181" i="2" s="1"/>
  <c r="I181" i="2" s="1"/>
  <c r="J181" i="2" s="1"/>
  <c r="K181" i="2" s="1"/>
  <c r="L181" i="2" s="1"/>
  <c r="M181" i="2" s="1"/>
  <c r="N181" i="2" s="1"/>
  <c r="O181" i="2" s="1"/>
  <c r="P181" i="2" s="1"/>
  <c r="Q181" i="2" s="1"/>
  <c r="R181" i="2" s="1"/>
  <c r="S181" i="2" s="1"/>
  <c r="T181" i="2" s="1"/>
  <c r="U181" i="2" s="1"/>
  <c r="V181" i="2" s="1"/>
  <c r="W181" i="2" s="1"/>
  <c r="X181" i="2" s="1"/>
  <c r="Y181" i="2" s="1"/>
  <c r="Z181" i="2" s="1"/>
  <c r="AA181" i="2" s="1"/>
  <c r="AB181" i="2" s="1"/>
  <c r="AC181" i="2" s="1"/>
  <c r="AD181" i="2" s="1"/>
  <c r="AE181" i="2" s="1"/>
  <c r="AF181" i="2" s="1"/>
  <c r="G180" i="2"/>
  <c r="H180" i="2" s="1"/>
  <c r="I180" i="2" s="1"/>
  <c r="J180" i="2" s="1"/>
  <c r="K180" i="2" s="1"/>
  <c r="L180" i="2" s="1"/>
  <c r="M180" i="2" s="1"/>
  <c r="N180" i="2" s="1"/>
  <c r="O180" i="2" s="1"/>
  <c r="P180" i="2" s="1"/>
  <c r="Q180" i="2" s="1"/>
  <c r="R180" i="2" s="1"/>
  <c r="S180" i="2" s="1"/>
  <c r="T180" i="2" s="1"/>
  <c r="U180" i="2" s="1"/>
  <c r="V180" i="2" s="1"/>
  <c r="W180" i="2" s="1"/>
  <c r="X180" i="2" s="1"/>
  <c r="Y180" i="2" s="1"/>
  <c r="Z180" i="2" s="1"/>
  <c r="AA180" i="2" s="1"/>
  <c r="AB180" i="2" s="1"/>
  <c r="AC180" i="2" s="1"/>
  <c r="AD180" i="2" s="1"/>
  <c r="AE180" i="2" s="1"/>
  <c r="AF180" i="2" s="1"/>
  <c r="E180" i="2"/>
  <c r="F180" i="2" s="1"/>
  <c r="D180" i="2"/>
  <c r="C180" i="2"/>
  <c r="C179" i="2"/>
  <c r="D179" i="2" s="1"/>
  <c r="E179" i="2" s="1"/>
  <c r="F179" i="2" s="1"/>
  <c r="G179" i="2" s="1"/>
  <c r="H179" i="2" s="1"/>
  <c r="I179" i="2" s="1"/>
  <c r="J179" i="2" s="1"/>
  <c r="K179" i="2" s="1"/>
  <c r="L179" i="2" s="1"/>
  <c r="M179" i="2" s="1"/>
  <c r="N179" i="2" s="1"/>
  <c r="O179" i="2" s="1"/>
  <c r="P179" i="2" s="1"/>
  <c r="Q179" i="2" s="1"/>
  <c r="R179" i="2" s="1"/>
  <c r="S179" i="2" s="1"/>
  <c r="T179" i="2" s="1"/>
  <c r="U179" i="2" s="1"/>
  <c r="V179" i="2" s="1"/>
  <c r="W179" i="2" s="1"/>
  <c r="X179" i="2" s="1"/>
  <c r="Y179" i="2" s="1"/>
  <c r="Z179" i="2" s="1"/>
  <c r="AA179" i="2" s="1"/>
  <c r="AB179" i="2" s="1"/>
  <c r="AC179" i="2" s="1"/>
  <c r="AD179" i="2" s="1"/>
  <c r="AE179" i="2" s="1"/>
  <c r="AF179" i="2" s="1"/>
  <c r="C178" i="2"/>
  <c r="D178" i="2" s="1"/>
  <c r="E178" i="2" s="1"/>
  <c r="F178" i="2" s="1"/>
  <c r="G178" i="2" s="1"/>
  <c r="D177" i="2"/>
  <c r="E177" i="2" s="1"/>
  <c r="F177" i="2" s="1"/>
  <c r="G177" i="2" s="1"/>
  <c r="H177" i="2" s="1"/>
  <c r="I177" i="2" s="1"/>
  <c r="J177" i="2" s="1"/>
  <c r="K177" i="2" s="1"/>
  <c r="L177" i="2" s="1"/>
  <c r="M177" i="2" s="1"/>
  <c r="N177" i="2" s="1"/>
  <c r="O177" i="2" s="1"/>
  <c r="P177" i="2" s="1"/>
  <c r="Q177" i="2" s="1"/>
  <c r="R177" i="2" s="1"/>
  <c r="S177" i="2" s="1"/>
  <c r="T177" i="2" s="1"/>
  <c r="U177" i="2" s="1"/>
  <c r="V177" i="2" s="1"/>
  <c r="W177" i="2" s="1"/>
  <c r="X177" i="2" s="1"/>
  <c r="Y177" i="2" s="1"/>
  <c r="Z177" i="2" s="1"/>
  <c r="AA177" i="2" s="1"/>
  <c r="AB177" i="2" s="1"/>
  <c r="AC177" i="2" s="1"/>
  <c r="AD177" i="2" s="1"/>
  <c r="AE177" i="2" s="1"/>
  <c r="AF177" i="2" s="1"/>
  <c r="C177" i="2"/>
  <c r="C176" i="2"/>
  <c r="D176" i="2" s="1"/>
  <c r="E176" i="2" s="1"/>
  <c r="F176" i="2" s="1"/>
  <c r="G176" i="2" s="1"/>
  <c r="H176" i="2" s="1"/>
  <c r="I176" i="2" s="1"/>
  <c r="J176" i="2" s="1"/>
  <c r="K176" i="2" s="1"/>
  <c r="L176" i="2" s="1"/>
  <c r="M176" i="2" s="1"/>
  <c r="N176" i="2" s="1"/>
  <c r="O176" i="2" s="1"/>
  <c r="P176" i="2" s="1"/>
  <c r="Q176" i="2" s="1"/>
  <c r="R176" i="2" s="1"/>
  <c r="S176" i="2" s="1"/>
  <c r="T176" i="2" s="1"/>
  <c r="U176" i="2" s="1"/>
  <c r="V176" i="2" s="1"/>
  <c r="W176" i="2" s="1"/>
  <c r="X176" i="2" s="1"/>
  <c r="Y176" i="2" s="1"/>
  <c r="Z176" i="2" s="1"/>
  <c r="AA176" i="2" s="1"/>
  <c r="AB176" i="2" s="1"/>
  <c r="AC176" i="2" s="1"/>
  <c r="AD176" i="2" s="1"/>
  <c r="AE176" i="2" s="1"/>
  <c r="AF176" i="2" s="1"/>
  <c r="AN175" i="2"/>
  <c r="AM175" i="2"/>
  <c r="G175" i="2"/>
  <c r="H175" i="2" s="1"/>
  <c r="I175" i="2" s="1"/>
  <c r="J175" i="2" s="1"/>
  <c r="K175" i="2" s="1"/>
  <c r="L175" i="2" s="1"/>
  <c r="M175" i="2" s="1"/>
  <c r="N175" i="2" s="1"/>
  <c r="O175" i="2" s="1"/>
  <c r="P175" i="2" s="1"/>
  <c r="Q175" i="2" s="1"/>
  <c r="R175" i="2" s="1"/>
  <c r="S175" i="2" s="1"/>
  <c r="T175" i="2" s="1"/>
  <c r="U175" i="2" s="1"/>
  <c r="V175" i="2" s="1"/>
  <c r="W175" i="2" s="1"/>
  <c r="X175" i="2" s="1"/>
  <c r="Y175" i="2" s="1"/>
  <c r="Z175" i="2" s="1"/>
  <c r="AA175" i="2" s="1"/>
  <c r="AB175" i="2" s="1"/>
  <c r="AC175" i="2" s="1"/>
  <c r="AD175" i="2" s="1"/>
  <c r="AE175" i="2" s="1"/>
  <c r="AF175" i="2" s="1"/>
  <c r="D175" i="2"/>
  <c r="E175" i="2" s="1"/>
  <c r="F175" i="2" s="1"/>
  <c r="C175" i="2"/>
  <c r="AO174" i="2"/>
  <c r="C174" i="2"/>
  <c r="D174" i="2" s="1"/>
  <c r="E174" i="2" s="1"/>
  <c r="F174" i="2" s="1"/>
  <c r="G174" i="2" s="1"/>
  <c r="H174" i="2" s="1"/>
  <c r="I174" i="2" s="1"/>
  <c r="J174" i="2" s="1"/>
  <c r="K174" i="2" s="1"/>
  <c r="L174" i="2" s="1"/>
  <c r="M174" i="2" s="1"/>
  <c r="N174" i="2" s="1"/>
  <c r="O174" i="2" s="1"/>
  <c r="P174" i="2" s="1"/>
  <c r="Q174" i="2" s="1"/>
  <c r="R174" i="2" s="1"/>
  <c r="S174" i="2" s="1"/>
  <c r="T174" i="2" s="1"/>
  <c r="U174" i="2" s="1"/>
  <c r="V174" i="2" s="1"/>
  <c r="W174" i="2" s="1"/>
  <c r="X174" i="2" s="1"/>
  <c r="Y174" i="2" s="1"/>
  <c r="Z174" i="2" s="1"/>
  <c r="AA174" i="2" s="1"/>
  <c r="AB174" i="2" s="1"/>
  <c r="AC174" i="2" s="1"/>
  <c r="AD174" i="2" s="1"/>
  <c r="AE174" i="2" s="1"/>
  <c r="AF174" i="2" s="1"/>
  <c r="AO173" i="2"/>
  <c r="F173" i="2"/>
  <c r="G173" i="2" s="1"/>
  <c r="H173" i="2" s="1"/>
  <c r="I173" i="2" s="1"/>
  <c r="J173" i="2" s="1"/>
  <c r="K173" i="2" s="1"/>
  <c r="L173" i="2" s="1"/>
  <c r="M173" i="2" s="1"/>
  <c r="N173" i="2" s="1"/>
  <c r="O173" i="2" s="1"/>
  <c r="P173" i="2" s="1"/>
  <c r="Q173" i="2" s="1"/>
  <c r="R173" i="2" s="1"/>
  <c r="S173" i="2" s="1"/>
  <c r="T173" i="2" s="1"/>
  <c r="U173" i="2" s="1"/>
  <c r="V173" i="2" s="1"/>
  <c r="W173" i="2" s="1"/>
  <c r="X173" i="2" s="1"/>
  <c r="Y173" i="2" s="1"/>
  <c r="Z173" i="2" s="1"/>
  <c r="AA173" i="2" s="1"/>
  <c r="AB173" i="2" s="1"/>
  <c r="AC173" i="2" s="1"/>
  <c r="AD173" i="2" s="1"/>
  <c r="AE173" i="2" s="1"/>
  <c r="AF173" i="2" s="1"/>
  <c r="E173" i="2"/>
  <c r="D173" i="2"/>
  <c r="C173" i="2"/>
  <c r="AO172" i="2"/>
  <c r="AO175" i="2" s="1"/>
  <c r="E172" i="2"/>
  <c r="F172" i="2" s="1"/>
  <c r="G172" i="2" s="1"/>
  <c r="H172" i="2" s="1"/>
  <c r="I172" i="2" s="1"/>
  <c r="J172" i="2" s="1"/>
  <c r="K172" i="2" s="1"/>
  <c r="L172" i="2" s="1"/>
  <c r="M172" i="2" s="1"/>
  <c r="N172" i="2" s="1"/>
  <c r="O172" i="2" s="1"/>
  <c r="P172" i="2" s="1"/>
  <c r="Q172" i="2" s="1"/>
  <c r="R172" i="2" s="1"/>
  <c r="S172" i="2" s="1"/>
  <c r="T172" i="2" s="1"/>
  <c r="U172" i="2" s="1"/>
  <c r="V172" i="2" s="1"/>
  <c r="W172" i="2" s="1"/>
  <c r="X172" i="2" s="1"/>
  <c r="Y172" i="2" s="1"/>
  <c r="Z172" i="2" s="1"/>
  <c r="AA172" i="2" s="1"/>
  <c r="AB172" i="2" s="1"/>
  <c r="AC172" i="2" s="1"/>
  <c r="AD172" i="2" s="1"/>
  <c r="AE172" i="2" s="1"/>
  <c r="AF172" i="2" s="1"/>
  <c r="D172" i="2"/>
  <c r="C172" i="2"/>
  <c r="G171" i="2"/>
  <c r="H171" i="2" s="1"/>
  <c r="I171" i="2" s="1"/>
  <c r="J171" i="2" s="1"/>
  <c r="K171" i="2" s="1"/>
  <c r="L171" i="2" s="1"/>
  <c r="M171" i="2" s="1"/>
  <c r="N171" i="2" s="1"/>
  <c r="O171" i="2" s="1"/>
  <c r="P171" i="2" s="1"/>
  <c r="Q171" i="2" s="1"/>
  <c r="R171" i="2" s="1"/>
  <c r="S171" i="2" s="1"/>
  <c r="T171" i="2" s="1"/>
  <c r="U171" i="2" s="1"/>
  <c r="V171" i="2" s="1"/>
  <c r="W171" i="2" s="1"/>
  <c r="X171" i="2" s="1"/>
  <c r="Y171" i="2" s="1"/>
  <c r="Z171" i="2" s="1"/>
  <c r="F171" i="2"/>
  <c r="D171" i="2"/>
  <c r="E171" i="2" s="1"/>
  <c r="C171" i="2"/>
  <c r="E170" i="2"/>
  <c r="D170" i="2"/>
  <c r="C170" i="2"/>
  <c r="AM168" i="2"/>
  <c r="AG168" i="2"/>
  <c r="AN167" i="2"/>
  <c r="AO167" i="2" s="1"/>
  <c r="C167" i="2"/>
  <c r="D167" i="2" s="1"/>
  <c r="E167" i="2" s="1"/>
  <c r="F167" i="2" s="1"/>
  <c r="G167" i="2" s="1"/>
  <c r="H167" i="2" s="1"/>
  <c r="I167" i="2" s="1"/>
  <c r="J167" i="2" s="1"/>
  <c r="K167" i="2" s="1"/>
  <c r="L167" i="2" s="1"/>
  <c r="M167" i="2" s="1"/>
  <c r="N167" i="2" s="1"/>
  <c r="O167" i="2" s="1"/>
  <c r="P167" i="2" s="1"/>
  <c r="Q167" i="2" s="1"/>
  <c r="R167" i="2" s="1"/>
  <c r="S167" i="2" s="1"/>
  <c r="T167" i="2" s="1"/>
  <c r="U167" i="2" s="1"/>
  <c r="V167" i="2" s="1"/>
  <c r="W167" i="2" s="1"/>
  <c r="X167" i="2" s="1"/>
  <c r="Y167" i="2" s="1"/>
  <c r="Z167" i="2" s="1"/>
  <c r="AA167" i="2" s="1"/>
  <c r="AB167" i="2" s="1"/>
  <c r="AC167" i="2" s="1"/>
  <c r="AD167" i="2" s="1"/>
  <c r="AE167" i="2" s="1"/>
  <c r="AF167" i="2" s="1"/>
  <c r="AO166" i="2"/>
  <c r="AN166" i="2"/>
  <c r="D166" i="2"/>
  <c r="E166" i="2" s="1"/>
  <c r="F166" i="2" s="1"/>
  <c r="G166" i="2" s="1"/>
  <c r="H166" i="2" s="1"/>
  <c r="I166" i="2" s="1"/>
  <c r="J166" i="2" s="1"/>
  <c r="K166" i="2" s="1"/>
  <c r="L166" i="2" s="1"/>
  <c r="M166" i="2" s="1"/>
  <c r="N166" i="2" s="1"/>
  <c r="O166" i="2" s="1"/>
  <c r="P166" i="2" s="1"/>
  <c r="Q166" i="2" s="1"/>
  <c r="R166" i="2" s="1"/>
  <c r="S166" i="2" s="1"/>
  <c r="T166" i="2" s="1"/>
  <c r="U166" i="2" s="1"/>
  <c r="V166" i="2" s="1"/>
  <c r="W166" i="2" s="1"/>
  <c r="X166" i="2" s="1"/>
  <c r="Y166" i="2" s="1"/>
  <c r="Z166" i="2" s="1"/>
  <c r="AA166" i="2" s="1"/>
  <c r="AB166" i="2" s="1"/>
  <c r="AC166" i="2" s="1"/>
  <c r="AD166" i="2" s="1"/>
  <c r="AE166" i="2" s="1"/>
  <c r="AF166" i="2" s="1"/>
  <c r="C166" i="2"/>
  <c r="AO165" i="2"/>
  <c r="AN165" i="2"/>
  <c r="D165" i="2"/>
  <c r="E165" i="2" s="1"/>
  <c r="F165" i="2" s="1"/>
  <c r="G165" i="2" s="1"/>
  <c r="H165" i="2" s="1"/>
  <c r="I165" i="2" s="1"/>
  <c r="J165" i="2" s="1"/>
  <c r="K165" i="2" s="1"/>
  <c r="L165" i="2" s="1"/>
  <c r="M165" i="2" s="1"/>
  <c r="N165" i="2" s="1"/>
  <c r="O165" i="2" s="1"/>
  <c r="P165" i="2" s="1"/>
  <c r="Q165" i="2" s="1"/>
  <c r="R165" i="2" s="1"/>
  <c r="S165" i="2" s="1"/>
  <c r="T165" i="2" s="1"/>
  <c r="U165" i="2" s="1"/>
  <c r="V165" i="2" s="1"/>
  <c r="W165" i="2" s="1"/>
  <c r="X165" i="2" s="1"/>
  <c r="Y165" i="2" s="1"/>
  <c r="Z165" i="2" s="1"/>
  <c r="AA165" i="2" s="1"/>
  <c r="AB165" i="2" s="1"/>
  <c r="AC165" i="2" s="1"/>
  <c r="AD165" i="2" s="1"/>
  <c r="AE165" i="2" s="1"/>
  <c r="AF165" i="2" s="1"/>
  <c r="C165" i="2"/>
  <c r="AN164" i="2"/>
  <c r="AO164" i="2" s="1"/>
  <c r="C164" i="2"/>
  <c r="D164" i="2" s="1"/>
  <c r="E164" i="2" s="1"/>
  <c r="F164" i="2" s="1"/>
  <c r="G164" i="2" s="1"/>
  <c r="H164" i="2" s="1"/>
  <c r="I164" i="2" s="1"/>
  <c r="J164" i="2" s="1"/>
  <c r="K164" i="2" s="1"/>
  <c r="L164" i="2" s="1"/>
  <c r="M164" i="2" s="1"/>
  <c r="N164" i="2" s="1"/>
  <c r="O164" i="2" s="1"/>
  <c r="P164" i="2" s="1"/>
  <c r="Q164" i="2" s="1"/>
  <c r="R164" i="2" s="1"/>
  <c r="S164" i="2" s="1"/>
  <c r="T164" i="2" s="1"/>
  <c r="U164" i="2" s="1"/>
  <c r="V164" i="2" s="1"/>
  <c r="W164" i="2" s="1"/>
  <c r="X164" i="2" s="1"/>
  <c r="Y164" i="2" s="1"/>
  <c r="Z164" i="2" s="1"/>
  <c r="AA164" i="2" s="1"/>
  <c r="AB164" i="2" s="1"/>
  <c r="AC164" i="2" s="1"/>
  <c r="AD164" i="2" s="1"/>
  <c r="AE164" i="2" s="1"/>
  <c r="AF164" i="2" s="1"/>
  <c r="AN163" i="2"/>
  <c r="AO163" i="2" s="1"/>
  <c r="C163" i="2"/>
  <c r="D163" i="2" s="1"/>
  <c r="E163" i="2" s="1"/>
  <c r="F163" i="2" s="1"/>
  <c r="G163" i="2" s="1"/>
  <c r="H163" i="2" s="1"/>
  <c r="I163" i="2" s="1"/>
  <c r="J163" i="2" s="1"/>
  <c r="K163" i="2" s="1"/>
  <c r="L163" i="2" s="1"/>
  <c r="M163" i="2" s="1"/>
  <c r="N163" i="2" s="1"/>
  <c r="O163" i="2" s="1"/>
  <c r="P163" i="2" s="1"/>
  <c r="Q163" i="2" s="1"/>
  <c r="R163" i="2" s="1"/>
  <c r="S163" i="2" s="1"/>
  <c r="T163" i="2" s="1"/>
  <c r="U163" i="2" s="1"/>
  <c r="V163" i="2" s="1"/>
  <c r="W163" i="2" s="1"/>
  <c r="X163" i="2" s="1"/>
  <c r="Y163" i="2" s="1"/>
  <c r="Z163" i="2" s="1"/>
  <c r="AA163" i="2" s="1"/>
  <c r="AB163" i="2" s="1"/>
  <c r="AC163" i="2" s="1"/>
  <c r="AD163" i="2" s="1"/>
  <c r="AE163" i="2" s="1"/>
  <c r="AF163" i="2" s="1"/>
  <c r="AN162" i="2"/>
  <c r="AO162" i="2" s="1"/>
  <c r="C162" i="2"/>
  <c r="C168" i="2" s="1"/>
  <c r="AN161" i="2"/>
  <c r="AO161" i="2" s="1"/>
  <c r="AO160" i="2"/>
  <c r="AN160" i="2"/>
  <c r="AF160" i="2"/>
  <c r="AF160" i="2" a="1"/>
  <c r="AE160" i="2" a="1"/>
  <c r="AE160" i="2" s="1"/>
  <c r="AD160" i="2" a="1"/>
  <c r="AD160" i="2" s="1"/>
  <c r="AC160" i="2" a="1"/>
  <c r="AC160" i="2" s="1"/>
  <c r="AB160" i="2" a="1"/>
  <c r="AB160" i="2" s="1"/>
  <c r="AA160" i="2" a="1"/>
  <c r="AA160" i="2" s="1"/>
  <c r="Z160" i="2" a="1"/>
  <c r="Z160" i="2" s="1"/>
  <c r="Y160" i="2" a="1"/>
  <c r="Y160" i="2" s="1"/>
  <c r="X160" i="2" a="1"/>
  <c r="X160" i="2" s="1"/>
  <c r="W160" i="2" a="1"/>
  <c r="W160" i="2" s="1"/>
  <c r="V160" i="2" a="1"/>
  <c r="V160" i="2" s="1"/>
  <c r="U160" i="2" a="1"/>
  <c r="U160" i="2" s="1"/>
  <c r="T160" i="2" a="1"/>
  <c r="T160" i="2" s="1"/>
  <c r="S160" i="2" a="1"/>
  <c r="S160" i="2" s="1"/>
  <c r="R160" i="2" a="1"/>
  <c r="R160" i="2" s="1"/>
  <c r="Q160" i="2" a="1"/>
  <c r="Q160" i="2" s="1"/>
  <c r="P160" i="2" a="1"/>
  <c r="P160" i="2" s="1"/>
  <c r="O160" i="2" a="1"/>
  <c r="O160" i="2" s="1"/>
  <c r="N160" i="2" a="1"/>
  <c r="N160" i="2" s="1"/>
  <c r="M160" i="2" a="1"/>
  <c r="M160" i="2" s="1"/>
  <c r="L160" i="2" a="1"/>
  <c r="L160" i="2" s="1"/>
  <c r="K160" i="2" a="1"/>
  <c r="K160" i="2" s="1"/>
  <c r="J160" i="2" a="1"/>
  <c r="J160" i="2" s="1"/>
  <c r="I160" i="2" a="1"/>
  <c r="I160" i="2" s="1"/>
  <c r="H160" i="2" a="1"/>
  <c r="H160" i="2" s="1"/>
  <c r="G160" i="2" a="1"/>
  <c r="G160" i="2" s="1"/>
  <c r="B160" i="2" a="1"/>
  <c r="B160" i="2" s="1"/>
  <c r="AN159" i="2"/>
  <c r="AF159" i="2"/>
  <c r="AE159" i="2"/>
  <c r="AD159" i="2"/>
  <c r="AC159" i="2"/>
  <c r="AB159" i="2"/>
  <c r="AA159" i="2"/>
  <c r="Z159" i="2"/>
  <c r="Y159" i="2"/>
  <c r="X159" i="2"/>
  <c r="W159" i="2"/>
  <c r="V159" i="2"/>
  <c r="U159" i="2"/>
  <c r="T159" i="2"/>
  <c r="S159" i="2"/>
  <c r="R159" i="2"/>
  <c r="Q159" i="2"/>
  <c r="P159" i="2"/>
  <c r="O159" i="2"/>
  <c r="N159" i="2"/>
  <c r="M159" i="2"/>
  <c r="L159" i="2"/>
  <c r="K159" i="2"/>
  <c r="J159" i="2"/>
  <c r="I159" i="2"/>
  <c r="H159" i="2"/>
  <c r="G159" i="2"/>
  <c r="B159" i="2"/>
  <c r="AI158" i="2"/>
  <c r="AH158" i="2"/>
  <c r="A158" i="2" a="1"/>
  <c r="A158" i="2" s="1"/>
  <c r="AI157" i="2"/>
  <c r="AH157" i="2"/>
  <c r="AI156" i="2"/>
  <c r="AH156" i="2"/>
  <c r="AM155" i="2"/>
  <c r="AI155" i="2"/>
  <c r="AH155" i="2"/>
  <c r="AN154" i="2"/>
  <c r="AI154" i="2"/>
  <c r="AH154" i="2"/>
  <c r="AN153" i="2"/>
  <c r="AO153" i="2" s="1"/>
  <c r="AI153" i="2"/>
  <c r="AH153" i="2"/>
  <c r="A153" i="2" a="1"/>
  <c r="A153" i="2" s="1"/>
  <c r="AN152" i="2"/>
  <c r="AO152" i="2" s="1"/>
  <c r="AI152" i="2"/>
  <c r="AH152" i="2"/>
  <c r="AN151" i="2"/>
  <c r="AO151" i="2" s="1"/>
  <c r="AI151" i="2"/>
  <c r="AH151" i="2"/>
  <c r="AI150" i="2"/>
  <c r="AH150" i="2"/>
  <c r="AI149" i="2"/>
  <c r="AH149" i="2"/>
  <c r="AI148" i="2"/>
  <c r="AH148" i="2"/>
  <c r="AN147" i="2"/>
  <c r="AM147" i="2"/>
  <c r="AI147" i="2"/>
  <c r="AH147" i="2"/>
  <c r="AO146" i="2"/>
  <c r="AN146" i="2"/>
  <c r="AI146" i="2"/>
  <c r="AH146" i="2"/>
  <c r="AO145" i="2"/>
  <c r="AN145" i="2"/>
  <c r="AO144" i="2"/>
  <c r="AN144" i="2"/>
  <c r="AO143" i="2"/>
  <c r="AN143" i="2"/>
  <c r="AI142" i="2"/>
  <c r="AH142" i="2"/>
  <c r="AI141" i="2"/>
  <c r="AH141" i="2"/>
  <c r="AI140" i="2"/>
  <c r="AH140" i="2"/>
  <c r="AM139" i="2"/>
  <c r="AI139" i="2"/>
  <c r="AH139" i="2"/>
  <c r="AN138" i="2"/>
  <c r="AO138" i="2" s="1"/>
  <c r="AI138" i="2"/>
  <c r="AH138" i="2"/>
  <c r="AO137" i="2"/>
  <c r="AN137" i="2"/>
  <c r="AI137" i="2"/>
  <c r="AH137" i="2"/>
  <c r="AN136" i="2"/>
  <c r="AO136" i="2" s="1"/>
  <c r="AI136" i="2"/>
  <c r="AH136" i="2"/>
  <c r="AN135" i="2"/>
  <c r="Y135" i="2"/>
  <c r="AI134" i="2"/>
  <c r="AH134" i="2"/>
  <c r="AI133" i="2"/>
  <c r="AH133" i="2"/>
  <c r="AI132" i="2"/>
  <c r="AH132" i="2"/>
  <c r="AI131" i="2"/>
  <c r="AH131" i="2"/>
  <c r="AI130" i="2"/>
  <c r="AH130" i="2"/>
  <c r="AI129" i="2"/>
  <c r="AH129" i="2"/>
  <c r="AI128" i="2"/>
  <c r="AH128" i="2"/>
  <c r="AI127" i="2"/>
  <c r="AH127" i="2"/>
  <c r="AI126" i="2"/>
  <c r="AH126" i="2"/>
  <c r="AI125" i="2"/>
  <c r="AH125" i="2"/>
  <c r="AD124" i="2"/>
  <c r="V124" i="2"/>
  <c r="AA123" i="2"/>
  <c r="U123" i="2"/>
  <c r="BC23" i="2" s="1"/>
  <c r="S123" i="2"/>
  <c r="BA23" i="2" s="1"/>
  <c r="R123" i="2"/>
  <c r="R124" i="2" s="1"/>
  <c r="AF122" i="2"/>
  <c r="AE122" i="2"/>
  <c r="AD122" i="2"/>
  <c r="AC122" i="2"/>
  <c r="AB122" i="2"/>
  <c r="AA122" i="2"/>
  <c r="Z122" i="2"/>
  <c r="Y122" i="2"/>
  <c r="X122" i="2"/>
  <c r="W122" i="2"/>
  <c r="V122" i="2"/>
  <c r="U122" i="2"/>
  <c r="T122" i="2"/>
  <c r="S122" i="2"/>
  <c r="R122" i="2"/>
  <c r="Q122" i="2"/>
  <c r="P122" i="2"/>
  <c r="O122" i="2"/>
  <c r="N122" i="2"/>
  <c r="M122" i="2"/>
  <c r="L122" i="2"/>
  <c r="K122" i="2"/>
  <c r="J122" i="2"/>
  <c r="I122" i="2"/>
  <c r="H122" i="2"/>
  <c r="G122" i="2"/>
  <c r="AF121" i="2"/>
  <c r="AE121" i="2"/>
  <c r="AD121" i="2"/>
  <c r="AC121" i="2"/>
  <c r="AB121" i="2"/>
  <c r="AA121" i="2"/>
  <c r="Z121" i="2"/>
  <c r="Y121" i="2"/>
  <c r="X121" i="2"/>
  <c r="W121" i="2"/>
  <c r="V121" i="2"/>
  <c r="U121" i="2"/>
  <c r="T121" i="2"/>
  <c r="S121" i="2"/>
  <c r="R121" i="2"/>
  <c r="Q121" i="2"/>
  <c r="P121" i="2"/>
  <c r="O121" i="2"/>
  <c r="N121" i="2"/>
  <c r="M121" i="2"/>
  <c r="L121" i="2"/>
  <c r="K121" i="2"/>
  <c r="J121" i="2"/>
  <c r="I121" i="2"/>
  <c r="H121" i="2"/>
  <c r="G121" i="2"/>
  <c r="AF120" i="2"/>
  <c r="AE120" i="2"/>
  <c r="AD120" i="2"/>
  <c r="AC120" i="2"/>
  <c r="AB120" i="2"/>
  <c r="AA120" i="2"/>
  <c r="Z120" i="2"/>
  <c r="Y120" i="2"/>
  <c r="X120" i="2"/>
  <c r="W120" i="2"/>
  <c r="V120" i="2"/>
  <c r="U120" i="2"/>
  <c r="T120" i="2"/>
  <c r="S120" i="2"/>
  <c r="R120" i="2"/>
  <c r="Q120" i="2"/>
  <c r="P120" i="2"/>
  <c r="O120" i="2"/>
  <c r="N120" i="2"/>
  <c r="M120" i="2"/>
  <c r="L120" i="2"/>
  <c r="K120" i="2"/>
  <c r="J120" i="2"/>
  <c r="I120" i="2"/>
  <c r="H120" i="2"/>
  <c r="G120" i="2"/>
  <c r="AI120" i="2"/>
  <c r="AF119" i="2"/>
  <c r="AE119" i="2"/>
  <c r="AD119" i="2"/>
  <c r="AC119" i="2"/>
  <c r="AB119" i="2"/>
  <c r="AA119" i="2"/>
  <c r="Z119" i="2"/>
  <c r="Y119" i="2"/>
  <c r="X119" i="2"/>
  <c r="W119" i="2"/>
  <c r="V119" i="2"/>
  <c r="U119" i="2"/>
  <c r="T119" i="2"/>
  <c r="S119" i="2"/>
  <c r="R119" i="2"/>
  <c r="Q119" i="2"/>
  <c r="P119" i="2"/>
  <c r="O119" i="2"/>
  <c r="N119" i="2"/>
  <c r="M119" i="2"/>
  <c r="L119" i="2"/>
  <c r="K119" i="2"/>
  <c r="J119" i="2"/>
  <c r="I119" i="2"/>
  <c r="H119" i="2"/>
  <c r="G119" i="2"/>
  <c r="AF118" i="2"/>
  <c r="AE118" i="2"/>
  <c r="AD118" i="2"/>
  <c r="AD123" i="2" s="1"/>
  <c r="BH23" i="2" s="1"/>
  <c r="AC118" i="2"/>
  <c r="AB118" i="2"/>
  <c r="AB123" i="2" s="1"/>
  <c r="AB124" i="2" s="1"/>
  <c r="AA118" i="2"/>
  <c r="Z118" i="2"/>
  <c r="Z123" i="2" s="1"/>
  <c r="Z124" i="2" s="1"/>
  <c r="Y118" i="2"/>
  <c r="X118" i="2"/>
  <c r="W118" i="2"/>
  <c r="V118" i="2"/>
  <c r="V123" i="2" s="1"/>
  <c r="U118" i="2"/>
  <c r="T118" i="2"/>
  <c r="T123" i="2" s="1"/>
  <c r="BB23" i="2" s="1"/>
  <c r="S118" i="2"/>
  <c r="R118" i="2"/>
  <c r="Q118" i="2"/>
  <c r="P118" i="2"/>
  <c r="O118" i="2"/>
  <c r="N118" i="2"/>
  <c r="M118" i="2"/>
  <c r="M123" i="2" s="1"/>
  <c r="AU23" i="2" s="1"/>
  <c r="L118" i="2"/>
  <c r="K118" i="2"/>
  <c r="J118" i="2"/>
  <c r="I118" i="2"/>
  <c r="H118" i="2"/>
  <c r="G118" i="2"/>
  <c r="AF117" i="2"/>
  <c r="AF123" i="2" s="1"/>
  <c r="AF124" i="2" s="1"/>
  <c r="AE117" i="2"/>
  <c r="AD117" i="2"/>
  <c r="AC117" i="2"/>
  <c r="AC123" i="2" s="1"/>
  <c r="AB117" i="2"/>
  <c r="AA117" i="2"/>
  <c r="Z117" i="2"/>
  <c r="Y117" i="2"/>
  <c r="Y123" i="2" s="1"/>
  <c r="X117" i="2"/>
  <c r="X123" i="2" s="1"/>
  <c r="W117" i="2"/>
  <c r="V117" i="2"/>
  <c r="U117" i="2"/>
  <c r="T117" i="2"/>
  <c r="S117" i="2"/>
  <c r="R117" i="2"/>
  <c r="Q117" i="2"/>
  <c r="Q123" i="2" s="1"/>
  <c r="AY23" i="2" s="1"/>
  <c r="P117" i="2"/>
  <c r="O117" i="2"/>
  <c r="N117" i="2"/>
  <c r="M117" i="2"/>
  <c r="L117" i="2"/>
  <c r="K117" i="2"/>
  <c r="J117" i="2"/>
  <c r="I117" i="2"/>
  <c r="H117" i="2"/>
  <c r="H123" i="2" s="1"/>
  <c r="H124" i="2" s="1"/>
  <c r="G117" i="2"/>
  <c r="AI114" i="2"/>
  <c r="AH114" i="2"/>
  <c r="V113" i="2"/>
  <c r="V115" i="2" s="1"/>
  <c r="V116" i="2" s="1"/>
  <c r="V7" i="2" s="1"/>
  <c r="AI112" i="2"/>
  <c r="AH112" i="2"/>
  <c r="AG112" i="2"/>
  <c r="AI111" i="2"/>
  <c r="AH111" i="2"/>
  <c r="AI110" i="2"/>
  <c r="AH110" i="2"/>
  <c r="AI109" i="2"/>
  <c r="AH109" i="2"/>
  <c r="AG108" i="2"/>
  <c r="AF108" i="2"/>
  <c r="AE108" i="2"/>
  <c r="AD108" i="2"/>
  <c r="AC108" i="2"/>
  <c r="AC124" i="2" s="1"/>
  <c r="AB108" i="2"/>
  <c r="AA108" i="2"/>
  <c r="Z108" i="2"/>
  <c r="Y108" i="2"/>
  <c r="X108" i="2"/>
  <c r="BE19" i="2" s="1"/>
  <c r="W108" i="2"/>
  <c r="V108" i="2"/>
  <c r="U108" i="2"/>
  <c r="T108" i="2"/>
  <c r="S108" i="2"/>
  <c r="R108" i="2"/>
  <c r="Q108" i="2"/>
  <c r="P108" i="2"/>
  <c r="O108" i="2"/>
  <c r="N108" i="2"/>
  <c r="M108" i="2"/>
  <c r="L108" i="2"/>
  <c r="K5" i="2" s="1"/>
  <c r="K108" i="2"/>
  <c r="J108" i="2"/>
  <c r="I5" i="2" s="1"/>
  <c r="I108" i="2"/>
  <c r="H5" i="2" s="1"/>
  <c r="H108" i="2"/>
  <c r="G5" i="2" s="1"/>
  <c r="G108" i="2"/>
  <c r="AI107" i="2"/>
  <c r="AH107" i="2"/>
  <c r="AI106" i="2"/>
  <c r="AH106" i="2"/>
  <c r="AI105" i="2"/>
  <c r="AH105" i="2"/>
  <c r="AI104" i="2"/>
  <c r="AH104" i="2"/>
  <c r="AI103" i="2"/>
  <c r="AH103" i="2"/>
  <c r="AI102" i="2"/>
  <c r="AH102" i="2"/>
  <c r="AI101" i="2"/>
  <c r="AH101" i="2"/>
  <c r="AI100" i="2"/>
  <c r="AH100" i="2"/>
  <c r="AI99" i="2"/>
  <c r="AH99" i="2"/>
  <c r="AI98" i="2"/>
  <c r="AH98" i="2"/>
  <c r="AI97" i="2"/>
  <c r="AH97" i="2"/>
  <c r="AG96" i="2"/>
  <c r="AG4" i="2" s="1"/>
  <c r="AF96" i="2"/>
  <c r="AE96" i="2"/>
  <c r="BI20" i="2" s="1"/>
  <c r="AD96" i="2"/>
  <c r="AC96" i="2"/>
  <c r="AB96" i="2"/>
  <c r="BG20" i="2" s="1"/>
  <c r="AA96" i="2"/>
  <c r="Z96" i="2"/>
  <c r="Y96" i="2"/>
  <c r="X96" i="2"/>
  <c r="W96" i="2"/>
  <c r="V96" i="2"/>
  <c r="U96" i="2"/>
  <c r="BC20" i="2" s="1"/>
  <c r="T96" i="2"/>
  <c r="S96" i="2"/>
  <c r="BA20" i="2" s="1"/>
  <c r="R96" i="2"/>
  <c r="Q96" i="2"/>
  <c r="AY20" i="2" s="1"/>
  <c r="P96" i="2"/>
  <c r="O96" i="2"/>
  <c r="AW20" i="2" s="1"/>
  <c r="N96" i="2"/>
  <c r="M96" i="2"/>
  <c r="AU20" i="2" s="1"/>
  <c r="L96" i="2"/>
  <c r="K96" i="2"/>
  <c r="J96" i="2"/>
  <c r="I96" i="2"/>
  <c r="AS20" i="2" s="1"/>
  <c r="H96" i="2"/>
  <c r="G96" i="2"/>
  <c r="AR20" i="2" s="1"/>
  <c r="AP20" i="2"/>
  <c r="AI95" i="2"/>
  <c r="AH95" i="2"/>
  <c r="AI94" i="2"/>
  <c r="AH94" i="2"/>
  <c r="AI93" i="2"/>
  <c r="AH93" i="2"/>
  <c r="AF92" i="2"/>
  <c r="BJ18" i="2" s="1"/>
  <c r="AE92" i="2"/>
  <c r="AD92" i="2"/>
  <c r="AC92" i="2"/>
  <c r="AB92" i="2"/>
  <c r="BG18" i="2" s="1"/>
  <c r="AA92" i="2"/>
  <c r="Z92" i="2"/>
  <c r="Y92" i="2"/>
  <c r="X92" i="2"/>
  <c r="BE18" i="2" s="1"/>
  <c r="W92" i="2"/>
  <c r="V92" i="2"/>
  <c r="BD18" i="2" s="1"/>
  <c r="BD22" i="2" s="1"/>
  <c r="BD25" i="2" s="1"/>
  <c r="U92" i="2"/>
  <c r="BC18" i="2" s="1"/>
  <c r="T92" i="2"/>
  <c r="S92" i="2"/>
  <c r="R92" i="2"/>
  <c r="Q92" i="2"/>
  <c r="AY18" i="2" s="1"/>
  <c r="P92" i="2"/>
  <c r="AX18" i="2" s="1"/>
  <c r="O92" i="2"/>
  <c r="N92" i="2"/>
  <c r="M92" i="2"/>
  <c r="AU18" i="2" s="1"/>
  <c r="L92" i="2"/>
  <c r="K92" i="2"/>
  <c r="J92" i="2"/>
  <c r="I92" i="2"/>
  <c r="H92" i="2"/>
  <c r="G92" i="2"/>
  <c r="AP18" i="2"/>
  <c r="AO18" i="2"/>
  <c r="BV91" i="2"/>
  <c r="BT91" i="2"/>
  <c r="BP91" i="2"/>
  <c r="BN91" i="2"/>
  <c r="BL91" i="2"/>
  <c r="BH91" i="2"/>
  <c r="BF91" i="2"/>
  <c r="BD91" i="2"/>
  <c r="AZ91" i="2"/>
  <c r="AI91" i="2"/>
  <c r="AH91" i="2"/>
  <c r="AG91" i="2"/>
  <c r="AG92" i="2" s="1"/>
  <c r="AG3" i="2" s="1"/>
  <c r="BW90" i="2"/>
  <c r="BV90" i="2"/>
  <c r="BS90" i="2"/>
  <c r="BR90" i="2"/>
  <c r="BQ90" i="2"/>
  <c r="BP90" i="2"/>
  <c r="BO90" i="2"/>
  <c r="BN90" i="2"/>
  <c r="BJ90" i="2"/>
  <c r="BH90" i="2"/>
  <c r="BF90" i="2"/>
  <c r="BA90" i="2"/>
  <c r="AZ90" i="2"/>
  <c r="AI90" i="2"/>
  <c r="AH90" i="2"/>
  <c r="BT89" i="2"/>
  <c r="BS89" i="2"/>
  <c r="BR89" i="2"/>
  <c r="BP89" i="2"/>
  <c r="BM89" i="2"/>
  <c r="BL89" i="2"/>
  <c r="BK89" i="2"/>
  <c r="BJ89" i="2"/>
  <c r="BI89" i="2"/>
  <c r="BH89" i="2"/>
  <c r="BD89" i="2"/>
  <c r="AZ89" i="2"/>
  <c r="AI89" i="2"/>
  <c r="AH89" i="2"/>
  <c r="BV88" i="2"/>
  <c r="BU88" i="2"/>
  <c r="BT88" i="2"/>
  <c r="BS88" i="2"/>
  <c r="BR88" i="2"/>
  <c r="BN88" i="2"/>
  <c r="BM88" i="2"/>
  <c r="BL88" i="2"/>
  <c r="BK88" i="2"/>
  <c r="BJ88" i="2"/>
  <c r="BF88" i="2"/>
  <c r="BD88" i="2"/>
  <c r="AI88" i="2"/>
  <c r="AH88" i="2"/>
  <c r="BV87" i="2"/>
  <c r="BT87" i="2"/>
  <c r="BP87" i="2"/>
  <c r="BN87" i="2"/>
  <c r="BL87" i="2"/>
  <c r="AI87" i="2"/>
  <c r="AH87" i="2"/>
  <c r="BV86" i="2"/>
  <c r="BR86" i="2"/>
  <c r="BQ86" i="2"/>
  <c r="BP86" i="2"/>
  <c r="BN86" i="2"/>
  <c r="AI86" i="2"/>
  <c r="AH86" i="2"/>
  <c r="AI85" i="2"/>
  <c r="AH85" i="2"/>
  <c r="BW84" i="2"/>
  <c r="BW91" i="2" s="1"/>
  <c r="BV84" i="2"/>
  <c r="BU84" i="2"/>
  <c r="BU91" i="2" s="1"/>
  <c r="BT84" i="2"/>
  <c r="BS84" i="2"/>
  <c r="BS91" i="2" s="1"/>
  <c r="BR84" i="2"/>
  <c r="BR91" i="2" s="1"/>
  <c r="BQ84" i="2"/>
  <c r="BQ91" i="2" s="1"/>
  <c r="BP84" i="2"/>
  <c r="BO84" i="2"/>
  <c r="BO91" i="2" s="1"/>
  <c r="BN84" i="2"/>
  <c r="BM84" i="2"/>
  <c r="BM91" i="2" s="1"/>
  <c r="BL84" i="2"/>
  <c r="BK84" i="2"/>
  <c r="BK91" i="2" s="1"/>
  <c r="BJ84" i="2"/>
  <c r="BJ91" i="2" s="1"/>
  <c r="BI84" i="2"/>
  <c r="BI91" i="2" s="1"/>
  <c r="BH84" i="2"/>
  <c r="BG84" i="2"/>
  <c r="BG91" i="2" s="1"/>
  <c r="BF84" i="2"/>
  <c r="BE84" i="2"/>
  <c r="BE91" i="2" s="1"/>
  <c r="BD84" i="2"/>
  <c r="BC84" i="2"/>
  <c r="BC91" i="2" s="1"/>
  <c r="BB84" i="2"/>
  <c r="BB91" i="2" s="1"/>
  <c r="BA84" i="2"/>
  <c r="BA91" i="2" s="1"/>
  <c r="AZ84" i="2"/>
  <c r="AI84" i="2"/>
  <c r="AH84" i="2"/>
  <c r="BW83" i="2"/>
  <c r="BV83" i="2"/>
  <c r="BU83" i="2"/>
  <c r="BU90" i="2" s="1"/>
  <c r="BT83" i="2"/>
  <c r="BT90" i="2" s="1"/>
  <c r="BS83" i="2"/>
  <c r="BR83" i="2"/>
  <c r="BQ83" i="2"/>
  <c r="BP83" i="2"/>
  <c r="BO83" i="2"/>
  <c r="BN83" i="2"/>
  <c r="BM83" i="2"/>
  <c r="BM90" i="2" s="1"/>
  <c r="BL83" i="2"/>
  <c r="BL90" i="2" s="1"/>
  <c r="BK83" i="2"/>
  <c r="BK90" i="2" s="1"/>
  <c r="BJ83" i="2"/>
  <c r="BI83" i="2"/>
  <c r="BI90" i="2" s="1"/>
  <c r="BH83" i="2"/>
  <c r="BG83" i="2"/>
  <c r="BG90" i="2" s="1"/>
  <c r="BF83" i="2"/>
  <c r="BE83" i="2"/>
  <c r="BE90" i="2" s="1"/>
  <c r="BD83" i="2"/>
  <c r="BD90" i="2" s="1"/>
  <c r="BC83" i="2"/>
  <c r="BC90" i="2" s="1"/>
  <c r="BB83" i="2"/>
  <c r="BB90" i="2" s="1"/>
  <c r="BA83" i="2"/>
  <c r="AZ83" i="2"/>
  <c r="AI83" i="2"/>
  <c r="AH83" i="2"/>
  <c r="BW82" i="2"/>
  <c r="BW89" i="2" s="1"/>
  <c r="BV82" i="2"/>
  <c r="BV89" i="2" s="1"/>
  <c r="BU82" i="2"/>
  <c r="BU89" i="2" s="1"/>
  <c r="BT82" i="2"/>
  <c r="BS82" i="2"/>
  <c r="BR82" i="2"/>
  <c r="BQ82" i="2"/>
  <c r="BQ89" i="2" s="1"/>
  <c r="BP82" i="2"/>
  <c r="BO82" i="2"/>
  <c r="BO89" i="2" s="1"/>
  <c r="BN82" i="2"/>
  <c r="BN89" i="2" s="1"/>
  <c r="BM82" i="2"/>
  <c r="BL82" i="2"/>
  <c r="BK82" i="2"/>
  <c r="BJ82" i="2"/>
  <c r="BI82" i="2"/>
  <c r="BH82" i="2"/>
  <c r="BG82" i="2"/>
  <c r="BG89" i="2" s="1"/>
  <c r="BF82" i="2"/>
  <c r="BF89" i="2" s="1"/>
  <c r="BE82" i="2"/>
  <c r="BE89" i="2" s="1"/>
  <c r="BD82" i="2"/>
  <c r="BC82" i="2"/>
  <c r="BC89" i="2" s="1"/>
  <c r="BB82" i="2"/>
  <c r="BB89" i="2" s="1"/>
  <c r="BA82" i="2"/>
  <c r="BA89" i="2" s="1"/>
  <c r="AZ82" i="2"/>
  <c r="AI82" i="2"/>
  <c r="AH82" i="2"/>
  <c r="BW81" i="2"/>
  <c r="BW88" i="2" s="1"/>
  <c r="BV81" i="2"/>
  <c r="BU81" i="2"/>
  <c r="BT81" i="2"/>
  <c r="BS81" i="2"/>
  <c r="BR81" i="2"/>
  <c r="BQ81" i="2"/>
  <c r="BQ88" i="2" s="1"/>
  <c r="BP81" i="2"/>
  <c r="BP88" i="2" s="1"/>
  <c r="BO81" i="2"/>
  <c r="BO88" i="2" s="1"/>
  <c r="BN81" i="2"/>
  <c r="BM81" i="2"/>
  <c r="BL81" i="2"/>
  <c r="BK81" i="2"/>
  <c r="BJ81" i="2"/>
  <c r="BI81" i="2"/>
  <c r="BI88" i="2" s="1"/>
  <c r="BH81" i="2"/>
  <c r="BH88" i="2" s="1"/>
  <c r="BG81" i="2"/>
  <c r="BG88" i="2" s="1"/>
  <c r="BF81" i="2"/>
  <c r="BE81" i="2"/>
  <c r="BE88" i="2" s="1"/>
  <c r="BD81" i="2"/>
  <c r="BC81" i="2"/>
  <c r="BC88" i="2" s="1"/>
  <c r="BB81" i="2"/>
  <c r="BB88" i="2" s="1"/>
  <c r="BA81" i="2"/>
  <c r="BA88" i="2" s="1"/>
  <c r="AZ81" i="2"/>
  <c r="AI81" i="2"/>
  <c r="AH81" i="2"/>
  <c r="BW80" i="2"/>
  <c r="BW87" i="2" s="1"/>
  <c r="BV80" i="2"/>
  <c r="BU80" i="2"/>
  <c r="BU87" i="2" s="1"/>
  <c r="BT80" i="2"/>
  <c r="BS80" i="2"/>
  <c r="BS87" i="2" s="1"/>
  <c r="BR80" i="2"/>
  <c r="BR87" i="2" s="1"/>
  <c r="BQ80" i="2"/>
  <c r="BQ87" i="2" s="1"/>
  <c r="BP80" i="2"/>
  <c r="BO80" i="2"/>
  <c r="BO87" i="2" s="1"/>
  <c r="BN80" i="2"/>
  <c r="BM80" i="2"/>
  <c r="BM87" i="2" s="1"/>
  <c r="BL80" i="2"/>
  <c r="BK80" i="2"/>
  <c r="BK87" i="2" s="1"/>
  <c r="BJ80" i="2"/>
  <c r="BJ87" i="2" s="1"/>
  <c r="BI80" i="2"/>
  <c r="BI87" i="2" s="1"/>
  <c r="BH80" i="2"/>
  <c r="BH87" i="2" s="1"/>
  <c r="BG80" i="2"/>
  <c r="BG87" i="2" s="1"/>
  <c r="BF80" i="2"/>
  <c r="BF87" i="2" s="1"/>
  <c r="BE80" i="2"/>
  <c r="BE87" i="2" s="1"/>
  <c r="BD80" i="2"/>
  <c r="BD87" i="2" s="1"/>
  <c r="BC80" i="2"/>
  <c r="BC87" i="2" s="1"/>
  <c r="BB80" i="2"/>
  <c r="BB87" i="2" s="1"/>
  <c r="BA80" i="2"/>
  <c r="BA87" i="2" s="1"/>
  <c r="AZ80" i="2"/>
  <c r="AZ87" i="2" s="1"/>
  <c r="AI80" i="2"/>
  <c r="AH80" i="2"/>
  <c r="BW79" i="2"/>
  <c r="BW86" i="2" s="1"/>
  <c r="BV79" i="2"/>
  <c r="BU79" i="2"/>
  <c r="BU86" i="2" s="1"/>
  <c r="BT79" i="2"/>
  <c r="BT86" i="2" s="1"/>
  <c r="BS79" i="2"/>
  <c r="BS86" i="2" s="1"/>
  <c r="BR79" i="2"/>
  <c r="BQ79" i="2"/>
  <c r="BP79" i="2"/>
  <c r="BO79" i="2"/>
  <c r="BO86" i="2" s="1"/>
  <c r="BN79" i="2"/>
  <c r="BM79" i="2"/>
  <c r="BM86" i="2" s="1"/>
  <c r="BL79" i="2"/>
  <c r="BL86" i="2" s="1"/>
  <c r="BK79" i="2"/>
  <c r="BK86" i="2" s="1"/>
  <c r="BJ79" i="2"/>
  <c r="BJ86" i="2" s="1"/>
  <c r="BI79" i="2"/>
  <c r="BI86" i="2" s="1"/>
  <c r="BH79" i="2"/>
  <c r="BH86" i="2" s="1"/>
  <c r="BG79" i="2"/>
  <c r="BG86" i="2" s="1"/>
  <c r="BF79" i="2"/>
  <c r="BF86" i="2" s="1"/>
  <c r="BE79" i="2"/>
  <c r="BE86" i="2" s="1"/>
  <c r="BD79" i="2"/>
  <c r="BD86" i="2" s="1"/>
  <c r="BC79" i="2"/>
  <c r="BC86" i="2" s="1"/>
  <c r="BB79" i="2"/>
  <c r="BB86" i="2" s="1"/>
  <c r="BA79" i="2"/>
  <c r="BA86" i="2" s="1"/>
  <c r="AZ79" i="2"/>
  <c r="AZ86" i="2" s="1"/>
  <c r="AI79" i="2"/>
  <c r="AH79" i="2"/>
  <c r="AG78" i="2"/>
  <c r="AF78" i="2"/>
  <c r="AE78" i="2"/>
  <c r="BI17" i="2" s="1"/>
  <c r="AD78" i="2"/>
  <c r="AC78" i="2"/>
  <c r="AB78" i="2"/>
  <c r="AA78" i="2"/>
  <c r="Z78" i="2"/>
  <c r="Y78" i="2"/>
  <c r="X78" i="2"/>
  <c r="W78" i="2"/>
  <c r="V78" i="2"/>
  <c r="U78" i="2"/>
  <c r="BC17" i="2" s="1"/>
  <c r="T78" i="2"/>
  <c r="S78" i="2"/>
  <c r="BA17" i="2" s="1"/>
  <c r="R78" i="2"/>
  <c r="AZ17" i="2" s="1"/>
  <c r="Q78" i="2"/>
  <c r="AY17" i="2" s="1"/>
  <c r="AW17" i="2"/>
  <c r="L78" i="2"/>
  <c r="K78" i="2"/>
  <c r="AT17" i="2" s="1"/>
  <c r="J78" i="2"/>
  <c r="I78" i="2"/>
  <c r="AS17" i="2" s="1"/>
  <c r="H78" i="2"/>
  <c r="G78" i="2"/>
  <c r="AR17" i="2" s="1"/>
  <c r="AN17" i="2"/>
  <c r="AI77" i="2"/>
  <c r="AH77" i="2"/>
  <c r="AI76" i="2"/>
  <c r="AH76" i="2"/>
  <c r="AI75" i="2"/>
  <c r="AH75" i="2"/>
  <c r="AI74" i="2"/>
  <c r="AH74" i="2"/>
  <c r="AI73" i="2"/>
  <c r="AH73" i="2"/>
  <c r="AI72" i="2"/>
  <c r="AH72" i="2"/>
  <c r="AG71" i="2"/>
  <c r="AF71" i="2"/>
  <c r="AE71" i="2"/>
  <c r="AD71" i="2"/>
  <c r="AC71" i="2"/>
  <c r="AB71" i="2"/>
  <c r="AA71" i="2"/>
  <c r="Z71" i="2"/>
  <c r="Y71" i="2"/>
  <c r="X71" i="2"/>
  <c r="W71" i="2"/>
  <c r="W113" i="2" s="1"/>
  <c r="W115" i="2" s="1"/>
  <c r="V71" i="2"/>
  <c r="U71" i="2"/>
  <c r="T71" i="2"/>
  <c r="P71" i="2"/>
  <c r="O71" i="2"/>
  <c r="N71" i="2"/>
  <c r="M71" i="2"/>
  <c r="L71" i="2"/>
  <c r="K71" i="2"/>
  <c r="AT16" i="2" s="1"/>
  <c r="J71" i="2"/>
  <c r="I71" i="2"/>
  <c r="H71" i="2"/>
  <c r="G71" i="2"/>
  <c r="AR16" i="2" s="1"/>
  <c r="AI70" i="2"/>
  <c r="AH70" i="2"/>
  <c r="AI69" i="2"/>
  <c r="AH69" i="2"/>
  <c r="AI68" i="2"/>
  <c r="AH68" i="2"/>
  <c r="AI67" i="2"/>
  <c r="AH67" i="2"/>
  <c r="AI66" i="2"/>
  <c r="AH66" i="2"/>
  <c r="AI65" i="2"/>
  <c r="AH65" i="2"/>
  <c r="AI64" i="2"/>
  <c r="AH64" i="2"/>
  <c r="AI63" i="2"/>
  <c r="AH63" i="2"/>
  <c r="AI62" i="2"/>
  <c r="AH62" i="2"/>
  <c r="AI61" i="2"/>
  <c r="AH61" i="2"/>
  <c r="AI60" i="2"/>
  <c r="AH60" i="2"/>
  <c r="AI59" i="2"/>
  <c r="AH59" i="2"/>
  <c r="AI58" i="2"/>
  <c r="AH58" i="2"/>
  <c r="AI57" i="2"/>
  <c r="AH57" i="2"/>
  <c r="AI56" i="2"/>
  <c r="AH56" i="2"/>
  <c r="AI55" i="2"/>
  <c r="AH55" i="2"/>
  <c r="AI54" i="2"/>
  <c r="AH54" i="2"/>
  <c r="AI53" i="2"/>
  <c r="AH53" i="2"/>
  <c r="AI52" i="2"/>
  <c r="AH52" i="2"/>
  <c r="AI51" i="2"/>
  <c r="AH51" i="2"/>
  <c r="AI50" i="2"/>
  <c r="AH50" i="2"/>
  <c r="AI49" i="2"/>
  <c r="AH49" i="2"/>
  <c r="AI48" i="2"/>
  <c r="AH48" i="2"/>
  <c r="AI47" i="2"/>
  <c r="AH47" i="2"/>
  <c r="AI46" i="2"/>
  <c r="AH46" i="2"/>
  <c r="AI45" i="2"/>
  <c r="AH45" i="2"/>
  <c r="AI44" i="2"/>
  <c r="AH44" i="2"/>
  <c r="AI43" i="2"/>
  <c r="AH43" i="2"/>
  <c r="AI42" i="2"/>
  <c r="AH42" i="2"/>
  <c r="AI41" i="2"/>
  <c r="AH41" i="2"/>
  <c r="AI40" i="2"/>
  <c r="AH40" i="2"/>
  <c r="AI39" i="2"/>
  <c r="AH39" i="2"/>
  <c r="AI38" i="2"/>
  <c r="AH38" i="2"/>
  <c r="AI37" i="2"/>
  <c r="AH37" i="2"/>
  <c r="AI36" i="2"/>
  <c r="AH36" i="2"/>
  <c r="AI35" i="2"/>
  <c r="AH35" i="2"/>
  <c r="AI34" i="2"/>
  <c r="AH34" i="2"/>
  <c r="AI33" i="2"/>
  <c r="AH33" i="2"/>
  <c r="AI32" i="2"/>
  <c r="AH32" i="2"/>
  <c r="AI31" i="2"/>
  <c r="AH31" i="2"/>
  <c r="AI30" i="2"/>
  <c r="AH30" i="2"/>
  <c r="AI29" i="2"/>
  <c r="AH29" i="2"/>
  <c r="AI28" i="2"/>
  <c r="AH28" i="2"/>
  <c r="AI27" i="2"/>
  <c r="AH27" i="2"/>
  <c r="AI26" i="2"/>
  <c r="AH26" i="2"/>
  <c r="AI25" i="2"/>
  <c r="AH25" i="2"/>
  <c r="AI24" i="2"/>
  <c r="AH24" i="2"/>
  <c r="BJ23" i="2"/>
  <c r="BG23" i="2"/>
  <c r="BF23" i="2"/>
  <c r="BD23" i="2"/>
  <c r="AQ23" i="2"/>
  <c r="AP23" i="2"/>
  <c r="AI23" i="2"/>
  <c r="AH23" i="2"/>
  <c r="AI22" i="2"/>
  <c r="AH22" i="2"/>
  <c r="BJ21" i="2"/>
  <c r="BI21" i="2"/>
  <c r="BH21" i="2"/>
  <c r="BG21" i="2"/>
  <c r="BF21" i="2"/>
  <c r="BE21" i="2"/>
  <c r="BD21" i="2"/>
  <c r="BC21" i="2"/>
  <c r="BB21" i="2"/>
  <c r="BA21" i="2"/>
  <c r="AZ21" i="2"/>
  <c r="AY21" i="2"/>
  <c r="AX21" i="2"/>
  <c r="AW21" i="2"/>
  <c r="AV21" i="2"/>
  <c r="AU21" i="2"/>
  <c r="AT21" i="2"/>
  <c r="AS21" i="2"/>
  <c r="AR21" i="2"/>
  <c r="AQ21" i="2"/>
  <c r="AP21" i="2"/>
  <c r="AO21" i="2"/>
  <c r="AN21" i="2"/>
  <c r="AM21" i="2"/>
  <c r="AI21" i="2"/>
  <c r="AH21" i="2"/>
  <c r="BJ20" i="2"/>
  <c r="BH20" i="2"/>
  <c r="BF20" i="2"/>
  <c r="BE20" i="2"/>
  <c r="BD20" i="2"/>
  <c r="AZ20" i="2"/>
  <c r="AX20" i="2"/>
  <c r="AV20" i="2"/>
  <c r="AT20" i="2"/>
  <c r="AQ20" i="2"/>
  <c r="AO20" i="2"/>
  <c r="AN20" i="2"/>
  <c r="AI20" i="2"/>
  <c r="AH20" i="2"/>
  <c r="BJ19" i="2"/>
  <c r="BH19" i="2"/>
  <c r="BF19" i="2"/>
  <c r="BD19" i="2"/>
  <c r="BB19" i="2"/>
  <c r="AZ19" i="2"/>
  <c r="AY19" i="2"/>
  <c r="AX19" i="2"/>
  <c r="AV19" i="2"/>
  <c r="AQ19" i="2"/>
  <c r="AP19" i="2"/>
  <c r="AN19" i="2"/>
  <c r="AM19" i="2"/>
  <c r="AI19" i="2"/>
  <c r="AH19" i="2"/>
  <c r="BI18" i="2"/>
  <c r="BF18" i="2"/>
  <c r="BB18" i="2"/>
  <c r="BA18" i="2"/>
  <c r="AZ18" i="2"/>
  <c r="AW18" i="2"/>
  <c r="AT18" i="2"/>
  <c r="AS18" i="2"/>
  <c r="AR18" i="2"/>
  <c r="AI18" i="2"/>
  <c r="AH18" i="2"/>
  <c r="BJ17" i="2"/>
  <c r="BH17" i="2"/>
  <c r="BG17" i="2"/>
  <c r="BE17" i="2"/>
  <c r="BD17" i="2"/>
  <c r="BB17" i="2"/>
  <c r="AX17" i="2"/>
  <c r="AV17" i="2"/>
  <c r="AU17" i="2"/>
  <c r="AQ17" i="2"/>
  <c r="AP17" i="2"/>
  <c r="AI17" i="2"/>
  <c r="AH17" i="2"/>
  <c r="BH16" i="2"/>
  <c r="BG16" i="2"/>
  <c r="BF16" i="2"/>
  <c r="BD16" i="2"/>
  <c r="BB16" i="2"/>
  <c r="AZ16" i="2"/>
  <c r="AV16" i="2"/>
  <c r="AQ16" i="2"/>
  <c r="AP16" i="2"/>
  <c r="AN16" i="2"/>
  <c r="AI16" i="2"/>
  <c r="AH16" i="2"/>
  <c r="AI15" i="2"/>
  <c r="AH15" i="2"/>
  <c r="AI14" i="2"/>
  <c r="AH14" i="2"/>
  <c r="AI13" i="2"/>
  <c r="AH13" i="2"/>
  <c r="AL12" i="2"/>
  <c r="AI12" i="2"/>
  <c r="AH12" i="2"/>
  <c r="AI11" i="2"/>
  <c r="AH11" i="2"/>
  <c r="K6" i="2"/>
  <c r="AF5" i="2"/>
  <c r="AE5" i="2"/>
  <c r="AC5" i="2"/>
  <c r="AB5" i="2"/>
  <c r="Z5" i="2"/>
  <c r="Y5" i="2"/>
  <c r="X5" i="2"/>
  <c r="W5" i="2"/>
  <c r="U5" i="2"/>
  <c r="R5" i="2"/>
  <c r="Q5" i="2"/>
  <c r="P5" i="2"/>
  <c r="O5" i="2"/>
  <c r="M5" i="2"/>
  <c r="L5" i="2"/>
  <c r="E5" i="2"/>
  <c r="B5" i="2"/>
  <c r="K4" i="2"/>
  <c r="E4" i="2"/>
  <c r="H4" i="2" s="1"/>
  <c r="B4" i="2"/>
  <c r="AL13" i="2" s="1"/>
  <c r="AG275" i="1"/>
  <c r="B275" i="1"/>
  <c r="C274" i="1"/>
  <c r="D274" i="1" s="1"/>
  <c r="E274" i="1" s="1"/>
  <c r="F274" i="1" s="1"/>
  <c r="G274" i="1" s="1"/>
  <c r="H274" i="1" s="1"/>
  <c r="I274" i="1" s="1"/>
  <c r="J274" i="1" s="1"/>
  <c r="K274" i="1" s="1"/>
  <c r="L274" i="1" s="1"/>
  <c r="M274" i="1" s="1"/>
  <c r="N274" i="1" s="1"/>
  <c r="O274" i="1" s="1"/>
  <c r="P274" i="1" s="1"/>
  <c r="Q274" i="1" s="1"/>
  <c r="R274" i="1" s="1"/>
  <c r="S274" i="1" s="1"/>
  <c r="T274" i="1" s="1"/>
  <c r="U274" i="1" s="1"/>
  <c r="V274" i="1" s="1"/>
  <c r="W274" i="1" s="1"/>
  <c r="X274" i="1" s="1"/>
  <c r="Y274" i="1" s="1"/>
  <c r="Z274" i="1" s="1"/>
  <c r="AA274" i="1" s="1"/>
  <c r="AB274" i="1" s="1"/>
  <c r="AC274" i="1" s="1"/>
  <c r="AD274" i="1" s="1"/>
  <c r="AE274" i="1" s="1"/>
  <c r="AF274" i="1" s="1"/>
  <c r="D273" i="1"/>
  <c r="E273" i="1" s="1"/>
  <c r="F273" i="1" s="1"/>
  <c r="G273" i="1" s="1"/>
  <c r="H273" i="1" s="1"/>
  <c r="I273" i="1" s="1"/>
  <c r="J273" i="1" s="1"/>
  <c r="K273" i="1" s="1"/>
  <c r="L273" i="1" s="1"/>
  <c r="M273" i="1" s="1"/>
  <c r="N273" i="1" s="1"/>
  <c r="O273" i="1" s="1"/>
  <c r="P273" i="1" s="1"/>
  <c r="Q273" i="1" s="1"/>
  <c r="R273" i="1" s="1"/>
  <c r="S273" i="1" s="1"/>
  <c r="T273" i="1" s="1"/>
  <c r="U273" i="1" s="1"/>
  <c r="V273" i="1" s="1"/>
  <c r="W273" i="1" s="1"/>
  <c r="X273" i="1" s="1"/>
  <c r="Y273" i="1" s="1"/>
  <c r="Z273" i="1" s="1"/>
  <c r="AA273" i="1" s="1"/>
  <c r="AB273" i="1" s="1"/>
  <c r="AC273" i="1" s="1"/>
  <c r="AD273" i="1" s="1"/>
  <c r="AE273" i="1" s="1"/>
  <c r="AF273" i="1" s="1"/>
  <c r="C273" i="1"/>
  <c r="G272" i="1"/>
  <c r="H272" i="1" s="1"/>
  <c r="I272" i="1" s="1"/>
  <c r="J272" i="1" s="1"/>
  <c r="K272" i="1" s="1"/>
  <c r="L272" i="1" s="1"/>
  <c r="M272" i="1" s="1"/>
  <c r="N272" i="1" s="1"/>
  <c r="O272" i="1" s="1"/>
  <c r="P272" i="1" s="1"/>
  <c r="Q272" i="1" s="1"/>
  <c r="R272" i="1" s="1"/>
  <c r="S272" i="1" s="1"/>
  <c r="T272" i="1" s="1"/>
  <c r="U272" i="1" s="1"/>
  <c r="V272" i="1" s="1"/>
  <c r="W272" i="1" s="1"/>
  <c r="X272" i="1" s="1"/>
  <c r="Y272" i="1" s="1"/>
  <c r="Z272" i="1" s="1"/>
  <c r="AA272" i="1" s="1"/>
  <c r="AB272" i="1" s="1"/>
  <c r="AC272" i="1" s="1"/>
  <c r="AD272" i="1" s="1"/>
  <c r="AE272" i="1" s="1"/>
  <c r="AF272" i="1" s="1"/>
  <c r="C272" i="1"/>
  <c r="D272" i="1" s="1"/>
  <c r="E272" i="1" s="1"/>
  <c r="F272" i="1" s="1"/>
  <c r="M271" i="1"/>
  <c r="N271" i="1" s="1"/>
  <c r="O271" i="1" s="1"/>
  <c r="P271" i="1" s="1"/>
  <c r="Q271" i="1" s="1"/>
  <c r="R271" i="1" s="1"/>
  <c r="S271" i="1" s="1"/>
  <c r="T271" i="1" s="1"/>
  <c r="U271" i="1" s="1"/>
  <c r="V271" i="1" s="1"/>
  <c r="W271" i="1" s="1"/>
  <c r="X271" i="1" s="1"/>
  <c r="Y271" i="1" s="1"/>
  <c r="Z271" i="1" s="1"/>
  <c r="AA271" i="1" s="1"/>
  <c r="AB271" i="1" s="1"/>
  <c r="AC271" i="1" s="1"/>
  <c r="AD271" i="1" s="1"/>
  <c r="AE271" i="1" s="1"/>
  <c r="AF271" i="1" s="1"/>
  <c r="D271" i="1"/>
  <c r="E271" i="1" s="1"/>
  <c r="F271" i="1" s="1"/>
  <c r="G271" i="1" s="1"/>
  <c r="H271" i="1" s="1"/>
  <c r="I271" i="1" s="1"/>
  <c r="J271" i="1" s="1"/>
  <c r="K271" i="1" s="1"/>
  <c r="L271" i="1" s="1"/>
  <c r="C271" i="1"/>
  <c r="D270" i="1"/>
  <c r="E270" i="1" s="1"/>
  <c r="F270" i="1" s="1"/>
  <c r="G270" i="1" s="1"/>
  <c r="H270" i="1" s="1"/>
  <c r="I270" i="1" s="1"/>
  <c r="J270" i="1" s="1"/>
  <c r="K270" i="1" s="1"/>
  <c r="L270" i="1" s="1"/>
  <c r="M270" i="1" s="1"/>
  <c r="N270" i="1" s="1"/>
  <c r="O270" i="1" s="1"/>
  <c r="P270" i="1" s="1"/>
  <c r="Q270" i="1" s="1"/>
  <c r="R270" i="1" s="1"/>
  <c r="S270" i="1" s="1"/>
  <c r="T270" i="1" s="1"/>
  <c r="U270" i="1" s="1"/>
  <c r="V270" i="1" s="1"/>
  <c r="W270" i="1" s="1"/>
  <c r="X270" i="1" s="1"/>
  <c r="Y270" i="1" s="1"/>
  <c r="Z270" i="1" s="1"/>
  <c r="AA270" i="1" s="1"/>
  <c r="AB270" i="1" s="1"/>
  <c r="AC270" i="1" s="1"/>
  <c r="AD270" i="1" s="1"/>
  <c r="AE270" i="1" s="1"/>
  <c r="AF270" i="1" s="1"/>
  <c r="C270" i="1"/>
  <c r="M269" i="1"/>
  <c r="N269" i="1" s="1"/>
  <c r="O269" i="1" s="1"/>
  <c r="P269" i="1" s="1"/>
  <c r="Q269" i="1" s="1"/>
  <c r="R269" i="1" s="1"/>
  <c r="S269" i="1" s="1"/>
  <c r="T269" i="1" s="1"/>
  <c r="U269" i="1" s="1"/>
  <c r="V269" i="1" s="1"/>
  <c r="W269" i="1" s="1"/>
  <c r="X269" i="1" s="1"/>
  <c r="Y269" i="1" s="1"/>
  <c r="Z269" i="1" s="1"/>
  <c r="AA269" i="1" s="1"/>
  <c r="AB269" i="1" s="1"/>
  <c r="AC269" i="1" s="1"/>
  <c r="AD269" i="1" s="1"/>
  <c r="AE269" i="1" s="1"/>
  <c r="AF269" i="1" s="1"/>
  <c r="I269" i="1"/>
  <c r="J269" i="1" s="1"/>
  <c r="K269" i="1" s="1"/>
  <c r="L269" i="1" s="1"/>
  <c r="C269" i="1"/>
  <c r="D269" i="1" s="1"/>
  <c r="E269" i="1" s="1"/>
  <c r="F269" i="1" s="1"/>
  <c r="G269" i="1" s="1"/>
  <c r="H269" i="1" s="1"/>
  <c r="F268" i="1"/>
  <c r="G268" i="1" s="1"/>
  <c r="H268" i="1" s="1"/>
  <c r="I268" i="1" s="1"/>
  <c r="J268" i="1" s="1"/>
  <c r="K268" i="1" s="1"/>
  <c r="L268" i="1" s="1"/>
  <c r="M268" i="1" s="1"/>
  <c r="N268" i="1" s="1"/>
  <c r="O268" i="1" s="1"/>
  <c r="P268" i="1" s="1"/>
  <c r="Q268" i="1" s="1"/>
  <c r="R268" i="1" s="1"/>
  <c r="S268" i="1" s="1"/>
  <c r="T268" i="1" s="1"/>
  <c r="U268" i="1" s="1"/>
  <c r="V268" i="1" s="1"/>
  <c r="W268" i="1" s="1"/>
  <c r="X268" i="1" s="1"/>
  <c r="Y268" i="1" s="1"/>
  <c r="Z268" i="1" s="1"/>
  <c r="AA268" i="1" s="1"/>
  <c r="AB268" i="1" s="1"/>
  <c r="AC268" i="1" s="1"/>
  <c r="AD268" i="1" s="1"/>
  <c r="AE268" i="1" s="1"/>
  <c r="AF268" i="1" s="1"/>
  <c r="D268" i="1"/>
  <c r="E268" i="1" s="1"/>
  <c r="C268" i="1"/>
  <c r="Q267" i="1"/>
  <c r="R267" i="1" s="1"/>
  <c r="S267" i="1" s="1"/>
  <c r="T267" i="1" s="1"/>
  <c r="U267" i="1" s="1"/>
  <c r="V267" i="1" s="1"/>
  <c r="W267" i="1" s="1"/>
  <c r="X267" i="1" s="1"/>
  <c r="Y267" i="1" s="1"/>
  <c r="Z267" i="1" s="1"/>
  <c r="AA267" i="1" s="1"/>
  <c r="AB267" i="1" s="1"/>
  <c r="AC267" i="1" s="1"/>
  <c r="AD267" i="1" s="1"/>
  <c r="AE267" i="1" s="1"/>
  <c r="AF267" i="1" s="1"/>
  <c r="O267" i="1"/>
  <c r="P267" i="1" s="1"/>
  <c r="G267" i="1"/>
  <c r="H267" i="1" s="1"/>
  <c r="I267" i="1" s="1"/>
  <c r="J267" i="1" s="1"/>
  <c r="K267" i="1" s="1"/>
  <c r="L267" i="1" s="1"/>
  <c r="M267" i="1" s="1"/>
  <c r="N267" i="1" s="1"/>
  <c r="F267" i="1"/>
  <c r="E267" i="1"/>
  <c r="D267" i="1"/>
  <c r="C267" i="1"/>
  <c r="M266" i="1"/>
  <c r="N266" i="1" s="1"/>
  <c r="O266" i="1" s="1"/>
  <c r="P266" i="1" s="1"/>
  <c r="Q266" i="1" s="1"/>
  <c r="R266" i="1" s="1"/>
  <c r="S266" i="1" s="1"/>
  <c r="T266" i="1" s="1"/>
  <c r="U266" i="1" s="1"/>
  <c r="V266" i="1" s="1"/>
  <c r="W266" i="1" s="1"/>
  <c r="X266" i="1" s="1"/>
  <c r="Y266" i="1" s="1"/>
  <c r="Z266" i="1" s="1"/>
  <c r="AA266" i="1" s="1"/>
  <c r="AB266" i="1" s="1"/>
  <c r="AC266" i="1" s="1"/>
  <c r="AD266" i="1" s="1"/>
  <c r="AE266" i="1" s="1"/>
  <c r="AF266" i="1" s="1"/>
  <c r="K266" i="1"/>
  <c r="L266" i="1" s="1"/>
  <c r="C266" i="1"/>
  <c r="D266" i="1" s="1"/>
  <c r="E266" i="1" s="1"/>
  <c r="F266" i="1" s="1"/>
  <c r="G266" i="1" s="1"/>
  <c r="H266" i="1" s="1"/>
  <c r="I266" i="1" s="1"/>
  <c r="J266" i="1" s="1"/>
  <c r="D265" i="1"/>
  <c r="E265" i="1" s="1"/>
  <c r="F265" i="1" s="1"/>
  <c r="G265" i="1" s="1"/>
  <c r="H265" i="1" s="1"/>
  <c r="I265" i="1" s="1"/>
  <c r="J265" i="1" s="1"/>
  <c r="K265" i="1" s="1"/>
  <c r="L265" i="1" s="1"/>
  <c r="M265" i="1" s="1"/>
  <c r="N265" i="1" s="1"/>
  <c r="O265" i="1" s="1"/>
  <c r="P265" i="1" s="1"/>
  <c r="Q265" i="1" s="1"/>
  <c r="R265" i="1" s="1"/>
  <c r="S265" i="1" s="1"/>
  <c r="T265" i="1" s="1"/>
  <c r="U265" i="1" s="1"/>
  <c r="V265" i="1" s="1"/>
  <c r="W265" i="1" s="1"/>
  <c r="X265" i="1" s="1"/>
  <c r="Y265" i="1" s="1"/>
  <c r="Z265" i="1" s="1"/>
  <c r="AA265" i="1" s="1"/>
  <c r="AB265" i="1" s="1"/>
  <c r="AC265" i="1" s="1"/>
  <c r="AD265" i="1" s="1"/>
  <c r="AE265" i="1" s="1"/>
  <c r="AF265" i="1" s="1"/>
  <c r="C265" i="1"/>
  <c r="N264" i="1"/>
  <c r="O264" i="1" s="1"/>
  <c r="P264" i="1" s="1"/>
  <c r="Q264" i="1" s="1"/>
  <c r="R264" i="1" s="1"/>
  <c r="S264" i="1" s="1"/>
  <c r="T264" i="1" s="1"/>
  <c r="U264" i="1" s="1"/>
  <c r="V264" i="1" s="1"/>
  <c r="W264" i="1" s="1"/>
  <c r="X264" i="1" s="1"/>
  <c r="Y264" i="1" s="1"/>
  <c r="Z264" i="1" s="1"/>
  <c r="AA264" i="1" s="1"/>
  <c r="AB264" i="1" s="1"/>
  <c r="AC264" i="1" s="1"/>
  <c r="AD264" i="1" s="1"/>
  <c r="AE264" i="1" s="1"/>
  <c r="AF264" i="1" s="1"/>
  <c r="G264" i="1"/>
  <c r="H264" i="1" s="1"/>
  <c r="I264" i="1" s="1"/>
  <c r="J264" i="1" s="1"/>
  <c r="K264" i="1" s="1"/>
  <c r="L264" i="1" s="1"/>
  <c r="M264" i="1" s="1"/>
  <c r="F264" i="1"/>
  <c r="D264" i="1"/>
  <c r="E264" i="1" s="1"/>
  <c r="C264" i="1"/>
  <c r="I263" i="1"/>
  <c r="J263" i="1" s="1"/>
  <c r="K263" i="1" s="1"/>
  <c r="L263" i="1" s="1"/>
  <c r="M263" i="1" s="1"/>
  <c r="N263" i="1" s="1"/>
  <c r="O263" i="1" s="1"/>
  <c r="P263" i="1" s="1"/>
  <c r="Q263" i="1" s="1"/>
  <c r="R263" i="1" s="1"/>
  <c r="S263" i="1" s="1"/>
  <c r="T263" i="1" s="1"/>
  <c r="U263" i="1" s="1"/>
  <c r="V263" i="1" s="1"/>
  <c r="W263" i="1" s="1"/>
  <c r="X263" i="1" s="1"/>
  <c r="Y263" i="1" s="1"/>
  <c r="Z263" i="1" s="1"/>
  <c r="AA263" i="1" s="1"/>
  <c r="AB263" i="1" s="1"/>
  <c r="AC263" i="1" s="1"/>
  <c r="AD263" i="1" s="1"/>
  <c r="AE263" i="1" s="1"/>
  <c r="AF263" i="1" s="1"/>
  <c r="E263" i="1"/>
  <c r="F263" i="1" s="1"/>
  <c r="G263" i="1" s="1"/>
  <c r="H263" i="1" s="1"/>
  <c r="D263" i="1"/>
  <c r="C263" i="1"/>
  <c r="D262" i="1"/>
  <c r="E262" i="1" s="1"/>
  <c r="F262" i="1" s="1"/>
  <c r="G262" i="1" s="1"/>
  <c r="H262" i="1" s="1"/>
  <c r="I262" i="1" s="1"/>
  <c r="J262" i="1" s="1"/>
  <c r="K262" i="1" s="1"/>
  <c r="L262" i="1" s="1"/>
  <c r="M262" i="1" s="1"/>
  <c r="N262" i="1" s="1"/>
  <c r="O262" i="1" s="1"/>
  <c r="P262" i="1" s="1"/>
  <c r="Q262" i="1" s="1"/>
  <c r="R262" i="1" s="1"/>
  <c r="S262" i="1" s="1"/>
  <c r="T262" i="1" s="1"/>
  <c r="U262" i="1" s="1"/>
  <c r="V262" i="1" s="1"/>
  <c r="W262" i="1" s="1"/>
  <c r="X262" i="1" s="1"/>
  <c r="Y262" i="1" s="1"/>
  <c r="Z262" i="1" s="1"/>
  <c r="AA262" i="1" s="1"/>
  <c r="AB262" i="1" s="1"/>
  <c r="AC262" i="1" s="1"/>
  <c r="AD262" i="1" s="1"/>
  <c r="AE262" i="1" s="1"/>
  <c r="AF262" i="1" s="1"/>
  <c r="C262" i="1"/>
  <c r="D261" i="1"/>
  <c r="E261" i="1" s="1"/>
  <c r="F261" i="1" s="1"/>
  <c r="G261" i="1" s="1"/>
  <c r="H261" i="1" s="1"/>
  <c r="I261" i="1" s="1"/>
  <c r="J261" i="1" s="1"/>
  <c r="K261" i="1" s="1"/>
  <c r="L261" i="1" s="1"/>
  <c r="M261" i="1" s="1"/>
  <c r="N261" i="1" s="1"/>
  <c r="O261" i="1" s="1"/>
  <c r="P261" i="1" s="1"/>
  <c r="Q261" i="1" s="1"/>
  <c r="R261" i="1" s="1"/>
  <c r="S261" i="1" s="1"/>
  <c r="T261" i="1" s="1"/>
  <c r="U261" i="1" s="1"/>
  <c r="V261" i="1" s="1"/>
  <c r="W261" i="1" s="1"/>
  <c r="X261" i="1" s="1"/>
  <c r="Y261" i="1" s="1"/>
  <c r="Z261" i="1" s="1"/>
  <c r="AA261" i="1" s="1"/>
  <c r="AB261" i="1" s="1"/>
  <c r="AC261" i="1" s="1"/>
  <c r="AD261" i="1" s="1"/>
  <c r="AE261" i="1" s="1"/>
  <c r="AF261" i="1" s="1"/>
  <c r="C261" i="1"/>
  <c r="D260" i="1"/>
  <c r="E260" i="1" s="1"/>
  <c r="F260" i="1" s="1"/>
  <c r="G260" i="1" s="1"/>
  <c r="H260" i="1" s="1"/>
  <c r="I260" i="1" s="1"/>
  <c r="J260" i="1" s="1"/>
  <c r="K260" i="1" s="1"/>
  <c r="L260" i="1" s="1"/>
  <c r="M260" i="1" s="1"/>
  <c r="N260" i="1" s="1"/>
  <c r="O260" i="1" s="1"/>
  <c r="P260" i="1" s="1"/>
  <c r="Q260" i="1" s="1"/>
  <c r="R260" i="1" s="1"/>
  <c r="S260" i="1" s="1"/>
  <c r="T260" i="1" s="1"/>
  <c r="U260" i="1" s="1"/>
  <c r="V260" i="1" s="1"/>
  <c r="W260" i="1" s="1"/>
  <c r="X260" i="1" s="1"/>
  <c r="Y260" i="1" s="1"/>
  <c r="Z260" i="1" s="1"/>
  <c r="AA260" i="1" s="1"/>
  <c r="AB260" i="1" s="1"/>
  <c r="AC260" i="1" s="1"/>
  <c r="AD260" i="1" s="1"/>
  <c r="AE260" i="1" s="1"/>
  <c r="AF260" i="1" s="1"/>
  <c r="C260" i="1"/>
  <c r="G259" i="1"/>
  <c r="H259" i="1" s="1"/>
  <c r="I259" i="1" s="1"/>
  <c r="J259" i="1" s="1"/>
  <c r="K259" i="1" s="1"/>
  <c r="L259" i="1" s="1"/>
  <c r="M259" i="1" s="1"/>
  <c r="N259" i="1" s="1"/>
  <c r="O259" i="1" s="1"/>
  <c r="P259" i="1" s="1"/>
  <c r="Q259" i="1" s="1"/>
  <c r="R259" i="1" s="1"/>
  <c r="S259" i="1" s="1"/>
  <c r="T259" i="1" s="1"/>
  <c r="U259" i="1" s="1"/>
  <c r="V259" i="1" s="1"/>
  <c r="W259" i="1" s="1"/>
  <c r="X259" i="1" s="1"/>
  <c r="Y259" i="1" s="1"/>
  <c r="Z259" i="1" s="1"/>
  <c r="AA259" i="1" s="1"/>
  <c r="AB259" i="1" s="1"/>
  <c r="AC259" i="1" s="1"/>
  <c r="AD259" i="1" s="1"/>
  <c r="AE259" i="1" s="1"/>
  <c r="AF259" i="1" s="1"/>
  <c r="E259" i="1"/>
  <c r="F259" i="1" s="1"/>
  <c r="D259" i="1"/>
  <c r="C259" i="1"/>
  <c r="F258" i="1"/>
  <c r="G258" i="1" s="1"/>
  <c r="H258" i="1" s="1"/>
  <c r="I258" i="1" s="1"/>
  <c r="J258" i="1" s="1"/>
  <c r="K258" i="1" s="1"/>
  <c r="L258" i="1" s="1"/>
  <c r="M258" i="1" s="1"/>
  <c r="N258" i="1" s="1"/>
  <c r="O258" i="1" s="1"/>
  <c r="P258" i="1" s="1"/>
  <c r="Q258" i="1" s="1"/>
  <c r="R258" i="1" s="1"/>
  <c r="S258" i="1" s="1"/>
  <c r="T258" i="1" s="1"/>
  <c r="U258" i="1" s="1"/>
  <c r="V258" i="1" s="1"/>
  <c r="W258" i="1" s="1"/>
  <c r="X258" i="1" s="1"/>
  <c r="Y258" i="1" s="1"/>
  <c r="Z258" i="1" s="1"/>
  <c r="AA258" i="1" s="1"/>
  <c r="AB258" i="1" s="1"/>
  <c r="AC258" i="1" s="1"/>
  <c r="AD258" i="1" s="1"/>
  <c r="AE258" i="1" s="1"/>
  <c r="AF258" i="1" s="1"/>
  <c r="D258" i="1"/>
  <c r="E258" i="1" s="1"/>
  <c r="C258" i="1"/>
  <c r="I257" i="1"/>
  <c r="J257" i="1" s="1"/>
  <c r="K257" i="1" s="1"/>
  <c r="L257" i="1" s="1"/>
  <c r="M257" i="1" s="1"/>
  <c r="N257" i="1" s="1"/>
  <c r="O257" i="1" s="1"/>
  <c r="P257" i="1" s="1"/>
  <c r="Q257" i="1" s="1"/>
  <c r="R257" i="1" s="1"/>
  <c r="S257" i="1" s="1"/>
  <c r="T257" i="1" s="1"/>
  <c r="U257" i="1" s="1"/>
  <c r="V257" i="1" s="1"/>
  <c r="W257" i="1" s="1"/>
  <c r="X257" i="1" s="1"/>
  <c r="Y257" i="1" s="1"/>
  <c r="Z257" i="1" s="1"/>
  <c r="AA257" i="1" s="1"/>
  <c r="AB257" i="1" s="1"/>
  <c r="AC257" i="1" s="1"/>
  <c r="AD257" i="1" s="1"/>
  <c r="AE257" i="1" s="1"/>
  <c r="AF257" i="1" s="1"/>
  <c r="H257" i="1"/>
  <c r="F257" i="1"/>
  <c r="G257" i="1" s="1"/>
  <c r="D257" i="1"/>
  <c r="E257" i="1" s="1"/>
  <c r="C257" i="1"/>
  <c r="D256" i="1"/>
  <c r="E256" i="1" s="1"/>
  <c r="F256" i="1" s="1"/>
  <c r="G256" i="1" s="1"/>
  <c r="H256" i="1" s="1"/>
  <c r="I256" i="1" s="1"/>
  <c r="J256" i="1" s="1"/>
  <c r="K256" i="1" s="1"/>
  <c r="L256" i="1" s="1"/>
  <c r="M256" i="1" s="1"/>
  <c r="N256" i="1" s="1"/>
  <c r="O256" i="1" s="1"/>
  <c r="P256" i="1" s="1"/>
  <c r="Q256" i="1" s="1"/>
  <c r="R256" i="1" s="1"/>
  <c r="S256" i="1" s="1"/>
  <c r="T256" i="1" s="1"/>
  <c r="U256" i="1" s="1"/>
  <c r="V256" i="1" s="1"/>
  <c r="W256" i="1" s="1"/>
  <c r="X256" i="1" s="1"/>
  <c r="Y256" i="1" s="1"/>
  <c r="Z256" i="1" s="1"/>
  <c r="AA256" i="1" s="1"/>
  <c r="AB256" i="1" s="1"/>
  <c r="AC256" i="1" s="1"/>
  <c r="AD256" i="1" s="1"/>
  <c r="AE256" i="1" s="1"/>
  <c r="AF256" i="1" s="1"/>
  <c r="C256" i="1"/>
  <c r="D255" i="1"/>
  <c r="E255" i="1" s="1"/>
  <c r="F255" i="1" s="1"/>
  <c r="G255" i="1" s="1"/>
  <c r="H255" i="1" s="1"/>
  <c r="I255" i="1" s="1"/>
  <c r="J255" i="1" s="1"/>
  <c r="K255" i="1" s="1"/>
  <c r="L255" i="1" s="1"/>
  <c r="M255" i="1" s="1"/>
  <c r="N255" i="1" s="1"/>
  <c r="O255" i="1" s="1"/>
  <c r="P255" i="1" s="1"/>
  <c r="Q255" i="1" s="1"/>
  <c r="R255" i="1" s="1"/>
  <c r="S255" i="1" s="1"/>
  <c r="T255" i="1" s="1"/>
  <c r="U255" i="1" s="1"/>
  <c r="V255" i="1" s="1"/>
  <c r="W255" i="1" s="1"/>
  <c r="X255" i="1" s="1"/>
  <c r="Y255" i="1" s="1"/>
  <c r="Z255" i="1" s="1"/>
  <c r="AA255" i="1" s="1"/>
  <c r="AB255" i="1" s="1"/>
  <c r="AC255" i="1" s="1"/>
  <c r="AD255" i="1" s="1"/>
  <c r="AE255" i="1" s="1"/>
  <c r="AF255" i="1" s="1"/>
  <c r="C255" i="1"/>
  <c r="P254" i="1"/>
  <c r="Q254" i="1" s="1"/>
  <c r="R254" i="1" s="1"/>
  <c r="S254" i="1" s="1"/>
  <c r="T254" i="1" s="1"/>
  <c r="U254" i="1" s="1"/>
  <c r="V254" i="1" s="1"/>
  <c r="W254" i="1" s="1"/>
  <c r="X254" i="1" s="1"/>
  <c r="Y254" i="1" s="1"/>
  <c r="Z254" i="1" s="1"/>
  <c r="AA254" i="1" s="1"/>
  <c r="AB254" i="1" s="1"/>
  <c r="AC254" i="1" s="1"/>
  <c r="AD254" i="1" s="1"/>
  <c r="AE254" i="1" s="1"/>
  <c r="AF254" i="1" s="1"/>
  <c r="D254" i="1"/>
  <c r="E254" i="1" s="1"/>
  <c r="F254" i="1" s="1"/>
  <c r="G254" i="1" s="1"/>
  <c r="H254" i="1" s="1"/>
  <c r="I254" i="1" s="1"/>
  <c r="J254" i="1" s="1"/>
  <c r="K254" i="1" s="1"/>
  <c r="L254" i="1" s="1"/>
  <c r="M254" i="1" s="1"/>
  <c r="N254" i="1" s="1"/>
  <c r="O254" i="1" s="1"/>
  <c r="C254" i="1"/>
  <c r="C253" i="1"/>
  <c r="D253" i="1" s="1"/>
  <c r="E253" i="1" s="1"/>
  <c r="F253" i="1" s="1"/>
  <c r="G253" i="1" s="1"/>
  <c r="H253" i="1" s="1"/>
  <c r="I253" i="1" s="1"/>
  <c r="J253" i="1" s="1"/>
  <c r="K253" i="1" s="1"/>
  <c r="L253" i="1" s="1"/>
  <c r="M253" i="1" s="1"/>
  <c r="N253" i="1" s="1"/>
  <c r="O253" i="1" s="1"/>
  <c r="P253" i="1" s="1"/>
  <c r="Q253" i="1" s="1"/>
  <c r="R253" i="1" s="1"/>
  <c r="S253" i="1" s="1"/>
  <c r="T253" i="1" s="1"/>
  <c r="U253" i="1" s="1"/>
  <c r="V253" i="1" s="1"/>
  <c r="W253" i="1" s="1"/>
  <c r="X253" i="1" s="1"/>
  <c r="Y253" i="1" s="1"/>
  <c r="Z253" i="1" s="1"/>
  <c r="AA253" i="1" s="1"/>
  <c r="AB253" i="1" s="1"/>
  <c r="AC253" i="1" s="1"/>
  <c r="AD253" i="1" s="1"/>
  <c r="AE253" i="1" s="1"/>
  <c r="AF253" i="1" s="1"/>
  <c r="V252" i="1"/>
  <c r="W252" i="1" s="1"/>
  <c r="X252" i="1" s="1"/>
  <c r="Y252" i="1" s="1"/>
  <c r="Z252" i="1" s="1"/>
  <c r="AA252" i="1" s="1"/>
  <c r="AB252" i="1" s="1"/>
  <c r="AC252" i="1" s="1"/>
  <c r="AD252" i="1" s="1"/>
  <c r="AE252" i="1" s="1"/>
  <c r="AF252" i="1" s="1"/>
  <c r="R252" i="1"/>
  <c r="S252" i="1" s="1"/>
  <c r="T252" i="1" s="1"/>
  <c r="U252" i="1" s="1"/>
  <c r="C252" i="1"/>
  <c r="D252" i="1" s="1"/>
  <c r="E252" i="1" s="1"/>
  <c r="F252" i="1" s="1"/>
  <c r="G252" i="1" s="1"/>
  <c r="H252" i="1" s="1"/>
  <c r="I252" i="1" s="1"/>
  <c r="J252" i="1" s="1"/>
  <c r="K252" i="1" s="1"/>
  <c r="L252" i="1" s="1"/>
  <c r="M252" i="1" s="1"/>
  <c r="N252" i="1" s="1"/>
  <c r="O252" i="1" s="1"/>
  <c r="P252" i="1" s="1"/>
  <c r="Q252" i="1" s="1"/>
  <c r="I251" i="1"/>
  <c r="J251" i="1" s="1"/>
  <c r="K251" i="1" s="1"/>
  <c r="L251" i="1" s="1"/>
  <c r="M251" i="1" s="1"/>
  <c r="N251" i="1" s="1"/>
  <c r="O251" i="1" s="1"/>
  <c r="P251" i="1" s="1"/>
  <c r="Q251" i="1" s="1"/>
  <c r="R251" i="1" s="1"/>
  <c r="S251" i="1" s="1"/>
  <c r="T251" i="1" s="1"/>
  <c r="U251" i="1" s="1"/>
  <c r="V251" i="1" s="1"/>
  <c r="W251" i="1" s="1"/>
  <c r="X251" i="1" s="1"/>
  <c r="Y251" i="1" s="1"/>
  <c r="Z251" i="1" s="1"/>
  <c r="AA251" i="1" s="1"/>
  <c r="AB251" i="1" s="1"/>
  <c r="AC251" i="1" s="1"/>
  <c r="AD251" i="1" s="1"/>
  <c r="AE251" i="1" s="1"/>
  <c r="AF251" i="1" s="1"/>
  <c r="E251" i="1"/>
  <c r="F251" i="1" s="1"/>
  <c r="G251" i="1" s="1"/>
  <c r="H251" i="1" s="1"/>
  <c r="D251" i="1"/>
  <c r="C251" i="1"/>
  <c r="H250" i="1"/>
  <c r="I250" i="1" s="1"/>
  <c r="J250" i="1" s="1"/>
  <c r="K250" i="1" s="1"/>
  <c r="L250" i="1" s="1"/>
  <c r="M250" i="1" s="1"/>
  <c r="N250" i="1" s="1"/>
  <c r="O250" i="1" s="1"/>
  <c r="P250" i="1" s="1"/>
  <c r="Q250" i="1" s="1"/>
  <c r="R250" i="1" s="1"/>
  <c r="S250" i="1" s="1"/>
  <c r="T250" i="1" s="1"/>
  <c r="U250" i="1" s="1"/>
  <c r="V250" i="1" s="1"/>
  <c r="W250" i="1" s="1"/>
  <c r="X250" i="1" s="1"/>
  <c r="Y250" i="1" s="1"/>
  <c r="Z250" i="1" s="1"/>
  <c r="AA250" i="1" s="1"/>
  <c r="AB250" i="1" s="1"/>
  <c r="AC250" i="1" s="1"/>
  <c r="AD250" i="1" s="1"/>
  <c r="AE250" i="1" s="1"/>
  <c r="AF250" i="1" s="1"/>
  <c r="F250" i="1"/>
  <c r="G250" i="1" s="1"/>
  <c r="D250" i="1"/>
  <c r="E250" i="1" s="1"/>
  <c r="C250" i="1"/>
  <c r="R249" i="1"/>
  <c r="S249" i="1" s="1"/>
  <c r="T249" i="1" s="1"/>
  <c r="U249" i="1" s="1"/>
  <c r="V249" i="1" s="1"/>
  <c r="W249" i="1" s="1"/>
  <c r="X249" i="1" s="1"/>
  <c r="Y249" i="1" s="1"/>
  <c r="Z249" i="1" s="1"/>
  <c r="AA249" i="1" s="1"/>
  <c r="AB249" i="1" s="1"/>
  <c r="AC249" i="1" s="1"/>
  <c r="AD249" i="1" s="1"/>
  <c r="AE249" i="1" s="1"/>
  <c r="AF249" i="1" s="1"/>
  <c r="D249" i="1"/>
  <c r="E249" i="1" s="1"/>
  <c r="F249" i="1" s="1"/>
  <c r="G249" i="1" s="1"/>
  <c r="H249" i="1" s="1"/>
  <c r="I249" i="1" s="1"/>
  <c r="J249" i="1" s="1"/>
  <c r="K249" i="1" s="1"/>
  <c r="L249" i="1" s="1"/>
  <c r="M249" i="1" s="1"/>
  <c r="N249" i="1" s="1"/>
  <c r="O249" i="1" s="1"/>
  <c r="P249" i="1" s="1"/>
  <c r="Q249" i="1" s="1"/>
  <c r="C249" i="1"/>
  <c r="K248" i="1"/>
  <c r="L248" i="1" s="1"/>
  <c r="M248" i="1" s="1"/>
  <c r="N248" i="1" s="1"/>
  <c r="O248" i="1" s="1"/>
  <c r="P248" i="1" s="1"/>
  <c r="Q248" i="1" s="1"/>
  <c r="R248" i="1" s="1"/>
  <c r="S248" i="1" s="1"/>
  <c r="T248" i="1" s="1"/>
  <c r="U248" i="1" s="1"/>
  <c r="V248" i="1" s="1"/>
  <c r="W248" i="1" s="1"/>
  <c r="X248" i="1" s="1"/>
  <c r="Y248" i="1" s="1"/>
  <c r="Z248" i="1" s="1"/>
  <c r="AA248" i="1" s="1"/>
  <c r="AB248" i="1" s="1"/>
  <c r="AC248" i="1" s="1"/>
  <c r="AD248" i="1" s="1"/>
  <c r="AE248" i="1" s="1"/>
  <c r="AF248" i="1" s="1"/>
  <c r="F248" i="1"/>
  <c r="G248" i="1" s="1"/>
  <c r="H248" i="1" s="1"/>
  <c r="I248" i="1" s="1"/>
  <c r="J248" i="1" s="1"/>
  <c r="D248" i="1"/>
  <c r="E248" i="1" s="1"/>
  <c r="C248" i="1"/>
  <c r="J247" i="1"/>
  <c r="K247" i="1" s="1"/>
  <c r="L247" i="1" s="1"/>
  <c r="M247" i="1" s="1"/>
  <c r="N247" i="1" s="1"/>
  <c r="O247" i="1" s="1"/>
  <c r="P247" i="1" s="1"/>
  <c r="Q247" i="1" s="1"/>
  <c r="R247" i="1" s="1"/>
  <c r="S247" i="1" s="1"/>
  <c r="T247" i="1" s="1"/>
  <c r="U247" i="1" s="1"/>
  <c r="V247" i="1" s="1"/>
  <c r="W247" i="1" s="1"/>
  <c r="X247" i="1" s="1"/>
  <c r="Y247" i="1" s="1"/>
  <c r="Z247" i="1" s="1"/>
  <c r="AA247" i="1" s="1"/>
  <c r="AB247" i="1" s="1"/>
  <c r="AC247" i="1" s="1"/>
  <c r="AD247" i="1" s="1"/>
  <c r="AE247" i="1" s="1"/>
  <c r="AF247" i="1" s="1"/>
  <c r="G247" i="1"/>
  <c r="H247" i="1" s="1"/>
  <c r="I247" i="1" s="1"/>
  <c r="E247" i="1"/>
  <c r="F247" i="1" s="1"/>
  <c r="D247" i="1"/>
  <c r="C247" i="1"/>
  <c r="C246" i="1"/>
  <c r="D246" i="1" s="1"/>
  <c r="E246" i="1" s="1"/>
  <c r="F246" i="1" s="1"/>
  <c r="G246" i="1" s="1"/>
  <c r="H246" i="1" s="1"/>
  <c r="I246" i="1" s="1"/>
  <c r="J246" i="1" s="1"/>
  <c r="K246" i="1" s="1"/>
  <c r="L246" i="1" s="1"/>
  <c r="M246" i="1" s="1"/>
  <c r="N246" i="1" s="1"/>
  <c r="O246" i="1" s="1"/>
  <c r="P246" i="1" s="1"/>
  <c r="Q246" i="1" s="1"/>
  <c r="R246" i="1" s="1"/>
  <c r="S246" i="1" s="1"/>
  <c r="T246" i="1" s="1"/>
  <c r="U246" i="1" s="1"/>
  <c r="V246" i="1" s="1"/>
  <c r="W246" i="1" s="1"/>
  <c r="X246" i="1" s="1"/>
  <c r="Y246" i="1" s="1"/>
  <c r="Z246" i="1" s="1"/>
  <c r="AA246" i="1" s="1"/>
  <c r="AB246" i="1" s="1"/>
  <c r="AC246" i="1" s="1"/>
  <c r="AD246" i="1" s="1"/>
  <c r="AE246" i="1" s="1"/>
  <c r="AF246" i="1" s="1"/>
  <c r="N245" i="1"/>
  <c r="O245" i="1" s="1"/>
  <c r="P245" i="1" s="1"/>
  <c r="Q245" i="1" s="1"/>
  <c r="R245" i="1" s="1"/>
  <c r="S245" i="1" s="1"/>
  <c r="T245" i="1" s="1"/>
  <c r="U245" i="1" s="1"/>
  <c r="V245" i="1" s="1"/>
  <c r="W245" i="1" s="1"/>
  <c r="X245" i="1" s="1"/>
  <c r="Y245" i="1" s="1"/>
  <c r="Z245" i="1" s="1"/>
  <c r="AA245" i="1" s="1"/>
  <c r="AB245" i="1" s="1"/>
  <c r="AC245" i="1" s="1"/>
  <c r="AD245" i="1" s="1"/>
  <c r="AE245" i="1" s="1"/>
  <c r="AF245" i="1" s="1"/>
  <c r="F245" i="1"/>
  <c r="G245" i="1" s="1"/>
  <c r="H245" i="1" s="1"/>
  <c r="I245" i="1" s="1"/>
  <c r="J245" i="1" s="1"/>
  <c r="K245" i="1" s="1"/>
  <c r="L245" i="1" s="1"/>
  <c r="M245" i="1" s="1"/>
  <c r="D245" i="1"/>
  <c r="E245" i="1" s="1"/>
  <c r="C245" i="1"/>
  <c r="I244" i="1"/>
  <c r="J244" i="1" s="1"/>
  <c r="K244" i="1" s="1"/>
  <c r="L244" i="1" s="1"/>
  <c r="M244" i="1" s="1"/>
  <c r="N244" i="1" s="1"/>
  <c r="O244" i="1" s="1"/>
  <c r="P244" i="1" s="1"/>
  <c r="Q244" i="1" s="1"/>
  <c r="R244" i="1" s="1"/>
  <c r="S244" i="1" s="1"/>
  <c r="T244" i="1" s="1"/>
  <c r="U244" i="1" s="1"/>
  <c r="V244" i="1" s="1"/>
  <c r="W244" i="1" s="1"/>
  <c r="X244" i="1" s="1"/>
  <c r="Y244" i="1" s="1"/>
  <c r="Z244" i="1" s="1"/>
  <c r="AA244" i="1" s="1"/>
  <c r="AB244" i="1" s="1"/>
  <c r="AC244" i="1" s="1"/>
  <c r="AD244" i="1" s="1"/>
  <c r="AE244" i="1" s="1"/>
  <c r="AF244" i="1" s="1"/>
  <c r="H244" i="1"/>
  <c r="D244" i="1"/>
  <c r="E244" i="1" s="1"/>
  <c r="F244" i="1" s="1"/>
  <c r="G244" i="1" s="1"/>
  <c r="C244" i="1"/>
  <c r="U243" i="1"/>
  <c r="V243" i="1" s="1"/>
  <c r="W243" i="1" s="1"/>
  <c r="X243" i="1" s="1"/>
  <c r="Y243" i="1" s="1"/>
  <c r="Z243" i="1" s="1"/>
  <c r="AA243" i="1" s="1"/>
  <c r="AB243" i="1" s="1"/>
  <c r="AC243" i="1" s="1"/>
  <c r="AD243" i="1" s="1"/>
  <c r="AE243" i="1" s="1"/>
  <c r="AF243" i="1" s="1"/>
  <c r="D243" i="1"/>
  <c r="E243" i="1" s="1"/>
  <c r="F243" i="1" s="1"/>
  <c r="G243" i="1" s="1"/>
  <c r="H243" i="1" s="1"/>
  <c r="I243" i="1" s="1"/>
  <c r="J243" i="1" s="1"/>
  <c r="K243" i="1" s="1"/>
  <c r="L243" i="1" s="1"/>
  <c r="M243" i="1" s="1"/>
  <c r="N243" i="1" s="1"/>
  <c r="O243" i="1" s="1"/>
  <c r="P243" i="1" s="1"/>
  <c r="Q243" i="1" s="1"/>
  <c r="R243" i="1" s="1"/>
  <c r="S243" i="1" s="1"/>
  <c r="T243" i="1" s="1"/>
  <c r="C243" i="1"/>
  <c r="E242" i="1"/>
  <c r="F242" i="1" s="1"/>
  <c r="G242" i="1" s="1"/>
  <c r="H242" i="1" s="1"/>
  <c r="I242" i="1" s="1"/>
  <c r="J242" i="1" s="1"/>
  <c r="K242" i="1" s="1"/>
  <c r="L242" i="1" s="1"/>
  <c r="M242" i="1" s="1"/>
  <c r="N242" i="1" s="1"/>
  <c r="O242" i="1" s="1"/>
  <c r="P242" i="1" s="1"/>
  <c r="Q242" i="1" s="1"/>
  <c r="R242" i="1" s="1"/>
  <c r="S242" i="1" s="1"/>
  <c r="T242" i="1" s="1"/>
  <c r="U242" i="1" s="1"/>
  <c r="V242" i="1" s="1"/>
  <c r="W242" i="1" s="1"/>
  <c r="X242" i="1" s="1"/>
  <c r="Y242" i="1" s="1"/>
  <c r="Z242" i="1" s="1"/>
  <c r="AA242" i="1" s="1"/>
  <c r="AB242" i="1" s="1"/>
  <c r="AC242" i="1" s="1"/>
  <c r="AD242" i="1" s="1"/>
  <c r="AE242" i="1" s="1"/>
  <c r="AF242" i="1" s="1"/>
  <c r="D242" i="1"/>
  <c r="C242" i="1"/>
  <c r="H241" i="1"/>
  <c r="I241" i="1" s="1"/>
  <c r="J241" i="1" s="1"/>
  <c r="K241" i="1" s="1"/>
  <c r="L241" i="1" s="1"/>
  <c r="M241" i="1" s="1"/>
  <c r="N241" i="1" s="1"/>
  <c r="O241" i="1" s="1"/>
  <c r="P241" i="1" s="1"/>
  <c r="Q241" i="1" s="1"/>
  <c r="R241" i="1" s="1"/>
  <c r="S241" i="1" s="1"/>
  <c r="T241" i="1" s="1"/>
  <c r="U241" i="1" s="1"/>
  <c r="V241" i="1" s="1"/>
  <c r="W241" i="1" s="1"/>
  <c r="X241" i="1" s="1"/>
  <c r="Y241" i="1" s="1"/>
  <c r="Z241" i="1" s="1"/>
  <c r="AA241" i="1" s="1"/>
  <c r="AB241" i="1" s="1"/>
  <c r="AC241" i="1" s="1"/>
  <c r="AD241" i="1" s="1"/>
  <c r="AE241" i="1" s="1"/>
  <c r="AF241" i="1" s="1"/>
  <c r="D241" i="1"/>
  <c r="E241" i="1" s="1"/>
  <c r="F241" i="1" s="1"/>
  <c r="G241" i="1" s="1"/>
  <c r="C241" i="1"/>
  <c r="D240" i="1"/>
  <c r="E240" i="1" s="1"/>
  <c r="F240" i="1" s="1"/>
  <c r="G240" i="1" s="1"/>
  <c r="H240" i="1" s="1"/>
  <c r="I240" i="1" s="1"/>
  <c r="J240" i="1" s="1"/>
  <c r="K240" i="1" s="1"/>
  <c r="L240" i="1" s="1"/>
  <c r="M240" i="1" s="1"/>
  <c r="N240" i="1" s="1"/>
  <c r="O240" i="1" s="1"/>
  <c r="P240" i="1" s="1"/>
  <c r="Q240" i="1" s="1"/>
  <c r="R240" i="1" s="1"/>
  <c r="S240" i="1" s="1"/>
  <c r="T240" i="1" s="1"/>
  <c r="U240" i="1" s="1"/>
  <c r="V240" i="1" s="1"/>
  <c r="W240" i="1" s="1"/>
  <c r="X240" i="1" s="1"/>
  <c r="Y240" i="1" s="1"/>
  <c r="Z240" i="1" s="1"/>
  <c r="AA240" i="1" s="1"/>
  <c r="AB240" i="1" s="1"/>
  <c r="AC240" i="1" s="1"/>
  <c r="AD240" i="1" s="1"/>
  <c r="AE240" i="1" s="1"/>
  <c r="AF240" i="1" s="1"/>
  <c r="C240" i="1"/>
  <c r="P239" i="1"/>
  <c r="Q239" i="1" s="1"/>
  <c r="R239" i="1" s="1"/>
  <c r="S239" i="1" s="1"/>
  <c r="T239" i="1" s="1"/>
  <c r="U239" i="1" s="1"/>
  <c r="V239" i="1" s="1"/>
  <c r="W239" i="1" s="1"/>
  <c r="X239" i="1" s="1"/>
  <c r="Y239" i="1" s="1"/>
  <c r="Z239" i="1" s="1"/>
  <c r="AA239" i="1" s="1"/>
  <c r="AB239" i="1" s="1"/>
  <c r="AC239" i="1" s="1"/>
  <c r="AD239" i="1" s="1"/>
  <c r="AE239" i="1" s="1"/>
  <c r="AF239" i="1" s="1"/>
  <c r="E239" i="1"/>
  <c r="F239" i="1" s="1"/>
  <c r="G239" i="1" s="1"/>
  <c r="H239" i="1" s="1"/>
  <c r="I239" i="1" s="1"/>
  <c r="J239" i="1" s="1"/>
  <c r="K239" i="1" s="1"/>
  <c r="L239" i="1" s="1"/>
  <c r="M239" i="1" s="1"/>
  <c r="N239" i="1" s="1"/>
  <c r="O239" i="1" s="1"/>
  <c r="D239" i="1"/>
  <c r="C239" i="1"/>
  <c r="O238" i="1"/>
  <c r="P238" i="1" s="1"/>
  <c r="Q238" i="1" s="1"/>
  <c r="R238" i="1" s="1"/>
  <c r="S238" i="1" s="1"/>
  <c r="T238" i="1" s="1"/>
  <c r="U238" i="1" s="1"/>
  <c r="V238" i="1" s="1"/>
  <c r="W238" i="1" s="1"/>
  <c r="X238" i="1" s="1"/>
  <c r="Y238" i="1" s="1"/>
  <c r="Z238" i="1" s="1"/>
  <c r="AA238" i="1" s="1"/>
  <c r="AB238" i="1" s="1"/>
  <c r="AC238" i="1" s="1"/>
  <c r="AD238" i="1" s="1"/>
  <c r="AE238" i="1" s="1"/>
  <c r="AF238" i="1" s="1"/>
  <c r="M238" i="1"/>
  <c r="N238" i="1" s="1"/>
  <c r="F238" i="1"/>
  <c r="G238" i="1" s="1"/>
  <c r="H238" i="1" s="1"/>
  <c r="I238" i="1" s="1"/>
  <c r="J238" i="1" s="1"/>
  <c r="K238" i="1" s="1"/>
  <c r="L238" i="1" s="1"/>
  <c r="D238" i="1"/>
  <c r="E238" i="1" s="1"/>
  <c r="C238" i="1"/>
  <c r="I237" i="1"/>
  <c r="J237" i="1" s="1"/>
  <c r="K237" i="1" s="1"/>
  <c r="L237" i="1" s="1"/>
  <c r="M237" i="1" s="1"/>
  <c r="N237" i="1" s="1"/>
  <c r="O237" i="1" s="1"/>
  <c r="P237" i="1" s="1"/>
  <c r="Q237" i="1" s="1"/>
  <c r="R237" i="1" s="1"/>
  <c r="S237" i="1" s="1"/>
  <c r="T237" i="1" s="1"/>
  <c r="U237" i="1" s="1"/>
  <c r="V237" i="1" s="1"/>
  <c r="W237" i="1" s="1"/>
  <c r="X237" i="1" s="1"/>
  <c r="Y237" i="1" s="1"/>
  <c r="Z237" i="1" s="1"/>
  <c r="AA237" i="1" s="1"/>
  <c r="AB237" i="1" s="1"/>
  <c r="AC237" i="1" s="1"/>
  <c r="AD237" i="1" s="1"/>
  <c r="AE237" i="1" s="1"/>
  <c r="AF237" i="1" s="1"/>
  <c r="C237" i="1"/>
  <c r="D237" i="1" s="1"/>
  <c r="E237" i="1" s="1"/>
  <c r="F237" i="1" s="1"/>
  <c r="G237" i="1" s="1"/>
  <c r="H237" i="1" s="1"/>
  <c r="T236" i="1"/>
  <c r="U236" i="1" s="1"/>
  <c r="V236" i="1" s="1"/>
  <c r="W236" i="1" s="1"/>
  <c r="X236" i="1" s="1"/>
  <c r="Y236" i="1" s="1"/>
  <c r="Z236" i="1" s="1"/>
  <c r="AA236" i="1" s="1"/>
  <c r="AB236" i="1" s="1"/>
  <c r="AC236" i="1" s="1"/>
  <c r="AD236" i="1" s="1"/>
  <c r="AE236" i="1" s="1"/>
  <c r="AF236" i="1" s="1"/>
  <c r="C236" i="1"/>
  <c r="D236" i="1" s="1"/>
  <c r="E236" i="1" s="1"/>
  <c r="F236" i="1" s="1"/>
  <c r="G236" i="1" s="1"/>
  <c r="H236" i="1" s="1"/>
  <c r="I236" i="1" s="1"/>
  <c r="J236" i="1" s="1"/>
  <c r="K236" i="1" s="1"/>
  <c r="L236" i="1" s="1"/>
  <c r="M236" i="1" s="1"/>
  <c r="N236" i="1" s="1"/>
  <c r="O236" i="1" s="1"/>
  <c r="P236" i="1" s="1"/>
  <c r="Q236" i="1" s="1"/>
  <c r="R236" i="1" s="1"/>
  <c r="S236" i="1" s="1"/>
  <c r="F235" i="1"/>
  <c r="G235" i="1" s="1"/>
  <c r="H235" i="1" s="1"/>
  <c r="I235" i="1" s="1"/>
  <c r="J235" i="1" s="1"/>
  <c r="K235" i="1" s="1"/>
  <c r="L235" i="1" s="1"/>
  <c r="M235" i="1" s="1"/>
  <c r="N235" i="1" s="1"/>
  <c r="O235" i="1" s="1"/>
  <c r="P235" i="1" s="1"/>
  <c r="Q235" i="1" s="1"/>
  <c r="R235" i="1" s="1"/>
  <c r="S235" i="1" s="1"/>
  <c r="T235" i="1" s="1"/>
  <c r="U235" i="1" s="1"/>
  <c r="V235" i="1" s="1"/>
  <c r="W235" i="1" s="1"/>
  <c r="X235" i="1" s="1"/>
  <c r="Y235" i="1" s="1"/>
  <c r="Z235" i="1" s="1"/>
  <c r="AA235" i="1" s="1"/>
  <c r="AB235" i="1" s="1"/>
  <c r="AC235" i="1" s="1"/>
  <c r="AD235" i="1" s="1"/>
  <c r="AE235" i="1" s="1"/>
  <c r="AF235" i="1" s="1"/>
  <c r="E235" i="1"/>
  <c r="D235" i="1"/>
  <c r="C235" i="1"/>
  <c r="C234" i="1"/>
  <c r="D234" i="1" s="1"/>
  <c r="E234" i="1" s="1"/>
  <c r="F234" i="1" s="1"/>
  <c r="G234" i="1" s="1"/>
  <c r="H234" i="1" s="1"/>
  <c r="I234" i="1" s="1"/>
  <c r="J234" i="1" s="1"/>
  <c r="K234" i="1" s="1"/>
  <c r="L234" i="1" s="1"/>
  <c r="M234" i="1" s="1"/>
  <c r="N234" i="1" s="1"/>
  <c r="O234" i="1" s="1"/>
  <c r="P234" i="1" s="1"/>
  <c r="Q234" i="1" s="1"/>
  <c r="R234" i="1" s="1"/>
  <c r="S234" i="1" s="1"/>
  <c r="T234" i="1" s="1"/>
  <c r="U234" i="1" s="1"/>
  <c r="V234" i="1" s="1"/>
  <c r="W234" i="1" s="1"/>
  <c r="X234" i="1" s="1"/>
  <c r="Y234" i="1" s="1"/>
  <c r="Z234" i="1" s="1"/>
  <c r="AA234" i="1" s="1"/>
  <c r="AB234" i="1" s="1"/>
  <c r="AC234" i="1" s="1"/>
  <c r="AD234" i="1" s="1"/>
  <c r="AE234" i="1" s="1"/>
  <c r="AF234" i="1" s="1"/>
  <c r="C233" i="1"/>
  <c r="D233" i="1" s="1"/>
  <c r="E233" i="1" s="1"/>
  <c r="F233" i="1" s="1"/>
  <c r="G233" i="1" s="1"/>
  <c r="H233" i="1" s="1"/>
  <c r="I233" i="1" s="1"/>
  <c r="J233" i="1" s="1"/>
  <c r="K233" i="1" s="1"/>
  <c r="L233" i="1" s="1"/>
  <c r="M233" i="1" s="1"/>
  <c r="N233" i="1" s="1"/>
  <c r="O233" i="1" s="1"/>
  <c r="P233" i="1" s="1"/>
  <c r="Q233" i="1" s="1"/>
  <c r="R233" i="1" s="1"/>
  <c r="S233" i="1" s="1"/>
  <c r="T233" i="1" s="1"/>
  <c r="U233" i="1" s="1"/>
  <c r="V233" i="1" s="1"/>
  <c r="W233" i="1" s="1"/>
  <c r="X233" i="1" s="1"/>
  <c r="Y233" i="1" s="1"/>
  <c r="Z233" i="1" s="1"/>
  <c r="AA233" i="1" s="1"/>
  <c r="AB233" i="1" s="1"/>
  <c r="AC233" i="1" s="1"/>
  <c r="AD233" i="1" s="1"/>
  <c r="AE233" i="1" s="1"/>
  <c r="AF233" i="1" s="1"/>
  <c r="D232" i="1"/>
  <c r="E232" i="1" s="1"/>
  <c r="F232" i="1" s="1"/>
  <c r="G232" i="1" s="1"/>
  <c r="H232" i="1" s="1"/>
  <c r="I232" i="1" s="1"/>
  <c r="J232" i="1" s="1"/>
  <c r="K232" i="1" s="1"/>
  <c r="L232" i="1" s="1"/>
  <c r="M232" i="1" s="1"/>
  <c r="N232" i="1" s="1"/>
  <c r="O232" i="1" s="1"/>
  <c r="P232" i="1" s="1"/>
  <c r="Q232" i="1" s="1"/>
  <c r="R232" i="1" s="1"/>
  <c r="S232" i="1" s="1"/>
  <c r="T232" i="1" s="1"/>
  <c r="U232" i="1" s="1"/>
  <c r="V232" i="1" s="1"/>
  <c r="W232" i="1" s="1"/>
  <c r="X232" i="1" s="1"/>
  <c r="Y232" i="1" s="1"/>
  <c r="Z232" i="1" s="1"/>
  <c r="AA232" i="1" s="1"/>
  <c r="AB232" i="1" s="1"/>
  <c r="AC232" i="1" s="1"/>
  <c r="AD232" i="1" s="1"/>
  <c r="AE232" i="1" s="1"/>
  <c r="AF232" i="1" s="1"/>
  <c r="C232" i="1"/>
  <c r="H231" i="1"/>
  <c r="I231" i="1" s="1"/>
  <c r="J231" i="1" s="1"/>
  <c r="K231" i="1" s="1"/>
  <c r="L231" i="1" s="1"/>
  <c r="M231" i="1" s="1"/>
  <c r="N231" i="1" s="1"/>
  <c r="O231" i="1" s="1"/>
  <c r="P231" i="1" s="1"/>
  <c r="Q231" i="1" s="1"/>
  <c r="R231" i="1" s="1"/>
  <c r="S231" i="1" s="1"/>
  <c r="T231" i="1" s="1"/>
  <c r="U231" i="1" s="1"/>
  <c r="V231" i="1" s="1"/>
  <c r="W231" i="1" s="1"/>
  <c r="X231" i="1" s="1"/>
  <c r="Y231" i="1" s="1"/>
  <c r="Z231" i="1" s="1"/>
  <c r="AA231" i="1" s="1"/>
  <c r="AB231" i="1" s="1"/>
  <c r="AC231" i="1" s="1"/>
  <c r="AD231" i="1" s="1"/>
  <c r="AE231" i="1" s="1"/>
  <c r="AF231" i="1" s="1"/>
  <c r="E231" i="1"/>
  <c r="F231" i="1" s="1"/>
  <c r="G231" i="1" s="1"/>
  <c r="D231" i="1"/>
  <c r="C231" i="1"/>
  <c r="T230" i="1"/>
  <c r="U230" i="1" s="1"/>
  <c r="V230" i="1" s="1"/>
  <c r="W230" i="1" s="1"/>
  <c r="X230" i="1" s="1"/>
  <c r="Y230" i="1" s="1"/>
  <c r="Z230" i="1" s="1"/>
  <c r="AA230" i="1" s="1"/>
  <c r="AB230" i="1" s="1"/>
  <c r="AC230" i="1" s="1"/>
  <c r="AD230" i="1" s="1"/>
  <c r="AE230" i="1" s="1"/>
  <c r="AF230" i="1" s="1"/>
  <c r="D230" i="1"/>
  <c r="E230" i="1" s="1"/>
  <c r="F230" i="1" s="1"/>
  <c r="G230" i="1" s="1"/>
  <c r="H230" i="1" s="1"/>
  <c r="I230" i="1" s="1"/>
  <c r="J230" i="1" s="1"/>
  <c r="K230" i="1" s="1"/>
  <c r="L230" i="1" s="1"/>
  <c r="M230" i="1" s="1"/>
  <c r="N230" i="1" s="1"/>
  <c r="O230" i="1" s="1"/>
  <c r="P230" i="1" s="1"/>
  <c r="Q230" i="1" s="1"/>
  <c r="R230" i="1" s="1"/>
  <c r="S230" i="1" s="1"/>
  <c r="C230" i="1"/>
  <c r="E229" i="1"/>
  <c r="F229" i="1" s="1"/>
  <c r="G229" i="1" s="1"/>
  <c r="H229" i="1" s="1"/>
  <c r="I229" i="1" s="1"/>
  <c r="J229" i="1" s="1"/>
  <c r="K229" i="1" s="1"/>
  <c r="L229" i="1" s="1"/>
  <c r="M229" i="1" s="1"/>
  <c r="N229" i="1" s="1"/>
  <c r="O229" i="1" s="1"/>
  <c r="P229" i="1" s="1"/>
  <c r="Q229" i="1" s="1"/>
  <c r="R229" i="1" s="1"/>
  <c r="S229" i="1" s="1"/>
  <c r="T229" i="1" s="1"/>
  <c r="U229" i="1" s="1"/>
  <c r="V229" i="1" s="1"/>
  <c r="W229" i="1" s="1"/>
  <c r="X229" i="1" s="1"/>
  <c r="Y229" i="1" s="1"/>
  <c r="Z229" i="1" s="1"/>
  <c r="AA229" i="1" s="1"/>
  <c r="AB229" i="1" s="1"/>
  <c r="AC229" i="1" s="1"/>
  <c r="AD229" i="1" s="1"/>
  <c r="AE229" i="1" s="1"/>
  <c r="AF229" i="1" s="1"/>
  <c r="D229" i="1"/>
  <c r="C229" i="1"/>
  <c r="H228" i="1"/>
  <c r="I228" i="1" s="1"/>
  <c r="J228" i="1" s="1"/>
  <c r="K228" i="1" s="1"/>
  <c r="L228" i="1" s="1"/>
  <c r="M228" i="1" s="1"/>
  <c r="N228" i="1" s="1"/>
  <c r="O228" i="1" s="1"/>
  <c r="P228" i="1" s="1"/>
  <c r="Q228" i="1" s="1"/>
  <c r="R228" i="1" s="1"/>
  <c r="S228" i="1" s="1"/>
  <c r="T228" i="1" s="1"/>
  <c r="U228" i="1" s="1"/>
  <c r="V228" i="1" s="1"/>
  <c r="W228" i="1" s="1"/>
  <c r="X228" i="1" s="1"/>
  <c r="Y228" i="1" s="1"/>
  <c r="Z228" i="1" s="1"/>
  <c r="AA228" i="1" s="1"/>
  <c r="AB228" i="1" s="1"/>
  <c r="AC228" i="1" s="1"/>
  <c r="AD228" i="1" s="1"/>
  <c r="AE228" i="1" s="1"/>
  <c r="AF228" i="1" s="1"/>
  <c r="D228" i="1"/>
  <c r="E228" i="1" s="1"/>
  <c r="F228" i="1" s="1"/>
  <c r="G228" i="1" s="1"/>
  <c r="C228" i="1"/>
  <c r="E227" i="1"/>
  <c r="F227" i="1" s="1"/>
  <c r="G227" i="1" s="1"/>
  <c r="H227" i="1" s="1"/>
  <c r="I227" i="1" s="1"/>
  <c r="J227" i="1" s="1"/>
  <c r="K227" i="1" s="1"/>
  <c r="L227" i="1" s="1"/>
  <c r="M227" i="1" s="1"/>
  <c r="N227" i="1" s="1"/>
  <c r="O227" i="1" s="1"/>
  <c r="P227" i="1" s="1"/>
  <c r="Q227" i="1" s="1"/>
  <c r="R227" i="1" s="1"/>
  <c r="S227" i="1" s="1"/>
  <c r="T227" i="1" s="1"/>
  <c r="U227" i="1" s="1"/>
  <c r="V227" i="1" s="1"/>
  <c r="W227" i="1" s="1"/>
  <c r="X227" i="1" s="1"/>
  <c r="Y227" i="1" s="1"/>
  <c r="Z227" i="1" s="1"/>
  <c r="AA227" i="1" s="1"/>
  <c r="AB227" i="1" s="1"/>
  <c r="AC227" i="1" s="1"/>
  <c r="AD227" i="1" s="1"/>
  <c r="AE227" i="1" s="1"/>
  <c r="AF227" i="1" s="1"/>
  <c r="D227" i="1"/>
  <c r="C227" i="1"/>
  <c r="D226" i="1"/>
  <c r="E226" i="1" s="1"/>
  <c r="F226" i="1" s="1"/>
  <c r="G226" i="1" s="1"/>
  <c r="H226" i="1" s="1"/>
  <c r="I226" i="1" s="1"/>
  <c r="J226" i="1" s="1"/>
  <c r="K226" i="1" s="1"/>
  <c r="L226" i="1" s="1"/>
  <c r="M226" i="1" s="1"/>
  <c r="N226" i="1" s="1"/>
  <c r="O226" i="1" s="1"/>
  <c r="P226" i="1" s="1"/>
  <c r="Q226" i="1" s="1"/>
  <c r="R226" i="1" s="1"/>
  <c r="S226" i="1" s="1"/>
  <c r="T226" i="1" s="1"/>
  <c r="U226" i="1" s="1"/>
  <c r="V226" i="1" s="1"/>
  <c r="W226" i="1" s="1"/>
  <c r="X226" i="1" s="1"/>
  <c r="Y226" i="1" s="1"/>
  <c r="Z226" i="1" s="1"/>
  <c r="AA226" i="1" s="1"/>
  <c r="AB226" i="1" s="1"/>
  <c r="AC226" i="1" s="1"/>
  <c r="AD226" i="1" s="1"/>
  <c r="AE226" i="1" s="1"/>
  <c r="AF226" i="1" s="1"/>
  <c r="C226" i="1"/>
  <c r="P225" i="1"/>
  <c r="Q225" i="1" s="1"/>
  <c r="R225" i="1" s="1"/>
  <c r="S225" i="1" s="1"/>
  <c r="T225" i="1" s="1"/>
  <c r="U225" i="1" s="1"/>
  <c r="V225" i="1" s="1"/>
  <c r="W225" i="1" s="1"/>
  <c r="X225" i="1" s="1"/>
  <c r="Y225" i="1" s="1"/>
  <c r="Z225" i="1" s="1"/>
  <c r="AA225" i="1" s="1"/>
  <c r="AB225" i="1" s="1"/>
  <c r="AC225" i="1" s="1"/>
  <c r="AD225" i="1" s="1"/>
  <c r="AE225" i="1" s="1"/>
  <c r="AF225" i="1" s="1"/>
  <c r="M225" i="1"/>
  <c r="N225" i="1" s="1"/>
  <c r="O225" i="1" s="1"/>
  <c r="D225" i="1"/>
  <c r="E225" i="1" s="1"/>
  <c r="F225" i="1" s="1"/>
  <c r="G225" i="1" s="1"/>
  <c r="H225" i="1" s="1"/>
  <c r="I225" i="1" s="1"/>
  <c r="J225" i="1" s="1"/>
  <c r="K225" i="1" s="1"/>
  <c r="L225" i="1" s="1"/>
  <c r="C225" i="1"/>
  <c r="C224" i="1"/>
  <c r="D224" i="1" s="1"/>
  <c r="E224" i="1" s="1"/>
  <c r="F224" i="1" s="1"/>
  <c r="G224" i="1" s="1"/>
  <c r="H224" i="1" s="1"/>
  <c r="I224" i="1" s="1"/>
  <c r="J224" i="1" s="1"/>
  <c r="K224" i="1" s="1"/>
  <c r="L224" i="1" s="1"/>
  <c r="M224" i="1" s="1"/>
  <c r="N224" i="1" s="1"/>
  <c r="O224" i="1" s="1"/>
  <c r="P224" i="1" s="1"/>
  <c r="Q224" i="1" s="1"/>
  <c r="R224" i="1" s="1"/>
  <c r="S224" i="1" s="1"/>
  <c r="T224" i="1" s="1"/>
  <c r="U224" i="1" s="1"/>
  <c r="V224" i="1" s="1"/>
  <c r="W224" i="1" s="1"/>
  <c r="X224" i="1" s="1"/>
  <c r="Y224" i="1" s="1"/>
  <c r="Z224" i="1" s="1"/>
  <c r="AA224" i="1" s="1"/>
  <c r="AB224" i="1" s="1"/>
  <c r="AC224" i="1" s="1"/>
  <c r="AD224" i="1" s="1"/>
  <c r="AE224" i="1" s="1"/>
  <c r="AF224" i="1" s="1"/>
  <c r="P223" i="1"/>
  <c r="Q223" i="1" s="1"/>
  <c r="R223" i="1" s="1"/>
  <c r="S223" i="1" s="1"/>
  <c r="T223" i="1" s="1"/>
  <c r="U223" i="1" s="1"/>
  <c r="V223" i="1" s="1"/>
  <c r="W223" i="1" s="1"/>
  <c r="X223" i="1" s="1"/>
  <c r="Y223" i="1" s="1"/>
  <c r="Z223" i="1" s="1"/>
  <c r="AA223" i="1" s="1"/>
  <c r="AB223" i="1" s="1"/>
  <c r="AC223" i="1" s="1"/>
  <c r="AD223" i="1" s="1"/>
  <c r="AE223" i="1" s="1"/>
  <c r="AF223" i="1" s="1"/>
  <c r="O223" i="1"/>
  <c r="D223" i="1"/>
  <c r="E223" i="1" s="1"/>
  <c r="F223" i="1" s="1"/>
  <c r="G223" i="1" s="1"/>
  <c r="H223" i="1" s="1"/>
  <c r="I223" i="1" s="1"/>
  <c r="J223" i="1" s="1"/>
  <c r="K223" i="1" s="1"/>
  <c r="L223" i="1" s="1"/>
  <c r="M223" i="1" s="1"/>
  <c r="N223" i="1" s="1"/>
  <c r="C223" i="1"/>
  <c r="H222" i="1"/>
  <c r="I222" i="1" s="1"/>
  <c r="J222" i="1" s="1"/>
  <c r="K222" i="1" s="1"/>
  <c r="L222" i="1" s="1"/>
  <c r="M222" i="1" s="1"/>
  <c r="N222" i="1" s="1"/>
  <c r="O222" i="1" s="1"/>
  <c r="P222" i="1" s="1"/>
  <c r="Q222" i="1" s="1"/>
  <c r="R222" i="1" s="1"/>
  <c r="S222" i="1" s="1"/>
  <c r="T222" i="1" s="1"/>
  <c r="U222" i="1" s="1"/>
  <c r="V222" i="1" s="1"/>
  <c r="W222" i="1" s="1"/>
  <c r="X222" i="1" s="1"/>
  <c r="Y222" i="1" s="1"/>
  <c r="Z222" i="1" s="1"/>
  <c r="AA222" i="1" s="1"/>
  <c r="AB222" i="1" s="1"/>
  <c r="AC222" i="1" s="1"/>
  <c r="AD222" i="1" s="1"/>
  <c r="AE222" i="1" s="1"/>
  <c r="AF222" i="1" s="1"/>
  <c r="D222" i="1"/>
  <c r="E222" i="1" s="1"/>
  <c r="F222" i="1" s="1"/>
  <c r="G222" i="1" s="1"/>
  <c r="C222" i="1"/>
  <c r="S221" i="1"/>
  <c r="T221" i="1" s="1"/>
  <c r="U221" i="1" s="1"/>
  <c r="V221" i="1" s="1"/>
  <c r="W221" i="1" s="1"/>
  <c r="X221" i="1" s="1"/>
  <c r="Y221" i="1" s="1"/>
  <c r="Z221" i="1" s="1"/>
  <c r="AA221" i="1" s="1"/>
  <c r="AB221" i="1" s="1"/>
  <c r="AC221" i="1" s="1"/>
  <c r="AD221" i="1" s="1"/>
  <c r="AE221" i="1" s="1"/>
  <c r="AF221" i="1" s="1"/>
  <c r="C221" i="1"/>
  <c r="D221" i="1" s="1"/>
  <c r="E221" i="1" s="1"/>
  <c r="F221" i="1" s="1"/>
  <c r="G221" i="1" s="1"/>
  <c r="H221" i="1" s="1"/>
  <c r="I221" i="1" s="1"/>
  <c r="J221" i="1" s="1"/>
  <c r="K221" i="1" s="1"/>
  <c r="L221" i="1" s="1"/>
  <c r="M221" i="1" s="1"/>
  <c r="N221" i="1" s="1"/>
  <c r="O221" i="1" s="1"/>
  <c r="P221" i="1" s="1"/>
  <c r="Q221" i="1" s="1"/>
  <c r="R221" i="1" s="1"/>
  <c r="C220" i="1"/>
  <c r="D220" i="1" s="1"/>
  <c r="E220" i="1" s="1"/>
  <c r="F220" i="1" s="1"/>
  <c r="G220" i="1" s="1"/>
  <c r="H220" i="1" s="1"/>
  <c r="I220" i="1" s="1"/>
  <c r="J220" i="1" s="1"/>
  <c r="K220" i="1" s="1"/>
  <c r="L220" i="1" s="1"/>
  <c r="M220" i="1" s="1"/>
  <c r="N220" i="1" s="1"/>
  <c r="O220" i="1" s="1"/>
  <c r="P220" i="1" s="1"/>
  <c r="Q220" i="1" s="1"/>
  <c r="R220" i="1" s="1"/>
  <c r="S220" i="1" s="1"/>
  <c r="T220" i="1" s="1"/>
  <c r="U220" i="1" s="1"/>
  <c r="V220" i="1" s="1"/>
  <c r="W220" i="1" s="1"/>
  <c r="X220" i="1" s="1"/>
  <c r="Y220" i="1" s="1"/>
  <c r="Z220" i="1" s="1"/>
  <c r="AA220" i="1" s="1"/>
  <c r="AB220" i="1" s="1"/>
  <c r="AC220" i="1" s="1"/>
  <c r="AD220" i="1" s="1"/>
  <c r="AE220" i="1" s="1"/>
  <c r="AF220" i="1" s="1"/>
  <c r="E219" i="1"/>
  <c r="F219" i="1" s="1"/>
  <c r="G219" i="1" s="1"/>
  <c r="H219" i="1" s="1"/>
  <c r="I219" i="1" s="1"/>
  <c r="J219" i="1" s="1"/>
  <c r="K219" i="1" s="1"/>
  <c r="L219" i="1" s="1"/>
  <c r="M219" i="1" s="1"/>
  <c r="N219" i="1" s="1"/>
  <c r="O219" i="1" s="1"/>
  <c r="P219" i="1" s="1"/>
  <c r="Q219" i="1" s="1"/>
  <c r="R219" i="1" s="1"/>
  <c r="S219" i="1" s="1"/>
  <c r="T219" i="1" s="1"/>
  <c r="U219" i="1" s="1"/>
  <c r="V219" i="1" s="1"/>
  <c r="W219" i="1" s="1"/>
  <c r="X219" i="1" s="1"/>
  <c r="Y219" i="1" s="1"/>
  <c r="Z219" i="1" s="1"/>
  <c r="AA219" i="1" s="1"/>
  <c r="AB219" i="1" s="1"/>
  <c r="AC219" i="1" s="1"/>
  <c r="AD219" i="1" s="1"/>
  <c r="AE219" i="1" s="1"/>
  <c r="AF219" i="1" s="1"/>
  <c r="D219" i="1"/>
  <c r="C219" i="1"/>
  <c r="D218" i="1"/>
  <c r="E218" i="1" s="1"/>
  <c r="F218" i="1" s="1"/>
  <c r="G218" i="1" s="1"/>
  <c r="H218" i="1" s="1"/>
  <c r="I218" i="1" s="1"/>
  <c r="J218" i="1" s="1"/>
  <c r="K218" i="1" s="1"/>
  <c r="L218" i="1" s="1"/>
  <c r="M218" i="1" s="1"/>
  <c r="N218" i="1" s="1"/>
  <c r="O218" i="1" s="1"/>
  <c r="P218" i="1" s="1"/>
  <c r="Q218" i="1" s="1"/>
  <c r="R218" i="1" s="1"/>
  <c r="S218" i="1" s="1"/>
  <c r="T218" i="1" s="1"/>
  <c r="U218" i="1" s="1"/>
  <c r="V218" i="1" s="1"/>
  <c r="W218" i="1" s="1"/>
  <c r="X218" i="1" s="1"/>
  <c r="Y218" i="1" s="1"/>
  <c r="Z218" i="1" s="1"/>
  <c r="AA218" i="1" s="1"/>
  <c r="AB218" i="1" s="1"/>
  <c r="AC218" i="1" s="1"/>
  <c r="AD218" i="1" s="1"/>
  <c r="AE218" i="1" s="1"/>
  <c r="AF218" i="1" s="1"/>
  <c r="C218" i="1"/>
  <c r="R217" i="1"/>
  <c r="S217" i="1" s="1"/>
  <c r="T217" i="1" s="1"/>
  <c r="U217" i="1" s="1"/>
  <c r="V217" i="1" s="1"/>
  <c r="W217" i="1" s="1"/>
  <c r="X217" i="1" s="1"/>
  <c r="Y217" i="1" s="1"/>
  <c r="Z217" i="1" s="1"/>
  <c r="AA217" i="1" s="1"/>
  <c r="AB217" i="1" s="1"/>
  <c r="AC217" i="1" s="1"/>
  <c r="AD217" i="1" s="1"/>
  <c r="AE217" i="1" s="1"/>
  <c r="AF217" i="1" s="1"/>
  <c r="D217" i="1"/>
  <c r="E217" i="1" s="1"/>
  <c r="F217" i="1" s="1"/>
  <c r="G217" i="1" s="1"/>
  <c r="H217" i="1" s="1"/>
  <c r="I217" i="1" s="1"/>
  <c r="J217" i="1" s="1"/>
  <c r="K217" i="1" s="1"/>
  <c r="L217" i="1" s="1"/>
  <c r="M217" i="1" s="1"/>
  <c r="N217" i="1" s="1"/>
  <c r="O217" i="1" s="1"/>
  <c r="P217" i="1" s="1"/>
  <c r="Q217" i="1" s="1"/>
  <c r="C217" i="1"/>
  <c r="D216" i="1"/>
  <c r="E216" i="1" s="1"/>
  <c r="F216" i="1" s="1"/>
  <c r="G216" i="1" s="1"/>
  <c r="H216" i="1" s="1"/>
  <c r="I216" i="1" s="1"/>
  <c r="J216" i="1" s="1"/>
  <c r="K216" i="1" s="1"/>
  <c r="L216" i="1" s="1"/>
  <c r="M216" i="1" s="1"/>
  <c r="N216" i="1" s="1"/>
  <c r="O216" i="1" s="1"/>
  <c r="P216" i="1" s="1"/>
  <c r="Q216" i="1" s="1"/>
  <c r="R216" i="1" s="1"/>
  <c r="S216" i="1" s="1"/>
  <c r="T216" i="1" s="1"/>
  <c r="U216" i="1" s="1"/>
  <c r="V216" i="1" s="1"/>
  <c r="W216" i="1" s="1"/>
  <c r="X216" i="1" s="1"/>
  <c r="Y216" i="1" s="1"/>
  <c r="Z216" i="1" s="1"/>
  <c r="AA216" i="1" s="1"/>
  <c r="AB216" i="1" s="1"/>
  <c r="AC216" i="1" s="1"/>
  <c r="AD216" i="1" s="1"/>
  <c r="AE216" i="1" s="1"/>
  <c r="AF216" i="1" s="1"/>
  <c r="C216" i="1"/>
  <c r="I215" i="1"/>
  <c r="J215" i="1" s="1"/>
  <c r="K215" i="1" s="1"/>
  <c r="L215" i="1" s="1"/>
  <c r="M215" i="1" s="1"/>
  <c r="N215" i="1" s="1"/>
  <c r="O215" i="1" s="1"/>
  <c r="P215" i="1" s="1"/>
  <c r="Q215" i="1" s="1"/>
  <c r="R215" i="1" s="1"/>
  <c r="S215" i="1" s="1"/>
  <c r="T215" i="1" s="1"/>
  <c r="U215" i="1" s="1"/>
  <c r="V215" i="1" s="1"/>
  <c r="W215" i="1" s="1"/>
  <c r="X215" i="1" s="1"/>
  <c r="Y215" i="1" s="1"/>
  <c r="Z215" i="1" s="1"/>
  <c r="AA215" i="1" s="1"/>
  <c r="AB215" i="1" s="1"/>
  <c r="AC215" i="1" s="1"/>
  <c r="AD215" i="1" s="1"/>
  <c r="AE215" i="1" s="1"/>
  <c r="AF215" i="1" s="1"/>
  <c r="E215" i="1"/>
  <c r="F215" i="1" s="1"/>
  <c r="G215" i="1" s="1"/>
  <c r="H215" i="1" s="1"/>
  <c r="D215" i="1"/>
  <c r="C215" i="1"/>
  <c r="C214" i="1"/>
  <c r="D214" i="1" s="1"/>
  <c r="E214" i="1" s="1"/>
  <c r="F214" i="1" s="1"/>
  <c r="G214" i="1" s="1"/>
  <c r="H214" i="1" s="1"/>
  <c r="I214" i="1" s="1"/>
  <c r="J214" i="1" s="1"/>
  <c r="K214" i="1" s="1"/>
  <c r="L214" i="1" s="1"/>
  <c r="M214" i="1" s="1"/>
  <c r="N214" i="1" s="1"/>
  <c r="O214" i="1" s="1"/>
  <c r="P214" i="1" s="1"/>
  <c r="Q214" i="1" s="1"/>
  <c r="R214" i="1" s="1"/>
  <c r="S214" i="1" s="1"/>
  <c r="T214" i="1" s="1"/>
  <c r="U214" i="1" s="1"/>
  <c r="V214" i="1" s="1"/>
  <c r="W214" i="1" s="1"/>
  <c r="X214" i="1" s="1"/>
  <c r="Y214" i="1" s="1"/>
  <c r="Z214" i="1" s="1"/>
  <c r="AA214" i="1" s="1"/>
  <c r="AB214" i="1" s="1"/>
  <c r="AC214" i="1" s="1"/>
  <c r="AD214" i="1" s="1"/>
  <c r="AE214" i="1" s="1"/>
  <c r="AF214" i="1" s="1"/>
  <c r="K213" i="1"/>
  <c r="L213" i="1" s="1"/>
  <c r="M213" i="1" s="1"/>
  <c r="N213" i="1" s="1"/>
  <c r="O213" i="1" s="1"/>
  <c r="P213" i="1" s="1"/>
  <c r="Q213" i="1" s="1"/>
  <c r="R213" i="1" s="1"/>
  <c r="S213" i="1" s="1"/>
  <c r="T213" i="1" s="1"/>
  <c r="U213" i="1" s="1"/>
  <c r="V213" i="1" s="1"/>
  <c r="W213" i="1" s="1"/>
  <c r="X213" i="1" s="1"/>
  <c r="Y213" i="1" s="1"/>
  <c r="Z213" i="1" s="1"/>
  <c r="AA213" i="1" s="1"/>
  <c r="AB213" i="1" s="1"/>
  <c r="AC213" i="1" s="1"/>
  <c r="AD213" i="1" s="1"/>
  <c r="AE213" i="1" s="1"/>
  <c r="AF213" i="1" s="1"/>
  <c r="D213" i="1"/>
  <c r="E213" i="1" s="1"/>
  <c r="F213" i="1" s="1"/>
  <c r="G213" i="1" s="1"/>
  <c r="H213" i="1" s="1"/>
  <c r="I213" i="1" s="1"/>
  <c r="J213" i="1" s="1"/>
  <c r="C213" i="1"/>
  <c r="G212" i="1"/>
  <c r="H212" i="1" s="1"/>
  <c r="I212" i="1" s="1"/>
  <c r="J212" i="1" s="1"/>
  <c r="K212" i="1" s="1"/>
  <c r="L212" i="1" s="1"/>
  <c r="M212" i="1" s="1"/>
  <c r="N212" i="1" s="1"/>
  <c r="O212" i="1" s="1"/>
  <c r="P212" i="1" s="1"/>
  <c r="Q212" i="1" s="1"/>
  <c r="R212" i="1" s="1"/>
  <c r="S212" i="1" s="1"/>
  <c r="T212" i="1" s="1"/>
  <c r="U212" i="1" s="1"/>
  <c r="V212" i="1" s="1"/>
  <c r="W212" i="1" s="1"/>
  <c r="X212" i="1" s="1"/>
  <c r="Y212" i="1" s="1"/>
  <c r="Z212" i="1" s="1"/>
  <c r="AA212" i="1" s="1"/>
  <c r="AB212" i="1" s="1"/>
  <c r="AC212" i="1" s="1"/>
  <c r="AD212" i="1" s="1"/>
  <c r="AE212" i="1" s="1"/>
  <c r="AF212" i="1" s="1"/>
  <c r="D212" i="1"/>
  <c r="E212" i="1" s="1"/>
  <c r="F212" i="1" s="1"/>
  <c r="C212" i="1"/>
  <c r="N211" i="1"/>
  <c r="O211" i="1" s="1"/>
  <c r="P211" i="1" s="1"/>
  <c r="Q211" i="1" s="1"/>
  <c r="R211" i="1" s="1"/>
  <c r="S211" i="1" s="1"/>
  <c r="T211" i="1" s="1"/>
  <c r="U211" i="1" s="1"/>
  <c r="V211" i="1" s="1"/>
  <c r="W211" i="1" s="1"/>
  <c r="X211" i="1" s="1"/>
  <c r="Y211" i="1" s="1"/>
  <c r="Z211" i="1" s="1"/>
  <c r="AA211" i="1" s="1"/>
  <c r="AB211" i="1" s="1"/>
  <c r="AC211" i="1" s="1"/>
  <c r="AD211" i="1" s="1"/>
  <c r="AE211" i="1" s="1"/>
  <c r="AF211" i="1" s="1"/>
  <c r="M211" i="1"/>
  <c r="D211" i="1"/>
  <c r="E211" i="1" s="1"/>
  <c r="F211" i="1" s="1"/>
  <c r="G211" i="1" s="1"/>
  <c r="H211" i="1" s="1"/>
  <c r="I211" i="1" s="1"/>
  <c r="J211" i="1" s="1"/>
  <c r="K211" i="1" s="1"/>
  <c r="L211" i="1" s="1"/>
  <c r="C211" i="1"/>
  <c r="G210" i="1"/>
  <c r="H210" i="1" s="1"/>
  <c r="I210" i="1" s="1"/>
  <c r="J210" i="1" s="1"/>
  <c r="K210" i="1" s="1"/>
  <c r="L210" i="1" s="1"/>
  <c r="M210" i="1" s="1"/>
  <c r="N210" i="1" s="1"/>
  <c r="O210" i="1" s="1"/>
  <c r="P210" i="1" s="1"/>
  <c r="Q210" i="1" s="1"/>
  <c r="R210" i="1" s="1"/>
  <c r="S210" i="1" s="1"/>
  <c r="T210" i="1" s="1"/>
  <c r="U210" i="1" s="1"/>
  <c r="V210" i="1" s="1"/>
  <c r="W210" i="1" s="1"/>
  <c r="X210" i="1" s="1"/>
  <c r="Y210" i="1" s="1"/>
  <c r="Z210" i="1" s="1"/>
  <c r="AA210" i="1" s="1"/>
  <c r="AB210" i="1" s="1"/>
  <c r="AC210" i="1" s="1"/>
  <c r="AD210" i="1" s="1"/>
  <c r="AE210" i="1" s="1"/>
  <c r="AF210" i="1" s="1"/>
  <c r="D210" i="1"/>
  <c r="E210" i="1" s="1"/>
  <c r="F210" i="1" s="1"/>
  <c r="C210" i="1"/>
  <c r="D209" i="1"/>
  <c r="E209" i="1" s="1"/>
  <c r="F209" i="1" s="1"/>
  <c r="G209" i="1" s="1"/>
  <c r="H209" i="1" s="1"/>
  <c r="I209" i="1" s="1"/>
  <c r="J209" i="1" s="1"/>
  <c r="K209" i="1" s="1"/>
  <c r="L209" i="1" s="1"/>
  <c r="M209" i="1" s="1"/>
  <c r="N209" i="1" s="1"/>
  <c r="O209" i="1" s="1"/>
  <c r="P209" i="1" s="1"/>
  <c r="Q209" i="1" s="1"/>
  <c r="R209" i="1" s="1"/>
  <c r="S209" i="1" s="1"/>
  <c r="T209" i="1" s="1"/>
  <c r="U209" i="1" s="1"/>
  <c r="V209" i="1" s="1"/>
  <c r="W209" i="1" s="1"/>
  <c r="X209" i="1" s="1"/>
  <c r="Y209" i="1" s="1"/>
  <c r="Z209" i="1" s="1"/>
  <c r="AA209" i="1" s="1"/>
  <c r="AB209" i="1" s="1"/>
  <c r="AC209" i="1" s="1"/>
  <c r="AD209" i="1" s="1"/>
  <c r="AE209" i="1" s="1"/>
  <c r="AF209" i="1" s="1"/>
  <c r="C209" i="1"/>
  <c r="D208" i="1"/>
  <c r="E208" i="1" s="1"/>
  <c r="F208" i="1" s="1"/>
  <c r="G208" i="1" s="1"/>
  <c r="H208" i="1" s="1"/>
  <c r="I208" i="1" s="1"/>
  <c r="J208" i="1" s="1"/>
  <c r="K208" i="1" s="1"/>
  <c r="L208" i="1" s="1"/>
  <c r="M208" i="1" s="1"/>
  <c r="N208" i="1" s="1"/>
  <c r="O208" i="1" s="1"/>
  <c r="P208" i="1" s="1"/>
  <c r="Q208" i="1" s="1"/>
  <c r="R208" i="1" s="1"/>
  <c r="S208" i="1" s="1"/>
  <c r="T208" i="1" s="1"/>
  <c r="U208" i="1" s="1"/>
  <c r="V208" i="1" s="1"/>
  <c r="W208" i="1" s="1"/>
  <c r="X208" i="1" s="1"/>
  <c r="Y208" i="1" s="1"/>
  <c r="Z208" i="1" s="1"/>
  <c r="AA208" i="1" s="1"/>
  <c r="AB208" i="1" s="1"/>
  <c r="AC208" i="1" s="1"/>
  <c r="AD208" i="1" s="1"/>
  <c r="AE208" i="1" s="1"/>
  <c r="AF208" i="1" s="1"/>
  <c r="C208" i="1"/>
  <c r="E207" i="1"/>
  <c r="F207" i="1" s="1"/>
  <c r="G207" i="1" s="1"/>
  <c r="H207" i="1" s="1"/>
  <c r="I207" i="1" s="1"/>
  <c r="J207" i="1" s="1"/>
  <c r="K207" i="1" s="1"/>
  <c r="L207" i="1" s="1"/>
  <c r="M207" i="1" s="1"/>
  <c r="N207" i="1" s="1"/>
  <c r="O207" i="1" s="1"/>
  <c r="P207" i="1" s="1"/>
  <c r="Q207" i="1" s="1"/>
  <c r="R207" i="1" s="1"/>
  <c r="S207" i="1" s="1"/>
  <c r="T207" i="1" s="1"/>
  <c r="U207" i="1" s="1"/>
  <c r="V207" i="1" s="1"/>
  <c r="W207" i="1" s="1"/>
  <c r="X207" i="1" s="1"/>
  <c r="Y207" i="1" s="1"/>
  <c r="Z207" i="1" s="1"/>
  <c r="AA207" i="1" s="1"/>
  <c r="AB207" i="1" s="1"/>
  <c r="AC207" i="1" s="1"/>
  <c r="AD207" i="1" s="1"/>
  <c r="AE207" i="1" s="1"/>
  <c r="AF207" i="1" s="1"/>
  <c r="D207" i="1"/>
  <c r="C207" i="1"/>
  <c r="K206" i="1"/>
  <c r="L206" i="1" s="1"/>
  <c r="M206" i="1" s="1"/>
  <c r="N206" i="1" s="1"/>
  <c r="O206" i="1" s="1"/>
  <c r="P206" i="1" s="1"/>
  <c r="Q206" i="1" s="1"/>
  <c r="R206" i="1" s="1"/>
  <c r="S206" i="1" s="1"/>
  <c r="T206" i="1" s="1"/>
  <c r="U206" i="1" s="1"/>
  <c r="V206" i="1" s="1"/>
  <c r="W206" i="1" s="1"/>
  <c r="X206" i="1" s="1"/>
  <c r="Y206" i="1" s="1"/>
  <c r="Z206" i="1" s="1"/>
  <c r="AA206" i="1" s="1"/>
  <c r="AB206" i="1" s="1"/>
  <c r="AC206" i="1" s="1"/>
  <c r="AD206" i="1" s="1"/>
  <c r="AE206" i="1" s="1"/>
  <c r="AF206" i="1" s="1"/>
  <c r="J206" i="1"/>
  <c r="F206" i="1"/>
  <c r="G206" i="1" s="1"/>
  <c r="H206" i="1" s="1"/>
  <c r="I206" i="1" s="1"/>
  <c r="D206" i="1"/>
  <c r="E206" i="1" s="1"/>
  <c r="C206" i="1"/>
  <c r="R205" i="1"/>
  <c r="S205" i="1" s="1"/>
  <c r="T205" i="1" s="1"/>
  <c r="U205" i="1" s="1"/>
  <c r="V205" i="1" s="1"/>
  <c r="W205" i="1" s="1"/>
  <c r="X205" i="1" s="1"/>
  <c r="Y205" i="1" s="1"/>
  <c r="Z205" i="1" s="1"/>
  <c r="AA205" i="1" s="1"/>
  <c r="AB205" i="1" s="1"/>
  <c r="AC205" i="1" s="1"/>
  <c r="AD205" i="1" s="1"/>
  <c r="AE205" i="1" s="1"/>
  <c r="AF205" i="1" s="1"/>
  <c r="F205" i="1"/>
  <c r="G205" i="1" s="1"/>
  <c r="H205" i="1" s="1"/>
  <c r="I205" i="1" s="1"/>
  <c r="J205" i="1" s="1"/>
  <c r="K205" i="1" s="1"/>
  <c r="L205" i="1" s="1"/>
  <c r="M205" i="1" s="1"/>
  <c r="N205" i="1" s="1"/>
  <c r="O205" i="1" s="1"/>
  <c r="P205" i="1" s="1"/>
  <c r="Q205" i="1" s="1"/>
  <c r="D205" i="1"/>
  <c r="E205" i="1" s="1"/>
  <c r="C205" i="1"/>
  <c r="C204" i="1"/>
  <c r="D204" i="1" s="1"/>
  <c r="E204" i="1" s="1"/>
  <c r="F204" i="1" s="1"/>
  <c r="G204" i="1" s="1"/>
  <c r="H204" i="1" s="1"/>
  <c r="I204" i="1" s="1"/>
  <c r="J204" i="1" s="1"/>
  <c r="K204" i="1" s="1"/>
  <c r="L204" i="1" s="1"/>
  <c r="M204" i="1" s="1"/>
  <c r="N204" i="1" s="1"/>
  <c r="O204" i="1" s="1"/>
  <c r="P204" i="1" s="1"/>
  <c r="Q204" i="1" s="1"/>
  <c r="R204" i="1" s="1"/>
  <c r="S204" i="1" s="1"/>
  <c r="T204" i="1" s="1"/>
  <c r="U204" i="1" s="1"/>
  <c r="V204" i="1" s="1"/>
  <c r="W204" i="1" s="1"/>
  <c r="X204" i="1" s="1"/>
  <c r="Y204" i="1" s="1"/>
  <c r="Z204" i="1" s="1"/>
  <c r="AA204" i="1" s="1"/>
  <c r="AB204" i="1" s="1"/>
  <c r="AC204" i="1" s="1"/>
  <c r="AD204" i="1" s="1"/>
  <c r="AE204" i="1" s="1"/>
  <c r="AF204" i="1" s="1"/>
  <c r="F203" i="1"/>
  <c r="G203" i="1" s="1"/>
  <c r="H203" i="1" s="1"/>
  <c r="I203" i="1" s="1"/>
  <c r="J203" i="1" s="1"/>
  <c r="K203" i="1" s="1"/>
  <c r="L203" i="1" s="1"/>
  <c r="M203" i="1" s="1"/>
  <c r="N203" i="1" s="1"/>
  <c r="O203" i="1" s="1"/>
  <c r="P203" i="1" s="1"/>
  <c r="Q203" i="1" s="1"/>
  <c r="R203" i="1" s="1"/>
  <c r="S203" i="1" s="1"/>
  <c r="T203" i="1" s="1"/>
  <c r="U203" i="1" s="1"/>
  <c r="V203" i="1" s="1"/>
  <c r="W203" i="1" s="1"/>
  <c r="X203" i="1" s="1"/>
  <c r="Y203" i="1" s="1"/>
  <c r="Z203" i="1" s="1"/>
  <c r="AA203" i="1" s="1"/>
  <c r="AB203" i="1" s="1"/>
  <c r="AC203" i="1" s="1"/>
  <c r="AD203" i="1" s="1"/>
  <c r="AE203" i="1" s="1"/>
  <c r="AF203" i="1" s="1"/>
  <c r="E203" i="1"/>
  <c r="D203" i="1"/>
  <c r="C203" i="1"/>
  <c r="C202" i="1"/>
  <c r="D202" i="1" s="1"/>
  <c r="E202" i="1" s="1"/>
  <c r="F202" i="1" s="1"/>
  <c r="G202" i="1" s="1"/>
  <c r="H202" i="1" s="1"/>
  <c r="I202" i="1" s="1"/>
  <c r="J202" i="1" s="1"/>
  <c r="K202" i="1" s="1"/>
  <c r="L202" i="1" s="1"/>
  <c r="M202" i="1" s="1"/>
  <c r="N202" i="1" s="1"/>
  <c r="O202" i="1" s="1"/>
  <c r="P202" i="1" s="1"/>
  <c r="Q202" i="1" s="1"/>
  <c r="R202" i="1" s="1"/>
  <c r="S202" i="1" s="1"/>
  <c r="T202" i="1" s="1"/>
  <c r="U202" i="1" s="1"/>
  <c r="V202" i="1" s="1"/>
  <c r="W202" i="1" s="1"/>
  <c r="X202" i="1" s="1"/>
  <c r="Y202" i="1" s="1"/>
  <c r="Z202" i="1" s="1"/>
  <c r="AA202" i="1" s="1"/>
  <c r="AB202" i="1" s="1"/>
  <c r="AC202" i="1" s="1"/>
  <c r="AD202" i="1" s="1"/>
  <c r="AE202" i="1" s="1"/>
  <c r="AF202" i="1" s="1"/>
  <c r="E201" i="1"/>
  <c r="F201" i="1" s="1"/>
  <c r="C201" i="1"/>
  <c r="D201" i="1" s="1"/>
  <c r="K200" i="1"/>
  <c r="L200" i="1" s="1"/>
  <c r="M200" i="1" s="1"/>
  <c r="N200" i="1" s="1"/>
  <c r="O200" i="1" s="1"/>
  <c r="P200" i="1" s="1"/>
  <c r="Q200" i="1" s="1"/>
  <c r="R200" i="1" s="1"/>
  <c r="S200" i="1" s="1"/>
  <c r="T200" i="1" s="1"/>
  <c r="U200" i="1" s="1"/>
  <c r="V200" i="1" s="1"/>
  <c r="W200" i="1" s="1"/>
  <c r="X200" i="1" s="1"/>
  <c r="Y200" i="1" s="1"/>
  <c r="Z200" i="1" s="1"/>
  <c r="AA200" i="1" s="1"/>
  <c r="AB200" i="1" s="1"/>
  <c r="AC200" i="1" s="1"/>
  <c r="AD200" i="1" s="1"/>
  <c r="AE200" i="1" s="1"/>
  <c r="AF200" i="1" s="1"/>
  <c r="D200" i="1"/>
  <c r="E200" i="1" s="1"/>
  <c r="F200" i="1" s="1"/>
  <c r="G200" i="1" s="1"/>
  <c r="H200" i="1" s="1"/>
  <c r="I200" i="1" s="1"/>
  <c r="J200" i="1" s="1"/>
  <c r="C200" i="1"/>
  <c r="G199" i="1"/>
  <c r="H199" i="1" s="1"/>
  <c r="I199" i="1" s="1"/>
  <c r="J199" i="1" s="1"/>
  <c r="K199" i="1" s="1"/>
  <c r="L199" i="1" s="1"/>
  <c r="M199" i="1" s="1"/>
  <c r="N199" i="1" s="1"/>
  <c r="O199" i="1" s="1"/>
  <c r="P199" i="1" s="1"/>
  <c r="Q199" i="1" s="1"/>
  <c r="R199" i="1" s="1"/>
  <c r="S199" i="1" s="1"/>
  <c r="T199" i="1" s="1"/>
  <c r="U199" i="1" s="1"/>
  <c r="V199" i="1" s="1"/>
  <c r="W199" i="1" s="1"/>
  <c r="X199" i="1" s="1"/>
  <c r="Y199" i="1" s="1"/>
  <c r="Z199" i="1" s="1"/>
  <c r="AA199" i="1" s="1"/>
  <c r="AB199" i="1" s="1"/>
  <c r="AC199" i="1" s="1"/>
  <c r="AD199" i="1" s="1"/>
  <c r="AE199" i="1" s="1"/>
  <c r="AF199" i="1" s="1"/>
  <c r="E199" i="1"/>
  <c r="F199" i="1" s="1"/>
  <c r="D199" i="1"/>
  <c r="C199" i="1"/>
  <c r="D198" i="1"/>
  <c r="E198" i="1" s="1"/>
  <c r="F198" i="1" s="1"/>
  <c r="G198" i="1" s="1"/>
  <c r="H198" i="1" s="1"/>
  <c r="I198" i="1" s="1"/>
  <c r="J198" i="1" s="1"/>
  <c r="K198" i="1" s="1"/>
  <c r="L198" i="1" s="1"/>
  <c r="M198" i="1" s="1"/>
  <c r="N198" i="1" s="1"/>
  <c r="O198" i="1" s="1"/>
  <c r="P198" i="1" s="1"/>
  <c r="Q198" i="1" s="1"/>
  <c r="R198" i="1" s="1"/>
  <c r="S198" i="1" s="1"/>
  <c r="T198" i="1" s="1"/>
  <c r="U198" i="1" s="1"/>
  <c r="V198" i="1" s="1"/>
  <c r="W198" i="1" s="1"/>
  <c r="X198" i="1" s="1"/>
  <c r="Y198" i="1" s="1"/>
  <c r="Z198" i="1" s="1"/>
  <c r="AA198" i="1" s="1"/>
  <c r="AB198" i="1" s="1"/>
  <c r="AC198" i="1" s="1"/>
  <c r="AD198" i="1" s="1"/>
  <c r="AE198" i="1" s="1"/>
  <c r="AF198" i="1" s="1"/>
  <c r="C198" i="1"/>
  <c r="H197" i="1"/>
  <c r="I197" i="1" s="1"/>
  <c r="J197" i="1" s="1"/>
  <c r="K197" i="1" s="1"/>
  <c r="L197" i="1" s="1"/>
  <c r="M197" i="1" s="1"/>
  <c r="N197" i="1" s="1"/>
  <c r="O197" i="1" s="1"/>
  <c r="P197" i="1" s="1"/>
  <c r="Q197" i="1" s="1"/>
  <c r="R197" i="1" s="1"/>
  <c r="S197" i="1" s="1"/>
  <c r="T197" i="1" s="1"/>
  <c r="U197" i="1" s="1"/>
  <c r="V197" i="1" s="1"/>
  <c r="W197" i="1" s="1"/>
  <c r="X197" i="1" s="1"/>
  <c r="Y197" i="1" s="1"/>
  <c r="Z197" i="1" s="1"/>
  <c r="AA197" i="1" s="1"/>
  <c r="AB197" i="1" s="1"/>
  <c r="AC197" i="1" s="1"/>
  <c r="AD197" i="1" s="1"/>
  <c r="AE197" i="1" s="1"/>
  <c r="AF197" i="1" s="1"/>
  <c r="D197" i="1"/>
  <c r="E197" i="1" s="1"/>
  <c r="F197" i="1" s="1"/>
  <c r="G197" i="1" s="1"/>
  <c r="C197" i="1"/>
  <c r="P196" i="1"/>
  <c r="Q196" i="1" s="1"/>
  <c r="R196" i="1" s="1"/>
  <c r="S196" i="1" s="1"/>
  <c r="T196" i="1" s="1"/>
  <c r="U196" i="1" s="1"/>
  <c r="V196" i="1" s="1"/>
  <c r="W196" i="1" s="1"/>
  <c r="X196" i="1" s="1"/>
  <c r="Y196" i="1" s="1"/>
  <c r="Z196" i="1" s="1"/>
  <c r="AA196" i="1" s="1"/>
  <c r="AB196" i="1" s="1"/>
  <c r="AC196" i="1" s="1"/>
  <c r="AD196" i="1" s="1"/>
  <c r="AE196" i="1" s="1"/>
  <c r="AF196" i="1" s="1"/>
  <c r="D196" i="1"/>
  <c r="E196" i="1" s="1"/>
  <c r="F196" i="1" s="1"/>
  <c r="G196" i="1" s="1"/>
  <c r="H196" i="1" s="1"/>
  <c r="I196" i="1" s="1"/>
  <c r="J196" i="1" s="1"/>
  <c r="K196" i="1" s="1"/>
  <c r="L196" i="1" s="1"/>
  <c r="M196" i="1" s="1"/>
  <c r="N196" i="1" s="1"/>
  <c r="O196" i="1" s="1"/>
  <c r="C196" i="1"/>
  <c r="L195" i="1"/>
  <c r="M195" i="1" s="1"/>
  <c r="N195" i="1" s="1"/>
  <c r="O195" i="1" s="1"/>
  <c r="P195" i="1" s="1"/>
  <c r="Q195" i="1" s="1"/>
  <c r="R195" i="1" s="1"/>
  <c r="S195" i="1" s="1"/>
  <c r="T195" i="1" s="1"/>
  <c r="U195" i="1" s="1"/>
  <c r="V195" i="1" s="1"/>
  <c r="W195" i="1" s="1"/>
  <c r="X195" i="1" s="1"/>
  <c r="Y195" i="1" s="1"/>
  <c r="Z195" i="1" s="1"/>
  <c r="AA195" i="1" s="1"/>
  <c r="AB195" i="1" s="1"/>
  <c r="AC195" i="1" s="1"/>
  <c r="AD195" i="1" s="1"/>
  <c r="AE195" i="1" s="1"/>
  <c r="AF195" i="1" s="1"/>
  <c r="J195" i="1"/>
  <c r="K195" i="1" s="1"/>
  <c r="E195" i="1"/>
  <c r="F195" i="1" s="1"/>
  <c r="G195" i="1" s="1"/>
  <c r="H195" i="1" s="1"/>
  <c r="I195" i="1" s="1"/>
  <c r="D195" i="1"/>
  <c r="C195" i="1"/>
  <c r="P194" i="1"/>
  <c r="Q194" i="1" s="1"/>
  <c r="R194" i="1" s="1"/>
  <c r="S194" i="1" s="1"/>
  <c r="T194" i="1" s="1"/>
  <c r="U194" i="1" s="1"/>
  <c r="V194" i="1" s="1"/>
  <c r="W194" i="1" s="1"/>
  <c r="X194" i="1" s="1"/>
  <c r="Y194" i="1" s="1"/>
  <c r="Z194" i="1" s="1"/>
  <c r="AA194" i="1" s="1"/>
  <c r="AB194" i="1" s="1"/>
  <c r="AC194" i="1" s="1"/>
  <c r="AD194" i="1" s="1"/>
  <c r="AE194" i="1" s="1"/>
  <c r="AF194" i="1" s="1"/>
  <c r="F194" i="1"/>
  <c r="G194" i="1" s="1"/>
  <c r="H194" i="1" s="1"/>
  <c r="I194" i="1" s="1"/>
  <c r="J194" i="1" s="1"/>
  <c r="K194" i="1" s="1"/>
  <c r="L194" i="1" s="1"/>
  <c r="M194" i="1" s="1"/>
  <c r="N194" i="1" s="1"/>
  <c r="O194" i="1" s="1"/>
  <c r="E194" i="1"/>
  <c r="D194" i="1"/>
  <c r="C194" i="1"/>
  <c r="K193" i="1"/>
  <c r="L193" i="1" s="1"/>
  <c r="M193" i="1" s="1"/>
  <c r="N193" i="1" s="1"/>
  <c r="O193" i="1" s="1"/>
  <c r="P193" i="1" s="1"/>
  <c r="Q193" i="1" s="1"/>
  <c r="R193" i="1" s="1"/>
  <c r="S193" i="1" s="1"/>
  <c r="T193" i="1" s="1"/>
  <c r="U193" i="1" s="1"/>
  <c r="V193" i="1" s="1"/>
  <c r="W193" i="1" s="1"/>
  <c r="X193" i="1" s="1"/>
  <c r="Y193" i="1" s="1"/>
  <c r="Z193" i="1" s="1"/>
  <c r="AA193" i="1" s="1"/>
  <c r="AB193" i="1" s="1"/>
  <c r="AC193" i="1" s="1"/>
  <c r="AD193" i="1" s="1"/>
  <c r="AE193" i="1" s="1"/>
  <c r="AF193" i="1" s="1"/>
  <c r="D193" i="1"/>
  <c r="E193" i="1" s="1"/>
  <c r="F193" i="1" s="1"/>
  <c r="G193" i="1" s="1"/>
  <c r="H193" i="1" s="1"/>
  <c r="I193" i="1" s="1"/>
  <c r="J193" i="1" s="1"/>
  <c r="C193" i="1"/>
  <c r="G192" i="1"/>
  <c r="H192" i="1" s="1"/>
  <c r="I192" i="1" s="1"/>
  <c r="J192" i="1" s="1"/>
  <c r="K192" i="1" s="1"/>
  <c r="L192" i="1" s="1"/>
  <c r="M192" i="1" s="1"/>
  <c r="N192" i="1" s="1"/>
  <c r="O192" i="1" s="1"/>
  <c r="P192" i="1" s="1"/>
  <c r="Q192" i="1" s="1"/>
  <c r="R192" i="1" s="1"/>
  <c r="S192" i="1" s="1"/>
  <c r="T192" i="1" s="1"/>
  <c r="U192" i="1" s="1"/>
  <c r="V192" i="1" s="1"/>
  <c r="W192" i="1" s="1"/>
  <c r="X192" i="1" s="1"/>
  <c r="Y192" i="1" s="1"/>
  <c r="Z192" i="1" s="1"/>
  <c r="AA192" i="1" s="1"/>
  <c r="AB192" i="1" s="1"/>
  <c r="AC192" i="1" s="1"/>
  <c r="AD192" i="1" s="1"/>
  <c r="AE192" i="1" s="1"/>
  <c r="AF192" i="1" s="1"/>
  <c r="C192" i="1"/>
  <c r="D192" i="1" s="1"/>
  <c r="E192" i="1" s="1"/>
  <c r="F192" i="1" s="1"/>
  <c r="M191" i="1"/>
  <c r="N191" i="1" s="1"/>
  <c r="O191" i="1" s="1"/>
  <c r="P191" i="1" s="1"/>
  <c r="Q191" i="1" s="1"/>
  <c r="R191" i="1" s="1"/>
  <c r="S191" i="1" s="1"/>
  <c r="T191" i="1" s="1"/>
  <c r="U191" i="1" s="1"/>
  <c r="V191" i="1" s="1"/>
  <c r="W191" i="1" s="1"/>
  <c r="X191" i="1" s="1"/>
  <c r="Y191" i="1" s="1"/>
  <c r="Z191" i="1" s="1"/>
  <c r="AA191" i="1" s="1"/>
  <c r="AB191" i="1" s="1"/>
  <c r="AC191" i="1" s="1"/>
  <c r="AD191" i="1" s="1"/>
  <c r="AE191" i="1" s="1"/>
  <c r="AF191" i="1" s="1"/>
  <c r="D191" i="1"/>
  <c r="E191" i="1" s="1"/>
  <c r="F191" i="1" s="1"/>
  <c r="G191" i="1" s="1"/>
  <c r="H191" i="1" s="1"/>
  <c r="I191" i="1" s="1"/>
  <c r="J191" i="1" s="1"/>
  <c r="K191" i="1" s="1"/>
  <c r="L191" i="1" s="1"/>
  <c r="C191" i="1"/>
  <c r="D190" i="1"/>
  <c r="E190" i="1" s="1"/>
  <c r="F190" i="1" s="1"/>
  <c r="G190" i="1" s="1"/>
  <c r="C190" i="1"/>
  <c r="C189" i="1"/>
  <c r="D189" i="1" s="1"/>
  <c r="E189" i="1" s="1"/>
  <c r="F189" i="1" s="1"/>
  <c r="G189" i="1" s="1"/>
  <c r="H189" i="1" s="1"/>
  <c r="I189" i="1" s="1"/>
  <c r="J189" i="1" s="1"/>
  <c r="K189" i="1" s="1"/>
  <c r="L189" i="1" s="1"/>
  <c r="M189" i="1" s="1"/>
  <c r="N189" i="1" s="1"/>
  <c r="O189" i="1" s="1"/>
  <c r="P189" i="1" s="1"/>
  <c r="Q189" i="1" s="1"/>
  <c r="R189" i="1" s="1"/>
  <c r="S189" i="1" s="1"/>
  <c r="T189" i="1" s="1"/>
  <c r="U189" i="1" s="1"/>
  <c r="V189" i="1" s="1"/>
  <c r="W189" i="1" s="1"/>
  <c r="X189" i="1" s="1"/>
  <c r="Y189" i="1" s="1"/>
  <c r="Z189" i="1" s="1"/>
  <c r="AA189" i="1" s="1"/>
  <c r="AB189" i="1" s="1"/>
  <c r="AC189" i="1" s="1"/>
  <c r="AD189" i="1" s="1"/>
  <c r="AE189" i="1" s="1"/>
  <c r="AF189" i="1" s="1"/>
  <c r="G188" i="1"/>
  <c r="H188" i="1" s="1"/>
  <c r="I188" i="1" s="1"/>
  <c r="J188" i="1" s="1"/>
  <c r="K188" i="1" s="1"/>
  <c r="L188" i="1" s="1"/>
  <c r="M188" i="1" s="1"/>
  <c r="N188" i="1" s="1"/>
  <c r="O188" i="1" s="1"/>
  <c r="P188" i="1" s="1"/>
  <c r="Q188" i="1" s="1"/>
  <c r="R188" i="1" s="1"/>
  <c r="S188" i="1" s="1"/>
  <c r="T188" i="1" s="1"/>
  <c r="U188" i="1" s="1"/>
  <c r="V188" i="1" s="1"/>
  <c r="W188" i="1" s="1"/>
  <c r="X188" i="1" s="1"/>
  <c r="Y188" i="1" s="1"/>
  <c r="Z188" i="1" s="1"/>
  <c r="AA188" i="1" s="1"/>
  <c r="AB188" i="1" s="1"/>
  <c r="AC188" i="1" s="1"/>
  <c r="AD188" i="1" s="1"/>
  <c r="AE188" i="1" s="1"/>
  <c r="AF188" i="1" s="1"/>
  <c r="C188" i="1"/>
  <c r="D188" i="1" s="1"/>
  <c r="E188" i="1" s="1"/>
  <c r="F188" i="1" s="1"/>
  <c r="N187" i="1"/>
  <c r="O187" i="1" s="1"/>
  <c r="P187" i="1" s="1"/>
  <c r="Q187" i="1" s="1"/>
  <c r="R187" i="1" s="1"/>
  <c r="S187" i="1" s="1"/>
  <c r="T187" i="1" s="1"/>
  <c r="U187" i="1" s="1"/>
  <c r="V187" i="1" s="1"/>
  <c r="W187" i="1" s="1"/>
  <c r="X187" i="1" s="1"/>
  <c r="Y187" i="1" s="1"/>
  <c r="Z187" i="1" s="1"/>
  <c r="AA187" i="1" s="1"/>
  <c r="AB187" i="1" s="1"/>
  <c r="AC187" i="1" s="1"/>
  <c r="AD187" i="1" s="1"/>
  <c r="AE187" i="1" s="1"/>
  <c r="AF187" i="1" s="1"/>
  <c r="E187" i="1"/>
  <c r="F187" i="1" s="1"/>
  <c r="G187" i="1" s="1"/>
  <c r="H187" i="1" s="1"/>
  <c r="I187" i="1" s="1"/>
  <c r="J187" i="1" s="1"/>
  <c r="K187" i="1" s="1"/>
  <c r="L187" i="1" s="1"/>
  <c r="M187" i="1" s="1"/>
  <c r="D187" i="1"/>
  <c r="C187" i="1"/>
  <c r="J186" i="1"/>
  <c r="K186" i="1" s="1"/>
  <c r="L186" i="1" s="1"/>
  <c r="M186" i="1" s="1"/>
  <c r="N186" i="1" s="1"/>
  <c r="O186" i="1" s="1"/>
  <c r="P186" i="1" s="1"/>
  <c r="Q186" i="1" s="1"/>
  <c r="R186" i="1" s="1"/>
  <c r="S186" i="1" s="1"/>
  <c r="T186" i="1" s="1"/>
  <c r="U186" i="1" s="1"/>
  <c r="V186" i="1" s="1"/>
  <c r="W186" i="1" s="1"/>
  <c r="X186" i="1" s="1"/>
  <c r="Y186" i="1" s="1"/>
  <c r="Z186" i="1" s="1"/>
  <c r="AA186" i="1" s="1"/>
  <c r="AB186" i="1" s="1"/>
  <c r="AC186" i="1" s="1"/>
  <c r="AD186" i="1" s="1"/>
  <c r="AE186" i="1" s="1"/>
  <c r="AF186" i="1" s="1"/>
  <c r="D186" i="1"/>
  <c r="E186" i="1" s="1"/>
  <c r="F186" i="1" s="1"/>
  <c r="G186" i="1" s="1"/>
  <c r="H186" i="1" s="1"/>
  <c r="I186" i="1" s="1"/>
  <c r="C186" i="1"/>
  <c r="C185" i="1"/>
  <c r="D185" i="1" s="1"/>
  <c r="E185" i="1" s="1"/>
  <c r="F185" i="1" s="1"/>
  <c r="G185" i="1" s="1"/>
  <c r="H185" i="1" s="1"/>
  <c r="I185" i="1" s="1"/>
  <c r="J185" i="1" s="1"/>
  <c r="K185" i="1" s="1"/>
  <c r="L185" i="1" s="1"/>
  <c r="M185" i="1" s="1"/>
  <c r="N185" i="1" s="1"/>
  <c r="O185" i="1" s="1"/>
  <c r="P185" i="1" s="1"/>
  <c r="Q185" i="1" s="1"/>
  <c r="R185" i="1" s="1"/>
  <c r="S185" i="1" s="1"/>
  <c r="T185" i="1" s="1"/>
  <c r="U185" i="1" s="1"/>
  <c r="V185" i="1" s="1"/>
  <c r="W185" i="1" s="1"/>
  <c r="X185" i="1" s="1"/>
  <c r="Y185" i="1" s="1"/>
  <c r="Z185" i="1" s="1"/>
  <c r="AA185" i="1" s="1"/>
  <c r="AB185" i="1" s="1"/>
  <c r="AC185" i="1" s="1"/>
  <c r="AD185" i="1" s="1"/>
  <c r="AE185" i="1" s="1"/>
  <c r="AF185" i="1" s="1"/>
  <c r="D184" i="1"/>
  <c r="E184" i="1" s="1"/>
  <c r="F184" i="1" s="1"/>
  <c r="G184" i="1" s="1"/>
  <c r="H184" i="1" s="1"/>
  <c r="I184" i="1" s="1"/>
  <c r="J184" i="1" s="1"/>
  <c r="K184" i="1" s="1"/>
  <c r="L184" i="1" s="1"/>
  <c r="M184" i="1" s="1"/>
  <c r="N184" i="1" s="1"/>
  <c r="O184" i="1" s="1"/>
  <c r="P184" i="1" s="1"/>
  <c r="Q184" i="1" s="1"/>
  <c r="R184" i="1" s="1"/>
  <c r="S184" i="1" s="1"/>
  <c r="T184" i="1" s="1"/>
  <c r="U184" i="1" s="1"/>
  <c r="V184" i="1" s="1"/>
  <c r="W184" i="1" s="1"/>
  <c r="X184" i="1" s="1"/>
  <c r="Y184" i="1" s="1"/>
  <c r="Z184" i="1" s="1"/>
  <c r="AA184" i="1" s="1"/>
  <c r="AB184" i="1" s="1"/>
  <c r="AC184" i="1" s="1"/>
  <c r="AD184" i="1" s="1"/>
  <c r="AE184" i="1" s="1"/>
  <c r="AF184" i="1" s="1"/>
  <c r="C184" i="1"/>
  <c r="E183" i="1"/>
  <c r="F183" i="1" s="1"/>
  <c r="G183" i="1" s="1"/>
  <c r="H183" i="1" s="1"/>
  <c r="I183" i="1" s="1"/>
  <c r="J183" i="1" s="1"/>
  <c r="K183" i="1" s="1"/>
  <c r="L183" i="1" s="1"/>
  <c r="M183" i="1" s="1"/>
  <c r="N183" i="1" s="1"/>
  <c r="O183" i="1" s="1"/>
  <c r="P183" i="1" s="1"/>
  <c r="Q183" i="1" s="1"/>
  <c r="R183" i="1" s="1"/>
  <c r="S183" i="1" s="1"/>
  <c r="T183" i="1" s="1"/>
  <c r="U183" i="1" s="1"/>
  <c r="V183" i="1" s="1"/>
  <c r="W183" i="1" s="1"/>
  <c r="X183" i="1" s="1"/>
  <c r="Y183" i="1" s="1"/>
  <c r="Z183" i="1" s="1"/>
  <c r="AA183" i="1" s="1"/>
  <c r="AB183" i="1" s="1"/>
  <c r="AC183" i="1" s="1"/>
  <c r="AD183" i="1" s="1"/>
  <c r="AE183" i="1" s="1"/>
  <c r="AF183" i="1" s="1"/>
  <c r="D183" i="1"/>
  <c r="C183" i="1"/>
  <c r="L182" i="1"/>
  <c r="M182" i="1" s="1"/>
  <c r="N182" i="1" s="1"/>
  <c r="O182" i="1" s="1"/>
  <c r="P182" i="1" s="1"/>
  <c r="Q182" i="1" s="1"/>
  <c r="R182" i="1" s="1"/>
  <c r="S182" i="1" s="1"/>
  <c r="T182" i="1" s="1"/>
  <c r="U182" i="1" s="1"/>
  <c r="V182" i="1" s="1"/>
  <c r="W182" i="1" s="1"/>
  <c r="X182" i="1" s="1"/>
  <c r="Y182" i="1" s="1"/>
  <c r="Z182" i="1" s="1"/>
  <c r="AA182" i="1" s="1"/>
  <c r="AB182" i="1" s="1"/>
  <c r="AC182" i="1" s="1"/>
  <c r="AD182" i="1" s="1"/>
  <c r="AE182" i="1" s="1"/>
  <c r="AF182" i="1" s="1"/>
  <c r="D182" i="1"/>
  <c r="E182" i="1" s="1"/>
  <c r="F182" i="1" s="1"/>
  <c r="G182" i="1" s="1"/>
  <c r="H182" i="1" s="1"/>
  <c r="I182" i="1" s="1"/>
  <c r="J182" i="1" s="1"/>
  <c r="K182" i="1" s="1"/>
  <c r="C182" i="1"/>
  <c r="L181" i="1"/>
  <c r="M181" i="1" s="1"/>
  <c r="N181" i="1" s="1"/>
  <c r="O181" i="1" s="1"/>
  <c r="P181" i="1" s="1"/>
  <c r="Q181" i="1" s="1"/>
  <c r="R181" i="1" s="1"/>
  <c r="S181" i="1" s="1"/>
  <c r="T181" i="1" s="1"/>
  <c r="U181" i="1" s="1"/>
  <c r="V181" i="1" s="1"/>
  <c r="W181" i="1" s="1"/>
  <c r="X181" i="1" s="1"/>
  <c r="Y181" i="1" s="1"/>
  <c r="Z181" i="1" s="1"/>
  <c r="AA181" i="1" s="1"/>
  <c r="AB181" i="1" s="1"/>
  <c r="AC181" i="1" s="1"/>
  <c r="AD181" i="1" s="1"/>
  <c r="AE181" i="1" s="1"/>
  <c r="AF181" i="1" s="1"/>
  <c r="K181" i="1"/>
  <c r="C181" i="1"/>
  <c r="D181" i="1" s="1"/>
  <c r="E181" i="1" s="1"/>
  <c r="F181" i="1" s="1"/>
  <c r="G181" i="1" s="1"/>
  <c r="H181" i="1" s="1"/>
  <c r="I181" i="1" s="1"/>
  <c r="J181" i="1" s="1"/>
  <c r="F180" i="1"/>
  <c r="G180" i="1" s="1"/>
  <c r="H180" i="1" s="1"/>
  <c r="I180" i="1" s="1"/>
  <c r="J180" i="1" s="1"/>
  <c r="K180" i="1" s="1"/>
  <c r="L180" i="1" s="1"/>
  <c r="M180" i="1" s="1"/>
  <c r="N180" i="1" s="1"/>
  <c r="O180" i="1" s="1"/>
  <c r="P180" i="1" s="1"/>
  <c r="Q180" i="1" s="1"/>
  <c r="R180" i="1" s="1"/>
  <c r="S180" i="1" s="1"/>
  <c r="T180" i="1" s="1"/>
  <c r="U180" i="1" s="1"/>
  <c r="V180" i="1" s="1"/>
  <c r="W180" i="1" s="1"/>
  <c r="X180" i="1" s="1"/>
  <c r="Y180" i="1" s="1"/>
  <c r="Z180" i="1" s="1"/>
  <c r="AA180" i="1" s="1"/>
  <c r="AB180" i="1" s="1"/>
  <c r="AC180" i="1" s="1"/>
  <c r="AD180" i="1" s="1"/>
  <c r="AE180" i="1" s="1"/>
  <c r="AF180" i="1" s="1"/>
  <c r="D180" i="1"/>
  <c r="E180" i="1" s="1"/>
  <c r="C180" i="1"/>
  <c r="E179" i="1"/>
  <c r="F179" i="1" s="1"/>
  <c r="G179" i="1" s="1"/>
  <c r="H179" i="1" s="1"/>
  <c r="I179" i="1" s="1"/>
  <c r="J179" i="1" s="1"/>
  <c r="K179" i="1" s="1"/>
  <c r="L179" i="1" s="1"/>
  <c r="M179" i="1" s="1"/>
  <c r="N179" i="1" s="1"/>
  <c r="O179" i="1" s="1"/>
  <c r="P179" i="1" s="1"/>
  <c r="Q179" i="1" s="1"/>
  <c r="R179" i="1" s="1"/>
  <c r="S179" i="1" s="1"/>
  <c r="T179" i="1" s="1"/>
  <c r="U179" i="1" s="1"/>
  <c r="V179" i="1" s="1"/>
  <c r="W179" i="1" s="1"/>
  <c r="X179" i="1" s="1"/>
  <c r="Y179" i="1" s="1"/>
  <c r="Z179" i="1" s="1"/>
  <c r="AA179" i="1" s="1"/>
  <c r="AB179" i="1" s="1"/>
  <c r="AC179" i="1" s="1"/>
  <c r="AD179" i="1" s="1"/>
  <c r="AE179" i="1" s="1"/>
  <c r="AF179" i="1" s="1"/>
  <c r="D179" i="1"/>
  <c r="C179" i="1"/>
  <c r="C178" i="1"/>
  <c r="D178" i="1" s="1"/>
  <c r="E178" i="1" s="1"/>
  <c r="F178" i="1" s="1"/>
  <c r="G178" i="1" s="1"/>
  <c r="H178" i="1" s="1"/>
  <c r="D177" i="1"/>
  <c r="E177" i="1" s="1"/>
  <c r="F177" i="1" s="1"/>
  <c r="G177" i="1" s="1"/>
  <c r="H177" i="1" s="1"/>
  <c r="I177" i="1" s="1"/>
  <c r="J177" i="1" s="1"/>
  <c r="K177" i="1" s="1"/>
  <c r="L177" i="1" s="1"/>
  <c r="M177" i="1" s="1"/>
  <c r="N177" i="1" s="1"/>
  <c r="O177" i="1" s="1"/>
  <c r="P177" i="1" s="1"/>
  <c r="Q177" i="1" s="1"/>
  <c r="R177" i="1" s="1"/>
  <c r="S177" i="1" s="1"/>
  <c r="T177" i="1" s="1"/>
  <c r="U177" i="1" s="1"/>
  <c r="V177" i="1" s="1"/>
  <c r="W177" i="1" s="1"/>
  <c r="X177" i="1" s="1"/>
  <c r="Y177" i="1" s="1"/>
  <c r="Z177" i="1" s="1"/>
  <c r="AA177" i="1" s="1"/>
  <c r="AB177" i="1" s="1"/>
  <c r="AC177" i="1" s="1"/>
  <c r="AD177" i="1" s="1"/>
  <c r="AE177" i="1" s="1"/>
  <c r="AF177" i="1" s="1"/>
  <c r="C177" i="1"/>
  <c r="D176" i="1"/>
  <c r="E176" i="1" s="1"/>
  <c r="F176" i="1" s="1"/>
  <c r="G176" i="1" s="1"/>
  <c r="H176" i="1" s="1"/>
  <c r="I176" i="1" s="1"/>
  <c r="J176" i="1" s="1"/>
  <c r="K176" i="1" s="1"/>
  <c r="L176" i="1" s="1"/>
  <c r="M176" i="1" s="1"/>
  <c r="N176" i="1" s="1"/>
  <c r="O176" i="1" s="1"/>
  <c r="P176" i="1" s="1"/>
  <c r="Q176" i="1" s="1"/>
  <c r="R176" i="1" s="1"/>
  <c r="S176" i="1" s="1"/>
  <c r="T176" i="1" s="1"/>
  <c r="U176" i="1" s="1"/>
  <c r="V176" i="1" s="1"/>
  <c r="W176" i="1" s="1"/>
  <c r="X176" i="1" s="1"/>
  <c r="Y176" i="1" s="1"/>
  <c r="Z176" i="1" s="1"/>
  <c r="AA176" i="1" s="1"/>
  <c r="AB176" i="1" s="1"/>
  <c r="AC176" i="1" s="1"/>
  <c r="AD176" i="1" s="1"/>
  <c r="AE176" i="1" s="1"/>
  <c r="AF176" i="1" s="1"/>
  <c r="C176" i="1"/>
  <c r="AN175" i="1"/>
  <c r="AM175" i="1"/>
  <c r="D175" i="1"/>
  <c r="E175" i="1" s="1"/>
  <c r="F175" i="1" s="1"/>
  <c r="G175" i="1" s="1"/>
  <c r="H175" i="1" s="1"/>
  <c r="I175" i="1" s="1"/>
  <c r="J175" i="1" s="1"/>
  <c r="K175" i="1" s="1"/>
  <c r="L175" i="1" s="1"/>
  <c r="M175" i="1" s="1"/>
  <c r="N175" i="1" s="1"/>
  <c r="O175" i="1" s="1"/>
  <c r="P175" i="1" s="1"/>
  <c r="Q175" i="1" s="1"/>
  <c r="R175" i="1" s="1"/>
  <c r="S175" i="1" s="1"/>
  <c r="T175" i="1" s="1"/>
  <c r="U175" i="1" s="1"/>
  <c r="V175" i="1" s="1"/>
  <c r="W175" i="1" s="1"/>
  <c r="X175" i="1" s="1"/>
  <c r="Y175" i="1" s="1"/>
  <c r="Z175" i="1" s="1"/>
  <c r="AA175" i="1" s="1"/>
  <c r="AB175" i="1" s="1"/>
  <c r="AC175" i="1" s="1"/>
  <c r="AD175" i="1" s="1"/>
  <c r="AE175" i="1" s="1"/>
  <c r="AF175" i="1" s="1"/>
  <c r="C175" i="1"/>
  <c r="AO174" i="1"/>
  <c r="C174" i="1"/>
  <c r="D174" i="1" s="1"/>
  <c r="E174" i="1" s="1"/>
  <c r="F174" i="1" s="1"/>
  <c r="G174" i="1" s="1"/>
  <c r="H174" i="1" s="1"/>
  <c r="I174" i="1" s="1"/>
  <c r="J174" i="1" s="1"/>
  <c r="K174" i="1" s="1"/>
  <c r="L174" i="1" s="1"/>
  <c r="M174" i="1" s="1"/>
  <c r="N174" i="1" s="1"/>
  <c r="O174" i="1" s="1"/>
  <c r="P174" i="1" s="1"/>
  <c r="Q174" i="1" s="1"/>
  <c r="R174" i="1" s="1"/>
  <c r="S174" i="1" s="1"/>
  <c r="T174" i="1" s="1"/>
  <c r="U174" i="1" s="1"/>
  <c r="V174" i="1" s="1"/>
  <c r="W174" i="1" s="1"/>
  <c r="X174" i="1" s="1"/>
  <c r="Y174" i="1" s="1"/>
  <c r="Z174" i="1" s="1"/>
  <c r="AA174" i="1" s="1"/>
  <c r="AB174" i="1" s="1"/>
  <c r="AC174" i="1" s="1"/>
  <c r="AD174" i="1" s="1"/>
  <c r="AE174" i="1" s="1"/>
  <c r="AF174" i="1" s="1"/>
  <c r="AO173" i="1"/>
  <c r="K173" i="1"/>
  <c r="L173" i="1" s="1"/>
  <c r="M173" i="1" s="1"/>
  <c r="N173" i="1" s="1"/>
  <c r="O173" i="1" s="1"/>
  <c r="P173" i="1" s="1"/>
  <c r="Q173" i="1" s="1"/>
  <c r="R173" i="1" s="1"/>
  <c r="S173" i="1" s="1"/>
  <c r="T173" i="1" s="1"/>
  <c r="U173" i="1" s="1"/>
  <c r="V173" i="1" s="1"/>
  <c r="W173" i="1" s="1"/>
  <c r="X173" i="1" s="1"/>
  <c r="Y173" i="1" s="1"/>
  <c r="Z173" i="1" s="1"/>
  <c r="AA173" i="1" s="1"/>
  <c r="AB173" i="1" s="1"/>
  <c r="AC173" i="1" s="1"/>
  <c r="AD173" i="1" s="1"/>
  <c r="AE173" i="1" s="1"/>
  <c r="AF173" i="1" s="1"/>
  <c r="C173" i="1"/>
  <c r="D173" i="1" s="1"/>
  <c r="E173" i="1" s="1"/>
  <c r="F173" i="1" s="1"/>
  <c r="G173" i="1" s="1"/>
  <c r="H173" i="1" s="1"/>
  <c r="I173" i="1" s="1"/>
  <c r="J173" i="1" s="1"/>
  <c r="AO172" i="1"/>
  <c r="C172" i="1"/>
  <c r="D172" i="1" s="1"/>
  <c r="E172" i="1" s="1"/>
  <c r="F172" i="1" s="1"/>
  <c r="G172" i="1" s="1"/>
  <c r="H172" i="1" s="1"/>
  <c r="I172" i="1" s="1"/>
  <c r="J172" i="1" s="1"/>
  <c r="K172" i="1" s="1"/>
  <c r="L172" i="1" s="1"/>
  <c r="M172" i="1" s="1"/>
  <c r="N172" i="1" s="1"/>
  <c r="O172" i="1" s="1"/>
  <c r="P172" i="1" s="1"/>
  <c r="Q172" i="1" s="1"/>
  <c r="R172" i="1" s="1"/>
  <c r="S172" i="1" s="1"/>
  <c r="T172" i="1" s="1"/>
  <c r="U172" i="1" s="1"/>
  <c r="V172" i="1" s="1"/>
  <c r="W172" i="1" s="1"/>
  <c r="X172" i="1" s="1"/>
  <c r="Y172" i="1" s="1"/>
  <c r="Z172" i="1" s="1"/>
  <c r="AA172" i="1" s="1"/>
  <c r="AB172" i="1" s="1"/>
  <c r="AC172" i="1" s="1"/>
  <c r="AD172" i="1" s="1"/>
  <c r="AE172" i="1" s="1"/>
  <c r="AF172" i="1" s="1"/>
  <c r="I171" i="1"/>
  <c r="J171" i="1" s="1"/>
  <c r="K171" i="1" s="1"/>
  <c r="L171" i="1" s="1"/>
  <c r="M171" i="1" s="1"/>
  <c r="N171" i="1" s="1"/>
  <c r="O171" i="1" s="1"/>
  <c r="P171" i="1" s="1"/>
  <c r="Q171" i="1" s="1"/>
  <c r="R171" i="1" s="1"/>
  <c r="S171" i="1" s="1"/>
  <c r="T171" i="1" s="1"/>
  <c r="U171" i="1" s="1"/>
  <c r="V171" i="1" s="1"/>
  <c r="W171" i="1" s="1"/>
  <c r="X171" i="1" s="1"/>
  <c r="Y171" i="1" s="1"/>
  <c r="Z171" i="1" s="1"/>
  <c r="AA171" i="1" s="1"/>
  <c r="AB171" i="1" s="1"/>
  <c r="AC171" i="1" s="1"/>
  <c r="AD171" i="1" s="1"/>
  <c r="AE171" i="1" s="1"/>
  <c r="AF171" i="1" s="1"/>
  <c r="C171" i="1"/>
  <c r="D171" i="1" s="1"/>
  <c r="E171" i="1" s="1"/>
  <c r="F171" i="1" s="1"/>
  <c r="G171" i="1" s="1"/>
  <c r="H171" i="1" s="1"/>
  <c r="D170" i="1"/>
  <c r="E170" i="1" s="1"/>
  <c r="C170" i="1"/>
  <c r="AM168" i="1"/>
  <c r="AG168" i="1"/>
  <c r="AN167" i="1"/>
  <c r="AO167" i="1" s="1"/>
  <c r="C167" i="1"/>
  <c r="D167" i="1" s="1"/>
  <c r="E167" i="1" s="1"/>
  <c r="F167" i="1" s="1"/>
  <c r="G167" i="1" s="1"/>
  <c r="H167" i="1" s="1"/>
  <c r="I167" i="1" s="1"/>
  <c r="J167" i="1" s="1"/>
  <c r="K167" i="1" s="1"/>
  <c r="L167" i="1" s="1"/>
  <c r="M167" i="1" s="1"/>
  <c r="N167" i="1" s="1"/>
  <c r="O167" i="1" s="1"/>
  <c r="P167" i="1" s="1"/>
  <c r="Q167" i="1" s="1"/>
  <c r="R167" i="1" s="1"/>
  <c r="S167" i="1" s="1"/>
  <c r="T167" i="1" s="1"/>
  <c r="U167" i="1" s="1"/>
  <c r="V167" i="1" s="1"/>
  <c r="W167" i="1" s="1"/>
  <c r="X167" i="1" s="1"/>
  <c r="Y167" i="1" s="1"/>
  <c r="Z167" i="1" s="1"/>
  <c r="AA167" i="1" s="1"/>
  <c r="AB167" i="1" s="1"/>
  <c r="AC167" i="1" s="1"/>
  <c r="AD167" i="1" s="1"/>
  <c r="AE167" i="1" s="1"/>
  <c r="AF167" i="1" s="1"/>
  <c r="AN166" i="1"/>
  <c r="AO166" i="1" s="1"/>
  <c r="E166" i="1"/>
  <c r="F166" i="1" s="1"/>
  <c r="G166" i="1" s="1"/>
  <c r="H166" i="1" s="1"/>
  <c r="I166" i="1" s="1"/>
  <c r="J166" i="1" s="1"/>
  <c r="K166" i="1" s="1"/>
  <c r="L166" i="1" s="1"/>
  <c r="M166" i="1" s="1"/>
  <c r="N166" i="1" s="1"/>
  <c r="O166" i="1" s="1"/>
  <c r="P166" i="1" s="1"/>
  <c r="Q166" i="1" s="1"/>
  <c r="R166" i="1" s="1"/>
  <c r="S166" i="1" s="1"/>
  <c r="T166" i="1" s="1"/>
  <c r="U166" i="1" s="1"/>
  <c r="V166" i="1" s="1"/>
  <c r="W166" i="1" s="1"/>
  <c r="X166" i="1" s="1"/>
  <c r="Y166" i="1" s="1"/>
  <c r="Z166" i="1" s="1"/>
  <c r="AA166" i="1" s="1"/>
  <c r="AB166" i="1" s="1"/>
  <c r="AC166" i="1" s="1"/>
  <c r="AD166" i="1" s="1"/>
  <c r="AE166" i="1" s="1"/>
  <c r="AF166" i="1" s="1"/>
  <c r="D166" i="1"/>
  <c r="C166" i="1"/>
  <c r="AN165" i="1"/>
  <c r="AO165" i="1" s="1"/>
  <c r="E165" i="1"/>
  <c r="F165" i="1" s="1"/>
  <c r="G165" i="1" s="1"/>
  <c r="H165" i="1" s="1"/>
  <c r="I165" i="1" s="1"/>
  <c r="J165" i="1" s="1"/>
  <c r="K165" i="1" s="1"/>
  <c r="L165" i="1" s="1"/>
  <c r="M165" i="1" s="1"/>
  <c r="N165" i="1" s="1"/>
  <c r="O165" i="1" s="1"/>
  <c r="P165" i="1" s="1"/>
  <c r="Q165" i="1" s="1"/>
  <c r="R165" i="1" s="1"/>
  <c r="S165" i="1" s="1"/>
  <c r="T165" i="1" s="1"/>
  <c r="U165" i="1" s="1"/>
  <c r="V165" i="1" s="1"/>
  <c r="W165" i="1" s="1"/>
  <c r="X165" i="1" s="1"/>
  <c r="Y165" i="1" s="1"/>
  <c r="Z165" i="1" s="1"/>
  <c r="AA165" i="1" s="1"/>
  <c r="AB165" i="1" s="1"/>
  <c r="AC165" i="1" s="1"/>
  <c r="AD165" i="1" s="1"/>
  <c r="AE165" i="1" s="1"/>
  <c r="AF165" i="1" s="1"/>
  <c r="C165" i="1"/>
  <c r="D165" i="1" s="1"/>
  <c r="AN164" i="1"/>
  <c r="AO164" i="1" s="1"/>
  <c r="E164" i="1"/>
  <c r="F164" i="1" s="1"/>
  <c r="G164" i="1" s="1"/>
  <c r="H164" i="1" s="1"/>
  <c r="I164" i="1" s="1"/>
  <c r="J164" i="1" s="1"/>
  <c r="K164" i="1" s="1"/>
  <c r="L164" i="1" s="1"/>
  <c r="M164" i="1" s="1"/>
  <c r="N164" i="1" s="1"/>
  <c r="O164" i="1" s="1"/>
  <c r="P164" i="1" s="1"/>
  <c r="Q164" i="1" s="1"/>
  <c r="R164" i="1" s="1"/>
  <c r="S164" i="1" s="1"/>
  <c r="T164" i="1" s="1"/>
  <c r="U164" i="1" s="1"/>
  <c r="V164" i="1" s="1"/>
  <c r="W164" i="1" s="1"/>
  <c r="X164" i="1" s="1"/>
  <c r="Y164" i="1" s="1"/>
  <c r="Z164" i="1" s="1"/>
  <c r="AA164" i="1" s="1"/>
  <c r="AB164" i="1" s="1"/>
  <c r="AC164" i="1" s="1"/>
  <c r="AD164" i="1" s="1"/>
  <c r="AE164" i="1" s="1"/>
  <c r="AF164" i="1" s="1"/>
  <c r="D164" i="1"/>
  <c r="C164" i="1"/>
  <c r="AN163" i="1"/>
  <c r="AO163" i="1" s="1"/>
  <c r="F163" i="1"/>
  <c r="G163" i="1" s="1"/>
  <c r="H163" i="1" s="1"/>
  <c r="I163" i="1" s="1"/>
  <c r="J163" i="1" s="1"/>
  <c r="K163" i="1" s="1"/>
  <c r="L163" i="1" s="1"/>
  <c r="M163" i="1" s="1"/>
  <c r="N163" i="1" s="1"/>
  <c r="O163" i="1" s="1"/>
  <c r="P163" i="1" s="1"/>
  <c r="Q163" i="1" s="1"/>
  <c r="R163" i="1" s="1"/>
  <c r="S163" i="1" s="1"/>
  <c r="T163" i="1" s="1"/>
  <c r="U163" i="1" s="1"/>
  <c r="V163" i="1" s="1"/>
  <c r="W163" i="1" s="1"/>
  <c r="X163" i="1" s="1"/>
  <c r="Y163" i="1" s="1"/>
  <c r="Z163" i="1" s="1"/>
  <c r="AA163" i="1" s="1"/>
  <c r="AB163" i="1" s="1"/>
  <c r="AC163" i="1" s="1"/>
  <c r="AD163" i="1" s="1"/>
  <c r="AE163" i="1" s="1"/>
  <c r="AF163" i="1" s="1"/>
  <c r="E163" i="1"/>
  <c r="C163" i="1"/>
  <c r="D163" i="1" s="1"/>
  <c r="AN162" i="1"/>
  <c r="AO162" i="1" s="1"/>
  <c r="C162" i="1"/>
  <c r="D162" i="1" s="1"/>
  <c r="E162" i="1" s="1"/>
  <c r="AN161" i="1"/>
  <c r="AO161" i="1" s="1"/>
  <c r="AO160" i="1"/>
  <c r="AN160" i="1"/>
  <c r="AF160" i="1" a="1"/>
  <c r="AF160" i="1" s="1"/>
  <c r="AE160" i="1"/>
  <c r="AE160" i="1" a="1"/>
  <c r="AD160" i="1" a="1"/>
  <c r="AD160" i="1" s="1"/>
  <c r="AC160" i="1" a="1"/>
  <c r="AC160" i="1" s="1"/>
  <c r="AB160" i="1" a="1"/>
  <c r="AB160" i="1" s="1"/>
  <c r="AA160" i="1"/>
  <c r="AA160" i="1" a="1"/>
  <c r="Z160" i="1" a="1"/>
  <c r="Z160" i="1" s="1"/>
  <c r="Y160" i="1" a="1"/>
  <c r="Y160" i="1" s="1"/>
  <c r="X160" i="1"/>
  <c r="X160" i="1" a="1"/>
  <c r="W160" i="1" a="1"/>
  <c r="W160" i="1" s="1"/>
  <c r="V160" i="1" a="1"/>
  <c r="V160" i="1" s="1"/>
  <c r="U160" i="1"/>
  <c r="U160" i="1" a="1"/>
  <c r="T160" i="1"/>
  <c r="T160" i="1" a="1"/>
  <c r="S160" i="1" a="1"/>
  <c r="S160" i="1" s="1"/>
  <c r="R160" i="1" a="1"/>
  <c r="R160" i="1" s="1"/>
  <c r="Q160" i="1" a="1"/>
  <c r="Q160" i="1" s="1"/>
  <c r="P160" i="1" a="1"/>
  <c r="P160" i="1" s="1"/>
  <c r="O160" i="1" a="1"/>
  <c r="O160" i="1" s="1"/>
  <c r="N160" i="1" a="1"/>
  <c r="N160" i="1" s="1"/>
  <c r="M160" i="1"/>
  <c r="M160" i="1" a="1"/>
  <c r="L160" i="1"/>
  <c r="L160" i="1" a="1"/>
  <c r="K160" i="1"/>
  <c r="K160" i="1" a="1"/>
  <c r="J160" i="1" a="1"/>
  <c r="J160" i="1" s="1"/>
  <c r="I160" i="1" a="1"/>
  <c r="I160" i="1" s="1"/>
  <c r="H160" i="1" a="1"/>
  <c r="H160" i="1" s="1"/>
  <c r="G160" i="1" a="1"/>
  <c r="G160" i="1" s="1"/>
  <c r="F160" i="1" a="1"/>
  <c r="F160" i="1" s="1"/>
  <c r="E160" i="1" a="1"/>
  <c r="E160" i="1" s="1"/>
  <c r="D160" i="1"/>
  <c r="D160" i="1" a="1"/>
  <c r="C160" i="1"/>
  <c r="C160" i="1" a="1"/>
  <c r="B160" i="1" a="1"/>
  <c r="B160" i="1" s="1"/>
  <c r="AN159" i="1"/>
  <c r="AF159" i="1"/>
  <c r="AE159" i="1"/>
  <c r="AD159" i="1"/>
  <c r="AC159" i="1"/>
  <c r="AB159" i="1"/>
  <c r="AA159" i="1"/>
  <c r="Z159" i="1"/>
  <c r="Y159" i="1"/>
  <c r="X159" i="1"/>
  <c r="W159" i="1"/>
  <c r="V159" i="1"/>
  <c r="U159" i="1"/>
  <c r="T159" i="1"/>
  <c r="S159" i="1"/>
  <c r="R159" i="1"/>
  <c r="Q159" i="1"/>
  <c r="P159" i="1"/>
  <c r="O159" i="1"/>
  <c r="N159" i="1"/>
  <c r="M159" i="1"/>
  <c r="L159" i="1"/>
  <c r="K159" i="1"/>
  <c r="J159" i="1"/>
  <c r="I159" i="1"/>
  <c r="H159" i="1"/>
  <c r="G159" i="1"/>
  <c r="F159" i="1"/>
  <c r="E159" i="1"/>
  <c r="D159" i="1"/>
  <c r="C159" i="1"/>
  <c r="B159" i="1"/>
  <c r="AI158" i="1"/>
  <c r="AH158" i="1"/>
  <c r="A158" i="1" a="1"/>
  <c r="A158" i="1" s="1"/>
  <c r="AI157" i="1"/>
  <c r="AH157" i="1"/>
  <c r="AI156" i="1"/>
  <c r="AH156" i="1"/>
  <c r="AM155" i="1"/>
  <c r="AN155" i="1" s="1"/>
  <c r="AI155" i="1"/>
  <c r="AH155" i="1"/>
  <c r="AN154" i="1"/>
  <c r="AO154" i="1" s="1"/>
  <c r="AI154" i="1"/>
  <c r="AH154" i="1"/>
  <c r="AN153" i="1"/>
  <c r="AO153" i="1" s="1"/>
  <c r="AI153" i="1"/>
  <c r="AH153" i="1"/>
  <c r="A153" i="1" a="1"/>
  <c r="A153" i="1" s="1"/>
  <c r="AN152" i="1"/>
  <c r="AO152" i="1" s="1"/>
  <c r="AI152" i="1"/>
  <c r="AH152" i="1"/>
  <c r="AO151" i="1"/>
  <c r="AN151" i="1"/>
  <c r="AI151" i="1"/>
  <c r="AH151" i="1"/>
  <c r="AI150" i="1"/>
  <c r="AH150" i="1"/>
  <c r="AI149" i="1"/>
  <c r="AH149" i="1"/>
  <c r="AI148" i="1"/>
  <c r="AH148" i="1"/>
  <c r="AM147" i="1"/>
  <c r="AI147" i="1"/>
  <c r="AH147" i="1"/>
  <c r="AN146" i="1"/>
  <c r="AO146" i="1" s="1"/>
  <c r="AI146" i="1"/>
  <c r="AH146" i="1"/>
  <c r="AO145" i="1"/>
  <c r="AN145" i="1"/>
  <c r="AN144" i="1"/>
  <c r="AO144" i="1" s="1"/>
  <c r="AN143" i="1"/>
  <c r="AN147" i="1" s="1"/>
  <c r="AO147" i="1" s="1"/>
  <c r="AI142" i="1"/>
  <c r="AH142" i="1"/>
  <c r="AI141" i="1"/>
  <c r="AH141" i="1"/>
  <c r="AI140" i="1"/>
  <c r="AH140" i="1"/>
  <c r="AN139" i="1"/>
  <c r="AO139" i="1" s="1"/>
  <c r="AM139" i="1"/>
  <c r="AI139" i="1"/>
  <c r="AH139" i="1"/>
  <c r="AN138" i="1"/>
  <c r="AO138" i="1" s="1"/>
  <c r="AI138" i="1"/>
  <c r="AH138" i="1"/>
  <c r="AO137" i="1"/>
  <c r="AN137" i="1"/>
  <c r="AI137" i="1"/>
  <c r="AH137" i="1"/>
  <c r="AN136" i="1"/>
  <c r="AO136" i="1" s="1"/>
  <c r="AI136" i="1"/>
  <c r="AH136" i="1"/>
  <c r="AO135" i="1"/>
  <c r="AN135" i="1"/>
  <c r="D135" i="1"/>
  <c r="C135" i="1"/>
  <c r="B135" i="1"/>
  <c r="AI134" i="1"/>
  <c r="AH134" i="1"/>
  <c r="AI133" i="1"/>
  <c r="AH133" i="1"/>
  <c r="AI132" i="1"/>
  <c r="AH132" i="1"/>
  <c r="AI131" i="1"/>
  <c r="AH131" i="1"/>
  <c r="AI130" i="1"/>
  <c r="AH130" i="1"/>
  <c r="AI129" i="1"/>
  <c r="AH129" i="1"/>
  <c r="AI128" i="1"/>
  <c r="AH128" i="1"/>
  <c r="AI127" i="1"/>
  <c r="AH127" i="1"/>
  <c r="AI126" i="1"/>
  <c r="AH126" i="1"/>
  <c r="AI125" i="1"/>
  <c r="AH125" i="1"/>
  <c r="AA123" i="1"/>
  <c r="AA124" i="1" s="1"/>
  <c r="S123" i="1"/>
  <c r="S124" i="1" s="1"/>
  <c r="K123" i="1"/>
  <c r="AT23" i="1" s="1"/>
  <c r="C123" i="1"/>
  <c r="AN23" i="1" s="1"/>
  <c r="AF122" i="1"/>
  <c r="AE122" i="1"/>
  <c r="AD122" i="1"/>
  <c r="AC122" i="1"/>
  <c r="AB122" i="1"/>
  <c r="AB123" i="1" s="1"/>
  <c r="BG23" i="1" s="1"/>
  <c r="AA122" i="1"/>
  <c r="Z122" i="1"/>
  <c r="Y122" i="1"/>
  <c r="X122" i="1"/>
  <c r="W122" i="1"/>
  <c r="V122" i="1"/>
  <c r="U122" i="1"/>
  <c r="T122" i="1"/>
  <c r="T123" i="1" s="1"/>
  <c r="BB23" i="1" s="1"/>
  <c r="S122" i="1"/>
  <c r="R122" i="1"/>
  <c r="Q122" i="1"/>
  <c r="P122" i="1"/>
  <c r="O122" i="1"/>
  <c r="N122" i="1"/>
  <c r="M122" i="1"/>
  <c r="L122" i="1"/>
  <c r="L123" i="1" s="1"/>
  <c r="K122" i="1"/>
  <c r="J122" i="1"/>
  <c r="I122" i="1"/>
  <c r="H122" i="1"/>
  <c r="G122" i="1"/>
  <c r="F122" i="1"/>
  <c r="E122" i="1"/>
  <c r="D122" i="1"/>
  <c r="D123" i="1" s="1"/>
  <c r="AO23" i="1" s="1"/>
  <c r="C122" i="1"/>
  <c r="AH122" i="1" s="1"/>
  <c r="B122" i="1"/>
  <c r="AI122" i="1" s="1"/>
  <c r="AF121" i="1"/>
  <c r="AE121" i="1"/>
  <c r="AD121" i="1"/>
  <c r="AC121" i="1"/>
  <c r="AC123" i="1" s="1"/>
  <c r="AB121" i="1"/>
  <c r="AA121" i="1"/>
  <c r="Z121" i="1"/>
  <c r="Y121" i="1"/>
  <c r="X121" i="1"/>
  <c r="W121" i="1"/>
  <c r="V121" i="1"/>
  <c r="U121" i="1"/>
  <c r="U123" i="1" s="1"/>
  <c r="BC23" i="1" s="1"/>
  <c r="T121" i="1"/>
  <c r="S121" i="1"/>
  <c r="R121" i="1"/>
  <c r="Q121" i="1"/>
  <c r="P121" i="1"/>
  <c r="O121" i="1"/>
  <c r="N121" i="1"/>
  <c r="M121" i="1"/>
  <c r="M123" i="1" s="1"/>
  <c r="AU23" i="1" s="1"/>
  <c r="L121" i="1"/>
  <c r="K121" i="1"/>
  <c r="J121" i="1"/>
  <c r="I121" i="1"/>
  <c r="H121" i="1"/>
  <c r="G121" i="1"/>
  <c r="F121" i="1"/>
  <c r="E121" i="1"/>
  <c r="E123" i="1" s="1"/>
  <c r="AP23" i="1" s="1"/>
  <c r="D121" i="1"/>
  <c r="C121" i="1"/>
  <c r="B121" i="1"/>
  <c r="AI121" i="1" s="1"/>
  <c r="AF120" i="1"/>
  <c r="AE120" i="1"/>
  <c r="AD120" i="1"/>
  <c r="AC120" i="1"/>
  <c r="AB120" i="1"/>
  <c r="AA120" i="1"/>
  <c r="Z120" i="1"/>
  <c r="Y120" i="1"/>
  <c r="X120" i="1"/>
  <c r="W120" i="1"/>
  <c r="V120" i="1"/>
  <c r="U120" i="1"/>
  <c r="T120" i="1"/>
  <c r="S120" i="1"/>
  <c r="R120" i="1"/>
  <c r="Q120" i="1"/>
  <c r="P120" i="1"/>
  <c r="O120" i="1"/>
  <c r="N120" i="1"/>
  <c r="M120" i="1"/>
  <c r="L120" i="1"/>
  <c r="K120" i="1"/>
  <c r="J120" i="1"/>
  <c r="I120" i="1"/>
  <c r="H120" i="1"/>
  <c r="G120" i="1"/>
  <c r="F120" i="1"/>
  <c r="E120" i="1"/>
  <c r="AH120" i="1" s="1"/>
  <c r="D120" i="1"/>
  <c r="C120" i="1"/>
  <c r="B120" i="1"/>
  <c r="AI120" i="1" s="1"/>
  <c r="AF119" i="1"/>
  <c r="AE119" i="1"/>
  <c r="AD119" i="1"/>
  <c r="AC119" i="1"/>
  <c r="AB119" i="1"/>
  <c r="AA119" i="1"/>
  <c r="Z119" i="1"/>
  <c r="Y119" i="1"/>
  <c r="X119" i="1"/>
  <c r="W119" i="1"/>
  <c r="V119" i="1"/>
  <c r="U119" i="1"/>
  <c r="T119" i="1"/>
  <c r="S119" i="1"/>
  <c r="R119" i="1"/>
  <c r="Q119" i="1"/>
  <c r="P119" i="1"/>
  <c r="O119" i="1"/>
  <c r="N119" i="1"/>
  <c r="M119" i="1"/>
  <c r="L119" i="1"/>
  <c r="K119" i="1"/>
  <c r="J119" i="1"/>
  <c r="I119" i="1"/>
  <c r="H119" i="1"/>
  <c r="G119" i="1"/>
  <c r="AH119" i="1" s="1"/>
  <c r="F119" i="1"/>
  <c r="E119" i="1"/>
  <c r="D119" i="1"/>
  <c r="C119" i="1"/>
  <c r="B119" i="1"/>
  <c r="AI119" i="1" s="1"/>
  <c r="AF118" i="1"/>
  <c r="AE118" i="1"/>
  <c r="AD118" i="1"/>
  <c r="AC118" i="1"/>
  <c r="AB118" i="1"/>
  <c r="AA118" i="1"/>
  <c r="Z118" i="1"/>
  <c r="Y118" i="1"/>
  <c r="X118" i="1"/>
  <c r="W118" i="1"/>
  <c r="V118" i="1"/>
  <c r="U118" i="1"/>
  <c r="T118" i="1"/>
  <c r="S118" i="1"/>
  <c r="R118" i="1"/>
  <c r="Q118" i="1"/>
  <c r="P118" i="1"/>
  <c r="O118" i="1"/>
  <c r="N118" i="1"/>
  <c r="M118" i="1"/>
  <c r="L118" i="1"/>
  <c r="K118" i="1"/>
  <c r="J118" i="1"/>
  <c r="I118" i="1"/>
  <c r="H118" i="1"/>
  <c r="AH118" i="1" s="1"/>
  <c r="G118" i="1"/>
  <c r="F118" i="1"/>
  <c r="E118" i="1"/>
  <c r="D118" i="1"/>
  <c r="C118" i="1"/>
  <c r="B118" i="1"/>
  <c r="AI118" i="1" s="1"/>
  <c r="AF117" i="1"/>
  <c r="AF123" i="1" s="1"/>
  <c r="AE117" i="1"/>
  <c r="AE123" i="1" s="1"/>
  <c r="BI23" i="1" s="1"/>
  <c r="AD117" i="1"/>
  <c r="AD123" i="1" s="1"/>
  <c r="BH23" i="1" s="1"/>
  <c r="AC117" i="1"/>
  <c r="AB117" i="1"/>
  <c r="AA117" i="1"/>
  <c r="Z117" i="1"/>
  <c r="Z123" i="1" s="1"/>
  <c r="Y117" i="1"/>
  <c r="Y123" i="1" s="1"/>
  <c r="Y124" i="1" s="1"/>
  <c r="X117" i="1"/>
  <c r="X123" i="1" s="1"/>
  <c r="W117" i="1"/>
  <c r="W123" i="1" s="1"/>
  <c r="V117" i="1"/>
  <c r="V123" i="1" s="1"/>
  <c r="BD23" i="1" s="1"/>
  <c r="U117" i="1"/>
  <c r="T117" i="1"/>
  <c r="S117" i="1"/>
  <c r="R117" i="1"/>
  <c r="R123" i="1" s="1"/>
  <c r="Q117" i="1"/>
  <c r="Q123" i="1" s="1"/>
  <c r="P117" i="1"/>
  <c r="P123" i="1" s="1"/>
  <c r="O117" i="1"/>
  <c r="O123" i="1" s="1"/>
  <c r="AW23" i="1" s="1"/>
  <c r="N117" i="1"/>
  <c r="N123" i="1" s="1"/>
  <c r="AV23" i="1" s="1"/>
  <c r="M117" i="1"/>
  <c r="L117" i="1"/>
  <c r="K117" i="1"/>
  <c r="J117" i="1"/>
  <c r="J123" i="1" s="1"/>
  <c r="J124" i="1" s="1"/>
  <c r="I117" i="1"/>
  <c r="I123" i="1" s="1"/>
  <c r="H117" i="1"/>
  <c r="H123" i="1" s="1"/>
  <c r="H124" i="1" s="1"/>
  <c r="G117" i="1"/>
  <c r="G123" i="1" s="1"/>
  <c r="AR23" i="1" s="1"/>
  <c r="F117" i="1"/>
  <c r="F123" i="1" s="1"/>
  <c r="AQ23" i="1" s="1"/>
  <c r="E117" i="1"/>
  <c r="D117" i="1"/>
  <c r="C117" i="1"/>
  <c r="B117" i="1"/>
  <c r="B123" i="1" s="1"/>
  <c r="AI114" i="1"/>
  <c r="AH114" i="1"/>
  <c r="AF113" i="1"/>
  <c r="AF115" i="1" s="1"/>
  <c r="AF116" i="1" s="1"/>
  <c r="AF7" i="1" s="1"/>
  <c r="X113" i="1"/>
  <c r="X115" i="1" s="1"/>
  <c r="X116" i="1" s="1"/>
  <c r="X7" i="1" s="1"/>
  <c r="P113" i="1"/>
  <c r="P115" i="1" s="1"/>
  <c r="P116" i="1" s="1"/>
  <c r="P7" i="1" s="1"/>
  <c r="H113" i="1"/>
  <c r="H115" i="1" s="1"/>
  <c r="AI112" i="1"/>
  <c r="AH112" i="1"/>
  <c r="AG112" i="1"/>
  <c r="AI111" i="1"/>
  <c r="AH111" i="1"/>
  <c r="AI110" i="1"/>
  <c r="AH110" i="1"/>
  <c r="AI109" i="1"/>
  <c r="AH109" i="1"/>
  <c r="AG108" i="1"/>
  <c r="AF108" i="1"/>
  <c r="BJ19" i="1" s="1"/>
  <c r="AE108" i="1"/>
  <c r="AD108" i="1"/>
  <c r="AD124" i="1" s="1"/>
  <c r="AC108" i="1"/>
  <c r="AC124" i="1" s="1"/>
  <c r="AB108" i="1"/>
  <c r="AB124" i="1" s="1"/>
  <c r="AA108" i="1"/>
  <c r="Z108" i="1"/>
  <c r="Y108" i="1"/>
  <c r="X108" i="1"/>
  <c r="W108" i="1"/>
  <c r="V108" i="1"/>
  <c r="V124" i="1" s="1"/>
  <c r="U108" i="1"/>
  <c r="U124" i="1" s="1"/>
  <c r="T108" i="1"/>
  <c r="T124" i="1" s="1"/>
  <c r="S108" i="1"/>
  <c r="R108" i="1"/>
  <c r="Q108" i="1"/>
  <c r="P108" i="1"/>
  <c r="O108" i="1"/>
  <c r="N108" i="1"/>
  <c r="N124" i="1" s="1"/>
  <c r="M108" i="1"/>
  <c r="M124" i="1" s="1"/>
  <c r="L108" i="1"/>
  <c r="L124" i="1" s="1"/>
  <c r="K108" i="1"/>
  <c r="J108" i="1"/>
  <c r="I108" i="1"/>
  <c r="H108" i="1"/>
  <c r="G108" i="1"/>
  <c r="F108" i="1"/>
  <c r="F124" i="1" s="1"/>
  <c r="E108" i="1"/>
  <c r="E124" i="1" s="1"/>
  <c r="D108" i="1"/>
  <c r="AJ108" i="1" s="1" a="1"/>
  <c r="AJ108" i="1" s="1"/>
  <c r="C108" i="1"/>
  <c r="B108" i="1"/>
  <c r="AI108" i="1" s="1"/>
  <c r="AI107" i="1"/>
  <c r="AH107" i="1"/>
  <c r="AI106" i="1"/>
  <c r="AH106" i="1"/>
  <c r="AI105" i="1"/>
  <c r="AH105" i="1"/>
  <c r="AI104" i="1"/>
  <c r="AH104" i="1"/>
  <c r="AI103" i="1"/>
  <c r="AH103" i="1"/>
  <c r="AI102" i="1"/>
  <c r="AH102" i="1"/>
  <c r="AI101" i="1"/>
  <c r="AH101" i="1"/>
  <c r="AI100" i="1"/>
  <c r="AH100" i="1"/>
  <c r="AI99" i="1"/>
  <c r="AH99" i="1"/>
  <c r="AI98" i="1"/>
  <c r="AH98" i="1"/>
  <c r="AI97" i="1"/>
  <c r="AH97" i="1"/>
  <c r="AG96" i="1"/>
  <c r="AF96" i="1"/>
  <c r="BJ20" i="1" s="1"/>
  <c r="AE96" i="1"/>
  <c r="AE113" i="1" s="1"/>
  <c r="AE115" i="1" s="1"/>
  <c r="AE116" i="1" s="1"/>
  <c r="AE7" i="1" s="1"/>
  <c r="AD96" i="1"/>
  <c r="BH20" i="1" s="1"/>
  <c r="AC96" i="1"/>
  <c r="AB96" i="1"/>
  <c r="BG20" i="1" s="1"/>
  <c r="AA96" i="1"/>
  <c r="Z96" i="1"/>
  <c r="Y96" i="1"/>
  <c r="X96" i="1"/>
  <c r="W96" i="1"/>
  <c r="W113" i="1" s="1"/>
  <c r="W115" i="1" s="1"/>
  <c r="W116" i="1" s="1"/>
  <c r="W7" i="1" s="1"/>
  <c r="V96" i="1"/>
  <c r="U96" i="1"/>
  <c r="BC20" i="1" s="1"/>
  <c r="T96" i="1"/>
  <c r="BB20" i="1" s="1"/>
  <c r="S96" i="1"/>
  <c r="R96" i="1"/>
  <c r="AZ20" i="1" s="1"/>
  <c r="Q96" i="1"/>
  <c r="P96" i="1"/>
  <c r="O96" i="1"/>
  <c r="O113" i="1" s="1"/>
  <c r="O115" i="1" s="1"/>
  <c r="O116" i="1" s="1"/>
  <c r="O7" i="1" s="1"/>
  <c r="N96" i="1"/>
  <c r="M96" i="1"/>
  <c r="AU20" i="1" s="1"/>
  <c r="L96" i="1"/>
  <c r="K96" i="1"/>
  <c r="J96" i="1"/>
  <c r="I96" i="1"/>
  <c r="H96" i="1"/>
  <c r="G96" i="1"/>
  <c r="G113" i="1" s="1"/>
  <c r="G115" i="1" s="1"/>
  <c r="G116" i="1" s="1"/>
  <c r="G7" i="1" s="1"/>
  <c r="F96" i="1"/>
  <c r="AQ20" i="1" s="1"/>
  <c r="E96" i="1"/>
  <c r="AP20" i="1" s="1"/>
  <c r="D96" i="1"/>
  <c r="C96" i="1"/>
  <c r="B96" i="1"/>
  <c r="AI96" i="1" s="1"/>
  <c r="AI95" i="1"/>
  <c r="AH95" i="1"/>
  <c r="AI94" i="1"/>
  <c r="AH94" i="1"/>
  <c r="AI93" i="1"/>
  <c r="AH93" i="1"/>
  <c r="AF92" i="1"/>
  <c r="AE92" i="1"/>
  <c r="AD92" i="1"/>
  <c r="AC92" i="1"/>
  <c r="AB92" i="1"/>
  <c r="AA92" i="1"/>
  <c r="Z92" i="1"/>
  <c r="Y92" i="1"/>
  <c r="X92" i="1"/>
  <c r="BE18" i="1" s="1"/>
  <c r="W92" i="1"/>
  <c r="V92" i="1"/>
  <c r="BD18" i="1" s="1"/>
  <c r="U92" i="1"/>
  <c r="BC18" i="1" s="1"/>
  <c r="T92" i="1"/>
  <c r="S92" i="1"/>
  <c r="R92" i="1"/>
  <c r="Q92" i="1"/>
  <c r="P92" i="1"/>
  <c r="AX18" i="1" s="1"/>
  <c r="O92" i="1"/>
  <c r="AW18" i="1" s="1"/>
  <c r="N92" i="1"/>
  <c r="AV18" i="1" s="1"/>
  <c r="M92" i="1"/>
  <c r="AU18" i="1" s="1"/>
  <c r="L92" i="1"/>
  <c r="K92" i="1"/>
  <c r="J92" i="1"/>
  <c r="I92" i="1"/>
  <c r="H92" i="1"/>
  <c r="G92" i="1"/>
  <c r="F92" i="1"/>
  <c r="AQ18" i="1" s="1"/>
  <c r="E92" i="1"/>
  <c r="AP18" i="1" s="1"/>
  <c r="D92" i="1"/>
  <c r="C92" i="1"/>
  <c r="AI92" i="1" s="1"/>
  <c r="B92" i="1"/>
  <c r="AH92" i="1" s="1"/>
  <c r="BW91" i="1"/>
  <c r="BV91" i="1"/>
  <c r="BU91" i="1"/>
  <c r="BT91" i="1"/>
  <c r="BQ91" i="1"/>
  <c r="BO91" i="1"/>
  <c r="BN91" i="1"/>
  <c r="BM91" i="1"/>
  <c r="BL91" i="1"/>
  <c r="BI91" i="1"/>
  <c r="BG91" i="1"/>
  <c r="BF91" i="1"/>
  <c r="BE91" i="1"/>
  <c r="BD91" i="1"/>
  <c r="BA91" i="1"/>
  <c r="AI91" i="1"/>
  <c r="AH91" i="1"/>
  <c r="AG91" i="1"/>
  <c r="AG92" i="1" s="1"/>
  <c r="AG3" i="1" s="1"/>
  <c r="BW90" i="1"/>
  <c r="BQ90" i="1"/>
  <c r="BP90" i="1"/>
  <c r="BO90" i="1"/>
  <c r="BI90" i="1"/>
  <c r="BH90" i="1"/>
  <c r="BG90" i="1"/>
  <c r="BA90" i="1"/>
  <c r="AZ90" i="1"/>
  <c r="AI90" i="1"/>
  <c r="AH90" i="1"/>
  <c r="BS89" i="1"/>
  <c r="BR89" i="1"/>
  <c r="BQ89" i="1"/>
  <c r="BK89" i="1"/>
  <c r="BJ89" i="1"/>
  <c r="BI89" i="1"/>
  <c r="BC89" i="1"/>
  <c r="BB89" i="1"/>
  <c r="BA89" i="1"/>
  <c r="AI89" i="1"/>
  <c r="AH89" i="1"/>
  <c r="BU88" i="1"/>
  <c r="BT88" i="1"/>
  <c r="BS88" i="1"/>
  <c r="BM88" i="1"/>
  <c r="BL88" i="1"/>
  <c r="BK88" i="1"/>
  <c r="BF88" i="1"/>
  <c r="BE88" i="1"/>
  <c r="BD88" i="1"/>
  <c r="BC88" i="1"/>
  <c r="AI88" i="1"/>
  <c r="AH88" i="1"/>
  <c r="BW87" i="1"/>
  <c r="BV87" i="1"/>
  <c r="BU87" i="1"/>
  <c r="BO87" i="1"/>
  <c r="BN87" i="1"/>
  <c r="BM87" i="1"/>
  <c r="BG87" i="1"/>
  <c r="BF87" i="1"/>
  <c r="BE87" i="1"/>
  <c r="AI87" i="1"/>
  <c r="AH87" i="1"/>
  <c r="BW86" i="1"/>
  <c r="BQ86" i="1"/>
  <c r="BP86" i="1"/>
  <c r="BO86" i="1"/>
  <c r="BI86" i="1"/>
  <c r="BH86" i="1"/>
  <c r="BG86" i="1"/>
  <c r="BA86" i="1"/>
  <c r="AZ86" i="1"/>
  <c r="AI86" i="1"/>
  <c r="AH86" i="1"/>
  <c r="AI85" i="1"/>
  <c r="AH85" i="1"/>
  <c r="BW84" i="1"/>
  <c r="BV84" i="1"/>
  <c r="BU84" i="1"/>
  <c r="BT84" i="1"/>
  <c r="BS84" i="1"/>
  <c r="BS91" i="1" s="1"/>
  <c r="BR84" i="1"/>
  <c r="BR91" i="1" s="1"/>
  <c r="BQ84" i="1"/>
  <c r="BP84" i="1"/>
  <c r="BP91" i="1" s="1"/>
  <c r="BO84" i="1"/>
  <c r="BN84" i="1"/>
  <c r="BM84" i="1"/>
  <c r="BL84" i="1"/>
  <c r="BK84" i="1"/>
  <c r="BK91" i="1" s="1"/>
  <c r="BJ84" i="1"/>
  <c r="BJ91" i="1" s="1"/>
  <c r="BI84" i="1"/>
  <c r="BH84" i="1"/>
  <c r="BH91" i="1" s="1"/>
  <c r="BG84" i="1"/>
  <c r="BF84" i="1"/>
  <c r="BE84" i="1"/>
  <c r="BD84" i="1"/>
  <c r="BC84" i="1"/>
  <c r="BC91" i="1" s="1"/>
  <c r="BB84" i="1"/>
  <c r="BB91" i="1" s="1"/>
  <c r="BA84" i="1"/>
  <c r="AZ84" i="1"/>
  <c r="AZ91" i="1" s="1"/>
  <c r="AI84" i="1"/>
  <c r="AH84" i="1"/>
  <c r="BW83" i="1"/>
  <c r="BV83" i="1"/>
  <c r="BV90" i="1" s="1"/>
  <c r="BU83" i="1"/>
  <c r="BU90" i="1" s="1"/>
  <c r="BT83" i="1"/>
  <c r="BT90" i="1" s="1"/>
  <c r="BS83" i="1"/>
  <c r="BS90" i="1" s="1"/>
  <c r="BR83" i="1"/>
  <c r="BR90" i="1" s="1"/>
  <c r="BQ83" i="1"/>
  <c r="BP83" i="1"/>
  <c r="BO83" i="1"/>
  <c r="BN83" i="1"/>
  <c r="BN90" i="1" s="1"/>
  <c r="BM83" i="1"/>
  <c r="BM90" i="1" s="1"/>
  <c r="BL83" i="1"/>
  <c r="BL90" i="1" s="1"/>
  <c r="BK83" i="1"/>
  <c r="BK90" i="1" s="1"/>
  <c r="BJ83" i="1"/>
  <c r="BJ90" i="1" s="1"/>
  <c r="BI83" i="1"/>
  <c r="BH83" i="1"/>
  <c r="BG83" i="1"/>
  <c r="BF83" i="1"/>
  <c r="BF90" i="1" s="1"/>
  <c r="BE83" i="1"/>
  <c r="BE90" i="1" s="1"/>
  <c r="BD83" i="1"/>
  <c r="BD90" i="1" s="1"/>
  <c r="BC83" i="1"/>
  <c r="BC90" i="1" s="1"/>
  <c r="BB83" i="1"/>
  <c r="BB90" i="1" s="1"/>
  <c r="BA83" i="1"/>
  <c r="AZ83" i="1"/>
  <c r="AI83" i="1"/>
  <c r="AH83" i="1"/>
  <c r="BW82" i="1"/>
  <c r="BW89" i="1" s="1"/>
  <c r="BV82" i="1"/>
  <c r="BV89" i="1" s="1"/>
  <c r="BU82" i="1"/>
  <c r="BU89" i="1" s="1"/>
  <c r="BT82" i="1"/>
  <c r="BT89" i="1" s="1"/>
  <c r="BS82" i="1"/>
  <c r="BR82" i="1"/>
  <c r="BQ82" i="1"/>
  <c r="BP82" i="1"/>
  <c r="BP89" i="1" s="1"/>
  <c r="BO82" i="1"/>
  <c r="BO89" i="1" s="1"/>
  <c r="BN82" i="1"/>
  <c r="BN89" i="1" s="1"/>
  <c r="BM82" i="1"/>
  <c r="BM89" i="1" s="1"/>
  <c r="BL82" i="1"/>
  <c r="BL89" i="1" s="1"/>
  <c r="BK82" i="1"/>
  <c r="BJ82" i="1"/>
  <c r="BI82" i="1"/>
  <c r="BH82" i="1"/>
  <c r="BH89" i="1" s="1"/>
  <c r="BG82" i="1"/>
  <c r="BG89" i="1" s="1"/>
  <c r="BF82" i="1"/>
  <c r="BF89" i="1" s="1"/>
  <c r="BE82" i="1"/>
  <c r="BE89" i="1" s="1"/>
  <c r="BD82" i="1"/>
  <c r="BD89" i="1" s="1"/>
  <c r="BC82" i="1"/>
  <c r="BB82" i="1"/>
  <c r="BA82" i="1"/>
  <c r="AZ82" i="1"/>
  <c r="AZ89" i="1" s="1"/>
  <c r="AI82" i="1"/>
  <c r="AH82" i="1"/>
  <c r="BW81" i="1"/>
  <c r="BW88" i="1" s="1"/>
  <c r="BV81" i="1"/>
  <c r="BV88" i="1" s="1"/>
  <c r="BU81" i="1"/>
  <c r="BT81" i="1"/>
  <c r="BS81" i="1"/>
  <c r="BR81" i="1"/>
  <c r="BR88" i="1" s="1"/>
  <c r="BQ81" i="1"/>
  <c r="BQ88" i="1" s="1"/>
  <c r="BP81" i="1"/>
  <c r="BP88" i="1" s="1"/>
  <c r="BO81" i="1"/>
  <c r="BO88" i="1" s="1"/>
  <c r="BN81" i="1"/>
  <c r="BN88" i="1" s="1"/>
  <c r="BM81" i="1"/>
  <c r="BL81" i="1"/>
  <c r="BK81" i="1"/>
  <c r="BJ81" i="1"/>
  <c r="BJ88" i="1" s="1"/>
  <c r="BI81" i="1"/>
  <c r="BI88" i="1" s="1"/>
  <c r="BH81" i="1"/>
  <c r="BH88" i="1" s="1"/>
  <c r="BG81" i="1"/>
  <c r="BG88" i="1" s="1"/>
  <c r="BF81" i="1"/>
  <c r="BE81" i="1"/>
  <c r="BD81" i="1"/>
  <c r="BC81" i="1"/>
  <c r="BB81" i="1"/>
  <c r="BB88" i="1" s="1"/>
  <c r="BA81" i="1"/>
  <c r="BA88" i="1" s="1"/>
  <c r="AZ81" i="1"/>
  <c r="AZ88" i="1" s="1"/>
  <c r="AI81" i="1"/>
  <c r="AH81" i="1"/>
  <c r="BW80" i="1"/>
  <c r="BV80" i="1"/>
  <c r="BU80" i="1"/>
  <c r="BT80" i="1"/>
  <c r="BT87" i="1" s="1"/>
  <c r="BS80" i="1"/>
  <c r="BS87" i="1" s="1"/>
  <c r="BR80" i="1"/>
  <c r="BR87" i="1" s="1"/>
  <c r="BQ80" i="1"/>
  <c r="BQ87" i="1" s="1"/>
  <c r="BP80" i="1"/>
  <c r="BP87" i="1" s="1"/>
  <c r="BO80" i="1"/>
  <c r="BN80" i="1"/>
  <c r="BM80" i="1"/>
  <c r="BL80" i="1"/>
  <c r="BL87" i="1" s="1"/>
  <c r="BK80" i="1"/>
  <c r="BK87" i="1" s="1"/>
  <c r="BJ80" i="1"/>
  <c r="BJ87" i="1" s="1"/>
  <c r="BI80" i="1"/>
  <c r="BI87" i="1" s="1"/>
  <c r="BH80" i="1"/>
  <c r="BH87" i="1" s="1"/>
  <c r="BG80" i="1"/>
  <c r="BF80" i="1"/>
  <c r="BE80" i="1"/>
  <c r="BD80" i="1"/>
  <c r="BD87" i="1" s="1"/>
  <c r="BC80" i="1"/>
  <c r="BC87" i="1" s="1"/>
  <c r="BB80" i="1"/>
  <c r="BB87" i="1" s="1"/>
  <c r="BA80" i="1"/>
  <c r="BA87" i="1" s="1"/>
  <c r="AZ80" i="1"/>
  <c r="AZ87" i="1" s="1"/>
  <c r="AI80" i="1"/>
  <c r="AH80" i="1"/>
  <c r="BW79" i="1"/>
  <c r="BV79" i="1"/>
  <c r="BV86" i="1" s="1"/>
  <c r="BU79" i="1"/>
  <c r="BU86" i="1" s="1"/>
  <c r="BT79" i="1"/>
  <c r="BT86" i="1" s="1"/>
  <c r="BS79" i="1"/>
  <c r="BS86" i="1" s="1"/>
  <c r="BR79" i="1"/>
  <c r="BR86" i="1" s="1"/>
  <c r="BQ79" i="1"/>
  <c r="BP79" i="1"/>
  <c r="BO79" i="1"/>
  <c r="BN79" i="1"/>
  <c r="BN86" i="1" s="1"/>
  <c r="BM79" i="1"/>
  <c r="BM86" i="1" s="1"/>
  <c r="BL79" i="1"/>
  <c r="BL86" i="1" s="1"/>
  <c r="BK79" i="1"/>
  <c r="BK86" i="1" s="1"/>
  <c r="BJ79" i="1"/>
  <c r="BJ86" i="1" s="1"/>
  <c r="BI79" i="1"/>
  <c r="BH79" i="1"/>
  <c r="BG79" i="1"/>
  <c r="BF79" i="1"/>
  <c r="BF86" i="1" s="1"/>
  <c r="BE79" i="1"/>
  <c r="BE86" i="1" s="1"/>
  <c r="BD79" i="1"/>
  <c r="BD86" i="1" s="1"/>
  <c r="BC79" i="1"/>
  <c r="BC86" i="1" s="1"/>
  <c r="BB79" i="1"/>
  <c r="BB86" i="1" s="1"/>
  <c r="BA79" i="1"/>
  <c r="AZ79" i="1"/>
  <c r="BG95" i="1" s="1" a="1"/>
  <c r="AI79" i="1"/>
  <c r="AH79" i="1"/>
  <c r="AG78" i="1"/>
  <c r="AF78" i="1"/>
  <c r="AE78" i="1"/>
  <c r="AD78" i="1"/>
  <c r="BH17" i="1" s="1"/>
  <c r="AC78" i="1"/>
  <c r="AC113" i="1" s="1"/>
  <c r="AC115" i="1" s="1"/>
  <c r="AC116" i="1" s="1"/>
  <c r="AC7" i="1" s="1"/>
  <c r="AB78" i="1"/>
  <c r="BG17" i="1" s="1"/>
  <c r="BG22" i="1" s="1"/>
  <c r="BG25" i="1" s="1"/>
  <c r="AA78" i="1"/>
  <c r="Z78" i="1"/>
  <c r="BF17" i="1" s="1"/>
  <c r="Y78" i="1"/>
  <c r="X78" i="1"/>
  <c r="W78" i="1"/>
  <c r="V78" i="1"/>
  <c r="U78" i="1"/>
  <c r="U113" i="1" s="1"/>
  <c r="U115" i="1" s="1"/>
  <c r="U116" i="1" s="1"/>
  <c r="U7" i="1" s="1"/>
  <c r="T78" i="1"/>
  <c r="S78" i="1"/>
  <c r="BA17" i="1" s="1"/>
  <c r="R78" i="1"/>
  <c r="AZ17" i="1" s="1"/>
  <c r="Q78" i="1"/>
  <c r="P78" i="1"/>
  <c r="AX17" i="1" s="1"/>
  <c r="O78" i="1"/>
  <c r="N78" i="1"/>
  <c r="M78" i="1"/>
  <c r="M113" i="1" s="1"/>
  <c r="M115" i="1" s="1"/>
  <c r="M116" i="1" s="1"/>
  <c r="M7" i="1" s="1"/>
  <c r="L78" i="1"/>
  <c r="K78" i="1"/>
  <c r="J78" i="1"/>
  <c r="I78" i="1"/>
  <c r="H78" i="1"/>
  <c r="G78" i="1"/>
  <c r="F78" i="1"/>
  <c r="E78" i="1"/>
  <c r="E113" i="1" s="1"/>
  <c r="E115" i="1" s="1"/>
  <c r="E116" i="1" s="1"/>
  <c r="E7" i="1" s="1"/>
  <c r="D78" i="1"/>
  <c r="AO17" i="1" s="1"/>
  <c r="C78" i="1"/>
  <c r="AI78" i="1" s="1"/>
  <c r="B78" i="1"/>
  <c r="AH78" i="1" s="1"/>
  <c r="AI77" i="1"/>
  <c r="AH77" i="1"/>
  <c r="AI76" i="1"/>
  <c r="AH76" i="1"/>
  <c r="AI75" i="1"/>
  <c r="AH75" i="1"/>
  <c r="AI74" i="1"/>
  <c r="AH74" i="1"/>
  <c r="AI73" i="1"/>
  <c r="AH73" i="1"/>
  <c r="AI72" i="1"/>
  <c r="AH72" i="1"/>
  <c r="AG71" i="1"/>
  <c r="AG2" i="1" s="1"/>
  <c r="AG6" i="1" s="1"/>
  <c r="AF71" i="1"/>
  <c r="BJ16" i="1" s="1"/>
  <c r="BJ22" i="1" s="1"/>
  <c r="AE71" i="1"/>
  <c r="AD71" i="1"/>
  <c r="AD113" i="1" s="1"/>
  <c r="AD115" i="1" s="1"/>
  <c r="AD116" i="1" s="1"/>
  <c r="AD7" i="1" s="1"/>
  <c r="AC71" i="1"/>
  <c r="AB71" i="1"/>
  <c r="AB113" i="1" s="1"/>
  <c r="AB115" i="1" s="1"/>
  <c r="AB116" i="1" s="1"/>
  <c r="AB7" i="1" s="1"/>
  <c r="AA71" i="1"/>
  <c r="AA113" i="1" s="1"/>
  <c r="AA115" i="1" s="1"/>
  <c r="AA116" i="1" s="1"/>
  <c r="AA7" i="1" s="1"/>
  <c r="Z71" i="1"/>
  <c r="BF16" i="1" s="1"/>
  <c r="BF22" i="1" s="1"/>
  <c r="Y71" i="1"/>
  <c r="Y113" i="1" s="1"/>
  <c r="Y115" i="1" s="1"/>
  <c r="Y116" i="1" s="1"/>
  <c r="Y7" i="1" s="1"/>
  <c r="X71" i="1"/>
  <c r="W71" i="1"/>
  <c r="V71" i="1"/>
  <c r="V113" i="1" s="1"/>
  <c r="V115" i="1" s="1"/>
  <c r="V116" i="1" s="1"/>
  <c r="V7" i="1" s="1"/>
  <c r="U71" i="1"/>
  <c r="T71" i="1"/>
  <c r="BB16" i="1" s="1"/>
  <c r="S71" i="1"/>
  <c r="BA16" i="1" s="1"/>
  <c r="BA22" i="1" s="1"/>
  <c r="R71" i="1"/>
  <c r="R113" i="1" s="1"/>
  <c r="R115" i="1" s="1"/>
  <c r="Q71" i="1"/>
  <c r="AY16" i="1" s="1"/>
  <c r="AY22" i="1" s="1"/>
  <c r="P71" i="1"/>
  <c r="O71" i="1"/>
  <c r="N71" i="1"/>
  <c r="N113" i="1" s="1"/>
  <c r="N115" i="1" s="1"/>
  <c r="N116" i="1" s="1"/>
  <c r="N7" i="1" s="1"/>
  <c r="M71" i="1"/>
  <c r="L71" i="1"/>
  <c r="L113" i="1" s="1"/>
  <c r="L115" i="1" s="1"/>
  <c r="L116" i="1" s="1"/>
  <c r="L7" i="1" s="1"/>
  <c r="K71" i="1"/>
  <c r="AT16" i="1" s="1"/>
  <c r="AT22" i="1" s="1"/>
  <c r="AT25" i="1" s="1"/>
  <c r="J71" i="1"/>
  <c r="J113" i="1" s="1"/>
  <c r="J115" i="1" s="1"/>
  <c r="I71" i="1"/>
  <c r="AS16" i="1" s="1"/>
  <c r="AS22" i="1" s="1"/>
  <c r="H71" i="1"/>
  <c r="G71" i="1"/>
  <c r="F71" i="1"/>
  <c r="F113" i="1" s="1"/>
  <c r="F115" i="1" s="1"/>
  <c r="F116" i="1" s="1"/>
  <c r="F7" i="1" s="1"/>
  <c r="E71" i="1"/>
  <c r="D71" i="1"/>
  <c r="D113" i="1" s="1"/>
  <c r="D115" i="1" s="1"/>
  <c r="D116" i="1" s="1"/>
  <c r="D7" i="1" s="1"/>
  <c r="C71" i="1"/>
  <c r="C113" i="1" s="1"/>
  <c r="C115" i="1" s="1"/>
  <c r="C116" i="1" s="1"/>
  <c r="C7" i="1" s="1"/>
  <c r="B71" i="1"/>
  <c r="AM16" i="1" s="1"/>
  <c r="AM22" i="1" s="1"/>
  <c r="AF70" i="1"/>
  <c r="AE70" i="1"/>
  <c r="AD70" i="1"/>
  <c r="AC70" i="1"/>
  <c r="L70" i="1"/>
  <c r="K70" i="1"/>
  <c r="J70" i="1"/>
  <c r="AI70" i="1" s="1"/>
  <c r="I70" i="1"/>
  <c r="H70" i="1"/>
  <c r="G70" i="1"/>
  <c r="F70" i="1"/>
  <c r="E70" i="1"/>
  <c r="D70" i="1"/>
  <c r="C70" i="1"/>
  <c r="AH70" i="1" s="1"/>
  <c r="AI69" i="1"/>
  <c r="AH69" i="1"/>
  <c r="AI68" i="1"/>
  <c r="AH68" i="1"/>
  <c r="AI67" i="1"/>
  <c r="AH67" i="1"/>
  <c r="AI66" i="1"/>
  <c r="AH66" i="1"/>
  <c r="AI65" i="1"/>
  <c r="AH65" i="1"/>
  <c r="AI64" i="1"/>
  <c r="AH64" i="1"/>
  <c r="AI63" i="1"/>
  <c r="AH63" i="1"/>
  <c r="AI62" i="1"/>
  <c r="AH62" i="1"/>
  <c r="AI61" i="1"/>
  <c r="AH61" i="1"/>
  <c r="AI60" i="1"/>
  <c r="AH60" i="1"/>
  <c r="AI59" i="1"/>
  <c r="AH59" i="1"/>
  <c r="AI58" i="1"/>
  <c r="AH58" i="1"/>
  <c r="AI57" i="1"/>
  <c r="AH57" i="1"/>
  <c r="AI56" i="1"/>
  <c r="AH56" i="1"/>
  <c r="AI55" i="1"/>
  <c r="AH55" i="1"/>
  <c r="AI54" i="1"/>
  <c r="AH54" i="1"/>
  <c r="AI53" i="1"/>
  <c r="AH53" i="1"/>
  <c r="AI52" i="1"/>
  <c r="AH52" i="1"/>
  <c r="AI51" i="1"/>
  <c r="AH51" i="1"/>
  <c r="AI50" i="1"/>
  <c r="AH50" i="1"/>
  <c r="AI49" i="1"/>
  <c r="AH49" i="1"/>
  <c r="AI48" i="1"/>
  <c r="AH48" i="1"/>
  <c r="AI47" i="1"/>
  <c r="AH47" i="1"/>
  <c r="AI46" i="1"/>
  <c r="AH46" i="1"/>
  <c r="AI45" i="1"/>
  <c r="AH45" i="1"/>
  <c r="AI44" i="1"/>
  <c r="AH44" i="1"/>
  <c r="AI43" i="1"/>
  <c r="AH43" i="1"/>
  <c r="AI42" i="1"/>
  <c r="AH42" i="1"/>
  <c r="AI41" i="1"/>
  <c r="AH41" i="1"/>
  <c r="AI40" i="1"/>
  <c r="AH40" i="1"/>
  <c r="AI39" i="1"/>
  <c r="AH39" i="1"/>
  <c r="AI38" i="1"/>
  <c r="AH38" i="1"/>
  <c r="AI37" i="1"/>
  <c r="AH37" i="1"/>
  <c r="AI36" i="1"/>
  <c r="AH36" i="1"/>
  <c r="AI35" i="1"/>
  <c r="AH35" i="1"/>
  <c r="AI34" i="1"/>
  <c r="AH34" i="1"/>
  <c r="AI33" i="1"/>
  <c r="AH33" i="1"/>
  <c r="AI32" i="1"/>
  <c r="AH32" i="1"/>
  <c r="AI31" i="1"/>
  <c r="AH31" i="1"/>
  <c r="AI30" i="1"/>
  <c r="AH30" i="1"/>
  <c r="AI29" i="1"/>
  <c r="AH29" i="1"/>
  <c r="AI28" i="1"/>
  <c r="AH28" i="1"/>
  <c r="AI27" i="1"/>
  <c r="AH27" i="1"/>
  <c r="AI26" i="1"/>
  <c r="AH26" i="1"/>
  <c r="AI25" i="1"/>
  <c r="AH25" i="1"/>
  <c r="AI24" i="1"/>
  <c r="AH24" i="1"/>
  <c r="AI23" i="1"/>
  <c r="AH23" i="1"/>
  <c r="AI22" i="1"/>
  <c r="AH22" i="1"/>
  <c r="BJ21" i="1"/>
  <c r="BI21" i="1"/>
  <c r="BH21" i="1"/>
  <c r="BG21" i="1"/>
  <c r="BF21" i="1"/>
  <c r="BE21" i="1"/>
  <c r="BD21" i="1"/>
  <c r="BC21" i="1"/>
  <c r="BB21" i="1"/>
  <c r="BA21" i="1"/>
  <c r="AZ21" i="1"/>
  <c r="AY21" i="1"/>
  <c r="AX21" i="1"/>
  <c r="AW21" i="1"/>
  <c r="AV21" i="1"/>
  <c r="AU21" i="1"/>
  <c r="AT21" i="1"/>
  <c r="AS21" i="1"/>
  <c r="AR21" i="1"/>
  <c r="AQ21" i="1"/>
  <c r="AP21" i="1"/>
  <c r="AO21" i="1"/>
  <c r="AN21" i="1"/>
  <c r="AM21" i="1"/>
  <c r="AI21" i="1"/>
  <c r="AH21" i="1"/>
  <c r="BF20" i="1"/>
  <c r="BE20" i="1"/>
  <c r="BD20" i="1"/>
  <c r="BA20" i="1"/>
  <c r="AY20" i="1"/>
  <c r="AX20" i="1"/>
  <c r="AW20" i="1"/>
  <c r="AV20" i="1"/>
  <c r="AT20" i="1"/>
  <c r="AS20" i="1"/>
  <c r="AO20" i="1"/>
  <c r="AN20" i="1"/>
  <c r="AM20" i="1"/>
  <c r="AI20" i="1"/>
  <c r="AH20" i="1"/>
  <c r="BG19" i="1"/>
  <c r="BF19" i="1"/>
  <c r="BE19" i="1"/>
  <c r="BA19" i="1"/>
  <c r="AZ19" i="1"/>
  <c r="AY19" i="1"/>
  <c r="AX19" i="1"/>
  <c r="AT19" i="1"/>
  <c r="AS19" i="1"/>
  <c r="AR19" i="1"/>
  <c r="AQ19" i="1"/>
  <c r="AP19" i="1"/>
  <c r="AO19" i="1"/>
  <c r="AN19" i="1"/>
  <c r="AM19" i="1"/>
  <c r="AI19" i="1"/>
  <c r="AH19" i="1"/>
  <c r="BJ18" i="1"/>
  <c r="BI18" i="1"/>
  <c r="BH18" i="1"/>
  <c r="BG18" i="1"/>
  <c r="BF18" i="1"/>
  <c r="BB18" i="1"/>
  <c r="BA18" i="1"/>
  <c r="AZ18" i="1"/>
  <c r="AY18" i="1"/>
  <c r="AT18" i="1"/>
  <c r="AS18" i="1"/>
  <c r="AR18" i="1"/>
  <c r="AO18" i="1"/>
  <c r="AM18" i="1"/>
  <c r="AI18" i="1"/>
  <c r="AH18" i="1"/>
  <c r="BJ17" i="1"/>
  <c r="BI17" i="1"/>
  <c r="BE17" i="1"/>
  <c r="BD17" i="1"/>
  <c r="BC17" i="1"/>
  <c r="BB17" i="1"/>
  <c r="AY17" i="1"/>
  <c r="AW17" i="1"/>
  <c r="AV17" i="1"/>
  <c r="AU17" i="1"/>
  <c r="AT17" i="1"/>
  <c r="AS17" i="1"/>
  <c r="AR17" i="1"/>
  <c r="AQ17" i="1"/>
  <c r="AM17" i="1"/>
  <c r="AI17" i="1"/>
  <c r="AH17" i="1"/>
  <c r="BI16" i="1"/>
  <c r="BG16" i="1"/>
  <c r="BE16" i="1"/>
  <c r="BE22" i="1" s="1"/>
  <c r="BD16" i="1"/>
  <c r="BC16" i="1"/>
  <c r="AX16" i="1"/>
  <c r="AX22" i="1" s="1"/>
  <c r="AW16" i="1"/>
  <c r="AV16" i="1"/>
  <c r="AU16" i="1"/>
  <c r="AR16" i="1"/>
  <c r="AQ16" i="1"/>
  <c r="AP16" i="1"/>
  <c r="AO16" i="1"/>
  <c r="AN16" i="1"/>
  <c r="AI16" i="1"/>
  <c r="AH16" i="1"/>
  <c r="AI15" i="1"/>
  <c r="AH15" i="1"/>
  <c r="AI14" i="1"/>
  <c r="AH14" i="1"/>
  <c r="AI13" i="1"/>
  <c r="AH13" i="1"/>
  <c r="AL12" i="1"/>
  <c r="AI12" i="1"/>
  <c r="AH12" i="1"/>
  <c r="AI11" i="1"/>
  <c r="AH11" i="1"/>
  <c r="K6" i="1"/>
  <c r="AE5" i="1"/>
  <c r="AD5" i="1"/>
  <c r="AC5" i="1"/>
  <c r="AB5" i="1"/>
  <c r="AA5" i="1"/>
  <c r="Z5" i="1"/>
  <c r="Y5" i="1"/>
  <c r="X5" i="1"/>
  <c r="W5" i="1"/>
  <c r="V5" i="1"/>
  <c r="U5" i="1"/>
  <c r="T5" i="1"/>
  <c r="S5" i="1"/>
  <c r="R5" i="1"/>
  <c r="Q5" i="1"/>
  <c r="P5" i="1"/>
  <c r="O5" i="1"/>
  <c r="N5" i="1"/>
  <c r="M5" i="1"/>
  <c r="L5" i="1"/>
  <c r="K5" i="1"/>
  <c r="J5" i="1"/>
  <c r="I5" i="1"/>
  <c r="H5" i="1"/>
  <c r="G5" i="1"/>
  <c r="F5" i="1"/>
  <c r="E5" i="1"/>
  <c r="D5" i="1"/>
  <c r="C5" i="1"/>
  <c r="B5" i="1"/>
  <c r="AG4" i="1"/>
  <c r="K4" i="1"/>
  <c r="E4" i="1"/>
  <c r="H4" i="1" s="1"/>
  <c r="B4" i="1"/>
  <c r="AL13" i="1" s="1"/>
  <c r="P123" i="2" l="1"/>
  <c r="AX23" i="2" s="1"/>
  <c r="P124" i="2"/>
  <c r="O123" i="2"/>
  <c r="AW23" i="2" s="1"/>
  <c r="N123" i="2"/>
  <c r="AV23" i="2" s="1"/>
  <c r="L123" i="2"/>
  <c r="L124" i="2" s="1"/>
  <c r="L113" i="2"/>
  <c r="L115" i="2" s="1"/>
  <c r="L116" i="2" s="1"/>
  <c r="L7" i="2" s="1"/>
  <c r="AI122" i="2"/>
  <c r="K123" i="2"/>
  <c r="AT23" i="2" s="1"/>
  <c r="J113" i="2"/>
  <c r="J115" i="2" s="1"/>
  <c r="J123" i="2"/>
  <c r="J124" i="2" s="1"/>
  <c r="AI108" i="2"/>
  <c r="I123" i="2"/>
  <c r="AS23" i="2" s="1"/>
  <c r="H113" i="2"/>
  <c r="H115" i="2" s="1"/>
  <c r="H116" i="2" s="1"/>
  <c r="H7" i="2" s="1"/>
  <c r="F5" i="2"/>
  <c r="AR19" i="2"/>
  <c r="AR22" i="2" s="1"/>
  <c r="AH108" i="2"/>
  <c r="AP22" i="2"/>
  <c r="AP25" i="2" s="1"/>
  <c r="D123" i="2"/>
  <c r="AO23" i="2" s="1"/>
  <c r="D113" i="2"/>
  <c r="D115" i="2" s="1"/>
  <c r="C113" i="2"/>
  <c r="C115" i="2" s="1"/>
  <c r="C116" i="2" s="1"/>
  <c r="B123" i="2"/>
  <c r="B124" i="2"/>
  <c r="B113" i="2"/>
  <c r="B115" i="2" s="1"/>
  <c r="B116" i="2" s="1"/>
  <c r="AH119" i="2"/>
  <c r="BJ95" i="1"/>
  <c r="BG118" i="1"/>
  <c r="BK116" i="1"/>
  <c r="BI115" i="1"/>
  <c r="BG114" i="1"/>
  <c r="BK112" i="1"/>
  <c r="BI111" i="1"/>
  <c r="BG110" i="1"/>
  <c r="BK108" i="1"/>
  <c r="BI107" i="1"/>
  <c r="BG106" i="1"/>
  <c r="BK104" i="1"/>
  <c r="BI103" i="1"/>
  <c r="BG102" i="1"/>
  <c r="BK100" i="1"/>
  <c r="BI99" i="1"/>
  <c r="BG98" i="1"/>
  <c r="BK96" i="1"/>
  <c r="BI95" i="1"/>
  <c r="BL117" i="1"/>
  <c r="BJ116" i="1"/>
  <c r="BH115" i="1"/>
  <c r="BL113" i="1"/>
  <c r="BJ112" i="1"/>
  <c r="BH111" i="1"/>
  <c r="BL109" i="1"/>
  <c r="BJ108" i="1"/>
  <c r="BH107" i="1"/>
  <c r="BL105" i="1"/>
  <c r="BJ104" i="1"/>
  <c r="BH103" i="1"/>
  <c r="BL101" i="1"/>
  <c r="BJ100" i="1"/>
  <c r="BH99" i="1"/>
  <c r="BL97" i="1"/>
  <c r="BJ96" i="1"/>
  <c r="BH95" i="1"/>
  <c r="BK117" i="1"/>
  <c r="BI116" i="1"/>
  <c r="BG115" i="1"/>
  <c r="BK113" i="1"/>
  <c r="BI112" i="1"/>
  <c r="BG111" i="1"/>
  <c r="BK109" i="1"/>
  <c r="BI108" i="1"/>
  <c r="BG107" i="1"/>
  <c r="BK105" i="1"/>
  <c r="BI104" i="1"/>
  <c r="BG103" i="1"/>
  <c r="BK101" i="1"/>
  <c r="BI100" i="1"/>
  <c r="BG99" i="1"/>
  <c r="BK97" i="1"/>
  <c r="BI96" i="1"/>
  <c r="BG95" i="1"/>
  <c r="BH117" i="1"/>
  <c r="BL115" i="1"/>
  <c r="BJ114" i="1"/>
  <c r="BH113" i="1"/>
  <c r="BL111" i="1"/>
  <c r="BJ110" i="1"/>
  <c r="BH109" i="1"/>
  <c r="BL107" i="1"/>
  <c r="BJ106" i="1"/>
  <c r="BL103" i="1"/>
  <c r="BJ102" i="1"/>
  <c r="BH101" i="1"/>
  <c r="BL99" i="1"/>
  <c r="BJ98" i="1"/>
  <c r="BL95" i="1"/>
  <c r="BI118" i="1"/>
  <c r="BK115" i="1"/>
  <c r="BI114" i="1"/>
  <c r="BG113" i="1"/>
  <c r="BK111" i="1"/>
  <c r="BG109" i="1"/>
  <c r="BK107" i="1"/>
  <c r="BI106" i="1"/>
  <c r="BK103" i="1"/>
  <c r="BG101" i="1"/>
  <c r="BI98" i="1"/>
  <c r="BG97" i="1"/>
  <c r="BK95" i="1"/>
  <c r="BH118" i="1"/>
  <c r="BL116" i="1"/>
  <c r="BJ115" i="1"/>
  <c r="BH114" i="1"/>
  <c r="BL112" i="1"/>
  <c r="BJ111" i="1"/>
  <c r="BH110" i="1"/>
  <c r="BL108" i="1"/>
  <c r="BJ107" i="1"/>
  <c r="BH106" i="1"/>
  <c r="BL104" i="1"/>
  <c r="BJ103" i="1"/>
  <c r="BH102" i="1"/>
  <c r="BL100" i="1"/>
  <c r="BJ99" i="1"/>
  <c r="BH98" i="1"/>
  <c r="BL96" i="1"/>
  <c r="BL118" i="1"/>
  <c r="BJ117" i="1"/>
  <c r="BH116" i="1"/>
  <c r="BL114" i="1"/>
  <c r="BJ113" i="1"/>
  <c r="BH112" i="1"/>
  <c r="BL110" i="1"/>
  <c r="BJ109" i="1"/>
  <c r="BH108" i="1"/>
  <c r="BL106" i="1"/>
  <c r="BJ105" i="1"/>
  <c r="BH104" i="1"/>
  <c r="BL102" i="1"/>
  <c r="BJ101" i="1"/>
  <c r="BH100" i="1"/>
  <c r="BL98" i="1"/>
  <c r="BJ97" i="1"/>
  <c r="BH96" i="1"/>
  <c r="BK118" i="1"/>
  <c r="BI117" i="1"/>
  <c r="BG116" i="1"/>
  <c r="BI113" i="1"/>
  <c r="BG112" i="1"/>
  <c r="BK110" i="1"/>
  <c r="BI109" i="1"/>
  <c r="BG108" i="1"/>
  <c r="BK106" i="1"/>
  <c r="BI105" i="1"/>
  <c r="BG104" i="1"/>
  <c r="BK102" i="1"/>
  <c r="BI101" i="1"/>
  <c r="BG100" i="1"/>
  <c r="BK98" i="1"/>
  <c r="BI97" i="1"/>
  <c r="BG96" i="1"/>
  <c r="BK114" i="1"/>
  <c r="BJ118" i="1"/>
  <c r="BH105" i="1"/>
  <c r="BH97" i="1"/>
  <c r="BG117" i="1"/>
  <c r="BI110" i="1"/>
  <c r="BG105" i="1"/>
  <c r="BI102" i="1"/>
  <c r="BK99" i="1"/>
  <c r="AM25" i="1"/>
  <c r="J116" i="1"/>
  <c r="J7" i="1" s="1"/>
  <c r="R116" i="1"/>
  <c r="R7" i="1" s="1"/>
  <c r="AQ22" i="1"/>
  <c r="AQ25" i="1" s="1"/>
  <c r="H116" i="1"/>
  <c r="H7" i="1" s="1"/>
  <c r="AX25" i="1"/>
  <c r="AO22" i="1"/>
  <c r="AO25" i="1" s="1"/>
  <c r="H190" i="1"/>
  <c r="I190" i="1" s="1"/>
  <c r="J190" i="1" s="1"/>
  <c r="K190" i="1" s="1"/>
  <c r="L190" i="1" s="1"/>
  <c r="M190" i="1" s="1"/>
  <c r="N190" i="1" s="1"/>
  <c r="O190" i="1" s="1"/>
  <c r="P190" i="1" s="1"/>
  <c r="Q190" i="1" s="1"/>
  <c r="R190" i="1" s="1"/>
  <c r="S190" i="1" s="1"/>
  <c r="T190" i="1" s="1"/>
  <c r="U190" i="1" s="1"/>
  <c r="V190" i="1" s="1"/>
  <c r="W190" i="1" s="1"/>
  <c r="X190" i="1" s="1"/>
  <c r="Y190" i="1" s="1"/>
  <c r="Z190" i="1" s="1"/>
  <c r="AA190" i="1" s="1"/>
  <c r="AB190" i="1" s="1"/>
  <c r="AC190" i="1" s="1"/>
  <c r="AD190" i="1" s="1"/>
  <c r="AE190" i="1" s="1"/>
  <c r="AF190" i="1" s="1"/>
  <c r="G124" i="1"/>
  <c r="O124" i="1"/>
  <c r="W124" i="1"/>
  <c r="AE124" i="1"/>
  <c r="AX23" i="1"/>
  <c r="P124" i="1"/>
  <c r="BE23" i="1"/>
  <c r="BE25" i="1" s="1"/>
  <c r="X124" i="1"/>
  <c r="AF124" i="1"/>
  <c r="BJ23" i="1"/>
  <c r="AO155" i="1"/>
  <c r="AG115" i="1"/>
  <c r="I124" i="1"/>
  <c r="AS23" i="1"/>
  <c r="AS25" i="1" s="1"/>
  <c r="Q124" i="1"/>
  <c r="AY23" i="1"/>
  <c r="AY25" i="1" s="1"/>
  <c r="E168" i="1"/>
  <c r="F162" i="1"/>
  <c r="I178" i="1"/>
  <c r="BJ25" i="1"/>
  <c r="AI123" i="1"/>
  <c r="AH123" i="1"/>
  <c r="AM23" i="1"/>
  <c r="B124" i="1"/>
  <c r="AJ123" i="1" a="1"/>
  <c r="AJ123" i="1" s="1"/>
  <c r="R124" i="1"/>
  <c r="AZ23" i="1"/>
  <c r="BF23" i="1"/>
  <c r="BF25" i="1" s="1"/>
  <c r="Z124" i="1"/>
  <c r="G201" i="1"/>
  <c r="H201" i="1" s="1"/>
  <c r="I201" i="1" s="1"/>
  <c r="J201" i="1" s="1"/>
  <c r="K201" i="1" s="1"/>
  <c r="L201" i="1" s="1"/>
  <c r="M201" i="1" s="1"/>
  <c r="N201" i="1" s="1"/>
  <c r="O201" i="1" s="1"/>
  <c r="P201" i="1" s="1"/>
  <c r="Q201" i="1" s="1"/>
  <c r="R201" i="1" s="1"/>
  <c r="S201" i="1" s="1"/>
  <c r="T201" i="1" s="1"/>
  <c r="U201" i="1" s="1"/>
  <c r="V201" i="1" s="1"/>
  <c r="W201" i="1" s="1"/>
  <c r="X201" i="1" s="1"/>
  <c r="Y201" i="1" s="1"/>
  <c r="Z201" i="1" s="1"/>
  <c r="AA201" i="1" s="1"/>
  <c r="AB201" i="1" s="1"/>
  <c r="AC201" i="1" s="1"/>
  <c r="AD201" i="1" s="1"/>
  <c r="AE201" i="1" s="1"/>
  <c r="AF201" i="1" s="1"/>
  <c r="F135" i="1"/>
  <c r="C168" i="1"/>
  <c r="AO175" i="1"/>
  <c r="AX16" i="2"/>
  <c r="AX22" i="2" s="1"/>
  <c r="AX25" i="2" s="1"/>
  <c r="P113" i="2"/>
  <c r="P115" i="2" s="1"/>
  <c r="P116" i="2" s="1"/>
  <c r="P7" i="2" s="1"/>
  <c r="BE16" i="2"/>
  <c r="BE22" i="2" s="1"/>
  <c r="X113" i="2"/>
  <c r="X115" i="2" s="1"/>
  <c r="X116" i="2" s="1"/>
  <c r="X7" i="2" s="1"/>
  <c r="AF113" i="2"/>
  <c r="AF115" i="2" s="1"/>
  <c r="AF116" i="2" s="1"/>
  <c r="AF7" i="2" s="1"/>
  <c r="BJ16" i="2"/>
  <c r="BJ22" i="2" s="1"/>
  <c r="BJ25" i="2" s="1"/>
  <c r="AH71" i="1"/>
  <c r="I113" i="1"/>
  <c r="I115" i="1" s="1"/>
  <c r="I116" i="1" s="1"/>
  <c r="I7" i="1" s="1"/>
  <c r="Q113" i="1"/>
  <c r="Q115" i="1" s="1"/>
  <c r="Q116" i="1" s="1"/>
  <c r="Q7" i="1" s="1"/>
  <c r="AW16" i="2"/>
  <c r="O113" i="2"/>
  <c r="O115" i="2" s="1"/>
  <c r="O116" i="2" s="1"/>
  <c r="O7" i="2" s="1"/>
  <c r="AN17" i="1"/>
  <c r="AN22" i="1" s="1"/>
  <c r="AI71" i="1"/>
  <c r="Z113" i="1"/>
  <c r="Z115" i="1" s="1"/>
  <c r="Z116" i="1" s="1"/>
  <c r="Z7" i="1" s="1"/>
  <c r="AN168" i="1"/>
  <c r="D168" i="1"/>
  <c r="BI19" i="1"/>
  <c r="BI22" i="1" s="1"/>
  <c r="BI25" i="1" s="1"/>
  <c r="BA23" i="1"/>
  <c r="BA25" i="1" s="1"/>
  <c r="K113" i="1"/>
  <c r="K115" i="1" s="1"/>
  <c r="K116" i="1" s="1"/>
  <c r="K7" i="1" s="1"/>
  <c r="S113" i="1"/>
  <c r="S115" i="1" s="1"/>
  <c r="S116" i="1" s="1"/>
  <c r="S7" i="1" s="1"/>
  <c r="C124" i="1"/>
  <c r="K124" i="1"/>
  <c r="AF5" i="1"/>
  <c r="AZ16" i="1"/>
  <c r="AZ22" i="1" s="1"/>
  <c r="AZ25" i="1" s="1"/>
  <c r="BH16" i="1"/>
  <c r="BH22" i="1" s="1"/>
  <c r="BH25" i="1" s="1"/>
  <c r="AP17" i="1"/>
  <c r="AP22" i="1" s="1"/>
  <c r="AP25" i="1" s="1"/>
  <c r="AN18" i="1"/>
  <c r="BB19" i="1"/>
  <c r="BB22" i="1" s="1"/>
  <c r="BB25" i="1" s="1"/>
  <c r="AR20" i="1"/>
  <c r="AR22" i="1" s="1"/>
  <c r="AR25" i="1" s="1"/>
  <c r="T113" i="1"/>
  <c r="T115" i="1" s="1"/>
  <c r="T116" i="1" s="1"/>
  <c r="T7" i="1" s="1"/>
  <c r="AH121" i="1"/>
  <c r="D124" i="1"/>
  <c r="AO159" i="1"/>
  <c r="AO168" i="1" s="1"/>
  <c r="AQ18" i="2"/>
  <c r="AQ22" i="2" s="1"/>
  <c r="AQ25" i="2" s="1"/>
  <c r="F7" i="2"/>
  <c r="N113" i="2"/>
  <c r="N115" i="2" s="1"/>
  <c r="AV18" i="2"/>
  <c r="AV22" i="2" s="1"/>
  <c r="AD113" i="2"/>
  <c r="AD115" i="2" s="1"/>
  <c r="AD116" i="2" s="1"/>
  <c r="AD7" i="2" s="1"/>
  <c r="BH18" i="2"/>
  <c r="AO159" i="2"/>
  <c r="AO168" i="2" s="1"/>
  <c r="AN168" i="2"/>
  <c r="AH117" i="1"/>
  <c r="AG113" i="1"/>
  <c r="AI117" i="1"/>
  <c r="AO143" i="1"/>
  <c r="C275" i="1"/>
  <c r="G113" i="2"/>
  <c r="G115" i="2" s="1"/>
  <c r="AI71" i="2"/>
  <c r="BI16" i="2"/>
  <c r="AE113" i="2"/>
  <c r="AE115" i="2" s="1"/>
  <c r="AI78" i="2"/>
  <c r="BH19" i="1"/>
  <c r="B113" i="1"/>
  <c r="E135" i="1"/>
  <c r="AU19" i="1"/>
  <c r="AU22" i="1" s="1"/>
  <c r="AU25" i="1" s="1"/>
  <c r="BC19" i="1"/>
  <c r="BC22" i="1" s="1"/>
  <c r="BC25" i="1" s="1"/>
  <c r="BI20" i="1"/>
  <c r="AH96" i="1"/>
  <c r="AH108" i="1"/>
  <c r="AV19" i="1"/>
  <c r="AV22" i="1" s="1"/>
  <c r="AV25" i="1" s="1"/>
  <c r="BD19" i="1"/>
  <c r="BD22" i="1" s="1"/>
  <c r="BD25" i="1" s="1"/>
  <c r="E275" i="1"/>
  <c r="F170" i="1"/>
  <c r="W116" i="2"/>
  <c r="W7" i="2" s="1"/>
  <c r="AW19" i="1"/>
  <c r="AW22" i="1" s="1"/>
  <c r="AW25" i="1" s="1"/>
  <c r="G123" i="2"/>
  <c r="AR23" i="2" s="1"/>
  <c r="AH117" i="2"/>
  <c r="W123" i="2"/>
  <c r="AE123" i="2"/>
  <c r="AO176" i="1"/>
  <c r="AZ23" i="2"/>
  <c r="AM17" i="2"/>
  <c r="AZ22" i="2"/>
  <c r="Z113" i="2"/>
  <c r="Z115" i="2" s="1"/>
  <c r="Z116" i="2" s="1"/>
  <c r="Z7" i="2" s="1"/>
  <c r="BF17" i="2"/>
  <c r="BF22" i="2" s="1"/>
  <c r="BF25" i="2" s="1"/>
  <c r="AH78" i="2"/>
  <c r="AZ88" i="2"/>
  <c r="BG95" i="2" a="1"/>
  <c r="R113" i="2"/>
  <c r="R115" i="2" s="1"/>
  <c r="R116" i="2" s="1"/>
  <c r="R7" i="2" s="1"/>
  <c r="AH121" i="2"/>
  <c r="AW19" i="2"/>
  <c r="N5" i="2"/>
  <c r="W124" i="2"/>
  <c r="V5" i="2"/>
  <c r="BI19" i="2"/>
  <c r="AD5" i="2"/>
  <c r="BH22" i="2"/>
  <c r="BH25" i="2" s="1"/>
  <c r="BE23" i="2"/>
  <c r="X124" i="2"/>
  <c r="AH71" i="2"/>
  <c r="AB113" i="2"/>
  <c r="AB115" i="2" s="1"/>
  <c r="AB116" i="2" s="1"/>
  <c r="AB7" i="2" s="1"/>
  <c r="AI118" i="2"/>
  <c r="AI96" i="2"/>
  <c r="D5" i="2"/>
  <c r="M124" i="2"/>
  <c r="AU19" i="2"/>
  <c r="U124" i="2"/>
  <c r="BC19" i="2"/>
  <c r="T5" i="2"/>
  <c r="O124" i="2"/>
  <c r="D275" i="1"/>
  <c r="AN22" i="2"/>
  <c r="AN25" i="2" s="1"/>
  <c r="T113" i="2"/>
  <c r="T115" i="2" s="1"/>
  <c r="T116" i="2" s="1"/>
  <c r="T7" i="2" s="1"/>
  <c r="BB20" i="2"/>
  <c r="BB22" i="2" s="1"/>
  <c r="BB25" i="2" s="1"/>
  <c r="AN155" i="2"/>
  <c r="AO154" i="2"/>
  <c r="AO155" i="2" s="1"/>
  <c r="AM18" i="2"/>
  <c r="AI92" i="2"/>
  <c r="AH92" i="2"/>
  <c r="AN139" i="2"/>
  <c r="AO139" i="2" s="1"/>
  <c r="AO135" i="2"/>
  <c r="AO19" i="2"/>
  <c r="AO22" i="2" s="1"/>
  <c r="C5" i="2"/>
  <c r="S5" i="2"/>
  <c r="T124" i="2"/>
  <c r="AA5" i="2"/>
  <c r="BG19" i="2"/>
  <c r="BG22" i="2" s="1"/>
  <c r="BG25" i="2" s="1"/>
  <c r="AO147" i="2"/>
  <c r="I113" i="2"/>
  <c r="I115" i="2" s="1"/>
  <c r="I116" i="2" s="1"/>
  <c r="I7" i="2" s="1"/>
  <c r="AS16" i="2"/>
  <c r="Q113" i="2"/>
  <c r="Q115" i="2" s="1"/>
  <c r="Q116" i="2" s="1"/>
  <c r="Q7" i="2" s="1"/>
  <c r="AY16" i="2"/>
  <c r="AY22" i="2" s="1"/>
  <c r="AY25" i="2" s="1"/>
  <c r="Y113" i="2"/>
  <c r="Y115" i="2" s="1"/>
  <c r="Y116" i="2" s="1"/>
  <c r="Y7" i="2" s="1"/>
  <c r="AG113" i="2"/>
  <c r="AG2" i="2"/>
  <c r="AG6" i="2" s="1"/>
  <c r="AI117" i="2"/>
  <c r="AH118" i="2"/>
  <c r="AI119" i="2"/>
  <c r="AH120" i="2"/>
  <c r="AI121" i="2"/>
  <c r="AH122" i="2"/>
  <c r="E7" i="2"/>
  <c r="M113" i="2"/>
  <c r="M115" i="2" s="1"/>
  <c r="M116" i="2" s="1"/>
  <c r="M7" i="2" s="1"/>
  <c r="AU16" i="2"/>
  <c r="U113" i="2"/>
  <c r="U115" i="2" s="1"/>
  <c r="U116" i="2" s="1"/>
  <c r="U7" i="2" s="1"/>
  <c r="BC16" i="2"/>
  <c r="BC22" i="2" s="1"/>
  <c r="BC25" i="2" s="1"/>
  <c r="AC113" i="2"/>
  <c r="AC115" i="2" s="1"/>
  <c r="AC116" i="2" s="1"/>
  <c r="AC7" i="2" s="1"/>
  <c r="AH96" i="2"/>
  <c r="K124" i="2"/>
  <c r="BA19" i="2"/>
  <c r="S124" i="2"/>
  <c r="AA124" i="2"/>
  <c r="AJ108" i="2" a="1"/>
  <c r="AJ108" i="2" s="1"/>
  <c r="AG115" i="2"/>
  <c r="F261" i="2"/>
  <c r="H178" i="2"/>
  <c r="J5" i="2"/>
  <c r="AT19" i="2"/>
  <c r="AT22" i="2" s="1"/>
  <c r="AT25" i="2" s="1"/>
  <c r="C7" i="2"/>
  <c r="K113" i="2"/>
  <c r="K115" i="2" s="1"/>
  <c r="K116" i="2" s="1"/>
  <c r="K7" i="2" s="1"/>
  <c r="S113" i="2"/>
  <c r="S115" i="2" s="1"/>
  <c r="S116" i="2" s="1"/>
  <c r="S7" i="2" s="1"/>
  <c r="BA16" i="2"/>
  <c r="BA22" i="2" s="1"/>
  <c r="BA25" i="2" s="1"/>
  <c r="AA113" i="2"/>
  <c r="AA115" i="2" s="1"/>
  <c r="AA116" i="2" s="1"/>
  <c r="AA7" i="2" s="1"/>
  <c r="I124" i="2"/>
  <c r="AS19" i="2"/>
  <c r="Q124" i="2"/>
  <c r="Y124" i="2"/>
  <c r="AA171" i="2"/>
  <c r="AB171" i="2" s="1"/>
  <c r="AC171" i="2" s="1"/>
  <c r="AD171" i="2" s="1"/>
  <c r="AE171" i="2" s="1"/>
  <c r="AF171" i="2" s="1"/>
  <c r="Z135" i="2"/>
  <c r="AM23" i="3"/>
  <c r="AM16" i="2"/>
  <c r="D275" i="2"/>
  <c r="AO176" i="2"/>
  <c r="E275" i="2"/>
  <c r="F170" i="2"/>
  <c r="D162" i="2"/>
  <c r="AO16" i="3"/>
  <c r="AO22" i="3" s="1"/>
  <c r="AO25" i="3" s="1"/>
  <c r="D113" i="3"/>
  <c r="D115" i="3" s="1"/>
  <c r="D116" i="3" s="1"/>
  <c r="D7" i="3" s="1"/>
  <c r="BB16" i="3"/>
  <c r="T113" i="3"/>
  <c r="T115" i="3" s="1"/>
  <c r="T116" i="3" s="1"/>
  <c r="T7" i="3" s="1"/>
  <c r="BG16" i="3"/>
  <c r="BG22" i="3" s="1"/>
  <c r="BG25" i="3" s="1"/>
  <c r="AB113" i="3"/>
  <c r="AB115" i="3" s="1"/>
  <c r="AB116" i="3" s="1"/>
  <c r="AB7" i="3" s="1"/>
  <c r="BE17" i="3"/>
  <c r="X113" i="3"/>
  <c r="X115" i="3" s="1"/>
  <c r="X116" i="3" s="1"/>
  <c r="X7" i="3" s="1"/>
  <c r="AG115" i="3"/>
  <c r="B124" i="3"/>
  <c r="AF5" i="3"/>
  <c r="AI108" i="3"/>
  <c r="AM19" i="3"/>
  <c r="AJ108" i="3" a="1"/>
  <c r="AJ108" i="3" s="1"/>
  <c r="I5" i="3"/>
  <c r="AZ19" i="3"/>
  <c r="Q5" i="3"/>
  <c r="Z124" i="3"/>
  <c r="Y5" i="3"/>
  <c r="AH108" i="3"/>
  <c r="AH122" i="3"/>
  <c r="AI122" i="3"/>
  <c r="AY22" i="3"/>
  <c r="AS16" i="3"/>
  <c r="AS22" i="3" s="1"/>
  <c r="I113" i="3"/>
  <c r="I115" i="3" s="1"/>
  <c r="O124" i="3"/>
  <c r="AW23" i="3"/>
  <c r="AW25" i="3" s="1"/>
  <c r="AG2" i="3"/>
  <c r="AG6" i="3" s="1"/>
  <c r="J123" i="3"/>
  <c r="J124" i="3" s="1"/>
  <c r="BJ118" i="3"/>
  <c r="BH117" i="3"/>
  <c r="BL115" i="3"/>
  <c r="BJ114" i="3"/>
  <c r="BH113" i="3"/>
  <c r="BL111" i="3"/>
  <c r="BJ110" i="3"/>
  <c r="BH109" i="3"/>
  <c r="BL107" i="3"/>
  <c r="BJ106" i="3"/>
  <c r="BH105" i="3"/>
  <c r="BL103" i="3"/>
  <c r="BJ102" i="3"/>
  <c r="BH101" i="3"/>
  <c r="BL99" i="3"/>
  <c r="BJ98" i="3"/>
  <c r="BH97" i="3"/>
  <c r="BL95" i="3"/>
  <c r="BK117" i="3"/>
  <c r="BH116" i="3"/>
  <c r="BK114" i="3"/>
  <c r="BG113" i="3"/>
  <c r="BJ111" i="3"/>
  <c r="BG110" i="3"/>
  <c r="BJ108" i="3"/>
  <c r="BG107" i="3"/>
  <c r="BJ105" i="3"/>
  <c r="BG104" i="3"/>
  <c r="BI102" i="3"/>
  <c r="BL100" i="3"/>
  <c r="BI99" i="3"/>
  <c r="BL97" i="3"/>
  <c r="BI96" i="3"/>
  <c r="BI118" i="3"/>
  <c r="BL116" i="3"/>
  <c r="BI115" i="3"/>
  <c r="BL113" i="3"/>
  <c r="BI112" i="3"/>
  <c r="BL110" i="3"/>
  <c r="BI109" i="3"/>
  <c r="BK107" i="3"/>
  <c r="BH106" i="3"/>
  <c r="BK104" i="3"/>
  <c r="BH103" i="3"/>
  <c r="BK101" i="3"/>
  <c r="BH100" i="3"/>
  <c r="BK98" i="3"/>
  <c r="BG97" i="3"/>
  <c r="BJ95" i="3"/>
  <c r="BJ117" i="3"/>
  <c r="BJ115" i="3"/>
  <c r="BJ113" i="3"/>
  <c r="BI111" i="3"/>
  <c r="BJ109" i="3"/>
  <c r="BI107" i="3"/>
  <c r="BI105" i="3"/>
  <c r="BI103" i="3"/>
  <c r="BI101" i="3"/>
  <c r="BH99" i="3"/>
  <c r="BI97" i="3"/>
  <c r="BH95" i="3"/>
  <c r="BH118" i="3"/>
  <c r="BG116" i="3"/>
  <c r="BK113" i="3"/>
  <c r="BH111" i="3"/>
  <c r="BL108" i="3"/>
  <c r="BK106" i="3"/>
  <c r="BI104" i="3"/>
  <c r="BG102" i="3"/>
  <c r="BK99" i="3"/>
  <c r="BJ97" i="3"/>
  <c r="BG95" i="3"/>
  <c r="BL117" i="3"/>
  <c r="BH115" i="3"/>
  <c r="BL112" i="3"/>
  <c r="BK110" i="3"/>
  <c r="BI108" i="3"/>
  <c r="BG106" i="3"/>
  <c r="BK103" i="3"/>
  <c r="BJ101" i="3"/>
  <c r="BG99" i="3"/>
  <c r="BK96" i="3"/>
  <c r="BG96" i="3"/>
  <c r="BL98" i="3"/>
  <c r="BH102" i="3"/>
  <c r="BG105" i="3"/>
  <c r="BH108" i="3"/>
  <c r="BK111" i="3"/>
  <c r="BI114" i="3"/>
  <c r="BI117" i="3"/>
  <c r="AF123" i="3"/>
  <c r="BJ23" i="3" s="1"/>
  <c r="BJ25" i="3" s="1"/>
  <c r="H123" i="3"/>
  <c r="H124" i="3" s="1"/>
  <c r="AN22" i="3"/>
  <c r="AN25" i="3" s="1"/>
  <c r="AN18" i="3"/>
  <c r="AI92" i="3"/>
  <c r="BH96" i="3"/>
  <c r="BJ99" i="3"/>
  <c r="BK102" i="3"/>
  <c r="BK105" i="3"/>
  <c r="BK108" i="3"/>
  <c r="BG112" i="3"/>
  <c r="BL114" i="3"/>
  <c r="BG118" i="3"/>
  <c r="K113" i="3"/>
  <c r="K115" i="3" s="1"/>
  <c r="K116" i="3" s="1"/>
  <c r="K7" i="3" s="1"/>
  <c r="C275" i="2"/>
  <c r="AP16" i="3"/>
  <c r="AP22" i="3" s="1"/>
  <c r="AP25" i="3" s="1"/>
  <c r="BD22" i="3"/>
  <c r="BD25" i="3" s="1"/>
  <c r="BD20" i="3"/>
  <c r="BJ96" i="3"/>
  <c r="BG100" i="3"/>
  <c r="BL102" i="3"/>
  <c r="BL105" i="3"/>
  <c r="BG109" i="3"/>
  <c r="BH112" i="3"/>
  <c r="BG115" i="3"/>
  <c r="BK118" i="3"/>
  <c r="P5" i="3"/>
  <c r="X5" i="3"/>
  <c r="Y124" i="3"/>
  <c r="R123" i="3"/>
  <c r="AZ23" i="3" s="1"/>
  <c r="AI118" i="3"/>
  <c r="BF22" i="3"/>
  <c r="BF25" i="3" s="1"/>
  <c r="AU16" i="3"/>
  <c r="AU22" i="3" s="1"/>
  <c r="AU25" i="3" s="1"/>
  <c r="M113" i="3"/>
  <c r="M115" i="3" s="1"/>
  <c r="M116" i="3" s="1"/>
  <c r="M7" i="3" s="1"/>
  <c r="BC16" i="3"/>
  <c r="BC22" i="3" s="1"/>
  <c r="BC25" i="3" s="1"/>
  <c r="U113" i="3"/>
  <c r="U115" i="3" s="1"/>
  <c r="U116" i="3" s="1"/>
  <c r="U7" i="3" s="1"/>
  <c r="BK97" i="3"/>
  <c r="BJ100" i="3"/>
  <c r="BJ103" i="3"/>
  <c r="BL106" i="3"/>
  <c r="BL109" i="3"/>
  <c r="BK112" i="3"/>
  <c r="BI116" i="3"/>
  <c r="AI96" i="3"/>
  <c r="AH96" i="3"/>
  <c r="AO155" i="3"/>
  <c r="AO176" i="3" s="1"/>
  <c r="AM20" i="3"/>
  <c r="AI78" i="3"/>
  <c r="AM17" i="3"/>
  <c r="AM22" i="3" s="1"/>
  <c r="AH78" i="3"/>
  <c r="BG98" i="3"/>
  <c r="BK100" i="3"/>
  <c r="BH104" i="3"/>
  <c r="BH107" i="3"/>
  <c r="BH110" i="3"/>
  <c r="BI113" i="3"/>
  <c r="BJ116" i="3"/>
  <c r="C5" i="3"/>
  <c r="D124" i="3"/>
  <c r="K5" i="3"/>
  <c r="L124" i="3"/>
  <c r="BB19" i="3"/>
  <c r="T124" i="3"/>
  <c r="S5" i="3"/>
  <c r="BI23" i="3"/>
  <c r="AE124" i="3"/>
  <c r="AA113" i="3"/>
  <c r="AA115" i="3" s="1"/>
  <c r="AA116" i="3" s="1"/>
  <c r="AA7" i="3" s="1"/>
  <c r="AZ86" i="3"/>
  <c r="BI95" i="3"/>
  <c r="BH98" i="3"/>
  <c r="BG101" i="3"/>
  <c r="BJ104" i="3"/>
  <c r="BJ107" i="3"/>
  <c r="BI110" i="3"/>
  <c r="BG114" i="3"/>
  <c r="BK116" i="3"/>
  <c r="V124" i="3"/>
  <c r="BI22" i="3"/>
  <c r="BI25" i="3" s="1"/>
  <c r="P113" i="3"/>
  <c r="P115" i="3" s="1"/>
  <c r="P116" i="3" s="1"/>
  <c r="P7" i="3" s="1"/>
  <c r="AX16" i="3"/>
  <c r="AX22" i="3" s="1"/>
  <c r="AX25" i="3" s="1"/>
  <c r="F124" i="3"/>
  <c r="AQ19" i="3"/>
  <c r="AQ22" i="3" s="1"/>
  <c r="AQ25" i="3" s="1"/>
  <c r="E5" i="3"/>
  <c r="AV19" i="3"/>
  <c r="M5" i="3"/>
  <c r="W123" i="3"/>
  <c r="W124" i="3" s="1"/>
  <c r="AB124" i="3"/>
  <c r="AA5" i="3"/>
  <c r="N113" i="3"/>
  <c r="N115" i="3" s="1"/>
  <c r="AV17" i="3"/>
  <c r="AV22" i="3" s="1"/>
  <c r="AV25" i="3" s="1"/>
  <c r="BE19" i="3"/>
  <c r="BE22" i="3" s="1"/>
  <c r="BE25" i="3" s="1"/>
  <c r="X124" i="3"/>
  <c r="W5" i="3"/>
  <c r="I123" i="3"/>
  <c r="AS23" i="3" s="1"/>
  <c r="Q123" i="3"/>
  <c r="AY23" i="3" s="1"/>
  <c r="AF124" i="3"/>
  <c r="AN147" i="3"/>
  <c r="AO147" i="3" s="1"/>
  <c r="AR16" i="3"/>
  <c r="AR22" i="3" s="1"/>
  <c r="AR25" i="3" s="1"/>
  <c r="G113" i="3"/>
  <c r="G115" i="3" s="1"/>
  <c r="G116" i="3" s="1"/>
  <c r="G7" i="3" s="1"/>
  <c r="C113" i="3"/>
  <c r="C115" i="3" s="1"/>
  <c r="C116" i="3" s="1"/>
  <c r="C7" i="3" s="1"/>
  <c r="AH92" i="3"/>
  <c r="AC124" i="3"/>
  <c r="AB5" i="3"/>
  <c r="N123" i="3"/>
  <c r="AV23" i="3" s="1"/>
  <c r="AA171" i="3"/>
  <c r="AB171" i="3" s="1"/>
  <c r="AC171" i="3" s="1"/>
  <c r="AD171" i="3" s="1"/>
  <c r="AE171" i="3" s="1"/>
  <c r="AF171" i="3" s="1"/>
  <c r="Z135" i="3"/>
  <c r="AD113" i="3"/>
  <c r="AD115" i="3" s="1"/>
  <c r="AD116" i="3" s="1"/>
  <c r="AD7" i="3" s="1"/>
  <c r="O178" i="3"/>
  <c r="B113" i="3"/>
  <c r="AI71" i="3"/>
  <c r="J113" i="3"/>
  <c r="J115" i="3" s="1"/>
  <c r="J116" i="3" s="1"/>
  <c r="J7" i="3" s="1"/>
  <c r="R113" i="3"/>
  <c r="R115" i="3" s="1"/>
  <c r="R116" i="3" s="1"/>
  <c r="R7" i="3" s="1"/>
  <c r="AZ16" i="3"/>
  <c r="AZ22" i="3" s="1"/>
  <c r="AZ25" i="3" s="1"/>
  <c r="Z113" i="3"/>
  <c r="Z115" i="3" s="1"/>
  <c r="Z116" i="3" s="1"/>
  <c r="Z7" i="3" s="1"/>
  <c r="AH71" i="3"/>
  <c r="K124" i="3"/>
  <c r="C275" i="3"/>
  <c r="D275" i="3"/>
  <c r="E170" i="3"/>
  <c r="D162" i="3"/>
  <c r="N116" i="2" l="1"/>
  <c r="N7" i="2" s="1"/>
  <c r="AV25" i="2"/>
  <c r="N124" i="2"/>
  <c r="AU22" i="2"/>
  <c r="AU25" i="2" s="1"/>
  <c r="J116" i="2"/>
  <c r="J7" i="2" s="1"/>
  <c r="AR25" i="2"/>
  <c r="G124" i="2"/>
  <c r="G116" i="2"/>
  <c r="G7" i="2" s="1"/>
  <c r="D124" i="2"/>
  <c r="AO25" i="2"/>
  <c r="D116" i="2"/>
  <c r="D7" i="2" s="1"/>
  <c r="AM22" i="2"/>
  <c r="AN25" i="1"/>
  <c r="AT8" i="1"/>
  <c r="D168" i="3"/>
  <c r="E162" i="3"/>
  <c r="D135" i="3"/>
  <c r="Q116" i="3"/>
  <c r="Q7" i="3" s="1"/>
  <c r="AI123" i="3"/>
  <c r="AS22" i="2"/>
  <c r="AS25" i="2" s="1"/>
  <c r="BI118" i="2"/>
  <c r="BG117" i="2"/>
  <c r="BK115" i="2"/>
  <c r="BI114" i="2"/>
  <c r="BG113" i="2"/>
  <c r="BK111" i="2"/>
  <c r="BI110" i="2"/>
  <c r="BG109" i="2"/>
  <c r="BK107" i="2"/>
  <c r="BI106" i="2"/>
  <c r="BG105" i="2"/>
  <c r="BK103" i="2"/>
  <c r="BI102" i="2"/>
  <c r="BG101" i="2"/>
  <c r="BK99" i="2"/>
  <c r="BI98" i="2"/>
  <c r="BG97" i="2"/>
  <c r="BK95" i="2"/>
  <c r="BK117" i="2"/>
  <c r="BI116" i="2"/>
  <c r="BG115" i="2"/>
  <c r="BK113" i="2"/>
  <c r="BI112" i="2"/>
  <c r="BG111" i="2"/>
  <c r="BK109" i="2"/>
  <c r="BI108" i="2"/>
  <c r="BG107" i="2"/>
  <c r="BK105" i="2"/>
  <c r="BI104" i="2"/>
  <c r="BG103" i="2"/>
  <c r="BK101" i="2"/>
  <c r="BI100" i="2"/>
  <c r="BG99" i="2"/>
  <c r="BK97" i="2"/>
  <c r="BI96" i="2"/>
  <c r="BG95" i="2"/>
  <c r="BK118" i="2"/>
  <c r="BI117" i="2"/>
  <c r="BG116" i="2"/>
  <c r="BK114" i="2"/>
  <c r="BI113" i="2"/>
  <c r="BG112" i="2"/>
  <c r="BK110" i="2"/>
  <c r="BI109" i="2"/>
  <c r="BG108" i="2"/>
  <c r="BK106" i="2"/>
  <c r="BI105" i="2"/>
  <c r="BG104" i="2"/>
  <c r="BK102" i="2"/>
  <c r="BI101" i="2"/>
  <c r="BG100" i="2"/>
  <c r="BK98" i="2"/>
  <c r="BI97" i="2"/>
  <c r="BG96" i="2"/>
  <c r="BJ118" i="2"/>
  <c r="BJ116" i="2"/>
  <c r="BH114" i="2"/>
  <c r="BH112" i="2"/>
  <c r="BG110" i="2"/>
  <c r="BL107" i="2"/>
  <c r="BL105" i="2"/>
  <c r="BJ103" i="2"/>
  <c r="BJ101" i="2"/>
  <c r="BI99" i="2"/>
  <c r="BH97" i="2"/>
  <c r="BH95" i="2"/>
  <c r="BL116" i="2"/>
  <c r="BL114" i="2"/>
  <c r="BK112" i="2"/>
  <c r="BJ110" i="2"/>
  <c r="BJ108" i="2"/>
  <c r="BH106" i="2"/>
  <c r="BH104" i="2"/>
  <c r="BG102" i="2"/>
  <c r="BL99" i="2"/>
  <c r="BL97" i="2"/>
  <c r="BJ95" i="2"/>
  <c r="BL117" i="2"/>
  <c r="BH115" i="2"/>
  <c r="BL111" i="2"/>
  <c r="BH109" i="2"/>
  <c r="BJ106" i="2"/>
  <c r="BI103" i="2"/>
  <c r="BK100" i="2"/>
  <c r="BG98" i="2"/>
  <c r="BH116" i="2"/>
  <c r="BJ113" i="2"/>
  <c r="BL110" i="2"/>
  <c r="BJ107" i="2"/>
  <c r="BL104" i="2"/>
  <c r="BH102" i="2"/>
  <c r="BH99" i="2"/>
  <c r="BJ96" i="2"/>
  <c r="BL118" i="2"/>
  <c r="BL115" i="2"/>
  <c r="BH113" i="2"/>
  <c r="BH110" i="2"/>
  <c r="BI107" i="2"/>
  <c r="BK104" i="2"/>
  <c r="BL101" i="2"/>
  <c r="BL98" i="2"/>
  <c r="BH96" i="2"/>
  <c r="BJ115" i="2"/>
  <c r="BI111" i="2"/>
  <c r="BL106" i="2"/>
  <c r="BJ102" i="2"/>
  <c r="BJ97" i="2"/>
  <c r="BI115" i="2"/>
  <c r="BH111" i="2"/>
  <c r="BG106" i="2"/>
  <c r="BH101" i="2"/>
  <c r="BL96" i="2"/>
  <c r="BJ114" i="2"/>
  <c r="BL109" i="2"/>
  <c r="BJ105" i="2"/>
  <c r="BL100" i="2"/>
  <c r="BK96" i="2"/>
  <c r="BH118" i="2"/>
  <c r="BG114" i="2"/>
  <c r="BJ109" i="2"/>
  <c r="BH105" i="2"/>
  <c r="BJ100" i="2"/>
  <c r="BL95" i="2"/>
  <c r="BH117" i="2"/>
  <c r="BJ112" i="2"/>
  <c r="BH108" i="2"/>
  <c r="BH103" i="2"/>
  <c r="BJ98" i="2"/>
  <c r="BK116" i="2"/>
  <c r="BJ111" i="2"/>
  <c r="BH107" i="2"/>
  <c r="BL102" i="2"/>
  <c r="BH98" i="2"/>
  <c r="BL103" i="2"/>
  <c r="BG118" i="2"/>
  <c r="BH100" i="2"/>
  <c r="BJ117" i="2"/>
  <c r="BJ99" i="2"/>
  <c r="BJ104" i="2"/>
  <c r="BL113" i="2"/>
  <c r="BI95" i="2"/>
  <c r="BL112" i="2"/>
  <c r="BL108" i="2"/>
  <c r="BK108" i="2"/>
  <c r="BI22" i="2"/>
  <c r="BE25" i="2"/>
  <c r="E275" i="3"/>
  <c r="F170" i="3"/>
  <c r="I124" i="3"/>
  <c r="AI124" i="3" s="1"/>
  <c r="I116" i="3"/>
  <c r="I7" i="3" s="1"/>
  <c r="H116" i="3"/>
  <c r="H7" i="3" s="1"/>
  <c r="AH123" i="3"/>
  <c r="F275" i="1"/>
  <c r="G170" i="1"/>
  <c r="AW22" i="2"/>
  <c r="AW25" i="2" s="1"/>
  <c r="AT9" i="1"/>
  <c r="AS25" i="3"/>
  <c r="E162" i="2"/>
  <c r="D168" i="2"/>
  <c r="AJ123" i="3" a="1"/>
  <c r="AJ123" i="3" s="1"/>
  <c r="I178" i="2"/>
  <c r="N116" i="3"/>
  <c r="N7" i="3" s="1"/>
  <c r="AY25" i="3"/>
  <c r="BB22" i="3"/>
  <c r="BB25" i="3" s="1"/>
  <c r="G170" i="2"/>
  <c r="F275" i="2"/>
  <c r="BI23" i="2"/>
  <c r="AE124" i="2"/>
  <c r="AH113" i="3"/>
  <c r="AI113" i="3"/>
  <c r="B115" i="3"/>
  <c r="R124" i="3"/>
  <c r="G261" i="2"/>
  <c r="AM23" i="2"/>
  <c r="AH123" i="2"/>
  <c r="AJ123" i="2" a="1"/>
  <c r="AJ123" i="2" s="1"/>
  <c r="AI123" i="2"/>
  <c r="B115" i="1"/>
  <c r="AH113" i="1"/>
  <c r="AI113" i="1"/>
  <c r="J178" i="1"/>
  <c r="P178" i="3"/>
  <c r="Q178" i="3" s="1"/>
  <c r="AF116" i="3"/>
  <c r="AF7" i="3" s="1"/>
  <c r="AZ25" i="2"/>
  <c r="AI124" i="1"/>
  <c r="AH124" i="1"/>
  <c r="F168" i="1"/>
  <c r="G162" i="1"/>
  <c r="N124" i="3"/>
  <c r="AH124" i="3" s="1"/>
  <c r="Q124" i="3"/>
  <c r="AI113" i="2"/>
  <c r="AH113" i="2"/>
  <c r="AM25" i="3"/>
  <c r="AT9" i="3" s="1"/>
  <c r="AT8" i="3"/>
  <c r="W116" i="3"/>
  <c r="W7" i="3" s="1"/>
  <c r="AE116" i="2"/>
  <c r="AE7" i="2" s="1"/>
  <c r="AT8" i="2" l="1"/>
  <c r="AM25" i="2"/>
  <c r="R178" i="3"/>
  <c r="E168" i="2"/>
  <c r="F162" i="2"/>
  <c r="H162" i="1"/>
  <c r="G168" i="1"/>
  <c r="G135" i="1"/>
  <c r="K178" i="1"/>
  <c r="F275" i="3"/>
  <c r="G170" i="3"/>
  <c r="F162" i="3"/>
  <c r="E168" i="3"/>
  <c r="E135" i="3"/>
  <c r="AH115" i="2"/>
  <c r="AI115" i="2"/>
  <c r="H261" i="2"/>
  <c r="J178" i="2"/>
  <c r="H170" i="1"/>
  <c r="G275" i="1"/>
  <c r="AI115" i="1"/>
  <c r="AH115" i="1"/>
  <c r="B116" i="1"/>
  <c r="G275" i="2"/>
  <c r="H170" i="2"/>
  <c r="BI25" i="2"/>
  <c r="AT9" i="2" s="1"/>
  <c r="AH124" i="2"/>
  <c r="AI124" i="2"/>
  <c r="AI115" i="3"/>
  <c r="B116" i="3"/>
  <c r="AH115" i="3"/>
  <c r="G162" i="3" l="1"/>
  <c r="F135" i="3"/>
  <c r="F168" i="3"/>
  <c r="G275" i="3"/>
  <c r="H170" i="3"/>
  <c r="H168" i="1"/>
  <c r="I162" i="1"/>
  <c r="H135" i="1"/>
  <c r="G162" i="2"/>
  <c r="F168" i="2"/>
  <c r="I261" i="2"/>
  <c r="AI116" i="2"/>
  <c r="AH116" i="2"/>
  <c r="B7" i="2"/>
  <c r="A7" i="2" s="1"/>
  <c r="L178" i="1"/>
  <c r="K178" i="2"/>
  <c r="AH116" i="3"/>
  <c r="AI116" i="3"/>
  <c r="B7" i="3"/>
  <c r="A7" i="3" s="1"/>
  <c r="H275" i="1"/>
  <c r="I170" i="1"/>
  <c r="S178" i="3"/>
  <c r="H275" i="2"/>
  <c r="I170" i="2"/>
  <c r="B7" i="1"/>
  <c r="A7" i="1" s="1"/>
  <c r="AH116" i="1"/>
  <c r="AI116" i="1"/>
  <c r="I275" i="2" l="1"/>
  <c r="J170" i="2"/>
  <c r="H275" i="3"/>
  <c r="I170" i="3"/>
  <c r="J261" i="2"/>
  <c r="L178" i="2"/>
  <c r="T178" i="3"/>
  <c r="J170" i="1"/>
  <c r="I275" i="1"/>
  <c r="M178" i="1"/>
  <c r="G168" i="2"/>
  <c r="H162" i="2"/>
  <c r="G135" i="2"/>
  <c r="G168" i="3"/>
  <c r="H162" i="3"/>
  <c r="G135" i="3"/>
  <c r="J162" i="1"/>
  <c r="I168" i="1"/>
  <c r="I135" i="1"/>
  <c r="J168" i="1" l="1"/>
  <c r="K162" i="1"/>
  <c r="J135" i="1"/>
  <c r="M178" i="2"/>
  <c r="N178" i="1"/>
  <c r="K261" i="2"/>
  <c r="H168" i="3"/>
  <c r="I162" i="3"/>
  <c r="H135" i="3"/>
  <c r="J275" i="1"/>
  <c r="K170" i="1"/>
  <c r="I275" i="3"/>
  <c r="J170" i="3"/>
  <c r="K170" i="2"/>
  <c r="J275" i="2"/>
  <c r="H168" i="2"/>
  <c r="I162" i="2"/>
  <c r="H135" i="2"/>
  <c r="U178" i="3"/>
  <c r="I168" i="2" l="1"/>
  <c r="J162" i="2"/>
  <c r="I135" i="2"/>
  <c r="K275" i="1"/>
  <c r="L170" i="1"/>
  <c r="O178" i="1"/>
  <c r="N178" i="2"/>
  <c r="J162" i="3"/>
  <c r="I168" i="3"/>
  <c r="I135" i="3"/>
  <c r="L162" i="1"/>
  <c r="K168" i="1"/>
  <c r="K135" i="1"/>
  <c r="K275" i="2"/>
  <c r="L170" i="2"/>
  <c r="V178" i="3"/>
  <c r="J275" i="3"/>
  <c r="K170" i="3"/>
  <c r="L261" i="2"/>
  <c r="M261" i="2" l="1"/>
  <c r="P178" i="1"/>
  <c r="Q178" i="1" s="1"/>
  <c r="O178" i="2"/>
  <c r="K275" i="3"/>
  <c r="L170" i="3"/>
  <c r="M162" i="1"/>
  <c r="L168" i="1"/>
  <c r="L135" i="1"/>
  <c r="M170" i="1"/>
  <c r="L275" i="1"/>
  <c r="W178" i="3"/>
  <c r="J168" i="3"/>
  <c r="K162" i="3"/>
  <c r="J135" i="3"/>
  <c r="K162" i="2"/>
  <c r="J168" i="2"/>
  <c r="J135" i="2"/>
  <c r="L275" i="2"/>
  <c r="M170" i="2"/>
  <c r="M275" i="2" l="1"/>
  <c r="N170" i="2"/>
  <c r="X178" i="3"/>
  <c r="P178" i="2"/>
  <c r="Q178" i="2" s="1"/>
  <c r="M275" i="1"/>
  <c r="N170" i="1"/>
  <c r="L162" i="2"/>
  <c r="K168" i="2"/>
  <c r="K135" i="2"/>
  <c r="R178" i="1"/>
  <c r="L275" i="3"/>
  <c r="M170" i="3"/>
  <c r="K168" i="3"/>
  <c r="L162" i="3"/>
  <c r="K135" i="3"/>
  <c r="N162" i="1"/>
  <c r="M168" i="1"/>
  <c r="M135" i="1"/>
  <c r="N261" i="2"/>
  <c r="N275" i="1" l="1"/>
  <c r="O170" i="1"/>
  <c r="M275" i="3"/>
  <c r="N170" i="3"/>
  <c r="O261" i="2"/>
  <c r="R178" i="2"/>
  <c r="S178" i="1"/>
  <c r="O162" i="1"/>
  <c r="N168" i="1"/>
  <c r="N135" i="1"/>
  <c r="Y178" i="3"/>
  <c r="Z178" i="3" s="1"/>
  <c r="AA178" i="3" s="1"/>
  <c r="N275" i="2"/>
  <c r="O170" i="2"/>
  <c r="L168" i="3"/>
  <c r="M162" i="3"/>
  <c r="L135" i="3"/>
  <c r="M162" i="2"/>
  <c r="L168" i="2"/>
  <c r="L135" i="2"/>
  <c r="S178" i="2" l="1"/>
  <c r="AB178" i="3"/>
  <c r="M168" i="2"/>
  <c r="N162" i="2"/>
  <c r="M135" i="2"/>
  <c r="P261" i="2"/>
  <c r="Q261" i="2" s="1"/>
  <c r="N275" i="3"/>
  <c r="O170" i="3"/>
  <c r="M168" i="3"/>
  <c r="N162" i="3"/>
  <c r="M135" i="3"/>
  <c r="O168" i="1"/>
  <c r="P162" i="1"/>
  <c r="O135" i="1"/>
  <c r="P170" i="1"/>
  <c r="O275" i="1"/>
  <c r="O275" i="2"/>
  <c r="P170" i="2"/>
  <c r="T178" i="1"/>
  <c r="Q162" i="1" l="1"/>
  <c r="P168" i="1"/>
  <c r="R261" i="2"/>
  <c r="U178" i="1"/>
  <c r="O162" i="2"/>
  <c r="N168" i="2"/>
  <c r="N135" i="2"/>
  <c r="P275" i="2"/>
  <c r="Q170" i="2"/>
  <c r="O162" i="3"/>
  <c r="N168" i="3"/>
  <c r="N135" i="3"/>
  <c r="O275" i="3"/>
  <c r="P170" i="3"/>
  <c r="AC178" i="3"/>
  <c r="P275" i="1"/>
  <c r="Q170" i="1"/>
  <c r="T178" i="2"/>
  <c r="P162" i="2" l="1"/>
  <c r="O168" i="2"/>
  <c r="O135" i="2"/>
  <c r="V178" i="1"/>
  <c r="U178" i="2"/>
  <c r="Q275" i="1"/>
  <c r="R170" i="1"/>
  <c r="O168" i="3"/>
  <c r="P162" i="3"/>
  <c r="O135" i="3"/>
  <c r="Q275" i="2"/>
  <c r="R170" i="2"/>
  <c r="S261" i="2"/>
  <c r="P275" i="3"/>
  <c r="Q170" i="3"/>
  <c r="AD178" i="3"/>
  <c r="R162" i="1"/>
  <c r="Q168" i="1"/>
  <c r="Q135" i="1"/>
  <c r="T261" i="2" l="1"/>
  <c r="R275" i="2"/>
  <c r="S170" i="2"/>
  <c r="V178" i="2"/>
  <c r="R168" i="1"/>
  <c r="S162" i="1"/>
  <c r="R135" i="1"/>
  <c r="W178" i="1"/>
  <c r="AE178" i="3"/>
  <c r="P168" i="3"/>
  <c r="Q162" i="3"/>
  <c r="Q275" i="3"/>
  <c r="R170" i="3"/>
  <c r="R275" i="1"/>
  <c r="S170" i="1"/>
  <c r="P168" i="2"/>
  <c r="Q162" i="2"/>
  <c r="S168" i="1" l="1"/>
  <c r="T162" i="1"/>
  <c r="S135" i="1"/>
  <c r="R162" i="3"/>
  <c r="Q168" i="3"/>
  <c r="Q135" i="3"/>
  <c r="Q168" i="2"/>
  <c r="R162" i="2"/>
  <c r="Q135" i="2"/>
  <c r="W178" i="2"/>
  <c r="AF178" i="3"/>
  <c r="S275" i="2"/>
  <c r="T170" i="2"/>
  <c r="S275" i="1"/>
  <c r="T170" i="1"/>
  <c r="X178" i="1"/>
  <c r="R275" i="3"/>
  <c r="S170" i="3"/>
  <c r="U261" i="2"/>
  <c r="R168" i="3" l="1"/>
  <c r="S162" i="3"/>
  <c r="R135" i="3"/>
  <c r="S275" i="3"/>
  <c r="T170" i="3"/>
  <c r="Y178" i="1"/>
  <c r="X178" i="2"/>
  <c r="U162" i="1"/>
  <c r="T168" i="1"/>
  <c r="T135" i="1"/>
  <c r="R168" i="2"/>
  <c r="S162" i="2"/>
  <c r="R135" i="2"/>
  <c r="T275" i="2"/>
  <c r="U170" i="2"/>
  <c r="V261" i="2"/>
  <c r="U170" i="1"/>
  <c r="T275" i="1"/>
  <c r="S168" i="2" l="1"/>
  <c r="T162" i="2"/>
  <c r="S135" i="2"/>
  <c r="V170" i="1"/>
  <c r="U275" i="1"/>
  <c r="T275" i="3"/>
  <c r="U170" i="3"/>
  <c r="W261" i="2"/>
  <c r="V162" i="1"/>
  <c r="U168" i="1"/>
  <c r="U135" i="1"/>
  <c r="S168" i="3"/>
  <c r="T162" i="3"/>
  <c r="S135" i="3"/>
  <c r="Z178" i="1"/>
  <c r="U275" i="2"/>
  <c r="V170" i="2"/>
  <c r="Y178" i="2"/>
  <c r="Z178" i="2" s="1"/>
  <c r="AA178" i="2" s="1"/>
  <c r="U275" i="3" l="1"/>
  <c r="V170" i="3"/>
  <c r="X261" i="2"/>
  <c r="AB178" i="2"/>
  <c r="V275" i="1"/>
  <c r="W170" i="1"/>
  <c r="AA178" i="1"/>
  <c r="T168" i="3"/>
  <c r="U162" i="3"/>
  <c r="T135" i="3"/>
  <c r="V275" i="2"/>
  <c r="W170" i="2"/>
  <c r="W162" i="1"/>
  <c r="V168" i="1"/>
  <c r="V135" i="1"/>
  <c r="U162" i="2"/>
  <c r="T168" i="2"/>
  <c r="T135" i="2"/>
  <c r="X170" i="1" l="1"/>
  <c r="W275" i="1"/>
  <c r="W275" i="2"/>
  <c r="X170" i="2"/>
  <c r="AC178" i="2"/>
  <c r="Y261" i="2"/>
  <c r="Z261" i="2" s="1"/>
  <c r="AA261" i="2" s="1"/>
  <c r="X162" i="1"/>
  <c r="W168" i="1"/>
  <c r="W135" i="1"/>
  <c r="V162" i="3"/>
  <c r="U168" i="3"/>
  <c r="U135" i="3"/>
  <c r="U168" i="2"/>
  <c r="V162" i="2"/>
  <c r="U135" i="2"/>
  <c r="V275" i="3"/>
  <c r="W170" i="3"/>
  <c r="AB178" i="1"/>
  <c r="AD178" i="2" l="1"/>
  <c r="AC178" i="1"/>
  <c r="W162" i="3"/>
  <c r="V168" i="3"/>
  <c r="V135" i="3"/>
  <c r="X275" i="2"/>
  <c r="Y170" i="2"/>
  <c r="W162" i="2"/>
  <c r="V168" i="2"/>
  <c r="V135" i="2"/>
  <c r="AB261" i="2"/>
  <c r="W275" i="3"/>
  <c r="X170" i="3"/>
  <c r="X168" i="1"/>
  <c r="Y162" i="1"/>
  <c r="X135" i="1"/>
  <c r="X275" i="1"/>
  <c r="Y170" i="1"/>
  <c r="X275" i="3" l="1"/>
  <c r="Y170" i="3"/>
  <c r="Y275" i="1"/>
  <c r="Z170" i="1"/>
  <c r="AC261" i="2"/>
  <c r="W168" i="3"/>
  <c r="X162" i="3"/>
  <c r="W135" i="3"/>
  <c r="AD178" i="1"/>
  <c r="Z162" i="1"/>
  <c r="Y168" i="1"/>
  <c r="Y135" i="1"/>
  <c r="X162" i="2"/>
  <c r="W168" i="2"/>
  <c r="W135" i="2"/>
  <c r="Y275" i="2"/>
  <c r="Z170" i="2"/>
  <c r="AE178" i="2"/>
  <c r="AD261" i="2" l="1"/>
  <c r="AF178" i="2"/>
  <c r="Z168" i="1"/>
  <c r="AA162" i="1"/>
  <c r="Z135" i="1"/>
  <c r="Z275" i="1"/>
  <c r="AA170" i="1"/>
  <c r="AA170" i="2"/>
  <c r="Z275" i="2"/>
  <c r="X168" i="3"/>
  <c r="Y162" i="3"/>
  <c r="X135" i="3"/>
  <c r="X168" i="2"/>
  <c r="Y162" i="2"/>
  <c r="X135" i="2"/>
  <c r="AE178" i="1"/>
  <c r="Y275" i="3"/>
  <c r="Z170" i="3"/>
  <c r="Y168" i="2" l="1"/>
  <c r="Z162" i="2"/>
  <c r="AA275" i="2"/>
  <c r="AB170" i="2"/>
  <c r="AA168" i="1"/>
  <c r="AB162" i="1"/>
  <c r="AA135" i="1"/>
  <c r="Z275" i="3"/>
  <c r="AA170" i="3"/>
  <c r="Z162" i="3"/>
  <c r="Y168" i="3"/>
  <c r="AF178" i="1"/>
  <c r="AA275" i="1"/>
  <c r="AB170" i="1"/>
  <c r="AE261" i="2"/>
  <c r="AB275" i="2" l="1"/>
  <c r="AC170" i="2"/>
  <c r="AB275" i="1"/>
  <c r="AC170" i="1"/>
  <c r="Z168" i="3"/>
  <c r="AA162" i="3"/>
  <c r="AA275" i="3"/>
  <c r="AB170" i="3"/>
  <c r="Z168" i="2"/>
  <c r="AA162" i="2"/>
  <c r="AB168" i="1"/>
  <c r="AC162" i="1"/>
  <c r="AB135" i="1"/>
  <c r="AF261" i="2"/>
  <c r="AA168" i="3" l="1"/>
  <c r="AB162" i="3"/>
  <c r="AA135" i="3"/>
  <c r="AC168" i="1"/>
  <c r="AD162" i="1"/>
  <c r="AC135" i="1"/>
  <c r="AC275" i="1"/>
  <c r="AD170" i="1"/>
  <c r="AA168" i="2"/>
  <c r="AB162" i="2"/>
  <c r="AA135" i="2"/>
  <c r="AD170" i="2"/>
  <c r="AC275" i="2"/>
  <c r="AB275" i="3"/>
  <c r="AC170" i="3"/>
  <c r="AE162" i="1" l="1"/>
  <c r="AD168" i="1"/>
  <c r="AD135" i="1"/>
  <c r="AD275" i="2"/>
  <c r="AE170" i="2"/>
  <c r="AC162" i="3"/>
  <c r="AB168" i="3"/>
  <c r="AB135" i="3"/>
  <c r="AC275" i="3"/>
  <c r="AD170" i="3"/>
  <c r="AC162" i="2"/>
  <c r="AB168" i="2"/>
  <c r="AB135" i="2"/>
  <c r="AD275" i="1"/>
  <c r="AE170" i="1"/>
  <c r="AE275" i="2" l="1"/>
  <c r="AF170" i="2"/>
  <c r="AF275" i="2" s="1"/>
  <c r="AF170" i="1"/>
  <c r="AF275" i="1" s="1"/>
  <c r="AE275" i="1"/>
  <c r="AD162" i="3"/>
  <c r="AC168" i="3"/>
  <c r="AC135" i="3"/>
  <c r="AC168" i="2"/>
  <c r="AD162" i="2"/>
  <c r="AC135" i="2"/>
  <c r="AD275" i="3"/>
  <c r="AE170" i="3"/>
  <c r="AF162" i="1"/>
  <c r="AE168" i="1"/>
  <c r="AE135" i="1"/>
  <c r="AF168" i="1" l="1"/>
  <c r="AF135" i="1"/>
  <c r="AE162" i="3"/>
  <c r="AD168" i="3"/>
  <c r="AD135" i="3"/>
  <c r="AE275" i="3"/>
  <c r="AF170" i="3"/>
  <c r="AF275" i="3" s="1"/>
  <c r="AD168" i="2"/>
  <c r="AE162" i="2"/>
  <c r="AD135" i="2"/>
  <c r="AE168" i="3" l="1"/>
  <c r="AF162" i="3"/>
  <c r="AE135" i="3"/>
  <c r="AH135" i="1"/>
  <c r="AI135" i="1"/>
  <c r="AF162" i="2"/>
  <c r="AE168" i="2"/>
  <c r="AE135" i="2"/>
  <c r="AF168" i="2" l="1"/>
  <c r="AF135" i="2"/>
  <c r="AF168" i="3"/>
  <c r="AF135" i="3"/>
  <c r="AI135" i="2" l="1"/>
  <c r="AH135" i="2"/>
  <c r="AI135" i="3"/>
  <c r="AH135" i="3"/>
</calcChain>
</file>

<file path=xl/comments1.xml><?xml version="1.0" encoding="utf-8"?>
<comments xmlns="http://schemas.openxmlformats.org/spreadsheetml/2006/main">
  <authors>
    <author>Author</author>
  </authors>
  <commentList>
    <comment ref="A2" authorId="0" shapeId="0">
      <text>
        <r>
          <rPr>
            <b/>
            <sz val="9"/>
            <rFont val="Tahoma"/>
            <family val="2"/>
          </rPr>
          <t xml:space="preserve">Load Supply Group
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A2" authorId="0" shapeId="0">
      <text>
        <r>
          <rPr>
            <b/>
            <sz val="9"/>
            <rFont val="Tahoma"/>
            <family val="2"/>
          </rPr>
          <t xml:space="preserve">Load Supply Group
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A2" authorId="0" shapeId="0">
      <text>
        <r>
          <rPr>
            <b/>
            <sz val="9"/>
            <rFont val="Tahoma"/>
            <family val="2"/>
          </rPr>
          <t xml:space="preserve">Load Supply Group
</t>
        </r>
      </text>
    </comment>
  </commentList>
</comments>
</file>

<file path=xl/sharedStrings.xml><?xml version="1.0" encoding="utf-8"?>
<sst xmlns="http://schemas.openxmlformats.org/spreadsheetml/2006/main" count="1058" uniqueCount="328">
  <si>
    <t xml:space="preserve">LOAD DISPATCH  CENTRE,  NEPAL   ELECTRICITY   AUTHORITY
DAILY SYSTEM OPERATION LOG  FOR INPS </t>
  </si>
  <si>
    <t>Installed Capacity (MW)</t>
  </si>
  <si>
    <t>Bhai</t>
  </si>
  <si>
    <t>Sim</t>
  </si>
  <si>
    <t>Ktm</t>
  </si>
  <si>
    <t>Brt</t>
  </si>
  <si>
    <t>Rainfall</t>
  </si>
  <si>
    <t>IPP</t>
  </si>
  <si>
    <t>* other ipp reduced to 210 due to addition of rudi khola a in log sheet</t>
  </si>
  <si>
    <t>llkkjmj</t>
  </si>
  <si>
    <t>NEA RoR</t>
  </si>
  <si>
    <t>Nepali Date:</t>
  </si>
  <si>
    <t>NEA Storage</t>
  </si>
  <si>
    <t>Total Hydro</t>
  </si>
  <si>
    <t>Night Shift(Contd..)</t>
  </si>
  <si>
    <t>Morning Shift</t>
  </si>
  <si>
    <t>Day Shift</t>
  </si>
  <si>
    <t>Night Shift</t>
  </si>
  <si>
    <t xml:space="preserve">                              Hrs.               Source</t>
  </si>
  <si>
    <t>Max</t>
  </si>
  <si>
    <t>Min</t>
  </si>
  <si>
    <t>Solu Khola (Dudhkoshi) (86)</t>
  </si>
  <si>
    <t>Lower Solu (82)</t>
  </si>
  <si>
    <t>Sanjen Khola(Salasungi) (78)</t>
  </si>
  <si>
    <t>Likhu-1 (77)</t>
  </si>
  <si>
    <t>Middle Tamor (73)</t>
  </si>
  <si>
    <t xml:space="preserve"> Hrs.</t>
  </si>
  <si>
    <t>Nilgiri Khola-2 Cascade (71)</t>
  </si>
  <si>
    <t>Super Dordi 'Kha' (54)</t>
  </si>
  <si>
    <t>NEA SUB</t>
  </si>
  <si>
    <t>Likhu-2 (52.465)</t>
  </si>
  <si>
    <t>NEA ROR PROR</t>
  </si>
  <si>
    <t>Likhu-IV (52.4)</t>
  </si>
  <si>
    <t>IMPORT</t>
  </si>
  <si>
    <t>Upper Marsyangdi "A" (50)</t>
  </si>
  <si>
    <t>NEA STORAGE</t>
  </si>
  <si>
    <t>Upper Bhotekoshi Khola (45)</t>
  </si>
  <si>
    <t>INTERRUPTION</t>
  </si>
  <si>
    <t>Super Madi (44)</t>
  </si>
  <si>
    <t>System_Load</t>
  </si>
  <si>
    <t>Mistri Khola (42)</t>
  </si>
  <si>
    <t>Export</t>
  </si>
  <si>
    <t>Upper Chameliya (40)</t>
  </si>
  <si>
    <t>Upper Kalangagad (38.46)</t>
  </si>
  <si>
    <t>National_Load</t>
  </si>
  <si>
    <t>Nilgiri Khola (38)</t>
  </si>
  <si>
    <t>Upper Balephi A (36)</t>
  </si>
  <si>
    <t>RahughatMangale (35.5)</t>
  </si>
  <si>
    <t>Karuwa Seti (32)</t>
  </si>
  <si>
    <t>Nyadi (30)</t>
  </si>
  <si>
    <t>Likhu Khola A (29.04)</t>
  </si>
  <si>
    <t>Lower Likhu (28.1)</t>
  </si>
  <si>
    <t>Dordi Khola (27)</t>
  </si>
  <si>
    <t>Kabeli B-1 (25)</t>
  </si>
  <si>
    <t>Seti Nadi (25)</t>
  </si>
  <si>
    <t>Singati Khola (25)</t>
  </si>
  <si>
    <t>Upper Dordi A (25)</t>
  </si>
  <si>
    <t>Upper Madi (25)</t>
  </si>
  <si>
    <t>Solu Khola (23.5)</t>
  </si>
  <si>
    <t>Upper Chaku A (22.2)</t>
  </si>
  <si>
    <t>Tallo Hewa Khola (22.1)</t>
  </si>
  <si>
    <t>Bagmati Khola Small (22)</t>
  </si>
  <si>
    <t>Mai Khola(Sanima) (22)</t>
  </si>
  <si>
    <t>Kabeli-3 (21.93)</t>
  </si>
  <si>
    <t>ThuloKhola (21.3)</t>
  </si>
  <si>
    <t>Lower Modi  (20)</t>
  </si>
  <si>
    <t>Beni Solu (19.8)</t>
  </si>
  <si>
    <t>Middle Modi (18)</t>
  </si>
  <si>
    <t>Kalangagad (15.33)</t>
  </si>
  <si>
    <t>Hewa Khola A (14.9)</t>
  </si>
  <si>
    <t>Maya Khola (14.9)</t>
  </si>
  <si>
    <t>Upper Mailun (14.3)</t>
  </si>
  <si>
    <t>Ghar Khola (14)</t>
  </si>
  <si>
    <t>Thapa Khola (13.6)</t>
  </si>
  <si>
    <t>Super Kabeli A (13.5)</t>
  </si>
  <si>
    <t>Madkyu/Sikles Khola (13)</t>
  </si>
  <si>
    <t>Dordi-1 Khola (12)</t>
  </si>
  <si>
    <t>Dudhkunda Khola (12)</t>
  </si>
  <si>
    <t>Jhimruk Khola (12)</t>
  </si>
  <si>
    <t>Super Kabeli (12)</t>
  </si>
  <si>
    <t>Upper Khimti (12)</t>
  </si>
  <si>
    <t>Namarjun Madi (11.88)</t>
  </si>
  <si>
    <t>Lower Khare (11)</t>
  </si>
  <si>
    <t>Upper Tadi(Suryakunda) (11)</t>
  </si>
  <si>
    <t>Upper Sanigad (10.7)</t>
  </si>
  <si>
    <t>Down Piluwa (10.3)</t>
  </si>
  <si>
    <t>Lower Modi 1 (10)</t>
  </si>
  <si>
    <t>Makarigad (10)</t>
  </si>
  <si>
    <t>Other IPP Total</t>
  </si>
  <si>
    <t>Kabeli Corridor</t>
  </si>
  <si>
    <t>Total IPP</t>
  </si>
  <si>
    <t>Upper Tamakoshi(456)</t>
  </si>
  <si>
    <t>MBKJCL(102)</t>
  </si>
  <si>
    <t>Khimti Khola(60)</t>
  </si>
  <si>
    <t>Sanjen(42.5)</t>
  </si>
  <si>
    <t>Chilime(22.1)</t>
  </si>
  <si>
    <t>Upper Sangen(14.8)</t>
  </si>
  <si>
    <t>Total NEA SUBSIDIARIES</t>
  </si>
  <si>
    <t>KGA(144)</t>
  </si>
  <si>
    <t>Tanakpur</t>
  </si>
  <si>
    <t>Middle MRS(70)</t>
  </si>
  <si>
    <t>Kat</t>
  </si>
  <si>
    <t>MRS(69)</t>
  </si>
  <si>
    <t>Muz</t>
  </si>
  <si>
    <t>U Trisuli 3A(60)</t>
  </si>
  <si>
    <t>Ram</t>
  </si>
  <si>
    <t>CHM(30)</t>
  </si>
  <si>
    <t>Rax</t>
  </si>
  <si>
    <t>NEA  SOLAR(25)</t>
  </si>
  <si>
    <t>Sam</t>
  </si>
  <si>
    <t>TRI(24)</t>
  </si>
  <si>
    <t>GDK(15)</t>
  </si>
  <si>
    <t>DEVI(14.1)</t>
  </si>
  <si>
    <t>MODI(14)</t>
  </si>
  <si>
    <t>SUN(10.05)</t>
  </si>
  <si>
    <t>PUWA(6.2)</t>
  </si>
  <si>
    <t>Other NEA Small</t>
  </si>
  <si>
    <t>Total ROR</t>
  </si>
  <si>
    <t>KL1(60)</t>
  </si>
  <si>
    <t>KL2(32)</t>
  </si>
  <si>
    <t>KL3(14)</t>
  </si>
  <si>
    <t>Total STORGE</t>
  </si>
  <si>
    <t>MUJAFFARPUR</t>
  </si>
  <si>
    <t>KATAIYA</t>
  </si>
  <si>
    <t xml:space="preserve">UTK Discharge Test </t>
  </si>
  <si>
    <t>RAXAUL</t>
  </si>
  <si>
    <t>RAMNAGAR</t>
  </si>
  <si>
    <t>Line1</t>
  </si>
  <si>
    <t>SAMPATIYA</t>
  </si>
  <si>
    <t>Line 2</t>
  </si>
  <si>
    <t>TANAKPUR</t>
  </si>
  <si>
    <t>BISHANPUR(33kV)</t>
  </si>
  <si>
    <t>JALESHWOR(33kV)</t>
  </si>
  <si>
    <t>NANPARA(33kV)</t>
  </si>
  <si>
    <t>RAJBIRAJ(33kV)</t>
  </si>
  <si>
    <t>RAXAUL(33kV)</t>
  </si>
  <si>
    <t>Total IMPORT</t>
  </si>
  <si>
    <t>MULTI F(39)</t>
  </si>
  <si>
    <t>HTD DI(14.41)</t>
  </si>
  <si>
    <t>MRS DI()</t>
  </si>
  <si>
    <t>Total THERMAL</t>
  </si>
  <si>
    <t>TOTAL SYSTEM LOAD (ACTUAL)</t>
  </si>
  <si>
    <t>Interruption/Tripping</t>
  </si>
  <si>
    <t>TOTAL SYSTEM LOAD (EXPECTED)</t>
  </si>
  <si>
    <t>TOTAL NATIONAL LOAD (ACTUAL)</t>
  </si>
  <si>
    <t>Total EXPORT</t>
  </si>
  <si>
    <t>NET IMPORT</t>
  </si>
  <si>
    <t>FREQUENCY &amp; VOLTAGE PROFILE</t>
  </si>
  <si>
    <t>FREQUENCY (Hz)</t>
  </si>
  <si>
    <t xml:space="preserve">ANAMANI 132KV </t>
  </si>
  <si>
    <t xml:space="preserve">DUBI 132KV </t>
  </si>
  <si>
    <t>HTD 132KV</t>
  </si>
  <si>
    <t xml:space="preserve">SUI 132KV </t>
  </si>
  <si>
    <t xml:space="preserve">KG-A 132KV </t>
  </si>
  <si>
    <t xml:space="preserve">KOHALPUR 132KV </t>
  </si>
  <si>
    <t xml:space="preserve">SUI 66KV </t>
  </si>
  <si>
    <t>Rahughat Corridor</t>
  </si>
  <si>
    <t>Rated</t>
  </si>
  <si>
    <t>DI</t>
  </si>
  <si>
    <t>Kathmandu Load</t>
  </si>
  <si>
    <t>M Thulo Kholla</t>
  </si>
  <si>
    <t>LINE FLOWS</t>
  </si>
  <si>
    <t>Thulo Khola</t>
  </si>
  <si>
    <t>MRS-SYU</t>
  </si>
  <si>
    <t>R Mangale</t>
  </si>
  <si>
    <t>NMRS-MATA I</t>
  </si>
  <si>
    <t>U Rahughat</t>
  </si>
  <si>
    <t>HETAUDA-MATA</t>
  </si>
  <si>
    <t>Total</t>
  </si>
  <si>
    <t>KL3-HETAUDA</t>
  </si>
  <si>
    <t>KL1-SYU</t>
  </si>
  <si>
    <t>KHIMTI-LAMOSANGHU</t>
  </si>
  <si>
    <t>Dordi Corridor</t>
  </si>
  <si>
    <t>LAMOSHANGU-BHAKTAPUR I</t>
  </si>
  <si>
    <t>Super Dordi</t>
  </si>
  <si>
    <t>BALAJU-SYUCHATAR</t>
  </si>
  <si>
    <t>Upper Dordi</t>
  </si>
  <si>
    <t>PATHALIYA CHAPUR 1</t>
  </si>
  <si>
    <t>Dordi 27</t>
  </si>
  <si>
    <t>DHALKE-KHIMTI I</t>
  </si>
  <si>
    <t>Dordi 12</t>
  </si>
  <si>
    <t>DAMAK-DUHABI</t>
  </si>
  <si>
    <t>DHALKE-MIRCHAIYA I</t>
  </si>
  <si>
    <t>TRI-3 HUB -MATATIRTHA I</t>
  </si>
  <si>
    <t>TRISULI-BALAJU I</t>
  </si>
  <si>
    <t>Dana Corridor</t>
  </si>
  <si>
    <t>DEVIGHAT-CHAPALI</t>
  </si>
  <si>
    <t>Nilgiri1</t>
  </si>
  <si>
    <t>Water Level</t>
  </si>
  <si>
    <t>Nilgiri2</t>
  </si>
  <si>
    <t>Mistri</t>
  </si>
  <si>
    <t>KGA (523.8 M)</t>
  </si>
  <si>
    <t>Ghar Khola</t>
  </si>
  <si>
    <t>MMRS (625.6 M)</t>
  </si>
  <si>
    <t>MRS (337.5 M)</t>
  </si>
  <si>
    <t>CHM (887.8 M)</t>
  </si>
  <si>
    <t>Khimti Corridor</t>
  </si>
  <si>
    <t>Spill Power</t>
  </si>
  <si>
    <t>Likhu 1</t>
  </si>
  <si>
    <t>SPILL (Assume Plant cap. to run @Full Gen.)</t>
  </si>
  <si>
    <t>Likhu 2</t>
  </si>
  <si>
    <t>Likhu A</t>
  </si>
  <si>
    <t>PANAUTI(2.4)</t>
  </si>
  <si>
    <t>L Likhu</t>
  </si>
  <si>
    <t>TATOPANI(2)</t>
  </si>
  <si>
    <t>Khimti</t>
  </si>
  <si>
    <t>SETI(1.5)</t>
  </si>
  <si>
    <t>Upper Khimti</t>
  </si>
  <si>
    <t>FEWA(1)</t>
  </si>
  <si>
    <t>Tallo Khare</t>
  </si>
  <si>
    <t>TINAU(1)</t>
  </si>
  <si>
    <t>Balephi</t>
  </si>
  <si>
    <t>SUNDARIJAL(0.66)</t>
  </si>
  <si>
    <t>U Bhotekoshi</t>
  </si>
  <si>
    <t>Others IPP Detail</t>
  </si>
  <si>
    <t xml:space="preserve"> </t>
  </si>
  <si>
    <t>Upper Mai Khola(9.98)</t>
  </si>
  <si>
    <t>Kabeli B-1 Cascade(9.94)</t>
  </si>
  <si>
    <t>%</t>
  </si>
  <si>
    <t>Iwa Khola(9.9)</t>
  </si>
  <si>
    <t>Sanjen</t>
  </si>
  <si>
    <t>Sipring Khola(9.658)</t>
  </si>
  <si>
    <t>M Tamor</t>
  </si>
  <si>
    <t>Super Mai 'A' (9.6)</t>
  </si>
  <si>
    <t>Mewa</t>
  </si>
  <si>
    <t>Mai Beni(9.51)</t>
  </si>
  <si>
    <t>Andhi Khola(9.4)</t>
  </si>
  <si>
    <t>Total Spill Power, MW</t>
  </si>
  <si>
    <t>Rudi Khola A(8.8)</t>
  </si>
  <si>
    <t>Naugadh gad Khola(8.5)</t>
  </si>
  <si>
    <t>Butwal Solar Project(8.5)</t>
  </si>
  <si>
    <t>Upper Hewa Khola Small(8.5)</t>
  </si>
  <si>
    <t>Ankhu Khola - 1(8.4)</t>
  </si>
  <si>
    <t>Mai sana Cascade(8)</t>
  </si>
  <si>
    <t>Upper Naugad Gad(8)</t>
  </si>
  <si>
    <t>Taksar Pikhuwa(8)</t>
  </si>
  <si>
    <t>Super Mai(7.8)</t>
  </si>
  <si>
    <t>Jogmai(7.6)</t>
  </si>
  <si>
    <t>Indrawati - III (7.5)</t>
  </si>
  <si>
    <t>Upper Khorunga(7.5)</t>
  </si>
  <si>
    <t>Mai Cascade(7)</t>
  </si>
  <si>
    <t>Molung Khola(7)</t>
  </si>
  <si>
    <t>Upper Mardi(7)</t>
  </si>
  <si>
    <t>Upper Khimti II(7)</t>
  </si>
  <si>
    <t>Rudi Khola B(6.6)</t>
  </si>
  <si>
    <t>Sapsup Khola(6.6)</t>
  </si>
  <si>
    <t>Suri Khola(6.4)</t>
  </si>
  <si>
    <t>Lower Jogmai(6.2)</t>
  </si>
  <si>
    <t>Daraudi Khola A(6)</t>
  </si>
  <si>
    <t>Upper Mai C(5.1)</t>
  </si>
  <si>
    <t>Tadi Khola (Thaprek)(5)</t>
  </si>
  <si>
    <t>Mailung Khola(5)</t>
  </si>
  <si>
    <t>Upper Hugdi Khola(5)</t>
  </si>
  <si>
    <t>Pikhuwa Khola(5)</t>
  </si>
  <si>
    <t>Ghalemdi Khola(5)</t>
  </si>
  <si>
    <t>Ghatte Khola(5)</t>
  </si>
  <si>
    <t>Belchautara Solar Project(5)</t>
  </si>
  <si>
    <t>Lower Tadi(4.993)</t>
  </si>
  <si>
    <t>Richet Khola(4.98)</t>
  </si>
  <si>
    <t>Siuri Khola(4.95)</t>
  </si>
  <si>
    <t>Phawa Khola(4.95)</t>
  </si>
  <si>
    <t>Mardi Khola(4.8)</t>
  </si>
  <si>
    <t>Padam Khola(4.8)</t>
  </si>
  <si>
    <t>Mai Khola(4.5)</t>
  </si>
  <si>
    <t>Bijayapur 2 Khola Small(4.5)</t>
  </si>
  <si>
    <t>Hewa Khola(4.455)</t>
  </si>
  <si>
    <t>Bijayapur-1(4.41)</t>
  </si>
  <si>
    <t>Radhi Khola(4.4)</t>
  </si>
  <si>
    <t>Tungun-Thosne(4.36)</t>
  </si>
  <si>
    <t>Baramchi Khola(4.2)</t>
  </si>
  <si>
    <t>Khudi Khola(4)</t>
  </si>
  <si>
    <t>Sabha Khola(4)</t>
  </si>
  <si>
    <t>Puwa Khola -1 (4)</t>
  </si>
  <si>
    <t>Sardi Khola(4)</t>
  </si>
  <si>
    <t>Chandranigahpur Solar Project(4)</t>
  </si>
  <si>
    <t>Upper Chhyangdi Khola(4)</t>
  </si>
  <si>
    <t>Super Mai Cascade(3.8)</t>
  </si>
  <si>
    <t>Dwari Khola(3.75)</t>
  </si>
  <si>
    <t>Charanawati  Khola(3.52)</t>
  </si>
  <si>
    <t>Kapadi Gad(3.33)</t>
  </si>
  <si>
    <t>Piluwa Khola Small(3)</t>
  </si>
  <si>
    <t>Chaku Khola(3)</t>
  </si>
  <si>
    <t>Bhairab Kunda(3)</t>
  </si>
  <si>
    <t>Upper Puwa -1(3)</t>
  </si>
  <si>
    <t>Midim Karapu(3)</t>
  </si>
  <si>
    <t>Upper Rawa(3)</t>
  </si>
  <si>
    <t>Everest Sugar and Chemical Industries Ltd.(3)</t>
  </si>
  <si>
    <t>Indushankar Chini Udhyog Ltd.(3)</t>
  </si>
  <si>
    <t>Dhalkebar Solar Project(3)</t>
  </si>
  <si>
    <t>Chake Khola(2.83)</t>
  </si>
  <si>
    <t>Sunkoshi Small(2.5)</t>
  </si>
  <si>
    <t>Daram Khola A(2.5)</t>
  </si>
  <si>
    <t>Ridi Khola(2.4)</t>
  </si>
  <si>
    <t>Upper Syange Khola(2.4)</t>
  </si>
  <si>
    <t>Jiri Khola Small(2.2)</t>
  </si>
  <si>
    <t>Chhandi(2)</t>
  </si>
  <si>
    <t>Jhyadi Khola(2)</t>
  </si>
  <si>
    <t>Khani Khola(2)</t>
  </si>
  <si>
    <t>Middle Chaku(1.8)</t>
  </si>
  <si>
    <t>Lower Chaku Khola(1.8)</t>
  </si>
  <si>
    <t>Thoppal Khola(1.65)</t>
  </si>
  <si>
    <t>Theule Khola(1.5)</t>
  </si>
  <si>
    <t>Dhalkebar Saurya Aayojana(1)</t>
  </si>
  <si>
    <t>Suspa Bukhari(0.998)</t>
  </si>
  <si>
    <t>Lower Chhote Khola(0.997)</t>
  </si>
  <si>
    <t>Hadi Khola Sunkoshi A(0.997)</t>
  </si>
  <si>
    <t>Pati Khola Small(0.996)</t>
  </si>
  <si>
    <t>Miya Khola(0.996)</t>
  </si>
  <si>
    <t>Jeuligad(0.996)</t>
  </si>
  <si>
    <t>Pheme Khola(0.995)</t>
  </si>
  <si>
    <t>Chhote Khola(0.993)</t>
  </si>
  <si>
    <t>Upper Hadi Khola(0.991)</t>
  </si>
  <si>
    <t>Lower Piluwa Small(0.99)</t>
  </si>
  <si>
    <t>Seti-II(0.979)</t>
  </si>
  <si>
    <t>Bishnu Priya Solar Farm Project(0.96)</t>
  </si>
  <si>
    <t>Sisne Khola Small(0.75)</t>
  </si>
  <si>
    <t>Solar(0.68)</t>
  </si>
  <si>
    <t>Dhunge-Jiri(0.6)</t>
  </si>
  <si>
    <t>Belkhu(0.518)</t>
  </si>
  <si>
    <t>Rairang Khola(0.5)</t>
  </si>
  <si>
    <t>Sali Nadi(0.25)</t>
  </si>
  <si>
    <t>Syange Khola(0.183)</t>
  </si>
  <si>
    <t>Midim Khola(0.1)</t>
  </si>
  <si>
    <t>Sobuwa Khola-2 MHP(0.09)</t>
  </si>
  <si>
    <t>Leguwa Khola(0.04)</t>
  </si>
  <si>
    <t>Syauri Bhumey(0.023)</t>
  </si>
  <si>
    <t>Others IPP Total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</si>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</sst>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43" formatCode="_(* #,##0.00_);_(* \(#,##0.00\);_(* &quot;-&quot;??_);_(@_)"/>
    <numFmt numFmtId="164" formatCode="[$-F800]dddd\,\ mmmm\ dd\,\ yyyy"/>
    <numFmt numFmtId="165" formatCode="h:mm;@"/>
    <numFmt numFmtId="166" formatCode="0.0"/>
    <numFmt numFmtId="167" formatCode="[hh]:mm"/>
    <numFmt numFmtId="168" formatCode="00.00"/>
    <numFmt numFmtId="169" formatCode="0.000"/>
    <numFmt numFmtId="170" formatCode="0.0%"/>
  </numFmts>
  <fonts count="3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name val="Times New Roman"/>
      <family val="1"/>
    </font>
    <font>
      <b/>
      <sz val="14"/>
      <color theme="0" tint="-4.9989318521683403E-2"/>
      <name val="Times New Roman"/>
      <family val="1"/>
    </font>
    <font>
      <b/>
      <sz val="16"/>
      <color rgb="FF002060"/>
      <name val="Times New Roman"/>
      <family val="1"/>
    </font>
    <font>
      <sz val="14"/>
      <name val="Times New Roman"/>
      <family val="1"/>
    </font>
    <font>
      <b/>
      <sz val="12"/>
      <color rgb="FF7030A0"/>
      <name val="Times New Roman"/>
      <family val="1"/>
    </font>
    <font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Times New Roman"/>
      <family val="1"/>
    </font>
    <font>
      <sz val="12"/>
      <name val="Calibri"/>
      <family val="2"/>
      <scheme val="minor"/>
    </font>
    <font>
      <b/>
      <sz val="9"/>
      <color rgb="FF7030A0"/>
      <name val="Calibri"/>
      <family val="2"/>
      <scheme val="minor"/>
    </font>
    <font>
      <b/>
      <i/>
      <sz val="12"/>
      <color indexed="12"/>
      <name val="Times New Roman"/>
      <family val="1"/>
    </font>
    <font>
      <b/>
      <sz val="10"/>
      <name val="Times New Roman"/>
      <family val="1"/>
    </font>
    <font>
      <b/>
      <i/>
      <sz val="10"/>
      <color indexed="12"/>
      <name val="Times New Roman"/>
      <family val="1"/>
    </font>
    <font>
      <b/>
      <sz val="12"/>
      <color theme="1"/>
      <name val="Calibri"/>
      <family val="2"/>
      <scheme val="minor"/>
    </font>
    <font>
      <b/>
      <sz val="12"/>
      <color rgb="FFFF0000"/>
      <name val="Times New Roman"/>
      <family val="1"/>
    </font>
    <font>
      <b/>
      <sz val="8"/>
      <name val="Times New Roman"/>
      <family val="1"/>
    </font>
    <font>
      <b/>
      <sz val="12"/>
      <name val="Calibri"/>
      <family val="2"/>
      <scheme val="minor"/>
    </font>
    <font>
      <b/>
      <i/>
      <sz val="11"/>
      <name val="Times New Roman"/>
      <family val="1"/>
    </font>
    <font>
      <b/>
      <i/>
      <sz val="10"/>
      <name val="Times New Roman"/>
      <family val="1"/>
    </font>
    <font>
      <b/>
      <sz val="9"/>
      <color theme="0"/>
      <name val="Calibri"/>
      <family val="2"/>
      <scheme val="minor"/>
    </font>
    <font>
      <b/>
      <sz val="9"/>
      <name val="Times New Roman"/>
      <family val="1"/>
    </font>
    <font>
      <i/>
      <sz val="10"/>
      <name val="Times New Roman"/>
      <family val="1"/>
    </font>
    <font>
      <sz val="10"/>
      <color rgb="FFFF0000"/>
      <name val="Times New Roman"/>
      <family val="1"/>
    </font>
    <font>
      <b/>
      <u/>
      <sz val="10"/>
      <name val="Times New Roman"/>
      <family val="1"/>
    </font>
    <font>
      <sz val="10"/>
      <color rgb="FFFF0000"/>
      <name val="Arial"/>
      <family val="2"/>
    </font>
    <font>
      <sz val="8"/>
      <name val="Arial Narrow"/>
      <family val="2"/>
    </font>
    <font>
      <sz val="10"/>
      <color indexed="10"/>
      <name val="Times New Roman"/>
      <family val="1"/>
    </font>
    <font>
      <b/>
      <sz val="9"/>
      <name val="Tahoma"/>
      <family val="2"/>
    </font>
  </fonts>
  <fills count="13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</fills>
  <borders count="80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double">
        <color auto="1"/>
      </left>
      <right style="medium">
        <color auto="1"/>
      </right>
      <top style="double">
        <color auto="1"/>
      </top>
      <bottom style="medium">
        <color auto="1"/>
      </bottom>
      <diagonal/>
    </border>
    <border>
      <left style="medium">
        <color auto="1"/>
      </left>
      <right/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 style="medium">
        <color auto="1"/>
      </right>
      <top style="double">
        <color auto="1"/>
      </top>
      <bottom style="double">
        <color auto="1"/>
      </bottom>
      <diagonal/>
    </border>
    <border>
      <left style="medium">
        <color auto="1"/>
      </left>
      <right style="double">
        <color auto="1"/>
      </right>
      <top style="double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 diagonalDown="1">
      <left style="double">
        <color auto="1"/>
      </left>
      <right style="thin">
        <color auto="1"/>
      </right>
      <top style="double">
        <color auto="1"/>
      </top>
      <bottom/>
      <diagonal style="double">
        <color auto="1"/>
      </diagonal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 diagonalDown="1">
      <left style="double">
        <color auto="1"/>
      </left>
      <right style="thin">
        <color auto="1"/>
      </right>
      <top/>
      <bottom style="double">
        <color auto="1"/>
      </bottom>
      <diagonal style="double">
        <color auto="1"/>
      </diagonal>
    </border>
    <border>
      <left style="thin">
        <color auto="1"/>
      </left>
      <right style="double">
        <color auto="1"/>
      </right>
      <top/>
      <bottom/>
      <diagonal/>
    </border>
    <border>
      <left style="double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double">
        <color auto="1"/>
      </right>
      <top/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double">
        <color auto="1"/>
      </left>
      <right style="thin">
        <color auto="1"/>
      </right>
      <top/>
      <bottom/>
      <diagonal/>
    </border>
    <border>
      <left style="double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/>
      <diagonal/>
    </border>
    <border>
      <left style="thin">
        <color auto="1"/>
      </left>
      <right style="double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double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double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164" fontId="1" fillId="0" borderId="0"/>
    <xf numFmtId="43" fontId="1" fillId="0" borderId="0" applyFont="0" applyFill="0" applyBorder="0" applyAlignment="0" applyProtection="0"/>
  </cellStyleXfs>
  <cellXfs count="250">
    <xf numFmtId="0" fontId="0" fillId="0" borderId="0" xfId="0"/>
    <xf numFmtId="164" fontId="1" fillId="0" borderId="0" xfId="2"/>
    <xf numFmtId="164" fontId="1" fillId="0" borderId="0" xfId="2" applyProtection="1">
      <protection locked="0"/>
    </xf>
    <xf numFmtId="164" fontId="7" fillId="0" borderId="0" xfId="2" applyFont="1" applyAlignment="1">
      <alignment vertical="center"/>
    </xf>
    <xf numFmtId="164" fontId="8" fillId="0" borderId="2" xfId="2" applyFont="1" applyBorder="1" applyAlignment="1">
      <alignment vertical="center"/>
    </xf>
    <xf numFmtId="164" fontId="8" fillId="0" borderId="4" xfId="2" applyFont="1" applyBorder="1" applyAlignment="1">
      <alignment vertical="center"/>
    </xf>
    <xf numFmtId="164" fontId="5" fillId="0" borderId="6" xfId="2" applyFont="1" applyBorder="1" applyAlignment="1">
      <alignment horizontal="center" vertical="center"/>
    </xf>
    <xf numFmtId="164" fontId="5" fillId="0" borderId="6" xfId="2" applyFont="1" applyBorder="1" applyAlignment="1">
      <alignment vertical="center"/>
    </xf>
    <xf numFmtId="164" fontId="5" fillId="0" borderId="0" xfId="2" applyFont="1" applyAlignment="1">
      <alignment vertical="center"/>
    </xf>
    <xf numFmtId="14" fontId="9" fillId="0" borderId="0" xfId="2" applyNumberFormat="1" applyFont="1" applyAlignment="1">
      <alignment vertical="center"/>
    </xf>
    <xf numFmtId="43" fontId="10" fillId="3" borderId="0" xfId="3" applyFont="1" applyFill="1" applyAlignment="1">
      <alignment horizontal="center"/>
    </xf>
    <xf numFmtId="164" fontId="10" fillId="3" borderId="0" xfId="2" applyFont="1" applyFill="1"/>
    <xf numFmtId="164" fontId="1" fillId="3" borderId="0" xfId="2" applyFill="1"/>
    <xf numFmtId="164" fontId="11" fillId="0" borderId="0" xfId="2" applyFont="1" applyAlignment="1">
      <alignment horizontal="center" vertical="center"/>
    </xf>
    <xf numFmtId="164" fontId="12" fillId="0" borderId="0" xfId="2" applyFont="1"/>
    <xf numFmtId="164" fontId="13" fillId="0" borderId="0" xfId="2" applyFont="1" applyAlignment="1">
      <alignment vertical="center"/>
    </xf>
    <xf numFmtId="164" fontId="8" fillId="0" borderId="8" xfId="2" applyFont="1" applyBorder="1" applyAlignment="1">
      <alignment vertical="center"/>
    </xf>
    <xf numFmtId="164" fontId="8" fillId="0" borderId="10" xfId="2" applyFont="1" applyBorder="1" applyAlignment="1">
      <alignment vertical="center"/>
    </xf>
    <xf numFmtId="164" fontId="1" fillId="0" borderId="6" xfId="2" applyBorder="1" applyAlignment="1">
      <alignment horizontal="center" vertical="center"/>
    </xf>
    <xf numFmtId="164" fontId="4" fillId="0" borderId="0" xfId="2" applyFont="1" applyAlignment="1">
      <alignment horizontal="center" vertical="center"/>
    </xf>
    <xf numFmtId="164" fontId="4" fillId="0" borderId="0" xfId="2" applyFont="1" applyAlignment="1">
      <alignment vertical="center"/>
    </xf>
    <xf numFmtId="164" fontId="13" fillId="0" borderId="0" xfId="2" applyFont="1" applyAlignment="1">
      <alignment horizontal="center" vertical="center"/>
    </xf>
    <xf numFmtId="43" fontId="14" fillId="3" borderId="0" xfId="3" applyFont="1" applyFill="1" applyAlignment="1">
      <alignment horizontal="center" vertical="center"/>
    </xf>
    <xf numFmtId="20" fontId="1" fillId="0" borderId="0" xfId="2" applyNumberFormat="1" applyAlignment="1">
      <alignment horizontal="center" vertical="center"/>
    </xf>
    <xf numFmtId="165" fontId="15" fillId="0" borderId="0" xfId="2" applyNumberFormat="1" applyFont="1"/>
    <xf numFmtId="164" fontId="16" fillId="4" borderId="0" xfId="2" applyFont="1" applyFill="1" applyAlignment="1">
      <alignment horizontal="right" vertical="center"/>
    </xf>
    <xf numFmtId="164" fontId="17" fillId="0" borderId="0" xfId="2" applyFont="1" applyAlignment="1">
      <alignment vertical="center"/>
    </xf>
    <xf numFmtId="164" fontId="18" fillId="0" borderId="0" xfId="2" applyFont="1" applyAlignment="1">
      <alignment vertical="center"/>
    </xf>
    <xf numFmtId="164" fontId="1" fillId="0" borderId="0" xfId="2" applyAlignment="1">
      <alignment horizontal="center" vertical="center"/>
    </xf>
    <xf numFmtId="164" fontId="16" fillId="4" borderId="0" xfId="2" applyFont="1" applyFill="1" applyAlignment="1">
      <alignment vertical="center"/>
    </xf>
    <xf numFmtId="166" fontId="1" fillId="5" borderId="0" xfId="2" applyNumberFormat="1" applyFill="1"/>
    <xf numFmtId="164" fontId="1" fillId="5" borderId="0" xfId="2" applyFill="1"/>
    <xf numFmtId="164" fontId="16" fillId="4" borderId="0" xfId="2" applyFont="1" applyFill="1" applyAlignment="1">
      <alignment horizontal="left" vertical="center"/>
    </xf>
    <xf numFmtId="164" fontId="19" fillId="3" borderId="0" xfId="2" applyFont="1" applyFill="1"/>
    <xf numFmtId="164" fontId="20" fillId="0" borderId="0" xfId="2" applyFont="1" applyAlignment="1">
      <alignment horizontal="left" vertical="center"/>
    </xf>
    <xf numFmtId="1" fontId="21" fillId="0" borderId="0" xfId="2" applyNumberFormat="1" applyFont="1" applyAlignment="1">
      <alignment horizontal="center" vertical="center"/>
    </xf>
    <xf numFmtId="43" fontId="22" fillId="0" borderId="0" xfId="3" applyFont="1" applyFill="1" applyAlignment="1">
      <alignment horizontal="center" vertical="center"/>
    </xf>
    <xf numFmtId="164" fontId="3" fillId="0" borderId="0" xfId="2" applyFont="1"/>
    <xf numFmtId="164" fontId="13" fillId="0" borderId="12" xfId="2" applyFont="1" applyBorder="1" applyAlignment="1">
      <alignment vertical="center"/>
    </xf>
    <xf numFmtId="2" fontId="13" fillId="6" borderId="16" xfId="2" applyNumberFormat="1" applyFont="1" applyFill="1" applyBorder="1" applyAlignment="1">
      <alignment horizontal="center" vertical="center"/>
    </xf>
    <xf numFmtId="165" fontId="25" fillId="0" borderId="0" xfId="2" applyNumberFormat="1" applyFont="1"/>
    <xf numFmtId="167" fontId="13" fillId="0" borderId="17" xfId="2" applyNumberFormat="1" applyFont="1" applyBorder="1" applyAlignment="1">
      <alignment horizontal="center" vertical="center"/>
    </xf>
    <xf numFmtId="164" fontId="13" fillId="0" borderId="24" xfId="2" applyFont="1" applyBorder="1" applyAlignment="1">
      <alignment horizontal="right" vertical="center"/>
    </xf>
    <xf numFmtId="166" fontId="13" fillId="0" borderId="6" xfId="2" applyNumberFormat="1" applyFont="1" applyBorder="1" applyAlignment="1" applyProtection="1">
      <alignment horizontal="center" vertical="center"/>
      <protection locked="0"/>
    </xf>
    <xf numFmtId="166" fontId="13" fillId="0" borderId="25" xfId="2" applyNumberFormat="1" applyFont="1" applyBorder="1" applyAlignment="1" applyProtection="1">
      <alignment horizontal="center" vertical="center"/>
      <protection locked="0"/>
    </xf>
    <xf numFmtId="169" fontId="13" fillId="0" borderId="25" xfId="2" applyNumberFormat="1" applyFont="1" applyBorder="1" applyAlignment="1" applyProtection="1">
      <alignment horizontal="center" vertical="center"/>
      <protection locked="0"/>
    </xf>
    <xf numFmtId="166" fontId="1" fillId="0" borderId="0" xfId="2" applyNumberFormat="1" applyAlignment="1" applyProtection="1">
      <alignment horizontal="center"/>
      <protection locked="0"/>
    </xf>
    <xf numFmtId="166" fontId="1" fillId="0" borderId="0" xfId="2" applyNumberFormat="1" applyProtection="1">
      <protection locked="0"/>
    </xf>
    <xf numFmtId="169" fontId="13" fillId="0" borderId="26" xfId="2" applyNumberFormat="1" applyFont="1" applyBorder="1" applyAlignment="1" applyProtection="1">
      <alignment horizontal="center" vertical="center"/>
      <protection locked="0"/>
    </xf>
    <xf numFmtId="20" fontId="1" fillId="0" borderId="0" xfId="2" applyNumberFormat="1"/>
    <xf numFmtId="164" fontId="1" fillId="0" borderId="0" xfId="2" applyAlignment="1">
      <alignment horizontal="left"/>
    </xf>
    <xf numFmtId="164" fontId="1" fillId="0" borderId="0" xfId="2" applyAlignment="1">
      <alignment horizontal="center"/>
    </xf>
    <xf numFmtId="164" fontId="17" fillId="0" borderId="0" xfId="2" applyFont="1" applyAlignment="1">
      <alignment vertical="top" wrapText="1"/>
    </xf>
    <xf numFmtId="20" fontId="13" fillId="0" borderId="27" xfId="2" applyNumberFormat="1" applyFont="1" applyBorder="1" applyAlignment="1">
      <alignment vertical="center"/>
    </xf>
    <xf numFmtId="167" fontId="13" fillId="0" borderId="28" xfId="2" applyNumberFormat="1" applyFont="1" applyBorder="1" applyAlignment="1">
      <alignment vertical="center"/>
    </xf>
    <xf numFmtId="167" fontId="13" fillId="0" borderId="27" xfId="2" applyNumberFormat="1" applyFont="1" applyBorder="1" applyAlignment="1">
      <alignment vertical="center"/>
    </xf>
    <xf numFmtId="167" fontId="13" fillId="0" borderId="17" xfId="2" applyNumberFormat="1" applyFont="1" applyBorder="1" applyAlignment="1">
      <alignment vertical="center"/>
    </xf>
    <xf numFmtId="0" fontId="13" fillId="0" borderId="0" xfId="2" applyNumberFormat="1" applyFont="1" applyAlignment="1">
      <alignment vertical="center"/>
    </xf>
    <xf numFmtId="166" fontId="13" fillId="0" borderId="0" xfId="2" applyNumberFormat="1" applyFont="1" applyAlignment="1">
      <alignment vertical="center"/>
    </xf>
    <xf numFmtId="164" fontId="3" fillId="0" borderId="0" xfId="2" applyFont="1" applyAlignment="1">
      <alignment horizontal="center"/>
    </xf>
    <xf numFmtId="0" fontId="1" fillId="0" borderId="0" xfId="2" applyNumberFormat="1" applyAlignment="1">
      <alignment horizontal="center"/>
    </xf>
    <xf numFmtId="169" fontId="27" fillId="0" borderId="29" xfId="2" applyNumberFormat="1" applyFont="1" applyBorder="1" applyAlignment="1">
      <alignment horizontal="center" vertical="center"/>
    </xf>
    <xf numFmtId="2" fontId="27" fillId="0" borderId="29" xfId="2" applyNumberFormat="1" applyFont="1" applyBorder="1" applyAlignment="1">
      <alignment horizontal="center" vertical="center"/>
    </xf>
    <xf numFmtId="164" fontId="13" fillId="0" borderId="30" xfId="2" applyFont="1" applyBorder="1" applyAlignment="1">
      <alignment horizontal="right" vertical="center"/>
    </xf>
    <xf numFmtId="169" fontId="27" fillId="0" borderId="31" xfId="2" applyNumberFormat="1" applyFont="1" applyBorder="1" applyAlignment="1">
      <alignment horizontal="center" vertical="center"/>
    </xf>
    <xf numFmtId="164" fontId="28" fillId="0" borderId="30" xfId="2" applyFont="1" applyBorder="1" applyAlignment="1">
      <alignment horizontal="right" vertical="center"/>
    </xf>
    <xf numFmtId="166" fontId="13" fillId="9" borderId="6" xfId="2" applyNumberFormat="1" applyFont="1" applyFill="1" applyBorder="1" applyAlignment="1" applyProtection="1">
      <alignment horizontal="center" vertical="center"/>
      <protection locked="0"/>
    </xf>
    <xf numFmtId="164" fontId="17" fillId="0" borderId="24" xfId="2" applyFont="1" applyBorder="1" applyAlignment="1">
      <alignment horizontal="right" vertical="center"/>
    </xf>
    <xf numFmtId="164" fontId="17" fillId="0" borderId="32" xfId="2" applyFont="1" applyBorder="1" applyAlignment="1">
      <alignment horizontal="left" vertical="center"/>
    </xf>
    <xf numFmtId="166" fontId="17" fillId="0" borderId="33" xfId="2" applyNumberFormat="1" applyFont="1" applyBorder="1" applyAlignment="1">
      <alignment horizontal="center" vertical="center"/>
    </xf>
    <xf numFmtId="164" fontId="13" fillId="0" borderId="34" xfId="2" applyFont="1" applyBorder="1" applyAlignment="1">
      <alignment horizontal="right" vertical="center"/>
    </xf>
    <xf numFmtId="164" fontId="29" fillId="0" borderId="35" xfId="2" applyFont="1" applyBorder="1" applyAlignment="1">
      <alignment horizontal="right" vertical="center"/>
    </xf>
    <xf numFmtId="164" fontId="13" fillId="0" borderId="35" xfId="2" applyFont="1" applyBorder="1" applyAlignment="1">
      <alignment horizontal="right" vertical="center"/>
    </xf>
    <xf numFmtId="164" fontId="13" fillId="0" borderId="36" xfId="2" applyFont="1" applyBorder="1" applyAlignment="1">
      <alignment horizontal="right" vertical="center"/>
    </xf>
    <xf numFmtId="169" fontId="27" fillId="0" borderId="6" xfId="2" applyNumberFormat="1" applyFont="1" applyBorder="1" applyAlignment="1">
      <alignment horizontal="center" vertical="center"/>
    </xf>
    <xf numFmtId="164" fontId="13" fillId="0" borderId="37" xfId="2" applyFont="1" applyBorder="1" applyAlignment="1">
      <alignment horizontal="right" vertical="center"/>
    </xf>
    <xf numFmtId="166" fontId="13" fillId="0" borderId="19" xfId="2" applyNumberFormat="1" applyFont="1" applyBorder="1" applyAlignment="1" applyProtection="1">
      <alignment horizontal="center" vertical="center"/>
      <protection locked="0"/>
    </xf>
    <xf numFmtId="169" fontId="27" fillId="0" borderId="23" xfId="2" applyNumberFormat="1" applyFont="1" applyBorder="1" applyAlignment="1">
      <alignment horizontal="center" vertical="center"/>
    </xf>
    <xf numFmtId="164" fontId="17" fillId="0" borderId="38" xfId="2" applyFont="1" applyBorder="1" applyAlignment="1">
      <alignment horizontal="left" vertical="center"/>
    </xf>
    <xf numFmtId="169" fontId="17" fillId="0" borderId="33" xfId="2" applyNumberFormat="1" applyFont="1" applyBorder="1" applyAlignment="1">
      <alignment horizontal="center" vertical="center"/>
    </xf>
    <xf numFmtId="0" fontId="1" fillId="0" borderId="0" xfId="2" applyNumberFormat="1"/>
    <xf numFmtId="166" fontId="1" fillId="0" borderId="0" xfId="2" applyNumberFormat="1"/>
    <xf numFmtId="164" fontId="30" fillId="0" borderId="0" xfId="2" applyFont="1"/>
    <xf numFmtId="164" fontId="13" fillId="0" borderId="39" xfId="2" applyFont="1" applyBorder="1" applyAlignment="1">
      <alignment horizontal="right" vertical="center"/>
    </xf>
    <xf numFmtId="2" fontId="28" fillId="0" borderId="27" xfId="2" applyNumberFormat="1" applyFont="1" applyBorder="1" applyAlignment="1">
      <alignment horizontal="center" vertical="center"/>
    </xf>
    <xf numFmtId="169" fontId="28" fillId="0" borderId="27" xfId="2" applyNumberFormat="1" applyFont="1" applyBorder="1" applyAlignment="1">
      <alignment horizontal="center" vertical="center"/>
    </xf>
    <xf numFmtId="164" fontId="17" fillId="0" borderId="40" xfId="2" applyFont="1" applyBorder="1" applyAlignment="1">
      <alignment horizontal="left" vertical="center"/>
    </xf>
    <xf numFmtId="164" fontId="3" fillId="10" borderId="0" xfId="2" applyFont="1" applyFill="1"/>
    <xf numFmtId="169" fontId="13" fillId="0" borderId="31" xfId="2" applyNumberFormat="1" applyFont="1" applyBorder="1" applyAlignment="1">
      <alignment horizontal="center" vertical="center"/>
    </xf>
    <xf numFmtId="20" fontId="1" fillId="0" borderId="41" xfId="2" applyNumberFormat="1" applyBorder="1"/>
    <xf numFmtId="166" fontId="13" fillId="0" borderId="2" xfId="2" applyNumberFormat="1" applyFont="1" applyBorder="1" applyAlignment="1" applyProtection="1">
      <alignment horizontal="center" vertical="center"/>
      <protection locked="0"/>
    </xf>
    <xf numFmtId="166" fontId="13" fillId="0" borderId="4" xfId="2" applyNumberFormat="1" applyFont="1" applyBorder="1" applyAlignment="1" applyProtection="1">
      <alignment horizontal="center" vertical="center"/>
      <protection locked="0"/>
    </xf>
    <xf numFmtId="166" fontId="13" fillId="0" borderId="25" xfId="2" applyNumberFormat="1" applyFont="1" applyBorder="1" applyAlignment="1">
      <alignment horizontal="center" vertical="center"/>
    </xf>
    <xf numFmtId="164" fontId="1" fillId="0" borderId="5" xfId="2" applyBorder="1"/>
    <xf numFmtId="166" fontId="13" fillId="0" borderId="42" xfId="2" applyNumberFormat="1" applyFont="1" applyBorder="1" applyAlignment="1" applyProtection="1">
      <alignment horizontal="center" vertical="center"/>
      <protection locked="0"/>
    </xf>
    <xf numFmtId="164" fontId="13" fillId="0" borderId="43" xfId="2" applyFont="1" applyBorder="1" applyAlignment="1">
      <alignment horizontal="right" vertical="center"/>
    </xf>
    <xf numFmtId="166" fontId="13" fillId="0" borderId="6" xfId="2" applyNumberFormat="1" applyFont="1" applyBorder="1" applyAlignment="1">
      <alignment horizontal="center" vertical="center"/>
    </xf>
    <xf numFmtId="166" fontId="13" fillId="10" borderId="44" xfId="2" applyNumberFormat="1" applyFont="1" applyFill="1" applyBorder="1" applyAlignment="1" applyProtection="1">
      <alignment horizontal="center" vertical="center"/>
      <protection locked="0"/>
    </xf>
    <xf numFmtId="166" fontId="13" fillId="0" borderId="45" xfId="2" applyNumberFormat="1" applyFont="1" applyBorder="1" applyAlignment="1">
      <alignment horizontal="center" vertical="center"/>
    </xf>
    <xf numFmtId="164" fontId="1" fillId="0" borderId="48" xfId="2" applyBorder="1"/>
    <xf numFmtId="166" fontId="13" fillId="0" borderId="8" xfId="2" applyNumberFormat="1" applyFont="1" applyBorder="1" applyAlignment="1" applyProtection="1">
      <alignment horizontal="center" vertical="center"/>
      <protection locked="0"/>
    </xf>
    <xf numFmtId="166" fontId="13" fillId="0" borderId="10" xfId="2" applyNumberFormat="1" applyFont="1" applyBorder="1" applyAlignment="1" applyProtection="1">
      <alignment horizontal="center" vertical="center"/>
      <protection locked="0"/>
    </xf>
    <xf numFmtId="169" fontId="13" fillId="0" borderId="49" xfId="2" applyNumberFormat="1" applyFont="1" applyBorder="1" applyAlignment="1">
      <alignment horizontal="center" vertical="center"/>
    </xf>
    <xf numFmtId="169" fontId="17" fillId="0" borderId="50" xfId="2" applyNumberFormat="1" applyFont="1" applyBorder="1" applyAlignment="1">
      <alignment horizontal="center" vertical="center"/>
    </xf>
    <xf numFmtId="166" fontId="2" fillId="0" borderId="0" xfId="2" applyNumberFormat="1" applyFont="1" applyProtection="1">
      <protection locked="0"/>
    </xf>
    <xf numFmtId="169" fontId="13" fillId="0" borderId="29" xfId="2" applyNumberFormat="1" applyFont="1" applyBorder="1" applyAlignment="1">
      <alignment horizontal="center" vertical="center"/>
    </xf>
    <xf numFmtId="166" fontId="13" fillId="0" borderId="27" xfId="2" applyNumberFormat="1" applyFont="1" applyBorder="1" applyAlignment="1">
      <alignment horizontal="center" vertical="center"/>
    </xf>
    <xf numFmtId="1" fontId="17" fillId="0" borderId="33" xfId="2" applyNumberFormat="1" applyFont="1" applyBorder="1" applyAlignment="1">
      <alignment horizontal="center" vertical="center"/>
    </xf>
    <xf numFmtId="164" fontId="17" fillId="10" borderId="40" xfId="2" applyFont="1" applyFill="1" applyBorder="1" applyAlignment="1">
      <alignment vertical="center" wrapText="1"/>
    </xf>
    <xf numFmtId="166" fontId="13" fillId="0" borderId="33" xfId="2" applyNumberFormat="1" applyFont="1" applyBorder="1" applyAlignment="1" applyProtection="1">
      <alignment horizontal="center" vertical="center"/>
      <protection locked="0"/>
    </xf>
    <xf numFmtId="169" fontId="27" fillId="0" borderId="49" xfId="2" applyNumberFormat="1" applyFont="1" applyBorder="1" applyAlignment="1">
      <alignment horizontal="center" vertical="center"/>
    </xf>
    <xf numFmtId="164" fontId="17" fillId="0" borderId="40" xfId="2" applyFont="1" applyBorder="1" applyAlignment="1">
      <alignment horizontal="center" vertical="center"/>
    </xf>
    <xf numFmtId="164" fontId="17" fillId="0" borderId="51" xfId="2" applyFont="1" applyBorder="1" applyAlignment="1">
      <alignment horizontal="left" vertical="center"/>
    </xf>
    <xf numFmtId="166" fontId="17" fillId="0" borderId="3" xfId="2" applyNumberFormat="1" applyFont="1" applyBorder="1" applyAlignment="1">
      <alignment horizontal="center" vertical="center"/>
    </xf>
    <xf numFmtId="169" fontId="17" fillId="0" borderId="52" xfId="2" applyNumberFormat="1" applyFont="1" applyBorder="1" applyAlignment="1">
      <alignment horizontal="center" vertical="center"/>
    </xf>
    <xf numFmtId="164" fontId="13" fillId="0" borderId="53" xfId="2" applyFont="1" applyBorder="1" applyAlignment="1">
      <alignment horizontal="right" vertical="center"/>
    </xf>
    <xf numFmtId="2" fontId="13" fillId="0" borderId="2" xfId="2" applyNumberFormat="1" applyFont="1" applyBorder="1" applyAlignment="1" applyProtection="1">
      <alignment horizontal="center" vertical="center"/>
      <protection locked="0"/>
    </xf>
    <xf numFmtId="169" fontId="13" fillId="0" borderId="54" xfId="2" applyNumberFormat="1" applyFont="1" applyBorder="1" applyAlignment="1">
      <alignment horizontal="center" vertical="center"/>
    </xf>
    <xf numFmtId="164" fontId="13" fillId="0" borderId="55" xfId="2" applyFont="1" applyBorder="1" applyAlignment="1">
      <alignment horizontal="right" vertical="center"/>
    </xf>
    <xf numFmtId="169" fontId="13" fillId="0" borderId="56" xfId="2" applyNumberFormat="1" applyFont="1" applyBorder="1" applyAlignment="1">
      <alignment horizontal="center" vertical="center"/>
    </xf>
    <xf numFmtId="164" fontId="13" fillId="0" borderId="57" xfId="2" applyFont="1" applyBorder="1" applyAlignment="1">
      <alignment horizontal="right" vertical="center"/>
    </xf>
    <xf numFmtId="166" fontId="13" fillId="0" borderId="6" xfId="2" applyNumberFormat="1" applyFont="1" applyBorder="1" applyAlignment="1" applyProtection="1">
      <alignment horizontal="center"/>
      <protection locked="0"/>
    </xf>
    <xf numFmtId="169" fontId="13" fillId="0" borderId="56" xfId="2" applyNumberFormat="1" applyFont="1" applyBorder="1" applyAlignment="1">
      <alignment horizontal="center"/>
    </xf>
    <xf numFmtId="169" fontId="13" fillId="0" borderId="58" xfId="2" applyNumberFormat="1" applyFont="1" applyBorder="1" applyAlignment="1">
      <alignment horizontal="center" vertical="center"/>
    </xf>
    <xf numFmtId="164" fontId="17" fillId="0" borderId="0" xfId="2" applyFont="1" applyAlignment="1">
      <alignment horizontal="right" vertical="center"/>
    </xf>
    <xf numFmtId="164" fontId="0" fillId="0" borderId="59" xfId="2" applyFont="1" applyBorder="1"/>
    <xf numFmtId="164" fontId="0" fillId="0" borderId="33" xfId="2" applyFont="1" applyBorder="1" applyAlignment="1">
      <alignment horizontal="center"/>
    </xf>
    <xf numFmtId="170" fontId="0" fillId="0" borderId="33" xfId="1" applyNumberFormat="1" applyFont="1" applyBorder="1" applyAlignment="1">
      <alignment horizontal="center"/>
    </xf>
    <xf numFmtId="164" fontId="0" fillId="0" borderId="60" xfId="2" applyFont="1" applyBorder="1" applyAlignment="1">
      <alignment horizontal="center"/>
    </xf>
    <xf numFmtId="164" fontId="13" fillId="0" borderId="1" xfId="2" applyFont="1" applyBorder="1" applyAlignment="1">
      <alignment vertical="center"/>
    </xf>
    <xf numFmtId="169" fontId="1" fillId="0" borderId="0" xfId="2" applyNumberFormat="1"/>
    <xf numFmtId="164" fontId="0" fillId="0" borderId="61" xfId="2" applyFont="1" applyBorder="1"/>
    <xf numFmtId="2" fontId="1" fillId="0" borderId="25" xfId="2" applyNumberFormat="1" applyBorder="1" applyAlignment="1">
      <alignment horizontal="center"/>
    </xf>
    <xf numFmtId="0" fontId="1" fillId="0" borderId="25" xfId="2" applyNumberFormat="1" applyBorder="1" applyAlignment="1">
      <alignment horizontal="center"/>
    </xf>
    <xf numFmtId="2" fontId="1" fillId="0" borderId="62" xfId="2" applyNumberFormat="1" applyBorder="1" applyAlignment="1">
      <alignment horizontal="center"/>
    </xf>
    <xf numFmtId="164" fontId="17" fillId="0" borderId="41" xfId="2" applyFont="1" applyBorder="1" applyAlignment="1">
      <alignment horizontal="right" vertical="center"/>
    </xf>
    <xf numFmtId="166" fontId="17" fillId="0" borderId="11" xfId="2" applyNumberFormat="1" applyFont="1" applyBorder="1" applyAlignment="1">
      <alignment horizontal="center" vertical="center"/>
    </xf>
    <xf numFmtId="166" fontId="17" fillId="0" borderId="63" xfId="2" applyNumberFormat="1" applyFont="1" applyBorder="1" applyAlignment="1">
      <alignment horizontal="center" vertical="center"/>
    </xf>
    <xf numFmtId="164" fontId="0" fillId="0" borderId="55" xfId="2" applyFont="1" applyBorder="1"/>
    <xf numFmtId="2" fontId="1" fillId="0" borderId="6" xfId="2" applyNumberFormat="1" applyBorder="1" applyAlignment="1">
      <alignment horizontal="center"/>
    </xf>
    <xf numFmtId="0" fontId="1" fillId="0" borderId="6" xfId="2" applyNumberFormat="1" applyBorder="1" applyAlignment="1">
      <alignment horizontal="center"/>
    </xf>
    <xf numFmtId="2" fontId="1" fillId="0" borderId="42" xfId="2" applyNumberFormat="1" applyBorder="1" applyAlignment="1">
      <alignment horizontal="center"/>
    </xf>
    <xf numFmtId="164" fontId="13" fillId="0" borderId="34" xfId="2" applyFont="1" applyBorder="1" applyAlignment="1">
      <alignment horizontal="right" vertical="center" indent="1"/>
    </xf>
    <xf numFmtId="166" fontId="13" fillId="0" borderId="64" xfId="2" applyNumberFormat="1" applyFont="1" applyBorder="1" applyAlignment="1" applyProtection="1">
      <alignment horizontal="center"/>
      <protection locked="0"/>
    </xf>
    <xf numFmtId="166" fontId="13" fillId="0" borderId="65" xfId="2" applyNumberFormat="1" applyFont="1" applyBorder="1" applyAlignment="1" applyProtection="1">
      <alignment horizontal="center" vertical="center"/>
      <protection locked="0"/>
    </xf>
    <xf numFmtId="169" fontId="1" fillId="0" borderId="6" xfId="2" applyNumberFormat="1" applyBorder="1" applyAlignment="1">
      <alignment horizontal="center"/>
    </xf>
    <xf numFmtId="164" fontId="13" fillId="0" borderId="35" xfId="2" applyFont="1" applyBorder="1" applyAlignment="1">
      <alignment horizontal="right" vertical="center" indent="1"/>
    </xf>
    <xf numFmtId="166" fontId="13" fillId="0" borderId="45" xfId="2" applyNumberFormat="1" applyFont="1" applyBorder="1" applyAlignment="1" applyProtection="1">
      <alignment horizontal="center" vertical="center"/>
      <protection locked="0"/>
    </xf>
    <xf numFmtId="164" fontId="0" fillId="0" borderId="66" xfId="2" applyFont="1" applyBorder="1"/>
    <xf numFmtId="2" fontId="1" fillId="0" borderId="8" xfId="2" applyNumberFormat="1" applyBorder="1" applyAlignment="1">
      <alignment horizontal="center"/>
    </xf>
    <xf numFmtId="2" fontId="1" fillId="0" borderId="10" xfId="2" applyNumberFormat="1" applyBorder="1" applyAlignment="1">
      <alignment horizontal="center"/>
    </xf>
    <xf numFmtId="166" fontId="13" fillId="0" borderId="67" xfId="2" applyNumberFormat="1" applyFont="1" applyBorder="1" applyAlignment="1" applyProtection="1">
      <alignment horizontal="center"/>
      <protection locked="0"/>
    </xf>
    <xf numFmtId="164" fontId="1" fillId="0" borderId="25" xfId="2" applyBorder="1"/>
    <xf numFmtId="164" fontId="1" fillId="0" borderId="25" xfId="2" applyBorder="1" applyAlignment="1">
      <alignment horizontal="center"/>
    </xf>
    <xf numFmtId="164" fontId="1" fillId="0" borderId="27" xfId="2" applyBorder="1"/>
    <xf numFmtId="164" fontId="1" fillId="0" borderId="27" xfId="2" applyBorder="1" applyAlignment="1">
      <alignment horizontal="center"/>
    </xf>
    <xf numFmtId="169" fontId="1" fillId="0" borderId="27" xfId="2" applyNumberFormat="1" applyBorder="1" applyAlignment="1">
      <alignment horizontal="center"/>
    </xf>
    <xf numFmtId="164" fontId="1" fillId="0" borderId="0" xfId="2" applyBorder="1"/>
    <xf numFmtId="2" fontId="1" fillId="0" borderId="0" xfId="2" applyNumberFormat="1" applyBorder="1" applyAlignment="1">
      <alignment horizontal="center"/>
    </xf>
    <xf numFmtId="164" fontId="1" fillId="0" borderId="0" xfId="2" applyBorder="1" applyAlignment="1">
      <alignment horizontal="center"/>
    </xf>
    <xf numFmtId="164" fontId="13" fillId="0" borderId="68" xfId="2" applyFont="1" applyBorder="1" applyAlignment="1">
      <alignment horizontal="right" vertical="center" indent="1"/>
    </xf>
    <xf numFmtId="2" fontId="0" fillId="0" borderId="25" xfId="1" applyNumberFormat="1" applyFont="1" applyBorder="1" applyAlignment="1">
      <alignment horizontal="center"/>
    </xf>
    <xf numFmtId="164" fontId="17" fillId="0" borderId="69" xfId="2" applyFont="1" applyBorder="1" applyAlignment="1">
      <alignment horizontal="right" vertical="center" indent="1"/>
    </xf>
    <xf numFmtId="2" fontId="31" fillId="0" borderId="70" xfId="2" applyNumberFormat="1" applyFont="1" applyBorder="1" applyAlignment="1">
      <alignment horizontal="center" vertical="center"/>
    </xf>
    <xf numFmtId="2" fontId="31" fillId="0" borderId="2" xfId="2" applyNumberFormat="1" applyFont="1" applyBorder="1" applyAlignment="1">
      <alignment horizontal="center" vertical="center"/>
    </xf>
    <xf numFmtId="2" fontId="31" fillId="0" borderId="4" xfId="2" applyNumberFormat="1" applyFont="1" applyBorder="1" applyAlignment="1">
      <alignment horizontal="center" vertical="center"/>
    </xf>
    <xf numFmtId="2" fontId="0" fillId="0" borderId="6" xfId="1" applyNumberFormat="1" applyFont="1" applyBorder="1" applyAlignment="1">
      <alignment horizontal="center"/>
    </xf>
    <xf numFmtId="164" fontId="13" fillId="0" borderId="71" xfId="2" applyFont="1" applyBorder="1" applyAlignment="1">
      <alignment horizontal="right" vertical="center" wrapText="1"/>
    </xf>
    <xf numFmtId="2" fontId="31" fillId="0" borderId="25" xfId="2" applyNumberFormat="1" applyFont="1" applyBorder="1" applyAlignment="1">
      <alignment horizontal="center" vertical="center"/>
    </xf>
    <xf numFmtId="2" fontId="31" fillId="0" borderId="62" xfId="2" applyNumberFormat="1" applyFont="1" applyBorder="1" applyAlignment="1">
      <alignment horizontal="center" vertical="center"/>
    </xf>
    <xf numFmtId="164" fontId="1" fillId="0" borderId="64" xfId="2" applyBorder="1" applyAlignment="1">
      <alignment horizontal="center"/>
    </xf>
    <xf numFmtId="2" fontId="1" fillId="0" borderId="0" xfId="2" applyNumberFormat="1"/>
    <xf numFmtId="2" fontId="31" fillId="0" borderId="64" xfId="2" applyNumberFormat="1" applyFont="1" applyBorder="1" applyAlignment="1">
      <alignment horizontal="center" vertical="center"/>
    </xf>
    <xf numFmtId="2" fontId="31" fillId="0" borderId="6" xfId="2" applyNumberFormat="1" applyFont="1" applyBorder="1" applyAlignment="1">
      <alignment horizontal="center" vertical="center"/>
    </xf>
    <xf numFmtId="2" fontId="31" fillId="0" borderId="42" xfId="2" applyNumberFormat="1" applyFont="1" applyBorder="1" applyAlignment="1">
      <alignment horizontal="center" vertical="center"/>
    </xf>
    <xf numFmtId="0" fontId="1" fillId="0" borderId="8" xfId="2" applyNumberFormat="1" applyBorder="1" applyAlignment="1">
      <alignment horizontal="center"/>
    </xf>
    <xf numFmtId="2" fontId="1" fillId="0" borderId="0" xfId="2" applyNumberFormat="1" applyAlignment="1">
      <alignment horizontal="center"/>
    </xf>
    <xf numFmtId="164" fontId="0" fillId="0" borderId="0" xfId="2" applyFont="1"/>
    <xf numFmtId="164" fontId="13" fillId="0" borderId="37" xfId="2" applyFont="1" applyBorder="1" applyAlignment="1">
      <alignment horizontal="right" vertical="center" indent="1"/>
    </xf>
    <xf numFmtId="2" fontId="31" fillId="0" borderId="28" xfId="2" applyNumberFormat="1" applyFont="1" applyBorder="1" applyAlignment="1">
      <alignment horizontal="center" vertical="center"/>
    </xf>
    <xf numFmtId="2" fontId="31" fillId="0" borderId="27" xfId="2" applyNumberFormat="1" applyFont="1" applyBorder="1" applyAlignment="1">
      <alignment horizontal="center" vertical="center"/>
    </xf>
    <xf numFmtId="2" fontId="31" fillId="0" borderId="72" xfId="2" applyNumberFormat="1" applyFont="1" applyBorder="1" applyAlignment="1">
      <alignment horizontal="center" vertical="center"/>
    </xf>
    <xf numFmtId="164" fontId="1" fillId="0" borderId="28" xfId="2" applyBorder="1" applyAlignment="1">
      <alignment horizontal="center"/>
    </xf>
    <xf numFmtId="9" fontId="1" fillId="0" borderId="33" xfId="1" applyBorder="1" applyAlignment="1">
      <alignment horizontal="center"/>
    </xf>
    <xf numFmtId="164" fontId="13" fillId="0" borderId="73" xfId="2" applyFont="1" applyBorder="1" applyAlignment="1">
      <alignment horizontal="right" vertical="center" indent="1"/>
    </xf>
    <xf numFmtId="0" fontId="3" fillId="11" borderId="6" xfId="0" applyFont="1" applyFill="1" applyBorder="1" applyAlignment="1">
      <alignment horizontal="right"/>
    </xf>
    <xf numFmtId="164" fontId="1" fillId="0" borderId="6" xfId="2" applyBorder="1" applyAlignment="1">
      <alignment horizontal="center"/>
    </xf>
    <xf numFmtId="169" fontId="1" fillId="0" borderId="0" xfId="2" applyNumberFormat="1" applyAlignment="1">
      <alignment horizontal="center"/>
    </xf>
    <xf numFmtId="164" fontId="0" fillId="0" borderId="6" xfId="2" applyFont="1" applyBorder="1"/>
    <xf numFmtId="2" fontId="13" fillId="0" borderId="2" xfId="2" applyNumberFormat="1" applyFont="1" applyBorder="1" applyAlignment="1">
      <alignment horizontal="center" vertical="center"/>
    </xf>
    <xf numFmtId="169" fontId="32" fillId="0" borderId="4" xfId="2" applyNumberFormat="1" applyFont="1" applyBorder="1" applyAlignment="1">
      <alignment horizontal="center" vertical="center"/>
    </xf>
    <xf numFmtId="2" fontId="13" fillId="0" borderId="6" xfId="2" applyNumberFormat="1" applyFont="1" applyBorder="1" applyAlignment="1">
      <alignment horizontal="center" vertical="center"/>
    </xf>
    <xf numFmtId="169" fontId="32" fillId="0" borderId="42" xfId="2" applyNumberFormat="1" applyFont="1" applyBorder="1" applyAlignment="1">
      <alignment horizontal="center" vertical="center"/>
    </xf>
    <xf numFmtId="164" fontId="13" fillId="0" borderId="74" xfId="2" applyFont="1" applyBorder="1" applyAlignment="1">
      <alignment horizontal="right" vertical="center"/>
    </xf>
    <xf numFmtId="2" fontId="13" fillId="0" borderId="27" xfId="2" applyNumberFormat="1" applyFont="1" applyBorder="1" applyAlignment="1">
      <alignment horizontal="center" vertical="center"/>
    </xf>
    <xf numFmtId="169" fontId="32" fillId="0" borderId="72" xfId="2" applyNumberFormat="1" applyFont="1" applyBorder="1" applyAlignment="1">
      <alignment horizontal="center" vertical="center"/>
    </xf>
    <xf numFmtId="164" fontId="13" fillId="0" borderId="59" xfId="2" applyFont="1" applyBorder="1" applyAlignment="1">
      <alignment horizontal="right" vertical="center"/>
    </xf>
    <xf numFmtId="2" fontId="13" fillId="0" borderId="33" xfId="2" applyNumberFormat="1" applyFont="1" applyBorder="1" applyAlignment="1">
      <alignment horizontal="center" vertical="center"/>
    </xf>
    <xf numFmtId="169" fontId="1" fillId="0" borderId="60" xfId="2" applyNumberFormat="1" applyBorder="1" applyAlignment="1">
      <alignment horizontal="center"/>
    </xf>
    <xf numFmtId="164" fontId="17" fillId="0" borderId="48" xfId="2" applyFont="1" applyBorder="1" applyAlignment="1">
      <alignment vertical="center"/>
    </xf>
    <xf numFmtId="169" fontId="1" fillId="0" borderId="75" xfId="2" applyNumberFormat="1" applyBorder="1" applyAlignment="1">
      <alignment horizontal="center"/>
    </xf>
    <xf numFmtId="164" fontId="13" fillId="0" borderId="76" xfId="2" applyFont="1" applyBorder="1" applyAlignment="1">
      <alignment horizontal="right" vertical="center"/>
    </xf>
    <xf numFmtId="2" fontId="13" fillId="0" borderId="4" xfId="2" applyNumberFormat="1" applyFont="1" applyBorder="1" applyAlignment="1">
      <alignment horizontal="center" vertical="center"/>
    </xf>
    <xf numFmtId="169" fontId="27" fillId="0" borderId="47" xfId="2" applyNumberFormat="1" applyFont="1" applyBorder="1" applyAlignment="1">
      <alignment horizontal="center" vertical="center"/>
    </xf>
    <xf numFmtId="2" fontId="13" fillId="0" borderId="42" xfId="2" applyNumberFormat="1" applyFont="1" applyBorder="1" applyAlignment="1">
      <alignment horizontal="center" vertical="center"/>
    </xf>
    <xf numFmtId="9" fontId="0" fillId="0" borderId="33" xfId="1" applyFont="1" applyBorder="1" applyAlignment="1">
      <alignment horizontal="center"/>
    </xf>
    <xf numFmtId="2" fontId="1" fillId="0" borderId="25" xfId="2" applyNumberFormat="1" applyBorder="1"/>
    <xf numFmtId="2" fontId="1" fillId="0" borderId="62" xfId="2" applyNumberFormat="1" applyBorder="1"/>
    <xf numFmtId="2" fontId="1" fillId="0" borderId="6" xfId="2" applyNumberFormat="1" applyBorder="1"/>
    <xf numFmtId="2" fontId="1" fillId="0" borderId="42" xfId="2" applyNumberFormat="1" applyBorder="1"/>
    <xf numFmtId="164" fontId="1" fillId="0" borderId="6" xfId="2" applyBorder="1"/>
    <xf numFmtId="164" fontId="1" fillId="0" borderId="55" xfId="2" applyBorder="1"/>
    <xf numFmtId="164" fontId="3" fillId="0" borderId="66" xfId="2" applyFont="1" applyBorder="1" applyAlignment="1"/>
    <xf numFmtId="164" fontId="3" fillId="0" borderId="8" xfId="2" applyFont="1" applyBorder="1" applyAlignment="1"/>
    <xf numFmtId="2" fontId="3" fillId="0" borderId="10" xfId="2" applyNumberFormat="1" applyFont="1" applyBorder="1" applyAlignment="1">
      <alignment horizontal="center"/>
    </xf>
    <xf numFmtId="169" fontId="27" fillId="0" borderId="77" xfId="2" applyNumberFormat="1" applyFont="1" applyBorder="1" applyAlignment="1">
      <alignment horizontal="center" vertical="center"/>
    </xf>
    <xf numFmtId="169" fontId="27" fillId="0" borderId="78" xfId="2" applyNumberFormat="1" applyFont="1" applyBorder="1" applyAlignment="1">
      <alignment horizontal="center" vertical="center"/>
    </xf>
    <xf numFmtId="2" fontId="13" fillId="0" borderId="8" xfId="2" applyNumberFormat="1" applyFont="1" applyBorder="1" applyAlignment="1">
      <alignment horizontal="center" vertical="center"/>
    </xf>
    <xf numFmtId="2" fontId="13" fillId="0" borderId="10" xfId="2" applyNumberFormat="1" applyFont="1" applyBorder="1" applyAlignment="1">
      <alignment horizontal="center" vertical="center"/>
    </xf>
    <xf numFmtId="164" fontId="13" fillId="0" borderId="38" xfId="2" applyFont="1" applyBorder="1" applyAlignment="1">
      <alignment vertical="center"/>
    </xf>
    <xf numFmtId="2" fontId="13" fillId="0" borderId="9" xfId="2" applyNumberFormat="1" applyFont="1" applyBorder="1" applyAlignment="1">
      <alignment horizontal="center" vertical="center"/>
    </xf>
    <xf numFmtId="2" fontId="13" fillId="0" borderId="79" xfId="2" applyNumberFormat="1" applyFont="1" applyBorder="1" applyAlignment="1">
      <alignment horizontal="center" vertical="center"/>
    </xf>
    <xf numFmtId="169" fontId="27" fillId="0" borderId="38" xfId="2" applyNumberFormat="1" applyFont="1" applyBorder="1" applyAlignment="1">
      <alignment horizontal="center" vertical="center"/>
    </xf>
    <xf numFmtId="166" fontId="13" fillId="12" borderId="25" xfId="2" applyNumberFormat="1" applyFont="1" applyFill="1" applyBorder="1" applyAlignment="1" applyProtection="1">
      <alignment horizontal="center" vertical="center"/>
      <protection locked="0"/>
    </xf>
    <xf numFmtId="167" fontId="13" fillId="0" borderId="17" xfId="2" applyNumberFormat="1" applyFont="1" applyBorder="1" applyAlignment="1">
      <alignment horizontal="center" vertical="center"/>
    </xf>
    <xf numFmtId="167" fontId="13" fillId="0" borderId="21" xfId="2" applyNumberFormat="1" applyFont="1" applyBorder="1" applyAlignment="1">
      <alignment horizontal="center" vertical="center"/>
    </xf>
    <xf numFmtId="168" fontId="26" fillId="8" borderId="20" xfId="2" applyNumberFormat="1" applyFont="1" applyFill="1" applyBorder="1" applyAlignment="1">
      <alignment horizontal="center" vertical="center" wrapText="1"/>
    </xf>
    <xf numFmtId="168" fontId="26" fillId="8" borderId="23" xfId="2" applyNumberFormat="1" applyFont="1" applyFill="1" applyBorder="1" applyAlignment="1">
      <alignment horizontal="center" vertical="center" wrapText="1"/>
    </xf>
    <xf numFmtId="166" fontId="17" fillId="10" borderId="46" xfId="2" applyNumberFormat="1" applyFont="1" applyFill="1" applyBorder="1" applyAlignment="1">
      <alignment horizontal="center" vertical="center"/>
    </xf>
    <xf numFmtId="166" fontId="17" fillId="10" borderId="47" xfId="2" applyNumberFormat="1" applyFont="1" applyFill="1" applyBorder="1" applyAlignment="1">
      <alignment horizontal="center" vertical="center"/>
    </xf>
    <xf numFmtId="167" fontId="13" fillId="0" borderId="19" xfId="2" applyNumberFormat="1" applyFont="1" applyBorder="1" applyAlignment="1">
      <alignment horizontal="center" vertical="center"/>
    </xf>
    <xf numFmtId="167" fontId="13" fillId="7" borderId="17" xfId="2" applyNumberFormat="1" applyFont="1" applyFill="1" applyBorder="1" applyAlignment="1">
      <alignment horizontal="center" vertical="center"/>
    </xf>
    <xf numFmtId="167" fontId="13" fillId="7" borderId="21" xfId="2" applyNumberFormat="1" applyFont="1" applyFill="1" applyBorder="1" applyAlignment="1">
      <alignment horizontal="center" vertical="center"/>
    </xf>
    <xf numFmtId="2" fontId="24" fillId="0" borderId="13" xfId="2" applyNumberFormat="1" applyFont="1" applyBorder="1" applyAlignment="1">
      <alignment horizontal="center" vertical="center"/>
    </xf>
    <xf numFmtId="2" fontId="24" fillId="0" borderId="14" xfId="2" applyNumberFormat="1" applyFont="1" applyBorder="1" applyAlignment="1">
      <alignment horizontal="center" vertical="center"/>
    </xf>
    <xf numFmtId="2" fontId="24" fillId="0" borderId="15" xfId="2" applyNumberFormat="1" applyFont="1" applyBorder="1" applyAlignment="1">
      <alignment horizontal="center" vertical="center"/>
    </xf>
    <xf numFmtId="164" fontId="17" fillId="0" borderId="18" xfId="2" applyFont="1" applyBorder="1" applyAlignment="1">
      <alignment horizontal="left" vertical="top" wrapText="1"/>
    </xf>
    <xf numFmtId="164" fontId="17" fillId="0" borderId="22" xfId="2" applyFont="1" applyBorder="1" applyAlignment="1">
      <alignment horizontal="left" vertical="top" wrapText="1"/>
    </xf>
    <xf numFmtId="164" fontId="16" fillId="4" borderId="11" xfId="2" applyFont="1" applyFill="1" applyBorder="1" applyAlignment="1">
      <alignment horizontal="left" vertical="center"/>
    </xf>
    <xf numFmtId="164" fontId="16" fillId="4" borderId="11" xfId="2" applyFont="1" applyFill="1" applyBorder="1" applyAlignment="1">
      <alignment horizontal="center" vertical="center"/>
    </xf>
    <xf numFmtId="2" fontId="23" fillId="0" borderId="13" xfId="2" applyNumberFormat="1" applyFont="1" applyBorder="1" applyAlignment="1">
      <alignment horizontal="center" vertical="center"/>
    </xf>
    <xf numFmtId="2" fontId="23" fillId="0" borderId="14" xfId="2" applyNumberFormat="1" applyFont="1" applyBorder="1" applyAlignment="1">
      <alignment horizontal="center" vertical="center"/>
    </xf>
    <xf numFmtId="2" fontId="23" fillId="0" borderId="15" xfId="2" applyNumberFormat="1" applyFont="1" applyBorder="1" applyAlignment="1">
      <alignment horizontal="center" vertical="center"/>
    </xf>
    <xf numFmtId="164" fontId="5" fillId="0" borderId="0" xfId="2" applyFont="1" applyAlignment="1">
      <alignment horizontal="center" vertical="center" wrapText="1"/>
    </xf>
    <xf numFmtId="164" fontId="6" fillId="2" borderId="0" xfId="2" applyFont="1" applyFill="1" applyAlignment="1">
      <alignment horizontal="center" vertical="center"/>
    </xf>
    <xf numFmtId="164" fontId="5" fillId="0" borderId="1" xfId="2" applyFont="1" applyBorder="1" applyAlignment="1">
      <alignment horizontal="center" vertical="center"/>
    </xf>
    <xf numFmtId="164" fontId="5" fillId="0" borderId="7" xfId="2" applyFont="1" applyBorder="1" applyAlignment="1">
      <alignment horizontal="center" vertical="center"/>
    </xf>
    <xf numFmtId="164" fontId="5" fillId="0" borderId="3" xfId="2" applyFont="1" applyBorder="1" applyAlignment="1">
      <alignment horizontal="center" vertical="center"/>
    </xf>
    <xf numFmtId="164" fontId="5" fillId="0" borderId="9" xfId="2" applyFont="1" applyBorder="1" applyAlignment="1">
      <alignment horizontal="center" vertical="center"/>
    </xf>
    <xf numFmtId="164" fontId="1" fillId="0" borderId="5" xfId="2" applyBorder="1" applyAlignment="1">
      <alignment horizontal="center" textRotation="90"/>
    </xf>
  </cellXfs>
  <cellStyles count="4">
    <cellStyle name="Comma 2" xfId="3"/>
    <cellStyle name="Normal" xfId="0" builtinId="0"/>
    <cellStyle name="Normal 2" xfId="2"/>
    <cellStyle name="Percent" xfId="1" builtinId="5"/>
  </cellStyles>
  <dxfs count="534">
    <dxf>
      <font>
        <b/>
        <i val="0"/>
      </font>
      <fill>
        <patternFill>
          <bgColor rgb="FFFF0000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51E2F1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51E2F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306"/>
  <sheetViews>
    <sheetView zoomScaleNormal="100" workbookViewId="0">
      <pane xSplit="1" ySplit="10" topLeftCell="O11" activePane="bottomRight" state="frozen"/>
      <selection activeCell="AF103" sqref="AF103"/>
      <selection pane="topRight" activeCell="AF103" sqref="AF103"/>
      <selection pane="bottomLeft" activeCell="AF103" sqref="AF103"/>
      <selection pane="bottomRight" activeCell="AH11" sqref="AH11:AI159"/>
    </sheetView>
  </sheetViews>
  <sheetFormatPr defaultColWidth="10.42578125" defaultRowHeight="15" x14ac:dyDescent="0.25"/>
  <cols>
    <col min="1" max="1" width="43.85546875" style="1" customWidth="1"/>
    <col min="2" max="2" width="7.7109375" style="1" customWidth="1"/>
    <col min="3" max="3" width="7" style="1" customWidth="1"/>
    <col min="4" max="4" width="8" style="1" customWidth="1"/>
    <col min="5" max="9" width="7.28515625" style="1" customWidth="1"/>
    <col min="10" max="10" width="7.140625" style="1" customWidth="1"/>
    <col min="11" max="13" width="6.85546875" style="1" customWidth="1"/>
    <col min="14" max="15" width="7.140625" style="1" customWidth="1"/>
    <col min="16" max="16" width="7.7109375" style="1" customWidth="1"/>
    <col min="17" max="17" width="8.140625" style="1" customWidth="1"/>
    <col min="18" max="18" width="7.140625" style="1" customWidth="1"/>
    <col min="19" max="19" width="8.28515625" style="1" customWidth="1"/>
    <col min="20" max="20" width="7.85546875" style="1" customWidth="1"/>
    <col min="21" max="21" width="7.5703125" style="1" customWidth="1"/>
    <col min="22" max="26" width="7.85546875" style="1" customWidth="1"/>
    <col min="27" max="27" width="8.140625" style="1" customWidth="1"/>
    <col min="28" max="32" width="7.85546875" style="1" customWidth="1"/>
    <col min="33" max="33" width="16.42578125" style="1" customWidth="1"/>
    <col min="34" max="35" width="9.140625" style="1" customWidth="1"/>
    <col min="36" max="36" width="10.42578125" style="1"/>
    <col min="37" max="37" width="12.7109375" style="1" customWidth="1"/>
    <col min="38" max="38" width="17.28515625" style="1" customWidth="1"/>
    <col min="39" max="39" width="8.42578125" style="1" customWidth="1"/>
    <col min="40" max="40" width="9" style="1" bestFit="1" customWidth="1"/>
    <col min="41" max="41" width="11.28515625" style="1" bestFit="1" customWidth="1"/>
    <col min="42" max="50" width="8.42578125" style="1" customWidth="1"/>
    <col min="51" max="57" width="10.42578125" style="1"/>
    <col min="58" max="58" width="12.7109375" style="1" customWidth="1"/>
    <col min="59" max="16384" width="10.42578125" style="1"/>
  </cols>
  <sheetData>
    <row r="1" spans="1:88" ht="36" hidden="1" customHeight="1" thickBot="1" x14ac:dyDescent="0.3">
      <c r="A1" s="243" t="s">
        <v>0</v>
      </c>
      <c r="B1" s="243"/>
      <c r="C1" s="243"/>
      <c r="D1" s="243"/>
      <c r="E1" s="243"/>
      <c r="F1" s="243"/>
      <c r="G1" s="243"/>
      <c r="H1" s="243"/>
      <c r="I1" s="243"/>
      <c r="J1" s="243"/>
      <c r="K1" s="243"/>
      <c r="L1" s="243"/>
      <c r="M1" s="243"/>
      <c r="N1" s="243"/>
      <c r="O1" s="243"/>
      <c r="P1" s="243"/>
      <c r="Q1" s="243"/>
      <c r="R1" s="243"/>
      <c r="S1" s="243"/>
      <c r="T1" s="243"/>
      <c r="U1" s="243"/>
      <c r="V1" s="243"/>
      <c r="W1" s="243"/>
      <c r="X1" s="243"/>
      <c r="Y1" s="243"/>
      <c r="Z1" s="243"/>
      <c r="AA1" s="243"/>
      <c r="AB1" s="243"/>
      <c r="AC1" s="243"/>
      <c r="AD1" s="243"/>
      <c r="AE1" s="243"/>
      <c r="AF1" s="243"/>
      <c r="AG1" s="244" t="s">
        <v>1</v>
      </c>
      <c r="AH1" s="244"/>
      <c r="AI1" s="244"/>
      <c r="AL1" s="2"/>
    </row>
    <row r="2" spans="1:88" ht="20.25" hidden="1" x14ac:dyDescent="0.25">
      <c r="A2" s="3"/>
      <c r="B2" s="245" t="s">
        <v>2</v>
      </c>
      <c r="C2" s="4"/>
      <c r="D2" s="247" t="s">
        <v>3</v>
      </c>
      <c r="E2" s="4"/>
      <c r="F2" s="247" t="s">
        <v>4</v>
      </c>
      <c r="G2" s="4"/>
      <c r="H2" s="247" t="s">
        <v>5</v>
      </c>
      <c r="I2" s="5"/>
      <c r="J2" s="249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AG71</f>
        <v>1812.2049999999999</v>
      </c>
      <c r="AH2" s="11" t="s">
        <v>7</v>
      </c>
      <c r="AI2" s="12"/>
      <c r="AM2" s="13"/>
      <c r="AN2" s="14"/>
      <c r="AO2" s="14"/>
    </row>
    <row r="3" spans="1:88" ht="19.5" hidden="1" thickBot="1" x14ac:dyDescent="0.3">
      <c r="A3" s="15"/>
      <c r="B3" s="246"/>
      <c r="C3" s="16"/>
      <c r="D3" s="248"/>
      <c r="E3" s="16"/>
      <c r="F3" s="248"/>
      <c r="G3" s="16"/>
      <c r="H3" s="248"/>
      <c r="I3" s="17"/>
      <c r="J3" s="249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AG92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" hidden="1" customHeight="1" x14ac:dyDescent="0.25">
      <c r="A4" s="25" t="s">
        <v>11</v>
      </c>
      <c r="B4" s="238" t="str">
        <f ca="1">"2080/"&amp;"10/"&amp;INT(MID(CELL("filename",D6),FIND("]",CELL("filename",D6))+1,200))</f>
        <v>2080/10/0</v>
      </c>
      <c r="C4" s="238"/>
      <c r="D4" s="238"/>
      <c r="E4" s="239" t="str">
        <f ca="1">"2080/"&amp;"10/"&amp;INT(MID(CELL("filename",G6),FIND("]",CELL("filename",G6))+1,200))</f>
        <v>2080/10/0</v>
      </c>
      <c r="F4" s="239"/>
      <c r="G4" s="239"/>
      <c r="H4" s="239" t="str">
        <f ca="1">TEXT(E4,"dddd")</f>
        <v>2080/10/0</v>
      </c>
      <c r="I4" s="239"/>
      <c r="J4" s="26"/>
      <c r="K4" s="1" t="e">
        <f>"Total Peak Supply(Inclusive of Export) ("&amp;ROUND(#REF!,0)&amp;" MW)"&amp;"    IPP   = "&amp;ROUND(#REF!,0)&amp;" MW     NEA RoR = "&amp;ROUND(#REF!,0)&amp;" MWImport   = "&amp;ROUND(#REF!,0)&amp;" MW      KL1+KL2+K3 = "&amp;ROUND(#REF!,0)&amp;" MW    EXPORT = "&amp;ROUND(#REF!,0)</f>
        <v>#REF!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AG96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hidden="1" customHeight="1" x14ac:dyDescent="0.25">
      <c r="A5" s="29"/>
      <c r="B5" s="30">
        <f t="shared" ref="B5:AE5" si="0">C108</f>
        <v>0</v>
      </c>
      <c r="C5" s="30">
        <f t="shared" si="0"/>
        <v>25</v>
      </c>
      <c r="D5" s="30">
        <f t="shared" si="0"/>
        <v>0</v>
      </c>
      <c r="E5" s="30">
        <f t="shared" si="0"/>
        <v>0</v>
      </c>
      <c r="F5" s="30">
        <f t="shared" si="0"/>
        <v>0</v>
      </c>
      <c r="G5" s="30">
        <f t="shared" si="0"/>
        <v>0</v>
      </c>
      <c r="H5" s="30">
        <f t="shared" si="0"/>
        <v>0</v>
      </c>
      <c r="I5" s="30">
        <f t="shared" si="0"/>
        <v>0</v>
      </c>
      <c r="J5" s="30">
        <f t="shared" si="0"/>
        <v>0</v>
      </c>
      <c r="K5" s="30">
        <f t="shared" si="0"/>
        <v>0</v>
      </c>
      <c r="L5" s="30">
        <f t="shared" si="0"/>
        <v>0</v>
      </c>
      <c r="M5" s="30">
        <f t="shared" si="0"/>
        <v>0</v>
      </c>
      <c r="N5" s="30">
        <f t="shared" si="0"/>
        <v>0</v>
      </c>
      <c r="O5" s="30">
        <f t="shared" si="0"/>
        <v>0</v>
      </c>
      <c r="P5" s="30">
        <f t="shared" si="0"/>
        <v>0</v>
      </c>
      <c r="Q5" s="30">
        <f t="shared" si="0"/>
        <v>0</v>
      </c>
      <c r="R5" s="30">
        <f t="shared" si="0"/>
        <v>0</v>
      </c>
      <c r="S5" s="30">
        <f t="shared" si="0"/>
        <v>0</v>
      </c>
      <c r="T5" s="30">
        <f t="shared" si="0"/>
        <v>0</v>
      </c>
      <c r="U5" s="30">
        <f t="shared" si="0"/>
        <v>0</v>
      </c>
      <c r="V5" s="30">
        <f t="shared" si="0"/>
        <v>0</v>
      </c>
      <c r="W5" s="30">
        <f t="shared" si="0"/>
        <v>0</v>
      </c>
      <c r="X5" s="30">
        <f t="shared" si="0"/>
        <v>0</v>
      </c>
      <c r="Y5" s="30">
        <f t="shared" si="0"/>
        <v>0</v>
      </c>
      <c r="Z5" s="30">
        <f t="shared" si="0"/>
        <v>4.5</v>
      </c>
      <c r="AA5" s="30">
        <f>AB108</f>
        <v>16.100000000000001</v>
      </c>
      <c r="AB5" s="30">
        <f t="shared" si="0"/>
        <v>5.6</v>
      </c>
      <c r="AC5" s="30">
        <f t="shared" si="0"/>
        <v>9.6</v>
      </c>
      <c r="AD5" s="30">
        <f t="shared" si="0"/>
        <v>8.9</v>
      </c>
      <c r="AE5" s="30">
        <f t="shared" si="0"/>
        <v>6.6</v>
      </c>
      <c r="AF5" s="30">
        <f>B108</f>
        <v>0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24.75" hidden="1" customHeight="1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e">
        <f>"Evening Peak "&amp;ROUND(#REF!,0)&amp;"MW at "&amp;TRUNC(#REF!*24,0)&amp;":"&amp;ROUND((#REF!*24-TRUNC(#REF!*24,0))*60,0)&amp;"hr at "&amp;ROUND(#REF!,1)&amp;"Hz     "&amp;#REF!&amp;" "&amp;ROUND(#REF!,0)&amp;"MW at "&amp;TRUNC(#REF!*24,0)&amp;":"&amp;ROUND((#REF!*24-TRUNC(#REF!*24,0))*6,0)&amp;"0hr"</f>
        <v>#REF!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2408.1149999999998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Load=1368</v>
      </c>
      <c r="B7" s="35">
        <f t="shared" ref="B7:AF7" si="1">B116</f>
        <v>1806.3000000000002</v>
      </c>
      <c r="C7" s="35">
        <f t="shared" si="1"/>
        <v>1566.6999999999998</v>
      </c>
      <c r="D7" s="35">
        <f t="shared" si="1"/>
        <v>1480.5</v>
      </c>
      <c r="E7" s="35">
        <f t="shared" si="1"/>
        <v>1367.5</v>
      </c>
      <c r="F7" s="35">
        <f t="shared" si="1"/>
        <v>1660.1</v>
      </c>
      <c r="G7" s="35">
        <f t="shared" si="1"/>
        <v>1616.1000000000004</v>
      </c>
      <c r="H7" s="35">
        <f t="shared" si="1"/>
        <v>1620.2000000000003</v>
      </c>
      <c r="I7" s="35">
        <f t="shared" si="1"/>
        <v>1644.1000000000004</v>
      </c>
      <c r="J7" s="35">
        <f t="shared" si="1"/>
        <v>1629.4000000000003</v>
      </c>
      <c r="K7" s="35">
        <f t="shared" si="1"/>
        <v>1617.8000000000002</v>
      </c>
      <c r="L7" s="35">
        <f t="shared" si="1"/>
        <v>1666.1999999999998</v>
      </c>
      <c r="M7" s="35">
        <f t="shared" si="1"/>
        <v>1714.9999999999993</v>
      </c>
      <c r="N7" s="35">
        <f t="shared" si="1"/>
        <v>1746.3999999999996</v>
      </c>
      <c r="O7" s="35">
        <f t="shared" si="1"/>
        <v>1776.1499999999996</v>
      </c>
      <c r="P7" s="35">
        <f t="shared" si="1"/>
        <v>1736.6499999999999</v>
      </c>
      <c r="Q7" s="35">
        <f t="shared" si="1"/>
        <v>1740.7499999999995</v>
      </c>
      <c r="R7" s="35">
        <f t="shared" si="1"/>
        <v>1769.9699999999991</v>
      </c>
      <c r="S7" s="35">
        <f t="shared" si="1"/>
        <v>1835.9699999999993</v>
      </c>
      <c r="T7" s="35">
        <f t="shared" si="1"/>
        <v>1946.7699999999991</v>
      </c>
      <c r="U7" s="35">
        <f t="shared" si="1"/>
        <v>1896.1699999999992</v>
      </c>
      <c r="V7" s="35">
        <f t="shared" si="1"/>
        <v>1877.5699999999997</v>
      </c>
      <c r="W7" s="35">
        <f t="shared" si="1"/>
        <v>1954.9699999999998</v>
      </c>
      <c r="X7" s="35">
        <f t="shared" si="1"/>
        <v>1949.17</v>
      </c>
      <c r="Y7" s="35">
        <f t="shared" si="1"/>
        <v>1928.4199999999996</v>
      </c>
      <c r="Z7" s="35">
        <f t="shared" si="1"/>
        <v>2041.3499999999992</v>
      </c>
      <c r="AA7" s="35">
        <f t="shared" si="1"/>
        <v>2204.1699999999992</v>
      </c>
      <c r="AB7" s="35">
        <f>AB116</f>
        <v>2043.3000000000002</v>
      </c>
      <c r="AC7" s="35">
        <f t="shared" si="1"/>
        <v>1994.8000000000002</v>
      </c>
      <c r="AD7" s="35">
        <f t="shared" si="1"/>
        <v>2015.7000000000003</v>
      </c>
      <c r="AE7" s="35">
        <f t="shared" si="1"/>
        <v>1926.3999999999999</v>
      </c>
      <c r="AF7" s="35">
        <f t="shared" si="1"/>
        <v>1913.0999999999997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6.5" thickTop="1" thickBot="1" x14ac:dyDescent="0.3">
      <c r="A8" s="38"/>
      <c r="B8" s="240" t="s">
        <v>14</v>
      </c>
      <c r="C8" s="241"/>
      <c r="D8" s="241"/>
      <c r="E8" s="241"/>
      <c r="F8" s="241"/>
      <c r="G8" s="241"/>
      <c r="H8" s="241"/>
      <c r="I8" s="241"/>
      <c r="J8" s="241"/>
      <c r="K8" s="241"/>
      <c r="L8" s="242"/>
      <c r="M8" s="233" t="s">
        <v>15</v>
      </c>
      <c r="N8" s="234"/>
      <c r="O8" s="234"/>
      <c r="P8" s="234"/>
      <c r="Q8" s="234"/>
      <c r="R8" s="235"/>
      <c r="S8" s="233" t="s">
        <v>16</v>
      </c>
      <c r="T8" s="234"/>
      <c r="U8" s="234"/>
      <c r="V8" s="234"/>
      <c r="W8" s="234"/>
      <c r="X8" s="234"/>
      <c r="Y8" s="234"/>
      <c r="Z8" s="234"/>
      <c r="AA8" s="235"/>
      <c r="AB8" s="233" t="s">
        <v>17</v>
      </c>
      <c r="AC8" s="234"/>
      <c r="AD8" s="234"/>
      <c r="AE8" s="234"/>
      <c r="AF8" s="235"/>
      <c r="AG8" s="39"/>
      <c r="AH8" s="224"/>
      <c r="AI8" s="224"/>
      <c r="AL8" s="28"/>
      <c r="AM8" s="24"/>
      <c r="AN8" s="24"/>
      <c r="AO8" s="24"/>
      <c r="AP8" s="24"/>
      <c r="AQ8" s="24"/>
      <c r="AR8" s="24"/>
      <c r="AS8" s="24"/>
      <c r="AT8" s="40" t="str">
        <f>"DAILY SYSTEM PEAK : "&amp;MAX(AM22:BJ22)&amp;" MW"</f>
        <v>DAILY SYSTEM PEAK : 2747.07 MW</v>
      </c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thickBot="1" x14ac:dyDescent="0.3">
      <c r="A9" s="236" t="s">
        <v>18</v>
      </c>
      <c r="B9" s="230">
        <v>0</v>
      </c>
      <c r="C9" s="230">
        <v>4.1666666666666664E-2</v>
      </c>
      <c r="D9" s="230">
        <v>8.3333333333333301E-2</v>
      </c>
      <c r="E9" s="230">
        <v>0.125</v>
      </c>
      <c r="F9" s="230">
        <v>0.16666666666666699</v>
      </c>
      <c r="G9" s="230">
        <v>0.20833333333333301</v>
      </c>
      <c r="H9" s="230">
        <v>0.22916666666666699</v>
      </c>
      <c r="I9" s="230">
        <v>0.25</v>
      </c>
      <c r="J9" s="230">
        <v>0.27083333333333298</v>
      </c>
      <c r="K9" s="230">
        <v>0.29166666666666702</v>
      </c>
      <c r="L9" s="230">
        <v>0.3125</v>
      </c>
      <c r="M9" s="231">
        <v>0.33333333333333298</v>
      </c>
      <c r="N9" s="231">
        <v>0.375</v>
      </c>
      <c r="O9" s="231">
        <v>0.41666666666666702</v>
      </c>
      <c r="P9" s="231">
        <v>0.45833333333333298</v>
      </c>
      <c r="Q9" s="231">
        <v>0.5</v>
      </c>
      <c r="R9" s="231">
        <v>0.54166666666666696</v>
      </c>
      <c r="S9" s="224">
        <v>0.58333333333333304</v>
      </c>
      <c r="T9" s="224">
        <v>0.625</v>
      </c>
      <c r="U9" s="224">
        <v>0.66666666666666696</v>
      </c>
      <c r="V9" s="224">
        <v>0.70833333333333304</v>
      </c>
      <c r="W9" s="224">
        <v>0.72916666666666696</v>
      </c>
      <c r="X9" s="224">
        <v>0.75</v>
      </c>
      <c r="Y9" s="224">
        <v>0.77083333333333304</v>
      </c>
      <c r="Z9" s="224">
        <v>0.79166666666666696</v>
      </c>
      <c r="AA9" s="224">
        <v>0.8125</v>
      </c>
      <c r="AB9" s="224">
        <v>0.83333333333333304</v>
      </c>
      <c r="AC9" s="224">
        <v>0.85416666666666696</v>
      </c>
      <c r="AD9" s="224">
        <v>0.875</v>
      </c>
      <c r="AE9" s="224">
        <v>0.91666666666666696</v>
      </c>
      <c r="AF9" s="224">
        <v>0.95833333333333304</v>
      </c>
      <c r="AG9" s="226" t="s">
        <v>1</v>
      </c>
      <c r="AH9" s="225"/>
      <c r="AI9" s="225"/>
      <c r="AL9" s="28"/>
      <c r="AM9" s="24"/>
      <c r="AN9" s="24"/>
      <c r="AO9" s="24"/>
      <c r="AP9" s="24"/>
      <c r="AQ9" s="24"/>
      <c r="AR9" s="24"/>
      <c r="AS9" s="24"/>
      <c r="AT9" s="40" t="str">
        <f>"DAILY NATIONAL PEAK : "&amp;MAX(AM25:BJ25)&amp;" MW"</f>
        <v>DAILY NATIONAL PEAK : 2043.3 MW</v>
      </c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6.5" thickTop="1" thickBot="1" x14ac:dyDescent="0.3">
      <c r="A10" s="237"/>
      <c r="B10" s="230"/>
      <c r="C10" s="230"/>
      <c r="D10" s="230"/>
      <c r="E10" s="230"/>
      <c r="F10" s="230"/>
      <c r="G10" s="230"/>
      <c r="H10" s="225"/>
      <c r="I10" s="225"/>
      <c r="J10" s="225"/>
      <c r="K10" s="225"/>
      <c r="L10" s="225"/>
      <c r="M10" s="232"/>
      <c r="N10" s="232"/>
      <c r="O10" s="232"/>
      <c r="P10" s="232"/>
      <c r="Q10" s="232"/>
      <c r="R10" s="232"/>
      <c r="S10" s="225"/>
      <c r="T10" s="225"/>
      <c r="U10" s="225"/>
      <c r="V10" s="225"/>
      <c r="W10" s="225"/>
      <c r="X10" s="225"/>
      <c r="Y10" s="225"/>
      <c r="Z10" s="225"/>
      <c r="AA10" s="225"/>
      <c r="AB10" s="225"/>
      <c r="AC10" s="225"/>
      <c r="AD10" s="225"/>
      <c r="AE10" s="225"/>
      <c r="AF10" s="225"/>
      <c r="AG10" s="227"/>
      <c r="AH10" s="41" t="s">
        <v>19</v>
      </c>
      <c r="AI10" s="41" t="s">
        <v>20</v>
      </c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customHeight="1" thickTop="1" x14ac:dyDescent="0.25">
      <c r="A11" s="42" t="s">
        <v>21</v>
      </c>
      <c r="B11" s="43">
        <v>86</v>
      </c>
      <c r="C11" s="43">
        <v>86</v>
      </c>
      <c r="D11" s="43"/>
      <c r="E11" s="43"/>
      <c r="F11" s="43">
        <v>86.9</v>
      </c>
      <c r="G11" s="43">
        <v>90</v>
      </c>
      <c r="H11" s="43">
        <v>90</v>
      </c>
      <c r="I11" s="43">
        <v>90</v>
      </c>
      <c r="J11" s="43">
        <v>90</v>
      </c>
      <c r="K11" s="43">
        <v>90</v>
      </c>
      <c r="L11" s="43">
        <v>90</v>
      </c>
      <c r="M11" s="43">
        <v>90.3</v>
      </c>
      <c r="N11" s="43">
        <v>90.3</v>
      </c>
      <c r="O11" s="43">
        <v>90.4</v>
      </c>
      <c r="P11" s="43">
        <v>90.4</v>
      </c>
      <c r="Q11" s="43">
        <v>90.4</v>
      </c>
      <c r="R11" s="43">
        <v>90.4</v>
      </c>
      <c r="S11" s="43">
        <v>90.4</v>
      </c>
      <c r="T11" s="43">
        <v>90.4</v>
      </c>
      <c r="U11" s="43">
        <v>90.4</v>
      </c>
      <c r="V11" s="43">
        <v>90.4</v>
      </c>
      <c r="W11" s="43">
        <v>90.4</v>
      </c>
      <c r="X11" s="43">
        <v>90.4</v>
      </c>
      <c r="Y11" s="43">
        <v>90.4</v>
      </c>
      <c r="Z11" s="43">
        <v>90.4</v>
      </c>
      <c r="AA11" s="43">
        <v>90.4</v>
      </c>
      <c r="AB11" s="44">
        <v>90.5</v>
      </c>
      <c r="AC11" s="44">
        <v>90.5</v>
      </c>
      <c r="AD11" s="44">
        <v>90.5</v>
      </c>
      <c r="AE11" s="44">
        <v>90.5</v>
      </c>
      <c r="AF11" s="44">
        <v>90.5</v>
      </c>
      <c r="AG11" s="45">
        <v>86</v>
      </c>
      <c r="AH11" s="46">
        <f t="shared" ref="AH11:AH74" si="2">MAX(B11:AF11)</f>
        <v>90.5</v>
      </c>
      <c r="AI11" s="47">
        <f t="shared" ref="AI11:AI74" si="3">MIN(B11:AF11)</f>
        <v>86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2" t="s">
        <v>22</v>
      </c>
      <c r="B12" s="43">
        <v>82.9</v>
      </c>
      <c r="C12" s="43">
        <v>82.9</v>
      </c>
      <c r="D12" s="43"/>
      <c r="E12" s="43"/>
      <c r="F12" s="43">
        <v>82.9</v>
      </c>
      <c r="G12" s="43">
        <v>90</v>
      </c>
      <c r="H12" s="43">
        <v>90</v>
      </c>
      <c r="I12" s="43">
        <v>90</v>
      </c>
      <c r="J12" s="43">
        <v>90</v>
      </c>
      <c r="K12" s="43">
        <v>90</v>
      </c>
      <c r="L12" s="43">
        <v>90</v>
      </c>
      <c r="M12" s="43">
        <v>90</v>
      </c>
      <c r="N12" s="43">
        <v>90</v>
      </c>
      <c r="O12" s="43">
        <v>90</v>
      </c>
      <c r="P12" s="43">
        <v>90.1</v>
      </c>
      <c r="Q12" s="43">
        <v>90.1</v>
      </c>
      <c r="R12" s="43">
        <v>90.1</v>
      </c>
      <c r="S12" s="43">
        <v>90.1</v>
      </c>
      <c r="T12" s="43">
        <v>90.1</v>
      </c>
      <c r="U12" s="43">
        <v>90.1</v>
      </c>
      <c r="V12" s="43">
        <v>90.1</v>
      </c>
      <c r="W12" s="43">
        <v>90.1</v>
      </c>
      <c r="X12" s="43">
        <v>90.1</v>
      </c>
      <c r="Y12" s="43">
        <v>90.1</v>
      </c>
      <c r="Z12" s="43">
        <v>90.1</v>
      </c>
      <c r="AA12" s="43">
        <v>90.1</v>
      </c>
      <c r="AB12" s="44">
        <v>90</v>
      </c>
      <c r="AC12" s="44">
        <v>90</v>
      </c>
      <c r="AD12" s="44">
        <v>90</v>
      </c>
      <c r="AE12" s="44">
        <v>90</v>
      </c>
      <c r="AF12" s="44">
        <v>90</v>
      </c>
      <c r="AG12" s="48">
        <v>82</v>
      </c>
      <c r="AH12" s="46">
        <f t="shared" si="2"/>
        <v>90.1</v>
      </c>
      <c r="AI12" s="47">
        <f t="shared" si="3"/>
        <v>82.9</v>
      </c>
      <c r="AK12" s="49"/>
      <c r="AL12" s="50" t="str">
        <f ca="1">MID(CELL("filename",C7),FIND("]",CELL("filename",C7))+1,600)</f>
        <v>00</v>
      </c>
      <c r="AM12" s="51"/>
      <c r="AN12" s="51"/>
      <c r="AO12" s="51"/>
      <c r="AP12" s="51"/>
      <c r="AQ12" s="51"/>
      <c r="AR12" s="51"/>
      <c r="AS12" s="51"/>
      <c r="AT12" s="51"/>
      <c r="AU12" s="51"/>
      <c r="AV12" s="51"/>
      <c r="AW12" s="51"/>
      <c r="AX12" s="51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2" t="s">
        <v>23</v>
      </c>
      <c r="B13" s="43">
        <v>40.6</v>
      </c>
      <c r="C13" s="43">
        <v>10.3</v>
      </c>
      <c r="D13" s="43"/>
      <c r="E13" s="43"/>
      <c r="F13" s="43">
        <v>10.3</v>
      </c>
      <c r="G13" s="43">
        <v>10.3</v>
      </c>
      <c r="H13" s="43">
        <v>10.3</v>
      </c>
      <c r="I13" s="43">
        <v>10.3</v>
      </c>
      <c r="J13" s="43">
        <v>10.3</v>
      </c>
      <c r="K13" s="43">
        <v>10.3</v>
      </c>
      <c r="L13" s="43">
        <v>38.299999999999997</v>
      </c>
      <c r="M13" s="43">
        <v>30.6</v>
      </c>
      <c r="N13" s="43">
        <v>30.6</v>
      </c>
      <c r="O13" s="43">
        <v>47.5</v>
      </c>
      <c r="P13" s="43">
        <v>47.5</v>
      </c>
      <c r="Q13" s="43">
        <v>35.5</v>
      </c>
      <c r="R13" s="43">
        <v>66.900000000000006</v>
      </c>
      <c r="S13" s="43">
        <v>66.900000000000006</v>
      </c>
      <c r="T13" s="43">
        <v>66.900000000000006</v>
      </c>
      <c r="U13" s="43">
        <v>66.900000000000006</v>
      </c>
      <c r="V13" s="43">
        <v>66.900000000000006</v>
      </c>
      <c r="W13" s="43">
        <v>66.900000000000006</v>
      </c>
      <c r="X13" s="43">
        <v>66.900000000000006</v>
      </c>
      <c r="Y13" s="43">
        <v>66.900000000000006</v>
      </c>
      <c r="Z13" s="43">
        <v>66.900000000000006</v>
      </c>
      <c r="AA13" s="43">
        <v>66.900000000000006</v>
      </c>
      <c r="AB13" s="44">
        <v>39.5</v>
      </c>
      <c r="AC13" s="44">
        <v>30</v>
      </c>
      <c r="AD13" s="44">
        <v>25</v>
      </c>
      <c r="AE13" s="44">
        <v>19.8</v>
      </c>
      <c r="AF13" s="44">
        <v>19.8</v>
      </c>
      <c r="AG13" s="48">
        <v>78</v>
      </c>
      <c r="AH13" s="46">
        <f t="shared" si="2"/>
        <v>66.900000000000006</v>
      </c>
      <c r="AI13" s="47">
        <f t="shared" si="3"/>
        <v>10.3</v>
      </c>
      <c r="AK13" s="49"/>
      <c r="AL13" s="50" t="str">
        <f ca="1">"Daily Load Curve(Excluding of Export) of Nepal ("&amp;A4&amp;" "&amp;B4&amp;")"</f>
        <v>Daily Load Curve(Excluding of Export) of Nepal (Nepali Date: 2080/10/0)</v>
      </c>
      <c r="AM13" s="51"/>
      <c r="AN13" s="51"/>
      <c r="AO13" s="51"/>
      <c r="AP13" s="51"/>
      <c r="AQ13" s="51"/>
      <c r="AR13" s="51"/>
      <c r="AS13" s="51"/>
      <c r="AT13" s="51"/>
      <c r="AU13" s="51"/>
      <c r="AV13" s="51"/>
      <c r="AW13" s="51"/>
      <c r="AX13" s="51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ht="15.75" thickBot="1" x14ac:dyDescent="0.3">
      <c r="A14" s="42" t="s">
        <v>24</v>
      </c>
      <c r="B14" s="43">
        <v>0</v>
      </c>
      <c r="C14" s="43">
        <v>0</v>
      </c>
      <c r="D14" s="43">
        <v>0</v>
      </c>
      <c r="E14" s="43">
        <v>0</v>
      </c>
      <c r="F14" s="43">
        <v>0</v>
      </c>
      <c r="G14" s="43">
        <v>0</v>
      </c>
      <c r="H14" s="43">
        <v>0</v>
      </c>
      <c r="I14" s="43">
        <v>0</v>
      </c>
      <c r="J14" s="43">
        <v>0</v>
      </c>
      <c r="K14" s="43">
        <v>0</v>
      </c>
      <c r="L14" s="43">
        <v>0</v>
      </c>
      <c r="M14" s="43">
        <v>0</v>
      </c>
      <c r="N14" s="43">
        <v>0</v>
      </c>
      <c r="O14" s="43">
        <v>0</v>
      </c>
      <c r="P14" s="43">
        <v>0</v>
      </c>
      <c r="Q14" s="43">
        <v>0</v>
      </c>
      <c r="R14" s="43">
        <v>0</v>
      </c>
      <c r="S14" s="43">
        <v>0</v>
      </c>
      <c r="T14" s="43">
        <v>0</v>
      </c>
      <c r="U14" s="43">
        <v>0</v>
      </c>
      <c r="V14" s="43">
        <v>0</v>
      </c>
      <c r="W14" s="43">
        <v>0</v>
      </c>
      <c r="X14" s="43">
        <v>0</v>
      </c>
      <c r="Y14" s="43">
        <v>0</v>
      </c>
      <c r="Z14" s="43">
        <v>0</v>
      </c>
      <c r="AA14" s="43">
        <v>0</v>
      </c>
      <c r="AB14" s="44">
        <v>0</v>
      </c>
      <c r="AC14" s="44">
        <v>0</v>
      </c>
      <c r="AD14" s="44">
        <v>0</v>
      </c>
      <c r="AE14" s="44">
        <v>0</v>
      </c>
      <c r="AF14" s="44">
        <v>0</v>
      </c>
      <c r="AG14" s="48">
        <v>77</v>
      </c>
      <c r="AH14" s="46">
        <f t="shared" si="2"/>
        <v>0</v>
      </c>
      <c r="AI14" s="47">
        <f t="shared" si="3"/>
        <v>0</v>
      </c>
      <c r="AK14" s="49"/>
      <c r="AL14" s="51"/>
      <c r="AM14" s="51"/>
      <c r="AN14" s="51"/>
      <c r="AO14" s="51"/>
      <c r="AP14" s="51"/>
      <c r="AQ14" s="51"/>
      <c r="AR14" s="51"/>
      <c r="AS14" s="51"/>
      <c r="AT14" s="51"/>
      <c r="AU14" s="51"/>
      <c r="AV14" s="51"/>
      <c r="AW14" s="51"/>
      <c r="AX14" s="51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ht="15.75" thickTop="1" x14ac:dyDescent="0.25">
      <c r="A15" s="42" t="s">
        <v>25</v>
      </c>
      <c r="B15" s="43">
        <v>73.5</v>
      </c>
      <c r="C15" s="43">
        <v>73.5</v>
      </c>
      <c r="D15" s="43">
        <v>73.5</v>
      </c>
      <c r="E15" s="43">
        <v>73.5</v>
      </c>
      <c r="F15" s="43">
        <v>73.5</v>
      </c>
      <c r="G15" s="43">
        <v>73.5</v>
      </c>
      <c r="H15" s="43">
        <v>73.5</v>
      </c>
      <c r="I15" s="43">
        <v>73.5</v>
      </c>
      <c r="J15" s="43">
        <v>73.5</v>
      </c>
      <c r="K15" s="43">
        <v>73.5</v>
      </c>
      <c r="L15" s="43">
        <v>73.5</v>
      </c>
      <c r="M15" s="43">
        <v>73.5</v>
      </c>
      <c r="N15" s="43">
        <v>73.5</v>
      </c>
      <c r="O15" s="43">
        <v>73.7</v>
      </c>
      <c r="P15" s="43">
        <v>73.7</v>
      </c>
      <c r="Q15" s="43">
        <v>73.7</v>
      </c>
      <c r="R15" s="43">
        <v>73.7</v>
      </c>
      <c r="S15" s="43">
        <v>73.7</v>
      </c>
      <c r="T15" s="43">
        <v>73.7</v>
      </c>
      <c r="U15" s="43">
        <v>73.7</v>
      </c>
      <c r="V15" s="43">
        <v>73.7</v>
      </c>
      <c r="W15" s="43">
        <v>73.7</v>
      </c>
      <c r="X15" s="43">
        <v>73.7</v>
      </c>
      <c r="Y15" s="43">
        <v>73.7</v>
      </c>
      <c r="Z15" s="43">
        <v>73.7</v>
      </c>
      <c r="AA15" s="43">
        <v>73.7</v>
      </c>
      <c r="AB15" s="44">
        <v>73.7</v>
      </c>
      <c r="AC15" s="44">
        <v>73.8</v>
      </c>
      <c r="AD15" s="44">
        <v>73.8</v>
      </c>
      <c r="AE15" s="44">
        <v>73.8</v>
      </c>
      <c r="AF15" s="44">
        <v>73.8</v>
      </c>
      <c r="AG15" s="48">
        <v>73</v>
      </c>
      <c r="AH15" s="46">
        <f t="shared" si="2"/>
        <v>73.8</v>
      </c>
      <c r="AI15" s="47">
        <f t="shared" si="3"/>
        <v>73.5</v>
      </c>
      <c r="AK15" s="49"/>
      <c r="AL15" s="52" t="s">
        <v>26</v>
      </c>
      <c r="AM15" s="53">
        <v>0</v>
      </c>
      <c r="AN15" s="54">
        <v>4.1666666666666699E-2</v>
      </c>
      <c r="AO15" s="55">
        <v>8.3333333333333301E-2</v>
      </c>
      <c r="AP15" s="55">
        <v>0.125</v>
      </c>
      <c r="AQ15" s="55">
        <v>0.16666666666666699</v>
      </c>
      <c r="AR15" s="55">
        <v>0.20833333333333301</v>
      </c>
      <c r="AS15" s="55">
        <v>0.25</v>
      </c>
      <c r="AT15" s="55">
        <v>0.29166666666666702</v>
      </c>
      <c r="AU15" s="56">
        <v>0.33333333333333298</v>
      </c>
      <c r="AV15" s="56">
        <v>0.375</v>
      </c>
      <c r="AW15" s="56">
        <v>0.41666666666666702</v>
      </c>
      <c r="AX15" s="56">
        <v>0.45833333333333298</v>
      </c>
      <c r="AY15" s="56">
        <v>0.5</v>
      </c>
      <c r="AZ15" s="56">
        <v>0.54166666666666596</v>
      </c>
      <c r="BA15" s="56">
        <v>0.58333333333333304</v>
      </c>
      <c r="BB15" s="56">
        <v>0.625</v>
      </c>
      <c r="BC15" s="56">
        <v>0.66666666666666596</v>
      </c>
      <c r="BD15" s="56">
        <v>0.70833333333333304</v>
      </c>
      <c r="BE15" s="56">
        <v>0.75</v>
      </c>
      <c r="BF15" s="56">
        <v>0.79166666666666596</v>
      </c>
      <c r="BG15" s="56">
        <v>0.83333333333333304</v>
      </c>
      <c r="BH15" s="56">
        <v>0.875</v>
      </c>
      <c r="BI15" s="56">
        <v>0.91666666666666596</v>
      </c>
      <c r="BJ15" s="56">
        <v>0.95833333333333304</v>
      </c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2" t="s">
        <v>27</v>
      </c>
      <c r="B16" s="43">
        <v>65</v>
      </c>
      <c r="C16" s="43">
        <v>26</v>
      </c>
      <c r="D16" s="43">
        <v>26</v>
      </c>
      <c r="E16" s="43">
        <v>26</v>
      </c>
      <c r="F16" s="43">
        <v>26</v>
      </c>
      <c r="G16" s="43">
        <v>26</v>
      </c>
      <c r="H16" s="43">
        <v>26</v>
      </c>
      <c r="I16" s="43">
        <v>26</v>
      </c>
      <c r="J16" s="43">
        <v>26</v>
      </c>
      <c r="K16" s="43">
        <v>26</v>
      </c>
      <c r="L16" s="43">
        <v>44.3</v>
      </c>
      <c r="M16" s="43">
        <v>44.4</v>
      </c>
      <c r="N16" s="43">
        <v>44.4</v>
      </c>
      <c r="O16" s="43">
        <v>50.7</v>
      </c>
      <c r="P16" s="43">
        <v>50.7</v>
      </c>
      <c r="Q16" s="43">
        <v>50.7</v>
      </c>
      <c r="R16" s="43">
        <v>71.5</v>
      </c>
      <c r="S16" s="43">
        <v>71.5</v>
      </c>
      <c r="T16" s="43">
        <v>71.5</v>
      </c>
      <c r="U16" s="43">
        <v>71.5</v>
      </c>
      <c r="V16" s="43">
        <v>71.5</v>
      </c>
      <c r="W16" s="43">
        <v>71.5</v>
      </c>
      <c r="X16" s="43">
        <v>71.5</v>
      </c>
      <c r="Y16" s="43">
        <v>71.5</v>
      </c>
      <c r="Z16" s="43">
        <v>71.5</v>
      </c>
      <c r="AA16" s="43">
        <v>71.5</v>
      </c>
      <c r="AB16" s="44">
        <v>66</v>
      </c>
      <c r="AC16" s="44">
        <v>66</v>
      </c>
      <c r="AD16" s="44">
        <v>66</v>
      </c>
      <c r="AE16" s="44">
        <v>57.2</v>
      </c>
      <c r="AF16" s="44">
        <v>57.2</v>
      </c>
      <c r="AG16" s="48">
        <v>71</v>
      </c>
      <c r="AH16" s="46">
        <f t="shared" si="2"/>
        <v>71.5</v>
      </c>
      <c r="AI16" s="47">
        <f t="shared" si="3"/>
        <v>26</v>
      </c>
      <c r="AK16" s="49"/>
      <c r="AL16" s="52" t="s">
        <v>7</v>
      </c>
      <c r="AM16" s="57">
        <f t="shared" ref="AM16:AR16" si="4">B71</f>
        <v>1532.7</v>
      </c>
      <c r="AN16" s="57">
        <f t="shared" si="4"/>
        <v>1386.3</v>
      </c>
      <c r="AO16" s="57">
        <f t="shared" si="4"/>
        <v>1207.1000000000001</v>
      </c>
      <c r="AP16" s="57">
        <f t="shared" si="4"/>
        <v>1207.1000000000001</v>
      </c>
      <c r="AQ16" s="57">
        <f t="shared" si="4"/>
        <v>1387.2</v>
      </c>
      <c r="AR16" s="57">
        <f t="shared" si="4"/>
        <v>1397.4</v>
      </c>
      <c r="AS16" s="57">
        <f>I71</f>
        <v>1397.4</v>
      </c>
      <c r="AT16" s="57">
        <f>K71</f>
        <v>1424.6000000000001</v>
      </c>
      <c r="AU16" s="57">
        <f t="shared" ref="AU16:BD16" si="5">M71</f>
        <v>1584.6999999999996</v>
      </c>
      <c r="AV16" s="57">
        <f t="shared" si="5"/>
        <v>1584.6999999999996</v>
      </c>
      <c r="AW16" s="57">
        <f t="shared" si="5"/>
        <v>1640.7499999999995</v>
      </c>
      <c r="AX16" s="57">
        <f t="shared" si="5"/>
        <v>1643.6499999999996</v>
      </c>
      <c r="AY16" s="57">
        <f t="shared" si="5"/>
        <v>1631.6499999999996</v>
      </c>
      <c r="AZ16" s="57">
        <f t="shared" si="5"/>
        <v>1744.6699999999994</v>
      </c>
      <c r="BA16" s="57">
        <f t="shared" si="5"/>
        <v>1744.6699999999994</v>
      </c>
      <c r="BB16" s="57">
        <f t="shared" si="5"/>
        <v>1744.6699999999994</v>
      </c>
      <c r="BC16" s="57">
        <f t="shared" si="5"/>
        <v>1744.6699999999994</v>
      </c>
      <c r="BD16" s="57">
        <f t="shared" si="5"/>
        <v>1744.6699999999994</v>
      </c>
      <c r="BE16" s="58">
        <f>X71</f>
        <v>1744.6699999999994</v>
      </c>
      <c r="BF16" s="58">
        <f>Z71</f>
        <v>1744.6699999999994</v>
      </c>
      <c r="BG16" s="58">
        <f>AB71</f>
        <v>1571.8999999999999</v>
      </c>
      <c r="BH16" s="58">
        <f>AD71</f>
        <v>1575.3999999999999</v>
      </c>
      <c r="BI16" s="58">
        <f>AE71</f>
        <v>1557.9999999999998</v>
      </c>
      <c r="BJ16" s="58">
        <f>AF71</f>
        <v>1557.9999999999998</v>
      </c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2" t="s">
        <v>28</v>
      </c>
      <c r="B17" s="44">
        <v>38.700000000000003</v>
      </c>
      <c r="C17" s="44">
        <v>11.4</v>
      </c>
      <c r="D17" s="44">
        <v>11.4</v>
      </c>
      <c r="E17" s="44">
        <v>11.4</v>
      </c>
      <c r="F17" s="44">
        <v>11.4</v>
      </c>
      <c r="G17" s="44">
        <v>11.4</v>
      </c>
      <c r="H17" s="44">
        <v>11.4</v>
      </c>
      <c r="I17" s="44">
        <v>11.4</v>
      </c>
      <c r="J17" s="44">
        <v>11.4</v>
      </c>
      <c r="K17" s="44">
        <v>11.4</v>
      </c>
      <c r="L17" s="44">
        <v>28</v>
      </c>
      <c r="M17" s="44">
        <v>27.9</v>
      </c>
      <c r="N17" s="44">
        <v>27.9</v>
      </c>
      <c r="O17" s="44">
        <v>33.4</v>
      </c>
      <c r="P17" s="44">
        <v>33.4</v>
      </c>
      <c r="Q17" s="44">
        <v>33.4</v>
      </c>
      <c r="R17" s="44">
        <v>44.5</v>
      </c>
      <c r="S17" s="44">
        <v>44.5</v>
      </c>
      <c r="T17" s="44">
        <v>44.5</v>
      </c>
      <c r="U17" s="44">
        <v>44.5</v>
      </c>
      <c r="V17" s="44">
        <v>44.5</v>
      </c>
      <c r="W17" s="44">
        <v>44.5</v>
      </c>
      <c r="X17" s="44">
        <v>44.5</v>
      </c>
      <c r="Y17" s="44">
        <v>44.5</v>
      </c>
      <c r="Z17" s="44">
        <v>44.5</v>
      </c>
      <c r="AA17" s="44">
        <v>44.5</v>
      </c>
      <c r="AB17" s="44">
        <v>27.8</v>
      </c>
      <c r="AC17" s="44">
        <v>27.8</v>
      </c>
      <c r="AD17" s="44">
        <v>27.8</v>
      </c>
      <c r="AE17" s="44">
        <v>27.8</v>
      </c>
      <c r="AF17" s="44">
        <v>27.8</v>
      </c>
      <c r="AG17" s="45">
        <v>54</v>
      </c>
      <c r="AH17" s="46">
        <f t="shared" si="2"/>
        <v>44.5</v>
      </c>
      <c r="AI17" s="47">
        <f t="shared" si="3"/>
        <v>11.4</v>
      </c>
      <c r="AK17" s="49"/>
      <c r="AL17" s="52" t="s">
        <v>29</v>
      </c>
      <c r="AM17" s="57">
        <f t="shared" ref="AM17:AR17" si="6">B78</f>
        <v>586.69999999999993</v>
      </c>
      <c r="AN17" s="57">
        <f t="shared" si="6"/>
        <v>562</v>
      </c>
      <c r="AO17" s="57">
        <f t="shared" si="6"/>
        <v>562</v>
      </c>
      <c r="AP17" s="57">
        <f t="shared" si="6"/>
        <v>562</v>
      </c>
      <c r="AQ17" s="57">
        <f t="shared" si="6"/>
        <v>562</v>
      </c>
      <c r="AR17" s="57">
        <f t="shared" si="6"/>
        <v>562</v>
      </c>
      <c r="AS17" s="57">
        <f>I78</f>
        <v>559.9</v>
      </c>
      <c r="AT17" s="57">
        <f>K78</f>
        <v>572.19999999999993</v>
      </c>
      <c r="AU17" s="57">
        <f t="shared" ref="AU17:BD17" si="7">M78</f>
        <v>577.9</v>
      </c>
      <c r="AV17" s="57">
        <f t="shared" si="7"/>
        <v>576</v>
      </c>
      <c r="AW17" s="57">
        <f t="shared" si="7"/>
        <v>587.9</v>
      </c>
      <c r="AX17" s="57">
        <f t="shared" si="7"/>
        <v>587.80000000000007</v>
      </c>
      <c r="AY17" s="57">
        <f t="shared" si="7"/>
        <v>587.20000000000005</v>
      </c>
      <c r="AZ17" s="57">
        <f t="shared" si="7"/>
        <v>587</v>
      </c>
      <c r="BA17" s="57">
        <f t="shared" si="7"/>
        <v>587</v>
      </c>
      <c r="BB17" s="57">
        <f t="shared" si="7"/>
        <v>587.20000000000005</v>
      </c>
      <c r="BC17" s="57">
        <f t="shared" si="7"/>
        <v>587.30000000000007</v>
      </c>
      <c r="BD17" s="57">
        <f t="shared" si="7"/>
        <v>587.00000000000011</v>
      </c>
      <c r="BE17" s="58">
        <f>X78</f>
        <v>587.90000000000009</v>
      </c>
      <c r="BF17" s="58">
        <f>Z78</f>
        <v>587.70000000000005</v>
      </c>
      <c r="BG17" s="58">
        <f>AB78</f>
        <v>588.1</v>
      </c>
      <c r="BH17" s="58">
        <f>AD78</f>
        <v>588.1</v>
      </c>
      <c r="BI17" s="58">
        <f>AE78</f>
        <v>588.1</v>
      </c>
      <c r="BJ17" s="58">
        <f>AF78</f>
        <v>588.1</v>
      </c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2" t="s">
        <v>30</v>
      </c>
      <c r="B18" s="44">
        <v>5.6</v>
      </c>
      <c r="C18" s="44">
        <v>43.3</v>
      </c>
      <c r="D18" s="44">
        <v>43.3</v>
      </c>
      <c r="E18" s="44">
        <v>43.3</v>
      </c>
      <c r="F18" s="44">
        <v>43.3</v>
      </c>
      <c r="G18" s="44">
        <v>43.3</v>
      </c>
      <c r="H18" s="44">
        <v>43.3</v>
      </c>
      <c r="I18" s="44">
        <v>43.3</v>
      </c>
      <c r="J18" s="44">
        <v>43.3</v>
      </c>
      <c r="K18" s="44">
        <v>43.3</v>
      </c>
      <c r="L18" s="44">
        <v>40</v>
      </c>
      <c r="M18" s="44">
        <v>45</v>
      </c>
      <c r="N18" s="44">
        <v>45</v>
      </c>
      <c r="O18" s="44">
        <v>50</v>
      </c>
      <c r="P18" s="44">
        <v>52.1</v>
      </c>
      <c r="Q18" s="44">
        <v>52.1</v>
      </c>
      <c r="R18" s="44">
        <v>49</v>
      </c>
      <c r="S18" s="44">
        <v>49</v>
      </c>
      <c r="T18" s="44">
        <v>49</v>
      </c>
      <c r="U18" s="44">
        <v>49</v>
      </c>
      <c r="V18" s="44">
        <v>49</v>
      </c>
      <c r="W18" s="44">
        <v>49</v>
      </c>
      <c r="X18" s="44">
        <v>49</v>
      </c>
      <c r="Y18" s="44">
        <v>49</v>
      </c>
      <c r="Z18" s="44">
        <v>49</v>
      </c>
      <c r="AA18" s="44">
        <v>49</v>
      </c>
      <c r="AB18" s="44">
        <v>30</v>
      </c>
      <c r="AC18" s="44">
        <v>30</v>
      </c>
      <c r="AD18" s="44">
        <v>30</v>
      </c>
      <c r="AE18" s="44">
        <v>0</v>
      </c>
      <c r="AF18" s="44">
        <v>0</v>
      </c>
      <c r="AG18" s="48">
        <v>52.465000000000003</v>
      </c>
      <c r="AH18" s="46">
        <f t="shared" si="2"/>
        <v>52.1</v>
      </c>
      <c r="AI18" s="47">
        <f t="shared" si="3"/>
        <v>0</v>
      </c>
      <c r="AK18" s="49"/>
      <c r="AL18" s="52" t="s">
        <v>31</v>
      </c>
      <c r="AM18" s="57">
        <f t="shared" ref="AM18:AR18" si="8">B92</f>
        <v>404.9</v>
      </c>
      <c r="AN18" s="57">
        <f t="shared" si="8"/>
        <v>316.40000000000003</v>
      </c>
      <c r="AO18" s="57">
        <f t="shared" si="8"/>
        <v>316.40000000000003</v>
      </c>
      <c r="AP18" s="57">
        <f t="shared" si="8"/>
        <v>316.40000000000003</v>
      </c>
      <c r="AQ18" s="57">
        <f t="shared" si="8"/>
        <v>316.40000000000003</v>
      </c>
      <c r="AR18" s="57">
        <f t="shared" si="8"/>
        <v>316.40000000000003</v>
      </c>
      <c r="AS18" s="57">
        <f>I92</f>
        <v>332.40000000000003</v>
      </c>
      <c r="AT18" s="57">
        <f>K92</f>
        <v>343.1</v>
      </c>
      <c r="AU18" s="57">
        <f t="shared" ref="AU18:BD18" si="9">M92</f>
        <v>367.7</v>
      </c>
      <c r="AV18" s="57">
        <f t="shared" si="9"/>
        <v>368.7</v>
      </c>
      <c r="AW18" s="57">
        <f t="shared" si="9"/>
        <v>410.29999999999995</v>
      </c>
      <c r="AX18" s="57">
        <f t="shared" si="9"/>
        <v>409.39999999999992</v>
      </c>
      <c r="AY18" s="57">
        <f t="shared" si="9"/>
        <v>398.39999999999992</v>
      </c>
      <c r="AZ18" s="57">
        <f t="shared" si="9"/>
        <v>333.40000000000003</v>
      </c>
      <c r="BA18" s="57">
        <f t="shared" si="9"/>
        <v>374.90000000000003</v>
      </c>
      <c r="BB18" s="57">
        <f t="shared" si="9"/>
        <v>415.2</v>
      </c>
      <c r="BC18" s="57">
        <f t="shared" si="9"/>
        <v>403.70000000000005</v>
      </c>
      <c r="BD18" s="57">
        <f t="shared" si="9"/>
        <v>389.3</v>
      </c>
      <c r="BE18" s="58">
        <f>X92</f>
        <v>333.30000000000007</v>
      </c>
      <c r="BF18" s="58">
        <f>Z92</f>
        <v>389.18000000000006</v>
      </c>
      <c r="BG18" s="58">
        <f>AB92</f>
        <v>401.2000000000001</v>
      </c>
      <c r="BH18" s="58">
        <f>AD92</f>
        <v>401.2000000000001</v>
      </c>
      <c r="BI18" s="58">
        <f>AE92</f>
        <v>396.60000000000008</v>
      </c>
      <c r="BJ18" s="58">
        <f>AF92</f>
        <v>396.60000000000008</v>
      </c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2" t="s">
        <v>32</v>
      </c>
      <c r="B19" s="44">
        <v>0</v>
      </c>
      <c r="C19" s="44">
        <v>0</v>
      </c>
      <c r="D19" s="44">
        <v>0</v>
      </c>
      <c r="E19" s="44">
        <v>0</v>
      </c>
      <c r="F19" s="44">
        <v>0</v>
      </c>
      <c r="G19" s="44">
        <v>0</v>
      </c>
      <c r="H19" s="44">
        <v>0</v>
      </c>
      <c r="I19" s="44">
        <v>0</v>
      </c>
      <c r="J19" s="44">
        <v>0</v>
      </c>
      <c r="K19" s="44">
        <v>0</v>
      </c>
      <c r="L19" s="44">
        <v>0</v>
      </c>
      <c r="M19" s="44">
        <v>54</v>
      </c>
      <c r="N19" s="44">
        <v>54</v>
      </c>
      <c r="O19" s="44">
        <v>54.4</v>
      </c>
      <c r="P19" s="44">
        <v>54.3</v>
      </c>
      <c r="Q19" s="44">
        <v>54.3</v>
      </c>
      <c r="R19" s="44">
        <v>54.3</v>
      </c>
      <c r="S19" s="44">
        <v>54.3</v>
      </c>
      <c r="T19" s="44">
        <v>54.3</v>
      </c>
      <c r="U19" s="44">
        <v>54.3</v>
      </c>
      <c r="V19" s="44">
        <v>54.3</v>
      </c>
      <c r="W19" s="44">
        <v>54.3</v>
      </c>
      <c r="X19" s="44">
        <v>54.3</v>
      </c>
      <c r="Y19" s="44">
        <v>54.3</v>
      </c>
      <c r="Z19" s="44">
        <v>54.3</v>
      </c>
      <c r="AA19" s="44">
        <v>54.3</v>
      </c>
      <c r="AB19" s="44">
        <v>0</v>
      </c>
      <c r="AC19" s="44">
        <v>0</v>
      </c>
      <c r="AD19" s="44">
        <v>25</v>
      </c>
      <c r="AE19" s="44">
        <v>54.2</v>
      </c>
      <c r="AF19" s="44">
        <v>54.2</v>
      </c>
      <c r="AG19" s="48">
        <v>52.4</v>
      </c>
      <c r="AH19" s="46">
        <f t="shared" si="2"/>
        <v>54.4</v>
      </c>
      <c r="AI19" s="47">
        <f t="shared" si="3"/>
        <v>0</v>
      </c>
      <c r="AK19" s="49"/>
      <c r="AL19" s="52" t="s">
        <v>33</v>
      </c>
      <c r="AM19" s="57">
        <f t="shared" ref="AM19:AR19" si="10">B108</f>
        <v>0</v>
      </c>
      <c r="AN19" s="57">
        <f t="shared" si="10"/>
        <v>0</v>
      </c>
      <c r="AO19" s="57">
        <f t="shared" si="10"/>
        <v>25</v>
      </c>
      <c r="AP19" s="57">
        <f t="shared" si="10"/>
        <v>0</v>
      </c>
      <c r="AQ19" s="57">
        <f t="shared" si="10"/>
        <v>0</v>
      </c>
      <c r="AR19" s="57">
        <f t="shared" si="10"/>
        <v>0</v>
      </c>
      <c r="AS19" s="57">
        <f>I108</f>
        <v>0</v>
      </c>
      <c r="AT19" s="57">
        <f>K108</f>
        <v>0</v>
      </c>
      <c r="AU19" s="57">
        <f t="shared" ref="AU19:BD19" si="11">M108</f>
        <v>0</v>
      </c>
      <c r="AV19" s="57">
        <f t="shared" si="11"/>
        <v>0</v>
      </c>
      <c r="AW19" s="57">
        <f t="shared" si="11"/>
        <v>0</v>
      </c>
      <c r="AX19" s="57">
        <f t="shared" si="11"/>
        <v>0</v>
      </c>
      <c r="AY19" s="57">
        <f t="shared" si="11"/>
        <v>0</v>
      </c>
      <c r="AZ19" s="57">
        <f t="shared" si="11"/>
        <v>0</v>
      </c>
      <c r="BA19" s="57">
        <f t="shared" si="11"/>
        <v>0</v>
      </c>
      <c r="BB19" s="57">
        <f t="shared" si="11"/>
        <v>0</v>
      </c>
      <c r="BC19" s="57">
        <f t="shared" si="11"/>
        <v>0</v>
      </c>
      <c r="BD19" s="57">
        <f t="shared" si="11"/>
        <v>0</v>
      </c>
      <c r="BE19" s="58">
        <f>X108</f>
        <v>0</v>
      </c>
      <c r="BF19" s="58">
        <f>Z108</f>
        <v>0</v>
      </c>
      <c r="BG19" s="58">
        <f>AB108</f>
        <v>16.100000000000001</v>
      </c>
      <c r="BH19" s="58">
        <f>AD108</f>
        <v>9.6</v>
      </c>
      <c r="BI19" s="58">
        <f>AE108</f>
        <v>8.9</v>
      </c>
      <c r="BJ19" s="58">
        <f>AF108</f>
        <v>6.6</v>
      </c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2" t="s">
        <v>34</v>
      </c>
      <c r="B20" s="44">
        <v>50</v>
      </c>
      <c r="C20" s="44">
        <v>50</v>
      </c>
      <c r="D20" s="44">
        <v>50</v>
      </c>
      <c r="E20" s="44">
        <v>50</v>
      </c>
      <c r="F20" s="44">
        <v>50</v>
      </c>
      <c r="G20" s="44">
        <v>50</v>
      </c>
      <c r="H20" s="44">
        <v>50</v>
      </c>
      <c r="I20" s="44">
        <v>50</v>
      </c>
      <c r="J20" s="44">
        <v>50</v>
      </c>
      <c r="K20" s="44">
        <v>50</v>
      </c>
      <c r="L20" s="44">
        <v>50</v>
      </c>
      <c r="M20" s="44">
        <v>50</v>
      </c>
      <c r="N20" s="44">
        <v>50</v>
      </c>
      <c r="O20" s="44">
        <v>50</v>
      </c>
      <c r="P20" s="44">
        <v>50</v>
      </c>
      <c r="Q20" s="44">
        <v>50</v>
      </c>
      <c r="R20" s="44">
        <v>50</v>
      </c>
      <c r="S20" s="44">
        <v>50</v>
      </c>
      <c r="T20" s="44">
        <v>50</v>
      </c>
      <c r="U20" s="44">
        <v>50</v>
      </c>
      <c r="V20" s="44">
        <v>50</v>
      </c>
      <c r="W20" s="44">
        <v>50</v>
      </c>
      <c r="X20" s="44">
        <v>50</v>
      </c>
      <c r="Y20" s="44">
        <v>50</v>
      </c>
      <c r="Z20" s="44">
        <v>50</v>
      </c>
      <c r="AA20" s="44">
        <v>50</v>
      </c>
      <c r="AB20" s="44">
        <v>0</v>
      </c>
      <c r="AC20" s="44">
        <v>0</v>
      </c>
      <c r="AD20" s="44">
        <v>0</v>
      </c>
      <c r="AE20" s="44">
        <v>0</v>
      </c>
      <c r="AF20" s="44">
        <v>0</v>
      </c>
      <c r="AG20" s="48">
        <v>50</v>
      </c>
      <c r="AH20" s="46">
        <f t="shared" si="2"/>
        <v>50</v>
      </c>
      <c r="AI20" s="47">
        <f t="shared" si="3"/>
        <v>0</v>
      </c>
      <c r="AK20" s="49"/>
      <c r="AL20" s="52" t="s">
        <v>35</v>
      </c>
      <c r="AM20" s="57">
        <f t="shared" ref="AM20:AR20" si="12">B96</f>
        <v>0</v>
      </c>
      <c r="AN20" s="57">
        <f t="shared" si="12"/>
        <v>0</v>
      </c>
      <c r="AO20" s="57">
        <f t="shared" si="12"/>
        <v>0</v>
      </c>
      <c r="AP20" s="57">
        <f t="shared" si="12"/>
        <v>0</v>
      </c>
      <c r="AQ20" s="57">
        <f t="shared" si="12"/>
        <v>0</v>
      </c>
      <c r="AR20" s="57">
        <f t="shared" si="12"/>
        <v>0</v>
      </c>
      <c r="AS20" s="57">
        <f>I96</f>
        <v>0</v>
      </c>
      <c r="AT20" s="57">
        <f>K96</f>
        <v>0</v>
      </c>
      <c r="AU20" s="57">
        <f t="shared" ref="AU20:BD20" si="13">M96</f>
        <v>0</v>
      </c>
      <c r="AV20" s="57">
        <f t="shared" si="13"/>
        <v>0</v>
      </c>
      <c r="AW20" s="57">
        <f t="shared" si="13"/>
        <v>0</v>
      </c>
      <c r="AX20" s="57">
        <f t="shared" si="13"/>
        <v>0</v>
      </c>
      <c r="AY20" s="57">
        <f t="shared" si="13"/>
        <v>0</v>
      </c>
      <c r="AZ20" s="57">
        <f t="shared" si="13"/>
        <v>0</v>
      </c>
      <c r="BA20" s="57">
        <f t="shared" si="13"/>
        <v>0</v>
      </c>
      <c r="BB20" s="57">
        <f t="shared" si="13"/>
        <v>0</v>
      </c>
      <c r="BC20" s="57">
        <f t="shared" si="13"/>
        <v>0</v>
      </c>
      <c r="BD20" s="57">
        <f t="shared" si="13"/>
        <v>0</v>
      </c>
      <c r="BE20" s="58">
        <f>X96</f>
        <v>0</v>
      </c>
      <c r="BF20" s="58">
        <f>Z96</f>
        <v>0</v>
      </c>
      <c r="BG20" s="58">
        <f>AB96</f>
        <v>0</v>
      </c>
      <c r="BH20" s="58">
        <f>AD96</f>
        <v>0</v>
      </c>
      <c r="BI20" s="58">
        <f>AE96</f>
        <v>0</v>
      </c>
      <c r="BJ20" s="58">
        <f>AF96</f>
        <v>0</v>
      </c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2" t="s">
        <v>36</v>
      </c>
      <c r="B21" s="44">
        <v>45.9</v>
      </c>
      <c r="C21" s="44">
        <v>45.9</v>
      </c>
      <c r="D21" s="44">
        <v>45.9</v>
      </c>
      <c r="E21" s="44">
        <v>45.9</v>
      </c>
      <c r="F21" s="44">
        <v>45.9</v>
      </c>
      <c r="G21" s="44">
        <v>45.9</v>
      </c>
      <c r="H21" s="44">
        <v>45.9</v>
      </c>
      <c r="I21" s="44">
        <v>45.9</v>
      </c>
      <c r="J21" s="44">
        <v>45.9</v>
      </c>
      <c r="K21" s="44">
        <v>45.9</v>
      </c>
      <c r="L21" s="44">
        <v>45.9</v>
      </c>
      <c r="M21" s="44">
        <v>45.8</v>
      </c>
      <c r="N21" s="44">
        <v>45.8</v>
      </c>
      <c r="O21" s="44">
        <v>45.9</v>
      </c>
      <c r="P21" s="44">
        <v>45.9</v>
      </c>
      <c r="Q21" s="44">
        <v>45.9</v>
      </c>
      <c r="R21" s="44">
        <v>45.9</v>
      </c>
      <c r="S21" s="44">
        <v>45.9</v>
      </c>
      <c r="T21" s="44">
        <v>45.9</v>
      </c>
      <c r="U21" s="44">
        <v>45.9</v>
      </c>
      <c r="V21" s="44">
        <v>45.9</v>
      </c>
      <c r="W21" s="44">
        <v>45.9</v>
      </c>
      <c r="X21" s="44">
        <v>45.9</v>
      </c>
      <c r="Y21" s="44">
        <v>45.9</v>
      </c>
      <c r="Z21" s="44">
        <v>45.9</v>
      </c>
      <c r="AA21" s="44">
        <v>45.9</v>
      </c>
      <c r="AB21" s="44">
        <v>45.9</v>
      </c>
      <c r="AC21" s="44">
        <v>45.9</v>
      </c>
      <c r="AD21" s="44">
        <v>45.9</v>
      </c>
      <c r="AE21" s="44">
        <v>45.9</v>
      </c>
      <c r="AF21" s="44">
        <v>45.9</v>
      </c>
      <c r="AG21" s="48">
        <v>45</v>
      </c>
      <c r="AH21" s="46">
        <f t="shared" si="2"/>
        <v>45.9</v>
      </c>
      <c r="AI21" s="47">
        <f t="shared" si="3"/>
        <v>45.8</v>
      </c>
      <c r="AK21" s="49"/>
      <c r="AL21" s="52" t="s">
        <v>37</v>
      </c>
      <c r="AM21" s="57">
        <f t="shared" ref="AM21:AR21" si="14">B114</f>
        <v>0</v>
      </c>
      <c r="AN21" s="57">
        <f t="shared" si="14"/>
        <v>0</v>
      </c>
      <c r="AO21" s="57">
        <f t="shared" si="14"/>
        <v>0</v>
      </c>
      <c r="AP21" s="57">
        <f t="shared" si="14"/>
        <v>0</v>
      </c>
      <c r="AQ21" s="57">
        <f t="shared" si="14"/>
        <v>0</v>
      </c>
      <c r="AR21" s="57">
        <f t="shared" si="14"/>
        <v>0</v>
      </c>
      <c r="AS21" s="57">
        <f>I114</f>
        <v>0</v>
      </c>
      <c r="AT21" s="57">
        <f>K114</f>
        <v>0</v>
      </c>
      <c r="AU21" s="57">
        <f t="shared" ref="AU21:BD21" si="15">M114</f>
        <v>0</v>
      </c>
      <c r="AV21" s="57">
        <f t="shared" si="15"/>
        <v>0</v>
      </c>
      <c r="AW21" s="57">
        <f t="shared" si="15"/>
        <v>0</v>
      </c>
      <c r="AX21" s="57">
        <f t="shared" si="15"/>
        <v>0</v>
      </c>
      <c r="AY21" s="57">
        <f t="shared" si="15"/>
        <v>0</v>
      </c>
      <c r="AZ21" s="57">
        <f t="shared" si="15"/>
        <v>0</v>
      </c>
      <c r="BA21" s="57">
        <f t="shared" si="15"/>
        <v>0</v>
      </c>
      <c r="BB21" s="57">
        <f t="shared" si="15"/>
        <v>0</v>
      </c>
      <c r="BC21" s="57">
        <f t="shared" si="15"/>
        <v>0</v>
      </c>
      <c r="BD21" s="57">
        <f t="shared" si="15"/>
        <v>0</v>
      </c>
      <c r="BE21" s="58">
        <f>X114</f>
        <v>0</v>
      </c>
      <c r="BF21" s="58">
        <f>Z114</f>
        <v>0</v>
      </c>
      <c r="BG21" s="58">
        <f>AB114</f>
        <v>0</v>
      </c>
      <c r="BH21" s="58">
        <f>AD114</f>
        <v>0</v>
      </c>
      <c r="BI21" s="58">
        <f>AE114</f>
        <v>0</v>
      </c>
      <c r="BJ21" s="58">
        <f>AF114</f>
        <v>0</v>
      </c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2" t="s">
        <v>38</v>
      </c>
      <c r="B22" s="44">
        <v>36.700000000000003</v>
      </c>
      <c r="C22" s="44">
        <v>22</v>
      </c>
      <c r="D22" s="44">
        <v>22</v>
      </c>
      <c r="E22" s="44">
        <v>22</v>
      </c>
      <c r="F22" s="44">
        <v>22</v>
      </c>
      <c r="G22" s="44">
        <v>22</v>
      </c>
      <c r="H22" s="44">
        <v>22</v>
      </c>
      <c r="I22" s="44">
        <v>22</v>
      </c>
      <c r="J22" s="44">
        <v>22</v>
      </c>
      <c r="K22" s="44">
        <v>22</v>
      </c>
      <c r="L22" s="44">
        <v>32</v>
      </c>
      <c r="M22" s="44">
        <v>31.5</v>
      </c>
      <c r="N22" s="44">
        <v>31.5</v>
      </c>
      <c r="O22" s="44">
        <v>31.6</v>
      </c>
      <c r="P22" s="44">
        <v>31.6</v>
      </c>
      <c r="Q22" s="44">
        <v>31.6</v>
      </c>
      <c r="R22" s="44">
        <v>44</v>
      </c>
      <c r="S22" s="44">
        <v>44</v>
      </c>
      <c r="T22" s="44">
        <v>44</v>
      </c>
      <c r="U22" s="44">
        <v>44</v>
      </c>
      <c r="V22" s="44">
        <v>44</v>
      </c>
      <c r="W22" s="44">
        <v>44</v>
      </c>
      <c r="X22" s="44">
        <v>44</v>
      </c>
      <c r="Y22" s="44">
        <v>44</v>
      </c>
      <c r="Z22" s="44">
        <v>44</v>
      </c>
      <c r="AA22" s="44">
        <v>44</v>
      </c>
      <c r="AB22" s="44">
        <v>44</v>
      </c>
      <c r="AC22" s="44">
        <v>44</v>
      </c>
      <c r="AD22" s="44">
        <v>44</v>
      </c>
      <c r="AE22" s="44">
        <v>31.6</v>
      </c>
      <c r="AF22" s="44">
        <v>31.6</v>
      </c>
      <c r="AG22" s="48">
        <v>44</v>
      </c>
      <c r="AH22" s="46">
        <f t="shared" si="2"/>
        <v>44</v>
      </c>
      <c r="AI22" s="47">
        <f t="shared" si="3"/>
        <v>22</v>
      </c>
      <c r="AK22" s="49"/>
      <c r="AL22" s="59" t="s">
        <v>39</v>
      </c>
      <c r="AM22" s="60">
        <f t="shared" ref="AM22:BJ22" si="16">SUM(AM16:AM21)</f>
        <v>2524.3000000000002</v>
      </c>
      <c r="AN22" s="60">
        <f t="shared" si="16"/>
        <v>2264.6999999999998</v>
      </c>
      <c r="AO22" s="60">
        <f t="shared" si="16"/>
        <v>2110.5</v>
      </c>
      <c r="AP22" s="60">
        <f t="shared" si="16"/>
        <v>2085.5</v>
      </c>
      <c r="AQ22" s="60">
        <f t="shared" si="16"/>
        <v>2265.6</v>
      </c>
      <c r="AR22" s="60">
        <f t="shared" si="16"/>
        <v>2275.8000000000002</v>
      </c>
      <c r="AS22" s="60">
        <f t="shared" si="16"/>
        <v>2289.7000000000003</v>
      </c>
      <c r="AT22" s="60">
        <f t="shared" si="16"/>
        <v>2339.9</v>
      </c>
      <c r="AU22" s="60">
        <f t="shared" si="16"/>
        <v>2530.2999999999993</v>
      </c>
      <c r="AV22" s="60">
        <f t="shared" si="16"/>
        <v>2529.3999999999996</v>
      </c>
      <c r="AW22" s="60">
        <f t="shared" si="16"/>
        <v>2638.95</v>
      </c>
      <c r="AX22" s="60">
        <f t="shared" si="16"/>
        <v>2640.85</v>
      </c>
      <c r="AY22" s="60">
        <f t="shared" si="16"/>
        <v>2617.2499999999995</v>
      </c>
      <c r="AZ22" s="60">
        <f t="shared" si="16"/>
        <v>2665.0699999999993</v>
      </c>
      <c r="BA22" s="60">
        <f t="shared" si="16"/>
        <v>2706.5699999999993</v>
      </c>
      <c r="BB22" s="60">
        <f t="shared" si="16"/>
        <v>2747.0699999999993</v>
      </c>
      <c r="BC22" s="60">
        <f t="shared" si="16"/>
        <v>2735.6699999999992</v>
      </c>
      <c r="BD22" s="60">
        <f t="shared" si="16"/>
        <v>2720.97</v>
      </c>
      <c r="BE22" s="60">
        <f t="shared" si="16"/>
        <v>2665.87</v>
      </c>
      <c r="BF22" s="60">
        <f t="shared" si="16"/>
        <v>2721.5499999999993</v>
      </c>
      <c r="BG22" s="60">
        <f t="shared" si="16"/>
        <v>2577.3000000000002</v>
      </c>
      <c r="BH22" s="60">
        <f t="shared" si="16"/>
        <v>2574.3000000000002</v>
      </c>
      <c r="BI22" s="60">
        <f t="shared" si="16"/>
        <v>2551.6</v>
      </c>
      <c r="BJ22" s="60">
        <f t="shared" si="16"/>
        <v>2549.2999999999997</v>
      </c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2" t="s">
        <v>40</v>
      </c>
      <c r="B23" s="44">
        <v>39.299999999999997</v>
      </c>
      <c r="C23" s="44">
        <v>21</v>
      </c>
      <c r="D23" s="44">
        <v>21</v>
      </c>
      <c r="E23" s="44">
        <v>21</v>
      </c>
      <c r="F23" s="44">
        <v>21</v>
      </c>
      <c r="G23" s="44">
        <v>21</v>
      </c>
      <c r="H23" s="44">
        <v>21</v>
      </c>
      <c r="I23" s="44">
        <v>21</v>
      </c>
      <c r="J23" s="44">
        <v>21</v>
      </c>
      <c r="K23" s="44">
        <v>21</v>
      </c>
      <c r="L23" s="44">
        <v>21</v>
      </c>
      <c r="M23" s="44">
        <v>26</v>
      </c>
      <c r="N23" s="44">
        <v>26</v>
      </c>
      <c r="O23" s="44">
        <v>28.2</v>
      </c>
      <c r="P23" s="44">
        <v>28.2</v>
      </c>
      <c r="Q23" s="44">
        <v>28.2</v>
      </c>
      <c r="R23" s="44">
        <v>28.2</v>
      </c>
      <c r="S23" s="44">
        <v>28.2</v>
      </c>
      <c r="T23" s="44">
        <v>28.2</v>
      </c>
      <c r="U23" s="44">
        <v>28.2</v>
      </c>
      <c r="V23" s="44">
        <v>28.2</v>
      </c>
      <c r="W23" s="44">
        <v>28.2</v>
      </c>
      <c r="X23" s="44">
        <v>28.2</v>
      </c>
      <c r="Y23" s="44">
        <v>28.2</v>
      </c>
      <c r="Z23" s="44">
        <v>28.2</v>
      </c>
      <c r="AA23" s="44">
        <v>28.2</v>
      </c>
      <c r="AB23" s="44">
        <v>39</v>
      </c>
      <c r="AC23" s="44">
        <v>39</v>
      </c>
      <c r="AD23" s="44">
        <v>39</v>
      </c>
      <c r="AE23" s="44">
        <v>35</v>
      </c>
      <c r="AF23" s="44">
        <v>35</v>
      </c>
      <c r="AG23" s="48">
        <v>42</v>
      </c>
      <c r="AH23" s="46">
        <f t="shared" si="2"/>
        <v>39.299999999999997</v>
      </c>
      <c r="AI23" s="47">
        <f t="shared" si="3"/>
        <v>21</v>
      </c>
      <c r="AK23" s="49"/>
      <c r="AL23" s="59" t="s">
        <v>41</v>
      </c>
      <c r="AM23" s="60">
        <f t="shared" ref="AM23:AR23" si="17">B123*-1</f>
        <v>-718</v>
      </c>
      <c r="AN23" s="60">
        <f t="shared" si="17"/>
        <v>-698</v>
      </c>
      <c r="AO23" s="60">
        <f t="shared" si="17"/>
        <v>-630</v>
      </c>
      <c r="AP23" s="60">
        <f t="shared" si="17"/>
        <v>-718</v>
      </c>
      <c r="AQ23" s="60">
        <f t="shared" si="17"/>
        <v>-605.50000000000011</v>
      </c>
      <c r="AR23" s="60">
        <f t="shared" si="17"/>
        <v>-659.69999999999993</v>
      </c>
      <c r="AS23" s="60">
        <f>I123*-1</f>
        <v>-645.6</v>
      </c>
      <c r="AT23" s="60">
        <f>K123*-1</f>
        <v>-722.1</v>
      </c>
      <c r="AU23" s="60">
        <f t="shared" ref="AU23:BD23" si="18">M123*-1</f>
        <v>-815.3</v>
      </c>
      <c r="AV23" s="60">
        <f t="shared" si="18"/>
        <v>-783</v>
      </c>
      <c r="AW23" s="60">
        <f t="shared" si="18"/>
        <v>-862.80000000000007</v>
      </c>
      <c r="AX23" s="60">
        <f t="shared" si="18"/>
        <v>-904.2</v>
      </c>
      <c r="AY23" s="60">
        <f t="shared" si="18"/>
        <v>-876.5</v>
      </c>
      <c r="AZ23" s="60">
        <f t="shared" si="18"/>
        <v>-895.10000000000014</v>
      </c>
      <c r="BA23" s="60">
        <f t="shared" si="18"/>
        <v>-870.6</v>
      </c>
      <c r="BB23" s="60">
        <f t="shared" si="18"/>
        <v>-800.30000000000007</v>
      </c>
      <c r="BC23" s="60">
        <f t="shared" si="18"/>
        <v>-839.5</v>
      </c>
      <c r="BD23" s="60">
        <f t="shared" si="18"/>
        <v>-843.40000000000009</v>
      </c>
      <c r="BE23" s="60">
        <f>X123*-1</f>
        <v>-716.69999999999993</v>
      </c>
      <c r="BF23" s="60">
        <f>Z123*-1</f>
        <v>-680.2</v>
      </c>
      <c r="BG23" s="60">
        <f>AB123*-1</f>
        <v>-534</v>
      </c>
      <c r="BH23" s="60">
        <f>AD123*-1</f>
        <v>-558.6</v>
      </c>
      <c r="BI23" s="60">
        <f>AE123*-1</f>
        <v>-625.20000000000005</v>
      </c>
      <c r="BJ23" s="60">
        <f>AF123*-1</f>
        <v>-636.20000000000005</v>
      </c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2" t="s">
        <v>42</v>
      </c>
      <c r="B24" s="44">
        <v>39.6</v>
      </c>
      <c r="C24" s="44">
        <v>39.6</v>
      </c>
      <c r="D24" s="44">
        <v>39.6</v>
      </c>
      <c r="E24" s="44">
        <v>39.6</v>
      </c>
      <c r="F24" s="44">
        <v>39.6</v>
      </c>
      <c r="G24" s="44">
        <v>39.6</v>
      </c>
      <c r="H24" s="44">
        <v>39.6</v>
      </c>
      <c r="I24" s="44">
        <v>39.6</v>
      </c>
      <c r="J24" s="44">
        <v>39.6</v>
      </c>
      <c r="K24" s="44">
        <v>39.6</v>
      </c>
      <c r="L24" s="44">
        <v>39.6</v>
      </c>
      <c r="M24" s="44">
        <v>39.799999999999997</v>
      </c>
      <c r="N24" s="44">
        <v>39.799999999999997</v>
      </c>
      <c r="O24" s="44">
        <v>39.799999999999997</v>
      </c>
      <c r="P24" s="44">
        <v>39.799999999999997</v>
      </c>
      <c r="Q24" s="44">
        <v>39.799999999999997</v>
      </c>
      <c r="R24" s="44">
        <v>40.1</v>
      </c>
      <c r="S24" s="44">
        <v>40.1</v>
      </c>
      <c r="T24" s="44">
        <v>40.1</v>
      </c>
      <c r="U24" s="44">
        <v>40.1</v>
      </c>
      <c r="V24" s="44">
        <v>40.1</v>
      </c>
      <c r="W24" s="44">
        <v>40.1</v>
      </c>
      <c r="X24" s="44">
        <v>40.1</v>
      </c>
      <c r="Y24" s="44">
        <v>40.1</v>
      </c>
      <c r="Z24" s="44">
        <v>40.1</v>
      </c>
      <c r="AA24" s="44">
        <v>40.1</v>
      </c>
      <c r="AB24" s="44">
        <v>39.799999999999997</v>
      </c>
      <c r="AC24" s="44">
        <v>39.799999999999997</v>
      </c>
      <c r="AD24" s="44">
        <v>39.799999999999997</v>
      </c>
      <c r="AE24" s="44">
        <v>39.799999999999997</v>
      </c>
      <c r="AF24" s="44">
        <v>39.799999999999997</v>
      </c>
      <c r="AG24" s="48">
        <v>40</v>
      </c>
      <c r="AH24" s="46">
        <f t="shared" si="2"/>
        <v>40.1</v>
      </c>
      <c r="AI24" s="47">
        <f t="shared" si="3"/>
        <v>39.6</v>
      </c>
      <c r="AK24" s="49"/>
      <c r="AL24" s="51"/>
      <c r="AM24" s="51"/>
      <c r="AN24" s="51"/>
      <c r="AO24" s="51"/>
      <c r="AP24" s="51"/>
      <c r="AQ24" s="51"/>
      <c r="AR24" s="51"/>
      <c r="AS24" s="51"/>
      <c r="AT24" s="51"/>
      <c r="AU24" s="51"/>
      <c r="AV24" s="51"/>
      <c r="AW24" s="51"/>
      <c r="AX24" s="51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2" t="s">
        <v>43</v>
      </c>
      <c r="B25" s="44">
        <v>40.299999999999997</v>
      </c>
      <c r="C25" s="44">
        <v>40.299999999999997</v>
      </c>
      <c r="D25" s="44">
        <v>40.299999999999997</v>
      </c>
      <c r="E25" s="44">
        <v>40.299999999999997</v>
      </c>
      <c r="F25" s="44">
        <v>40.299999999999997</v>
      </c>
      <c r="G25" s="44">
        <v>40.299999999999997</v>
      </c>
      <c r="H25" s="44">
        <v>40.299999999999997</v>
      </c>
      <c r="I25" s="44">
        <v>40.299999999999997</v>
      </c>
      <c r="J25" s="44">
        <v>40.299999999999997</v>
      </c>
      <c r="K25" s="44">
        <v>40.299999999999997</v>
      </c>
      <c r="L25" s="44">
        <v>40.299999999999997</v>
      </c>
      <c r="M25" s="44">
        <v>39.200000000000003</v>
      </c>
      <c r="N25" s="44">
        <v>39.200000000000003</v>
      </c>
      <c r="O25" s="44">
        <v>40.770000000000003</v>
      </c>
      <c r="P25" s="44">
        <v>40.770000000000003</v>
      </c>
      <c r="Q25" s="44">
        <v>40.770000000000003</v>
      </c>
      <c r="R25" s="44">
        <v>40.770000000000003</v>
      </c>
      <c r="S25" s="44">
        <v>40.770000000000003</v>
      </c>
      <c r="T25" s="44">
        <v>40.770000000000003</v>
      </c>
      <c r="U25" s="44">
        <v>40.770000000000003</v>
      </c>
      <c r="V25" s="44">
        <v>40.770000000000003</v>
      </c>
      <c r="W25" s="44">
        <v>40.770000000000003</v>
      </c>
      <c r="X25" s="44">
        <v>40.770000000000003</v>
      </c>
      <c r="Y25" s="44">
        <v>40.770000000000003</v>
      </c>
      <c r="Z25" s="44">
        <v>40.770000000000003</v>
      </c>
      <c r="AA25" s="44">
        <v>40.770000000000003</v>
      </c>
      <c r="AB25" s="44">
        <v>40.1</v>
      </c>
      <c r="AC25" s="44">
        <v>40.1</v>
      </c>
      <c r="AD25" s="44">
        <v>40.1</v>
      </c>
      <c r="AE25" s="44">
        <v>40.1</v>
      </c>
      <c r="AF25" s="44">
        <v>40.1</v>
      </c>
      <c r="AG25" s="48">
        <v>38.46</v>
      </c>
      <c r="AH25" s="46">
        <f t="shared" si="2"/>
        <v>40.770000000000003</v>
      </c>
      <c r="AI25" s="47">
        <f t="shared" si="3"/>
        <v>39.200000000000003</v>
      </c>
      <c r="AK25" s="49"/>
      <c r="AL25" s="59" t="s">
        <v>44</v>
      </c>
      <c r="AM25" s="60">
        <f t="shared" ref="AM25:BJ25" si="19">AM22+AM23</f>
        <v>1806.3000000000002</v>
      </c>
      <c r="AN25" s="60">
        <f t="shared" si="19"/>
        <v>1566.6999999999998</v>
      </c>
      <c r="AO25" s="60">
        <f t="shared" si="19"/>
        <v>1480.5</v>
      </c>
      <c r="AP25" s="60">
        <f t="shared" si="19"/>
        <v>1367.5</v>
      </c>
      <c r="AQ25" s="60">
        <f t="shared" si="19"/>
        <v>1660.1</v>
      </c>
      <c r="AR25" s="60">
        <f t="shared" si="19"/>
        <v>1616.1000000000004</v>
      </c>
      <c r="AS25" s="60">
        <f t="shared" si="19"/>
        <v>1644.1000000000004</v>
      </c>
      <c r="AT25" s="60">
        <f t="shared" si="19"/>
        <v>1617.8000000000002</v>
      </c>
      <c r="AU25" s="60">
        <f t="shared" si="19"/>
        <v>1714.9999999999993</v>
      </c>
      <c r="AV25" s="60">
        <f t="shared" si="19"/>
        <v>1746.3999999999996</v>
      </c>
      <c r="AW25" s="60">
        <f t="shared" si="19"/>
        <v>1776.1499999999996</v>
      </c>
      <c r="AX25" s="60">
        <f t="shared" si="19"/>
        <v>1736.6499999999999</v>
      </c>
      <c r="AY25" s="60">
        <f t="shared" si="19"/>
        <v>1740.7499999999995</v>
      </c>
      <c r="AZ25" s="60">
        <f t="shared" si="19"/>
        <v>1769.9699999999991</v>
      </c>
      <c r="BA25" s="60">
        <f t="shared" si="19"/>
        <v>1835.9699999999993</v>
      </c>
      <c r="BB25" s="60">
        <f t="shared" si="19"/>
        <v>1946.7699999999991</v>
      </c>
      <c r="BC25" s="60">
        <f t="shared" si="19"/>
        <v>1896.1699999999992</v>
      </c>
      <c r="BD25" s="60">
        <f t="shared" si="19"/>
        <v>1877.5699999999997</v>
      </c>
      <c r="BE25" s="60">
        <f t="shared" si="19"/>
        <v>1949.17</v>
      </c>
      <c r="BF25" s="60">
        <f t="shared" si="19"/>
        <v>2041.3499999999992</v>
      </c>
      <c r="BG25" s="60">
        <f t="shared" si="19"/>
        <v>2043.3000000000002</v>
      </c>
      <c r="BH25" s="60">
        <f t="shared" si="19"/>
        <v>2015.7000000000003</v>
      </c>
      <c r="BI25" s="60">
        <f t="shared" si="19"/>
        <v>1926.3999999999999</v>
      </c>
      <c r="BJ25" s="60">
        <f t="shared" si="19"/>
        <v>1913.0999999999997</v>
      </c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2" t="s">
        <v>45</v>
      </c>
      <c r="B26" s="44">
        <v>35</v>
      </c>
      <c r="C26" s="44">
        <v>19</v>
      </c>
      <c r="D26" s="44">
        <v>19</v>
      </c>
      <c r="E26" s="44">
        <v>19</v>
      </c>
      <c r="F26" s="44">
        <v>19</v>
      </c>
      <c r="G26" s="44">
        <v>19</v>
      </c>
      <c r="H26" s="44">
        <v>19</v>
      </c>
      <c r="I26" s="44">
        <v>19</v>
      </c>
      <c r="J26" s="44">
        <v>19</v>
      </c>
      <c r="K26" s="44">
        <v>19</v>
      </c>
      <c r="L26" s="44">
        <v>19</v>
      </c>
      <c r="M26" s="44">
        <v>23.5</v>
      </c>
      <c r="N26" s="44">
        <v>23.5</v>
      </c>
      <c r="O26" s="44">
        <v>27.5</v>
      </c>
      <c r="P26" s="44">
        <v>27.5</v>
      </c>
      <c r="Q26" s="44">
        <v>27.5</v>
      </c>
      <c r="R26" s="44">
        <v>38.5</v>
      </c>
      <c r="S26" s="44">
        <v>38.5</v>
      </c>
      <c r="T26" s="44">
        <v>38.5</v>
      </c>
      <c r="U26" s="44">
        <v>38.5</v>
      </c>
      <c r="V26" s="44">
        <v>38.5</v>
      </c>
      <c r="W26" s="44">
        <v>38.5</v>
      </c>
      <c r="X26" s="44">
        <v>38.5</v>
      </c>
      <c r="Y26" s="44">
        <v>38.5</v>
      </c>
      <c r="Z26" s="44">
        <v>38.5</v>
      </c>
      <c r="AA26" s="44">
        <v>38.5</v>
      </c>
      <c r="AB26" s="44">
        <v>36</v>
      </c>
      <c r="AC26" s="44">
        <v>36</v>
      </c>
      <c r="AD26" s="44">
        <v>36</v>
      </c>
      <c r="AE26" s="44">
        <v>31</v>
      </c>
      <c r="AF26" s="44">
        <v>31</v>
      </c>
      <c r="AG26" s="61">
        <v>38</v>
      </c>
      <c r="AH26" s="46">
        <f t="shared" si="2"/>
        <v>38.5</v>
      </c>
      <c r="AI26" s="47">
        <f t="shared" si="3"/>
        <v>19</v>
      </c>
      <c r="AK26" s="49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2" t="s">
        <v>46</v>
      </c>
      <c r="B27" s="44">
        <v>36</v>
      </c>
      <c r="C27" s="44">
        <v>36</v>
      </c>
      <c r="D27" s="44">
        <v>36</v>
      </c>
      <c r="E27" s="44">
        <v>36</v>
      </c>
      <c r="F27" s="44">
        <v>36</v>
      </c>
      <c r="G27" s="44">
        <v>36</v>
      </c>
      <c r="H27" s="44">
        <v>36</v>
      </c>
      <c r="I27" s="44">
        <v>36</v>
      </c>
      <c r="J27" s="44">
        <v>36</v>
      </c>
      <c r="K27" s="44">
        <v>36</v>
      </c>
      <c r="L27" s="44">
        <v>36</v>
      </c>
      <c r="M27" s="44">
        <v>36.700000000000003</v>
      </c>
      <c r="N27" s="44">
        <v>36.700000000000003</v>
      </c>
      <c r="O27" s="44">
        <v>36.6</v>
      </c>
      <c r="P27" s="44">
        <v>36.6</v>
      </c>
      <c r="Q27" s="44">
        <v>36.6</v>
      </c>
      <c r="R27" s="44">
        <v>36.6</v>
      </c>
      <c r="S27" s="44">
        <v>36.6</v>
      </c>
      <c r="T27" s="44">
        <v>36.6</v>
      </c>
      <c r="U27" s="44">
        <v>36.6</v>
      </c>
      <c r="V27" s="44">
        <v>36.6</v>
      </c>
      <c r="W27" s="44">
        <v>36.6</v>
      </c>
      <c r="X27" s="44">
        <v>36.6</v>
      </c>
      <c r="Y27" s="44">
        <v>36.6</v>
      </c>
      <c r="Z27" s="44">
        <v>36.6</v>
      </c>
      <c r="AA27" s="44">
        <v>36.6</v>
      </c>
      <c r="AB27" s="44">
        <v>36.5</v>
      </c>
      <c r="AC27" s="44">
        <v>36.5</v>
      </c>
      <c r="AD27" s="44">
        <v>36.5</v>
      </c>
      <c r="AE27" s="44">
        <v>36.6</v>
      </c>
      <c r="AF27" s="44">
        <v>36.6</v>
      </c>
      <c r="AG27" s="48">
        <v>36</v>
      </c>
      <c r="AH27" s="46">
        <f t="shared" si="2"/>
        <v>36.700000000000003</v>
      </c>
      <c r="AI27" s="47">
        <f t="shared" si="3"/>
        <v>36</v>
      </c>
      <c r="AK27" s="49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2" t="s">
        <v>47</v>
      </c>
      <c r="B28" s="44">
        <v>8</v>
      </c>
      <c r="C28" s="44">
        <v>0</v>
      </c>
      <c r="D28" s="44">
        <v>0</v>
      </c>
      <c r="E28" s="44">
        <v>0</v>
      </c>
      <c r="F28" s="44">
        <v>0</v>
      </c>
      <c r="G28" s="44">
        <v>0</v>
      </c>
      <c r="H28" s="44">
        <v>0</v>
      </c>
      <c r="I28" s="44">
        <v>0</v>
      </c>
      <c r="J28" s="44">
        <v>0</v>
      </c>
      <c r="K28" s="44">
        <v>0</v>
      </c>
      <c r="L28" s="44">
        <v>8</v>
      </c>
      <c r="M28" s="44">
        <v>8</v>
      </c>
      <c r="N28" s="44">
        <v>8</v>
      </c>
      <c r="O28" s="44">
        <v>8</v>
      </c>
      <c r="P28" s="44">
        <v>8</v>
      </c>
      <c r="Q28" s="44">
        <v>8</v>
      </c>
      <c r="R28" s="44">
        <v>25</v>
      </c>
      <c r="S28" s="44">
        <v>25</v>
      </c>
      <c r="T28" s="44">
        <v>25</v>
      </c>
      <c r="U28" s="44">
        <v>25</v>
      </c>
      <c r="V28" s="44">
        <v>25</v>
      </c>
      <c r="W28" s="44">
        <v>25</v>
      </c>
      <c r="X28" s="44">
        <v>25</v>
      </c>
      <c r="Y28" s="44">
        <v>25</v>
      </c>
      <c r="Z28" s="44">
        <v>25</v>
      </c>
      <c r="AA28" s="44">
        <v>25</v>
      </c>
      <c r="AB28" s="44">
        <v>11.5</v>
      </c>
      <c r="AC28" s="44">
        <v>11.5</v>
      </c>
      <c r="AD28" s="44">
        <v>8</v>
      </c>
      <c r="AE28" s="44">
        <v>0</v>
      </c>
      <c r="AF28" s="44">
        <v>0</v>
      </c>
      <c r="AG28" s="48">
        <v>35.5</v>
      </c>
      <c r="AH28" s="46">
        <f t="shared" si="2"/>
        <v>25</v>
      </c>
      <c r="AI28" s="47">
        <f t="shared" si="3"/>
        <v>0</v>
      </c>
      <c r="AK28" s="49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2" t="s">
        <v>48</v>
      </c>
      <c r="B29" s="44">
        <v>19.8</v>
      </c>
      <c r="C29" s="44">
        <v>17</v>
      </c>
      <c r="D29" s="44">
        <v>17</v>
      </c>
      <c r="E29" s="44">
        <v>17</v>
      </c>
      <c r="F29" s="44">
        <v>17</v>
      </c>
      <c r="G29" s="44">
        <v>17</v>
      </c>
      <c r="H29" s="44">
        <v>17</v>
      </c>
      <c r="I29" s="44">
        <v>17</v>
      </c>
      <c r="J29" s="44">
        <v>17</v>
      </c>
      <c r="K29" s="44">
        <v>17</v>
      </c>
      <c r="L29" s="44">
        <v>17</v>
      </c>
      <c r="M29" s="44">
        <v>13.3</v>
      </c>
      <c r="N29" s="44">
        <v>13.3</v>
      </c>
      <c r="O29" s="44">
        <v>18.600000000000001</v>
      </c>
      <c r="P29" s="44">
        <v>19.399999999999999</v>
      </c>
      <c r="Q29" s="44">
        <v>19.399999999999999</v>
      </c>
      <c r="R29" s="44">
        <v>21.8</v>
      </c>
      <c r="S29" s="44">
        <v>21.8</v>
      </c>
      <c r="T29" s="44">
        <v>21.8</v>
      </c>
      <c r="U29" s="44">
        <v>21.8</v>
      </c>
      <c r="V29" s="44">
        <v>21.8</v>
      </c>
      <c r="W29" s="44">
        <v>21.8</v>
      </c>
      <c r="X29" s="44">
        <v>21.8</v>
      </c>
      <c r="Y29" s="44">
        <v>21.8</v>
      </c>
      <c r="Z29" s="44">
        <v>21.8</v>
      </c>
      <c r="AA29" s="44">
        <v>21.8</v>
      </c>
      <c r="AB29" s="44">
        <v>0</v>
      </c>
      <c r="AC29" s="44">
        <v>0</v>
      </c>
      <c r="AD29" s="44">
        <v>0</v>
      </c>
      <c r="AE29" s="44">
        <v>17</v>
      </c>
      <c r="AF29" s="44">
        <v>17</v>
      </c>
      <c r="AG29" s="61">
        <v>32</v>
      </c>
      <c r="AH29" s="46">
        <f t="shared" si="2"/>
        <v>21.8</v>
      </c>
      <c r="AI29" s="47">
        <f t="shared" si="3"/>
        <v>0</v>
      </c>
      <c r="AK29" s="49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2" t="s">
        <v>49</v>
      </c>
      <c r="B30" s="44">
        <v>0</v>
      </c>
      <c r="C30" s="44">
        <v>0</v>
      </c>
      <c r="D30" s="44">
        <v>0</v>
      </c>
      <c r="E30" s="44">
        <v>0</v>
      </c>
      <c r="F30" s="44">
        <v>0</v>
      </c>
      <c r="G30" s="44">
        <v>0</v>
      </c>
      <c r="H30" s="44">
        <v>0</v>
      </c>
      <c r="I30" s="44">
        <v>0</v>
      </c>
      <c r="J30" s="44">
        <v>0</v>
      </c>
      <c r="K30" s="44">
        <v>0</v>
      </c>
      <c r="L30" s="44">
        <v>0</v>
      </c>
      <c r="M30" s="44">
        <v>0</v>
      </c>
      <c r="N30" s="44">
        <v>0</v>
      </c>
      <c r="O30" s="44">
        <v>0</v>
      </c>
      <c r="P30" s="44">
        <v>0</v>
      </c>
      <c r="Q30" s="44">
        <v>0</v>
      </c>
      <c r="R30" s="44">
        <v>0</v>
      </c>
      <c r="S30" s="44">
        <v>0</v>
      </c>
      <c r="T30" s="44">
        <v>0</v>
      </c>
      <c r="U30" s="44">
        <v>0</v>
      </c>
      <c r="V30" s="44">
        <v>0</v>
      </c>
      <c r="W30" s="44">
        <v>0</v>
      </c>
      <c r="X30" s="44">
        <v>0</v>
      </c>
      <c r="Y30" s="44">
        <v>0</v>
      </c>
      <c r="Z30" s="44">
        <v>0</v>
      </c>
      <c r="AA30" s="44">
        <v>0</v>
      </c>
      <c r="AB30" s="44">
        <v>0</v>
      </c>
      <c r="AC30" s="44">
        <v>0</v>
      </c>
      <c r="AD30" s="44">
        <v>0</v>
      </c>
      <c r="AE30" s="44">
        <v>0</v>
      </c>
      <c r="AF30" s="44">
        <v>0</v>
      </c>
      <c r="AG30" s="48">
        <v>30</v>
      </c>
      <c r="AH30" s="46">
        <f t="shared" si="2"/>
        <v>0</v>
      </c>
      <c r="AI30" s="47">
        <f t="shared" si="3"/>
        <v>0</v>
      </c>
      <c r="AK30" s="49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2" t="s">
        <v>50</v>
      </c>
      <c r="B31" s="44">
        <v>0</v>
      </c>
      <c r="C31" s="44">
        <v>23.5</v>
      </c>
      <c r="D31" s="44">
        <v>23.5</v>
      </c>
      <c r="E31" s="44">
        <v>23.5</v>
      </c>
      <c r="F31" s="44">
        <v>23.5</v>
      </c>
      <c r="G31" s="44">
        <v>23.5</v>
      </c>
      <c r="H31" s="44">
        <v>23.5</v>
      </c>
      <c r="I31" s="44">
        <v>23.5</v>
      </c>
      <c r="J31" s="44">
        <v>23.5</v>
      </c>
      <c r="K31" s="44">
        <v>23.5</v>
      </c>
      <c r="L31" s="44">
        <v>23.5</v>
      </c>
      <c r="M31" s="44">
        <v>33</v>
      </c>
      <c r="N31" s="44">
        <v>33</v>
      </c>
      <c r="O31" s="44">
        <v>33.200000000000003</v>
      </c>
      <c r="P31" s="44">
        <v>33.200000000000003</v>
      </c>
      <c r="Q31" s="44">
        <v>33.200000000000003</v>
      </c>
      <c r="R31" s="44">
        <v>33</v>
      </c>
      <c r="S31" s="44">
        <v>33</v>
      </c>
      <c r="T31" s="44">
        <v>33</v>
      </c>
      <c r="U31" s="44">
        <v>33</v>
      </c>
      <c r="V31" s="44">
        <v>33</v>
      </c>
      <c r="W31" s="44">
        <v>33</v>
      </c>
      <c r="X31" s="44">
        <v>33</v>
      </c>
      <c r="Y31" s="44">
        <v>33</v>
      </c>
      <c r="Z31" s="44">
        <v>33</v>
      </c>
      <c r="AA31" s="44">
        <v>33</v>
      </c>
      <c r="AB31" s="44">
        <v>33.1</v>
      </c>
      <c r="AC31" s="44">
        <v>33.1</v>
      </c>
      <c r="AD31" s="44">
        <v>25</v>
      </c>
      <c r="AE31" s="44">
        <v>23.8</v>
      </c>
      <c r="AF31" s="44">
        <v>23.8</v>
      </c>
      <c r="AG31" s="48">
        <v>29.04</v>
      </c>
      <c r="AH31" s="46">
        <f t="shared" si="2"/>
        <v>33.200000000000003</v>
      </c>
      <c r="AI31" s="47">
        <f t="shared" si="3"/>
        <v>0</v>
      </c>
      <c r="AK31" s="49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2" t="s">
        <v>51</v>
      </c>
      <c r="B32" s="44">
        <v>0</v>
      </c>
      <c r="C32" s="44">
        <v>0</v>
      </c>
      <c r="D32" s="44">
        <v>0</v>
      </c>
      <c r="E32" s="44">
        <v>0</v>
      </c>
      <c r="F32" s="44">
        <v>0</v>
      </c>
      <c r="G32" s="44">
        <v>0</v>
      </c>
      <c r="H32" s="44">
        <v>0</v>
      </c>
      <c r="I32" s="44">
        <v>0</v>
      </c>
      <c r="J32" s="44">
        <v>28.4</v>
      </c>
      <c r="K32" s="44">
        <v>28.4</v>
      </c>
      <c r="L32" s="44">
        <v>28.4</v>
      </c>
      <c r="M32" s="44">
        <v>28.3</v>
      </c>
      <c r="N32" s="44">
        <v>28.3</v>
      </c>
      <c r="O32" s="44">
        <v>28.3</v>
      </c>
      <c r="P32" s="44">
        <v>28.3</v>
      </c>
      <c r="Q32" s="44">
        <v>28.3</v>
      </c>
      <c r="R32" s="44">
        <v>28.3</v>
      </c>
      <c r="S32" s="44">
        <v>28.3</v>
      </c>
      <c r="T32" s="44">
        <v>28.3</v>
      </c>
      <c r="U32" s="44">
        <v>28.3</v>
      </c>
      <c r="V32" s="44">
        <v>28.3</v>
      </c>
      <c r="W32" s="44">
        <v>28.3</v>
      </c>
      <c r="X32" s="44">
        <v>28.3</v>
      </c>
      <c r="Y32" s="44">
        <v>28.3</v>
      </c>
      <c r="Z32" s="44">
        <v>28.3</v>
      </c>
      <c r="AA32" s="44">
        <v>28.3</v>
      </c>
      <c r="AB32" s="44">
        <v>0</v>
      </c>
      <c r="AC32" s="44">
        <v>0</v>
      </c>
      <c r="AD32" s="44">
        <v>5</v>
      </c>
      <c r="AE32" s="44">
        <v>28</v>
      </c>
      <c r="AF32" s="44">
        <v>28</v>
      </c>
      <c r="AG32" s="48">
        <v>28.1</v>
      </c>
      <c r="AH32" s="46">
        <f t="shared" si="2"/>
        <v>28.4</v>
      </c>
      <c r="AI32" s="47">
        <f t="shared" si="3"/>
        <v>0</v>
      </c>
      <c r="AK32" s="49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2" t="s">
        <v>52</v>
      </c>
      <c r="B33" s="44">
        <v>19.399999999999999</v>
      </c>
      <c r="C33" s="44">
        <v>5.9</v>
      </c>
      <c r="D33" s="44">
        <v>5.9</v>
      </c>
      <c r="E33" s="44">
        <v>5.9</v>
      </c>
      <c r="F33" s="44">
        <v>5.9</v>
      </c>
      <c r="G33" s="44">
        <v>5.9</v>
      </c>
      <c r="H33" s="44">
        <v>5.9</v>
      </c>
      <c r="I33" s="44">
        <v>5.9</v>
      </c>
      <c r="J33" s="44">
        <v>4.7</v>
      </c>
      <c r="K33" s="44">
        <v>4.7</v>
      </c>
      <c r="L33" s="44">
        <v>13.9</v>
      </c>
      <c r="M33" s="44">
        <v>13.9</v>
      </c>
      <c r="N33" s="44">
        <v>13.9</v>
      </c>
      <c r="O33" s="44">
        <v>16.88</v>
      </c>
      <c r="P33" s="44">
        <v>16.88</v>
      </c>
      <c r="Q33" s="44">
        <v>16.88</v>
      </c>
      <c r="R33" s="44">
        <v>26.4</v>
      </c>
      <c r="S33" s="44">
        <v>26.4</v>
      </c>
      <c r="T33" s="44">
        <v>26.4</v>
      </c>
      <c r="U33" s="44">
        <v>26.4</v>
      </c>
      <c r="V33" s="44">
        <v>26.4</v>
      </c>
      <c r="W33" s="44">
        <v>26.4</v>
      </c>
      <c r="X33" s="44">
        <v>26.4</v>
      </c>
      <c r="Y33" s="44">
        <v>26.4</v>
      </c>
      <c r="Z33" s="44">
        <v>26.4</v>
      </c>
      <c r="AA33" s="44">
        <v>26.4</v>
      </c>
      <c r="AB33" s="44">
        <v>14.4</v>
      </c>
      <c r="AC33" s="44">
        <v>14.4</v>
      </c>
      <c r="AD33" s="44">
        <v>14.4</v>
      </c>
      <c r="AE33" s="44">
        <v>14</v>
      </c>
      <c r="AF33" s="44">
        <v>14</v>
      </c>
      <c r="AG33" s="48">
        <v>27</v>
      </c>
      <c r="AH33" s="46">
        <f t="shared" si="2"/>
        <v>26.4</v>
      </c>
      <c r="AI33" s="47">
        <f t="shared" si="3"/>
        <v>4.7</v>
      </c>
      <c r="AK33" s="49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2" t="s">
        <v>53</v>
      </c>
      <c r="B34" s="44">
        <v>21.5</v>
      </c>
      <c r="C34" s="44">
        <v>21.5</v>
      </c>
      <c r="D34" s="44">
        <v>21.5</v>
      </c>
      <c r="E34" s="44">
        <v>21.5</v>
      </c>
      <c r="F34" s="44">
        <v>21.5</v>
      </c>
      <c r="G34" s="44">
        <v>21.5</v>
      </c>
      <c r="H34" s="44">
        <v>21.5</v>
      </c>
      <c r="I34" s="44">
        <v>21.5</v>
      </c>
      <c r="J34" s="44">
        <v>21.5</v>
      </c>
      <c r="K34" s="44">
        <v>21.5</v>
      </c>
      <c r="L34" s="44">
        <v>21.5</v>
      </c>
      <c r="M34" s="44">
        <v>17.5</v>
      </c>
      <c r="N34" s="44">
        <v>17.5</v>
      </c>
      <c r="O34" s="44">
        <v>20.5</v>
      </c>
      <c r="P34" s="44">
        <v>20.5</v>
      </c>
      <c r="Q34" s="44">
        <v>20.5</v>
      </c>
      <c r="R34" s="44">
        <v>20.6</v>
      </c>
      <c r="S34" s="44">
        <v>20.6</v>
      </c>
      <c r="T34" s="44">
        <v>20.6</v>
      </c>
      <c r="U34" s="44">
        <v>20.6</v>
      </c>
      <c r="V34" s="44">
        <v>20.6</v>
      </c>
      <c r="W34" s="44">
        <v>20.6</v>
      </c>
      <c r="X34" s="44">
        <v>20.6</v>
      </c>
      <c r="Y34" s="44">
        <v>20.6</v>
      </c>
      <c r="Z34" s="44">
        <v>20.6</v>
      </c>
      <c r="AA34" s="44">
        <v>20.6</v>
      </c>
      <c r="AB34" s="44">
        <v>20.100000000000001</v>
      </c>
      <c r="AC34" s="44">
        <v>20.100000000000001</v>
      </c>
      <c r="AD34" s="44">
        <v>20.100000000000001</v>
      </c>
      <c r="AE34" s="44">
        <v>20.3</v>
      </c>
      <c r="AF34" s="44">
        <v>20.3</v>
      </c>
      <c r="AG34" s="48">
        <v>25</v>
      </c>
      <c r="AH34" s="46">
        <f t="shared" si="2"/>
        <v>21.5</v>
      </c>
      <c r="AI34" s="47">
        <f t="shared" si="3"/>
        <v>17.5</v>
      </c>
      <c r="AK34" s="49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2" t="s">
        <v>54</v>
      </c>
      <c r="B35" s="44">
        <v>20.399999999999999</v>
      </c>
      <c r="C35" s="44">
        <v>13</v>
      </c>
      <c r="D35" s="44">
        <v>13</v>
      </c>
      <c r="E35" s="44">
        <v>13</v>
      </c>
      <c r="F35" s="44">
        <v>13</v>
      </c>
      <c r="G35" s="44">
        <v>13</v>
      </c>
      <c r="H35" s="44">
        <v>13</v>
      </c>
      <c r="I35" s="44">
        <v>13</v>
      </c>
      <c r="J35" s="44">
        <v>13</v>
      </c>
      <c r="K35" s="44">
        <v>13</v>
      </c>
      <c r="L35" s="44">
        <v>13</v>
      </c>
      <c r="M35" s="44">
        <v>13.2</v>
      </c>
      <c r="N35" s="44">
        <v>13.2</v>
      </c>
      <c r="O35" s="44">
        <v>12.5</v>
      </c>
      <c r="P35" s="44">
        <v>12.5</v>
      </c>
      <c r="Q35" s="44">
        <v>12.5</v>
      </c>
      <c r="R35" s="44">
        <v>18.3</v>
      </c>
      <c r="S35" s="44">
        <v>18.3</v>
      </c>
      <c r="T35" s="44">
        <v>18.3</v>
      </c>
      <c r="U35" s="44">
        <v>18.3</v>
      </c>
      <c r="V35" s="44">
        <v>18.3</v>
      </c>
      <c r="W35" s="44">
        <v>18.3</v>
      </c>
      <c r="X35" s="44">
        <v>18.3</v>
      </c>
      <c r="Y35" s="44">
        <v>18.3</v>
      </c>
      <c r="Z35" s="44">
        <v>18.3</v>
      </c>
      <c r="AA35" s="44">
        <v>18.3</v>
      </c>
      <c r="AB35" s="44">
        <v>23</v>
      </c>
      <c r="AC35" s="44">
        <v>23</v>
      </c>
      <c r="AD35" s="44">
        <v>25</v>
      </c>
      <c r="AE35" s="44">
        <v>17.8</v>
      </c>
      <c r="AF35" s="44">
        <v>17.8</v>
      </c>
      <c r="AG35" s="48">
        <v>25</v>
      </c>
      <c r="AH35" s="46">
        <f t="shared" si="2"/>
        <v>25</v>
      </c>
      <c r="AI35" s="47">
        <f t="shared" si="3"/>
        <v>12.5</v>
      </c>
      <c r="AK35" s="49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2" t="s">
        <v>55</v>
      </c>
      <c r="B36" s="44">
        <v>25.2</v>
      </c>
      <c r="C36" s="44">
        <v>25.2</v>
      </c>
      <c r="D36" s="44">
        <v>25.2</v>
      </c>
      <c r="E36" s="44">
        <v>25.2</v>
      </c>
      <c r="F36" s="44">
        <v>25.2</v>
      </c>
      <c r="G36" s="44">
        <v>25.2</v>
      </c>
      <c r="H36" s="44">
        <v>25.2</v>
      </c>
      <c r="I36" s="44">
        <v>25.2</v>
      </c>
      <c r="J36" s="44">
        <v>25.2</v>
      </c>
      <c r="K36" s="44">
        <v>25.2</v>
      </c>
      <c r="L36" s="44">
        <v>25.2</v>
      </c>
      <c r="M36" s="44">
        <v>25.2</v>
      </c>
      <c r="N36" s="44">
        <v>25.2</v>
      </c>
      <c r="O36" s="44">
        <v>25.2</v>
      </c>
      <c r="P36" s="44">
        <v>25.2</v>
      </c>
      <c r="Q36" s="44">
        <v>25.2</v>
      </c>
      <c r="R36" s="44">
        <v>25.2</v>
      </c>
      <c r="S36" s="44">
        <v>25.2</v>
      </c>
      <c r="T36" s="44">
        <v>25.2</v>
      </c>
      <c r="U36" s="44">
        <v>25.2</v>
      </c>
      <c r="V36" s="44">
        <v>25.2</v>
      </c>
      <c r="W36" s="44">
        <v>25.2</v>
      </c>
      <c r="X36" s="44">
        <v>25.2</v>
      </c>
      <c r="Y36" s="44">
        <v>25.2</v>
      </c>
      <c r="Z36" s="44">
        <v>25.2</v>
      </c>
      <c r="AA36" s="44">
        <v>25.2</v>
      </c>
      <c r="AB36" s="44">
        <v>25.2</v>
      </c>
      <c r="AC36" s="44">
        <v>25.2</v>
      </c>
      <c r="AD36" s="44">
        <v>25.2</v>
      </c>
      <c r="AE36" s="44">
        <v>25.2</v>
      </c>
      <c r="AF36" s="44">
        <v>25.2</v>
      </c>
      <c r="AG36" s="48">
        <v>25</v>
      </c>
      <c r="AH36" s="46">
        <f t="shared" si="2"/>
        <v>25.2</v>
      </c>
      <c r="AI36" s="47">
        <f t="shared" si="3"/>
        <v>25.2</v>
      </c>
      <c r="AK36" s="49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2" t="s">
        <v>56</v>
      </c>
      <c r="B37" s="44">
        <v>20.399999999999999</v>
      </c>
      <c r="C37" s="44">
        <v>5.5</v>
      </c>
      <c r="D37" s="44">
        <v>5.5</v>
      </c>
      <c r="E37" s="44">
        <v>5.5</v>
      </c>
      <c r="F37" s="44">
        <v>5.5</v>
      </c>
      <c r="G37" s="44">
        <v>5.5</v>
      </c>
      <c r="H37" s="44">
        <v>5.5</v>
      </c>
      <c r="I37" s="44">
        <v>5.5</v>
      </c>
      <c r="J37" s="44">
        <v>5.5</v>
      </c>
      <c r="K37" s="44">
        <v>5.5</v>
      </c>
      <c r="L37" s="44">
        <v>13.1</v>
      </c>
      <c r="M37" s="44">
        <v>12.9</v>
      </c>
      <c r="N37" s="44">
        <v>12.9</v>
      </c>
      <c r="O37" s="44">
        <v>15.4</v>
      </c>
      <c r="P37" s="44">
        <v>15.4</v>
      </c>
      <c r="Q37" s="44">
        <v>15.4</v>
      </c>
      <c r="R37" s="44">
        <v>0</v>
      </c>
      <c r="S37" s="44">
        <v>0</v>
      </c>
      <c r="T37" s="44">
        <v>0</v>
      </c>
      <c r="U37" s="44">
        <v>0</v>
      </c>
      <c r="V37" s="44">
        <v>0</v>
      </c>
      <c r="W37" s="44">
        <v>0</v>
      </c>
      <c r="X37" s="44">
        <v>0</v>
      </c>
      <c r="Y37" s="44">
        <v>0</v>
      </c>
      <c r="Z37" s="44">
        <v>0</v>
      </c>
      <c r="AA37" s="44">
        <v>0</v>
      </c>
      <c r="AB37" s="44">
        <v>12.9</v>
      </c>
      <c r="AC37" s="44">
        <v>12.9</v>
      </c>
      <c r="AD37" s="44">
        <v>12.9</v>
      </c>
      <c r="AE37" s="44">
        <v>12.9</v>
      </c>
      <c r="AF37" s="44">
        <v>12.9</v>
      </c>
      <c r="AG37" s="48">
        <v>25</v>
      </c>
      <c r="AH37" s="46">
        <f t="shared" si="2"/>
        <v>20.399999999999999</v>
      </c>
      <c r="AI37" s="47">
        <f t="shared" si="3"/>
        <v>0</v>
      </c>
      <c r="AK37" s="49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2" t="s">
        <v>57</v>
      </c>
      <c r="B38" s="44">
        <v>20</v>
      </c>
      <c r="C38" s="44">
        <v>15</v>
      </c>
      <c r="D38" s="44">
        <v>15</v>
      </c>
      <c r="E38" s="44">
        <v>15</v>
      </c>
      <c r="F38" s="44">
        <v>15</v>
      </c>
      <c r="G38" s="44">
        <v>15</v>
      </c>
      <c r="H38" s="44">
        <v>15</v>
      </c>
      <c r="I38" s="44">
        <v>15</v>
      </c>
      <c r="J38" s="44">
        <v>15</v>
      </c>
      <c r="K38" s="44">
        <v>15</v>
      </c>
      <c r="L38" s="44">
        <v>15</v>
      </c>
      <c r="M38" s="44">
        <v>15</v>
      </c>
      <c r="N38" s="44">
        <v>15</v>
      </c>
      <c r="O38" s="44">
        <v>18</v>
      </c>
      <c r="P38" s="44">
        <v>18</v>
      </c>
      <c r="Q38" s="44">
        <v>18</v>
      </c>
      <c r="R38" s="44">
        <v>18</v>
      </c>
      <c r="S38" s="44">
        <v>18</v>
      </c>
      <c r="T38" s="44">
        <v>18</v>
      </c>
      <c r="U38" s="44">
        <v>18</v>
      </c>
      <c r="V38" s="44">
        <v>18</v>
      </c>
      <c r="W38" s="44">
        <v>18</v>
      </c>
      <c r="X38" s="44">
        <v>18</v>
      </c>
      <c r="Y38" s="44">
        <v>18</v>
      </c>
      <c r="Z38" s="44">
        <v>18</v>
      </c>
      <c r="AA38" s="44">
        <v>18</v>
      </c>
      <c r="AB38" s="44">
        <v>25</v>
      </c>
      <c r="AC38" s="44">
        <v>25</v>
      </c>
      <c r="AD38" s="44">
        <v>22.5</v>
      </c>
      <c r="AE38" s="44">
        <v>17.8</v>
      </c>
      <c r="AF38" s="44">
        <v>17.8</v>
      </c>
      <c r="AG38" s="48">
        <v>25</v>
      </c>
      <c r="AH38" s="46">
        <f t="shared" si="2"/>
        <v>25</v>
      </c>
      <c r="AI38" s="47">
        <f t="shared" si="3"/>
        <v>15</v>
      </c>
      <c r="AK38" s="49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2" t="s">
        <v>58</v>
      </c>
      <c r="B39" s="44">
        <v>24</v>
      </c>
      <c r="C39" s="44">
        <v>24</v>
      </c>
      <c r="D39" s="44">
        <v>24</v>
      </c>
      <c r="E39" s="44">
        <v>24</v>
      </c>
      <c r="F39" s="44">
        <v>24</v>
      </c>
      <c r="G39" s="44">
        <v>24</v>
      </c>
      <c r="H39" s="44">
        <v>24</v>
      </c>
      <c r="I39" s="44">
        <v>24</v>
      </c>
      <c r="J39" s="44">
        <v>24</v>
      </c>
      <c r="K39" s="44">
        <v>24</v>
      </c>
      <c r="L39" s="44">
        <v>24</v>
      </c>
      <c r="M39" s="44">
        <v>24.7</v>
      </c>
      <c r="N39" s="44">
        <v>24.7</v>
      </c>
      <c r="O39" s="44">
        <v>24.7</v>
      </c>
      <c r="P39" s="44">
        <v>24.7</v>
      </c>
      <c r="Q39" s="44">
        <v>24.7</v>
      </c>
      <c r="R39" s="44">
        <v>24.8</v>
      </c>
      <c r="S39" s="44">
        <v>24.8</v>
      </c>
      <c r="T39" s="44">
        <v>24.8</v>
      </c>
      <c r="U39" s="44">
        <v>24.8</v>
      </c>
      <c r="V39" s="44">
        <v>24.8</v>
      </c>
      <c r="W39" s="44">
        <v>24.8</v>
      </c>
      <c r="X39" s="44">
        <v>24.8</v>
      </c>
      <c r="Y39" s="44">
        <v>24.8</v>
      </c>
      <c r="Z39" s="44">
        <v>24.8</v>
      </c>
      <c r="AA39" s="44">
        <v>24.8</v>
      </c>
      <c r="AB39" s="44">
        <v>24.8</v>
      </c>
      <c r="AC39" s="44">
        <v>24.8</v>
      </c>
      <c r="AD39" s="44">
        <v>24.8</v>
      </c>
      <c r="AE39" s="44">
        <v>24.8</v>
      </c>
      <c r="AF39" s="44">
        <v>24.8</v>
      </c>
      <c r="AG39" s="48">
        <v>23.5</v>
      </c>
      <c r="AH39" s="46">
        <f t="shared" si="2"/>
        <v>24.8</v>
      </c>
      <c r="AI39" s="47">
        <f t="shared" si="3"/>
        <v>24</v>
      </c>
      <c r="AK39" s="49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2" t="s">
        <v>59</v>
      </c>
      <c r="B40" s="44">
        <v>11</v>
      </c>
      <c r="C40" s="44">
        <v>11</v>
      </c>
      <c r="D40" s="44">
        <v>11</v>
      </c>
      <c r="E40" s="44">
        <v>11</v>
      </c>
      <c r="F40" s="44">
        <v>11</v>
      </c>
      <c r="G40" s="44">
        <v>11</v>
      </c>
      <c r="H40" s="44">
        <v>11</v>
      </c>
      <c r="I40" s="44">
        <v>11</v>
      </c>
      <c r="J40" s="44">
        <v>11</v>
      </c>
      <c r="K40" s="44">
        <v>11</v>
      </c>
      <c r="L40" s="44">
        <v>11</v>
      </c>
      <c r="M40" s="44">
        <v>11</v>
      </c>
      <c r="N40" s="44">
        <v>11</v>
      </c>
      <c r="O40" s="44">
        <v>11</v>
      </c>
      <c r="P40" s="44">
        <v>11</v>
      </c>
      <c r="Q40" s="44">
        <v>11</v>
      </c>
      <c r="R40" s="44">
        <v>11</v>
      </c>
      <c r="S40" s="44">
        <v>11</v>
      </c>
      <c r="T40" s="44">
        <v>11</v>
      </c>
      <c r="U40" s="44">
        <v>11</v>
      </c>
      <c r="V40" s="44">
        <v>11</v>
      </c>
      <c r="W40" s="44">
        <v>11</v>
      </c>
      <c r="X40" s="44">
        <v>11</v>
      </c>
      <c r="Y40" s="44">
        <v>11</v>
      </c>
      <c r="Z40" s="44">
        <v>11</v>
      </c>
      <c r="AA40" s="44">
        <v>11</v>
      </c>
      <c r="AB40" s="44">
        <v>11</v>
      </c>
      <c r="AC40" s="44">
        <v>11</v>
      </c>
      <c r="AD40" s="44">
        <v>11</v>
      </c>
      <c r="AE40" s="44">
        <v>11</v>
      </c>
      <c r="AF40" s="44">
        <v>11</v>
      </c>
      <c r="AG40" s="48">
        <v>22.2</v>
      </c>
      <c r="AH40" s="46">
        <f t="shared" si="2"/>
        <v>11</v>
      </c>
      <c r="AI40" s="47">
        <f t="shared" si="3"/>
        <v>11</v>
      </c>
      <c r="AK40" s="49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2" t="s">
        <v>60</v>
      </c>
      <c r="B41" s="44">
        <v>18.5</v>
      </c>
      <c r="C41" s="44">
        <v>18.5</v>
      </c>
      <c r="D41" s="44">
        <v>18.5</v>
      </c>
      <c r="E41" s="44">
        <v>18.5</v>
      </c>
      <c r="F41" s="44">
        <v>18.5</v>
      </c>
      <c r="G41" s="44">
        <v>18.5</v>
      </c>
      <c r="H41" s="44">
        <v>18.5</v>
      </c>
      <c r="I41" s="44">
        <v>18.5</v>
      </c>
      <c r="J41" s="44">
        <v>18.5</v>
      </c>
      <c r="K41" s="44">
        <v>18.5</v>
      </c>
      <c r="L41" s="44">
        <v>18.5</v>
      </c>
      <c r="M41" s="44">
        <v>18.5</v>
      </c>
      <c r="N41" s="44">
        <v>18.5</v>
      </c>
      <c r="O41" s="44">
        <v>18.5</v>
      </c>
      <c r="P41" s="44">
        <v>18.5</v>
      </c>
      <c r="Q41" s="44">
        <v>18.5</v>
      </c>
      <c r="R41" s="44">
        <v>18.5</v>
      </c>
      <c r="S41" s="44">
        <v>18.5</v>
      </c>
      <c r="T41" s="44">
        <v>18.5</v>
      </c>
      <c r="U41" s="44">
        <v>18.5</v>
      </c>
      <c r="V41" s="44">
        <v>18.5</v>
      </c>
      <c r="W41" s="44">
        <v>18.5</v>
      </c>
      <c r="X41" s="44">
        <v>18.5</v>
      </c>
      <c r="Y41" s="44">
        <v>18.5</v>
      </c>
      <c r="Z41" s="44">
        <v>18.5</v>
      </c>
      <c r="AA41" s="44">
        <v>18.5</v>
      </c>
      <c r="AB41" s="44">
        <v>18.899999999999999</v>
      </c>
      <c r="AC41" s="44">
        <v>18.899999999999999</v>
      </c>
      <c r="AD41" s="44">
        <v>18.899999999999999</v>
      </c>
      <c r="AE41" s="44">
        <v>18.899999999999999</v>
      </c>
      <c r="AF41" s="44">
        <v>18.899999999999999</v>
      </c>
      <c r="AG41" s="48">
        <v>22.1</v>
      </c>
      <c r="AH41" s="46">
        <f t="shared" si="2"/>
        <v>18.899999999999999</v>
      </c>
      <c r="AI41" s="47">
        <f t="shared" si="3"/>
        <v>18.5</v>
      </c>
      <c r="AK41" s="49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42" t="s">
        <v>61</v>
      </c>
      <c r="B42" s="44">
        <v>0</v>
      </c>
      <c r="C42" s="44">
        <v>17</v>
      </c>
      <c r="D42" s="44">
        <v>17</v>
      </c>
      <c r="E42" s="44">
        <v>17</v>
      </c>
      <c r="F42" s="44">
        <v>17</v>
      </c>
      <c r="G42" s="44">
        <v>17</v>
      </c>
      <c r="H42" s="44">
        <v>17</v>
      </c>
      <c r="I42" s="44">
        <v>17</v>
      </c>
      <c r="J42" s="44">
        <v>17</v>
      </c>
      <c r="K42" s="44">
        <v>17</v>
      </c>
      <c r="L42" s="44">
        <v>17</v>
      </c>
      <c r="M42" s="44">
        <v>32</v>
      </c>
      <c r="N42" s="44">
        <v>32</v>
      </c>
      <c r="O42" s="44">
        <v>32</v>
      </c>
      <c r="P42" s="44">
        <v>32</v>
      </c>
      <c r="Q42" s="44">
        <v>32</v>
      </c>
      <c r="R42" s="44">
        <v>32</v>
      </c>
      <c r="S42" s="44">
        <v>32</v>
      </c>
      <c r="T42" s="44">
        <v>32</v>
      </c>
      <c r="U42" s="44">
        <v>32</v>
      </c>
      <c r="V42" s="44">
        <v>32</v>
      </c>
      <c r="W42" s="44">
        <v>32</v>
      </c>
      <c r="X42" s="44">
        <v>32</v>
      </c>
      <c r="Y42" s="44">
        <v>32</v>
      </c>
      <c r="Z42" s="44">
        <v>32</v>
      </c>
      <c r="AA42" s="44">
        <v>32</v>
      </c>
      <c r="AB42" s="44">
        <v>33.200000000000003</v>
      </c>
      <c r="AC42" s="44">
        <v>33.200000000000003</v>
      </c>
      <c r="AD42" s="44">
        <v>33.200000000000003</v>
      </c>
      <c r="AE42" s="44">
        <v>33.200000000000003</v>
      </c>
      <c r="AF42" s="44">
        <v>33.200000000000003</v>
      </c>
      <c r="AG42" s="48">
        <v>22</v>
      </c>
      <c r="AH42" s="46">
        <f t="shared" si="2"/>
        <v>33.200000000000003</v>
      </c>
      <c r="AI42" s="47">
        <f t="shared" si="3"/>
        <v>0</v>
      </c>
      <c r="AK42" s="49"/>
      <c r="AL42" s="28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x14ac:dyDescent="0.25">
      <c r="A43" s="42" t="s">
        <v>62</v>
      </c>
      <c r="B43" s="44">
        <v>17.600000000000001</v>
      </c>
      <c r="C43" s="44">
        <v>17.600000000000001</v>
      </c>
      <c r="D43" s="44">
        <v>17.600000000000001</v>
      </c>
      <c r="E43" s="44">
        <v>17.600000000000001</v>
      </c>
      <c r="F43" s="44">
        <v>17.600000000000001</v>
      </c>
      <c r="G43" s="44">
        <v>17.600000000000001</v>
      </c>
      <c r="H43" s="44">
        <v>17.600000000000001</v>
      </c>
      <c r="I43" s="44">
        <v>17.600000000000001</v>
      </c>
      <c r="J43" s="44">
        <v>17.600000000000001</v>
      </c>
      <c r="K43" s="44">
        <v>17.600000000000001</v>
      </c>
      <c r="L43" s="44">
        <v>17.600000000000001</v>
      </c>
      <c r="M43" s="44">
        <v>17.600000000000001</v>
      </c>
      <c r="N43" s="44">
        <v>17.600000000000001</v>
      </c>
      <c r="O43" s="44">
        <v>17.600000000000001</v>
      </c>
      <c r="P43" s="44">
        <v>17.600000000000001</v>
      </c>
      <c r="Q43" s="44">
        <v>17.600000000000001</v>
      </c>
      <c r="R43" s="44">
        <v>17.600000000000001</v>
      </c>
      <c r="S43" s="44">
        <v>17.600000000000001</v>
      </c>
      <c r="T43" s="44">
        <v>17.600000000000001</v>
      </c>
      <c r="U43" s="44">
        <v>17.600000000000001</v>
      </c>
      <c r="V43" s="44">
        <v>17.600000000000001</v>
      </c>
      <c r="W43" s="44">
        <v>17.600000000000001</v>
      </c>
      <c r="X43" s="44">
        <v>17.600000000000001</v>
      </c>
      <c r="Y43" s="44">
        <v>17.600000000000001</v>
      </c>
      <c r="Z43" s="44">
        <v>17.600000000000001</v>
      </c>
      <c r="AA43" s="44">
        <v>17.600000000000001</v>
      </c>
      <c r="AB43" s="44">
        <v>17.600000000000001</v>
      </c>
      <c r="AC43" s="44">
        <v>17.600000000000001</v>
      </c>
      <c r="AD43" s="44">
        <v>17.600000000000001</v>
      </c>
      <c r="AE43" s="44">
        <v>17.600000000000001</v>
      </c>
      <c r="AF43" s="44">
        <v>17.600000000000001</v>
      </c>
      <c r="AG43" s="48">
        <v>22</v>
      </c>
      <c r="AH43" s="46">
        <f t="shared" si="2"/>
        <v>17.600000000000001</v>
      </c>
      <c r="AI43" s="47">
        <f t="shared" si="3"/>
        <v>17.600000000000001</v>
      </c>
      <c r="AK43" s="49"/>
      <c r="AL43" s="28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x14ac:dyDescent="0.25">
      <c r="A44" s="42" t="s">
        <v>63</v>
      </c>
      <c r="B44" s="44">
        <v>21.6</v>
      </c>
      <c r="C44" s="44">
        <v>21.6</v>
      </c>
      <c r="D44" s="44">
        <v>21.6</v>
      </c>
      <c r="E44" s="44">
        <v>21.6</v>
      </c>
      <c r="F44" s="44">
        <v>21.6</v>
      </c>
      <c r="G44" s="44">
        <v>21.6</v>
      </c>
      <c r="H44" s="44">
        <v>21.6</v>
      </c>
      <c r="I44" s="44">
        <v>21.6</v>
      </c>
      <c r="J44" s="44">
        <v>21.6</v>
      </c>
      <c r="K44" s="44">
        <v>21.6</v>
      </c>
      <c r="L44" s="44">
        <v>21.6</v>
      </c>
      <c r="M44" s="44">
        <v>15.3</v>
      </c>
      <c r="N44" s="44">
        <v>15.3</v>
      </c>
      <c r="O44" s="44">
        <v>18.100000000000001</v>
      </c>
      <c r="P44" s="44">
        <v>18.100000000000001</v>
      </c>
      <c r="Q44" s="44">
        <v>18.100000000000001</v>
      </c>
      <c r="R44" s="44">
        <v>18.100000000000001</v>
      </c>
      <c r="S44" s="44">
        <v>18.100000000000001</v>
      </c>
      <c r="T44" s="44">
        <v>18.100000000000001</v>
      </c>
      <c r="U44" s="44">
        <v>18.100000000000001</v>
      </c>
      <c r="V44" s="44">
        <v>18.100000000000001</v>
      </c>
      <c r="W44" s="44">
        <v>18.100000000000001</v>
      </c>
      <c r="X44" s="44">
        <v>18.100000000000001</v>
      </c>
      <c r="Y44" s="44">
        <v>18.100000000000001</v>
      </c>
      <c r="Z44" s="44">
        <v>18.100000000000001</v>
      </c>
      <c r="AA44" s="44">
        <v>18.100000000000001</v>
      </c>
      <c r="AB44" s="44">
        <v>18.399999999999999</v>
      </c>
      <c r="AC44" s="44">
        <v>18.399999999999999</v>
      </c>
      <c r="AD44" s="44">
        <v>18.399999999999999</v>
      </c>
      <c r="AE44" s="44">
        <v>18.399999999999999</v>
      </c>
      <c r="AF44" s="44">
        <v>18.399999999999999</v>
      </c>
      <c r="AG44" s="48">
        <v>21.93</v>
      </c>
      <c r="AH44" s="46">
        <f t="shared" si="2"/>
        <v>21.6</v>
      </c>
      <c r="AI44" s="47">
        <f t="shared" si="3"/>
        <v>15.3</v>
      </c>
      <c r="AK44" s="49"/>
      <c r="AL44" s="28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x14ac:dyDescent="0.25">
      <c r="A45" s="42" t="s">
        <v>64</v>
      </c>
      <c r="B45" s="44">
        <v>5.5</v>
      </c>
      <c r="C45" s="44">
        <v>0</v>
      </c>
      <c r="D45" s="44">
        <v>0</v>
      </c>
      <c r="E45" s="44">
        <v>0</v>
      </c>
      <c r="F45" s="44">
        <v>0</v>
      </c>
      <c r="G45" s="44">
        <v>0</v>
      </c>
      <c r="H45" s="44">
        <v>0</v>
      </c>
      <c r="I45" s="44">
        <v>0</v>
      </c>
      <c r="J45" s="44">
        <v>0</v>
      </c>
      <c r="K45" s="44">
        <v>0</v>
      </c>
      <c r="L45" s="44">
        <v>4.2</v>
      </c>
      <c r="M45" s="44">
        <v>4.5999999999999996</v>
      </c>
      <c r="N45" s="44">
        <v>4.5999999999999996</v>
      </c>
      <c r="O45" s="44">
        <v>4.5999999999999996</v>
      </c>
      <c r="P45" s="44">
        <v>4.5999999999999996</v>
      </c>
      <c r="Q45" s="44">
        <v>4.5999999999999996</v>
      </c>
      <c r="R45" s="44">
        <v>4.5999999999999996</v>
      </c>
      <c r="S45" s="44">
        <v>4.5999999999999996</v>
      </c>
      <c r="T45" s="44">
        <v>4.5999999999999996</v>
      </c>
      <c r="U45" s="44">
        <v>4.5999999999999996</v>
      </c>
      <c r="V45" s="44">
        <v>4.5999999999999996</v>
      </c>
      <c r="W45" s="44">
        <v>4.5999999999999996</v>
      </c>
      <c r="X45" s="44">
        <v>4.5999999999999996</v>
      </c>
      <c r="Y45" s="44">
        <v>4.5999999999999996</v>
      </c>
      <c r="Z45" s="44">
        <v>4.5999999999999996</v>
      </c>
      <c r="AA45" s="44">
        <v>4.5999999999999996</v>
      </c>
      <c r="AB45" s="44">
        <v>6.5</v>
      </c>
      <c r="AC45" s="44">
        <v>6.5</v>
      </c>
      <c r="AD45" s="44">
        <v>6.5</v>
      </c>
      <c r="AE45" s="44">
        <v>6.5</v>
      </c>
      <c r="AF45" s="44">
        <v>6.5</v>
      </c>
      <c r="AG45" s="48">
        <v>21.3</v>
      </c>
      <c r="AH45" s="46">
        <f t="shared" si="2"/>
        <v>6.5</v>
      </c>
      <c r="AI45" s="47">
        <f t="shared" si="3"/>
        <v>0</v>
      </c>
      <c r="AK45" s="49"/>
      <c r="AL45" s="28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42" t="s">
        <v>65</v>
      </c>
      <c r="B46" s="44">
        <v>10.4</v>
      </c>
      <c r="C46" s="44">
        <v>10.4</v>
      </c>
      <c r="D46" s="44">
        <v>10.4</v>
      </c>
      <c r="E46" s="44">
        <v>10.4</v>
      </c>
      <c r="F46" s="44">
        <v>10.4</v>
      </c>
      <c r="G46" s="44">
        <v>10.4</v>
      </c>
      <c r="H46" s="44">
        <v>10.4</v>
      </c>
      <c r="I46" s="44">
        <v>10.4</v>
      </c>
      <c r="J46" s="44">
        <v>10.4</v>
      </c>
      <c r="K46" s="44">
        <v>10.4</v>
      </c>
      <c r="L46" s="44">
        <v>10.4</v>
      </c>
      <c r="M46" s="44">
        <v>6.8</v>
      </c>
      <c r="N46" s="44">
        <v>6.8</v>
      </c>
      <c r="O46" s="44">
        <v>15.1</v>
      </c>
      <c r="P46" s="44">
        <v>15.1</v>
      </c>
      <c r="Q46" s="44">
        <v>15.1</v>
      </c>
      <c r="R46" s="44">
        <v>20.8</v>
      </c>
      <c r="S46" s="44">
        <v>20.8</v>
      </c>
      <c r="T46" s="44">
        <v>20.8</v>
      </c>
      <c r="U46" s="44">
        <v>20.8</v>
      </c>
      <c r="V46" s="44">
        <v>20.8</v>
      </c>
      <c r="W46" s="44">
        <v>20.8</v>
      </c>
      <c r="X46" s="44">
        <v>20.8</v>
      </c>
      <c r="Y46" s="44">
        <v>20.8</v>
      </c>
      <c r="Z46" s="44">
        <v>20.8</v>
      </c>
      <c r="AA46" s="44">
        <v>20.8</v>
      </c>
      <c r="AB46" s="44">
        <v>6</v>
      </c>
      <c r="AC46" s="44">
        <v>6</v>
      </c>
      <c r="AD46" s="44">
        <v>6</v>
      </c>
      <c r="AE46" s="44">
        <v>6</v>
      </c>
      <c r="AF46" s="44">
        <v>6</v>
      </c>
      <c r="AG46" s="48">
        <v>20</v>
      </c>
      <c r="AH46" s="46">
        <f t="shared" si="2"/>
        <v>20.8</v>
      </c>
      <c r="AI46" s="47">
        <f t="shared" si="3"/>
        <v>6</v>
      </c>
      <c r="AK46" s="49"/>
      <c r="AL46" s="28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x14ac:dyDescent="0.25">
      <c r="A47" s="42" t="s">
        <v>66</v>
      </c>
      <c r="B47" s="44">
        <v>20.100000000000001</v>
      </c>
      <c r="C47" s="44">
        <v>20.100000000000001</v>
      </c>
      <c r="D47" s="44">
        <v>20.100000000000001</v>
      </c>
      <c r="E47" s="44">
        <v>20.100000000000001</v>
      </c>
      <c r="F47" s="44">
        <v>20.100000000000001</v>
      </c>
      <c r="G47" s="44">
        <v>20.100000000000001</v>
      </c>
      <c r="H47" s="44">
        <v>20.100000000000001</v>
      </c>
      <c r="I47" s="44">
        <v>20.100000000000001</v>
      </c>
      <c r="J47" s="44">
        <v>20.100000000000001</v>
      </c>
      <c r="K47" s="44">
        <v>20.100000000000001</v>
      </c>
      <c r="L47" s="44">
        <v>20.100000000000001</v>
      </c>
      <c r="M47" s="44">
        <v>20.100000000000001</v>
      </c>
      <c r="N47" s="44">
        <v>20.100000000000001</v>
      </c>
      <c r="O47" s="44">
        <v>20.100000000000001</v>
      </c>
      <c r="P47" s="44">
        <v>20.100000000000001</v>
      </c>
      <c r="Q47" s="44">
        <v>20.100000000000001</v>
      </c>
      <c r="R47" s="44">
        <v>20.100000000000001</v>
      </c>
      <c r="S47" s="44">
        <v>20.100000000000001</v>
      </c>
      <c r="T47" s="44">
        <v>20.100000000000001</v>
      </c>
      <c r="U47" s="44">
        <v>20.100000000000001</v>
      </c>
      <c r="V47" s="44">
        <v>20.100000000000001</v>
      </c>
      <c r="W47" s="44">
        <v>20.100000000000001</v>
      </c>
      <c r="X47" s="44">
        <v>20.100000000000001</v>
      </c>
      <c r="Y47" s="44">
        <v>20.100000000000001</v>
      </c>
      <c r="Z47" s="44">
        <v>20.100000000000001</v>
      </c>
      <c r="AA47" s="44">
        <v>20.100000000000001</v>
      </c>
      <c r="AB47" s="44">
        <v>20.100000000000001</v>
      </c>
      <c r="AC47" s="44">
        <v>20.100000000000001</v>
      </c>
      <c r="AD47" s="44">
        <v>20.100000000000001</v>
      </c>
      <c r="AE47" s="44">
        <v>20.100000000000001</v>
      </c>
      <c r="AF47" s="44">
        <v>20.100000000000001</v>
      </c>
      <c r="AG47" s="48">
        <v>19.8</v>
      </c>
      <c r="AH47" s="46">
        <f t="shared" si="2"/>
        <v>20.100000000000001</v>
      </c>
      <c r="AI47" s="47">
        <f t="shared" si="3"/>
        <v>20.100000000000001</v>
      </c>
      <c r="AK47" s="49"/>
      <c r="AL47" s="28"/>
      <c r="AM47" s="24"/>
      <c r="AN47" s="24"/>
      <c r="AO47" s="24"/>
      <c r="AP47" s="24"/>
      <c r="AQ47" s="24"/>
      <c r="AR47" s="24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x14ac:dyDescent="0.25">
      <c r="A48" s="42" t="s">
        <v>67</v>
      </c>
      <c r="B48" s="44">
        <v>14.6</v>
      </c>
      <c r="C48" s="44">
        <v>10.199999999999999</v>
      </c>
      <c r="D48" s="44">
        <v>10.199999999999999</v>
      </c>
      <c r="E48" s="44">
        <v>10.199999999999999</v>
      </c>
      <c r="F48" s="44">
        <v>10.199999999999999</v>
      </c>
      <c r="G48" s="44">
        <v>10.199999999999999</v>
      </c>
      <c r="H48" s="44">
        <v>10.199999999999999</v>
      </c>
      <c r="I48" s="44">
        <v>10.199999999999999</v>
      </c>
      <c r="J48" s="44">
        <v>10.199999999999999</v>
      </c>
      <c r="K48" s="44">
        <v>10.199999999999999</v>
      </c>
      <c r="L48" s="44">
        <v>10.199999999999999</v>
      </c>
      <c r="M48" s="44">
        <v>12.1</v>
      </c>
      <c r="N48" s="44">
        <v>12.1</v>
      </c>
      <c r="O48" s="44">
        <v>0</v>
      </c>
      <c r="P48" s="44">
        <v>0</v>
      </c>
      <c r="Q48" s="44">
        <v>0</v>
      </c>
      <c r="R48" s="44">
        <v>0</v>
      </c>
      <c r="S48" s="44">
        <v>0</v>
      </c>
      <c r="T48" s="44">
        <v>0</v>
      </c>
      <c r="U48" s="44">
        <v>0</v>
      </c>
      <c r="V48" s="44">
        <v>0</v>
      </c>
      <c r="W48" s="44">
        <v>0</v>
      </c>
      <c r="X48" s="44">
        <v>0</v>
      </c>
      <c r="Y48" s="44">
        <v>0</v>
      </c>
      <c r="Z48" s="44">
        <v>0</v>
      </c>
      <c r="AA48" s="44">
        <v>0</v>
      </c>
      <c r="AB48" s="44">
        <v>5.2</v>
      </c>
      <c r="AC48" s="44">
        <v>5.2</v>
      </c>
      <c r="AD48" s="44">
        <v>5.2</v>
      </c>
      <c r="AE48" s="44">
        <v>5.2</v>
      </c>
      <c r="AF48" s="44">
        <v>5.2</v>
      </c>
      <c r="AG48" s="48">
        <v>18</v>
      </c>
      <c r="AH48" s="46">
        <f t="shared" si="2"/>
        <v>14.6</v>
      </c>
      <c r="AI48" s="47">
        <f t="shared" si="3"/>
        <v>0</v>
      </c>
      <c r="AK48" s="49"/>
      <c r="AL48" s="28"/>
      <c r="AM48" s="24"/>
      <c r="AN48" s="24"/>
      <c r="AO48" s="24"/>
      <c r="AP48" s="24"/>
      <c r="AQ48" s="24"/>
      <c r="AR48" s="24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24"/>
      <c r="CI48" s="24"/>
      <c r="CJ48" s="24"/>
    </row>
    <row r="49" spans="1:88" x14ac:dyDescent="0.25">
      <c r="A49" s="42" t="s">
        <v>68</v>
      </c>
      <c r="B49" s="44">
        <v>15.5</v>
      </c>
      <c r="C49" s="44">
        <v>15.5</v>
      </c>
      <c r="D49" s="44">
        <v>15.5</v>
      </c>
      <c r="E49" s="44">
        <v>15.5</v>
      </c>
      <c r="F49" s="44">
        <v>15.5</v>
      </c>
      <c r="G49" s="44">
        <v>15.5</v>
      </c>
      <c r="H49" s="44">
        <v>15.5</v>
      </c>
      <c r="I49" s="44">
        <v>15.5</v>
      </c>
      <c r="J49" s="44">
        <v>15.5</v>
      </c>
      <c r="K49" s="44">
        <v>15.5</v>
      </c>
      <c r="L49" s="44">
        <v>15.5</v>
      </c>
      <c r="M49" s="44">
        <v>15.3</v>
      </c>
      <c r="N49" s="44">
        <v>15.3</v>
      </c>
      <c r="O49" s="44">
        <v>15.6</v>
      </c>
      <c r="P49" s="44">
        <v>15.6</v>
      </c>
      <c r="Q49" s="44">
        <v>15.6</v>
      </c>
      <c r="R49" s="44">
        <v>15.6</v>
      </c>
      <c r="S49" s="44">
        <v>15.6</v>
      </c>
      <c r="T49" s="44">
        <v>15.6</v>
      </c>
      <c r="U49" s="44">
        <v>15.6</v>
      </c>
      <c r="V49" s="44">
        <v>15.6</v>
      </c>
      <c r="W49" s="44">
        <v>15.6</v>
      </c>
      <c r="X49" s="44">
        <v>15.6</v>
      </c>
      <c r="Y49" s="44">
        <v>15.6</v>
      </c>
      <c r="Z49" s="44">
        <v>15.6</v>
      </c>
      <c r="AA49" s="44">
        <v>15.6</v>
      </c>
      <c r="AB49" s="44">
        <v>14.1</v>
      </c>
      <c r="AC49" s="44">
        <v>14.1</v>
      </c>
      <c r="AD49" s="44">
        <v>14.1</v>
      </c>
      <c r="AE49" s="44">
        <v>14.1</v>
      </c>
      <c r="AF49" s="44">
        <v>14.1</v>
      </c>
      <c r="AG49" s="48">
        <v>15.33</v>
      </c>
      <c r="AH49" s="46">
        <f t="shared" si="2"/>
        <v>15.6</v>
      </c>
      <c r="AI49" s="47">
        <f t="shared" si="3"/>
        <v>14.1</v>
      </c>
      <c r="AK49" s="49"/>
      <c r="AL49" s="28"/>
      <c r="AM49" s="24"/>
      <c r="AN49" s="24"/>
      <c r="AO49" s="24"/>
      <c r="AP49" s="24"/>
      <c r="AQ49" s="24"/>
      <c r="AR49" s="24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24"/>
      <c r="CI49" s="24"/>
      <c r="CJ49" s="24"/>
    </row>
    <row r="50" spans="1:88" x14ac:dyDescent="0.25">
      <c r="A50" s="42" t="s">
        <v>69</v>
      </c>
      <c r="B50" s="44">
        <v>11</v>
      </c>
      <c r="C50" s="44">
        <v>11</v>
      </c>
      <c r="D50" s="44">
        <v>11</v>
      </c>
      <c r="E50" s="44">
        <v>11</v>
      </c>
      <c r="F50" s="44">
        <v>11</v>
      </c>
      <c r="G50" s="44">
        <v>11</v>
      </c>
      <c r="H50" s="44">
        <v>11</v>
      </c>
      <c r="I50" s="44">
        <v>11</v>
      </c>
      <c r="J50" s="44">
        <v>11</v>
      </c>
      <c r="K50" s="44">
        <v>11</v>
      </c>
      <c r="L50" s="44">
        <v>11</v>
      </c>
      <c r="M50" s="44">
        <v>11</v>
      </c>
      <c r="N50" s="44">
        <v>11</v>
      </c>
      <c r="O50" s="44">
        <v>11</v>
      </c>
      <c r="P50" s="44">
        <v>11</v>
      </c>
      <c r="Q50" s="44">
        <v>11</v>
      </c>
      <c r="R50" s="44">
        <v>11</v>
      </c>
      <c r="S50" s="44">
        <v>11</v>
      </c>
      <c r="T50" s="44">
        <v>11</v>
      </c>
      <c r="U50" s="44">
        <v>11</v>
      </c>
      <c r="V50" s="44">
        <v>11</v>
      </c>
      <c r="W50" s="44">
        <v>11</v>
      </c>
      <c r="X50" s="44">
        <v>11</v>
      </c>
      <c r="Y50" s="44">
        <v>11</v>
      </c>
      <c r="Z50" s="44">
        <v>11</v>
      </c>
      <c r="AA50" s="44">
        <v>11</v>
      </c>
      <c r="AB50" s="44">
        <v>13</v>
      </c>
      <c r="AC50" s="44">
        <v>13</v>
      </c>
      <c r="AD50" s="44">
        <v>13</v>
      </c>
      <c r="AE50" s="44">
        <v>13</v>
      </c>
      <c r="AF50" s="44">
        <v>13</v>
      </c>
      <c r="AG50" s="48">
        <v>14.9</v>
      </c>
      <c r="AH50" s="46">
        <f t="shared" si="2"/>
        <v>13</v>
      </c>
      <c r="AI50" s="47">
        <f t="shared" si="3"/>
        <v>11</v>
      </c>
      <c r="AK50" s="49"/>
      <c r="AL50" s="28"/>
      <c r="AM50" s="24"/>
      <c r="AN50" s="24"/>
      <c r="AO50" s="24"/>
      <c r="AP50" s="24"/>
      <c r="AQ50" s="24"/>
      <c r="AR50" s="24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</row>
    <row r="51" spans="1:88" x14ac:dyDescent="0.25">
      <c r="A51" s="42" t="s">
        <v>70</v>
      </c>
      <c r="B51" s="44">
        <v>10.5</v>
      </c>
      <c r="C51" s="44">
        <v>10.5</v>
      </c>
      <c r="D51" s="44">
        <v>10.5</v>
      </c>
      <c r="E51" s="44">
        <v>10.5</v>
      </c>
      <c r="F51" s="44">
        <v>10.5</v>
      </c>
      <c r="G51" s="44">
        <v>10.5</v>
      </c>
      <c r="H51" s="44">
        <v>10.5</v>
      </c>
      <c r="I51" s="44">
        <v>10.5</v>
      </c>
      <c r="J51" s="44">
        <v>10.5</v>
      </c>
      <c r="K51" s="44">
        <v>10.5</v>
      </c>
      <c r="L51" s="44">
        <v>10.5</v>
      </c>
      <c r="M51" s="44">
        <v>10.5</v>
      </c>
      <c r="N51" s="44">
        <v>10.5</v>
      </c>
      <c r="O51" s="44">
        <v>10.5</v>
      </c>
      <c r="P51" s="44">
        <v>10.5</v>
      </c>
      <c r="Q51" s="44">
        <v>10.5</v>
      </c>
      <c r="R51" s="44">
        <v>10.5</v>
      </c>
      <c r="S51" s="44">
        <v>10.5</v>
      </c>
      <c r="T51" s="44">
        <v>10.5</v>
      </c>
      <c r="U51" s="44">
        <v>10.5</v>
      </c>
      <c r="V51" s="44">
        <v>10.5</v>
      </c>
      <c r="W51" s="44">
        <v>10.5</v>
      </c>
      <c r="X51" s="44">
        <v>10.5</v>
      </c>
      <c r="Y51" s="44">
        <v>10.5</v>
      </c>
      <c r="Z51" s="44">
        <v>10.5</v>
      </c>
      <c r="AA51" s="44">
        <v>10.5</v>
      </c>
      <c r="AB51" s="44">
        <v>10.5</v>
      </c>
      <c r="AC51" s="44">
        <v>10.5</v>
      </c>
      <c r="AD51" s="44">
        <v>10.5</v>
      </c>
      <c r="AE51" s="44">
        <v>10.5</v>
      </c>
      <c r="AF51" s="44">
        <v>10.5</v>
      </c>
      <c r="AG51" s="48">
        <v>14.9</v>
      </c>
      <c r="AH51" s="46">
        <f t="shared" si="2"/>
        <v>10.5</v>
      </c>
      <c r="AI51" s="47">
        <f t="shared" si="3"/>
        <v>10.5</v>
      </c>
      <c r="AK51" s="49"/>
      <c r="AL51" s="28"/>
      <c r="AM51" s="24"/>
      <c r="AN51" s="24"/>
      <c r="AO51" s="24"/>
      <c r="AP51" s="24"/>
      <c r="AQ51" s="24"/>
      <c r="AR51" s="24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</row>
    <row r="52" spans="1:88" x14ac:dyDescent="0.25">
      <c r="A52" s="42" t="s">
        <v>71</v>
      </c>
      <c r="B52" s="44">
        <v>15</v>
      </c>
      <c r="C52" s="44">
        <v>15</v>
      </c>
      <c r="D52" s="44">
        <v>15</v>
      </c>
      <c r="E52" s="44">
        <v>15</v>
      </c>
      <c r="F52" s="44">
        <v>15</v>
      </c>
      <c r="G52" s="44">
        <v>15</v>
      </c>
      <c r="H52" s="44">
        <v>15</v>
      </c>
      <c r="I52" s="44">
        <v>15</v>
      </c>
      <c r="J52" s="44">
        <v>15</v>
      </c>
      <c r="K52" s="44">
        <v>15</v>
      </c>
      <c r="L52" s="44">
        <v>15</v>
      </c>
      <c r="M52" s="44">
        <v>15</v>
      </c>
      <c r="N52" s="44">
        <v>15</v>
      </c>
      <c r="O52" s="44">
        <v>15</v>
      </c>
      <c r="P52" s="44">
        <v>15</v>
      </c>
      <c r="Q52" s="44">
        <v>15</v>
      </c>
      <c r="R52" s="44">
        <v>15</v>
      </c>
      <c r="S52" s="44">
        <v>15</v>
      </c>
      <c r="T52" s="44">
        <v>15</v>
      </c>
      <c r="U52" s="44">
        <v>15</v>
      </c>
      <c r="V52" s="44">
        <v>15</v>
      </c>
      <c r="W52" s="44">
        <v>15</v>
      </c>
      <c r="X52" s="44">
        <v>15</v>
      </c>
      <c r="Y52" s="44">
        <v>15</v>
      </c>
      <c r="Z52" s="44">
        <v>15</v>
      </c>
      <c r="AA52" s="44">
        <v>15</v>
      </c>
      <c r="AB52" s="44">
        <v>15</v>
      </c>
      <c r="AC52" s="44">
        <v>15</v>
      </c>
      <c r="AD52" s="44">
        <v>15</v>
      </c>
      <c r="AE52" s="44">
        <v>15</v>
      </c>
      <c r="AF52" s="44">
        <v>15</v>
      </c>
      <c r="AG52" s="48">
        <v>14.3</v>
      </c>
      <c r="AH52" s="46">
        <f t="shared" si="2"/>
        <v>15</v>
      </c>
      <c r="AI52" s="47">
        <f t="shared" si="3"/>
        <v>15</v>
      </c>
      <c r="AK52" s="49"/>
      <c r="AL52" s="28"/>
      <c r="AM52" s="24"/>
      <c r="AN52" s="24"/>
      <c r="AO52" s="24"/>
      <c r="AP52" s="24"/>
      <c r="AQ52" s="24"/>
      <c r="AR52" s="24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</row>
    <row r="53" spans="1:88" x14ac:dyDescent="0.25">
      <c r="A53" s="42" t="s">
        <v>72</v>
      </c>
      <c r="B53" s="44">
        <v>12.6</v>
      </c>
      <c r="C53" s="44">
        <v>7</v>
      </c>
      <c r="D53" s="44">
        <v>7</v>
      </c>
      <c r="E53" s="44">
        <v>7</v>
      </c>
      <c r="F53" s="44">
        <v>7</v>
      </c>
      <c r="G53" s="44">
        <v>7</v>
      </c>
      <c r="H53" s="44">
        <v>7</v>
      </c>
      <c r="I53" s="44">
        <v>7</v>
      </c>
      <c r="J53" s="44">
        <v>7</v>
      </c>
      <c r="K53" s="44">
        <v>7</v>
      </c>
      <c r="L53" s="44">
        <v>7</v>
      </c>
      <c r="M53" s="44">
        <v>7</v>
      </c>
      <c r="N53" s="44">
        <v>7</v>
      </c>
      <c r="O53" s="44">
        <v>9.9</v>
      </c>
      <c r="P53" s="44">
        <v>9.9</v>
      </c>
      <c r="Q53" s="44">
        <v>9.9</v>
      </c>
      <c r="R53" s="44">
        <v>14</v>
      </c>
      <c r="S53" s="44">
        <v>14</v>
      </c>
      <c r="T53" s="44">
        <v>14</v>
      </c>
      <c r="U53" s="44">
        <v>14</v>
      </c>
      <c r="V53" s="44">
        <v>14</v>
      </c>
      <c r="W53" s="44">
        <v>14</v>
      </c>
      <c r="X53" s="44">
        <v>14</v>
      </c>
      <c r="Y53" s="44">
        <v>14</v>
      </c>
      <c r="Z53" s="44">
        <v>14</v>
      </c>
      <c r="AA53" s="44">
        <v>14</v>
      </c>
      <c r="AB53" s="44">
        <v>14</v>
      </c>
      <c r="AC53" s="44">
        <v>14</v>
      </c>
      <c r="AD53" s="44">
        <v>14</v>
      </c>
      <c r="AE53" s="44">
        <v>14</v>
      </c>
      <c r="AF53" s="44">
        <v>14</v>
      </c>
      <c r="AG53" s="48">
        <v>14</v>
      </c>
      <c r="AH53" s="46">
        <f t="shared" si="2"/>
        <v>14</v>
      </c>
      <c r="AI53" s="47">
        <f t="shared" si="3"/>
        <v>7</v>
      </c>
      <c r="AK53" s="49"/>
      <c r="AL53" s="28"/>
      <c r="AM53" s="24"/>
      <c r="AN53" s="24"/>
      <c r="AO53" s="24"/>
      <c r="AP53" s="24"/>
      <c r="AQ53" s="24"/>
      <c r="AR53" s="24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</row>
    <row r="54" spans="1:88" x14ac:dyDescent="0.25">
      <c r="A54" s="42" t="s">
        <v>73</v>
      </c>
      <c r="B54" s="44">
        <v>6</v>
      </c>
      <c r="C54" s="44">
        <v>6</v>
      </c>
      <c r="D54" s="44">
        <v>6</v>
      </c>
      <c r="E54" s="44">
        <v>6</v>
      </c>
      <c r="F54" s="44">
        <v>6</v>
      </c>
      <c r="G54" s="44">
        <v>6</v>
      </c>
      <c r="H54" s="44">
        <v>6</v>
      </c>
      <c r="I54" s="44">
        <v>6</v>
      </c>
      <c r="J54" s="44">
        <v>6</v>
      </c>
      <c r="K54" s="44">
        <v>6</v>
      </c>
      <c r="L54" s="44">
        <v>6</v>
      </c>
      <c r="M54" s="44">
        <v>0</v>
      </c>
      <c r="N54" s="44">
        <v>0</v>
      </c>
      <c r="O54" s="44">
        <v>0</v>
      </c>
      <c r="P54" s="44">
        <v>0</v>
      </c>
      <c r="Q54" s="44">
        <v>0</v>
      </c>
      <c r="R54" s="44">
        <v>0</v>
      </c>
      <c r="S54" s="44">
        <v>0</v>
      </c>
      <c r="T54" s="44">
        <v>0</v>
      </c>
      <c r="U54" s="44">
        <v>0</v>
      </c>
      <c r="V54" s="44">
        <v>0</v>
      </c>
      <c r="W54" s="44">
        <v>0</v>
      </c>
      <c r="X54" s="44">
        <v>0</v>
      </c>
      <c r="Y54" s="44">
        <v>0</v>
      </c>
      <c r="Z54" s="44">
        <v>0</v>
      </c>
      <c r="AA54" s="44">
        <v>0</v>
      </c>
      <c r="AB54" s="44">
        <v>6</v>
      </c>
      <c r="AC54" s="44">
        <v>6</v>
      </c>
      <c r="AD54" s="44">
        <v>6</v>
      </c>
      <c r="AE54" s="44">
        <v>6</v>
      </c>
      <c r="AF54" s="44">
        <v>6</v>
      </c>
      <c r="AG54" s="48">
        <v>13.6</v>
      </c>
      <c r="AH54" s="46">
        <f t="shared" si="2"/>
        <v>6</v>
      </c>
      <c r="AI54" s="47">
        <f t="shared" si="3"/>
        <v>0</v>
      </c>
      <c r="AK54" s="49"/>
      <c r="AL54" s="28"/>
      <c r="AM54" s="24"/>
      <c r="AN54" s="24"/>
      <c r="AO54" s="24"/>
      <c r="AP54" s="24"/>
      <c r="AQ54" s="24"/>
      <c r="AR54" s="24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</row>
    <row r="55" spans="1:88" x14ac:dyDescent="0.25">
      <c r="A55" s="42" t="s">
        <v>74</v>
      </c>
      <c r="B55" s="44">
        <v>10.9</v>
      </c>
      <c r="C55" s="44">
        <v>10.9</v>
      </c>
      <c r="D55" s="44">
        <v>10.9</v>
      </c>
      <c r="E55" s="44">
        <v>10.9</v>
      </c>
      <c r="F55" s="44">
        <v>10.9</v>
      </c>
      <c r="G55" s="44">
        <v>10.9</v>
      </c>
      <c r="H55" s="44">
        <v>10.9</v>
      </c>
      <c r="I55" s="44">
        <v>10.9</v>
      </c>
      <c r="J55" s="44">
        <v>10.9</v>
      </c>
      <c r="K55" s="44">
        <v>10.9</v>
      </c>
      <c r="L55" s="44">
        <v>10.9</v>
      </c>
      <c r="M55" s="44">
        <v>9.5</v>
      </c>
      <c r="N55" s="44">
        <v>9.5</v>
      </c>
      <c r="O55" s="44">
        <v>9.9</v>
      </c>
      <c r="P55" s="44">
        <v>9.9</v>
      </c>
      <c r="Q55" s="44">
        <v>9.9</v>
      </c>
      <c r="R55" s="44">
        <v>9.9</v>
      </c>
      <c r="S55" s="44">
        <v>9.9</v>
      </c>
      <c r="T55" s="44">
        <v>9.9</v>
      </c>
      <c r="U55" s="44">
        <v>9.9</v>
      </c>
      <c r="V55" s="44">
        <v>9.9</v>
      </c>
      <c r="W55" s="44">
        <v>9.9</v>
      </c>
      <c r="X55" s="44">
        <v>9.9</v>
      </c>
      <c r="Y55" s="44">
        <v>9.9</v>
      </c>
      <c r="Z55" s="44">
        <v>9.9</v>
      </c>
      <c r="AA55" s="44">
        <v>9.9</v>
      </c>
      <c r="AB55" s="44">
        <v>11.5</v>
      </c>
      <c r="AC55" s="44">
        <v>11.5</v>
      </c>
      <c r="AD55" s="44">
        <v>11.5</v>
      </c>
      <c r="AE55" s="44">
        <v>11.5</v>
      </c>
      <c r="AF55" s="44">
        <v>11.5</v>
      </c>
      <c r="AG55" s="48">
        <v>13.5</v>
      </c>
      <c r="AH55" s="46">
        <f t="shared" si="2"/>
        <v>11.5</v>
      </c>
      <c r="AI55" s="47">
        <f t="shared" si="3"/>
        <v>9.5</v>
      </c>
      <c r="AK55" s="49"/>
      <c r="AL55" s="28"/>
      <c r="AM55" s="24"/>
      <c r="AN55" s="24"/>
      <c r="AO55" s="24"/>
      <c r="AP55" s="24"/>
      <c r="AQ55" s="24"/>
      <c r="AR55" s="24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</row>
    <row r="56" spans="1:88" x14ac:dyDescent="0.25">
      <c r="A56" s="42" t="s">
        <v>75</v>
      </c>
      <c r="B56" s="44">
        <v>11.5</v>
      </c>
      <c r="C56" s="44">
        <v>11.5</v>
      </c>
      <c r="D56" s="44">
        <v>11.5</v>
      </c>
      <c r="E56" s="44">
        <v>11.5</v>
      </c>
      <c r="F56" s="44">
        <v>11.5</v>
      </c>
      <c r="G56" s="44">
        <v>11.5</v>
      </c>
      <c r="H56" s="44">
        <v>11.5</v>
      </c>
      <c r="I56" s="44">
        <v>11.5</v>
      </c>
      <c r="J56" s="44">
        <v>11.5</v>
      </c>
      <c r="K56" s="44">
        <v>11.5</v>
      </c>
      <c r="L56" s="44">
        <v>11.5</v>
      </c>
      <c r="M56" s="44">
        <v>11.5</v>
      </c>
      <c r="N56" s="44">
        <v>11.5</v>
      </c>
      <c r="O56" s="44">
        <v>11.5</v>
      </c>
      <c r="P56" s="44">
        <v>11.5</v>
      </c>
      <c r="Q56" s="44">
        <v>11.5</v>
      </c>
      <c r="R56" s="44">
        <v>11.5</v>
      </c>
      <c r="S56" s="44">
        <v>11.5</v>
      </c>
      <c r="T56" s="44">
        <v>11.5</v>
      </c>
      <c r="U56" s="44">
        <v>11.5</v>
      </c>
      <c r="V56" s="44">
        <v>11.5</v>
      </c>
      <c r="W56" s="44">
        <v>11.5</v>
      </c>
      <c r="X56" s="44">
        <v>11.5</v>
      </c>
      <c r="Y56" s="44">
        <v>11.5</v>
      </c>
      <c r="Z56" s="44">
        <v>11.5</v>
      </c>
      <c r="AA56" s="44">
        <v>11.5</v>
      </c>
      <c r="AB56" s="44">
        <v>10</v>
      </c>
      <c r="AC56" s="44">
        <v>10</v>
      </c>
      <c r="AD56" s="44">
        <v>10</v>
      </c>
      <c r="AE56" s="44">
        <v>10</v>
      </c>
      <c r="AF56" s="44">
        <v>10</v>
      </c>
      <c r="AG56" s="48">
        <v>13</v>
      </c>
      <c r="AH56" s="46">
        <f t="shared" si="2"/>
        <v>11.5</v>
      </c>
      <c r="AI56" s="47">
        <f t="shared" si="3"/>
        <v>10</v>
      </c>
      <c r="AK56" s="49"/>
      <c r="AL56" s="28"/>
      <c r="AM56" s="24"/>
      <c r="AN56" s="24"/>
      <c r="AO56" s="24"/>
      <c r="AP56" s="24"/>
      <c r="AQ56" s="24"/>
      <c r="AR56" s="24"/>
      <c r="AS56" s="24"/>
      <c r="AT56" s="24"/>
      <c r="AU56" s="24"/>
      <c r="AV56" s="24"/>
      <c r="AW56" s="24"/>
      <c r="AX56" s="24"/>
      <c r="AY56" s="24"/>
      <c r="AZ56" s="24"/>
      <c r="BA56" s="24"/>
      <c r="BB56" s="24"/>
      <c r="BC56" s="24"/>
      <c r="BD56" s="24"/>
      <c r="BE56" s="24"/>
      <c r="BF56" s="24"/>
      <c r="BG56" s="24"/>
      <c r="BH56" s="24"/>
      <c r="BI56" s="24"/>
      <c r="BJ56" s="24"/>
      <c r="BK56" s="24"/>
      <c r="BL56" s="24"/>
      <c r="BM56" s="24"/>
      <c r="BN56" s="24"/>
      <c r="BO56" s="24"/>
      <c r="BP56" s="24"/>
      <c r="BQ56" s="24"/>
      <c r="BR56" s="24"/>
      <c r="BS56" s="24"/>
      <c r="BT56" s="24"/>
      <c r="BU56" s="24"/>
      <c r="BV56" s="24"/>
      <c r="BW56" s="24"/>
      <c r="BX56" s="24"/>
      <c r="BY56" s="24"/>
      <c r="BZ56" s="24"/>
      <c r="CA56" s="24"/>
      <c r="CB56" s="24"/>
      <c r="CC56" s="24"/>
      <c r="CD56" s="24"/>
      <c r="CE56" s="24"/>
      <c r="CF56" s="24"/>
      <c r="CG56" s="24"/>
      <c r="CH56" s="24"/>
      <c r="CI56" s="24"/>
      <c r="CJ56" s="24"/>
    </row>
    <row r="57" spans="1:88" x14ac:dyDescent="0.25">
      <c r="A57" s="42" t="s">
        <v>76</v>
      </c>
      <c r="B57" s="44">
        <v>8.8000000000000007</v>
      </c>
      <c r="C57" s="44">
        <v>2.7</v>
      </c>
      <c r="D57" s="44">
        <v>2.7</v>
      </c>
      <c r="E57" s="44">
        <v>2.7</v>
      </c>
      <c r="F57" s="44">
        <v>2.7</v>
      </c>
      <c r="G57" s="44">
        <v>2.7</v>
      </c>
      <c r="H57" s="44">
        <v>2.7</v>
      </c>
      <c r="I57" s="44">
        <v>2.7</v>
      </c>
      <c r="J57" s="44">
        <v>2.7</v>
      </c>
      <c r="K57" s="44">
        <v>2.7</v>
      </c>
      <c r="L57" s="44">
        <v>2.7</v>
      </c>
      <c r="M57" s="44">
        <v>5.9</v>
      </c>
      <c r="N57" s="44">
        <v>5.9</v>
      </c>
      <c r="O57" s="44">
        <v>0</v>
      </c>
      <c r="P57" s="44">
        <v>0</v>
      </c>
      <c r="Q57" s="44">
        <v>0</v>
      </c>
      <c r="R57" s="44">
        <v>0</v>
      </c>
      <c r="S57" s="44">
        <v>0</v>
      </c>
      <c r="T57" s="44">
        <v>0</v>
      </c>
      <c r="U57" s="44">
        <v>0</v>
      </c>
      <c r="V57" s="44">
        <v>0</v>
      </c>
      <c r="W57" s="44">
        <v>0</v>
      </c>
      <c r="X57" s="44">
        <v>0</v>
      </c>
      <c r="Y57" s="44">
        <v>0</v>
      </c>
      <c r="Z57" s="44">
        <v>0</v>
      </c>
      <c r="AA57" s="44">
        <v>0</v>
      </c>
      <c r="AB57" s="44">
        <v>4.5</v>
      </c>
      <c r="AC57" s="44">
        <v>4.5</v>
      </c>
      <c r="AD57" s="44">
        <v>4.5</v>
      </c>
      <c r="AE57" s="44">
        <v>4.5</v>
      </c>
      <c r="AF57" s="44">
        <v>4.5</v>
      </c>
      <c r="AG57" s="48">
        <v>12</v>
      </c>
      <c r="AH57" s="46">
        <f t="shared" si="2"/>
        <v>8.8000000000000007</v>
      </c>
      <c r="AI57" s="47">
        <f t="shared" si="3"/>
        <v>0</v>
      </c>
      <c r="AK57" s="49"/>
      <c r="AL57" s="28"/>
      <c r="AM57" s="24"/>
      <c r="AN57" s="24"/>
      <c r="AO57" s="24"/>
      <c r="AP57" s="24"/>
      <c r="AQ57" s="24"/>
      <c r="AR57" s="24"/>
      <c r="AS57" s="24"/>
      <c r="AT57" s="24"/>
      <c r="AU57" s="24"/>
      <c r="AV57" s="24"/>
      <c r="AW57" s="24"/>
      <c r="AX57" s="24"/>
      <c r="AY57" s="24"/>
      <c r="AZ57" s="24"/>
      <c r="BA57" s="24"/>
      <c r="BB57" s="24"/>
      <c r="BC57" s="24"/>
      <c r="BD57" s="24"/>
      <c r="BE57" s="24"/>
      <c r="BF57" s="24"/>
      <c r="BG57" s="24"/>
      <c r="BH57" s="24"/>
      <c r="BI57" s="24"/>
      <c r="BJ57" s="24"/>
      <c r="BK57" s="24"/>
      <c r="BL57" s="24"/>
      <c r="BM57" s="24"/>
      <c r="BN57" s="24"/>
      <c r="BO57" s="24"/>
      <c r="BP57" s="24"/>
      <c r="BQ57" s="24"/>
      <c r="BR57" s="24"/>
      <c r="BS57" s="24"/>
      <c r="BT57" s="24"/>
      <c r="BU57" s="24"/>
      <c r="BV57" s="24"/>
      <c r="BW57" s="24"/>
      <c r="BX57" s="24"/>
      <c r="BY57" s="24"/>
      <c r="BZ57" s="24"/>
      <c r="CA57" s="24"/>
      <c r="CB57" s="24"/>
      <c r="CC57" s="24"/>
      <c r="CD57" s="24"/>
      <c r="CE57" s="24"/>
      <c r="CF57" s="24"/>
      <c r="CG57" s="24"/>
      <c r="CH57" s="24"/>
      <c r="CI57" s="24"/>
      <c r="CJ57" s="24"/>
    </row>
    <row r="58" spans="1:88" ht="14.25" customHeight="1" x14ac:dyDescent="0.25">
      <c r="A58" s="42" t="s">
        <v>77</v>
      </c>
      <c r="B58" s="44">
        <v>13.2</v>
      </c>
      <c r="C58" s="44">
        <v>13.2</v>
      </c>
      <c r="D58" s="44">
        <v>13.2</v>
      </c>
      <c r="E58" s="44">
        <v>13.2</v>
      </c>
      <c r="F58" s="44">
        <v>13.2</v>
      </c>
      <c r="G58" s="44">
        <v>13.2</v>
      </c>
      <c r="H58" s="44">
        <v>13.2</v>
      </c>
      <c r="I58" s="44">
        <v>13.2</v>
      </c>
      <c r="J58" s="44">
        <v>13.2</v>
      </c>
      <c r="K58" s="44">
        <v>13.2</v>
      </c>
      <c r="L58" s="44">
        <v>13.2</v>
      </c>
      <c r="M58" s="44">
        <v>13.2</v>
      </c>
      <c r="N58" s="44">
        <v>13.2</v>
      </c>
      <c r="O58" s="44">
        <v>13.2</v>
      </c>
      <c r="P58" s="44">
        <v>13.2</v>
      </c>
      <c r="Q58" s="44">
        <v>13.2</v>
      </c>
      <c r="R58" s="44">
        <v>13.2</v>
      </c>
      <c r="S58" s="44">
        <v>13.2</v>
      </c>
      <c r="T58" s="44">
        <v>13.2</v>
      </c>
      <c r="U58" s="44">
        <v>13.2</v>
      </c>
      <c r="V58" s="44">
        <v>13.2</v>
      </c>
      <c r="W58" s="44">
        <v>13.2</v>
      </c>
      <c r="X58" s="44">
        <v>13.2</v>
      </c>
      <c r="Y58" s="44">
        <v>13.2</v>
      </c>
      <c r="Z58" s="44">
        <v>13.2</v>
      </c>
      <c r="AA58" s="44">
        <v>13.2</v>
      </c>
      <c r="AB58" s="44">
        <v>13.2</v>
      </c>
      <c r="AC58" s="44">
        <v>13.2</v>
      </c>
      <c r="AD58" s="44">
        <v>13.2</v>
      </c>
      <c r="AE58" s="44">
        <v>13.2</v>
      </c>
      <c r="AF58" s="44">
        <v>13.2</v>
      </c>
      <c r="AG58" s="48">
        <v>12</v>
      </c>
      <c r="AH58" s="46">
        <f t="shared" si="2"/>
        <v>13.2</v>
      </c>
      <c r="AI58" s="47">
        <f t="shared" si="3"/>
        <v>13.2</v>
      </c>
      <c r="AK58" s="49"/>
      <c r="AL58" s="28"/>
      <c r="AM58" s="24"/>
      <c r="AN58" s="24"/>
      <c r="AO58" s="24"/>
      <c r="AP58" s="24"/>
      <c r="AQ58" s="15"/>
      <c r="AR58" s="21"/>
      <c r="AS58" s="24"/>
      <c r="AT58" s="24"/>
      <c r="AU58" s="24"/>
      <c r="AV58" s="24"/>
      <c r="AW58" s="24"/>
      <c r="AX58" s="24"/>
      <c r="AY58" s="24"/>
      <c r="AZ58" s="24"/>
      <c r="BA58" s="24"/>
      <c r="BB58" s="24"/>
      <c r="BC58" s="24"/>
      <c r="BD58" s="24"/>
      <c r="BE58" s="24"/>
      <c r="BF58" s="24"/>
      <c r="BG58" s="24"/>
      <c r="BH58" s="24"/>
      <c r="BI58" s="24"/>
      <c r="BJ58" s="24"/>
      <c r="BK58" s="24"/>
      <c r="BL58" s="24"/>
      <c r="BM58" s="24"/>
      <c r="BN58" s="24"/>
      <c r="BO58" s="24"/>
      <c r="BP58" s="24"/>
      <c r="BQ58" s="24"/>
      <c r="BR58" s="24"/>
      <c r="BS58" s="24"/>
      <c r="BT58" s="24"/>
      <c r="BU58" s="24"/>
      <c r="BV58" s="24"/>
      <c r="BW58" s="24"/>
      <c r="BX58" s="24"/>
      <c r="BY58" s="24"/>
      <c r="BZ58" s="24"/>
      <c r="CA58" s="24"/>
      <c r="CB58" s="24"/>
      <c r="CC58" s="24"/>
      <c r="CD58" s="24"/>
      <c r="CE58" s="24"/>
      <c r="CF58" s="24"/>
      <c r="CG58" s="24"/>
      <c r="CH58" s="24"/>
      <c r="CI58" s="24"/>
      <c r="CJ58" s="24"/>
    </row>
    <row r="59" spans="1:88" ht="14.25" customHeight="1" x14ac:dyDescent="0.25">
      <c r="A59" s="42" t="s">
        <v>78</v>
      </c>
      <c r="B59" s="44">
        <v>10.199999999999999</v>
      </c>
      <c r="C59" s="44">
        <v>10.199999999999999</v>
      </c>
      <c r="D59" s="44">
        <v>10.199999999999999</v>
      </c>
      <c r="E59" s="44">
        <v>10.199999999999999</v>
      </c>
      <c r="F59" s="44">
        <v>10.199999999999999</v>
      </c>
      <c r="G59" s="44">
        <v>10.199999999999999</v>
      </c>
      <c r="H59" s="44">
        <v>10.199999999999999</v>
      </c>
      <c r="I59" s="44">
        <v>10.199999999999999</v>
      </c>
      <c r="J59" s="44">
        <v>10.199999999999999</v>
      </c>
      <c r="K59" s="44">
        <v>10.199999999999999</v>
      </c>
      <c r="L59" s="44">
        <v>10.199999999999999</v>
      </c>
      <c r="M59" s="44">
        <v>10.199999999999999</v>
      </c>
      <c r="N59" s="44">
        <v>10.199999999999999</v>
      </c>
      <c r="O59" s="44">
        <v>10.199999999999999</v>
      </c>
      <c r="P59" s="44">
        <v>10.199999999999999</v>
      </c>
      <c r="Q59" s="44">
        <v>10.199999999999999</v>
      </c>
      <c r="R59" s="44">
        <v>10.199999999999999</v>
      </c>
      <c r="S59" s="44">
        <v>10.199999999999999</v>
      </c>
      <c r="T59" s="44">
        <v>10.199999999999999</v>
      </c>
      <c r="U59" s="44">
        <v>10.199999999999999</v>
      </c>
      <c r="V59" s="44">
        <v>10.199999999999999</v>
      </c>
      <c r="W59" s="44">
        <v>10.199999999999999</v>
      </c>
      <c r="X59" s="44">
        <v>10.199999999999999</v>
      </c>
      <c r="Y59" s="44">
        <v>10.199999999999999</v>
      </c>
      <c r="Z59" s="44">
        <v>10.199999999999999</v>
      </c>
      <c r="AA59" s="44">
        <v>10.199999999999999</v>
      </c>
      <c r="AB59" s="44">
        <v>0</v>
      </c>
      <c r="AC59" s="44">
        <v>0</v>
      </c>
      <c r="AD59" s="44">
        <v>0</v>
      </c>
      <c r="AE59" s="44">
        <v>0</v>
      </c>
      <c r="AF59" s="44">
        <v>0</v>
      </c>
      <c r="AG59" s="48">
        <v>12</v>
      </c>
      <c r="AH59" s="46">
        <f t="shared" si="2"/>
        <v>10.199999999999999</v>
      </c>
      <c r="AI59" s="47">
        <f t="shared" si="3"/>
        <v>0</v>
      </c>
      <c r="AK59" s="49"/>
      <c r="AL59" s="28"/>
      <c r="AM59" s="24"/>
      <c r="AN59" s="24"/>
      <c r="AO59" s="24"/>
      <c r="AP59" s="24"/>
      <c r="AQ59" s="15"/>
      <c r="AR59" s="21"/>
      <c r="AS59" s="24"/>
      <c r="AT59" s="24"/>
      <c r="AU59" s="24"/>
      <c r="AV59" s="24"/>
      <c r="AW59" s="24"/>
      <c r="AX59" s="24"/>
      <c r="AY59" s="24"/>
      <c r="AZ59" s="24"/>
      <c r="BA59" s="24"/>
      <c r="BB59" s="24"/>
      <c r="BC59" s="24"/>
      <c r="BD59" s="24"/>
      <c r="BE59" s="24"/>
      <c r="BF59" s="24"/>
      <c r="BG59" s="24"/>
      <c r="BH59" s="24"/>
      <c r="BI59" s="24"/>
      <c r="BJ59" s="24"/>
      <c r="BK59" s="24"/>
      <c r="BL59" s="24"/>
      <c r="BM59" s="24"/>
      <c r="BN59" s="24"/>
      <c r="BO59" s="24"/>
      <c r="BP59" s="24"/>
      <c r="BQ59" s="24"/>
      <c r="BR59" s="24"/>
      <c r="BS59" s="24"/>
      <c r="BT59" s="24"/>
      <c r="BU59" s="24"/>
      <c r="BV59" s="24"/>
      <c r="BW59" s="24"/>
      <c r="BX59" s="24"/>
      <c r="BY59" s="24"/>
      <c r="BZ59" s="24"/>
      <c r="CA59" s="24"/>
      <c r="CB59" s="24"/>
      <c r="CC59" s="24"/>
      <c r="CD59" s="24"/>
      <c r="CE59" s="24"/>
      <c r="CF59" s="24"/>
      <c r="CG59" s="24"/>
      <c r="CH59" s="24"/>
      <c r="CI59" s="24"/>
      <c r="CJ59" s="24"/>
    </row>
    <row r="60" spans="1:88" ht="14.25" customHeight="1" x14ac:dyDescent="0.25">
      <c r="A60" s="42" t="s">
        <v>79</v>
      </c>
      <c r="B60" s="44">
        <v>12.4</v>
      </c>
      <c r="C60" s="44">
        <v>12.4</v>
      </c>
      <c r="D60" s="44">
        <v>12.4</v>
      </c>
      <c r="E60" s="44">
        <v>12.4</v>
      </c>
      <c r="F60" s="44">
        <v>12.4</v>
      </c>
      <c r="G60" s="44">
        <v>12.4</v>
      </c>
      <c r="H60" s="44">
        <v>12.4</v>
      </c>
      <c r="I60" s="44">
        <v>12.4</v>
      </c>
      <c r="J60" s="44">
        <v>12.4</v>
      </c>
      <c r="K60" s="44">
        <v>12.4</v>
      </c>
      <c r="L60" s="44">
        <v>12.4</v>
      </c>
      <c r="M60" s="44">
        <v>8.3000000000000007</v>
      </c>
      <c r="N60" s="44">
        <v>8.3000000000000007</v>
      </c>
      <c r="O60" s="44">
        <v>8.3000000000000007</v>
      </c>
      <c r="P60" s="44">
        <v>8.3000000000000007</v>
      </c>
      <c r="Q60" s="44">
        <v>8.3000000000000007</v>
      </c>
      <c r="R60" s="44">
        <v>8.3000000000000007</v>
      </c>
      <c r="S60" s="44">
        <v>8.3000000000000007</v>
      </c>
      <c r="T60" s="44">
        <v>8.3000000000000007</v>
      </c>
      <c r="U60" s="44">
        <v>8.3000000000000007</v>
      </c>
      <c r="V60" s="44">
        <v>8.3000000000000007</v>
      </c>
      <c r="W60" s="44">
        <v>8.3000000000000007</v>
      </c>
      <c r="X60" s="44">
        <v>8.3000000000000007</v>
      </c>
      <c r="Y60" s="44">
        <v>8.3000000000000007</v>
      </c>
      <c r="Z60" s="44">
        <v>8.3000000000000007</v>
      </c>
      <c r="AA60" s="44">
        <v>8.3000000000000007</v>
      </c>
      <c r="AB60" s="44">
        <v>9.9</v>
      </c>
      <c r="AC60" s="44">
        <v>9.9</v>
      </c>
      <c r="AD60" s="44">
        <v>9.9</v>
      </c>
      <c r="AE60" s="44">
        <v>9.9</v>
      </c>
      <c r="AF60" s="44">
        <v>9.9</v>
      </c>
      <c r="AG60" s="48">
        <v>12</v>
      </c>
      <c r="AH60" s="46">
        <f t="shared" si="2"/>
        <v>12.4</v>
      </c>
      <c r="AI60" s="47">
        <f t="shared" si="3"/>
        <v>8.3000000000000007</v>
      </c>
      <c r="AK60" s="49"/>
      <c r="AL60" s="28"/>
      <c r="AM60" s="24"/>
      <c r="AN60" s="24"/>
      <c r="AO60" s="24"/>
      <c r="AP60" s="24"/>
      <c r="AQ60" s="15"/>
      <c r="AR60" s="21"/>
      <c r="AS60" s="24"/>
      <c r="AT60" s="24"/>
      <c r="AU60" s="24"/>
      <c r="AV60" s="24"/>
      <c r="AW60" s="24"/>
      <c r="AX60" s="24"/>
      <c r="AY60" s="24"/>
      <c r="AZ60" s="24"/>
      <c r="BA60" s="24"/>
      <c r="BB60" s="24"/>
      <c r="BC60" s="24"/>
      <c r="BD60" s="24"/>
      <c r="BE60" s="24"/>
      <c r="BF60" s="24"/>
      <c r="BG60" s="24"/>
      <c r="BH60" s="24"/>
      <c r="BI60" s="24"/>
      <c r="BJ60" s="24"/>
      <c r="BK60" s="24"/>
      <c r="BL60" s="24"/>
      <c r="BM60" s="24"/>
      <c r="BN60" s="24"/>
      <c r="BO60" s="24"/>
      <c r="BP60" s="24"/>
      <c r="BQ60" s="24"/>
      <c r="BR60" s="24"/>
      <c r="BS60" s="24"/>
      <c r="BT60" s="24"/>
      <c r="BU60" s="24"/>
      <c r="BV60" s="24"/>
      <c r="BW60" s="24"/>
      <c r="BX60" s="24"/>
      <c r="BY60" s="24"/>
      <c r="BZ60" s="24"/>
      <c r="CA60" s="24"/>
      <c r="CB60" s="24"/>
      <c r="CC60" s="24"/>
      <c r="CD60" s="24"/>
      <c r="CE60" s="24"/>
      <c r="CF60" s="24"/>
      <c r="CG60" s="24"/>
      <c r="CH60" s="24"/>
      <c r="CI60" s="24"/>
      <c r="CJ60" s="24"/>
    </row>
    <row r="61" spans="1:88" ht="14.25" customHeight="1" x14ac:dyDescent="0.25">
      <c r="A61" s="42" t="s">
        <v>80</v>
      </c>
      <c r="B61" s="44">
        <v>12.8</v>
      </c>
      <c r="C61" s="44">
        <v>12.8</v>
      </c>
      <c r="D61" s="44">
        <v>12.8</v>
      </c>
      <c r="E61" s="44">
        <v>12.8</v>
      </c>
      <c r="F61" s="44">
        <v>12.8</v>
      </c>
      <c r="G61" s="44">
        <v>12.8</v>
      </c>
      <c r="H61" s="44">
        <v>12.8</v>
      </c>
      <c r="I61" s="44">
        <v>12.8</v>
      </c>
      <c r="J61" s="44">
        <v>12.8</v>
      </c>
      <c r="K61" s="44">
        <v>12.8</v>
      </c>
      <c r="L61" s="44">
        <v>12.8</v>
      </c>
      <c r="M61" s="44">
        <v>12.7</v>
      </c>
      <c r="N61" s="44">
        <v>12.7</v>
      </c>
      <c r="O61" s="44">
        <v>12.7</v>
      </c>
      <c r="P61" s="44">
        <v>12.7</v>
      </c>
      <c r="Q61" s="44">
        <v>12.7</v>
      </c>
      <c r="R61" s="44">
        <v>12.7</v>
      </c>
      <c r="S61" s="44">
        <v>12.7</v>
      </c>
      <c r="T61" s="44">
        <v>12.7</v>
      </c>
      <c r="U61" s="44">
        <v>12.7</v>
      </c>
      <c r="V61" s="44">
        <v>12.7</v>
      </c>
      <c r="W61" s="44">
        <v>12.7</v>
      </c>
      <c r="X61" s="44">
        <v>12.7</v>
      </c>
      <c r="Y61" s="44">
        <v>12.7</v>
      </c>
      <c r="Z61" s="44">
        <v>12.7</v>
      </c>
      <c r="AA61" s="44">
        <v>12.7</v>
      </c>
      <c r="AB61" s="44">
        <v>12.7</v>
      </c>
      <c r="AC61" s="44">
        <v>12.7</v>
      </c>
      <c r="AD61" s="44">
        <v>12.7</v>
      </c>
      <c r="AE61" s="44">
        <v>12.7</v>
      </c>
      <c r="AF61" s="44">
        <v>12.7</v>
      </c>
      <c r="AG61" s="48">
        <v>12</v>
      </c>
      <c r="AH61" s="46">
        <f t="shared" si="2"/>
        <v>12.8</v>
      </c>
      <c r="AI61" s="47">
        <f t="shared" si="3"/>
        <v>12.7</v>
      </c>
      <c r="AK61" s="49"/>
      <c r="AL61" s="28"/>
      <c r="AM61" s="24"/>
      <c r="AN61" s="24"/>
      <c r="AO61" s="24"/>
      <c r="AP61" s="24"/>
      <c r="AQ61" s="15"/>
      <c r="AR61" s="21"/>
      <c r="AS61" s="24"/>
      <c r="AT61" s="24"/>
      <c r="AU61" s="24"/>
      <c r="AV61" s="24"/>
      <c r="AW61" s="24"/>
      <c r="AX61" s="24"/>
      <c r="AY61" s="24"/>
      <c r="AZ61" s="24"/>
      <c r="BA61" s="24"/>
      <c r="BB61" s="24"/>
      <c r="BC61" s="24"/>
      <c r="BD61" s="24"/>
      <c r="BE61" s="24"/>
      <c r="BF61" s="24"/>
      <c r="BG61" s="24"/>
      <c r="BH61" s="24"/>
      <c r="BI61" s="24"/>
      <c r="BJ61" s="24"/>
      <c r="BK61" s="24"/>
      <c r="BL61" s="24"/>
      <c r="BM61" s="24"/>
      <c r="BN61" s="24"/>
      <c r="BO61" s="24"/>
      <c r="BP61" s="24"/>
      <c r="BQ61" s="24"/>
      <c r="BR61" s="24"/>
      <c r="BS61" s="24"/>
      <c r="BT61" s="24"/>
      <c r="BU61" s="24"/>
      <c r="BV61" s="24"/>
      <c r="BW61" s="24"/>
      <c r="BX61" s="24"/>
      <c r="BY61" s="24"/>
      <c r="BZ61" s="24"/>
      <c r="CA61" s="24"/>
      <c r="CB61" s="24"/>
      <c r="CC61" s="24"/>
      <c r="CD61" s="24"/>
      <c r="CE61" s="24"/>
      <c r="CF61" s="24"/>
      <c r="CG61" s="24"/>
      <c r="CH61" s="24"/>
      <c r="CI61" s="24"/>
      <c r="CJ61" s="24"/>
    </row>
    <row r="62" spans="1:88" ht="14.25" customHeight="1" x14ac:dyDescent="0.25">
      <c r="A62" s="42" t="s">
        <v>81</v>
      </c>
      <c r="B62" s="44">
        <v>10</v>
      </c>
      <c r="C62" s="44">
        <v>10</v>
      </c>
      <c r="D62" s="44">
        <v>10</v>
      </c>
      <c r="E62" s="44">
        <v>10</v>
      </c>
      <c r="F62" s="44">
        <v>10</v>
      </c>
      <c r="G62" s="44">
        <v>10</v>
      </c>
      <c r="H62" s="44">
        <v>10</v>
      </c>
      <c r="I62" s="44">
        <v>10</v>
      </c>
      <c r="J62" s="44">
        <v>10</v>
      </c>
      <c r="K62" s="44">
        <v>10</v>
      </c>
      <c r="L62" s="44">
        <v>10</v>
      </c>
      <c r="M62" s="44">
        <v>10</v>
      </c>
      <c r="N62" s="44">
        <v>10</v>
      </c>
      <c r="O62" s="44">
        <v>10</v>
      </c>
      <c r="P62" s="44">
        <v>10</v>
      </c>
      <c r="Q62" s="44">
        <v>10</v>
      </c>
      <c r="R62" s="44">
        <v>10</v>
      </c>
      <c r="S62" s="44">
        <v>10</v>
      </c>
      <c r="T62" s="44">
        <v>10</v>
      </c>
      <c r="U62" s="44">
        <v>10</v>
      </c>
      <c r="V62" s="44">
        <v>10</v>
      </c>
      <c r="W62" s="44">
        <v>10</v>
      </c>
      <c r="X62" s="44">
        <v>10</v>
      </c>
      <c r="Y62" s="44">
        <v>10</v>
      </c>
      <c r="Z62" s="44">
        <v>10</v>
      </c>
      <c r="AA62" s="44">
        <v>10</v>
      </c>
      <c r="AB62" s="44">
        <v>10.5</v>
      </c>
      <c r="AC62" s="44">
        <v>10.5</v>
      </c>
      <c r="AD62" s="44">
        <v>10.5</v>
      </c>
      <c r="AE62" s="44">
        <v>10.5</v>
      </c>
      <c r="AF62" s="44">
        <v>10.5</v>
      </c>
      <c r="AG62" s="48">
        <v>11.88</v>
      </c>
      <c r="AH62" s="46">
        <f t="shared" si="2"/>
        <v>10.5</v>
      </c>
      <c r="AI62" s="47">
        <f t="shared" si="3"/>
        <v>10</v>
      </c>
      <c r="AK62" s="49"/>
      <c r="AL62" s="28"/>
      <c r="AM62" s="24"/>
      <c r="AN62" s="24"/>
      <c r="AO62" s="24"/>
      <c r="AP62" s="24"/>
      <c r="AQ62" s="15"/>
      <c r="AR62" s="21"/>
      <c r="AS62" s="24"/>
      <c r="AT62" s="24"/>
      <c r="AU62" s="24"/>
      <c r="AV62" s="24"/>
      <c r="AW62" s="24"/>
      <c r="AX62" s="24"/>
      <c r="AY62" s="24"/>
      <c r="AZ62" s="24"/>
      <c r="BA62" s="24"/>
      <c r="BB62" s="24"/>
      <c r="BC62" s="24"/>
      <c r="BD62" s="24"/>
      <c r="BE62" s="24"/>
      <c r="BF62" s="24"/>
      <c r="BG62" s="24"/>
      <c r="BH62" s="24"/>
      <c r="BI62" s="24"/>
      <c r="BJ62" s="24"/>
      <c r="BK62" s="24"/>
      <c r="BL62" s="24"/>
      <c r="BM62" s="24"/>
      <c r="BN62" s="24"/>
      <c r="BO62" s="24"/>
      <c r="BP62" s="24"/>
      <c r="BQ62" s="24"/>
      <c r="BR62" s="24"/>
      <c r="BS62" s="24"/>
      <c r="BT62" s="24"/>
      <c r="BU62" s="24"/>
      <c r="BV62" s="24"/>
      <c r="BW62" s="24"/>
      <c r="BX62" s="24"/>
      <c r="BY62" s="24"/>
      <c r="BZ62" s="24"/>
      <c r="CA62" s="24"/>
      <c r="CB62" s="24"/>
      <c r="CC62" s="24"/>
      <c r="CD62" s="24"/>
      <c r="CE62" s="24"/>
      <c r="CF62" s="24"/>
      <c r="CG62" s="24"/>
      <c r="CH62" s="24"/>
      <c r="CI62" s="24"/>
      <c r="CJ62" s="24"/>
    </row>
    <row r="63" spans="1:88" ht="14.25" customHeight="1" x14ac:dyDescent="0.25">
      <c r="A63" s="42" t="s">
        <v>82</v>
      </c>
      <c r="B63" s="44">
        <v>10.5</v>
      </c>
      <c r="C63" s="44">
        <v>10.5</v>
      </c>
      <c r="D63" s="44">
        <v>10.5</v>
      </c>
      <c r="E63" s="44">
        <v>10.5</v>
      </c>
      <c r="F63" s="44">
        <v>10.5</v>
      </c>
      <c r="G63" s="44">
        <v>10.5</v>
      </c>
      <c r="H63" s="44">
        <v>10.5</v>
      </c>
      <c r="I63" s="44">
        <v>10.5</v>
      </c>
      <c r="J63" s="44">
        <v>10.5</v>
      </c>
      <c r="K63" s="44">
        <v>10.5</v>
      </c>
      <c r="L63" s="44">
        <v>10.5</v>
      </c>
      <c r="M63" s="44">
        <v>10.5</v>
      </c>
      <c r="N63" s="44">
        <v>10.5</v>
      </c>
      <c r="O63" s="44">
        <v>10.5</v>
      </c>
      <c r="P63" s="44">
        <v>10.5</v>
      </c>
      <c r="Q63" s="44">
        <v>10.5</v>
      </c>
      <c r="R63" s="44">
        <v>10.5</v>
      </c>
      <c r="S63" s="44">
        <v>10.5</v>
      </c>
      <c r="T63" s="44">
        <v>10.5</v>
      </c>
      <c r="U63" s="44">
        <v>10.5</v>
      </c>
      <c r="V63" s="44">
        <v>10.5</v>
      </c>
      <c r="W63" s="44">
        <v>10.5</v>
      </c>
      <c r="X63" s="44">
        <v>10.5</v>
      </c>
      <c r="Y63" s="44">
        <v>10.5</v>
      </c>
      <c r="Z63" s="44">
        <v>10.5</v>
      </c>
      <c r="AA63" s="44">
        <v>10.5</v>
      </c>
      <c r="AB63" s="44">
        <v>10.6</v>
      </c>
      <c r="AC63" s="44">
        <v>10.6</v>
      </c>
      <c r="AD63" s="44">
        <v>10.6</v>
      </c>
      <c r="AE63" s="44">
        <v>10.6</v>
      </c>
      <c r="AF63" s="44">
        <v>10.6</v>
      </c>
      <c r="AG63" s="48">
        <v>11</v>
      </c>
      <c r="AH63" s="46">
        <f t="shared" si="2"/>
        <v>10.6</v>
      </c>
      <c r="AI63" s="47">
        <f t="shared" si="3"/>
        <v>10.5</v>
      </c>
      <c r="AK63" s="49"/>
      <c r="AL63" s="28"/>
      <c r="AM63" s="24"/>
      <c r="AN63" s="24"/>
      <c r="AO63" s="24"/>
      <c r="AP63" s="24"/>
      <c r="AQ63" s="15"/>
      <c r="AR63" s="21"/>
      <c r="AS63" s="24"/>
      <c r="AT63" s="24"/>
      <c r="AU63" s="24"/>
      <c r="AV63" s="24"/>
      <c r="AW63" s="24"/>
      <c r="AX63" s="24"/>
      <c r="AY63" s="24"/>
      <c r="AZ63" s="24"/>
      <c r="BA63" s="24"/>
      <c r="BB63" s="24"/>
      <c r="BC63" s="24"/>
      <c r="BD63" s="24"/>
      <c r="BE63" s="24"/>
      <c r="BF63" s="24"/>
      <c r="BG63" s="24"/>
      <c r="BH63" s="24"/>
      <c r="BI63" s="24"/>
      <c r="BJ63" s="24"/>
      <c r="BK63" s="24"/>
      <c r="BL63" s="24"/>
      <c r="BM63" s="24"/>
      <c r="BN63" s="24"/>
      <c r="BO63" s="24"/>
      <c r="BP63" s="24"/>
      <c r="BQ63" s="24"/>
      <c r="BR63" s="24"/>
      <c r="BS63" s="24"/>
      <c r="BT63" s="24"/>
      <c r="BU63" s="24"/>
      <c r="BV63" s="24"/>
      <c r="BW63" s="24"/>
      <c r="BX63" s="24"/>
      <c r="BY63" s="24"/>
      <c r="BZ63" s="24"/>
      <c r="CA63" s="24"/>
      <c r="CB63" s="24"/>
      <c r="CC63" s="24"/>
      <c r="CD63" s="24"/>
      <c r="CE63" s="24"/>
      <c r="CF63" s="24"/>
      <c r="CG63" s="24"/>
      <c r="CH63" s="24"/>
      <c r="CI63" s="24"/>
      <c r="CJ63" s="24"/>
    </row>
    <row r="64" spans="1:88" ht="14.25" customHeight="1" x14ac:dyDescent="0.25">
      <c r="A64" s="42" t="s">
        <v>83</v>
      </c>
      <c r="B64" s="44">
        <v>10</v>
      </c>
      <c r="C64" s="44">
        <v>10</v>
      </c>
      <c r="D64" s="44">
        <v>10</v>
      </c>
      <c r="E64" s="44">
        <v>10</v>
      </c>
      <c r="F64" s="44">
        <v>10</v>
      </c>
      <c r="G64" s="44">
        <v>10</v>
      </c>
      <c r="H64" s="44">
        <v>10</v>
      </c>
      <c r="I64" s="44">
        <v>10</v>
      </c>
      <c r="J64" s="44">
        <v>10</v>
      </c>
      <c r="K64" s="44">
        <v>10</v>
      </c>
      <c r="L64" s="44">
        <v>10</v>
      </c>
      <c r="M64" s="44">
        <v>10</v>
      </c>
      <c r="N64" s="44">
        <v>10</v>
      </c>
      <c r="O64" s="44">
        <v>10</v>
      </c>
      <c r="P64" s="44">
        <v>10</v>
      </c>
      <c r="Q64" s="44">
        <v>10</v>
      </c>
      <c r="R64" s="44">
        <v>10</v>
      </c>
      <c r="S64" s="44">
        <v>10</v>
      </c>
      <c r="T64" s="44">
        <v>10</v>
      </c>
      <c r="U64" s="44">
        <v>10</v>
      </c>
      <c r="V64" s="44">
        <v>10</v>
      </c>
      <c r="W64" s="44">
        <v>10</v>
      </c>
      <c r="X64" s="44">
        <v>10</v>
      </c>
      <c r="Y64" s="44">
        <v>10</v>
      </c>
      <c r="Z64" s="44">
        <v>10</v>
      </c>
      <c r="AA64" s="44">
        <v>10</v>
      </c>
      <c r="AB64" s="44">
        <v>10</v>
      </c>
      <c r="AC64" s="44">
        <v>10</v>
      </c>
      <c r="AD64" s="44">
        <v>10</v>
      </c>
      <c r="AE64" s="44">
        <v>10</v>
      </c>
      <c r="AF64" s="44">
        <v>10</v>
      </c>
      <c r="AG64" s="48">
        <v>11</v>
      </c>
      <c r="AH64" s="46">
        <f>MAX(B64:AF64)</f>
        <v>10</v>
      </c>
      <c r="AI64" s="47">
        <f>MIN(B64:AF64)</f>
        <v>10</v>
      </c>
      <c r="AK64" s="49"/>
      <c r="AL64" s="28"/>
      <c r="AM64" s="24"/>
      <c r="AN64" s="24"/>
      <c r="AO64" s="24"/>
      <c r="AP64" s="24"/>
      <c r="AQ64" s="15"/>
      <c r="AR64" s="21"/>
      <c r="AS64" s="24"/>
      <c r="AT64" s="24"/>
      <c r="AU64" s="24"/>
      <c r="AV64" s="24"/>
      <c r="AW64" s="24"/>
      <c r="AX64" s="24"/>
      <c r="AY64" s="24"/>
      <c r="AZ64" s="24"/>
      <c r="BA64" s="24"/>
      <c r="BB64" s="24"/>
      <c r="BC64" s="24"/>
      <c r="BD64" s="24"/>
      <c r="BE64" s="24"/>
      <c r="BF64" s="24"/>
      <c r="BG64" s="24"/>
      <c r="BH64" s="24"/>
      <c r="BI64" s="24"/>
      <c r="BJ64" s="24"/>
      <c r="BK64" s="24"/>
      <c r="BL64" s="24"/>
      <c r="BM64" s="24"/>
      <c r="BN64" s="24"/>
      <c r="BO64" s="24"/>
      <c r="BP64" s="24"/>
      <c r="BQ64" s="24"/>
      <c r="BR64" s="24"/>
      <c r="BS64" s="24"/>
      <c r="BT64" s="24"/>
      <c r="BU64" s="24"/>
      <c r="BV64" s="24"/>
      <c r="BW64" s="24"/>
      <c r="BX64" s="24"/>
      <c r="BY64" s="24"/>
      <c r="BZ64" s="24"/>
      <c r="CA64" s="24"/>
      <c r="CB64" s="24"/>
      <c r="CC64" s="24"/>
      <c r="CD64" s="24"/>
      <c r="CE64" s="24"/>
      <c r="CF64" s="24"/>
      <c r="CG64" s="24"/>
      <c r="CH64" s="24"/>
      <c r="CI64" s="24"/>
      <c r="CJ64" s="24"/>
    </row>
    <row r="65" spans="1:88" ht="14.25" customHeight="1" x14ac:dyDescent="0.25">
      <c r="A65" s="42" t="s">
        <v>84</v>
      </c>
      <c r="B65" s="44">
        <v>10.8</v>
      </c>
      <c r="C65" s="44">
        <v>10.8</v>
      </c>
      <c r="D65" s="44">
        <v>10.8</v>
      </c>
      <c r="E65" s="44">
        <v>10.8</v>
      </c>
      <c r="F65" s="44">
        <v>10.8</v>
      </c>
      <c r="G65" s="44">
        <v>10.8</v>
      </c>
      <c r="H65" s="44">
        <v>10.8</v>
      </c>
      <c r="I65" s="44">
        <v>10.8</v>
      </c>
      <c r="J65" s="44">
        <v>10.8</v>
      </c>
      <c r="K65" s="44">
        <v>10.8</v>
      </c>
      <c r="L65" s="44">
        <v>10.8</v>
      </c>
      <c r="M65" s="44">
        <v>10.8</v>
      </c>
      <c r="N65" s="44">
        <v>10.8</v>
      </c>
      <c r="O65" s="44">
        <v>11.6</v>
      </c>
      <c r="P65" s="44">
        <v>11.6</v>
      </c>
      <c r="Q65" s="44">
        <v>11.6</v>
      </c>
      <c r="R65" s="44">
        <v>11.6</v>
      </c>
      <c r="S65" s="44">
        <v>11.6</v>
      </c>
      <c r="T65" s="44">
        <v>11.6</v>
      </c>
      <c r="U65" s="44">
        <v>11.6</v>
      </c>
      <c r="V65" s="44">
        <v>11.6</v>
      </c>
      <c r="W65" s="44">
        <v>11.6</v>
      </c>
      <c r="X65" s="44">
        <v>11.6</v>
      </c>
      <c r="Y65" s="44">
        <v>11.6</v>
      </c>
      <c r="Z65" s="44">
        <v>11.6</v>
      </c>
      <c r="AA65" s="44">
        <v>11.6</v>
      </c>
      <c r="AB65" s="44">
        <v>11.6</v>
      </c>
      <c r="AC65" s="44">
        <v>11.6</v>
      </c>
      <c r="AD65" s="44">
        <v>11.6</v>
      </c>
      <c r="AE65" s="44">
        <v>11.6</v>
      </c>
      <c r="AF65" s="44">
        <v>11.6</v>
      </c>
      <c r="AG65" s="48">
        <v>10.7</v>
      </c>
      <c r="AH65" s="46">
        <f t="shared" si="2"/>
        <v>11.6</v>
      </c>
      <c r="AI65" s="47">
        <f t="shared" si="3"/>
        <v>10.8</v>
      </c>
      <c r="AK65" s="49"/>
      <c r="AL65" s="28"/>
      <c r="AM65" s="24"/>
      <c r="AN65" s="24"/>
      <c r="AO65" s="24"/>
      <c r="AP65" s="24"/>
      <c r="AQ65" s="15"/>
      <c r="AR65" s="21"/>
      <c r="AS65" s="24"/>
      <c r="AT65" s="24"/>
      <c r="AU65" s="24"/>
      <c r="AV65" s="24"/>
      <c r="AW65" s="24"/>
      <c r="AX65" s="24"/>
      <c r="AY65" s="24"/>
      <c r="AZ65" s="24"/>
      <c r="BA65" s="24"/>
      <c r="BB65" s="24"/>
      <c r="BC65" s="24"/>
      <c r="BD65" s="24"/>
      <c r="BE65" s="24"/>
      <c r="BF65" s="24"/>
      <c r="BG65" s="24"/>
      <c r="BH65" s="24"/>
      <c r="BI65" s="24"/>
      <c r="BJ65" s="24"/>
      <c r="BK65" s="24"/>
      <c r="BL65" s="24"/>
      <c r="BM65" s="24"/>
      <c r="BN65" s="24"/>
      <c r="BO65" s="24"/>
      <c r="BP65" s="24"/>
      <c r="BQ65" s="24"/>
      <c r="BR65" s="24"/>
      <c r="BS65" s="24"/>
      <c r="BT65" s="24"/>
      <c r="BU65" s="24"/>
      <c r="BV65" s="24"/>
      <c r="BW65" s="24"/>
      <c r="BX65" s="24"/>
      <c r="BY65" s="24"/>
      <c r="BZ65" s="24"/>
      <c r="CA65" s="24"/>
      <c r="CB65" s="24"/>
      <c r="CC65" s="24"/>
      <c r="CD65" s="24"/>
      <c r="CE65" s="24"/>
      <c r="CF65" s="24"/>
      <c r="CG65" s="24"/>
      <c r="CH65" s="24"/>
      <c r="CI65" s="24"/>
      <c r="CJ65" s="24"/>
    </row>
    <row r="66" spans="1:88" ht="14.25" customHeight="1" x14ac:dyDescent="0.25">
      <c r="A66" s="42" t="s">
        <v>85</v>
      </c>
      <c r="B66" s="44">
        <v>9.5</v>
      </c>
      <c r="C66" s="44">
        <v>9.5</v>
      </c>
      <c r="D66" s="44">
        <v>9.5</v>
      </c>
      <c r="E66" s="44">
        <v>9.5</v>
      </c>
      <c r="F66" s="44">
        <v>9.5</v>
      </c>
      <c r="G66" s="44">
        <v>9.5</v>
      </c>
      <c r="H66" s="44">
        <v>9.5</v>
      </c>
      <c r="I66" s="44">
        <v>9.5</v>
      </c>
      <c r="J66" s="44">
        <v>9.5</v>
      </c>
      <c r="K66" s="44">
        <v>9.5</v>
      </c>
      <c r="L66" s="44">
        <v>9.5</v>
      </c>
      <c r="M66" s="44">
        <v>9.5</v>
      </c>
      <c r="N66" s="44">
        <v>9.5</v>
      </c>
      <c r="O66" s="44">
        <v>9.5</v>
      </c>
      <c r="P66" s="44">
        <v>9.5</v>
      </c>
      <c r="Q66" s="44">
        <v>9.5</v>
      </c>
      <c r="R66" s="44">
        <v>9.5</v>
      </c>
      <c r="S66" s="44">
        <v>9.5</v>
      </c>
      <c r="T66" s="44">
        <v>9.5</v>
      </c>
      <c r="U66" s="44">
        <v>9.5</v>
      </c>
      <c r="V66" s="44">
        <v>9.5</v>
      </c>
      <c r="W66" s="44">
        <v>9.5</v>
      </c>
      <c r="X66" s="44">
        <v>9.5</v>
      </c>
      <c r="Y66" s="44">
        <v>9.5</v>
      </c>
      <c r="Z66" s="44">
        <v>9.5</v>
      </c>
      <c r="AA66" s="44">
        <v>9.5</v>
      </c>
      <c r="AB66" s="44">
        <v>4.3</v>
      </c>
      <c r="AC66" s="44">
        <v>4.3</v>
      </c>
      <c r="AD66" s="44">
        <v>4.3</v>
      </c>
      <c r="AE66" s="44">
        <v>4.3</v>
      </c>
      <c r="AF66" s="44">
        <v>4.3</v>
      </c>
      <c r="AG66" s="62">
        <v>10.3</v>
      </c>
      <c r="AH66" s="46">
        <f t="shared" si="2"/>
        <v>9.5</v>
      </c>
      <c r="AI66" s="47">
        <f t="shared" si="3"/>
        <v>4.3</v>
      </c>
      <c r="AK66" s="49"/>
      <c r="AL66" s="28"/>
      <c r="AM66" s="24"/>
      <c r="AN66" s="24"/>
      <c r="AO66" s="24"/>
      <c r="AP66" s="24"/>
      <c r="AQ66" s="15"/>
      <c r="AR66" s="21"/>
      <c r="AS66" s="24"/>
      <c r="AT66" s="24"/>
      <c r="AU66" s="24"/>
      <c r="AV66" s="24"/>
      <c r="AW66" s="24"/>
      <c r="AX66" s="24"/>
      <c r="AY66" s="24"/>
      <c r="AZ66" s="24"/>
      <c r="BA66" s="24"/>
      <c r="BB66" s="24"/>
      <c r="BC66" s="24"/>
      <c r="BD66" s="24"/>
      <c r="BE66" s="24"/>
      <c r="BF66" s="24"/>
      <c r="BG66" s="24"/>
      <c r="BH66" s="24"/>
      <c r="BI66" s="24"/>
      <c r="BJ66" s="24"/>
      <c r="BK66" s="24"/>
      <c r="BL66" s="24"/>
      <c r="BM66" s="24"/>
      <c r="BN66" s="24"/>
      <c r="BO66" s="24"/>
      <c r="BP66" s="24"/>
      <c r="BQ66" s="24"/>
      <c r="BR66" s="24"/>
      <c r="BS66" s="24"/>
      <c r="BT66" s="24"/>
      <c r="BU66" s="24"/>
      <c r="BV66" s="24"/>
      <c r="BW66" s="24"/>
      <c r="BX66" s="24"/>
      <c r="BY66" s="24"/>
      <c r="BZ66" s="24"/>
      <c r="CA66" s="24"/>
      <c r="CB66" s="24"/>
      <c r="CC66" s="24"/>
      <c r="CD66" s="24"/>
      <c r="CE66" s="24"/>
      <c r="CF66" s="24"/>
      <c r="CG66" s="24"/>
      <c r="CH66" s="24"/>
      <c r="CI66" s="24"/>
      <c r="CJ66" s="24"/>
    </row>
    <row r="67" spans="1:88" x14ac:dyDescent="0.25">
      <c r="A67" s="42" t="s">
        <v>86</v>
      </c>
      <c r="B67" s="44">
        <v>8.4</v>
      </c>
      <c r="C67" s="44">
        <v>2.6</v>
      </c>
      <c r="D67" s="44">
        <v>2.6</v>
      </c>
      <c r="E67" s="44">
        <v>2.6</v>
      </c>
      <c r="F67" s="44">
        <v>2.6</v>
      </c>
      <c r="G67" s="44">
        <v>2.6</v>
      </c>
      <c r="H67" s="44">
        <v>2.6</v>
      </c>
      <c r="I67" s="44">
        <v>2.6</v>
      </c>
      <c r="J67" s="44">
        <v>2.6</v>
      </c>
      <c r="K67" s="44">
        <v>2.6</v>
      </c>
      <c r="L67" s="44">
        <v>2.6</v>
      </c>
      <c r="M67" s="44">
        <v>2.6</v>
      </c>
      <c r="N67" s="44">
        <v>2.6</v>
      </c>
      <c r="O67" s="44">
        <v>2.6</v>
      </c>
      <c r="P67" s="44">
        <v>2.6</v>
      </c>
      <c r="Q67" s="44">
        <v>2.6</v>
      </c>
      <c r="R67" s="44">
        <v>2.6</v>
      </c>
      <c r="S67" s="44">
        <v>2.6</v>
      </c>
      <c r="T67" s="44">
        <v>2.6</v>
      </c>
      <c r="U67" s="44">
        <v>2.6</v>
      </c>
      <c r="V67" s="44">
        <v>2.6</v>
      </c>
      <c r="W67" s="44">
        <v>2.6</v>
      </c>
      <c r="X67" s="44">
        <v>2.6</v>
      </c>
      <c r="Y67" s="44">
        <v>2.6</v>
      </c>
      <c r="Z67" s="44">
        <v>2.6</v>
      </c>
      <c r="AA67" s="44">
        <v>2.6</v>
      </c>
      <c r="AB67" s="44">
        <v>4.8</v>
      </c>
      <c r="AC67" s="44">
        <v>4.8</v>
      </c>
      <c r="AD67" s="44">
        <v>4.8</v>
      </c>
      <c r="AE67" s="44">
        <v>4.8</v>
      </c>
      <c r="AF67" s="44">
        <v>4.8</v>
      </c>
      <c r="AG67" s="61">
        <v>10</v>
      </c>
      <c r="AH67" s="46">
        <f t="shared" si="2"/>
        <v>8.4</v>
      </c>
      <c r="AI67" s="47">
        <f t="shared" si="3"/>
        <v>2.6</v>
      </c>
      <c r="AK67" s="49"/>
      <c r="AL67" s="28"/>
      <c r="AO67" s="24"/>
      <c r="AP67" s="24"/>
      <c r="AQ67" s="15"/>
      <c r="AR67" s="21"/>
      <c r="AS67" s="24"/>
      <c r="AT67" s="24"/>
      <c r="AU67" s="24"/>
      <c r="AV67" s="24"/>
      <c r="AW67" s="24"/>
      <c r="AX67" s="24"/>
      <c r="AY67" s="24"/>
      <c r="AZ67" s="24"/>
      <c r="BA67" s="24"/>
      <c r="BB67" s="24"/>
      <c r="BC67" s="24"/>
      <c r="BD67" s="24"/>
      <c r="BE67" s="24"/>
      <c r="BF67" s="24"/>
      <c r="BG67" s="24"/>
      <c r="BH67" s="24"/>
      <c r="BI67" s="24"/>
      <c r="BJ67" s="24"/>
      <c r="BK67" s="24"/>
      <c r="BL67" s="24"/>
      <c r="BM67" s="24"/>
      <c r="BN67" s="24"/>
      <c r="BO67" s="24"/>
      <c r="BP67" s="24"/>
      <c r="BQ67" s="24"/>
      <c r="BR67" s="24"/>
      <c r="BS67" s="24"/>
      <c r="BT67" s="24"/>
      <c r="BU67" s="24"/>
      <c r="BV67" s="24"/>
      <c r="BW67" s="24"/>
      <c r="BX67" s="24"/>
      <c r="BY67" s="24"/>
      <c r="BZ67" s="24"/>
      <c r="CA67" s="24"/>
      <c r="CB67" s="24"/>
      <c r="CC67" s="24"/>
      <c r="CD67" s="24"/>
      <c r="CE67" s="24"/>
      <c r="CF67" s="24"/>
      <c r="CG67" s="24"/>
      <c r="CH67" s="24"/>
      <c r="CI67" s="24"/>
      <c r="CJ67" s="24"/>
    </row>
    <row r="68" spans="1:88" x14ac:dyDescent="0.25">
      <c r="A68" s="63" t="s">
        <v>87</v>
      </c>
      <c r="B68" s="44">
        <v>10</v>
      </c>
      <c r="C68" s="44">
        <v>10</v>
      </c>
      <c r="D68" s="44">
        <v>10</v>
      </c>
      <c r="E68" s="44">
        <v>10</v>
      </c>
      <c r="F68" s="44">
        <v>10</v>
      </c>
      <c r="G68" s="44">
        <v>10</v>
      </c>
      <c r="H68" s="44">
        <v>10</v>
      </c>
      <c r="I68" s="44">
        <v>10</v>
      </c>
      <c r="J68" s="44">
        <v>10</v>
      </c>
      <c r="K68" s="44">
        <v>10</v>
      </c>
      <c r="L68" s="44">
        <v>10</v>
      </c>
      <c r="M68" s="44">
        <v>10</v>
      </c>
      <c r="N68" s="44">
        <v>10</v>
      </c>
      <c r="O68" s="44">
        <v>10</v>
      </c>
      <c r="P68" s="44">
        <v>10</v>
      </c>
      <c r="Q68" s="44">
        <v>10</v>
      </c>
      <c r="R68" s="44">
        <v>10</v>
      </c>
      <c r="S68" s="44">
        <v>10</v>
      </c>
      <c r="T68" s="44">
        <v>10</v>
      </c>
      <c r="U68" s="44">
        <v>10</v>
      </c>
      <c r="V68" s="44">
        <v>10</v>
      </c>
      <c r="W68" s="44">
        <v>10</v>
      </c>
      <c r="X68" s="44">
        <v>10</v>
      </c>
      <c r="Y68" s="44">
        <v>10</v>
      </c>
      <c r="Z68" s="44">
        <v>10</v>
      </c>
      <c r="AA68" s="44">
        <v>10</v>
      </c>
      <c r="AB68" s="44">
        <v>10</v>
      </c>
      <c r="AC68" s="44">
        <v>10</v>
      </c>
      <c r="AD68" s="44">
        <v>10</v>
      </c>
      <c r="AE68" s="44">
        <v>10</v>
      </c>
      <c r="AF68" s="44">
        <v>10</v>
      </c>
      <c r="AG68" s="64">
        <v>10</v>
      </c>
      <c r="AH68" s="46">
        <f t="shared" si="2"/>
        <v>10</v>
      </c>
      <c r="AI68" s="47">
        <f t="shared" si="3"/>
        <v>10</v>
      </c>
      <c r="AK68" s="49"/>
      <c r="AL68" s="28"/>
      <c r="AO68" s="24"/>
      <c r="AP68" s="24"/>
      <c r="AQ68" s="15"/>
      <c r="AR68" s="21"/>
      <c r="AS68" s="24"/>
      <c r="AT68" s="24"/>
      <c r="AU68" s="24"/>
      <c r="AV68" s="24"/>
      <c r="AW68" s="24"/>
      <c r="AX68" s="24"/>
      <c r="AY68" s="24"/>
      <c r="AZ68" s="24"/>
      <c r="BA68" s="24"/>
      <c r="BB68" s="24"/>
      <c r="BC68" s="24"/>
      <c r="BD68" s="24"/>
      <c r="BE68" s="24"/>
      <c r="BF68" s="24"/>
      <c r="BG68" s="24"/>
      <c r="BH68" s="24"/>
      <c r="BI68" s="24"/>
      <c r="BJ68" s="24"/>
      <c r="BK68" s="24"/>
      <c r="BL68" s="24"/>
      <c r="BM68" s="24"/>
      <c r="BN68" s="24"/>
      <c r="BO68" s="24"/>
      <c r="BP68" s="24"/>
      <c r="BQ68" s="24"/>
      <c r="BR68" s="24"/>
      <c r="BS68" s="24"/>
      <c r="BT68" s="24"/>
      <c r="BU68" s="24"/>
      <c r="BV68" s="24"/>
      <c r="BW68" s="24"/>
      <c r="BX68" s="24"/>
      <c r="BY68" s="24"/>
      <c r="BZ68" s="24"/>
      <c r="CA68" s="24"/>
      <c r="CB68" s="24"/>
      <c r="CC68" s="24"/>
      <c r="CD68" s="24"/>
      <c r="CE68" s="24"/>
      <c r="CF68" s="24"/>
      <c r="CG68" s="24"/>
      <c r="CH68" s="24"/>
      <c r="CI68" s="24"/>
      <c r="CJ68" s="24"/>
    </row>
    <row r="69" spans="1:88" x14ac:dyDescent="0.25">
      <c r="A69" s="65" t="s">
        <v>88</v>
      </c>
      <c r="B69" s="66">
        <v>300</v>
      </c>
      <c r="C69" s="66">
        <v>300</v>
      </c>
      <c r="D69" s="66">
        <v>300</v>
      </c>
      <c r="E69" s="66">
        <v>300</v>
      </c>
      <c r="F69" s="66">
        <v>300</v>
      </c>
      <c r="G69" s="66">
        <v>300</v>
      </c>
      <c r="H69" s="66">
        <v>300</v>
      </c>
      <c r="I69" s="66">
        <v>300</v>
      </c>
      <c r="J69" s="66">
        <v>300</v>
      </c>
      <c r="K69" s="66">
        <v>300</v>
      </c>
      <c r="L69" s="66">
        <v>300</v>
      </c>
      <c r="M69" s="66">
        <v>300</v>
      </c>
      <c r="N69" s="66">
        <v>300</v>
      </c>
      <c r="O69" s="66">
        <v>300</v>
      </c>
      <c r="P69" s="66">
        <v>300</v>
      </c>
      <c r="Q69" s="66">
        <v>300</v>
      </c>
      <c r="R69" s="66">
        <v>300</v>
      </c>
      <c r="S69" s="66">
        <v>300</v>
      </c>
      <c r="T69" s="66">
        <v>300</v>
      </c>
      <c r="U69" s="66">
        <v>300</v>
      </c>
      <c r="V69" s="66">
        <v>300</v>
      </c>
      <c r="W69" s="66">
        <v>300</v>
      </c>
      <c r="X69" s="66">
        <v>300</v>
      </c>
      <c r="Y69" s="66">
        <v>300</v>
      </c>
      <c r="Z69" s="66">
        <v>300</v>
      </c>
      <c r="AA69" s="66">
        <v>300</v>
      </c>
      <c r="AB69" s="66">
        <v>350</v>
      </c>
      <c r="AC69" s="66">
        <v>350</v>
      </c>
      <c r="AD69" s="66">
        <v>350</v>
      </c>
      <c r="AE69" s="66">
        <v>350</v>
      </c>
      <c r="AF69" s="66">
        <v>350</v>
      </c>
      <c r="AG69" s="64">
        <v>85</v>
      </c>
      <c r="AH69" s="46">
        <f t="shared" si="2"/>
        <v>350</v>
      </c>
      <c r="AI69" s="47">
        <f t="shared" si="3"/>
        <v>300</v>
      </c>
      <c r="AK69" s="49"/>
    </row>
    <row r="70" spans="1:88" ht="15.75" thickBot="1" x14ac:dyDescent="0.3">
      <c r="A70" s="67" t="s">
        <v>89</v>
      </c>
      <c r="B70" s="66">
        <v>191</v>
      </c>
      <c r="C70" s="66">
        <f>88.7+100</f>
        <v>188.7</v>
      </c>
      <c r="D70" s="66">
        <f t="shared" ref="D70:F70" si="20">88.7+100</f>
        <v>188.7</v>
      </c>
      <c r="E70" s="66">
        <f t="shared" si="20"/>
        <v>188.7</v>
      </c>
      <c r="F70" s="66">
        <f t="shared" si="20"/>
        <v>188.7</v>
      </c>
      <c r="G70" s="66">
        <f>92.2+98.1</f>
        <v>190.3</v>
      </c>
      <c r="H70" s="66">
        <f>89.9+82.3</f>
        <v>172.2</v>
      </c>
      <c r="I70" s="66">
        <f>78.7+94.7</f>
        <v>173.4</v>
      </c>
      <c r="J70" s="66">
        <f>77.9+83.7</f>
        <v>161.60000000000002</v>
      </c>
      <c r="K70" s="66">
        <f>77.9+83.7</f>
        <v>161.60000000000002</v>
      </c>
      <c r="L70" s="66">
        <f>77.2+85.9</f>
        <v>163.10000000000002</v>
      </c>
      <c r="M70" s="66">
        <v>170.8</v>
      </c>
      <c r="N70" s="66">
        <v>170.8</v>
      </c>
      <c r="O70" s="66">
        <v>170.8</v>
      </c>
      <c r="P70" s="66">
        <v>187.5</v>
      </c>
      <c r="Q70" s="66">
        <v>191.2</v>
      </c>
      <c r="R70" s="66">
        <v>187.9</v>
      </c>
      <c r="S70" s="66">
        <v>187.9</v>
      </c>
      <c r="T70" s="66">
        <v>187.9</v>
      </c>
      <c r="U70" s="66">
        <v>187.9</v>
      </c>
      <c r="V70" s="66">
        <v>187.9</v>
      </c>
      <c r="W70" s="66">
        <v>187.9</v>
      </c>
      <c r="X70" s="66">
        <v>187.9</v>
      </c>
      <c r="Y70" s="66">
        <v>187.9</v>
      </c>
      <c r="Z70" s="66">
        <v>187.9</v>
      </c>
      <c r="AA70" s="66">
        <v>187.9</v>
      </c>
      <c r="AB70" s="66">
        <v>195.3</v>
      </c>
      <c r="AC70" s="66">
        <f>99.3+86.3</f>
        <v>185.6</v>
      </c>
      <c r="AD70" s="66">
        <f>93.6+91.6</f>
        <v>185.2</v>
      </c>
      <c r="AE70" s="66">
        <f>93.6+91.6</f>
        <v>185.2</v>
      </c>
      <c r="AF70" s="66">
        <f>93.6+91.6</f>
        <v>185.2</v>
      </c>
      <c r="AG70" s="64">
        <v>240</v>
      </c>
      <c r="AH70" s="46">
        <f t="shared" si="2"/>
        <v>195.3</v>
      </c>
      <c r="AI70" s="47">
        <f t="shared" si="3"/>
        <v>161.60000000000002</v>
      </c>
      <c r="AK70" s="49"/>
    </row>
    <row r="71" spans="1:88" ht="15.75" thickBot="1" x14ac:dyDescent="0.3">
      <c r="A71" s="68" t="s">
        <v>90</v>
      </c>
      <c r="B71" s="69">
        <f>SUM(B11:B69)</f>
        <v>1532.7</v>
      </c>
      <c r="C71" s="69">
        <f>SUM(C11:C69)</f>
        <v>1386.3</v>
      </c>
      <c r="D71" s="69">
        <f t="shared" ref="D71:AG71" si="21">SUM(D11:D69)</f>
        <v>1207.1000000000001</v>
      </c>
      <c r="E71" s="69">
        <f t="shared" si="21"/>
        <v>1207.1000000000001</v>
      </c>
      <c r="F71" s="69">
        <f t="shared" si="21"/>
        <v>1387.2</v>
      </c>
      <c r="G71" s="69">
        <f t="shared" si="21"/>
        <v>1397.4</v>
      </c>
      <c r="H71" s="69">
        <f t="shared" si="21"/>
        <v>1397.4</v>
      </c>
      <c r="I71" s="69">
        <f t="shared" si="21"/>
        <v>1397.4</v>
      </c>
      <c r="J71" s="69">
        <f t="shared" si="21"/>
        <v>1424.6000000000001</v>
      </c>
      <c r="K71" s="69">
        <f t="shared" si="21"/>
        <v>1424.6000000000001</v>
      </c>
      <c r="L71" s="69">
        <f t="shared" si="21"/>
        <v>1523.2000000000003</v>
      </c>
      <c r="M71" s="69">
        <f t="shared" si="21"/>
        <v>1584.6999999999996</v>
      </c>
      <c r="N71" s="69">
        <f t="shared" si="21"/>
        <v>1584.6999999999996</v>
      </c>
      <c r="O71" s="69">
        <f t="shared" si="21"/>
        <v>1640.7499999999995</v>
      </c>
      <c r="P71" s="69">
        <f t="shared" si="21"/>
        <v>1643.6499999999996</v>
      </c>
      <c r="Q71" s="69">
        <f t="shared" si="21"/>
        <v>1631.6499999999996</v>
      </c>
      <c r="R71" s="69">
        <f t="shared" si="21"/>
        <v>1744.6699999999994</v>
      </c>
      <c r="S71" s="69">
        <f t="shared" si="21"/>
        <v>1744.6699999999994</v>
      </c>
      <c r="T71" s="69">
        <f t="shared" si="21"/>
        <v>1744.6699999999994</v>
      </c>
      <c r="U71" s="69">
        <f t="shared" si="21"/>
        <v>1744.6699999999994</v>
      </c>
      <c r="V71" s="69">
        <f t="shared" si="21"/>
        <v>1744.6699999999994</v>
      </c>
      <c r="W71" s="69">
        <f t="shared" si="21"/>
        <v>1744.6699999999994</v>
      </c>
      <c r="X71" s="69">
        <f t="shared" si="21"/>
        <v>1744.6699999999994</v>
      </c>
      <c r="Y71" s="69">
        <f t="shared" si="21"/>
        <v>1744.6699999999994</v>
      </c>
      <c r="Z71" s="69">
        <f t="shared" si="21"/>
        <v>1744.6699999999994</v>
      </c>
      <c r="AA71" s="69">
        <f t="shared" si="21"/>
        <v>1744.6699999999994</v>
      </c>
      <c r="AB71" s="69">
        <f>SUM(AB11:AB69)</f>
        <v>1571.8999999999999</v>
      </c>
      <c r="AC71" s="69">
        <f t="shared" si="21"/>
        <v>1562.5</v>
      </c>
      <c r="AD71" s="69">
        <f t="shared" si="21"/>
        <v>1575.3999999999999</v>
      </c>
      <c r="AE71" s="69">
        <f t="shared" si="21"/>
        <v>1557.9999999999998</v>
      </c>
      <c r="AF71" s="69">
        <f t="shared" si="21"/>
        <v>1557.9999999999998</v>
      </c>
      <c r="AG71" s="69">
        <f t="shared" si="21"/>
        <v>1812.2049999999999</v>
      </c>
      <c r="AH71" s="46">
        <f t="shared" si="2"/>
        <v>1744.6699999999994</v>
      </c>
      <c r="AI71" s="47">
        <f t="shared" si="3"/>
        <v>1207.1000000000001</v>
      </c>
      <c r="AK71" s="49"/>
    </row>
    <row r="72" spans="1:88" x14ac:dyDescent="0.25">
      <c r="A72" s="70" t="s">
        <v>91</v>
      </c>
      <c r="B72" s="44">
        <v>456.9</v>
      </c>
      <c r="C72" s="44">
        <v>456.9</v>
      </c>
      <c r="D72" s="44">
        <v>456.9</v>
      </c>
      <c r="E72" s="44">
        <v>456.9</v>
      </c>
      <c r="F72" s="44">
        <v>456.9</v>
      </c>
      <c r="G72" s="44">
        <v>456.9</v>
      </c>
      <c r="H72" s="44">
        <v>456.9</v>
      </c>
      <c r="I72" s="44">
        <v>456.9</v>
      </c>
      <c r="J72" s="44">
        <v>456.9</v>
      </c>
      <c r="K72" s="44">
        <v>456.9</v>
      </c>
      <c r="L72" s="44">
        <v>456.9</v>
      </c>
      <c r="M72" s="44">
        <v>456.3</v>
      </c>
      <c r="N72" s="44">
        <v>456.3</v>
      </c>
      <c r="O72" s="44">
        <v>456.9</v>
      </c>
      <c r="P72" s="44">
        <v>457</v>
      </c>
      <c r="Q72" s="44">
        <v>457</v>
      </c>
      <c r="R72" s="44">
        <v>456.9</v>
      </c>
      <c r="S72" s="44">
        <v>456.9</v>
      </c>
      <c r="T72" s="44">
        <v>457.1</v>
      </c>
      <c r="U72" s="44">
        <v>457</v>
      </c>
      <c r="V72" s="44">
        <v>457.2</v>
      </c>
      <c r="W72" s="44">
        <v>457.2</v>
      </c>
      <c r="X72" s="44">
        <v>456.9</v>
      </c>
      <c r="Y72" s="44">
        <v>456.9</v>
      </c>
      <c r="Z72" s="44">
        <v>456.9</v>
      </c>
      <c r="AA72" s="44">
        <v>456.9</v>
      </c>
      <c r="AB72" s="44">
        <v>456.9</v>
      </c>
      <c r="AC72" s="44">
        <v>456.9</v>
      </c>
      <c r="AD72" s="44">
        <v>456.9</v>
      </c>
      <c r="AE72" s="44">
        <v>456.9</v>
      </c>
      <c r="AF72" s="44">
        <v>456.9</v>
      </c>
      <c r="AG72" s="61">
        <v>456</v>
      </c>
      <c r="AH72" s="46">
        <f t="shared" si="2"/>
        <v>457.2</v>
      </c>
      <c r="AI72" s="47">
        <f t="shared" si="3"/>
        <v>456.3</v>
      </c>
      <c r="AK72" s="49"/>
    </row>
    <row r="73" spans="1:88" x14ac:dyDescent="0.25">
      <c r="A73" s="71" t="s">
        <v>92</v>
      </c>
      <c r="B73" s="43">
        <v>0</v>
      </c>
      <c r="C73" s="43">
        <v>0</v>
      </c>
      <c r="D73" s="43">
        <v>0</v>
      </c>
      <c r="E73" s="43">
        <v>0</v>
      </c>
      <c r="F73" s="43">
        <v>0</v>
      </c>
      <c r="G73" s="43">
        <v>0</v>
      </c>
      <c r="H73" s="43">
        <v>0</v>
      </c>
      <c r="I73" s="43">
        <v>0</v>
      </c>
      <c r="J73" s="43">
        <v>0</v>
      </c>
      <c r="K73" s="43">
        <v>0</v>
      </c>
      <c r="L73" s="43">
        <v>0</v>
      </c>
      <c r="M73" s="43">
        <v>0</v>
      </c>
      <c r="N73" s="43">
        <v>0</v>
      </c>
      <c r="O73" s="43">
        <v>0</v>
      </c>
      <c r="P73" s="43">
        <v>0</v>
      </c>
      <c r="Q73" s="43">
        <v>0</v>
      </c>
      <c r="R73" s="43">
        <v>0</v>
      </c>
      <c r="S73" s="43">
        <v>0</v>
      </c>
      <c r="T73" s="43">
        <v>0</v>
      </c>
      <c r="U73" s="43">
        <v>0</v>
      </c>
      <c r="V73" s="43">
        <v>0</v>
      </c>
      <c r="W73" s="43">
        <v>0</v>
      </c>
      <c r="X73" s="43">
        <v>0</v>
      </c>
      <c r="Y73" s="43">
        <v>0</v>
      </c>
      <c r="Z73" s="43">
        <v>0</v>
      </c>
      <c r="AA73" s="43">
        <v>0</v>
      </c>
      <c r="AB73" s="43">
        <v>0</v>
      </c>
      <c r="AC73" s="43">
        <v>0</v>
      </c>
      <c r="AD73" s="43">
        <v>0</v>
      </c>
      <c r="AE73" s="43">
        <v>0</v>
      </c>
      <c r="AF73" s="43">
        <v>0</v>
      </c>
      <c r="AG73" s="64">
        <v>111</v>
      </c>
      <c r="AH73" s="46">
        <f t="shared" si="2"/>
        <v>0</v>
      </c>
      <c r="AI73" s="47">
        <f t="shared" si="3"/>
        <v>0</v>
      </c>
      <c r="AK73" s="49"/>
    </row>
    <row r="74" spans="1:88" x14ac:dyDescent="0.25">
      <c r="A74" s="72" t="s">
        <v>93</v>
      </c>
      <c r="B74" s="43">
        <v>60.6</v>
      </c>
      <c r="C74" s="43">
        <v>60.6</v>
      </c>
      <c r="D74" s="43">
        <v>60.6</v>
      </c>
      <c r="E74" s="43">
        <v>60.6</v>
      </c>
      <c r="F74" s="43">
        <v>60.6</v>
      </c>
      <c r="G74" s="43">
        <v>60.6</v>
      </c>
      <c r="H74" s="43">
        <v>58.5</v>
      </c>
      <c r="I74" s="43">
        <v>58.5</v>
      </c>
      <c r="J74" s="43">
        <v>60.9</v>
      </c>
      <c r="K74" s="43">
        <v>60.9</v>
      </c>
      <c r="L74" s="43">
        <v>60.9</v>
      </c>
      <c r="M74" s="43">
        <v>64.5</v>
      </c>
      <c r="N74" s="43">
        <v>61</v>
      </c>
      <c r="O74" s="43">
        <v>61.8</v>
      </c>
      <c r="P74" s="43">
        <v>61.5</v>
      </c>
      <c r="Q74" s="43">
        <v>61</v>
      </c>
      <c r="R74" s="43">
        <v>60.8</v>
      </c>
      <c r="S74" s="43">
        <v>60.8</v>
      </c>
      <c r="T74" s="43">
        <v>60.8</v>
      </c>
      <c r="U74" s="43">
        <v>61</v>
      </c>
      <c r="V74" s="43">
        <v>60.5</v>
      </c>
      <c r="W74" s="43">
        <v>60.5</v>
      </c>
      <c r="X74" s="43">
        <v>61.7</v>
      </c>
      <c r="Y74" s="43">
        <v>61.6</v>
      </c>
      <c r="Z74" s="43">
        <v>61.5</v>
      </c>
      <c r="AA74" s="43">
        <v>61.5</v>
      </c>
      <c r="AB74" s="43">
        <v>61.7</v>
      </c>
      <c r="AC74" s="43">
        <v>61.7</v>
      </c>
      <c r="AD74" s="43">
        <v>61.7</v>
      </c>
      <c r="AE74" s="43">
        <v>61.7</v>
      </c>
      <c r="AF74" s="43">
        <v>61.7</v>
      </c>
      <c r="AG74" s="64">
        <v>60</v>
      </c>
      <c r="AH74" s="46">
        <f t="shared" si="2"/>
        <v>64.5</v>
      </c>
      <c r="AI74" s="47">
        <f t="shared" si="3"/>
        <v>58.5</v>
      </c>
      <c r="AK74" s="49"/>
    </row>
    <row r="75" spans="1:88" x14ac:dyDescent="0.25">
      <c r="A75" s="73" t="s">
        <v>94</v>
      </c>
      <c r="B75" s="43">
        <v>43.3</v>
      </c>
      <c r="C75" s="43">
        <v>23</v>
      </c>
      <c r="D75" s="43">
        <v>23</v>
      </c>
      <c r="E75" s="43">
        <v>23</v>
      </c>
      <c r="F75" s="43">
        <v>23</v>
      </c>
      <c r="G75" s="43">
        <v>23</v>
      </c>
      <c r="H75" s="43">
        <v>23</v>
      </c>
      <c r="I75" s="43">
        <v>23</v>
      </c>
      <c r="J75" s="43">
        <v>30</v>
      </c>
      <c r="K75" s="43">
        <v>30</v>
      </c>
      <c r="L75" s="43">
        <v>43.3</v>
      </c>
      <c r="M75" s="43">
        <v>30.6</v>
      </c>
      <c r="N75" s="43">
        <v>32.200000000000003</v>
      </c>
      <c r="O75" s="43">
        <v>43.1</v>
      </c>
      <c r="P75" s="43">
        <v>43.2</v>
      </c>
      <c r="Q75" s="43">
        <v>43.1</v>
      </c>
      <c r="R75" s="43">
        <v>43.2</v>
      </c>
      <c r="S75" s="43">
        <v>43.2</v>
      </c>
      <c r="T75" s="43">
        <v>43.2</v>
      </c>
      <c r="U75" s="43">
        <v>43.2</v>
      </c>
      <c r="V75" s="43">
        <v>43.2</v>
      </c>
      <c r="W75" s="43">
        <v>43.2</v>
      </c>
      <c r="X75" s="43">
        <v>43.2</v>
      </c>
      <c r="Y75" s="43">
        <v>43.2</v>
      </c>
      <c r="Z75" s="43">
        <v>43.2</v>
      </c>
      <c r="AA75" s="43">
        <v>43.2</v>
      </c>
      <c r="AB75" s="43">
        <v>43.3</v>
      </c>
      <c r="AC75" s="43">
        <v>43.3</v>
      </c>
      <c r="AD75" s="43">
        <v>43.3</v>
      </c>
      <c r="AE75" s="43">
        <v>43.3</v>
      </c>
      <c r="AF75" s="43">
        <v>43.3</v>
      </c>
      <c r="AG75" s="74">
        <v>42.5</v>
      </c>
      <c r="AH75" s="46">
        <f t="shared" ref="AH75:AH138" si="22">MAX(B75:AF75)</f>
        <v>43.3</v>
      </c>
      <c r="AI75" s="47">
        <f t="shared" ref="AI75:AI138" si="23">MIN(B75:AF75)</f>
        <v>23</v>
      </c>
      <c r="AK75" s="49"/>
    </row>
    <row r="76" spans="1:88" x14ac:dyDescent="0.25">
      <c r="A76" s="73" t="s">
        <v>95</v>
      </c>
      <c r="B76" s="43">
        <v>11.1</v>
      </c>
      <c r="C76" s="43">
        <v>11.1</v>
      </c>
      <c r="D76" s="43">
        <v>11.1</v>
      </c>
      <c r="E76" s="43">
        <v>11.1</v>
      </c>
      <c r="F76" s="43">
        <v>11.1</v>
      </c>
      <c r="G76" s="43">
        <v>11.1</v>
      </c>
      <c r="H76" s="43">
        <v>11.1</v>
      </c>
      <c r="I76" s="43">
        <v>11.1</v>
      </c>
      <c r="J76" s="43">
        <v>11.1</v>
      </c>
      <c r="K76" s="43">
        <v>11.1</v>
      </c>
      <c r="L76" s="43">
        <v>11.1</v>
      </c>
      <c r="M76" s="43">
        <v>11.1</v>
      </c>
      <c r="N76" s="43">
        <v>11.1</v>
      </c>
      <c r="O76" s="43">
        <v>11.1</v>
      </c>
      <c r="P76" s="43">
        <v>11.1</v>
      </c>
      <c r="Q76" s="43">
        <v>11.1</v>
      </c>
      <c r="R76" s="43">
        <v>11.1</v>
      </c>
      <c r="S76" s="43">
        <v>11.1</v>
      </c>
      <c r="T76" s="43">
        <v>11.1</v>
      </c>
      <c r="U76" s="43">
        <v>11.1</v>
      </c>
      <c r="V76" s="43">
        <v>11.1</v>
      </c>
      <c r="W76" s="43">
        <v>11.1</v>
      </c>
      <c r="X76" s="43">
        <v>11.1</v>
      </c>
      <c r="Y76" s="43">
        <v>11.1</v>
      </c>
      <c r="Z76" s="43">
        <v>11.1</v>
      </c>
      <c r="AA76" s="43">
        <v>11.1</v>
      </c>
      <c r="AB76" s="43">
        <v>11.1</v>
      </c>
      <c r="AC76" s="43">
        <v>11.1</v>
      </c>
      <c r="AD76" s="43">
        <v>11.1</v>
      </c>
      <c r="AE76" s="43">
        <v>11.1</v>
      </c>
      <c r="AF76" s="43">
        <v>11.1</v>
      </c>
      <c r="AG76" s="74">
        <v>22.1</v>
      </c>
      <c r="AH76" s="46">
        <f t="shared" si="22"/>
        <v>11.1</v>
      </c>
      <c r="AI76" s="47">
        <f t="shared" si="23"/>
        <v>11.1</v>
      </c>
      <c r="AK76" s="49"/>
    </row>
    <row r="77" spans="1:88" ht="15.75" thickBot="1" x14ac:dyDescent="0.3">
      <c r="A77" s="75" t="s">
        <v>96</v>
      </c>
      <c r="B77" s="76">
        <v>14.8</v>
      </c>
      <c r="C77" s="76">
        <v>10.4</v>
      </c>
      <c r="D77" s="76">
        <v>10.4</v>
      </c>
      <c r="E77" s="76">
        <v>10.4</v>
      </c>
      <c r="F77" s="76">
        <v>10.4</v>
      </c>
      <c r="G77" s="76">
        <v>10.4</v>
      </c>
      <c r="H77" s="76">
        <v>10.4</v>
      </c>
      <c r="I77" s="76">
        <v>10.4</v>
      </c>
      <c r="J77" s="76">
        <v>13.3</v>
      </c>
      <c r="K77" s="76">
        <v>13.3</v>
      </c>
      <c r="L77" s="76">
        <v>14.9</v>
      </c>
      <c r="M77" s="76">
        <v>15.4</v>
      </c>
      <c r="N77" s="76">
        <v>15.4</v>
      </c>
      <c r="O77" s="76">
        <v>15</v>
      </c>
      <c r="P77" s="76">
        <v>15</v>
      </c>
      <c r="Q77" s="76">
        <v>15</v>
      </c>
      <c r="R77" s="76">
        <v>15</v>
      </c>
      <c r="S77" s="76">
        <v>15</v>
      </c>
      <c r="T77" s="76">
        <v>15</v>
      </c>
      <c r="U77" s="76">
        <v>15</v>
      </c>
      <c r="V77" s="76">
        <v>15</v>
      </c>
      <c r="W77" s="76">
        <v>15</v>
      </c>
      <c r="X77" s="76">
        <v>15</v>
      </c>
      <c r="Y77" s="76">
        <v>15</v>
      </c>
      <c r="Z77" s="76">
        <v>15</v>
      </c>
      <c r="AA77" s="76">
        <v>15</v>
      </c>
      <c r="AB77" s="76">
        <v>15.1</v>
      </c>
      <c r="AC77" s="76">
        <v>15.1</v>
      </c>
      <c r="AD77" s="76">
        <v>15.1</v>
      </c>
      <c r="AE77" s="76">
        <v>15.1</v>
      </c>
      <c r="AF77" s="76">
        <v>15.1</v>
      </c>
      <c r="AG77" s="77">
        <v>14.8</v>
      </c>
      <c r="AH77" s="46">
        <f t="shared" si="22"/>
        <v>15.4</v>
      </c>
      <c r="AI77" s="47">
        <f t="shared" si="23"/>
        <v>10.4</v>
      </c>
      <c r="AK77" s="49"/>
    </row>
    <row r="78" spans="1:88" ht="15.75" thickBot="1" x14ac:dyDescent="0.3">
      <c r="A78" s="78" t="s">
        <v>97</v>
      </c>
      <c r="B78" s="69">
        <f>SUM(B72:B77)</f>
        <v>586.69999999999993</v>
      </c>
      <c r="C78" s="69">
        <f>SUM(C72:C77)</f>
        <v>562</v>
      </c>
      <c r="D78" s="69">
        <f t="shared" ref="D78:AG78" si="24">SUM(D72:D77)</f>
        <v>562</v>
      </c>
      <c r="E78" s="69">
        <f t="shared" si="24"/>
        <v>562</v>
      </c>
      <c r="F78" s="69">
        <f t="shared" si="24"/>
        <v>562</v>
      </c>
      <c r="G78" s="69">
        <f t="shared" si="24"/>
        <v>562</v>
      </c>
      <c r="H78" s="69">
        <f t="shared" si="24"/>
        <v>559.9</v>
      </c>
      <c r="I78" s="69">
        <f t="shared" si="24"/>
        <v>559.9</v>
      </c>
      <c r="J78" s="69">
        <f t="shared" si="24"/>
        <v>572.19999999999993</v>
      </c>
      <c r="K78" s="69">
        <f t="shared" si="24"/>
        <v>572.19999999999993</v>
      </c>
      <c r="L78" s="69">
        <f t="shared" si="24"/>
        <v>587.09999999999991</v>
      </c>
      <c r="M78" s="69">
        <f t="shared" si="24"/>
        <v>577.9</v>
      </c>
      <c r="N78" s="69">
        <f t="shared" si="24"/>
        <v>576</v>
      </c>
      <c r="O78" s="69">
        <f t="shared" si="24"/>
        <v>587.9</v>
      </c>
      <c r="P78" s="69">
        <f t="shared" si="24"/>
        <v>587.80000000000007</v>
      </c>
      <c r="Q78" s="69">
        <f t="shared" si="24"/>
        <v>587.20000000000005</v>
      </c>
      <c r="R78" s="69">
        <f t="shared" si="24"/>
        <v>587</v>
      </c>
      <c r="S78" s="69">
        <f t="shared" si="24"/>
        <v>587</v>
      </c>
      <c r="T78" s="69">
        <f t="shared" si="24"/>
        <v>587.20000000000005</v>
      </c>
      <c r="U78" s="69">
        <f t="shared" si="24"/>
        <v>587.30000000000007</v>
      </c>
      <c r="V78" s="69">
        <f t="shared" si="24"/>
        <v>587.00000000000011</v>
      </c>
      <c r="W78" s="69">
        <f t="shared" si="24"/>
        <v>587.00000000000011</v>
      </c>
      <c r="X78" s="69">
        <f t="shared" si="24"/>
        <v>587.90000000000009</v>
      </c>
      <c r="Y78" s="69">
        <f t="shared" si="24"/>
        <v>587.80000000000007</v>
      </c>
      <c r="Z78" s="69">
        <f t="shared" si="24"/>
        <v>587.70000000000005</v>
      </c>
      <c r="AA78" s="69">
        <f t="shared" si="24"/>
        <v>587.70000000000005</v>
      </c>
      <c r="AB78" s="69">
        <f t="shared" si="24"/>
        <v>588.1</v>
      </c>
      <c r="AC78" s="69">
        <f t="shared" si="24"/>
        <v>588.1</v>
      </c>
      <c r="AD78" s="69">
        <f t="shared" si="24"/>
        <v>588.1</v>
      </c>
      <c r="AE78" s="69">
        <f t="shared" si="24"/>
        <v>588.1</v>
      </c>
      <c r="AF78" s="69">
        <f t="shared" si="24"/>
        <v>588.1</v>
      </c>
      <c r="AG78" s="79">
        <f t="shared" si="24"/>
        <v>706.4</v>
      </c>
      <c r="AH78" s="46">
        <f t="shared" si="22"/>
        <v>588.1</v>
      </c>
      <c r="AI78" s="47">
        <f t="shared" si="23"/>
        <v>559.9</v>
      </c>
      <c r="AK78" s="49"/>
      <c r="AZ78" s="80">
        <v>1</v>
      </c>
      <c r="BA78" s="80">
        <v>2</v>
      </c>
      <c r="BB78" s="80">
        <v>3</v>
      </c>
      <c r="BC78" s="80">
        <v>4</v>
      </c>
      <c r="BD78" s="80">
        <v>5</v>
      </c>
      <c r="BE78" s="80">
        <v>6</v>
      </c>
      <c r="BF78" s="80">
        <v>7</v>
      </c>
      <c r="BG78" s="80">
        <v>8</v>
      </c>
      <c r="BH78" s="80">
        <v>9</v>
      </c>
      <c r="BI78" s="80">
        <v>10</v>
      </c>
      <c r="BJ78" s="80">
        <v>11</v>
      </c>
      <c r="BK78" s="80">
        <v>12</v>
      </c>
      <c r="BL78" s="80">
        <v>13</v>
      </c>
      <c r="BM78" s="80">
        <v>14</v>
      </c>
      <c r="BN78" s="80">
        <v>15</v>
      </c>
      <c r="BO78" s="80">
        <v>16</v>
      </c>
      <c r="BP78" s="80">
        <v>17</v>
      </c>
      <c r="BQ78" s="80">
        <v>18</v>
      </c>
      <c r="BR78" s="80">
        <v>19</v>
      </c>
      <c r="BS78" s="80">
        <v>20</v>
      </c>
      <c r="BT78" s="80">
        <v>21</v>
      </c>
      <c r="BU78" s="80">
        <v>22</v>
      </c>
      <c r="BV78" s="80">
        <v>23</v>
      </c>
      <c r="BW78" s="80">
        <v>24</v>
      </c>
    </row>
    <row r="79" spans="1:88" x14ac:dyDescent="0.25">
      <c r="A79" s="42" t="s">
        <v>98</v>
      </c>
      <c r="B79" s="44">
        <v>140</v>
      </c>
      <c r="C79" s="44">
        <v>96</v>
      </c>
      <c r="D79" s="44">
        <v>96</v>
      </c>
      <c r="E79" s="44">
        <v>96</v>
      </c>
      <c r="F79" s="44">
        <v>96</v>
      </c>
      <c r="G79" s="44">
        <v>96</v>
      </c>
      <c r="H79" s="44">
        <v>96</v>
      </c>
      <c r="I79" s="44">
        <v>96</v>
      </c>
      <c r="J79" s="44">
        <v>96</v>
      </c>
      <c r="K79" s="44">
        <v>96</v>
      </c>
      <c r="L79" s="44">
        <v>96</v>
      </c>
      <c r="M79" s="44">
        <v>110</v>
      </c>
      <c r="N79" s="44">
        <v>110</v>
      </c>
      <c r="O79" s="44">
        <v>135.5</v>
      </c>
      <c r="P79" s="44">
        <v>136.1</v>
      </c>
      <c r="Q79" s="44">
        <v>139.19999999999999</v>
      </c>
      <c r="R79" s="44">
        <v>138.80000000000001</v>
      </c>
      <c r="S79" s="44">
        <v>120.2</v>
      </c>
      <c r="T79" s="44">
        <v>140.1</v>
      </c>
      <c r="U79" s="44">
        <v>140.4</v>
      </c>
      <c r="V79" s="44">
        <v>140.4</v>
      </c>
      <c r="W79" s="44">
        <v>140.4</v>
      </c>
      <c r="X79" s="44">
        <v>119.7</v>
      </c>
      <c r="Y79" s="44">
        <v>141.19999999999999</v>
      </c>
      <c r="Z79" s="44">
        <v>140.9</v>
      </c>
      <c r="AA79" s="44">
        <v>140.9</v>
      </c>
      <c r="AB79" s="44">
        <v>141.5</v>
      </c>
      <c r="AC79" s="44">
        <v>141.5</v>
      </c>
      <c r="AD79" s="44">
        <v>141.5</v>
      </c>
      <c r="AE79" s="44">
        <v>141.5</v>
      </c>
      <c r="AF79" s="44">
        <v>141.5</v>
      </c>
      <c r="AG79" s="61">
        <v>144</v>
      </c>
      <c r="AH79" s="46">
        <f t="shared" si="22"/>
        <v>141.5</v>
      </c>
      <c r="AI79" s="47">
        <f t="shared" si="23"/>
        <v>96</v>
      </c>
      <c r="AK79" s="49"/>
      <c r="AY79" s="1" t="s">
        <v>99</v>
      </c>
      <c r="AZ79" s="81">
        <f>ROUND(C97,0)</f>
        <v>-480</v>
      </c>
      <c r="BA79" s="80">
        <f t="shared" ref="BA79:BD83" si="25">D97</f>
        <v>-460</v>
      </c>
      <c r="BB79" s="80">
        <f t="shared" si="25"/>
        <v>-478</v>
      </c>
      <c r="BC79" s="80">
        <f t="shared" si="25"/>
        <v>-431.1</v>
      </c>
      <c r="BD79" s="80">
        <f t="shared" si="25"/>
        <v>-472</v>
      </c>
      <c r="BE79" s="81">
        <f>I97</f>
        <v>-467.3</v>
      </c>
      <c r="BF79" s="81">
        <f>K97</f>
        <v>-540</v>
      </c>
      <c r="BG79" s="81">
        <f t="shared" ref="BG79:BP83" si="26">M97</f>
        <v>-587.4</v>
      </c>
      <c r="BH79" s="81">
        <f t="shared" si="26"/>
        <v>-559.79999999999995</v>
      </c>
      <c r="BI79" s="81">
        <f t="shared" si="26"/>
        <v>-639.70000000000005</v>
      </c>
      <c r="BJ79" s="81">
        <f t="shared" si="26"/>
        <v>-673.5</v>
      </c>
      <c r="BK79" s="81">
        <f t="shared" si="26"/>
        <v>-649.79999999999995</v>
      </c>
      <c r="BL79" s="81">
        <f t="shared" si="26"/>
        <v>-650.70000000000005</v>
      </c>
      <c r="BM79" s="81">
        <f t="shared" si="26"/>
        <v>-625.20000000000005</v>
      </c>
      <c r="BN79" s="81">
        <f t="shared" si="26"/>
        <v>-574.20000000000005</v>
      </c>
      <c r="BO79" s="81">
        <f t="shared" si="26"/>
        <v>-602.1</v>
      </c>
      <c r="BP79" s="81">
        <f t="shared" si="26"/>
        <v>-604.20000000000005</v>
      </c>
      <c r="BQ79" s="81">
        <f>X97</f>
        <v>-508.2</v>
      </c>
      <c r="BR79" s="81">
        <f>Z97</f>
        <v>-463.1</v>
      </c>
      <c r="BS79" s="80">
        <f>AB97</f>
        <v>-344.2</v>
      </c>
      <c r="BT79" s="80">
        <f t="shared" ref="BT79:BV83" si="27">AD97</f>
        <v>-376.3</v>
      </c>
      <c r="BU79" s="80">
        <f t="shared" si="27"/>
        <v>-435.6</v>
      </c>
      <c r="BV79" s="80">
        <f t="shared" si="27"/>
        <v>-445.6</v>
      </c>
      <c r="BW79" s="80">
        <f>B97</f>
        <v>-478</v>
      </c>
    </row>
    <row r="80" spans="1:88" x14ac:dyDescent="0.25">
      <c r="A80" s="63" t="s">
        <v>100</v>
      </c>
      <c r="B80" s="43">
        <v>68.900000000000006</v>
      </c>
      <c r="C80" s="43">
        <v>68.900000000000006</v>
      </c>
      <c r="D80" s="43">
        <v>68.900000000000006</v>
      </c>
      <c r="E80" s="43">
        <v>68.900000000000006</v>
      </c>
      <c r="F80" s="43">
        <v>68.900000000000006</v>
      </c>
      <c r="G80" s="43">
        <v>68.900000000000006</v>
      </c>
      <c r="H80" s="43">
        <v>68.900000000000006</v>
      </c>
      <c r="I80" s="43">
        <v>68.900000000000006</v>
      </c>
      <c r="J80" s="43">
        <v>68.900000000000006</v>
      </c>
      <c r="K80" s="43">
        <v>68.900000000000006</v>
      </c>
      <c r="L80" s="43">
        <v>68.900000000000006</v>
      </c>
      <c r="M80" s="43">
        <v>59.4</v>
      </c>
      <c r="N80" s="43">
        <v>59.4</v>
      </c>
      <c r="O80" s="43">
        <v>65.5</v>
      </c>
      <c r="P80" s="43">
        <v>65.400000000000006</v>
      </c>
      <c r="Q80" s="43">
        <v>49.5</v>
      </c>
      <c r="R80" s="43">
        <v>51</v>
      </c>
      <c r="S80" s="43">
        <v>60.4</v>
      </c>
      <c r="T80" s="43">
        <v>69.5</v>
      </c>
      <c r="U80" s="43">
        <v>69.5</v>
      </c>
      <c r="V80" s="43">
        <v>69.5</v>
      </c>
      <c r="W80" s="43">
        <v>69.5</v>
      </c>
      <c r="X80" s="43">
        <v>49.4</v>
      </c>
      <c r="Y80" s="43">
        <v>48.5</v>
      </c>
      <c r="Z80" s="43">
        <v>68.5</v>
      </c>
      <c r="AA80" s="43">
        <v>68.599999999999994</v>
      </c>
      <c r="AB80" s="44">
        <v>68.900000000000006</v>
      </c>
      <c r="AC80" s="44">
        <v>68.900000000000006</v>
      </c>
      <c r="AD80" s="44">
        <v>68.900000000000006</v>
      </c>
      <c r="AE80" s="44">
        <v>68.900000000000006</v>
      </c>
      <c r="AF80" s="44">
        <v>68.900000000000006</v>
      </c>
      <c r="AG80" s="64">
        <v>70</v>
      </c>
      <c r="AH80" s="46">
        <f t="shared" si="22"/>
        <v>69.5</v>
      </c>
      <c r="AI80" s="47">
        <f t="shared" si="23"/>
        <v>48.5</v>
      </c>
      <c r="AK80" s="49"/>
      <c r="AY80" s="1" t="s">
        <v>101</v>
      </c>
      <c r="AZ80" s="81">
        <f>ROUND(C98,0)</f>
        <v>-188</v>
      </c>
      <c r="BA80" s="80">
        <f t="shared" si="25"/>
        <v>-170</v>
      </c>
      <c r="BB80" s="80">
        <f t="shared" si="25"/>
        <v>-203</v>
      </c>
      <c r="BC80" s="80">
        <f t="shared" si="25"/>
        <v>-172.3</v>
      </c>
      <c r="BD80" s="80">
        <f t="shared" si="25"/>
        <v>-172.4</v>
      </c>
      <c r="BE80" s="81">
        <f>I98</f>
        <v>-128.19999999999999</v>
      </c>
      <c r="BF80" s="81">
        <f>K98</f>
        <v>-140.4</v>
      </c>
      <c r="BG80" s="81">
        <f t="shared" si="26"/>
        <v>-201.5</v>
      </c>
      <c r="BH80" s="81">
        <f t="shared" si="26"/>
        <v>-200.7</v>
      </c>
      <c r="BI80" s="81">
        <f t="shared" si="26"/>
        <v>-178</v>
      </c>
      <c r="BJ80" s="81">
        <f t="shared" si="26"/>
        <v>-195.5</v>
      </c>
      <c r="BK80" s="81">
        <f t="shared" si="26"/>
        <v>-193.7</v>
      </c>
      <c r="BL80" s="81">
        <f t="shared" si="26"/>
        <v>-208.2</v>
      </c>
      <c r="BM80" s="81">
        <f t="shared" si="26"/>
        <v>-208.6</v>
      </c>
      <c r="BN80" s="81">
        <f t="shared" si="26"/>
        <v>-187</v>
      </c>
      <c r="BO80" s="81">
        <f t="shared" si="26"/>
        <v>-197</v>
      </c>
      <c r="BP80" s="81">
        <f t="shared" si="26"/>
        <v>-185.1</v>
      </c>
      <c r="BQ80" s="81">
        <f>X98</f>
        <v>-160.1</v>
      </c>
      <c r="BR80" s="81">
        <f>Z98</f>
        <v>-168.1</v>
      </c>
      <c r="BS80" s="80">
        <f>AB98</f>
        <v>-189.8</v>
      </c>
      <c r="BT80" s="80">
        <f t="shared" si="27"/>
        <v>-182.3</v>
      </c>
      <c r="BU80" s="80">
        <f t="shared" si="27"/>
        <v>-189.6</v>
      </c>
      <c r="BV80" s="80">
        <f t="shared" si="27"/>
        <v>-190.6</v>
      </c>
      <c r="BW80" s="80">
        <f>B98</f>
        <v>-203</v>
      </c>
    </row>
    <row r="81" spans="1:75" x14ac:dyDescent="0.25">
      <c r="A81" s="63" t="s">
        <v>102</v>
      </c>
      <c r="B81" s="43">
        <v>66</v>
      </c>
      <c r="C81" s="43">
        <v>49</v>
      </c>
      <c r="D81" s="43">
        <v>49</v>
      </c>
      <c r="E81" s="43">
        <v>49</v>
      </c>
      <c r="F81" s="43">
        <v>49</v>
      </c>
      <c r="G81" s="43">
        <v>49</v>
      </c>
      <c r="H81" s="43">
        <v>65</v>
      </c>
      <c r="I81" s="43">
        <v>65</v>
      </c>
      <c r="J81" s="43">
        <v>65</v>
      </c>
      <c r="K81" s="43">
        <v>65</v>
      </c>
      <c r="L81" s="43">
        <v>65</v>
      </c>
      <c r="M81" s="43">
        <v>66.3</v>
      </c>
      <c r="N81" s="43">
        <v>66.3</v>
      </c>
      <c r="O81" s="43">
        <v>66.5</v>
      </c>
      <c r="P81" s="43">
        <v>66.400000000000006</v>
      </c>
      <c r="Q81" s="43">
        <v>66.099999999999994</v>
      </c>
      <c r="R81" s="43">
        <v>65.900000000000006</v>
      </c>
      <c r="S81" s="43">
        <v>60.6</v>
      </c>
      <c r="T81" s="43">
        <v>66.099999999999994</v>
      </c>
      <c r="U81" s="43">
        <v>66.8</v>
      </c>
      <c r="V81" s="43">
        <v>56</v>
      </c>
      <c r="W81" s="43">
        <v>56</v>
      </c>
      <c r="X81" s="43">
        <v>54.5</v>
      </c>
      <c r="Y81" s="43">
        <v>44.25</v>
      </c>
      <c r="Z81" s="43">
        <v>67.2</v>
      </c>
      <c r="AA81" s="43">
        <v>66.900000000000006</v>
      </c>
      <c r="AB81" s="44">
        <v>67</v>
      </c>
      <c r="AC81" s="44">
        <v>67</v>
      </c>
      <c r="AD81" s="44">
        <v>67</v>
      </c>
      <c r="AE81" s="44">
        <v>67</v>
      </c>
      <c r="AF81" s="44">
        <v>67</v>
      </c>
      <c r="AG81" s="64">
        <v>69</v>
      </c>
      <c r="AH81" s="46">
        <f t="shared" si="22"/>
        <v>67.2</v>
      </c>
      <c r="AI81" s="47">
        <f t="shared" si="23"/>
        <v>44.25</v>
      </c>
      <c r="AK81" s="49"/>
      <c r="AL81" s="82"/>
      <c r="AO81" s="82"/>
      <c r="AY81" s="1" t="s">
        <v>103</v>
      </c>
      <c r="AZ81" s="81">
        <f>ROUND(C99,0)</f>
        <v>0</v>
      </c>
      <c r="BA81" s="80">
        <f t="shared" si="25"/>
        <v>0</v>
      </c>
      <c r="BB81" s="80">
        <f t="shared" si="25"/>
        <v>0</v>
      </c>
      <c r="BC81" s="80">
        <f t="shared" si="25"/>
        <v>0</v>
      </c>
      <c r="BD81" s="80">
        <f t="shared" si="25"/>
        <v>0</v>
      </c>
      <c r="BE81" s="81">
        <f>I99</f>
        <v>0</v>
      </c>
      <c r="BF81" s="81">
        <f>K99</f>
        <v>0</v>
      </c>
      <c r="BG81" s="81">
        <f t="shared" si="26"/>
        <v>0</v>
      </c>
      <c r="BH81" s="81">
        <f t="shared" si="26"/>
        <v>0</v>
      </c>
      <c r="BI81" s="81">
        <f t="shared" si="26"/>
        <v>0</v>
      </c>
      <c r="BJ81" s="81">
        <f t="shared" si="26"/>
        <v>0</v>
      </c>
      <c r="BK81" s="81">
        <f t="shared" si="26"/>
        <v>0</v>
      </c>
      <c r="BL81" s="81">
        <f t="shared" si="26"/>
        <v>0</v>
      </c>
      <c r="BM81" s="81">
        <f t="shared" si="26"/>
        <v>0</v>
      </c>
      <c r="BN81" s="81">
        <f t="shared" si="26"/>
        <v>0</v>
      </c>
      <c r="BO81" s="81">
        <f t="shared" si="26"/>
        <v>0</v>
      </c>
      <c r="BP81" s="81">
        <f t="shared" si="26"/>
        <v>0</v>
      </c>
      <c r="BQ81" s="81">
        <f>X99</f>
        <v>0</v>
      </c>
      <c r="BR81" s="81">
        <f>Z99</f>
        <v>0</v>
      </c>
      <c r="BS81" s="80">
        <f>AB99</f>
        <v>0</v>
      </c>
      <c r="BT81" s="80">
        <f t="shared" si="27"/>
        <v>0</v>
      </c>
      <c r="BU81" s="80">
        <f t="shared" si="27"/>
        <v>0</v>
      </c>
      <c r="BV81" s="80">
        <f t="shared" si="27"/>
        <v>0</v>
      </c>
      <c r="BW81" s="80">
        <f>B99</f>
        <v>0</v>
      </c>
    </row>
    <row r="82" spans="1:75" s="82" customFormat="1" x14ac:dyDescent="0.25">
      <c r="A82" s="63" t="s">
        <v>104</v>
      </c>
      <c r="B82" s="43">
        <v>58.2</v>
      </c>
      <c r="C82" s="43">
        <v>40</v>
      </c>
      <c r="D82" s="43">
        <v>40</v>
      </c>
      <c r="E82" s="43">
        <v>40</v>
      </c>
      <c r="F82" s="43">
        <v>40</v>
      </c>
      <c r="G82" s="43">
        <v>40</v>
      </c>
      <c r="H82" s="43">
        <v>40</v>
      </c>
      <c r="I82" s="43">
        <v>40</v>
      </c>
      <c r="J82" s="43">
        <v>40</v>
      </c>
      <c r="K82" s="43">
        <v>50</v>
      </c>
      <c r="L82" s="43">
        <v>58.3</v>
      </c>
      <c r="M82" s="43">
        <v>58.3</v>
      </c>
      <c r="N82" s="43">
        <v>58.3</v>
      </c>
      <c r="O82" s="43">
        <v>58.3</v>
      </c>
      <c r="P82" s="43">
        <v>58.3</v>
      </c>
      <c r="Q82" s="43">
        <v>58.3</v>
      </c>
      <c r="R82" s="43">
        <v>0</v>
      </c>
      <c r="S82" s="43">
        <v>52.7</v>
      </c>
      <c r="T82" s="43">
        <v>57.2</v>
      </c>
      <c r="U82" s="43">
        <v>58</v>
      </c>
      <c r="V82" s="43">
        <v>58</v>
      </c>
      <c r="W82" s="43">
        <v>58</v>
      </c>
      <c r="X82" s="43">
        <v>58</v>
      </c>
      <c r="Y82" s="43">
        <v>58</v>
      </c>
      <c r="Z82" s="43">
        <v>58</v>
      </c>
      <c r="AA82" s="43">
        <v>58</v>
      </c>
      <c r="AB82" s="44">
        <v>58.1</v>
      </c>
      <c r="AC82" s="44">
        <v>58.1</v>
      </c>
      <c r="AD82" s="44">
        <v>58.1</v>
      </c>
      <c r="AE82" s="44">
        <v>58.1</v>
      </c>
      <c r="AF82" s="44">
        <v>58.1</v>
      </c>
      <c r="AG82" s="64">
        <v>60</v>
      </c>
      <c r="AH82" s="46">
        <f t="shared" si="22"/>
        <v>58.3</v>
      </c>
      <c r="AI82" s="47">
        <f t="shared" si="23"/>
        <v>0</v>
      </c>
      <c r="AJ82" s="1"/>
      <c r="AK82" s="49"/>
      <c r="AL82" s="1"/>
      <c r="AM82" s="1"/>
      <c r="AN82" s="1"/>
      <c r="AO82" s="1"/>
      <c r="AY82" s="82" t="s">
        <v>105</v>
      </c>
      <c r="AZ82" s="81">
        <f>ROUND(C100,0)</f>
        <v>0</v>
      </c>
      <c r="BA82" s="80">
        <f t="shared" si="25"/>
        <v>0</v>
      </c>
      <c r="BB82" s="80">
        <f t="shared" si="25"/>
        <v>0</v>
      </c>
      <c r="BC82" s="80">
        <f t="shared" si="25"/>
        <v>0</v>
      </c>
      <c r="BD82" s="80">
        <f t="shared" si="25"/>
        <v>0</v>
      </c>
      <c r="BE82" s="81">
        <f>I100</f>
        <v>0</v>
      </c>
      <c r="BF82" s="81">
        <f>K100</f>
        <v>0</v>
      </c>
      <c r="BG82" s="81">
        <f t="shared" si="26"/>
        <v>0</v>
      </c>
      <c r="BH82" s="81">
        <f t="shared" si="26"/>
        <v>0</v>
      </c>
      <c r="BI82" s="81">
        <f t="shared" si="26"/>
        <v>0</v>
      </c>
      <c r="BJ82" s="81">
        <f t="shared" si="26"/>
        <v>0</v>
      </c>
      <c r="BK82" s="81">
        <f t="shared" si="26"/>
        <v>0</v>
      </c>
      <c r="BL82" s="81">
        <f t="shared" si="26"/>
        <v>0</v>
      </c>
      <c r="BM82" s="81">
        <f t="shared" si="26"/>
        <v>0</v>
      </c>
      <c r="BN82" s="81">
        <f t="shared" si="26"/>
        <v>0</v>
      </c>
      <c r="BO82" s="81">
        <f t="shared" si="26"/>
        <v>0</v>
      </c>
      <c r="BP82" s="81">
        <f t="shared" si="26"/>
        <v>0</v>
      </c>
      <c r="BQ82" s="81">
        <f>X100</f>
        <v>0</v>
      </c>
      <c r="BR82" s="81">
        <f>Z100</f>
        <v>0</v>
      </c>
      <c r="BS82" s="80">
        <f>AB100</f>
        <v>0</v>
      </c>
      <c r="BT82" s="80">
        <f t="shared" si="27"/>
        <v>0</v>
      </c>
      <c r="BU82" s="80">
        <f t="shared" si="27"/>
        <v>0</v>
      </c>
      <c r="BV82" s="80">
        <f t="shared" si="27"/>
        <v>0</v>
      </c>
      <c r="BW82" s="80">
        <f>B100</f>
        <v>0</v>
      </c>
    </row>
    <row r="83" spans="1:75" x14ac:dyDescent="0.25">
      <c r="A83" s="63" t="s">
        <v>106</v>
      </c>
      <c r="B83" s="44">
        <v>27.8</v>
      </c>
      <c r="C83" s="44">
        <v>27.8</v>
      </c>
      <c r="D83" s="44">
        <v>27.8</v>
      </c>
      <c r="E83" s="44">
        <v>27.8</v>
      </c>
      <c r="F83" s="44">
        <v>27.8</v>
      </c>
      <c r="G83" s="44">
        <v>27.8</v>
      </c>
      <c r="H83" s="44">
        <v>27.8</v>
      </c>
      <c r="I83" s="44">
        <v>27.8</v>
      </c>
      <c r="J83" s="44">
        <v>27.8</v>
      </c>
      <c r="K83" s="44">
        <v>27.8</v>
      </c>
      <c r="L83" s="44">
        <v>27.8</v>
      </c>
      <c r="M83" s="44">
        <v>28</v>
      </c>
      <c r="N83" s="44">
        <v>28</v>
      </c>
      <c r="O83" s="44">
        <v>27.9</v>
      </c>
      <c r="P83" s="44">
        <v>27.9</v>
      </c>
      <c r="Q83" s="44">
        <v>27.9</v>
      </c>
      <c r="R83" s="44">
        <v>24.6</v>
      </c>
      <c r="S83" s="44">
        <v>24.6</v>
      </c>
      <c r="T83" s="44">
        <v>27.4</v>
      </c>
      <c r="U83" s="44">
        <v>27.3</v>
      </c>
      <c r="V83" s="44">
        <v>27.3</v>
      </c>
      <c r="W83" s="44">
        <v>27.3</v>
      </c>
      <c r="X83" s="44">
        <v>18.399999999999999</v>
      </c>
      <c r="Y83" s="44">
        <v>19.3</v>
      </c>
      <c r="Z83" s="44">
        <v>19.399999999999999</v>
      </c>
      <c r="AA83" s="44">
        <v>27.7</v>
      </c>
      <c r="AB83" s="44">
        <v>27.6</v>
      </c>
      <c r="AC83" s="44">
        <v>27.6</v>
      </c>
      <c r="AD83" s="44">
        <v>27.6</v>
      </c>
      <c r="AE83" s="44">
        <v>23</v>
      </c>
      <c r="AF83" s="44">
        <v>23</v>
      </c>
      <c r="AG83" s="64">
        <v>30</v>
      </c>
      <c r="AH83" s="46">
        <f t="shared" si="22"/>
        <v>28</v>
      </c>
      <c r="AI83" s="47">
        <f t="shared" si="23"/>
        <v>18.399999999999999</v>
      </c>
      <c r="AK83" s="49"/>
      <c r="AY83" s="1" t="s">
        <v>107</v>
      </c>
      <c r="AZ83" s="81">
        <f>ROUND(C101,0)</f>
        <v>0</v>
      </c>
      <c r="BA83" s="80">
        <f t="shared" si="25"/>
        <v>0</v>
      </c>
      <c r="BB83" s="80">
        <f t="shared" si="25"/>
        <v>0</v>
      </c>
      <c r="BC83" s="80">
        <f t="shared" si="25"/>
        <v>0</v>
      </c>
      <c r="BD83" s="80">
        <f t="shared" si="25"/>
        <v>0</v>
      </c>
      <c r="BE83" s="81">
        <f>I101</f>
        <v>0</v>
      </c>
      <c r="BF83" s="81">
        <f>K101</f>
        <v>0</v>
      </c>
      <c r="BG83" s="81">
        <f t="shared" si="26"/>
        <v>0</v>
      </c>
      <c r="BH83" s="81">
        <f t="shared" si="26"/>
        <v>0</v>
      </c>
      <c r="BI83" s="81">
        <f t="shared" si="26"/>
        <v>0</v>
      </c>
      <c r="BJ83" s="81">
        <f t="shared" si="26"/>
        <v>0</v>
      </c>
      <c r="BK83" s="81">
        <f t="shared" si="26"/>
        <v>0</v>
      </c>
      <c r="BL83" s="81">
        <f t="shared" si="26"/>
        <v>0</v>
      </c>
      <c r="BM83" s="81">
        <f t="shared" si="26"/>
        <v>0</v>
      </c>
      <c r="BN83" s="81">
        <f t="shared" si="26"/>
        <v>0</v>
      </c>
      <c r="BO83" s="81">
        <f t="shared" si="26"/>
        <v>0</v>
      </c>
      <c r="BP83" s="81">
        <f t="shared" si="26"/>
        <v>0</v>
      </c>
      <c r="BQ83" s="81">
        <f>X101</f>
        <v>0</v>
      </c>
      <c r="BR83" s="81">
        <f>Z101</f>
        <v>0</v>
      </c>
      <c r="BS83" s="80">
        <f>AB101</f>
        <v>0</v>
      </c>
      <c r="BT83" s="80">
        <f t="shared" si="27"/>
        <v>0</v>
      </c>
      <c r="BU83" s="80">
        <f t="shared" si="27"/>
        <v>0</v>
      </c>
      <c r="BV83" s="80">
        <f t="shared" si="27"/>
        <v>0</v>
      </c>
      <c r="BW83" s="80">
        <f>B101</f>
        <v>0</v>
      </c>
    </row>
    <row r="84" spans="1:75" x14ac:dyDescent="0.25">
      <c r="A84" s="63" t="s">
        <v>108</v>
      </c>
      <c r="B84" s="44">
        <v>0</v>
      </c>
      <c r="C84" s="44">
        <v>0</v>
      </c>
      <c r="D84" s="44">
        <v>0</v>
      </c>
      <c r="E84" s="44">
        <v>0</v>
      </c>
      <c r="F84" s="44">
        <v>0</v>
      </c>
      <c r="G84" s="44">
        <v>0</v>
      </c>
      <c r="H84" s="44">
        <v>0</v>
      </c>
      <c r="I84" s="44">
        <v>0</v>
      </c>
      <c r="J84" s="44">
        <v>0.9</v>
      </c>
      <c r="K84" s="44">
        <v>0.7</v>
      </c>
      <c r="L84" s="44">
        <v>2.5</v>
      </c>
      <c r="M84" s="44">
        <v>6.3</v>
      </c>
      <c r="N84" s="44">
        <v>7.3</v>
      </c>
      <c r="O84" s="44">
        <v>17.2</v>
      </c>
      <c r="P84" s="44">
        <v>15.9</v>
      </c>
      <c r="Q84" s="44">
        <v>18</v>
      </c>
      <c r="R84" s="44">
        <v>16.100000000000001</v>
      </c>
      <c r="S84" s="44">
        <v>15.6</v>
      </c>
      <c r="T84" s="44">
        <v>14</v>
      </c>
      <c r="U84" s="44">
        <v>3</v>
      </c>
      <c r="V84" s="44">
        <v>0.3</v>
      </c>
      <c r="W84" s="44">
        <v>0.3</v>
      </c>
      <c r="X84" s="44">
        <v>0</v>
      </c>
      <c r="Y84" s="44">
        <v>0</v>
      </c>
      <c r="Z84" s="44">
        <v>0</v>
      </c>
      <c r="AA84" s="44">
        <v>0</v>
      </c>
      <c r="AB84" s="43">
        <v>0</v>
      </c>
      <c r="AC84" s="43">
        <v>0</v>
      </c>
      <c r="AD84" s="43">
        <v>0</v>
      </c>
      <c r="AE84" s="43">
        <v>0</v>
      </c>
      <c r="AF84" s="43">
        <v>0</v>
      </c>
      <c r="AG84" s="64">
        <v>25</v>
      </c>
      <c r="AH84" s="46">
        <f t="shared" si="22"/>
        <v>18</v>
      </c>
      <c r="AI84" s="47">
        <f t="shared" si="23"/>
        <v>0</v>
      </c>
      <c r="AK84" s="49"/>
      <c r="AY84" s="1" t="s">
        <v>109</v>
      </c>
      <c r="AZ84" s="81">
        <f>ROUND(C107,0)</f>
        <v>0</v>
      </c>
      <c r="BA84" s="81">
        <f>D107</f>
        <v>0</v>
      </c>
      <c r="BB84" s="81">
        <f>E107</f>
        <v>0</v>
      </c>
      <c r="BC84" s="81">
        <f>F107</f>
        <v>0</v>
      </c>
      <c r="BD84" s="81">
        <f>G107</f>
        <v>0</v>
      </c>
      <c r="BE84" s="81">
        <f>I107</f>
        <v>0</v>
      </c>
      <c r="BF84" s="81">
        <f>K107</f>
        <v>0</v>
      </c>
      <c r="BG84" s="81">
        <f t="shared" ref="BG84:BP84" si="28">M107</f>
        <v>0</v>
      </c>
      <c r="BH84" s="81">
        <f t="shared" si="28"/>
        <v>0</v>
      </c>
      <c r="BI84" s="81">
        <f t="shared" si="28"/>
        <v>0</v>
      </c>
      <c r="BJ84" s="81">
        <f t="shared" si="28"/>
        <v>0</v>
      </c>
      <c r="BK84" s="81">
        <f t="shared" si="28"/>
        <v>0</v>
      </c>
      <c r="BL84" s="81">
        <f t="shared" si="28"/>
        <v>0</v>
      </c>
      <c r="BM84" s="81">
        <f t="shared" si="28"/>
        <v>0</v>
      </c>
      <c r="BN84" s="81">
        <f t="shared" si="28"/>
        <v>0</v>
      </c>
      <c r="BO84" s="81">
        <f t="shared" si="28"/>
        <v>0</v>
      </c>
      <c r="BP84" s="81">
        <f t="shared" si="28"/>
        <v>0</v>
      </c>
      <c r="BQ84" s="81">
        <f>X107</f>
        <v>0</v>
      </c>
      <c r="BR84" s="81">
        <f>Z107</f>
        <v>0</v>
      </c>
      <c r="BS84" s="81">
        <f>AB107</f>
        <v>0</v>
      </c>
      <c r="BT84" s="81">
        <f>AD107</f>
        <v>0</v>
      </c>
      <c r="BU84" s="81">
        <f>AE107</f>
        <v>0</v>
      </c>
      <c r="BV84" s="81">
        <f>AF107</f>
        <v>0</v>
      </c>
      <c r="BW84" s="81">
        <f>B107</f>
        <v>0</v>
      </c>
    </row>
    <row r="85" spans="1:75" x14ac:dyDescent="0.25">
      <c r="A85" s="63" t="s">
        <v>110</v>
      </c>
      <c r="B85" s="43">
        <v>8.1</v>
      </c>
      <c r="C85" s="43">
        <v>8.1</v>
      </c>
      <c r="D85" s="43">
        <v>8.1</v>
      </c>
      <c r="E85" s="43">
        <v>8.1</v>
      </c>
      <c r="F85" s="43">
        <v>8.1</v>
      </c>
      <c r="G85" s="43">
        <v>8.1</v>
      </c>
      <c r="H85" s="43">
        <v>8.1</v>
      </c>
      <c r="I85" s="43">
        <v>8.1</v>
      </c>
      <c r="J85" s="43">
        <v>8.1</v>
      </c>
      <c r="K85" s="43">
        <v>8.1</v>
      </c>
      <c r="L85" s="43">
        <v>8.1</v>
      </c>
      <c r="M85" s="43">
        <v>8.1</v>
      </c>
      <c r="N85" s="43">
        <v>8.1</v>
      </c>
      <c r="O85" s="43">
        <v>8.1</v>
      </c>
      <c r="P85" s="43">
        <v>8.1</v>
      </c>
      <c r="Q85" s="43">
        <v>8.1</v>
      </c>
      <c r="R85" s="43">
        <v>8.1</v>
      </c>
      <c r="S85" s="43">
        <v>8.1</v>
      </c>
      <c r="T85" s="43">
        <v>8.1</v>
      </c>
      <c r="U85" s="43">
        <v>8.1</v>
      </c>
      <c r="V85" s="43">
        <v>8.1</v>
      </c>
      <c r="W85" s="43">
        <v>8.1</v>
      </c>
      <c r="X85" s="43">
        <v>8.1</v>
      </c>
      <c r="Y85" s="43">
        <v>8.1</v>
      </c>
      <c r="Z85" s="43">
        <v>8.1</v>
      </c>
      <c r="AA85" s="43">
        <v>8.1</v>
      </c>
      <c r="AB85" s="43">
        <v>8.1</v>
      </c>
      <c r="AC85" s="43">
        <v>8.1</v>
      </c>
      <c r="AD85" s="43">
        <v>8.1</v>
      </c>
      <c r="AE85" s="43">
        <v>8.1</v>
      </c>
      <c r="AF85" s="43">
        <v>8.1</v>
      </c>
      <c r="AG85" s="64">
        <v>24</v>
      </c>
      <c r="AH85" s="46">
        <f t="shared" si="22"/>
        <v>8.1</v>
      </c>
      <c r="AI85" s="47">
        <f t="shared" si="23"/>
        <v>8.1</v>
      </c>
      <c r="AK85" s="49"/>
      <c r="AZ85" s="81"/>
      <c r="BA85" s="80"/>
      <c r="BB85" s="80"/>
      <c r="BC85" s="80"/>
      <c r="BD85" s="80"/>
      <c r="BE85" s="81"/>
      <c r="BF85" s="81"/>
      <c r="BG85" s="81"/>
      <c r="BH85" s="81"/>
      <c r="BI85" s="81"/>
      <c r="BJ85" s="81"/>
      <c r="BK85" s="81"/>
      <c r="BL85" s="81"/>
      <c r="BM85" s="81"/>
      <c r="BN85" s="81"/>
      <c r="BO85" s="81"/>
      <c r="BP85" s="81"/>
      <c r="BQ85" s="81"/>
      <c r="BR85" s="81"/>
      <c r="BS85" s="80"/>
      <c r="BT85" s="80"/>
      <c r="BU85" s="80"/>
      <c r="BV85" s="80"/>
      <c r="BW85" s="80"/>
    </row>
    <row r="86" spans="1:75" x14ac:dyDescent="0.25">
      <c r="A86" s="63" t="s">
        <v>111</v>
      </c>
      <c r="B86" s="43">
        <v>2.9</v>
      </c>
      <c r="C86" s="43">
        <v>0</v>
      </c>
      <c r="D86" s="43">
        <v>0</v>
      </c>
      <c r="E86" s="43">
        <v>0</v>
      </c>
      <c r="F86" s="43">
        <v>0</v>
      </c>
      <c r="G86" s="43">
        <v>0</v>
      </c>
      <c r="H86" s="43">
        <v>0</v>
      </c>
      <c r="I86" s="43">
        <v>0</v>
      </c>
      <c r="J86" s="43">
        <v>0</v>
      </c>
      <c r="K86" s="43">
        <v>0</v>
      </c>
      <c r="L86" s="43">
        <v>0</v>
      </c>
      <c r="M86" s="43">
        <v>2.4</v>
      </c>
      <c r="N86" s="43">
        <v>2.4</v>
      </c>
      <c r="O86" s="43">
        <v>2.4</v>
      </c>
      <c r="P86" s="43">
        <v>2.4</v>
      </c>
      <c r="Q86" s="43">
        <v>2.4</v>
      </c>
      <c r="R86" s="43">
        <v>0</v>
      </c>
      <c r="S86" s="43">
        <v>2.5</v>
      </c>
      <c r="T86" s="43">
        <v>2.6</v>
      </c>
      <c r="U86" s="43">
        <v>2.6</v>
      </c>
      <c r="V86" s="43">
        <v>2.6</v>
      </c>
      <c r="W86" s="43">
        <v>2.6</v>
      </c>
      <c r="X86" s="43">
        <v>2.6</v>
      </c>
      <c r="Y86" s="43">
        <v>2.6</v>
      </c>
      <c r="Z86" s="43">
        <v>2.6</v>
      </c>
      <c r="AA86" s="43">
        <v>2.6</v>
      </c>
      <c r="AB86" s="43">
        <v>2.6</v>
      </c>
      <c r="AC86" s="43">
        <v>2.6</v>
      </c>
      <c r="AD86" s="43">
        <v>2.6</v>
      </c>
      <c r="AE86" s="43">
        <v>2.6</v>
      </c>
      <c r="AF86" s="43">
        <v>2.6</v>
      </c>
      <c r="AG86" s="64">
        <v>15</v>
      </c>
      <c r="AH86" s="46">
        <f t="shared" si="22"/>
        <v>2.9</v>
      </c>
      <c r="AI86" s="47">
        <f t="shared" si="23"/>
        <v>0</v>
      </c>
      <c r="AK86" s="49"/>
      <c r="AZ86" s="81">
        <f t="shared" ref="AZ86:BW91" si="29">VALUE(AZ79)</f>
        <v>-480</v>
      </c>
      <c r="BA86" s="81">
        <f t="shared" si="29"/>
        <v>-460</v>
      </c>
      <c r="BB86" s="81">
        <f t="shared" si="29"/>
        <v>-478</v>
      </c>
      <c r="BC86" s="81">
        <f t="shared" si="29"/>
        <v>-431.1</v>
      </c>
      <c r="BD86" s="81">
        <f t="shared" si="29"/>
        <v>-472</v>
      </c>
      <c r="BE86" s="81">
        <f t="shared" si="29"/>
        <v>-467.3</v>
      </c>
      <c r="BF86" s="81">
        <f t="shared" si="29"/>
        <v>-540</v>
      </c>
      <c r="BG86" s="81">
        <f t="shared" si="29"/>
        <v>-587.4</v>
      </c>
      <c r="BH86" s="81">
        <f t="shared" si="29"/>
        <v>-559.79999999999995</v>
      </c>
      <c r="BI86" s="81">
        <f t="shared" si="29"/>
        <v>-639.70000000000005</v>
      </c>
      <c r="BJ86" s="81">
        <f t="shared" si="29"/>
        <v>-673.5</v>
      </c>
      <c r="BK86" s="81">
        <f t="shared" si="29"/>
        <v>-649.79999999999995</v>
      </c>
      <c r="BL86" s="81">
        <f t="shared" si="29"/>
        <v>-650.70000000000005</v>
      </c>
      <c r="BM86" s="81">
        <f t="shared" si="29"/>
        <v>-625.20000000000005</v>
      </c>
      <c r="BN86" s="81">
        <f t="shared" si="29"/>
        <v>-574.20000000000005</v>
      </c>
      <c r="BO86" s="81">
        <f t="shared" si="29"/>
        <v>-602.1</v>
      </c>
      <c r="BP86" s="81">
        <f t="shared" si="29"/>
        <v>-604.20000000000005</v>
      </c>
      <c r="BQ86" s="81">
        <f t="shared" si="29"/>
        <v>-508.2</v>
      </c>
      <c r="BR86" s="81">
        <f t="shared" si="29"/>
        <v>-463.1</v>
      </c>
      <c r="BS86" s="81">
        <f t="shared" si="29"/>
        <v>-344.2</v>
      </c>
      <c r="BT86" s="81">
        <f t="shared" si="29"/>
        <v>-376.3</v>
      </c>
      <c r="BU86" s="81">
        <f t="shared" si="29"/>
        <v>-435.6</v>
      </c>
      <c r="BV86" s="81">
        <f t="shared" si="29"/>
        <v>-445.6</v>
      </c>
      <c r="BW86" s="81">
        <f t="shared" si="29"/>
        <v>-478</v>
      </c>
    </row>
    <row r="87" spans="1:75" x14ac:dyDescent="0.25">
      <c r="A87" s="63" t="s">
        <v>112</v>
      </c>
      <c r="B87" s="43">
        <v>8.9</v>
      </c>
      <c r="C87" s="43">
        <v>2.5</v>
      </c>
      <c r="D87" s="43">
        <v>2.5</v>
      </c>
      <c r="E87" s="43">
        <v>2.5</v>
      </c>
      <c r="F87" s="43">
        <v>2.5</v>
      </c>
      <c r="G87" s="43">
        <v>2.5</v>
      </c>
      <c r="H87" s="43">
        <v>2.5</v>
      </c>
      <c r="I87" s="43">
        <v>2.5</v>
      </c>
      <c r="J87" s="43">
        <v>2.5</v>
      </c>
      <c r="K87" s="43">
        <v>2.5</v>
      </c>
      <c r="L87" s="43">
        <v>2.5</v>
      </c>
      <c r="M87" s="43">
        <v>4.9000000000000004</v>
      </c>
      <c r="N87" s="43">
        <v>4.9000000000000004</v>
      </c>
      <c r="O87" s="43">
        <v>4.9000000000000004</v>
      </c>
      <c r="P87" s="43">
        <v>4.9000000000000004</v>
      </c>
      <c r="Q87" s="43">
        <v>4.9000000000000004</v>
      </c>
      <c r="R87" s="43">
        <v>4.9000000000000004</v>
      </c>
      <c r="S87" s="43">
        <v>6.2</v>
      </c>
      <c r="T87" s="43">
        <v>6.2</v>
      </c>
      <c r="U87" s="43">
        <v>6.2</v>
      </c>
      <c r="V87" s="43">
        <v>4.4000000000000004</v>
      </c>
      <c r="W87" s="43">
        <v>4.4000000000000004</v>
      </c>
      <c r="X87" s="43">
        <v>3.1</v>
      </c>
      <c r="Y87" s="43">
        <v>3.6</v>
      </c>
      <c r="Z87" s="43">
        <v>3.88</v>
      </c>
      <c r="AA87" s="43">
        <v>3.5</v>
      </c>
      <c r="AB87" s="43">
        <v>3.8</v>
      </c>
      <c r="AC87" s="43">
        <v>3.8</v>
      </c>
      <c r="AD87" s="43">
        <v>3.8</v>
      </c>
      <c r="AE87" s="43">
        <v>3.8</v>
      </c>
      <c r="AF87" s="43">
        <v>3.8</v>
      </c>
      <c r="AG87" s="64">
        <v>14.1</v>
      </c>
      <c r="AH87" s="46">
        <f t="shared" si="22"/>
        <v>8.9</v>
      </c>
      <c r="AI87" s="47">
        <f t="shared" si="23"/>
        <v>2.5</v>
      </c>
      <c r="AK87" s="49"/>
      <c r="AZ87" s="81">
        <f t="shared" si="29"/>
        <v>-188</v>
      </c>
      <c r="BA87" s="81">
        <f t="shared" si="29"/>
        <v>-170</v>
      </c>
      <c r="BB87" s="81">
        <f t="shared" si="29"/>
        <v>-203</v>
      </c>
      <c r="BC87" s="81">
        <f t="shared" si="29"/>
        <v>-172.3</v>
      </c>
      <c r="BD87" s="81">
        <f t="shared" si="29"/>
        <v>-172.4</v>
      </c>
      <c r="BE87" s="81">
        <f t="shared" si="29"/>
        <v>-128.19999999999999</v>
      </c>
      <c r="BF87" s="81">
        <f t="shared" si="29"/>
        <v>-140.4</v>
      </c>
      <c r="BG87" s="81">
        <f t="shared" si="29"/>
        <v>-201.5</v>
      </c>
      <c r="BH87" s="81">
        <f t="shared" si="29"/>
        <v>-200.7</v>
      </c>
      <c r="BI87" s="81">
        <f t="shared" si="29"/>
        <v>-178</v>
      </c>
      <c r="BJ87" s="81">
        <f t="shared" si="29"/>
        <v>-195.5</v>
      </c>
      <c r="BK87" s="81">
        <f t="shared" si="29"/>
        <v>-193.7</v>
      </c>
      <c r="BL87" s="81">
        <f t="shared" si="29"/>
        <v>-208.2</v>
      </c>
      <c r="BM87" s="81">
        <f t="shared" si="29"/>
        <v>-208.6</v>
      </c>
      <c r="BN87" s="81">
        <f t="shared" si="29"/>
        <v>-187</v>
      </c>
      <c r="BO87" s="81">
        <f t="shared" si="29"/>
        <v>-197</v>
      </c>
      <c r="BP87" s="81">
        <f t="shared" si="29"/>
        <v>-185.1</v>
      </c>
      <c r="BQ87" s="81">
        <f t="shared" si="29"/>
        <v>-160.1</v>
      </c>
      <c r="BR87" s="81">
        <f t="shared" si="29"/>
        <v>-168.1</v>
      </c>
      <c r="BS87" s="81">
        <f t="shared" si="29"/>
        <v>-189.8</v>
      </c>
      <c r="BT87" s="81">
        <f t="shared" si="29"/>
        <v>-182.3</v>
      </c>
      <c r="BU87" s="81">
        <f t="shared" si="29"/>
        <v>-189.6</v>
      </c>
      <c r="BV87" s="81">
        <f t="shared" si="29"/>
        <v>-190.6</v>
      </c>
      <c r="BW87" s="81">
        <f t="shared" si="29"/>
        <v>-203</v>
      </c>
    </row>
    <row r="88" spans="1:75" x14ac:dyDescent="0.25">
      <c r="A88" s="83" t="s">
        <v>113</v>
      </c>
      <c r="B88" s="43">
        <v>7.1</v>
      </c>
      <c r="C88" s="43">
        <v>7.1</v>
      </c>
      <c r="D88" s="43">
        <v>7.1</v>
      </c>
      <c r="E88" s="43">
        <v>7.1</v>
      </c>
      <c r="F88" s="43">
        <v>7.1</v>
      </c>
      <c r="G88" s="43">
        <v>7.1</v>
      </c>
      <c r="H88" s="43">
        <v>7.1</v>
      </c>
      <c r="I88" s="43">
        <v>7.1</v>
      </c>
      <c r="J88" s="43">
        <v>7.1</v>
      </c>
      <c r="K88" s="43">
        <v>7.1</v>
      </c>
      <c r="L88" s="43">
        <v>7.1</v>
      </c>
      <c r="M88" s="43">
        <v>7</v>
      </c>
      <c r="N88" s="43">
        <v>7</v>
      </c>
      <c r="O88" s="43">
        <v>7</v>
      </c>
      <c r="P88" s="43">
        <v>7</v>
      </c>
      <c r="Q88" s="43">
        <v>7</v>
      </c>
      <c r="R88" s="43">
        <v>7</v>
      </c>
      <c r="S88" s="43">
        <v>7</v>
      </c>
      <c r="T88" s="43">
        <v>7</v>
      </c>
      <c r="U88" s="43">
        <v>4.8</v>
      </c>
      <c r="V88" s="43">
        <v>5.7</v>
      </c>
      <c r="W88" s="43">
        <v>5.7</v>
      </c>
      <c r="X88" s="43">
        <v>5.7</v>
      </c>
      <c r="Y88" s="43">
        <v>5.7</v>
      </c>
      <c r="Z88" s="43">
        <v>6.8</v>
      </c>
      <c r="AA88" s="43">
        <v>6.5</v>
      </c>
      <c r="AB88" s="43">
        <v>6.6</v>
      </c>
      <c r="AC88" s="43">
        <v>6.6</v>
      </c>
      <c r="AD88" s="43">
        <v>6.6</v>
      </c>
      <c r="AE88" s="43">
        <v>6.6</v>
      </c>
      <c r="AF88" s="43">
        <v>6.6</v>
      </c>
      <c r="AG88" s="64">
        <v>14</v>
      </c>
      <c r="AH88" s="46">
        <f t="shared" si="22"/>
        <v>7.1</v>
      </c>
      <c r="AI88" s="47">
        <f t="shared" si="23"/>
        <v>4.8</v>
      </c>
      <c r="AK88" s="49"/>
      <c r="AZ88" s="81">
        <f t="shared" si="29"/>
        <v>0</v>
      </c>
      <c r="BA88" s="81">
        <f t="shared" si="29"/>
        <v>0</v>
      </c>
      <c r="BB88" s="81">
        <f t="shared" si="29"/>
        <v>0</v>
      </c>
      <c r="BC88" s="81">
        <f t="shared" si="29"/>
        <v>0</v>
      </c>
      <c r="BD88" s="81">
        <f t="shared" si="29"/>
        <v>0</v>
      </c>
      <c r="BE88" s="81">
        <f t="shared" si="29"/>
        <v>0</v>
      </c>
      <c r="BF88" s="81">
        <f t="shared" si="29"/>
        <v>0</v>
      </c>
      <c r="BG88" s="81">
        <f t="shared" si="29"/>
        <v>0</v>
      </c>
      <c r="BH88" s="81">
        <f t="shared" si="29"/>
        <v>0</v>
      </c>
      <c r="BI88" s="81">
        <f t="shared" si="29"/>
        <v>0</v>
      </c>
      <c r="BJ88" s="81">
        <f t="shared" si="29"/>
        <v>0</v>
      </c>
      <c r="BK88" s="81">
        <f t="shared" si="29"/>
        <v>0</v>
      </c>
      <c r="BL88" s="81">
        <f t="shared" si="29"/>
        <v>0</v>
      </c>
      <c r="BM88" s="81">
        <f t="shared" si="29"/>
        <v>0</v>
      </c>
      <c r="BN88" s="81">
        <f t="shared" si="29"/>
        <v>0</v>
      </c>
      <c r="BO88" s="81">
        <f t="shared" si="29"/>
        <v>0</v>
      </c>
      <c r="BP88" s="81">
        <f t="shared" si="29"/>
        <v>0</v>
      </c>
      <c r="BQ88" s="81">
        <f t="shared" si="29"/>
        <v>0</v>
      </c>
      <c r="BR88" s="81">
        <f t="shared" si="29"/>
        <v>0</v>
      </c>
      <c r="BS88" s="81">
        <f t="shared" si="29"/>
        <v>0</v>
      </c>
      <c r="BT88" s="81">
        <f t="shared" si="29"/>
        <v>0</v>
      </c>
      <c r="BU88" s="81">
        <f t="shared" si="29"/>
        <v>0</v>
      </c>
      <c r="BV88" s="81">
        <f t="shared" si="29"/>
        <v>0</v>
      </c>
      <c r="BW88" s="81">
        <f t="shared" si="29"/>
        <v>0</v>
      </c>
    </row>
    <row r="89" spans="1:75" x14ac:dyDescent="0.25">
      <c r="A89" s="63" t="s">
        <v>114</v>
      </c>
      <c r="B89" s="43">
        <v>8.8000000000000007</v>
      </c>
      <c r="C89" s="43">
        <v>8.8000000000000007</v>
      </c>
      <c r="D89" s="43">
        <v>8.8000000000000007</v>
      </c>
      <c r="E89" s="43">
        <v>8.8000000000000007</v>
      </c>
      <c r="F89" s="43">
        <v>8.8000000000000007</v>
      </c>
      <c r="G89" s="43">
        <v>8.8000000000000007</v>
      </c>
      <c r="H89" s="43">
        <v>8.8000000000000007</v>
      </c>
      <c r="I89" s="43">
        <v>8.8000000000000007</v>
      </c>
      <c r="J89" s="43">
        <v>8.8000000000000007</v>
      </c>
      <c r="K89" s="43">
        <v>8.8000000000000007</v>
      </c>
      <c r="L89" s="43">
        <v>8.8000000000000007</v>
      </c>
      <c r="M89" s="43">
        <v>8.8000000000000007</v>
      </c>
      <c r="N89" s="43">
        <v>8.8000000000000007</v>
      </c>
      <c r="O89" s="43">
        <v>8.8000000000000007</v>
      </c>
      <c r="P89" s="43">
        <v>8.8000000000000007</v>
      </c>
      <c r="Q89" s="43">
        <v>8.8000000000000007</v>
      </c>
      <c r="R89" s="43">
        <v>8.8000000000000007</v>
      </c>
      <c r="S89" s="43">
        <v>8.8000000000000007</v>
      </c>
      <c r="T89" s="43">
        <v>8.8000000000000007</v>
      </c>
      <c r="U89" s="43">
        <v>8.8000000000000007</v>
      </c>
      <c r="V89" s="43">
        <v>8.8000000000000007</v>
      </c>
      <c r="W89" s="43">
        <v>8.8000000000000007</v>
      </c>
      <c r="X89" s="43">
        <v>5.6</v>
      </c>
      <c r="Y89" s="43">
        <v>5.6</v>
      </c>
      <c r="Z89" s="43">
        <v>5.6</v>
      </c>
      <c r="AA89" s="43">
        <v>5.6</v>
      </c>
      <c r="AB89" s="43">
        <v>8.8000000000000007</v>
      </c>
      <c r="AC89" s="43">
        <v>8.8000000000000007</v>
      </c>
      <c r="AD89" s="43">
        <v>8.8000000000000007</v>
      </c>
      <c r="AE89" s="43">
        <v>8.8000000000000007</v>
      </c>
      <c r="AF89" s="43">
        <v>8.8000000000000007</v>
      </c>
      <c r="AG89" s="64">
        <v>10.050000000000001</v>
      </c>
      <c r="AH89" s="46">
        <f t="shared" si="22"/>
        <v>8.8000000000000007</v>
      </c>
      <c r="AI89" s="47">
        <f t="shared" si="23"/>
        <v>5.6</v>
      </c>
      <c r="AK89" s="49"/>
      <c r="AZ89" s="81">
        <f t="shared" si="29"/>
        <v>0</v>
      </c>
      <c r="BA89" s="81">
        <f t="shared" si="29"/>
        <v>0</v>
      </c>
      <c r="BB89" s="81">
        <f t="shared" si="29"/>
        <v>0</v>
      </c>
      <c r="BC89" s="81">
        <f t="shared" si="29"/>
        <v>0</v>
      </c>
      <c r="BD89" s="81">
        <f t="shared" si="29"/>
        <v>0</v>
      </c>
      <c r="BE89" s="81">
        <f t="shared" si="29"/>
        <v>0</v>
      </c>
      <c r="BF89" s="81">
        <f t="shared" si="29"/>
        <v>0</v>
      </c>
      <c r="BG89" s="81">
        <f t="shared" si="29"/>
        <v>0</v>
      </c>
      <c r="BH89" s="81">
        <f t="shared" si="29"/>
        <v>0</v>
      </c>
      <c r="BI89" s="81">
        <f t="shared" si="29"/>
        <v>0</v>
      </c>
      <c r="BJ89" s="81">
        <f t="shared" si="29"/>
        <v>0</v>
      </c>
      <c r="BK89" s="81">
        <f t="shared" si="29"/>
        <v>0</v>
      </c>
      <c r="BL89" s="81">
        <f t="shared" si="29"/>
        <v>0</v>
      </c>
      <c r="BM89" s="81">
        <f t="shared" si="29"/>
        <v>0</v>
      </c>
      <c r="BN89" s="81">
        <f t="shared" si="29"/>
        <v>0</v>
      </c>
      <c r="BO89" s="81">
        <f t="shared" si="29"/>
        <v>0</v>
      </c>
      <c r="BP89" s="81">
        <f t="shared" si="29"/>
        <v>0</v>
      </c>
      <c r="BQ89" s="81">
        <f t="shared" si="29"/>
        <v>0</v>
      </c>
      <c r="BR89" s="81">
        <f t="shared" si="29"/>
        <v>0</v>
      </c>
      <c r="BS89" s="81">
        <f t="shared" si="29"/>
        <v>0</v>
      </c>
      <c r="BT89" s="81">
        <f t="shared" si="29"/>
        <v>0</v>
      </c>
      <c r="BU89" s="81">
        <f t="shared" si="29"/>
        <v>0</v>
      </c>
      <c r="BV89" s="81">
        <f t="shared" si="29"/>
        <v>0</v>
      </c>
      <c r="BW89" s="81">
        <f t="shared" si="29"/>
        <v>0</v>
      </c>
    </row>
    <row r="90" spans="1:75" x14ac:dyDescent="0.25">
      <c r="A90" s="63" t="s">
        <v>115</v>
      </c>
      <c r="B90" s="43">
        <v>6.2</v>
      </c>
      <c r="C90" s="43">
        <v>6.2</v>
      </c>
      <c r="D90" s="43">
        <v>6.2</v>
      </c>
      <c r="E90" s="43">
        <v>6.2</v>
      </c>
      <c r="F90" s="43">
        <v>6.2</v>
      </c>
      <c r="G90" s="43">
        <v>6.2</v>
      </c>
      <c r="H90" s="43">
        <v>6.2</v>
      </c>
      <c r="I90" s="43">
        <v>6.2</v>
      </c>
      <c r="J90" s="43">
        <v>6.2</v>
      </c>
      <c r="K90" s="43">
        <v>6.2</v>
      </c>
      <c r="L90" s="43">
        <v>6.2</v>
      </c>
      <c r="M90" s="43">
        <v>6.2</v>
      </c>
      <c r="N90" s="43">
        <v>6.2</v>
      </c>
      <c r="O90" s="43">
        <v>6.2</v>
      </c>
      <c r="P90" s="43">
        <v>6.2</v>
      </c>
      <c r="Q90" s="43">
        <v>6.2</v>
      </c>
      <c r="R90" s="43">
        <v>6.2</v>
      </c>
      <c r="S90" s="43">
        <v>6.2</v>
      </c>
      <c r="T90" s="43">
        <v>6.2</v>
      </c>
      <c r="U90" s="43">
        <v>6.2</v>
      </c>
      <c r="V90" s="43">
        <v>6.2</v>
      </c>
      <c r="W90" s="43">
        <v>6.2</v>
      </c>
      <c r="X90" s="43">
        <v>6.2</v>
      </c>
      <c r="Y90" s="43">
        <v>6.2</v>
      </c>
      <c r="Z90" s="43">
        <v>6.2</v>
      </c>
      <c r="AA90" s="43">
        <v>6.2</v>
      </c>
      <c r="AB90" s="43">
        <v>6.2</v>
      </c>
      <c r="AC90" s="43">
        <v>6.2</v>
      </c>
      <c r="AD90" s="43">
        <v>6.2</v>
      </c>
      <c r="AE90" s="43">
        <v>6.2</v>
      </c>
      <c r="AF90" s="43">
        <v>6.2</v>
      </c>
      <c r="AG90" s="64">
        <v>6.2</v>
      </c>
      <c r="AH90" s="46">
        <f t="shared" si="22"/>
        <v>6.2</v>
      </c>
      <c r="AI90" s="47">
        <f t="shared" si="23"/>
        <v>6.2</v>
      </c>
      <c r="AK90" s="49"/>
      <c r="AZ90" s="81">
        <f t="shared" si="29"/>
        <v>0</v>
      </c>
      <c r="BA90" s="81">
        <f t="shared" si="29"/>
        <v>0</v>
      </c>
      <c r="BB90" s="81">
        <f t="shared" si="29"/>
        <v>0</v>
      </c>
      <c r="BC90" s="81">
        <f t="shared" si="29"/>
        <v>0</v>
      </c>
      <c r="BD90" s="81">
        <f t="shared" si="29"/>
        <v>0</v>
      </c>
      <c r="BE90" s="81">
        <f t="shared" si="29"/>
        <v>0</v>
      </c>
      <c r="BF90" s="81">
        <f t="shared" si="29"/>
        <v>0</v>
      </c>
      <c r="BG90" s="81">
        <f t="shared" si="29"/>
        <v>0</v>
      </c>
      <c r="BH90" s="81">
        <f t="shared" si="29"/>
        <v>0</v>
      </c>
      <c r="BI90" s="81">
        <f t="shared" si="29"/>
        <v>0</v>
      </c>
      <c r="BJ90" s="81">
        <f t="shared" si="29"/>
        <v>0</v>
      </c>
      <c r="BK90" s="81">
        <f t="shared" si="29"/>
        <v>0</v>
      </c>
      <c r="BL90" s="81">
        <f t="shared" si="29"/>
        <v>0</v>
      </c>
      <c r="BM90" s="81">
        <f t="shared" si="29"/>
        <v>0</v>
      </c>
      <c r="BN90" s="81">
        <f t="shared" si="29"/>
        <v>0</v>
      </c>
      <c r="BO90" s="81">
        <f t="shared" si="29"/>
        <v>0</v>
      </c>
      <c r="BP90" s="81">
        <f t="shared" si="29"/>
        <v>0</v>
      </c>
      <c r="BQ90" s="81">
        <f t="shared" si="29"/>
        <v>0</v>
      </c>
      <c r="BR90" s="81">
        <f t="shared" si="29"/>
        <v>0</v>
      </c>
      <c r="BS90" s="81">
        <f t="shared" si="29"/>
        <v>0</v>
      </c>
      <c r="BT90" s="81">
        <f t="shared" si="29"/>
        <v>0</v>
      </c>
      <c r="BU90" s="81">
        <f t="shared" si="29"/>
        <v>0</v>
      </c>
      <c r="BV90" s="81">
        <f t="shared" si="29"/>
        <v>0</v>
      </c>
      <c r="BW90" s="81">
        <f t="shared" si="29"/>
        <v>0</v>
      </c>
    </row>
    <row r="91" spans="1:75" ht="15.75" thickBot="1" x14ac:dyDescent="0.3">
      <c r="A91" s="65" t="s">
        <v>116</v>
      </c>
      <c r="B91" s="84">
        <v>2</v>
      </c>
      <c r="C91" s="84">
        <v>2</v>
      </c>
      <c r="D91" s="84">
        <v>2</v>
      </c>
      <c r="E91" s="84">
        <v>2</v>
      </c>
      <c r="F91" s="84">
        <v>2</v>
      </c>
      <c r="G91" s="84">
        <v>2</v>
      </c>
      <c r="H91" s="84">
        <v>2</v>
      </c>
      <c r="I91" s="84">
        <v>2</v>
      </c>
      <c r="J91" s="84">
        <v>2</v>
      </c>
      <c r="K91" s="84">
        <v>2</v>
      </c>
      <c r="L91" s="84">
        <v>2</v>
      </c>
      <c r="M91" s="84">
        <v>2</v>
      </c>
      <c r="N91" s="84">
        <v>2</v>
      </c>
      <c r="O91" s="84">
        <v>2</v>
      </c>
      <c r="P91" s="84">
        <v>2</v>
      </c>
      <c r="Q91" s="84">
        <v>2</v>
      </c>
      <c r="R91" s="84">
        <v>2</v>
      </c>
      <c r="S91" s="84">
        <v>2</v>
      </c>
      <c r="T91" s="84">
        <v>2</v>
      </c>
      <c r="U91" s="84">
        <v>2</v>
      </c>
      <c r="V91" s="84">
        <v>2</v>
      </c>
      <c r="W91" s="84">
        <v>2</v>
      </c>
      <c r="X91" s="84">
        <v>2</v>
      </c>
      <c r="Y91" s="84">
        <v>2</v>
      </c>
      <c r="Z91" s="84">
        <v>2</v>
      </c>
      <c r="AA91" s="84">
        <v>2</v>
      </c>
      <c r="AB91" s="84">
        <v>2</v>
      </c>
      <c r="AC91" s="84">
        <v>2</v>
      </c>
      <c r="AD91" s="84">
        <v>2</v>
      </c>
      <c r="AE91" s="84">
        <v>2</v>
      </c>
      <c r="AF91" s="84">
        <v>2</v>
      </c>
      <c r="AG91" s="85">
        <f>AG168</f>
        <v>8.56</v>
      </c>
      <c r="AH91" s="46">
        <f t="shared" si="22"/>
        <v>2</v>
      </c>
      <c r="AI91" s="47">
        <f t="shared" si="23"/>
        <v>2</v>
      </c>
      <c r="AK91" s="49"/>
      <c r="AZ91" s="81">
        <f t="shared" si="29"/>
        <v>0</v>
      </c>
      <c r="BA91" s="81">
        <f t="shared" si="29"/>
        <v>0</v>
      </c>
      <c r="BB91" s="81">
        <f t="shared" si="29"/>
        <v>0</v>
      </c>
      <c r="BC91" s="81">
        <f t="shared" si="29"/>
        <v>0</v>
      </c>
      <c r="BD91" s="81">
        <f t="shared" si="29"/>
        <v>0</v>
      </c>
      <c r="BE91" s="81">
        <f t="shared" si="29"/>
        <v>0</v>
      </c>
      <c r="BF91" s="81">
        <f t="shared" si="29"/>
        <v>0</v>
      </c>
      <c r="BG91" s="81">
        <f t="shared" si="29"/>
        <v>0</v>
      </c>
      <c r="BH91" s="81">
        <f t="shared" si="29"/>
        <v>0</v>
      </c>
      <c r="BI91" s="81">
        <f t="shared" si="29"/>
        <v>0</v>
      </c>
      <c r="BJ91" s="81">
        <f t="shared" si="29"/>
        <v>0</v>
      </c>
      <c r="BK91" s="81">
        <f t="shared" si="29"/>
        <v>0</v>
      </c>
      <c r="BL91" s="81">
        <f t="shared" si="29"/>
        <v>0</v>
      </c>
      <c r="BM91" s="81">
        <f t="shared" si="29"/>
        <v>0</v>
      </c>
      <c r="BN91" s="81">
        <f t="shared" si="29"/>
        <v>0</v>
      </c>
      <c r="BO91" s="81">
        <f t="shared" si="29"/>
        <v>0</v>
      </c>
      <c r="BP91" s="81">
        <f t="shared" si="29"/>
        <v>0</v>
      </c>
      <c r="BQ91" s="81">
        <f t="shared" si="29"/>
        <v>0</v>
      </c>
      <c r="BR91" s="81">
        <f t="shared" si="29"/>
        <v>0</v>
      </c>
      <c r="BS91" s="81">
        <f t="shared" si="29"/>
        <v>0</v>
      </c>
      <c r="BT91" s="81">
        <f t="shared" si="29"/>
        <v>0</v>
      </c>
      <c r="BU91" s="81">
        <f t="shared" si="29"/>
        <v>0</v>
      </c>
      <c r="BV91" s="81">
        <f t="shared" si="29"/>
        <v>0</v>
      </c>
      <c r="BW91" s="81">
        <f t="shared" si="29"/>
        <v>0</v>
      </c>
    </row>
    <row r="92" spans="1:75" ht="15.75" thickBot="1" x14ac:dyDescent="0.3">
      <c r="A92" s="86" t="s">
        <v>117</v>
      </c>
      <c r="B92" s="69">
        <f>SUM(B79:B91)</f>
        <v>404.9</v>
      </c>
      <c r="C92" s="69">
        <f t="shared" ref="C92:AG92" si="30">SUM(C79:C91)</f>
        <v>316.40000000000003</v>
      </c>
      <c r="D92" s="69">
        <f t="shared" si="30"/>
        <v>316.40000000000003</v>
      </c>
      <c r="E92" s="69">
        <f t="shared" si="30"/>
        <v>316.40000000000003</v>
      </c>
      <c r="F92" s="69">
        <f t="shared" si="30"/>
        <v>316.40000000000003</v>
      </c>
      <c r="G92" s="69">
        <f t="shared" si="30"/>
        <v>316.40000000000003</v>
      </c>
      <c r="H92" s="69">
        <f t="shared" si="30"/>
        <v>332.40000000000003</v>
      </c>
      <c r="I92" s="69">
        <f t="shared" si="30"/>
        <v>332.40000000000003</v>
      </c>
      <c r="J92" s="69">
        <f t="shared" si="30"/>
        <v>333.3</v>
      </c>
      <c r="K92" s="69">
        <f t="shared" si="30"/>
        <v>343.1</v>
      </c>
      <c r="L92" s="69">
        <f t="shared" si="30"/>
        <v>353.20000000000005</v>
      </c>
      <c r="M92" s="69">
        <f t="shared" si="30"/>
        <v>367.7</v>
      </c>
      <c r="N92" s="69">
        <f t="shared" si="30"/>
        <v>368.7</v>
      </c>
      <c r="O92" s="69">
        <f t="shared" si="30"/>
        <v>410.29999999999995</v>
      </c>
      <c r="P92" s="69">
        <f t="shared" si="30"/>
        <v>409.39999999999992</v>
      </c>
      <c r="Q92" s="69">
        <f t="shared" si="30"/>
        <v>398.39999999999992</v>
      </c>
      <c r="R92" s="69">
        <f t="shared" si="30"/>
        <v>333.40000000000003</v>
      </c>
      <c r="S92" s="69">
        <f t="shared" si="30"/>
        <v>374.90000000000003</v>
      </c>
      <c r="T92" s="69">
        <f t="shared" si="30"/>
        <v>415.2</v>
      </c>
      <c r="U92" s="69">
        <f t="shared" si="30"/>
        <v>403.70000000000005</v>
      </c>
      <c r="V92" s="69">
        <f t="shared" si="30"/>
        <v>389.3</v>
      </c>
      <c r="W92" s="69">
        <f t="shared" si="30"/>
        <v>389.3</v>
      </c>
      <c r="X92" s="69">
        <f t="shared" si="30"/>
        <v>333.30000000000007</v>
      </c>
      <c r="Y92" s="69">
        <f t="shared" si="30"/>
        <v>345.05000000000007</v>
      </c>
      <c r="Z92" s="69">
        <f t="shared" si="30"/>
        <v>389.18000000000006</v>
      </c>
      <c r="AA92" s="69">
        <f t="shared" si="30"/>
        <v>396.6</v>
      </c>
      <c r="AB92" s="69">
        <f t="shared" si="30"/>
        <v>401.2000000000001</v>
      </c>
      <c r="AC92" s="69">
        <f t="shared" si="30"/>
        <v>401.2000000000001</v>
      </c>
      <c r="AD92" s="69">
        <f t="shared" si="30"/>
        <v>401.2000000000001</v>
      </c>
      <c r="AE92" s="69">
        <f t="shared" si="30"/>
        <v>396.60000000000008</v>
      </c>
      <c r="AF92" s="69">
        <f t="shared" si="30"/>
        <v>396.60000000000008</v>
      </c>
      <c r="AG92" s="79">
        <f t="shared" si="30"/>
        <v>489.91</v>
      </c>
      <c r="AH92" s="46">
        <f t="shared" si="22"/>
        <v>415.2</v>
      </c>
      <c r="AI92" s="47">
        <f t="shared" si="23"/>
        <v>316.40000000000003</v>
      </c>
      <c r="AK92" s="49"/>
      <c r="AY92" s="81"/>
    </row>
    <row r="93" spans="1:75" x14ac:dyDescent="0.25">
      <c r="A93" s="42" t="s">
        <v>118</v>
      </c>
      <c r="B93" s="44"/>
      <c r="C93" s="44"/>
      <c r="D93" s="44"/>
      <c r="E93" s="44"/>
      <c r="F93" s="44"/>
      <c r="G93" s="44"/>
      <c r="H93" s="44"/>
      <c r="I93" s="44"/>
      <c r="J93" s="44"/>
      <c r="K93" s="44"/>
      <c r="L93" s="44"/>
      <c r="M93" s="4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  <c r="AC93" s="44"/>
      <c r="AD93" s="44"/>
      <c r="AE93" s="44"/>
      <c r="AF93" s="44"/>
      <c r="AG93" s="61">
        <v>60</v>
      </c>
      <c r="AH93" s="46">
        <f t="shared" si="22"/>
        <v>0</v>
      </c>
      <c r="AI93" s="47">
        <f t="shared" si="23"/>
        <v>0</v>
      </c>
      <c r="AK93" s="49"/>
      <c r="AY93" s="81"/>
      <c r="BF93" s="81"/>
      <c r="BG93" s="81"/>
      <c r="BH93" s="81"/>
      <c r="BI93" s="81"/>
      <c r="BJ93" s="81"/>
      <c r="BK93" s="81"/>
    </row>
    <row r="94" spans="1:75" x14ac:dyDescent="0.25">
      <c r="A94" s="63" t="s">
        <v>119</v>
      </c>
      <c r="B94" s="43"/>
      <c r="C94" s="43"/>
      <c r="D94" s="43"/>
      <c r="E94" s="43"/>
      <c r="F94" s="43"/>
      <c r="G94" s="43"/>
      <c r="H94" s="43"/>
      <c r="I94" s="43"/>
      <c r="J94" s="43"/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  <c r="Y94" s="43"/>
      <c r="Z94" s="43"/>
      <c r="AA94" s="43"/>
      <c r="AB94" s="43"/>
      <c r="AC94" s="43"/>
      <c r="AD94" s="43"/>
      <c r="AE94" s="43"/>
      <c r="AF94" s="43"/>
      <c r="AG94" s="64">
        <v>32</v>
      </c>
      <c r="AH94" s="46">
        <f t="shared" si="22"/>
        <v>0</v>
      </c>
      <c r="AI94" s="47">
        <f t="shared" si="23"/>
        <v>0</v>
      </c>
      <c r="AK94" s="49"/>
      <c r="AY94" s="81"/>
      <c r="BF94" s="80"/>
      <c r="BG94" s="80"/>
      <c r="BH94" s="80"/>
      <c r="BI94" s="80"/>
      <c r="BJ94" s="80"/>
      <c r="BK94" s="81"/>
    </row>
    <row r="95" spans="1:75" ht="15.75" thickBot="1" x14ac:dyDescent="0.3">
      <c r="A95" s="83" t="s">
        <v>120</v>
      </c>
      <c r="B95" s="76"/>
      <c r="C95" s="76"/>
      <c r="D95" s="76"/>
      <c r="E95" s="76"/>
      <c r="F95" s="76"/>
      <c r="G95" s="76"/>
      <c r="H95" s="76"/>
      <c r="I95" s="76"/>
      <c r="J95" s="76"/>
      <c r="K95" s="76"/>
      <c r="L95" s="76"/>
      <c r="M95" s="76"/>
      <c r="N95" s="76"/>
      <c r="O95" s="76"/>
      <c r="P95" s="76"/>
      <c r="Q95" s="76"/>
      <c r="R95" s="76"/>
      <c r="S95" s="76"/>
      <c r="T95" s="76"/>
      <c r="U95" s="76"/>
      <c r="V95" s="76"/>
      <c r="W95" s="76"/>
      <c r="X95" s="76"/>
      <c r="Y95" s="76"/>
      <c r="Z95" s="76"/>
      <c r="AA95" s="76"/>
      <c r="AB95" s="76"/>
      <c r="AC95" s="76"/>
      <c r="AD95" s="76"/>
      <c r="AE95" s="76"/>
      <c r="AF95" s="76"/>
      <c r="AG95" s="77">
        <v>14</v>
      </c>
      <c r="AH95" s="46">
        <f t="shared" si="22"/>
        <v>0</v>
      </c>
      <c r="AI95" s="47">
        <f t="shared" si="23"/>
        <v>0</v>
      </c>
      <c r="AK95" s="49"/>
      <c r="AY95" s="81"/>
      <c r="BF95" s="80"/>
      <c r="BG95" s="81">
        <f t="array" ref="BG95:BL118">TRANSPOSE(AZ79:BW84)</f>
        <v>-480</v>
      </c>
      <c r="BH95" s="81">
        <v>-188</v>
      </c>
      <c r="BI95" s="81">
        <v>0</v>
      </c>
      <c r="BJ95" s="81">
        <v>0</v>
      </c>
      <c r="BK95" s="81">
        <v>0</v>
      </c>
      <c r="BL95" s="81">
        <v>0</v>
      </c>
    </row>
    <row r="96" spans="1:75" ht="15.75" thickBot="1" x14ac:dyDescent="0.3">
      <c r="A96" s="86" t="s">
        <v>121</v>
      </c>
      <c r="B96" s="69">
        <f>B93+B94+B95</f>
        <v>0</v>
      </c>
      <c r="C96" s="69">
        <f t="shared" ref="C96:AF96" si="31">C93+C94+C95</f>
        <v>0</v>
      </c>
      <c r="D96" s="69">
        <f t="shared" si="31"/>
        <v>0</v>
      </c>
      <c r="E96" s="69">
        <f t="shared" si="31"/>
        <v>0</v>
      </c>
      <c r="F96" s="69">
        <f t="shared" si="31"/>
        <v>0</v>
      </c>
      <c r="G96" s="69">
        <f t="shared" si="31"/>
        <v>0</v>
      </c>
      <c r="H96" s="69">
        <f t="shared" si="31"/>
        <v>0</v>
      </c>
      <c r="I96" s="69">
        <f t="shared" si="31"/>
        <v>0</v>
      </c>
      <c r="J96" s="69">
        <f t="shared" si="31"/>
        <v>0</v>
      </c>
      <c r="K96" s="69">
        <f t="shared" si="31"/>
        <v>0</v>
      </c>
      <c r="L96" s="69">
        <f t="shared" si="31"/>
        <v>0</v>
      </c>
      <c r="M96" s="69">
        <f t="shared" si="31"/>
        <v>0</v>
      </c>
      <c r="N96" s="69">
        <f t="shared" si="31"/>
        <v>0</v>
      </c>
      <c r="O96" s="69">
        <f t="shared" si="31"/>
        <v>0</v>
      </c>
      <c r="P96" s="69">
        <f t="shared" si="31"/>
        <v>0</v>
      </c>
      <c r="Q96" s="69">
        <f t="shared" si="31"/>
        <v>0</v>
      </c>
      <c r="R96" s="69">
        <f t="shared" si="31"/>
        <v>0</v>
      </c>
      <c r="S96" s="69">
        <f t="shared" si="31"/>
        <v>0</v>
      </c>
      <c r="T96" s="69">
        <f t="shared" si="31"/>
        <v>0</v>
      </c>
      <c r="U96" s="69">
        <f t="shared" si="31"/>
        <v>0</v>
      </c>
      <c r="V96" s="69">
        <f t="shared" si="31"/>
        <v>0</v>
      </c>
      <c r="W96" s="69">
        <f t="shared" si="31"/>
        <v>0</v>
      </c>
      <c r="X96" s="69">
        <f t="shared" si="31"/>
        <v>0</v>
      </c>
      <c r="Y96" s="69">
        <f t="shared" si="31"/>
        <v>0</v>
      </c>
      <c r="Z96" s="69">
        <f t="shared" si="31"/>
        <v>0</v>
      </c>
      <c r="AA96" s="69">
        <f t="shared" si="31"/>
        <v>0</v>
      </c>
      <c r="AB96" s="69">
        <f t="shared" si="31"/>
        <v>0</v>
      </c>
      <c r="AC96" s="69">
        <f t="shared" si="31"/>
        <v>0</v>
      </c>
      <c r="AD96" s="69">
        <f t="shared" si="31"/>
        <v>0</v>
      </c>
      <c r="AE96" s="69">
        <f t="shared" si="31"/>
        <v>0</v>
      </c>
      <c r="AF96" s="69">
        <f t="shared" si="31"/>
        <v>0</v>
      </c>
      <c r="AG96" s="79">
        <f>SUM(AG93:AG95)</f>
        <v>106</v>
      </c>
      <c r="AH96" s="46">
        <f t="shared" si="22"/>
        <v>0</v>
      </c>
      <c r="AI96" s="47">
        <f t="shared" si="23"/>
        <v>0</v>
      </c>
      <c r="AK96" s="49"/>
      <c r="AY96" s="81"/>
      <c r="BF96" s="80"/>
      <c r="BG96" s="81">
        <v>-460</v>
      </c>
      <c r="BH96" s="81">
        <v>-170</v>
      </c>
      <c r="BI96" s="81">
        <v>0</v>
      </c>
      <c r="BJ96" s="81">
        <v>0</v>
      </c>
      <c r="BK96" s="81">
        <v>0</v>
      </c>
      <c r="BL96" s="81">
        <v>0</v>
      </c>
    </row>
    <row r="97" spans="1:64" x14ac:dyDescent="0.25">
      <c r="A97" s="42" t="s">
        <v>122</v>
      </c>
      <c r="B97" s="44">
        <v>-478</v>
      </c>
      <c r="C97" s="44">
        <v>-480</v>
      </c>
      <c r="D97" s="44">
        <v>-460</v>
      </c>
      <c r="E97" s="44">
        <v>-478</v>
      </c>
      <c r="F97" s="44">
        <v>-431.1</v>
      </c>
      <c r="G97" s="44">
        <v>-472</v>
      </c>
      <c r="H97" s="44">
        <v>-505.9</v>
      </c>
      <c r="I97" s="44">
        <v>-467.3</v>
      </c>
      <c r="J97" s="44">
        <v>-512.70000000000005</v>
      </c>
      <c r="K97" s="44">
        <v>-540</v>
      </c>
      <c r="L97" s="44">
        <v>-553</v>
      </c>
      <c r="M97" s="44">
        <v>-587.4</v>
      </c>
      <c r="N97" s="44">
        <v>-559.79999999999995</v>
      </c>
      <c r="O97" s="44">
        <v>-639.70000000000005</v>
      </c>
      <c r="P97" s="44">
        <v>-673.5</v>
      </c>
      <c r="Q97" s="44">
        <v>-649.79999999999995</v>
      </c>
      <c r="R97" s="44">
        <v>-650.70000000000005</v>
      </c>
      <c r="S97" s="44">
        <v>-625.20000000000005</v>
      </c>
      <c r="T97" s="44">
        <v>-574.20000000000005</v>
      </c>
      <c r="U97" s="44">
        <v>-602.1</v>
      </c>
      <c r="V97" s="44">
        <v>-604.20000000000005</v>
      </c>
      <c r="W97" s="44">
        <v>-565.5</v>
      </c>
      <c r="X97" s="44">
        <v>-508.2</v>
      </c>
      <c r="Y97" s="44">
        <v>-535.29999999999995</v>
      </c>
      <c r="Z97" s="44">
        <v>-463.1</v>
      </c>
      <c r="AA97" s="44">
        <v>-374.4</v>
      </c>
      <c r="AB97" s="44">
        <v>-344.2</v>
      </c>
      <c r="AC97" s="44">
        <v>-376.3</v>
      </c>
      <c r="AD97" s="44">
        <v>-376.3</v>
      </c>
      <c r="AE97" s="44">
        <v>-435.6</v>
      </c>
      <c r="AF97" s="44">
        <v>-445.6</v>
      </c>
      <c r="AG97" s="61"/>
      <c r="AH97" s="46">
        <f t="shared" si="22"/>
        <v>-344.2</v>
      </c>
      <c r="AI97" s="47">
        <f t="shared" si="23"/>
        <v>-673.5</v>
      </c>
      <c r="AK97" s="49"/>
      <c r="AY97" s="81"/>
      <c r="BF97" s="80"/>
      <c r="BG97" s="81">
        <v>-478</v>
      </c>
      <c r="BH97" s="81">
        <v>-203</v>
      </c>
      <c r="BI97" s="81">
        <v>0</v>
      </c>
      <c r="BJ97" s="81">
        <v>0</v>
      </c>
      <c r="BK97" s="81">
        <v>0</v>
      </c>
      <c r="BL97" s="81">
        <v>0</v>
      </c>
    </row>
    <row r="98" spans="1:64" ht="15.75" thickBot="1" x14ac:dyDescent="0.3">
      <c r="A98" s="63" t="s">
        <v>123</v>
      </c>
      <c r="B98" s="43">
        <v>-203</v>
      </c>
      <c r="C98" s="43">
        <v>-188</v>
      </c>
      <c r="D98" s="43">
        <v>-170</v>
      </c>
      <c r="E98" s="43">
        <v>-203</v>
      </c>
      <c r="F98" s="43">
        <v>-172.3</v>
      </c>
      <c r="G98" s="43">
        <v>-172.4</v>
      </c>
      <c r="H98" s="43">
        <v>-157.5</v>
      </c>
      <c r="I98" s="43">
        <v>-128.19999999999999</v>
      </c>
      <c r="J98" s="43">
        <v>-138.19999999999999</v>
      </c>
      <c r="K98" s="43">
        <v>-140.4</v>
      </c>
      <c r="L98" s="43">
        <v>-205.2</v>
      </c>
      <c r="M98" s="43">
        <v>-201.5</v>
      </c>
      <c r="N98" s="43">
        <v>-200.7</v>
      </c>
      <c r="O98" s="43">
        <v>-178</v>
      </c>
      <c r="P98" s="43">
        <v>-195.5</v>
      </c>
      <c r="Q98" s="43">
        <v>-193.7</v>
      </c>
      <c r="R98" s="43">
        <v>-208.2</v>
      </c>
      <c r="S98" s="43">
        <v>-208.6</v>
      </c>
      <c r="T98" s="43">
        <v>-187</v>
      </c>
      <c r="U98" s="43">
        <v>-197</v>
      </c>
      <c r="V98" s="43">
        <v>-185.1</v>
      </c>
      <c r="W98" s="43">
        <v>-157</v>
      </c>
      <c r="X98" s="43">
        <v>-160.1</v>
      </c>
      <c r="Y98" s="43">
        <v>-166.7</v>
      </c>
      <c r="Z98" s="43">
        <v>-168.1</v>
      </c>
      <c r="AA98" s="43">
        <v>-154.9</v>
      </c>
      <c r="AB98" s="43">
        <v>-189.8</v>
      </c>
      <c r="AC98" s="43">
        <v>-186.3</v>
      </c>
      <c r="AD98" s="43">
        <v>-182.3</v>
      </c>
      <c r="AE98" s="43">
        <v>-189.6</v>
      </c>
      <c r="AF98" s="43">
        <v>-190.6</v>
      </c>
      <c r="AG98" s="64"/>
      <c r="AH98" s="46">
        <f t="shared" si="22"/>
        <v>-128.19999999999999</v>
      </c>
      <c r="AI98" s="47">
        <f t="shared" si="23"/>
        <v>-208.6</v>
      </c>
      <c r="AK98" s="49"/>
      <c r="AL98" s="87" t="s">
        <v>124</v>
      </c>
      <c r="AM98" s="87"/>
      <c r="AY98" s="81"/>
      <c r="BF98" s="81"/>
      <c r="BG98" s="81">
        <v>-431.1</v>
      </c>
      <c r="BH98" s="81">
        <v>-172.3</v>
      </c>
      <c r="BI98" s="81">
        <v>0</v>
      </c>
      <c r="BJ98" s="81">
        <v>0</v>
      </c>
      <c r="BK98" s="81">
        <v>0</v>
      </c>
      <c r="BL98" s="81">
        <v>0</v>
      </c>
    </row>
    <row r="99" spans="1:64" x14ac:dyDescent="0.25">
      <c r="A99" s="63" t="s">
        <v>125</v>
      </c>
      <c r="B99" s="43"/>
      <c r="C99" s="43"/>
      <c r="D99" s="43"/>
      <c r="E99" s="43"/>
      <c r="F99" s="43"/>
      <c r="G99" s="43"/>
      <c r="H99" s="43"/>
      <c r="I99" s="43"/>
      <c r="J99" s="43"/>
      <c r="K99" s="43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  <c r="Y99" s="43"/>
      <c r="Z99" s="43"/>
      <c r="AA99" s="43"/>
      <c r="AB99" s="43"/>
      <c r="AC99" s="43"/>
      <c r="AD99" s="43"/>
      <c r="AE99" s="43"/>
      <c r="AF99" s="43"/>
      <c r="AG99" s="88"/>
      <c r="AH99" s="46">
        <f t="shared" si="22"/>
        <v>0</v>
      </c>
      <c r="AI99" s="47">
        <f t="shared" si="23"/>
        <v>0</v>
      </c>
      <c r="AK99" s="89"/>
      <c r="AL99" s="90"/>
      <c r="AM99" s="90"/>
      <c r="AN99" s="91"/>
      <c r="AY99" s="81"/>
      <c r="BF99" s="81"/>
      <c r="BG99" s="81">
        <v>-472</v>
      </c>
      <c r="BH99" s="81">
        <v>-172.4</v>
      </c>
      <c r="BI99" s="81">
        <v>0</v>
      </c>
      <c r="BJ99" s="81">
        <v>0</v>
      </c>
      <c r="BK99" s="81">
        <v>0</v>
      </c>
      <c r="BL99" s="81">
        <v>0</v>
      </c>
    </row>
    <row r="100" spans="1:64" x14ac:dyDescent="0.25">
      <c r="A100" s="63" t="s">
        <v>126</v>
      </c>
      <c r="B100" s="43"/>
      <c r="C100" s="43"/>
      <c r="D100" s="43"/>
      <c r="E100" s="43"/>
      <c r="F100" s="92"/>
      <c r="G100" s="92"/>
      <c r="H100" s="92"/>
      <c r="I100" s="92"/>
      <c r="J100" s="92"/>
      <c r="K100" s="92"/>
      <c r="L100" s="92"/>
      <c r="M100" s="92"/>
      <c r="N100" s="92"/>
      <c r="O100" s="92"/>
      <c r="P100" s="92"/>
      <c r="Q100" s="92"/>
      <c r="R100" s="92"/>
      <c r="S100" s="92"/>
      <c r="T100" s="92"/>
      <c r="U100" s="92"/>
      <c r="V100" s="92"/>
      <c r="W100" s="92"/>
      <c r="X100" s="92"/>
      <c r="Y100" s="92"/>
      <c r="Z100" s="92"/>
      <c r="AA100" s="92"/>
      <c r="AB100" s="92"/>
      <c r="AC100" s="92"/>
      <c r="AD100" s="92"/>
      <c r="AE100" s="92"/>
      <c r="AF100" s="92"/>
      <c r="AG100" s="88"/>
      <c r="AH100" s="46">
        <f t="shared" si="22"/>
        <v>0</v>
      </c>
      <c r="AI100" s="47">
        <f t="shared" si="23"/>
        <v>0</v>
      </c>
      <c r="AK100" s="93" t="s">
        <v>127</v>
      </c>
      <c r="AL100" s="43"/>
      <c r="AM100" s="92"/>
      <c r="AN100" s="94"/>
      <c r="AY100" s="81"/>
      <c r="BF100" s="81"/>
      <c r="BG100" s="81">
        <v>-467.3</v>
      </c>
      <c r="BH100" s="81">
        <v>-128.19999999999999</v>
      </c>
      <c r="BI100" s="81">
        <v>0</v>
      </c>
      <c r="BJ100" s="81">
        <v>0</v>
      </c>
      <c r="BK100" s="81">
        <v>0</v>
      </c>
      <c r="BL100" s="81">
        <v>0</v>
      </c>
    </row>
    <row r="101" spans="1:64" x14ac:dyDescent="0.25">
      <c r="A101" s="95" t="s">
        <v>128</v>
      </c>
      <c r="B101" s="44"/>
      <c r="C101" s="44"/>
      <c r="D101" s="44"/>
      <c r="E101" s="44"/>
      <c r="F101" s="44"/>
      <c r="G101" s="44"/>
      <c r="H101" s="44"/>
      <c r="I101" s="44"/>
      <c r="J101" s="44"/>
      <c r="K101" s="44"/>
      <c r="L101" s="44"/>
      <c r="M101" s="44"/>
      <c r="N101" s="44"/>
      <c r="O101" s="44"/>
      <c r="P101" s="44"/>
      <c r="Q101" s="44"/>
      <c r="R101" s="44"/>
      <c r="S101" s="44"/>
      <c r="T101" s="44"/>
      <c r="U101" s="44"/>
      <c r="V101" s="44"/>
      <c r="W101" s="44"/>
      <c r="X101" s="44"/>
      <c r="Y101" s="44"/>
      <c r="Z101" s="44"/>
      <c r="AA101" s="44"/>
      <c r="AB101" s="44"/>
      <c r="AC101" s="44"/>
      <c r="AD101" s="44"/>
      <c r="AE101" s="44"/>
      <c r="AF101" s="44"/>
      <c r="AG101" s="88"/>
      <c r="AH101" s="46">
        <f t="shared" si="22"/>
        <v>0</v>
      </c>
      <c r="AI101" s="47">
        <f t="shared" si="23"/>
        <v>0</v>
      </c>
      <c r="AK101" s="93" t="s">
        <v>129</v>
      </c>
      <c r="AL101" s="92"/>
      <c r="AM101" s="92"/>
      <c r="AN101" s="94"/>
      <c r="AY101" s="81"/>
      <c r="BF101" s="81"/>
      <c r="BG101" s="81">
        <v>-540</v>
      </c>
      <c r="BH101" s="81">
        <v>-140.4</v>
      </c>
      <c r="BI101" s="81">
        <v>0</v>
      </c>
      <c r="BJ101" s="81">
        <v>0</v>
      </c>
      <c r="BK101" s="81">
        <v>0</v>
      </c>
      <c r="BL101" s="81">
        <v>0</v>
      </c>
    </row>
    <row r="102" spans="1:64" ht="15.75" thickBot="1" x14ac:dyDescent="0.3">
      <c r="A102" s="95" t="s">
        <v>130</v>
      </c>
      <c r="B102" s="96">
        <v>-37</v>
      </c>
      <c r="C102" s="96">
        <v>-30</v>
      </c>
      <c r="D102" s="96">
        <v>25</v>
      </c>
      <c r="E102" s="96">
        <v>-37</v>
      </c>
      <c r="F102" s="96">
        <v>-2.1</v>
      </c>
      <c r="G102" s="96">
        <v>-15.3</v>
      </c>
      <c r="H102" s="96">
        <v>-6.1</v>
      </c>
      <c r="I102" s="96">
        <v>-50.1</v>
      </c>
      <c r="J102" s="96">
        <v>-49.8</v>
      </c>
      <c r="K102" s="96">
        <v>-41.7</v>
      </c>
      <c r="L102" s="96">
        <v>-39.1</v>
      </c>
      <c r="M102" s="96">
        <v>-26.4</v>
      </c>
      <c r="N102" s="96">
        <v>-22.5</v>
      </c>
      <c r="O102" s="96">
        <v>-45.1</v>
      </c>
      <c r="P102" s="96">
        <v>-35.200000000000003</v>
      </c>
      <c r="Q102" s="96">
        <v>-33</v>
      </c>
      <c r="R102" s="96">
        <v>-36.200000000000003</v>
      </c>
      <c r="S102" s="96">
        <v>-36.799999999999997</v>
      </c>
      <c r="T102" s="96">
        <v>-39.1</v>
      </c>
      <c r="U102" s="96">
        <v>-40.4</v>
      </c>
      <c r="V102" s="96">
        <v>-54.1</v>
      </c>
      <c r="W102" s="96">
        <v>-43.5</v>
      </c>
      <c r="X102" s="96">
        <v>-48.4</v>
      </c>
      <c r="Y102" s="96">
        <v>-47.1</v>
      </c>
      <c r="Z102" s="96">
        <v>-49</v>
      </c>
      <c r="AA102" s="96">
        <v>4.5</v>
      </c>
      <c r="AB102" s="96">
        <v>16.100000000000001</v>
      </c>
      <c r="AC102" s="96">
        <v>5.6</v>
      </c>
      <c r="AD102" s="96">
        <v>9.6</v>
      </c>
      <c r="AE102" s="96">
        <v>8.9</v>
      </c>
      <c r="AF102" s="96">
        <v>6.6</v>
      </c>
      <c r="AG102" s="88"/>
      <c r="AH102" s="46">
        <f t="shared" si="22"/>
        <v>25</v>
      </c>
      <c r="AI102" s="47">
        <f t="shared" si="23"/>
        <v>-54.1</v>
      </c>
      <c r="AK102" s="93"/>
      <c r="AL102" s="44"/>
      <c r="AM102" s="44"/>
      <c r="AN102" s="97"/>
      <c r="AY102" s="81"/>
      <c r="BF102" s="81"/>
      <c r="BG102" s="81">
        <v>-587.4</v>
      </c>
      <c r="BH102" s="81">
        <v>-201.5</v>
      </c>
      <c r="BI102" s="81">
        <v>0</v>
      </c>
      <c r="BJ102" s="81">
        <v>0</v>
      </c>
      <c r="BK102" s="81">
        <v>0</v>
      </c>
      <c r="BL102" s="81">
        <v>0</v>
      </c>
    </row>
    <row r="103" spans="1:64" x14ac:dyDescent="0.25">
      <c r="A103" s="63" t="s">
        <v>131</v>
      </c>
      <c r="B103" s="96"/>
      <c r="C103" s="96"/>
      <c r="D103" s="96"/>
      <c r="E103" s="96"/>
      <c r="F103" s="96"/>
      <c r="G103" s="96"/>
      <c r="H103" s="96"/>
      <c r="I103" s="96"/>
      <c r="J103" s="96"/>
      <c r="K103" s="96"/>
      <c r="L103" s="96"/>
      <c r="M103" s="96"/>
      <c r="N103" s="96"/>
      <c r="O103" s="96"/>
      <c r="P103" s="96"/>
      <c r="Q103" s="96"/>
      <c r="R103" s="96"/>
      <c r="S103" s="96"/>
      <c r="T103" s="96"/>
      <c r="U103" s="96"/>
      <c r="V103" s="96"/>
      <c r="W103" s="96"/>
      <c r="X103" s="96"/>
      <c r="Y103" s="96"/>
      <c r="Z103" s="96"/>
      <c r="AA103" s="96"/>
      <c r="AB103" s="96"/>
      <c r="AC103" s="96"/>
      <c r="AD103" s="96"/>
      <c r="AE103" s="96"/>
      <c r="AF103" s="96"/>
      <c r="AG103" s="88"/>
      <c r="AH103" s="46">
        <f t="shared" si="22"/>
        <v>0</v>
      </c>
      <c r="AI103" s="47">
        <f t="shared" si="23"/>
        <v>0</v>
      </c>
      <c r="AK103" s="93"/>
      <c r="AL103" s="96"/>
      <c r="AM103" s="98"/>
      <c r="AN103" s="228"/>
      <c r="AY103" s="81"/>
      <c r="BF103" s="81"/>
      <c r="BG103" s="81">
        <v>-559.79999999999995</v>
      </c>
      <c r="BH103" s="81">
        <v>-200.7</v>
      </c>
      <c r="BI103" s="81">
        <v>0</v>
      </c>
      <c r="BJ103" s="81">
        <v>0</v>
      </c>
      <c r="BK103" s="81">
        <v>0</v>
      </c>
      <c r="BL103" s="81">
        <v>0</v>
      </c>
    </row>
    <row r="104" spans="1:64" x14ac:dyDescent="0.25">
      <c r="A104" s="63" t="s">
        <v>132</v>
      </c>
      <c r="B104" s="96"/>
      <c r="C104" s="96"/>
      <c r="D104" s="96"/>
      <c r="E104" s="96"/>
      <c r="F104" s="96"/>
      <c r="G104" s="96"/>
      <c r="H104" s="96"/>
      <c r="I104" s="96"/>
      <c r="J104" s="96"/>
      <c r="K104" s="96"/>
      <c r="L104" s="96"/>
      <c r="M104" s="96"/>
      <c r="N104" s="96"/>
      <c r="O104" s="96"/>
      <c r="P104" s="96"/>
      <c r="Q104" s="96"/>
      <c r="R104" s="96"/>
      <c r="S104" s="96"/>
      <c r="T104" s="96"/>
      <c r="U104" s="96"/>
      <c r="V104" s="96"/>
      <c r="W104" s="96"/>
      <c r="X104" s="96"/>
      <c r="Y104" s="96"/>
      <c r="Z104" s="96"/>
      <c r="AA104" s="96"/>
      <c r="AB104" s="96"/>
      <c r="AC104" s="96"/>
      <c r="AD104" s="96"/>
      <c r="AE104" s="96"/>
      <c r="AF104" s="96"/>
      <c r="AG104" s="88"/>
      <c r="AH104" s="46">
        <f t="shared" si="22"/>
        <v>0</v>
      </c>
      <c r="AI104" s="47">
        <f t="shared" si="23"/>
        <v>0</v>
      </c>
      <c r="AK104" s="93"/>
      <c r="AL104" s="96"/>
      <c r="AM104" s="96"/>
      <c r="AN104" s="229"/>
      <c r="BF104" s="81"/>
      <c r="BG104" s="81">
        <v>-639.70000000000005</v>
      </c>
      <c r="BH104" s="81">
        <v>-178</v>
      </c>
      <c r="BI104" s="81">
        <v>0</v>
      </c>
      <c r="BJ104" s="81">
        <v>0</v>
      </c>
      <c r="BK104" s="81">
        <v>0</v>
      </c>
      <c r="BL104" s="81">
        <v>0</v>
      </c>
    </row>
    <row r="105" spans="1:64" ht="15.75" thickBot="1" x14ac:dyDescent="0.3">
      <c r="A105" s="63" t="s">
        <v>133</v>
      </c>
      <c r="B105" s="96"/>
      <c r="C105" s="96"/>
      <c r="D105" s="96"/>
      <c r="E105" s="96"/>
      <c r="F105" s="96"/>
      <c r="G105" s="96"/>
      <c r="H105" s="96"/>
      <c r="I105" s="96"/>
      <c r="J105" s="96"/>
      <c r="K105" s="96"/>
      <c r="L105" s="96"/>
      <c r="M105" s="96"/>
      <c r="N105" s="96"/>
      <c r="O105" s="96"/>
      <c r="P105" s="96"/>
      <c r="Q105" s="96"/>
      <c r="R105" s="96"/>
      <c r="S105" s="96"/>
      <c r="T105" s="96"/>
      <c r="U105" s="96"/>
      <c r="V105" s="96"/>
      <c r="W105" s="96"/>
      <c r="X105" s="96"/>
      <c r="Y105" s="96"/>
      <c r="Z105" s="96"/>
      <c r="AA105" s="96"/>
      <c r="AB105" s="96"/>
      <c r="AC105" s="96"/>
      <c r="AD105" s="96"/>
      <c r="AE105" s="96"/>
      <c r="AF105" s="96"/>
      <c r="AG105" s="88"/>
      <c r="AH105" s="46">
        <f t="shared" si="22"/>
        <v>0</v>
      </c>
      <c r="AI105" s="47">
        <f t="shared" si="23"/>
        <v>0</v>
      </c>
      <c r="AK105" s="99"/>
      <c r="AL105" s="100"/>
      <c r="AM105" s="100"/>
      <c r="AN105" s="101"/>
      <c r="BF105" s="81"/>
      <c r="BG105" s="81">
        <v>-673.5</v>
      </c>
      <c r="BH105" s="81">
        <v>-195.5</v>
      </c>
      <c r="BI105" s="81">
        <v>0</v>
      </c>
      <c r="BJ105" s="81">
        <v>0</v>
      </c>
      <c r="BK105" s="81">
        <v>0</v>
      </c>
      <c r="BL105" s="81">
        <v>0</v>
      </c>
    </row>
    <row r="106" spans="1:64" x14ac:dyDescent="0.25">
      <c r="A106" s="63" t="s">
        <v>134</v>
      </c>
      <c r="B106" s="96"/>
      <c r="C106" s="96"/>
      <c r="D106" s="96"/>
      <c r="E106" s="96"/>
      <c r="F106" s="96"/>
      <c r="G106" s="96"/>
      <c r="H106" s="96"/>
      <c r="I106" s="96"/>
      <c r="J106" s="96"/>
      <c r="K106" s="96"/>
      <c r="L106" s="96"/>
      <c r="M106" s="96"/>
      <c r="N106" s="96"/>
      <c r="O106" s="96"/>
      <c r="P106" s="96"/>
      <c r="Q106" s="96"/>
      <c r="R106" s="96"/>
      <c r="S106" s="96"/>
      <c r="T106" s="96"/>
      <c r="U106" s="96"/>
      <c r="V106" s="96"/>
      <c r="W106" s="96"/>
      <c r="X106" s="96"/>
      <c r="Y106" s="96"/>
      <c r="Z106" s="96"/>
      <c r="AA106" s="96"/>
      <c r="AB106" s="96"/>
      <c r="AC106" s="96"/>
      <c r="AD106" s="96"/>
      <c r="AE106" s="96"/>
      <c r="AF106" s="96"/>
      <c r="AG106" s="102"/>
      <c r="AH106" s="46">
        <f t="shared" si="22"/>
        <v>0</v>
      </c>
      <c r="AI106" s="47">
        <f t="shared" si="23"/>
        <v>0</v>
      </c>
      <c r="BF106" s="81"/>
      <c r="BG106" s="81">
        <v>-649.79999999999995</v>
      </c>
      <c r="BH106" s="81">
        <v>-193.7</v>
      </c>
      <c r="BI106" s="81">
        <v>0</v>
      </c>
      <c r="BJ106" s="81">
        <v>0</v>
      </c>
      <c r="BK106" s="81">
        <v>0</v>
      </c>
      <c r="BL106" s="81">
        <v>0</v>
      </c>
    </row>
    <row r="107" spans="1:64" ht="15.75" thickBot="1" x14ac:dyDescent="0.3">
      <c r="A107" s="95" t="s">
        <v>135</v>
      </c>
      <c r="B107" s="96"/>
      <c r="C107" s="96"/>
      <c r="D107" s="96"/>
      <c r="E107" s="96"/>
      <c r="F107" s="96"/>
      <c r="G107" s="96"/>
      <c r="H107" s="96"/>
      <c r="I107" s="96"/>
      <c r="J107" s="96"/>
      <c r="K107" s="96"/>
      <c r="L107" s="96"/>
      <c r="M107" s="96"/>
      <c r="N107" s="96"/>
      <c r="O107" s="96"/>
      <c r="P107" s="96"/>
      <c r="Q107" s="96"/>
      <c r="R107" s="96"/>
      <c r="S107" s="96"/>
      <c r="T107" s="96"/>
      <c r="U107" s="96"/>
      <c r="V107" s="96"/>
      <c r="W107" s="96"/>
      <c r="X107" s="96"/>
      <c r="Y107" s="96"/>
      <c r="Z107" s="96"/>
      <c r="AA107" s="96"/>
      <c r="AB107" s="96"/>
      <c r="AC107" s="96"/>
      <c r="AD107" s="96"/>
      <c r="AE107" s="96"/>
      <c r="AF107" s="96"/>
      <c r="AG107" s="102"/>
      <c r="AH107" s="46">
        <f t="shared" si="22"/>
        <v>0</v>
      </c>
      <c r="AI107" s="47">
        <f t="shared" si="23"/>
        <v>0</v>
      </c>
      <c r="BF107" s="81"/>
      <c r="BG107" s="81">
        <v>-650.70000000000005</v>
      </c>
      <c r="BH107" s="81">
        <v>-208.2</v>
      </c>
      <c r="BI107" s="81">
        <v>0</v>
      </c>
      <c r="BJ107" s="81">
        <v>0</v>
      </c>
      <c r="BK107" s="81">
        <v>0</v>
      </c>
      <c r="BL107" s="81">
        <v>0</v>
      </c>
    </row>
    <row r="108" spans="1:64" ht="15.75" thickBot="1" x14ac:dyDescent="0.3">
      <c r="A108" s="86" t="s">
        <v>136</v>
      </c>
      <c r="B108" s="69">
        <f>SUMIF(B97:B107,"&gt;0")</f>
        <v>0</v>
      </c>
      <c r="C108" s="69">
        <f t="shared" ref="C108:AF108" si="32">SUMIF(C97:C107,"&gt;0")</f>
        <v>0</v>
      </c>
      <c r="D108" s="69">
        <f t="shared" si="32"/>
        <v>25</v>
      </c>
      <c r="E108" s="69">
        <f t="shared" si="32"/>
        <v>0</v>
      </c>
      <c r="F108" s="69">
        <f t="shared" si="32"/>
        <v>0</v>
      </c>
      <c r="G108" s="69">
        <f t="shared" si="32"/>
        <v>0</v>
      </c>
      <c r="H108" s="69">
        <f t="shared" si="32"/>
        <v>0</v>
      </c>
      <c r="I108" s="69">
        <f t="shared" si="32"/>
        <v>0</v>
      </c>
      <c r="J108" s="69">
        <f t="shared" si="32"/>
        <v>0</v>
      </c>
      <c r="K108" s="69">
        <f t="shared" si="32"/>
        <v>0</v>
      </c>
      <c r="L108" s="69">
        <f t="shared" si="32"/>
        <v>0</v>
      </c>
      <c r="M108" s="69">
        <f t="shared" si="32"/>
        <v>0</v>
      </c>
      <c r="N108" s="69">
        <f t="shared" si="32"/>
        <v>0</v>
      </c>
      <c r="O108" s="69">
        <f t="shared" si="32"/>
        <v>0</v>
      </c>
      <c r="P108" s="69">
        <f t="shared" si="32"/>
        <v>0</v>
      </c>
      <c r="Q108" s="69">
        <f t="shared" si="32"/>
        <v>0</v>
      </c>
      <c r="R108" s="69">
        <f t="shared" si="32"/>
        <v>0</v>
      </c>
      <c r="S108" s="69">
        <f t="shared" si="32"/>
        <v>0</v>
      </c>
      <c r="T108" s="69">
        <f t="shared" si="32"/>
        <v>0</v>
      </c>
      <c r="U108" s="69">
        <f t="shared" si="32"/>
        <v>0</v>
      </c>
      <c r="V108" s="69">
        <f t="shared" si="32"/>
        <v>0</v>
      </c>
      <c r="W108" s="69">
        <f t="shared" si="32"/>
        <v>0</v>
      </c>
      <c r="X108" s="69">
        <f t="shared" si="32"/>
        <v>0</v>
      </c>
      <c r="Y108" s="69">
        <f t="shared" si="32"/>
        <v>0</v>
      </c>
      <c r="Z108" s="69">
        <f t="shared" si="32"/>
        <v>0</v>
      </c>
      <c r="AA108" s="69">
        <f t="shared" si="32"/>
        <v>4.5</v>
      </c>
      <c r="AB108" s="69">
        <f t="shared" si="32"/>
        <v>16.100000000000001</v>
      </c>
      <c r="AC108" s="69">
        <f t="shared" si="32"/>
        <v>5.6</v>
      </c>
      <c r="AD108" s="69">
        <f t="shared" si="32"/>
        <v>9.6</v>
      </c>
      <c r="AE108" s="69">
        <f t="shared" si="32"/>
        <v>8.9</v>
      </c>
      <c r="AF108" s="69">
        <f t="shared" si="32"/>
        <v>6.6</v>
      </c>
      <c r="AG108" s="103">
        <f>SUM(AG97:AG107)</f>
        <v>0</v>
      </c>
      <c r="AH108" s="46">
        <f t="shared" si="22"/>
        <v>25</v>
      </c>
      <c r="AI108" s="47">
        <f t="shared" si="23"/>
        <v>0</v>
      </c>
      <c r="AJ108" s="104">
        <f t="array" ref="AJ108">MIN(IF(B108:AF108&lt;&gt;0,B108:AF108))</f>
        <v>4.5</v>
      </c>
      <c r="BF108" s="81"/>
      <c r="BG108" s="81">
        <v>-625.20000000000005</v>
      </c>
      <c r="BH108" s="81">
        <v>-208.6</v>
      </c>
      <c r="BI108" s="81">
        <v>0</v>
      </c>
      <c r="BJ108" s="81">
        <v>0</v>
      </c>
      <c r="BK108" s="81">
        <v>0</v>
      </c>
      <c r="BL108" s="81">
        <v>0</v>
      </c>
    </row>
    <row r="109" spans="1:64" x14ac:dyDescent="0.25">
      <c r="A109" s="42" t="s">
        <v>137</v>
      </c>
      <c r="B109" s="92">
        <v>0</v>
      </c>
      <c r="C109" s="92">
        <v>0</v>
      </c>
      <c r="D109" s="92">
        <v>0</v>
      </c>
      <c r="E109" s="92">
        <v>0</v>
      </c>
      <c r="F109" s="92">
        <v>0</v>
      </c>
      <c r="G109" s="92">
        <v>0</v>
      </c>
      <c r="H109" s="92">
        <v>0</v>
      </c>
      <c r="I109" s="92">
        <v>0</v>
      </c>
      <c r="J109" s="92">
        <v>0</v>
      </c>
      <c r="K109" s="92">
        <v>0</v>
      </c>
      <c r="L109" s="92">
        <v>0</v>
      </c>
      <c r="M109" s="92">
        <v>0</v>
      </c>
      <c r="N109" s="92">
        <v>0</v>
      </c>
      <c r="O109" s="92">
        <v>0</v>
      </c>
      <c r="P109" s="92">
        <v>0</v>
      </c>
      <c r="Q109" s="92">
        <v>0</v>
      </c>
      <c r="R109" s="92">
        <v>0</v>
      </c>
      <c r="S109" s="92">
        <v>0</v>
      </c>
      <c r="T109" s="92">
        <v>0</v>
      </c>
      <c r="U109" s="92">
        <v>0</v>
      </c>
      <c r="V109" s="92">
        <v>0</v>
      </c>
      <c r="W109" s="92">
        <v>0</v>
      </c>
      <c r="X109" s="92">
        <v>0</v>
      </c>
      <c r="Y109" s="92">
        <v>0</v>
      </c>
      <c r="Z109" s="92">
        <v>0</v>
      </c>
      <c r="AA109" s="92">
        <v>0</v>
      </c>
      <c r="AB109" s="92">
        <v>0</v>
      </c>
      <c r="AC109" s="92">
        <v>0</v>
      </c>
      <c r="AD109" s="92">
        <v>0</v>
      </c>
      <c r="AE109" s="92">
        <v>0</v>
      </c>
      <c r="AF109" s="92">
        <v>0</v>
      </c>
      <c r="AG109" s="105">
        <v>39</v>
      </c>
      <c r="AH109" s="46">
        <f t="shared" si="22"/>
        <v>0</v>
      </c>
      <c r="AI109" s="47">
        <f t="shared" si="23"/>
        <v>0</v>
      </c>
      <c r="BF109" s="81"/>
      <c r="BG109" s="81">
        <v>-574.20000000000005</v>
      </c>
      <c r="BH109" s="81">
        <v>-187</v>
      </c>
      <c r="BI109" s="81">
        <v>0</v>
      </c>
      <c r="BJ109" s="81">
        <v>0</v>
      </c>
      <c r="BK109" s="81">
        <v>0</v>
      </c>
      <c r="BL109" s="81">
        <v>0</v>
      </c>
    </row>
    <row r="110" spans="1:64" x14ac:dyDescent="0.25">
      <c r="A110" s="63" t="s">
        <v>138</v>
      </c>
      <c r="B110" s="96">
        <v>0</v>
      </c>
      <c r="C110" s="96">
        <v>0</v>
      </c>
      <c r="D110" s="96">
        <v>0</v>
      </c>
      <c r="E110" s="96">
        <v>0</v>
      </c>
      <c r="F110" s="96">
        <v>0</v>
      </c>
      <c r="G110" s="96">
        <v>0</v>
      </c>
      <c r="H110" s="96">
        <v>0</v>
      </c>
      <c r="I110" s="96">
        <v>0</v>
      </c>
      <c r="J110" s="96">
        <v>0</v>
      </c>
      <c r="K110" s="96">
        <v>0</v>
      </c>
      <c r="L110" s="96">
        <v>0</v>
      </c>
      <c r="M110" s="96">
        <v>0</v>
      </c>
      <c r="N110" s="96">
        <v>0</v>
      </c>
      <c r="O110" s="96">
        <v>0</v>
      </c>
      <c r="P110" s="96">
        <v>0</v>
      </c>
      <c r="Q110" s="96">
        <v>0</v>
      </c>
      <c r="R110" s="96">
        <v>0</v>
      </c>
      <c r="S110" s="96">
        <v>0</v>
      </c>
      <c r="T110" s="96">
        <v>0</v>
      </c>
      <c r="U110" s="96">
        <v>0</v>
      </c>
      <c r="V110" s="96">
        <v>0</v>
      </c>
      <c r="W110" s="96">
        <v>0</v>
      </c>
      <c r="X110" s="96">
        <v>0</v>
      </c>
      <c r="Y110" s="96">
        <v>0</v>
      </c>
      <c r="Z110" s="96">
        <v>0</v>
      </c>
      <c r="AA110" s="96">
        <v>0</v>
      </c>
      <c r="AB110" s="96">
        <v>0</v>
      </c>
      <c r="AC110" s="96">
        <v>0</v>
      </c>
      <c r="AD110" s="96">
        <v>0</v>
      </c>
      <c r="AE110" s="96">
        <v>0</v>
      </c>
      <c r="AF110" s="96">
        <v>0</v>
      </c>
      <c r="AG110" s="88">
        <v>14.4</v>
      </c>
      <c r="AH110" s="46">
        <f t="shared" si="22"/>
        <v>0</v>
      </c>
      <c r="AI110" s="47">
        <f t="shared" si="23"/>
        <v>0</v>
      </c>
      <c r="BF110" s="81"/>
      <c r="BG110" s="81">
        <v>-602.1</v>
      </c>
      <c r="BH110" s="81">
        <v>-197</v>
      </c>
      <c r="BI110" s="81">
        <v>0</v>
      </c>
      <c r="BJ110" s="81">
        <v>0</v>
      </c>
      <c r="BK110" s="81">
        <v>0</v>
      </c>
      <c r="BL110" s="81">
        <v>0</v>
      </c>
    </row>
    <row r="111" spans="1:64" ht="15.75" thickBot="1" x14ac:dyDescent="0.3">
      <c r="A111" s="95" t="s">
        <v>139</v>
      </c>
      <c r="B111" s="106">
        <v>0</v>
      </c>
      <c r="C111" s="106">
        <v>0</v>
      </c>
      <c r="D111" s="106">
        <v>0</v>
      </c>
      <c r="E111" s="106">
        <v>0</v>
      </c>
      <c r="F111" s="106">
        <v>0</v>
      </c>
      <c r="G111" s="106">
        <v>0</v>
      </c>
      <c r="H111" s="106">
        <v>0</v>
      </c>
      <c r="I111" s="106">
        <v>0</v>
      </c>
      <c r="J111" s="106">
        <v>0</v>
      </c>
      <c r="K111" s="106">
        <v>0</v>
      </c>
      <c r="L111" s="106">
        <v>0</v>
      </c>
      <c r="M111" s="106">
        <v>0</v>
      </c>
      <c r="N111" s="106">
        <v>0</v>
      </c>
      <c r="O111" s="106">
        <v>0</v>
      </c>
      <c r="P111" s="106">
        <v>0</v>
      </c>
      <c r="Q111" s="106">
        <v>0</v>
      </c>
      <c r="R111" s="106">
        <v>0</v>
      </c>
      <c r="S111" s="106">
        <v>0</v>
      </c>
      <c r="T111" s="106">
        <v>0</v>
      </c>
      <c r="U111" s="106">
        <v>0</v>
      </c>
      <c r="V111" s="106">
        <v>0</v>
      </c>
      <c r="W111" s="106">
        <v>0</v>
      </c>
      <c r="X111" s="106">
        <v>0</v>
      </c>
      <c r="Y111" s="106">
        <v>0</v>
      </c>
      <c r="Z111" s="106">
        <v>0</v>
      </c>
      <c r="AA111" s="106">
        <v>0</v>
      </c>
      <c r="AB111" s="106">
        <v>0</v>
      </c>
      <c r="AC111" s="106">
        <v>0</v>
      </c>
      <c r="AD111" s="106">
        <v>0</v>
      </c>
      <c r="AE111" s="106">
        <v>0</v>
      </c>
      <c r="AF111" s="106">
        <v>0</v>
      </c>
      <c r="AG111" s="102">
        <v>2</v>
      </c>
      <c r="AH111" s="46">
        <f t="shared" si="22"/>
        <v>0</v>
      </c>
      <c r="AI111" s="47">
        <f t="shared" si="23"/>
        <v>0</v>
      </c>
      <c r="BF111" s="81"/>
      <c r="BG111" s="81">
        <v>-604.20000000000005</v>
      </c>
      <c r="BH111" s="81">
        <v>-185.1</v>
      </c>
      <c r="BI111" s="81">
        <v>0</v>
      </c>
      <c r="BJ111" s="81">
        <v>0</v>
      </c>
      <c r="BK111" s="81">
        <v>0</v>
      </c>
      <c r="BL111" s="81">
        <v>0</v>
      </c>
    </row>
    <row r="112" spans="1:64" ht="15.75" thickBot="1" x14ac:dyDescent="0.3">
      <c r="A112" s="86" t="s">
        <v>140</v>
      </c>
      <c r="B112" s="69"/>
      <c r="C112" s="69"/>
      <c r="D112" s="69"/>
      <c r="E112" s="69"/>
      <c r="F112" s="69"/>
      <c r="G112" s="69"/>
      <c r="H112" s="69"/>
      <c r="I112" s="69"/>
      <c r="J112" s="69"/>
      <c r="K112" s="69"/>
      <c r="L112" s="69"/>
      <c r="M112" s="69"/>
      <c r="N112" s="69"/>
      <c r="O112" s="69"/>
      <c r="P112" s="69"/>
      <c r="Q112" s="69"/>
      <c r="R112" s="69"/>
      <c r="S112" s="69"/>
      <c r="T112" s="69"/>
      <c r="U112" s="69"/>
      <c r="V112" s="69"/>
      <c r="W112" s="69"/>
      <c r="X112" s="69"/>
      <c r="Y112" s="69"/>
      <c r="Z112" s="69"/>
      <c r="AA112" s="69"/>
      <c r="AB112" s="69"/>
      <c r="AC112" s="69"/>
      <c r="AD112" s="69"/>
      <c r="AE112" s="69"/>
      <c r="AF112" s="69"/>
      <c r="AG112" s="103">
        <f>SUM(AG109:AG111)</f>
        <v>55.4</v>
      </c>
      <c r="AH112" s="46">
        <f t="shared" si="22"/>
        <v>0</v>
      </c>
      <c r="AI112" s="47">
        <f t="shared" si="23"/>
        <v>0</v>
      </c>
      <c r="BF112" s="80"/>
      <c r="BG112" s="81">
        <v>-508.2</v>
      </c>
      <c r="BH112" s="81">
        <v>-160.1</v>
      </c>
      <c r="BI112" s="81">
        <v>0</v>
      </c>
      <c r="BJ112" s="81">
        <v>0</v>
      </c>
      <c r="BK112" s="81">
        <v>0</v>
      </c>
      <c r="BL112" s="81">
        <v>0</v>
      </c>
    </row>
    <row r="113" spans="1:64" ht="15.75" thickBot="1" x14ac:dyDescent="0.3">
      <c r="A113" s="86" t="s">
        <v>141</v>
      </c>
      <c r="B113" s="107">
        <f>B71+B78+B96+B92+B108+B112</f>
        <v>2524.3000000000002</v>
      </c>
      <c r="C113" s="107">
        <f t="shared" ref="C113:AG113" si="33">C71+C78+C96+C92+C108+C112</f>
        <v>2264.6999999999998</v>
      </c>
      <c r="D113" s="107">
        <f t="shared" si="33"/>
        <v>2110.5</v>
      </c>
      <c r="E113" s="107">
        <f t="shared" si="33"/>
        <v>2085.5</v>
      </c>
      <c r="F113" s="107">
        <f t="shared" si="33"/>
        <v>2265.6</v>
      </c>
      <c r="G113" s="107">
        <f t="shared" si="33"/>
        <v>2275.8000000000002</v>
      </c>
      <c r="H113" s="107">
        <f t="shared" si="33"/>
        <v>2289.7000000000003</v>
      </c>
      <c r="I113" s="107">
        <f t="shared" si="33"/>
        <v>2289.7000000000003</v>
      </c>
      <c r="J113" s="107">
        <f t="shared" si="33"/>
        <v>2330.1000000000004</v>
      </c>
      <c r="K113" s="107">
        <f t="shared" si="33"/>
        <v>2339.9</v>
      </c>
      <c r="L113" s="107">
        <f t="shared" si="33"/>
        <v>2463.5</v>
      </c>
      <c r="M113" s="107">
        <f t="shared" si="33"/>
        <v>2530.2999999999993</v>
      </c>
      <c r="N113" s="107">
        <f t="shared" si="33"/>
        <v>2529.3999999999996</v>
      </c>
      <c r="O113" s="107">
        <f t="shared" si="33"/>
        <v>2638.95</v>
      </c>
      <c r="P113" s="107">
        <f t="shared" si="33"/>
        <v>2640.85</v>
      </c>
      <c r="Q113" s="107">
        <f t="shared" si="33"/>
        <v>2617.2499999999995</v>
      </c>
      <c r="R113" s="107">
        <f t="shared" si="33"/>
        <v>2665.0699999999993</v>
      </c>
      <c r="S113" s="107">
        <f t="shared" si="33"/>
        <v>2706.5699999999993</v>
      </c>
      <c r="T113" s="107">
        <f t="shared" si="33"/>
        <v>2747.0699999999993</v>
      </c>
      <c r="U113" s="107">
        <f t="shared" si="33"/>
        <v>2735.6699999999992</v>
      </c>
      <c r="V113" s="107">
        <f t="shared" si="33"/>
        <v>2720.97</v>
      </c>
      <c r="W113" s="107">
        <f t="shared" si="33"/>
        <v>2720.97</v>
      </c>
      <c r="X113" s="107">
        <f t="shared" si="33"/>
        <v>2665.87</v>
      </c>
      <c r="Y113" s="107">
        <f t="shared" si="33"/>
        <v>2677.5199999999995</v>
      </c>
      <c r="Z113" s="107">
        <f t="shared" si="33"/>
        <v>2721.5499999999993</v>
      </c>
      <c r="AA113" s="107">
        <f t="shared" si="33"/>
        <v>2733.4699999999993</v>
      </c>
      <c r="AB113" s="107">
        <f t="shared" si="33"/>
        <v>2577.3000000000002</v>
      </c>
      <c r="AC113" s="107">
        <f t="shared" si="33"/>
        <v>2557.4</v>
      </c>
      <c r="AD113" s="107">
        <f t="shared" si="33"/>
        <v>2574.3000000000002</v>
      </c>
      <c r="AE113" s="107">
        <f t="shared" si="33"/>
        <v>2551.6</v>
      </c>
      <c r="AF113" s="107">
        <f t="shared" si="33"/>
        <v>2549.2999999999997</v>
      </c>
      <c r="AG113" s="79">
        <f t="shared" si="33"/>
        <v>3169.915</v>
      </c>
      <c r="AH113" s="46">
        <f t="shared" si="22"/>
        <v>2747.0699999999993</v>
      </c>
      <c r="AI113" s="47">
        <f t="shared" si="23"/>
        <v>2085.5</v>
      </c>
      <c r="BF113" s="80"/>
      <c r="BG113" s="81">
        <v>-463.1</v>
      </c>
      <c r="BH113" s="81">
        <v>-168.1</v>
      </c>
      <c r="BI113" s="81">
        <v>0</v>
      </c>
      <c r="BJ113" s="81">
        <v>0</v>
      </c>
      <c r="BK113" s="81">
        <v>0</v>
      </c>
      <c r="BL113" s="81">
        <v>0</v>
      </c>
    </row>
    <row r="114" spans="1:64" ht="15.75" thickBot="1" x14ac:dyDescent="0.3">
      <c r="A114" s="108" t="s">
        <v>142</v>
      </c>
      <c r="B114" s="109"/>
      <c r="C114" s="109"/>
      <c r="D114" s="109"/>
      <c r="E114" s="109"/>
      <c r="F114" s="109"/>
      <c r="G114" s="109"/>
      <c r="H114" s="109"/>
      <c r="I114" s="109"/>
      <c r="J114" s="109"/>
      <c r="K114" s="109"/>
      <c r="L114" s="109"/>
      <c r="M114" s="109"/>
      <c r="N114" s="109"/>
      <c r="O114" s="109"/>
      <c r="P114" s="109"/>
      <c r="Q114" s="109"/>
      <c r="R114" s="109"/>
      <c r="S114" s="109"/>
      <c r="T114" s="109"/>
      <c r="U114" s="109"/>
      <c r="V114" s="109"/>
      <c r="W114" s="109"/>
      <c r="X114" s="109"/>
      <c r="Y114" s="109"/>
      <c r="Z114" s="109"/>
      <c r="AA114" s="109"/>
      <c r="AB114" s="109"/>
      <c r="AC114" s="109"/>
      <c r="AD114" s="109"/>
      <c r="AE114" s="109"/>
      <c r="AF114" s="109"/>
      <c r="AG114" s="103"/>
      <c r="AH114" s="46">
        <f t="shared" si="22"/>
        <v>0</v>
      </c>
      <c r="AI114" s="47">
        <f t="shared" si="23"/>
        <v>0</v>
      </c>
      <c r="BF114" s="80"/>
      <c r="BG114" s="81">
        <v>-344.2</v>
      </c>
      <c r="BH114" s="81">
        <v>-189.8</v>
      </c>
      <c r="BI114" s="81">
        <v>0</v>
      </c>
      <c r="BJ114" s="81">
        <v>0</v>
      </c>
      <c r="BK114" s="81">
        <v>0</v>
      </c>
      <c r="BL114" s="81">
        <v>0</v>
      </c>
    </row>
    <row r="115" spans="1:64" ht="15.75" thickBot="1" x14ac:dyDescent="0.3">
      <c r="A115" s="86" t="s">
        <v>143</v>
      </c>
      <c r="B115" s="107">
        <f>B113+B114</f>
        <v>2524.3000000000002</v>
      </c>
      <c r="C115" s="107">
        <f t="shared" ref="C115:AF115" si="34">C113+C114</f>
        <v>2264.6999999999998</v>
      </c>
      <c r="D115" s="107">
        <f t="shared" si="34"/>
        <v>2110.5</v>
      </c>
      <c r="E115" s="107">
        <f t="shared" si="34"/>
        <v>2085.5</v>
      </c>
      <c r="F115" s="107">
        <f t="shared" si="34"/>
        <v>2265.6</v>
      </c>
      <c r="G115" s="107">
        <f t="shared" si="34"/>
        <v>2275.8000000000002</v>
      </c>
      <c r="H115" s="107">
        <f t="shared" si="34"/>
        <v>2289.7000000000003</v>
      </c>
      <c r="I115" s="107">
        <f t="shared" si="34"/>
        <v>2289.7000000000003</v>
      </c>
      <c r="J115" s="107">
        <f t="shared" si="34"/>
        <v>2330.1000000000004</v>
      </c>
      <c r="K115" s="107">
        <f t="shared" si="34"/>
        <v>2339.9</v>
      </c>
      <c r="L115" s="107">
        <f t="shared" si="34"/>
        <v>2463.5</v>
      </c>
      <c r="M115" s="107">
        <f t="shared" si="34"/>
        <v>2530.2999999999993</v>
      </c>
      <c r="N115" s="107">
        <f t="shared" si="34"/>
        <v>2529.3999999999996</v>
      </c>
      <c r="O115" s="107">
        <f t="shared" si="34"/>
        <v>2638.95</v>
      </c>
      <c r="P115" s="107">
        <f t="shared" si="34"/>
        <v>2640.85</v>
      </c>
      <c r="Q115" s="107">
        <f t="shared" si="34"/>
        <v>2617.2499999999995</v>
      </c>
      <c r="R115" s="107">
        <f t="shared" si="34"/>
        <v>2665.0699999999993</v>
      </c>
      <c r="S115" s="107">
        <f t="shared" si="34"/>
        <v>2706.5699999999993</v>
      </c>
      <c r="T115" s="107">
        <f t="shared" si="34"/>
        <v>2747.0699999999993</v>
      </c>
      <c r="U115" s="107">
        <f t="shared" si="34"/>
        <v>2735.6699999999992</v>
      </c>
      <c r="V115" s="107">
        <f t="shared" si="34"/>
        <v>2720.97</v>
      </c>
      <c r="W115" s="107">
        <f t="shared" si="34"/>
        <v>2720.97</v>
      </c>
      <c r="X115" s="107">
        <f t="shared" si="34"/>
        <v>2665.87</v>
      </c>
      <c r="Y115" s="107">
        <f t="shared" si="34"/>
        <v>2677.5199999999995</v>
      </c>
      <c r="Z115" s="107">
        <f t="shared" si="34"/>
        <v>2721.5499999999993</v>
      </c>
      <c r="AA115" s="107">
        <f t="shared" si="34"/>
        <v>2733.4699999999993</v>
      </c>
      <c r="AB115" s="107">
        <f t="shared" si="34"/>
        <v>2577.3000000000002</v>
      </c>
      <c r="AC115" s="107">
        <f t="shared" si="34"/>
        <v>2557.4</v>
      </c>
      <c r="AD115" s="107">
        <f t="shared" si="34"/>
        <v>2574.3000000000002</v>
      </c>
      <c r="AE115" s="107">
        <f t="shared" si="34"/>
        <v>2551.6</v>
      </c>
      <c r="AF115" s="107">
        <f t="shared" si="34"/>
        <v>2549.2999999999997</v>
      </c>
      <c r="AG115" s="103">
        <f>AG112+AG108+AG96+AG92+AG71+AG114</f>
        <v>2463.5149999999999</v>
      </c>
      <c r="AH115" s="46">
        <f t="shared" si="22"/>
        <v>2747.0699999999993</v>
      </c>
      <c r="AI115" s="47">
        <f t="shared" si="23"/>
        <v>2085.5</v>
      </c>
      <c r="BF115" s="80"/>
      <c r="BG115" s="81">
        <v>-376.3</v>
      </c>
      <c r="BH115" s="81">
        <v>-182.3</v>
      </c>
      <c r="BI115" s="81">
        <v>0</v>
      </c>
      <c r="BJ115" s="81">
        <v>0</v>
      </c>
      <c r="BK115" s="81">
        <v>0</v>
      </c>
      <c r="BL115" s="81">
        <v>0</v>
      </c>
    </row>
    <row r="116" spans="1:64" ht="15.75" thickBot="1" x14ac:dyDescent="0.3">
      <c r="A116" s="86" t="s">
        <v>144</v>
      </c>
      <c r="B116" s="107">
        <f>B115-(B123)</f>
        <v>1806.3000000000002</v>
      </c>
      <c r="C116" s="107">
        <f t="shared" ref="C116:AF116" si="35">C115-(C123)</f>
        <v>1566.6999999999998</v>
      </c>
      <c r="D116" s="107">
        <f t="shared" si="35"/>
        <v>1480.5</v>
      </c>
      <c r="E116" s="107">
        <f t="shared" si="35"/>
        <v>1367.5</v>
      </c>
      <c r="F116" s="107">
        <f t="shared" si="35"/>
        <v>1660.1</v>
      </c>
      <c r="G116" s="107">
        <f t="shared" si="35"/>
        <v>1616.1000000000004</v>
      </c>
      <c r="H116" s="107">
        <f t="shared" si="35"/>
        <v>1620.2000000000003</v>
      </c>
      <c r="I116" s="107">
        <f t="shared" si="35"/>
        <v>1644.1000000000004</v>
      </c>
      <c r="J116" s="107">
        <f t="shared" si="35"/>
        <v>1629.4000000000003</v>
      </c>
      <c r="K116" s="107">
        <f t="shared" si="35"/>
        <v>1617.8000000000002</v>
      </c>
      <c r="L116" s="107">
        <f t="shared" si="35"/>
        <v>1666.1999999999998</v>
      </c>
      <c r="M116" s="107">
        <f t="shared" si="35"/>
        <v>1714.9999999999993</v>
      </c>
      <c r="N116" s="107">
        <f t="shared" si="35"/>
        <v>1746.3999999999996</v>
      </c>
      <c r="O116" s="107">
        <f t="shared" si="35"/>
        <v>1776.1499999999996</v>
      </c>
      <c r="P116" s="107">
        <f t="shared" si="35"/>
        <v>1736.6499999999999</v>
      </c>
      <c r="Q116" s="107">
        <f t="shared" si="35"/>
        <v>1740.7499999999995</v>
      </c>
      <c r="R116" s="107">
        <f t="shared" si="35"/>
        <v>1769.9699999999991</v>
      </c>
      <c r="S116" s="107">
        <f t="shared" si="35"/>
        <v>1835.9699999999993</v>
      </c>
      <c r="T116" s="107">
        <f t="shared" si="35"/>
        <v>1946.7699999999991</v>
      </c>
      <c r="U116" s="107">
        <f t="shared" si="35"/>
        <v>1896.1699999999992</v>
      </c>
      <c r="V116" s="107">
        <f t="shared" si="35"/>
        <v>1877.5699999999997</v>
      </c>
      <c r="W116" s="107">
        <f t="shared" si="35"/>
        <v>1954.9699999999998</v>
      </c>
      <c r="X116" s="107">
        <f t="shared" si="35"/>
        <v>1949.17</v>
      </c>
      <c r="Y116" s="107">
        <f t="shared" si="35"/>
        <v>1928.4199999999996</v>
      </c>
      <c r="Z116" s="107">
        <f t="shared" si="35"/>
        <v>2041.3499999999992</v>
      </c>
      <c r="AA116" s="107">
        <f t="shared" si="35"/>
        <v>2204.1699999999992</v>
      </c>
      <c r="AB116" s="107">
        <f t="shared" si="35"/>
        <v>2043.3000000000002</v>
      </c>
      <c r="AC116" s="107">
        <f t="shared" si="35"/>
        <v>1994.8000000000002</v>
      </c>
      <c r="AD116" s="107">
        <f t="shared" si="35"/>
        <v>2015.7000000000003</v>
      </c>
      <c r="AE116" s="107">
        <f t="shared" si="35"/>
        <v>1926.3999999999999</v>
      </c>
      <c r="AF116" s="107">
        <f t="shared" si="35"/>
        <v>1913.0999999999997</v>
      </c>
      <c r="AG116" s="103"/>
      <c r="AH116" s="46">
        <f t="shared" si="22"/>
        <v>2204.1699999999992</v>
      </c>
      <c r="AI116" s="47">
        <f t="shared" si="23"/>
        <v>1367.5</v>
      </c>
      <c r="BF116" s="80"/>
      <c r="BG116" s="81">
        <v>-435.6</v>
      </c>
      <c r="BH116" s="81">
        <v>-189.6</v>
      </c>
      <c r="BI116" s="81">
        <v>0</v>
      </c>
      <c r="BJ116" s="81">
        <v>0</v>
      </c>
      <c r="BK116" s="81">
        <v>0</v>
      </c>
      <c r="BL116" s="81">
        <v>0</v>
      </c>
    </row>
    <row r="117" spans="1:64" x14ac:dyDescent="0.25">
      <c r="A117" s="42" t="s">
        <v>122</v>
      </c>
      <c r="B117" s="92">
        <f t="shared" ref="B117:AF122" si="36">IF(B97&lt;0,B97*-1,0)</f>
        <v>478</v>
      </c>
      <c r="C117" s="92">
        <f t="shared" si="36"/>
        <v>480</v>
      </c>
      <c r="D117" s="92">
        <f t="shared" si="36"/>
        <v>460</v>
      </c>
      <c r="E117" s="92">
        <f t="shared" si="36"/>
        <v>478</v>
      </c>
      <c r="F117" s="92">
        <f t="shared" si="36"/>
        <v>431.1</v>
      </c>
      <c r="G117" s="92">
        <f t="shared" si="36"/>
        <v>472</v>
      </c>
      <c r="H117" s="92">
        <f t="shared" si="36"/>
        <v>505.9</v>
      </c>
      <c r="I117" s="92">
        <f t="shared" si="36"/>
        <v>467.3</v>
      </c>
      <c r="J117" s="92">
        <f t="shared" si="36"/>
        <v>512.70000000000005</v>
      </c>
      <c r="K117" s="92">
        <f t="shared" si="36"/>
        <v>540</v>
      </c>
      <c r="L117" s="92">
        <f t="shared" si="36"/>
        <v>553</v>
      </c>
      <c r="M117" s="92">
        <f t="shared" si="36"/>
        <v>587.4</v>
      </c>
      <c r="N117" s="92">
        <f t="shared" si="36"/>
        <v>559.79999999999995</v>
      </c>
      <c r="O117" s="92">
        <f t="shared" si="36"/>
        <v>639.70000000000005</v>
      </c>
      <c r="P117" s="92">
        <f t="shared" si="36"/>
        <v>673.5</v>
      </c>
      <c r="Q117" s="92">
        <f t="shared" si="36"/>
        <v>649.79999999999995</v>
      </c>
      <c r="R117" s="92">
        <f t="shared" si="36"/>
        <v>650.70000000000005</v>
      </c>
      <c r="S117" s="92">
        <f t="shared" si="36"/>
        <v>625.20000000000005</v>
      </c>
      <c r="T117" s="92">
        <f t="shared" si="36"/>
        <v>574.20000000000005</v>
      </c>
      <c r="U117" s="92">
        <f t="shared" si="36"/>
        <v>602.1</v>
      </c>
      <c r="V117" s="92">
        <f t="shared" si="36"/>
        <v>604.20000000000005</v>
      </c>
      <c r="W117" s="92">
        <f t="shared" si="36"/>
        <v>565.5</v>
      </c>
      <c r="X117" s="92">
        <f t="shared" si="36"/>
        <v>508.2</v>
      </c>
      <c r="Y117" s="92">
        <f t="shared" si="36"/>
        <v>535.29999999999995</v>
      </c>
      <c r="Z117" s="92">
        <f t="shared" si="36"/>
        <v>463.1</v>
      </c>
      <c r="AA117" s="92">
        <f t="shared" si="36"/>
        <v>374.4</v>
      </c>
      <c r="AB117" s="92">
        <f t="shared" si="36"/>
        <v>344.2</v>
      </c>
      <c r="AC117" s="92">
        <f t="shared" si="36"/>
        <v>376.3</v>
      </c>
      <c r="AD117" s="92">
        <f t="shared" si="36"/>
        <v>376.3</v>
      </c>
      <c r="AE117" s="92">
        <f t="shared" si="36"/>
        <v>435.6</v>
      </c>
      <c r="AF117" s="92">
        <f t="shared" si="36"/>
        <v>445.6</v>
      </c>
      <c r="AG117" s="61"/>
      <c r="AH117" s="46">
        <f t="shared" si="22"/>
        <v>673.5</v>
      </c>
      <c r="AI117" s="47">
        <f t="shared" si="23"/>
        <v>344.2</v>
      </c>
      <c r="BG117" s="81">
        <v>-445.6</v>
      </c>
      <c r="BH117" s="81">
        <v>-190.6</v>
      </c>
      <c r="BI117" s="81">
        <v>0</v>
      </c>
      <c r="BJ117" s="81">
        <v>0</v>
      </c>
      <c r="BK117" s="81">
        <v>0</v>
      </c>
      <c r="BL117" s="81">
        <v>0</v>
      </c>
    </row>
    <row r="118" spans="1:64" x14ac:dyDescent="0.25">
      <c r="A118" s="63" t="s">
        <v>123</v>
      </c>
      <c r="B118" s="92">
        <f t="shared" si="36"/>
        <v>203</v>
      </c>
      <c r="C118" s="92">
        <f t="shared" si="36"/>
        <v>188</v>
      </c>
      <c r="D118" s="92">
        <f t="shared" si="36"/>
        <v>170</v>
      </c>
      <c r="E118" s="92">
        <f t="shared" si="36"/>
        <v>203</v>
      </c>
      <c r="F118" s="92">
        <f t="shared" si="36"/>
        <v>172.3</v>
      </c>
      <c r="G118" s="92">
        <f t="shared" si="36"/>
        <v>172.4</v>
      </c>
      <c r="H118" s="92">
        <f t="shared" si="36"/>
        <v>157.5</v>
      </c>
      <c r="I118" s="92">
        <f t="shared" si="36"/>
        <v>128.19999999999999</v>
      </c>
      <c r="J118" s="92">
        <f t="shared" si="36"/>
        <v>138.19999999999999</v>
      </c>
      <c r="K118" s="92">
        <f t="shared" si="36"/>
        <v>140.4</v>
      </c>
      <c r="L118" s="92">
        <f t="shared" si="36"/>
        <v>205.2</v>
      </c>
      <c r="M118" s="92">
        <f t="shared" si="36"/>
        <v>201.5</v>
      </c>
      <c r="N118" s="92">
        <f t="shared" si="36"/>
        <v>200.7</v>
      </c>
      <c r="O118" s="92">
        <f t="shared" si="36"/>
        <v>178</v>
      </c>
      <c r="P118" s="92">
        <f t="shared" si="36"/>
        <v>195.5</v>
      </c>
      <c r="Q118" s="92">
        <f t="shared" si="36"/>
        <v>193.7</v>
      </c>
      <c r="R118" s="92">
        <f t="shared" si="36"/>
        <v>208.2</v>
      </c>
      <c r="S118" s="92">
        <f t="shared" si="36"/>
        <v>208.6</v>
      </c>
      <c r="T118" s="92">
        <f t="shared" si="36"/>
        <v>187</v>
      </c>
      <c r="U118" s="92">
        <f t="shared" si="36"/>
        <v>197</v>
      </c>
      <c r="V118" s="92">
        <f t="shared" si="36"/>
        <v>185.1</v>
      </c>
      <c r="W118" s="92">
        <f t="shared" si="36"/>
        <v>157</v>
      </c>
      <c r="X118" s="92">
        <f t="shared" si="36"/>
        <v>160.1</v>
      </c>
      <c r="Y118" s="92">
        <f t="shared" si="36"/>
        <v>166.7</v>
      </c>
      <c r="Z118" s="92">
        <f t="shared" si="36"/>
        <v>168.1</v>
      </c>
      <c r="AA118" s="92">
        <f t="shared" si="36"/>
        <v>154.9</v>
      </c>
      <c r="AB118" s="92">
        <f t="shared" si="36"/>
        <v>189.8</v>
      </c>
      <c r="AC118" s="92">
        <f t="shared" si="36"/>
        <v>186.3</v>
      </c>
      <c r="AD118" s="92">
        <f t="shared" si="36"/>
        <v>182.3</v>
      </c>
      <c r="AE118" s="92">
        <f t="shared" si="36"/>
        <v>189.6</v>
      </c>
      <c r="AF118" s="92">
        <f t="shared" si="36"/>
        <v>190.6</v>
      </c>
      <c r="AG118" s="64"/>
      <c r="AH118" s="46">
        <f t="shared" si="22"/>
        <v>208.6</v>
      </c>
      <c r="AI118" s="47">
        <f t="shared" si="23"/>
        <v>128.19999999999999</v>
      </c>
      <c r="AK118" s="49"/>
      <c r="BG118" s="81">
        <v>-478</v>
      </c>
      <c r="BH118" s="81">
        <v>-203</v>
      </c>
      <c r="BI118" s="81">
        <v>0</v>
      </c>
      <c r="BJ118" s="81">
        <v>0</v>
      </c>
      <c r="BK118" s="81">
        <v>0</v>
      </c>
      <c r="BL118" s="81">
        <v>0</v>
      </c>
    </row>
    <row r="119" spans="1:64" x14ac:dyDescent="0.25">
      <c r="A119" s="95" t="s">
        <v>125</v>
      </c>
      <c r="B119" s="92">
        <f t="shared" si="36"/>
        <v>0</v>
      </c>
      <c r="C119" s="92">
        <f t="shared" si="36"/>
        <v>0</v>
      </c>
      <c r="D119" s="92">
        <f t="shared" si="36"/>
        <v>0</v>
      </c>
      <c r="E119" s="92">
        <f t="shared" si="36"/>
        <v>0</v>
      </c>
      <c r="F119" s="92">
        <f t="shared" si="36"/>
        <v>0</v>
      </c>
      <c r="G119" s="92">
        <f t="shared" si="36"/>
        <v>0</v>
      </c>
      <c r="H119" s="92">
        <f t="shared" si="36"/>
        <v>0</v>
      </c>
      <c r="I119" s="92">
        <f t="shared" si="36"/>
        <v>0</v>
      </c>
      <c r="J119" s="92">
        <f t="shared" si="36"/>
        <v>0</v>
      </c>
      <c r="K119" s="92">
        <f t="shared" si="36"/>
        <v>0</v>
      </c>
      <c r="L119" s="92">
        <f t="shared" si="36"/>
        <v>0</v>
      </c>
      <c r="M119" s="92">
        <f t="shared" si="36"/>
        <v>0</v>
      </c>
      <c r="N119" s="92">
        <f t="shared" si="36"/>
        <v>0</v>
      </c>
      <c r="O119" s="92">
        <f t="shared" si="36"/>
        <v>0</v>
      </c>
      <c r="P119" s="92">
        <f t="shared" si="36"/>
        <v>0</v>
      </c>
      <c r="Q119" s="92">
        <f t="shared" si="36"/>
        <v>0</v>
      </c>
      <c r="R119" s="92">
        <f t="shared" si="36"/>
        <v>0</v>
      </c>
      <c r="S119" s="92">
        <f t="shared" si="36"/>
        <v>0</v>
      </c>
      <c r="T119" s="92">
        <f t="shared" si="36"/>
        <v>0</v>
      </c>
      <c r="U119" s="92">
        <f t="shared" si="36"/>
        <v>0</v>
      </c>
      <c r="V119" s="92">
        <f t="shared" si="36"/>
        <v>0</v>
      </c>
      <c r="W119" s="92">
        <f t="shared" si="36"/>
        <v>0</v>
      </c>
      <c r="X119" s="92">
        <f t="shared" si="36"/>
        <v>0</v>
      </c>
      <c r="Y119" s="92">
        <f t="shared" si="36"/>
        <v>0</v>
      </c>
      <c r="Z119" s="92">
        <f t="shared" si="36"/>
        <v>0</v>
      </c>
      <c r="AA119" s="92">
        <f t="shared" si="36"/>
        <v>0</v>
      </c>
      <c r="AB119" s="92">
        <f t="shared" si="36"/>
        <v>0</v>
      </c>
      <c r="AC119" s="92">
        <f t="shared" si="36"/>
        <v>0</v>
      </c>
      <c r="AD119" s="92">
        <f t="shared" si="36"/>
        <v>0</v>
      </c>
      <c r="AE119" s="92">
        <f t="shared" si="36"/>
        <v>0</v>
      </c>
      <c r="AF119" s="92">
        <f t="shared" si="36"/>
        <v>0</v>
      </c>
      <c r="AG119" s="110"/>
      <c r="AH119" s="46">
        <f t="shared" si="22"/>
        <v>0</v>
      </c>
      <c r="AI119" s="47">
        <f t="shared" si="23"/>
        <v>0</v>
      </c>
    </row>
    <row r="120" spans="1:64" x14ac:dyDescent="0.25">
      <c r="A120" s="95" t="s">
        <v>126</v>
      </c>
      <c r="B120" s="92">
        <f t="shared" si="36"/>
        <v>0</v>
      </c>
      <c r="C120" s="92">
        <f t="shared" si="36"/>
        <v>0</v>
      </c>
      <c r="D120" s="92">
        <f t="shared" si="36"/>
        <v>0</v>
      </c>
      <c r="E120" s="92">
        <f t="shared" si="36"/>
        <v>0</v>
      </c>
      <c r="F120" s="92">
        <f t="shared" si="36"/>
        <v>0</v>
      </c>
      <c r="G120" s="92">
        <f t="shared" si="36"/>
        <v>0</v>
      </c>
      <c r="H120" s="92">
        <f t="shared" si="36"/>
        <v>0</v>
      </c>
      <c r="I120" s="92">
        <f t="shared" si="36"/>
        <v>0</v>
      </c>
      <c r="J120" s="92">
        <f t="shared" si="36"/>
        <v>0</v>
      </c>
      <c r="K120" s="92">
        <f t="shared" si="36"/>
        <v>0</v>
      </c>
      <c r="L120" s="92">
        <f t="shared" si="36"/>
        <v>0</v>
      </c>
      <c r="M120" s="92">
        <f t="shared" si="36"/>
        <v>0</v>
      </c>
      <c r="N120" s="92">
        <f t="shared" si="36"/>
        <v>0</v>
      </c>
      <c r="O120" s="92">
        <f t="shared" si="36"/>
        <v>0</v>
      </c>
      <c r="P120" s="92">
        <f t="shared" si="36"/>
        <v>0</v>
      </c>
      <c r="Q120" s="92">
        <f t="shared" si="36"/>
        <v>0</v>
      </c>
      <c r="R120" s="92">
        <f t="shared" si="36"/>
        <v>0</v>
      </c>
      <c r="S120" s="92">
        <f t="shared" si="36"/>
        <v>0</v>
      </c>
      <c r="T120" s="92">
        <f t="shared" si="36"/>
        <v>0</v>
      </c>
      <c r="U120" s="92">
        <f t="shared" si="36"/>
        <v>0</v>
      </c>
      <c r="V120" s="92">
        <f t="shared" si="36"/>
        <v>0</v>
      </c>
      <c r="W120" s="92">
        <f t="shared" si="36"/>
        <v>0</v>
      </c>
      <c r="X120" s="92">
        <f t="shared" si="36"/>
        <v>0</v>
      </c>
      <c r="Y120" s="92">
        <f t="shared" si="36"/>
        <v>0</v>
      </c>
      <c r="Z120" s="92">
        <f t="shared" si="36"/>
        <v>0</v>
      </c>
      <c r="AA120" s="92">
        <f t="shared" si="36"/>
        <v>0</v>
      </c>
      <c r="AB120" s="92">
        <f t="shared" si="36"/>
        <v>0</v>
      </c>
      <c r="AC120" s="92">
        <f t="shared" si="36"/>
        <v>0</v>
      </c>
      <c r="AD120" s="92">
        <f t="shared" si="36"/>
        <v>0</v>
      </c>
      <c r="AE120" s="92">
        <f t="shared" si="36"/>
        <v>0</v>
      </c>
      <c r="AF120" s="92">
        <f t="shared" si="36"/>
        <v>0</v>
      </c>
      <c r="AG120" s="110"/>
      <c r="AH120" s="46">
        <f t="shared" si="22"/>
        <v>0</v>
      </c>
      <c r="AI120" s="47">
        <f t="shared" si="23"/>
        <v>0</v>
      </c>
    </row>
    <row r="121" spans="1:64" x14ac:dyDescent="0.25">
      <c r="A121" s="95" t="s">
        <v>128</v>
      </c>
      <c r="B121" s="92">
        <f t="shared" si="36"/>
        <v>0</v>
      </c>
      <c r="C121" s="92">
        <f t="shared" si="36"/>
        <v>0</v>
      </c>
      <c r="D121" s="92">
        <f t="shared" si="36"/>
        <v>0</v>
      </c>
      <c r="E121" s="92">
        <f t="shared" si="36"/>
        <v>0</v>
      </c>
      <c r="F121" s="92">
        <f t="shared" si="36"/>
        <v>0</v>
      </c>
      <c r="G121" s="92">
        <f t="shared" si="36"/>
        <v>0</v>
      </c>
      <c r="H121" s="92">
        <f t="shared" si="36"/>
        <v>0</v>
      </c>
      <c r="I121" s="92">
        <f t="shared" si="36"/>
        <v>0</v>
      </c>
      <c r="J121" s="92">
        <f t="shared" si="36"/>
        <v>0</v>
      </c>
      <c r="K121" s="92">
        <f t="shared" si="36"/>
        <v>0</v>
      </c>
      <c r="L121" s="92">
        <f t="shared" si="36"/>
        <v>0</v>
      </c>
      <c r="M121" s="92">
        <f t="shared" si="36"/>
        <v>0</v>
      </c>
      <c r="N121" s="92">
        <f t="shared" si="36"/>
        <v>0</v>
      </c>
      <c r="O121" s="92">
        <f t="shared" si="36"/>
        <v>0</v>
      </c>
      <c r="P121" s="92">
        <f t="shared" si="36"/>
        <v>0</v>
      </c>
      <c r="Q121" s="92">
        <f t="shared" si="36"/>
        <v>0</v>
      </c>
      <c r="R121" s="92">
        <f t="shared" si="36"/>
        <v>0</v>
      </c>
      <c r="S121" s="92">
        <f t="shared" si="36"/>
        <v>0</v>
      </c>
      <c r="T121" s="92">
        <f t="shared" si="36"/>
        <v>0</v>
      </c>
      <c r="U121" s="92">
        <f t="shared" si="36"/>
        <v>0</v>
      </c>
      <c r="V121" s="92">
        <f t="shared" si="36"/>
        <v>0</v>
      </c>
      <c r="W121" s="92">
        <f t="shared" si="36"/>
        <v>0</v>
      </c>
      <c r="X121" s="92">
        <f t="shared" si="36"/>
        <v>0</v>
      </c>
      <c r="Y121" s="92">
        <f t="shared" si="36"/>
        <v>0</v>
      </c>
      <c r="Z121" s="92">
        <f t="shared" si="36"/>
        <v>0</v>
      </c>
      <c r="AA121" s="92">
        <f t="shared" si="36"/>
        <v>0</v>
      </c>
      <c r="AB121" s="92">
        <f t="shared" si="36"/>
        <v>0</v>
      </c>
      <c r="AC121" s="92">
        <f t="shared" si="36"/>
        <v>0</v>
      </c>
      <c r="AD121" s="92">
        <f t="shared" si="36"/>
        <v>0</v>
      </c>
      <c r="AE121" s="92">
        <f t="shared" si="36"/>
        <v>0</v>
      </c>
      <c r="AF121" s="92">
        <f t="shared" si="36"/>
        <v>0</v>
      </c>
      <c r="AG121" s="110"/>
      <c r="AH121" s="46">
        <f t="shared" si="22"/>
        <v>0</v>
      </c>
      <c r="AI121" s="47">
        <f t="shared" si="23"/>
        <v>0</v>
      </c>
    </row>
    <row r="122" spans="1:64" ht="15.75" thickBot="1" x14ac:dyDescent="0.3">
      <c r="A122" s="95" t="s">
        <v>130</v>
      </c>
      <c r="B122" s="92">
        <f t="shared" si="36"/>
        <v>37</v>
      </c>
      <c r="C122" s="92">
        <f t="shared" si="36"/>
        <v>30</v>
      </c>
      <c r="D122" s="92">
        <f t="shared" si="36"/>
        <v>0</v>
      </c>
      <c r="E122" s="92">
        <f t="shared" si="36"/>
        <v>37</v>
      </c>
      <c r="F122" s="92">
        <f t="shared" si="36"/>
        <v>2.1</v>
      </c>
      <c r="G122" s="92">
        <f t="shared" si="36"/>
        <v>15.3</v>
      </c>
      <c r="H122" s="92">
        <f t="shared" si="36"/>
        <v>6.1</v>
      </c>
      <c r="I122" s="92">
        <f t="shared" si="36"/>
        <v>50.1</v>
      </c>
      <c r="J122" s="92">
        <f t="shared" si="36"/>
        <v>49.8</v>
      </c>
      <c r="K122" s="92">
        <f t="shared" si="36"/>
        <v>41.7</v>
      </c>
      <c r="L122" s="92">
        <f t="shared" si="36"/>
        <v>39.1</v>
      </c>
      <c r="M122" s="92">
        <f t="shared" si="36"/>
        <v>26.4</v>
      </c>
      <c r="N122" s="92">
        <f t="shared" si="36"/>
        <v>22.5</v>
      </c>
      <c r="O122" s="92">
        <f t="shared" si="36"/>
        <v>45.1</v>
      </c>
      <c r="P122" s="92">
        <f t="shared" si="36"/>
        <v>35.200000000000003</v>
      </c>
      <c r="Q122" s="92">
        <f t="shared" si="36"/>
        <v>33</v>
      </c>
      <c r="R122" s="92">
        <f t="shared" si="36"/>
        <v>36.200000000000003</v>
      </c>
      <c r="S122" s="92">
        <f t="shared" si="36"/>
        <v>36.799999999999997</v>
      </c>
      <c r="T122" s="92">
        <f t="shared" si="36"/>
        <v>39.1</v>
      </c>
      <c r="U122" s="92">
        <f t="shared" si="36"/>
        <v>40.4</v>
      </c>
      <c r="V122" s="92">
        <f t="shared" si="36"/>
        <v>54.1</v>
      </c>
      <c r="W122" s="92">
        <f t="shared" si="36"/>
        <v>43.5</v>
      </c>
      <c r="X122" s="92">
        <f t="shared" si="36"/>
        <v>48.4</v>
      </c>
      <c r="Y122" s="92">
        <f t="shared" si="36"/>
        <v>47.1</v>
      </c>
      <c r="Z122" s="92">
        <f t="shared" si="36"/>
        <v>49</v>
      </c>
      <c r="AA122" s="92">
        <f t="shared" si="36"/>
        <v>0</v>
      </c>
      <c r="AB122" s="92">
        <f t="shared" si="36"/>
        <v>0</v>
      </c>
      <c r="AC122" s="92">
        <f t="shared" si="36"/>
        <v>0</v>
      </c>
      <c r="AD122" s="92">
        <f t="shared" si="36"/>
        <v>0</v>
      </c>
      <c r="AE122" s="92">
        <f t="shared" si="36"/>
        <v>0</v>
      </c>
      <c r="AF122" s="92">
        <f t="shared" si="36"/>
        <v>0</v>
      </c>
      <c r="AG122" s="102"/>
      <c r="AH122" s="46">
        <f t="shared" si="22"/>
        <v>54.1</v>
      </c>
      <c r="AI122" s="47">
        <f t="shared" si="23"/>
        <v>0</v>
      </c>
    </row>
    <row r="123" spans="1:64" ht="15.75" thickBot="1" x14ac:dyDescent="0.3">
      <c r="A123" s="111" t="s">
        <v>145</v>
      </c>
      <c r="B123" s="69">
        <f>SUM(B117:B122)</f>
        <v>718</v>
      </c>
      <c r="C123" s="69">
        <f t="shared" ref="C123:AF123" si="37">SUM(C117:C122)</f>
        <v>698</v>
      </c>
      <c r="D123" s="69">
        <f t="shared" si="37"/>
        <v>630</v>
      </c>
      <c r="E123" s="69">
        <f t="shared" si="37"/>
        <v>718</v>
      </c>
      <c r="F123" s="69">
        <f t="shared" si="37"/>
        <v>605.50000000000011</v>
      </c>
      <c r="G123" s="69">
        <f t="shared" si="37"/>
        <v>659.69999999999993</v>
      </c>
      <c r="H123" s="69">
        <f t="shared" si="37"/>
        <v>669.5</v>
      </c>
      <c r="I123" s="69">
        <f t="shared" si="37"/>
        <v>645.6</v>
      </c>
      <c r="J123" s="69">
        <f t="shared" si="37"/>
        <v>700.7</v>
      </c>
      <c r="K123" s="69">
        <f t="shared" si="37"/>
        <v>722.1</v>
      </c>
      <c r="L123" s="69">
        <f t="shared" si="37"/>
        <v>797.30000000000007</v>
      </c>
      <c r="M123" s="69">
        <f t="shared" si="37"/>
        <v>815.3</v>
      </c>
      <c r="N123" s="69">
        <f t="shared" si="37"/>
        <v>783</v>
      </c>
      <c r="O123" s="69">
        <f t="shared" si="37"/>
        <v>862.80000000000007</v>
      </c>
      <c r="P123" s="69">
        <f t="shared" si="37"/>
        <v>904.2</v>
      </c>
      <c r="Q123" s="69">
        <f t="shared" si="37"/>
        <v>876.5</v>
      </c>
      <c r="R123" s="69">
        <f t="shared" si="37"/>
        <v>895.10000000000014</v>
      </c>
      <c r="S123" s="69">
        <f t="shared" si="37"/>
        <v>870.6</v>
      </c>
      <c r="T123" s="69">
        <f t="shared" si="37"/>
        <v>800.30000000000007</v>
      </c>
      <c r="U123" s="69">
        <f t="shared" si="37"/>
        <v>839.5</v>
      </c>
      <c r="V123" s="69">
        <f t="shared" si="37"/>
        <v>843.40000000000009</v>
      </c>
      <c r="W123" s="69">
        <f t="shared" si="37"/>
        <v>766</v>
      </c>
      <c r="X123" s="69">
        <f t="shared" si="37"/>
        <v>716.69999999999993</v>
      </c>
      <c r="Y123" s="69">
        <f t="shared" si="37"/>
        <v>749.1</v>
      </c>
      <c r="Z123" s="69">
        <f t="shared" si="37"/>
        <v>680.2</v>
      </c>
      <c r="AA123" s="69">
        <f t="shared" si="37"/>
        <v>529.29999999999995</v>
      </c>
      <c r="AB123" s="69">
        <f t="shared" si="37"/>
        <v>534</v>
      </c>
      <c r="AC123" s="69">
        <f t="shared" si="37"/>
        <v>562.6</v>
      </c>
      <c r="AD123" s="69">
        <f t="shared" si="37"/>
        <v>558.6</v>
      </c>
      <c r="AE123" s="69">
        <f t="shared" si="37"/>
        <v>625.20000000000005</v>
      </c>
      <c r="AF123" s="69">
        <f t="shared" si="37"/>
        <v>636.20000000000005</v>
      </c>
      <c r="AG123" s="103"/>
      <c r="AH123" s="46">
        <f t="shared" si="22"/>
        <v>904.2</v>
      </c>
      <c r="AI123" s="47">
        <f t="shared" si="23"/>
        <v>529.29999999999995</v>
      </c>
      <c r="AJ123" s="104">
        <f t="array" ref="AJ123">MIN(IF(B123:AF123&lt;&gt;0,B123:AF123))</f>
        <v>529.29999999999995</v>
      </c>
    </row>
    <row r="124" spans="1:64" ht="15.75" thickBot="1" x14ac:dyDescent="0.3">
      <c r="A124" s="86" t="s">
        <v>146</v>
      </c>
      <c r="B124" s="69">
        <f>B108-B123</f>
        <v>-718</v>
      </c>
      <c r="C124" s="69">
        <f t="shared" ref="C124:AF124" si="38">C108-C123</f>
        <v>-698</v>
      </c>
      <c r="D124" s="69">
        <f t="shared" si="38"/>
        <v>-605</v>
      </c>
      <c r="E124" s="69">
        <f t="shared" si="38"/>
        <v>-718</v>
      </c>
      <c r="F124" s="69">
        <f t="shared" si="38"/>
        <v>-605.50000000000011</v>
      </c>
      <c r="G124" s="69">
        <f t="shared" si="38"/>
        <v>-659.69999999999993</v>
      </c>
      <c r="H124" s="69">
        <f t="shared" si="38"/>
        <v>-669.5</v>
      </c>
      <c r="I124" s="69">
        <f t="shared" si="38"/>
        <v>-645.6</v>
      </c>
      <c r="J124" s="69">
        <f t="shared" si="38"/>
        <v>-700.7</v>
      </c>
      <c r="K124" s="69">
        <f t="shared" si="38"/>
        <v>-722.1</v>
      </c>
      <c r="L124" s="69">
        <f t="shared" si="38"/>
        <v>-797.30000000000007</v>
      </c>
      <c r="M124" s="69">
        <f t="shared" si="38"/>
        <v>-815.3</v>
      </c>
      <c r="N124" s="69">
        <f t="shared" si="38"/>
        <v>-783</v>
      </c>
      <c r="O124" s="69">
        <f t="shared" si="38"/>
        <v>-862.80000000000007</v>
      </c>
      <c r="P124" s="69">
        <f t="shared" si="38"/>
        <v>-904.2</v>
      </c>
      <c r="Q124" s="69">
        <f t="shared" si="38"/>
        <v>-876.5</v>
      </c>
      <c r="R124" s="69">
        <f t="shared" si="38"/>
        <v>-895.10000000000014</v>
      </c>
      <c r="S124" s="69">
        <f t="shared" si="38"/>
        <v>-870.6</v>
      </c>
      <c r="T124" s="69">
        <f t="shared" si="38"/>
        <v>-800.30000000000007</v>
      </c>
      <c r="U124" s="69">
        <f t="shared" si="38"/>
        <v>-839.5</v>
      </c>
      <c r="V124" s="69">
        <f t="shared" si="38"/>
        <v>-843.40000000000009</v>
      </c>
      <c r="W124" s="69">
        <f t="shared" si="38"/>
        <v>-766</v>
      </c>
      <c r="X124" s="69">
        <f t="shared" si="38"/>
        <v>-716.69999999999993</v>
      </c>
      <c r="Y124" s="69">
        <f t="shared" si="38"/>
        <v>-749.1</v>
      </c>
      <c r="Z124" s="69">
        <f t="shared" si="38"/>
        <v>-680.2</v>
      </c>
      <c r="AA124" s="69">
        <f t="shared" si="38"/>
        <v>-524.79999999999995</v>
      </c>
      <c r="AB124" s="69">
        <f t="shared" si="38"/>
        <v>-517.9</v>
      </c>
      <c r="AC124" s="69">
        <f t="shared" si="38"/>
        <v>-557</v>
      </c>
      <c r="AD124" s="69">
        <f t="shared" si="38"/>
        <v>-549</v>
      </c>
      <c r="AE124" s="69">
        <f t="shared" si="38"/>
        <v>-616.30000000000007</v>
      </c>
      <c r="AF124" s="69">
        <f t="shared" si="38"/>
        <v>-629.6</v>
      </c>
      <c r="AG124" s="103"/>
      <c r="AH124" s="46">
        <f t="shared" si="22"/>
        <v>-517.9</v>
      </c>
      <c r="AI124" s="47">
        <f t="shared" si="23"/>
        <v>-904.2</v>
      </c>
    </row>
    <row r="125" spans="1:64" ht="15.75" thickBot="1" x14ac:dyDescent="0.3">
      <c r="A125" s="112" t="s">
        <v>147</v>
      </c>
      <c r="B125" s="113"/>
      <c r="C125" s="113"/>
      <c r="D125" s="113"/>
      <c r="E125" s="113"/>
      <c r="F125" s="113"/>
      <c r="G125" s="113"/>
      <c r="H125" s="113"/>
      <c r="I125" s="113"/>
      <c r="J125" s="113"/>
      <c r="K125" s="113"/>
      <c r="L125" s="113"/>
      <c r="M125" s="113"/>
      <c r="N125" s="113"/>
      <c r="O125" s="113"/>
      <c r="P125" s="113"/>
      <c r="Q125" s="113"/>
      <c r="R125" s="113"/>
      <c r="S125" s="113"/>
      <c r="T125" s="113"/>
      <c r="U125" s="113"/>
      <c r="V125" s="113"/>
      <c r="W125" s="113"/>
      <c r="X125" s="113"/>
      <c r="Y125" s="113"/>
      <c r="Z125" s="113"/>
      <c r="AA125" s="113"/>
      <c r="AB125" s="113"/>
      <c r="AC125" s="113"/>
      <c r="AD125" s="113"/>
      <c r="AE125" s="113"/>
      <c r="AF125" s="113"/>
      <c r="AG125" s="114"/>
      <c r="AH125" s="46">
        <f t="shared" si="22"/>
        <v>0</v>
      </c>
      <c r="AI125" s="47">
        <f t="shared" si="23"/>
        <v>0</v>
      </c>
    </row>
    <row r="126" spans="1:64" x14ac:dyDescent="0.25">
      <c r="A126" s="115" t="s">
        <v>148</v>
      </c>
      <c r="B126" s="116">
        <v>49.991</v>
      </c>
      <c r="C126" s="116">
        <v>49.991</v>
      </c>
      <c r="D126" s="116">
        <v>49.991</v>
      </c>
      <c r="E126" s="116">
        <v>49.991</v>
      </c>
      <c r="F126" s="116">
        <v>49.991</v>
      </c>
      <c r="G126" s="116">
        <v>49.841999999999999</v>
      </c>
      <c r="H126" s="116">
        <v>49.96</v>
      </c>
      <c r="I126" s="116">
        <v>49.744999999999997</v>
      </c>
      <c r="J126" s="116">
        <v>49.673999999999999</v>
      </c>
      <c r="K126" s="116">
        <v>49.761000000000003</v>
      </c>
      <c r="L126" s="116">
        <v>49.981000000000002</v>
      </c>
      <c r="M126" s="116">
        <v>50.106999999999999</v>
      </c>
      <c r="N126" s="116">
        <v>50.054000000000002</v>
      </c>
      <c r="O126" s="116">
        <v>49.904000000000003</v>
      </c>
      <c r="P126" s="116">
        <v>50.000999999999998</v>
      </c>
      <c r="Q126" s="116">
        <v>49.957000000000001</v>
      </c>
      <c r="R126" s="116">
        <v>49.95</v>
      </c>
      <c r="S126" s="116">
        <v>49.994999999999997</v>
      </c>
      <c r="T126" s="116">
        <v>49.956000000000003</v>
      </c>
      <c r="U126" s="116">
        <v>49.963999999999999</v>
      </c>
      <c r="V126" s="116">
        <v>50.042000000000002</v>
      </c>
      <c r="W126" s="116">
        <v>50.042000000000002</v>
      </c>
      <c r="X126" s="116">
        <v>49.945999999999998</v>
      </c>
      <c r="Y126" s="116">
        <v>49.968000000000004</v>
      </c>
      <c r="Z126" s="116">
        <v>49.912999999999997</v>
      </c>
      <c r="AA126" s="116">
        <v>49.954999999999998</v>
      </c>
      <c r="AB126" s="116">
        <v>49.847999999999999</v>
      </c>
      <c r="AC126" s="116">
        <v>49.905999999999999</v>
      </c>
      <c r="AD126" s="116">
        <v>49.978000000000002</v>
      </c>
      <c r="AE126" s="116">
        <v>49.622999999999998</v>
      </c>
      <c r="AF126" s="116">
        <v>49.923000000000002</v>
      </c>
      <c r="AG126" s="117"/>
      <c r="AH126" s="46">
        <f t="shared" si="22"/>
        <v>50.106999999999999</v>
      </c>
      <c r="AI126" s="47">
        <f t="shared" si="23"/>
        <v>49.622999999999998</v>
      </c>
    </row>
    <row r="127" spans="1:64" x14ac:dyDescent="0.25">
      <c r="A127" s="118" t="s">
        <v>149</v>
      </c>
      <c r="B127" s="43">
        <v>133.4</v>
      </c>
      <c r="C127" s="43">
        <v>133.4</v>
      </c>
      <c r="D127" s="43">
        <v>133.4</v>
      </c>
      <c r="E127" s="43">
        <v>133.4</v>
      </c>
      <c r="F127" s="43">
        <v>133.4</v>
      </c>
      <c r="G127" s="43">
        <v>134.19999999999999</v>
      </c>
      <c r="H127" s="43">
        <v>135.80000000000001</v>
      </c>
      <c r="I127" s="43">
        <v>135.80000000000001</v>
      </c>
      <c r="J127" s="43">
        <v>131.5</v>
      </c>
      <c r="K127" s="43">
        <v>129.9</v>
      </c>
      <c r="L127" s="43">
        <v>132.4</v>
      </c>
      <c r="M127" s="43">
        <v>131.5</v>
      </c>
      <c r="N127" s="43">
        <v>131.69999999999999</v>
      </c>
      <c r="O127" s="43">
        <v>128.9</v>
      </c>
      <c r="P127" s="43">
        <v>135.69999999999999</v>
      </c>
      <c r="Q127" s="43">
        <v>132.80000000000001</v>
      </c>
      <c r="R127" s="43">
        <v>134.80000000000001</v>
      </c>
      <c r="S127" s="43">
        <v>134.80000000000001</v>
      </c>
      <c r="T127" s="43">
        <v>134.80000000000001</v>
      </c>
      <c r="U127" s="43">
        <v>134.80000000000001</v>
      </c>
      <c r="V127" s="43">
        <v>134.80000000000001</v>
      </c>
      <c r="W127" s="43">
        <v>134.80000000000001</v>
      </c>
      <c r="X127" s="43">
        <v>134.80000000000001</v>
      </c>
      <c r="Y127" s="43">
        <v>134.80000000000001</v>
      </c>
      <c r="Z127" s="43">
        <v>134.80000000000001</v>
      </c>
      <c r="AA127" s="43">
        <v>134.80000000000001</v>
      </c>
      <c r="AB127" s="43">
        <v>134.5</v>
      </c>
      <c r="AC127" s="43">
        <v>134.5</v>
      </c>
      <c r="AD127" s="43">
        <v>133.30000000000001</v>
      </c>
      <c r="AE127" s="43">
        <v>133.30000000000001</v>
      </c>
      <c r="AF127" s="43">
        <v>134.5</v>
      </c>
      <c r="AG127" s="119"/>
      <c r="AH127" s="46">
        <f t="shared" si="22"/>
        <v>135.80000000000001</v>
      </c>
      <c r="AI127" s="47">
        <f t="shared" si="23"/>
        <v>128.9</v>
      </c>
    </row>
    <row r="128" spans="1:64" x14ac:dyDescent="0.25">
      <c r="A128" s="118" t="s">
        <v>150</v>
      </c>
      <c r="B128" s="43">
        <v>128.5</v>
      </c>
      <c r="C128" s="43">
        <v>128.5</v>
      </c>
      <c r="D128" s="43">
        <v>128.5</v>
      </c>
      <c r="E128" s="43">
        <v>128.5</v>
      </c>
      <c r="F128" s="43">
        <v>128.5</v>
      </c>
      <c r="G128" s="43">
        <v>131.30000000000001</v>
      </c>
      <c r="H128" s="43">
        <v>133.5</v>
      </c>
      <c r="I128" s="43">
        <v>133.5</v>
      </c>
      <c r="J128" s="43">
        <v>130.1</v>
      </c>
      <c r="K128" s="43">
        <v>127.7</v>
      </c>
      <c r="L128" s="43">
        <v>129.4</v>
      </c>
      <c r="M128" s="43">
        <v>128</v>
      </c>
      <c r="N128" s="43">
        <v>126.7</v>
      </c>
      <c r="O128" s="43">
        <v>129.80000000000001</v>
      </c>
      <c r="P128" s="43">
        <v>130.80000000000001</v>
      </c>
      <c r="Q128" s="43">
        <v>130.30000000000001</v>
      </c>
      <c r="R128" s="43">
        <v>130.6</v>
      </c>
      <c r="S128" s="43">
        <v>130.6</v>
      </c>
      <c r="T128" s="43">
        <v>130.6</v>
      </c>
      <c r="U128" s="43">
        <v>130.6</v>
      </c>
      <c r="V128" s="43">
        <v>130.6</v>
      </c>
      <c r="W128" s="43">
        <v>130.6</v>
      </c>
      <c r="X128" s="43">
        <v>130.6</v>
      </c>
      <c r="Y128" s="43">
        <v>130.6</v>
      </c>
      <c r="Z128" s="43">
        <v>130.6</v>
      </c>
      <c r="AA128" s="43">
        <v>130.6</v>
      </c>
      <c r="AB128" s="43">
        <v>129.19999999999999</v>
      </c>
      <c r="AC128" s="43">
        <v>129.19999999999999</v>
      </c>
      <c r="AD128" s="43">
        <v>129.6</v>
      </c>
      <c r="AE128" s="43">
        <v>129.6</v>
      </c>
      <c r="AF128" s="43">
        <v>129.6</v>
      </c>
      <c r="AG128" s="119"/>
      <c r="AH128" s="46">
        <f t="shared" si="22"/>
        <v>133.5</v>
      </c>
      <c r="AI128" s="47">
        <f t="shared" si="23"/>
        <v>126.7</v>
      </c>
    </row>
    <row r="129" spans="1:41" x14ac:dyDescent="0.25">
      <c r="A129" s="118" t="s">
        <v>151</v>
      </c>
      <c r="B129" s="43"/>
      <c r="C129" s="43"/>
      <c r="D129" s="43"/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  <c r="AA129" s="43"/>
      <c r="AB129" s="43"/>
      <c r="AC129" s="43"/>
      <c r="AD129" s="43"/>
      <c r="AE129" s="43"/>
      <c r="AF129" s="43"/>
      <c r="AG129" s="119"/>
      <c r="AH129" s="46">
        <f t="shared" si="22"/>
        <v>0</v>
      </c>
      <c r="AI129" s="47">
        <f t="shared" si="23"/>
        <v>0</v>
      </c>
    </row>
    <row r="130" spans="1:41" x14ac:dyDescent="0.25">
      <c r="A130" s="118" t="s">
        <v>152</v>
      </c>
      <c r="B130" s="43">
        <v>134.1</v>
      </c>
      <c r="C130" s="43">
        <v>134.1</v>
      </c>
      <c r="D130" s="43">
        <v>134.1</v>
      </c>
      <c r="E130" s="43">
        <v>134.1</v>
      </c>
      <c r="F130" s="43">
        <v>134.1</v>
      </c>
      <c r="G130" s="43">
        <v>135.19999999999999</v>
      </c>
      <c r="H130" s="43">
        <v>135.9</v>
      </c>
      <c r="I130" s="43">
        <v>135.9</v>
      </c>
      <c r="J130" s="43">
        <v>132.19999999999999</v>
      </c>
      <c r="K130" s="43">
        <v>132.5</v>
      </c>
      <c r="L130" s="43">
        <v>131.80000000000001</v>
      </c>
      <c r="M130" s="43">
        <v>131.69999999999999</v>
      </c>
      <c r="N130" s="43">
        <v>130.4</v>
      </c>
      <c r="O130" s="43">
        <v>133.1</v>
      </c>
      <c r="P130" s="43">
        <v>132.4</v>
      </c>
      <c r="Q130" s="43">
        <v>133.69999999999999</v>
      </c>
      <c r="R130" s="43">
        <v>133.6</v>
      </c>
      <c r="S130" s="43">
        <v>133.6</v>
      </c>
      <c r="T130" s="43">
        <v>133.6</v>
      </c>
      <c r="U130" s="43">
        <v>133.6</v>
      </c>
      <c r="V130" s="43">
        <v>133.6</v>
      </c>
      <c r="W130" s="43">
        <v>133.6</v>
      </c>
      <c r="X130" s="43">
        <v>133.6</v>
      </c>
      <c r="Y130" s="43">
        <v>133.6</v>
      </c>
      <c r="Z130" s="43">
        <v>133.6</v>
      </c>
      <c r="AA130" s="43">
        <v>133.6</v>
      </c>
      <c r="AB130" s="43">
        <v>133.9</v>
      </c>
      <c r="AC130" s="43">
        <v>133.9</v>
      </c>
      <c r="AD130" s="43">
        <v>135.6</v>
      </c>
      <c r="AE130" s="43">
        <v>135.6</v>
      </c>
      <c r="AF130" s="43">
        <v>135.6</v>
      </c>
      <c r="AG130" s="119"/>
      <c r="AH130" s="46">
        <f t="shared" si="22"/>
        <v>135.9</v>
      </c>
      <c r="AI130" s="47">
        <f t="shared" si="23"/>
        <v>130.4</v>
      </c>
    </row>
    <row r="131" spans="1:41" x14ac:dyDescent="0.25">
      <c r="A131" s="120" t="s">
        <v>153</v>
      </c>
      <c r="B131" s="121">
        <v>133.1</v>
      </c>
      <c r="C131" s="121">
        <v>133.1</v>
      </c>
      <c r="D131" s="121">
        <v>133.1</v>
      </c>
      <c r="E131" s="121">
        <v>133.1</v>
      </c>
      <c r="F131" s="121">
        <v>133.1</v>
      </c>
      <c r="G131" s="121">
        <v>134.80000000000001</v>
      </c>
      <c r="H131" s="121">
        <v>135.69999999999999</v>
      </c>
      <c r="I131" s="121">
        <v>135.69999999999999</v>
      </c>
      <c r="J131" s="121">
        <v>132.69999999999999</v>
      </c>
      <c r="K131" s="121">
        <v>134.4</v>
      </c>
      <c r="L131" s="121">
        <v>132</v>
      </c>
      <c r="M131" s="121">
        <v>133.19999999999999</v>
      </c>
      <c r="N131" s="121">
        <v>132.5</v>
      </c>
      <c r="O131" s="121">
        <v>134.5</v>
      </c>
      <c r="P131" s="121">
        <v>133.80000000000001</v>
      </c>
      <c r="Q131" s="121">
        <v>135</v>
      </c>
      <c r="R131" s="121">
        <v>133.69999999999999</v>
      </c>
      <c r="S131" s="121">
        <v>133.69999999999999</v>
      </c>
      <c r="T131" s="121">
        <v>133.69999999999999</v>
      </c>
      <c r="U131" s="121">
        <v>133.69999999999999</v>
      </c>
      <c r="V131" s="121">
        <v>133.69999999999999</v>
      </c>
      <c r="W131" s="121">
        <v>133.69999999999999</v>
      </c>
      <c r="X131" s="121">
        <v>133.69999999999999</v>
      </c>
      <c r="Y131" s="121">
        <v>133.69999999999999</v>
      </c>
      <c r="Z131" s="121">
        <v>133.69999999999999</v>
      </c>
      <c r="AA131" s="121">
        <v>133.69999999999999</v>
      </c>
      <c r="AB131" s="121">
        <v>133.69999999999999</v>
      </c>
      <c r="AC131" s="121">
        <v>133.69999999999999</v>
      </c>
      <c r="AD131" s="121">
        <v>133.30000000000001</v>
      </c>
      <c r="AE131" s="121">
        <v>133.30000000000001</v>
      </c>
      <c r="AF131" s="121">
        <v>133.30000000000001</v>
      </c>
      <c r="AG131" s="122"/>
      <c r="AH131" s="46">
        <f t="shared" si="22"/>
        <v>135.69999999999999</v>
      </c>
      <c r="AI131" s="47">
        <f t="shared" si="23"/>
        <v>132</v>
      </c>
    </row>
    <row r="132" spans="1:41" x14ac:dyDescent="0.25">
      <c r="A132" s="118" t="s">
        <v>154</v>
      </c>
      <c r="B132" s="43">
        <v>126.4</v>
      </c>
      <c r="C132" s="43">
        <v>126.4</v>
      </c>
      <c r="D132" s="43">
        <v>126.4</v>
      </c>
      <c r="E132" s="43">
        <v>126.4</v>
      </c>
      <c r="F132" s="43">
        <v>126.4</v>
      </c>
      <c r="G132" s="43">
        <v>130.80000000000001</v>
      </c>
      <c r="H132" s="43">
        <v>132.30000000000001</v>
      </c>
      <c r="I132" s="43">
        <v>132.30000000000001</v>
      </c>
      <c r="J132" s="43">
        <v>128.5</v>
      </c>
      <c r="K132" s="43">
        <v>132.1</v>
      </c>
      <c r="L132" s="43">
        <v>127.7</v>
      </c>
      <c r="M132" s="43">
        <v>129</v>
      </c>
      <c r="N132" s="43">
        <v>127.5</v>
      </c>
      <c r="O132" s="43">
        <v>133</v>
      </c>
      <c r="P132" s="43">
        <v>127.4</v>
      </c>
      <c r="Q132" s="43">
        <v>130.4</v>
      </c>
      <c r="R132" s="43">
        <v>130.30000000000001</v>
      </c>
      <c r="S132" s="43">
        <v>130.30000000000001</v>
      </c>
      <c r="T132" s="43">
        <v>130.30000000000001</v>
      </c>
      <c r="U132" s="43">
        <v>130.30000000000001</v>
      </c>
      <c r="V132" s="43">
        <v>130.30000000000001</v>
      </c>
      <c r="W132" s="43">
        <v>130.30000000000001</v>
      </c>
      <c r="X132" s="43">
        <v>130.30000000000001</v>
      </c>
      <c r="Y132" s="43">
        <v>130.30000000000001</v>
      </c>
      <c r="Z132" s="43">
        <v>130.30000000000001</v>
      </c>
      <c r="AA132" s="43">
        <v>130.30000000000001</v>
      </c>
      <c r="AB132" s="43">
        <v>132.5</v>
      </c>
      <c r="AC132" s="43">
        <v>132.5</v>
      </c>
      <c r="AD132" s="43">
        <v>123.3</v>
      </c>
      <c r="AE132" s="43">
        <v>123.3</v>
      </c>
      <c r="AF132" s="43">
        <v>123.3</v>
      </c>
      <c r="AG132" s="119"/>
      <c r="AH132" s="46">
        <f t="shared" si="22"/>
        <v>133</v>
      </c>
      <c r="AI132" s="47">
        <f t="shared" si="23"/>
        <v>123.3</v>
      </c>
    </row>
    <row r="133" spans="1:41" ht="15.75" thickBot="1" x14ac:dyDescent="0.3">
      <c r="A133" s="118" t="s">
        <v>155</v>
      </c>
      <c r="B133" s="100">
        <v>66</v>
      </c>
      <c r="C133" s="100">
        <v>66</v>
      </c>
      <c r="D133" s="100">
        <v>66</v>
      </c>
      <c r="E133" s="100">
        <v>66</v>
      </c>
      <c r="F133" s="100">
        <v>66</v>
      </c>
      <c r="G133" s="100">
        <v>67.599999999999994</v>
      </c>
      <c r="H133" s="100">
        <v>67.599999999999994</v>
      </c>
      <c r="I133" s="100">
        <v>67.599999999999994</v>
      </c>
      <c r="J133" s="100">
        <v>66</v>
      </c>
      <c r="K133" s="100">
        <v>66</v>
      </c>
      <c r="L133" s="100">
        <v>66</v>
      </c>
      <c r="M133" s="100">
        <v>64.8</v>
      </c>
      <c r="N133" s="100">
        <v>64</v>
      </c>
      <c r="O133" s="100">
        <v>65.599999999999994</v>
      </c>
      <c r="P133" s="100">
        <v>65.3</v>
      </c>
      <c r="Q133" s="100">
        <v>65.7</v>
      </c>
      <c r="R133" s="100">
        <v>65.900000000000006</v>
      </c>
      <c r="S133" s="100">
        <v>65.900000000000006</v>
      </c>
      <c r="T133" s="100">
        <v>65.900000000000006</v>
      </c>
      <c r="U133" s="100">
        <v>65.900000000000006</v>
      </c>
      <c r="V133" s="100">
        <v>65.900000000000006</v>
      </c>
      <c r="W133" s="100">
        <v>65.900000000000006</v>
      </c>
      <c r="X133" s="100">
        <v>65.900000000000006</v>
      </c>
      <c r="Y133" s="100">
        <v>65.900000000000006</v>
      </c>
      <c r="Z133" s="100">
        <v>65.900000000000006</v>
      </c>
      <c r="AA133" s="100">
        <v>65.900000000000006</v>
      </c>
      <c r="AB133" s="100">
        <v>66.2</v>
      </c>
      <c r="AC133" s="100">
        <v>66.2</v>
      </c>
      <c r="AD133" s="100">
        <v>66.3</v>
      </c>
      <c r="AE133" s="100">
        <v>66.3</v>
      </c>
      <c r="AF133" s="100">
        <v>66.3</v>
      </c>
      <c r="AG133" s="123"/>
      <c r="AH133" s="46">
        <f t="shared" si="22"/>
        <v>67.599999999999994</v>
      </c>
      <c r="AI133" s="47">
        <f t="shared" si="23"/>
        <v>64</v>
      </c>
    </row>
    <row r="134" spans="1:41" ht="15.75" thickBot="1" x14ac:dyDescent="0.3">
      <c r="A134" s="124"/>
      <c r="B134" s="100"/>
      <c r="C134" s="100"/>
      <c r="D134" s="100"/>
      <c r="E134" s="100"/>
      <c r="F134" s="100"/>
      <c r="G134" s="100"/>
      <c r="H134" s="100"/>
      <c r="I134" s="100"/>
      <c r="J134" s="100"/>
      <c r="K134" s="100"/>
      <c r="L134" s="100"/>
      <c r="M134" s="100"/>
      <c r="N134" s="100"/>
      <c r="O134" s="100"/>
      <c r="P134" s="100"/>
      <c r="Q134" s="100"/>
      <c r="R134" s="100"/>
      <c r="S134" s="100"/>
      <c r="T134" s="100"/>
      <c r="U134" s="100"/>
      <c r="V134" s="100"/>
      <c r="W134" s="100"/>
      <c r="X134" s="100"/>
      <c r="Y134" s="100"/>
      <c r="Z134" s="100"/>
      <c r="AA134" s="100"/>
      <c r="AB134" s="100"/>
      <c r="AC134" s="100"/>
      <c r="AD134" s="100"/>
      <c r="AE134" s="100"/>
      <c r="AF134" s="100"/>
      <c r="AG134" s="123"/>
      <c r="AH134" s="46">
        <f t="shared" si="22"/>
        <v>0</v>
      </c>
      <c r="AI134" s="47">
        <f t="shared" si="23"/>
        <v>0</v>
      </c>
      <c r="AL134" s="125" t="s">
        <v>156</v>
      </c>
      <c r="AM134" s="126" t="s">
        <v>157</v>
      </c>
      <c r="AN134" s="127">
        <v>0.8</v>
      </c>
      <c r="AO134" s="128" t="s">
        <v>158</v>
      </c>
    </row>
    <row r="135" spans="1:41" ht="15.75" thickBot="1" x14ac:dyDescent="0.3">
      <c r="A135" s="129" t="s">
        <v>159</v>
      </c>
      <c r="B135" s="113">
        <f>SUM(B26,B32,B45:B46,B82,B84:B85,B87,B89,B137:B142,B178,B184,B190,B199,B201,B213,B220,B223:B224,B231,B233,B235,B239:B241,B243:B245,B250,B256:B257,B259:B261,B162,B167)</f>
        <v>78.039999999999992</v>
      </c>
      <c r="C135" s="113">
        <f t="shared" ref="C135:O135" si="39">SUM(C26,C32,C45:C46,C82,C84:C85,C87,C89,C137:C142,C178,C184,C190,C199,C201,C213,C220,C223:C224,C231,C233,C235,C239:C241,C243:C245,C250,C256:C257,C259:C261,C162,C167)</f>
        <v>31.94000000000003</v>
      </c>
      <c r="D135" s="113">
        <f t="shared" si="39"/>
        <v>31.94000000000003</v>
      </c>
      <c r="E135" s="113">
        <f t="shared" si="39"/>
        <v>31.94000000000003</v>
      </c>
      <c r="F135" s="113">
        <f t="shared" si="39"/>
        <v>43.74</v>
      </c>
      <c r="G135" s="113">
        <f t="shared" si="39"/>
        <v>43.74</v>
      </c>
      <c r="H135" s="113">
        <f t="shared" si="39"/>
        <v>58.269999999999996</v>
      </c>
      <c r="I135" s="113">
        <f t="shared" si="39"/>
        <v>62.94</v>
      </c>
      <c r="J135" s="113">
        <f t="shared" si="39"/>
        <v>126.44</v>
      </c>
      <c r="K135" s="113">
        <f t="shared" si="39"/>
        <v>153.33999999999997</v>
      </c>
      <c r="L135" s="113">
        <f t="shared" si="39"/>
        <v>173.24</v>
      </c>
      <c r="M135" s="113">
        <f t="shared" si="39"/>
        <v>194.84000000000003</v>
      </c>
      <c r="N135" s="113">
        <f t="shared" si="39"/>
        <v>208.14000000000004</v>
      </c>
      <c r="O135" s="113">
        <f t="shared" si="39"/>
        <v>191.14000000000004</v>
      </c>
      <c r="P135" s="113">
        <v>42</v>
      </c>
      <c r="Q135" s="113">
        <f t="shared" ref="Q135:AA135" si="40">SUM(Q26,Q32,Q45:Q46,Q82,Q84:Q85,Q87,Q89,Q137:Q142,Q178,Q184,Q190,Q199,Q201,Q213,Q220,Q223:Q224,Q231,Q233,Q235,Q239:Q241,Q243:Q245,Q250,Q256:Q257,Q259:Q261,Q162,Q167)</f>
        <v>168.84000000000003</v>
      </c>
      <c r="R135" s="113">
        <f t="shared" si="40"/>
        <v>182.94</v>
      </c>
      <c r="S135" s="113">
        <f t="shared" si="40"/>
        <v>216.54</v>
      </c>
      <c r="T135" s="113">
        <f t="shared" si="40"/>
        <v>207.73999999999998</v>
      </c>
      <c r="U135" s="113">
        <f t="shared" si="40"/>
        <v>195.14</v>
      </c>
      <c r="V135" s="113">
        <f t="shared" si="40"/>
        <v>199.54000000000002</v>
      </c>
      <c r="W135" s="113">
        <f t="shared" si="40"/>
        <v>199.54000000000002</v>
      </c>
      <c r="X135" s="113">
        <f t="shared" si="40"/>
        <v>213.36999999999995</v>
      </c>
      <c r="Y135" s="113">
        <f t="shared" si="40"/>
        <v>212.14</v>
      </c>
      <c r="Z135" s="113">
        <f t="shared" si="40"/>
        <v>243.92</v>
      </c>
      <c r="AA135" s="113">
        <f t="shared" si="40"/>
        <v>252.83999999999995</v>
      </c>
      <c r="AB135" s="113">
        <f>SUM(AB26,AB32,AB45:AB46,AB82,AB84:AB85,AB87,AB89,AB137:AB143,AB178,AB184,AB190,AB199,AB201,AB213,AB220,AB223:AB224,AB231,AB233,AB235,AB239:AB241,AB243:AB245,AB250,AB256:AB257,AB259:AB261,AB162,AB167)</f>
        <v>255.24</v>
      </c>
      <c r="AC135" s="113">
        <f>SUM(AC26,AC32,AC45:AC46,AC82,AC84:AC85,AC87,AC89,AC137:AC143,AC178,AC184,AC190,AC199,AC201,AC213,AC220,AC223:AC224,AC231,AC233,AC235,AC239:AC241,AC243:AC245,AC250,AC256:AC257,AC259:AC261,AC162,AC167)</f>
        <v>248.43999999999994</v>
      </c>
      <c r="AD135" s="113">
        <f t="shared" ref="AD135:AF135" si="41">SUM(AD26,AD32,AD45:AD46,AD82,AD84:AD85,AD87,AD89,AD137:AD142,AD178,AD184,AD190,AD199,AD201,AD213,AD220,AD223:AD224,AD231,AD233,AD235,AD239:AD241,AD243:AD245,AD250,AD256:AD257,AD259:AD261,AD162,AD167)</f>
        <v>123.43999999999997</v>
      </c>
      <c r="AE135" s="113">
        <f t="shared" si="41"/>
        <v>141.43999999999997</v>
      </c>
      <c r="AF135" s="113">
        <f t="shared" si="41"/>
        <v>141.43999999999997</v>
      </c>
      <c r="AG135" s="130"/>
      <c r="AH135" s="46">
        <f t="shared" si="22"/>
        <v>255.24</v>
      </c>
      <c r="AI135" s="47">
        <f t="shared" si="23"/>
        <v>31.94000000000003</v>
      </c>
      <c r="AL135" s="131" t="s">
        <v>160</v>
      </c>
      <c r="AM135" s="132">
        <v>22.5</v>
      </c>
      <c r="AN135" s="133">
        <f>AM135*AN$134</f>
        <v>18</v>
      </c>
      <c r="AO135" s="134">
        <f>AM135-AN135</f>
        <v>4.5</v>
      </c>
    </row>
    <row r="136" spans="1:41" ht="15.75" thickBot="1" x14ac:dyDescent="0.3">
      <c r="A136" s="135" t="s">
        <v>161</v>
      </c>
      <c r="B136" s="136"/>
      <c r="C136" s="136"/>
      <c r="D136" s="136"/>
      <c r="E136" s="136"/>
      <c r="F136" s="137"/>
      <c r="G136" s="137"/>
      <c r="H136" s="137"/>
      <c r="I136" s="137"/>
      <c r="J136" s="137"/>
      <c r="K136" s="137"/>
      <c r="L136" s="137"/>
      <c r="M136" s="137"/>
      <c r="N136" s="137"/>
      <c r="O136" s="137"/>
      <c r="P136" s="137"/>
      <c r="Q136" s="137"/>
      <c r="R136" s="137"/>
      <c r="S136" s="137"/>
      <c r="T136" s="137"/>
      <c r="U136" s="137"/>
      <c r="V136" s="137"/>
      <c r="W136" s="137"/>
      <c r="X136" s="137"/>
      <c r="Y136" s="137"/>
      <c r="Z136" s="137"/>
      <c r="AA136" s="137"/>
      <c r="AB136" s="137"/>
      <c r="AC136" s="137"/>
      <c r="AD136" s="137"/>
      <c r="AE136" s="137"/>
      <c r="AF136" s="137"/>
      <c r="AG136" s="130"/>
      <c r="AH136" s="46">
        <f t="shared" si="22"/>
        <v>0</v>
      </c>
      <c r="AI136" s="47">
        <f t="shared" si="23"/>
        <v>0</v>
      </c>
      <c r="AL136" s="138" t="s">
        <v>162</v>
      </c>
      <c r="AM136" s="139">
        <v>21.3</v>
      </c>
      <c r="AN136" s="140">
        <f>AM136*AN$134</f>
        <v>17.040000000000003</v>
      </c>
      <c r="AO136" s="141">
        <f>AM136-AN136</f>
        <v>4.259999999999998</v>
      </c>
    </row>
    <row r="137" spans="1:41" x14ac:dyDescent="0.25">
      <c r="A137" s="142" t="s">
        <v>163</v>
      </c>
      <c r="B137" s="143">
        <v>63.5</v>
      </c>
      <c r="C137" s="143">
        <v>63.5</v>
      </c>
      <c r="D137" s="143">
        <v>63.5</v>
      </c>
      <c r="E137" s="143">
        <v>63.5</v>
      </c>
      <c r="F137" s="143">
        <v>32.700000000000003</v>
      </c>
      <c r="G137" s="143">
        <v>32.700000000000003</v>
      </c>
      <c r="H137" s="143">
        <v>36</v>
      </c>
      <c r="I137" s="143">
        <v>31.5</v>
      </c>
      <c r="J137" s="143">
        <v>46.4</v>
      </c>
      <c r="K137" s="143">
        <v>48.2</v>
      </c>
      <c r="L137" s="143">
        <v>52</v>
      </c>
      <c r="M137" s="143">
        <v>55.4</v>
      </c>
      <c r="N137" s="143">
        <v>50.3</v>
      </c>
      <c r="O137" s="143">
        <v>57.3</v>
      </c>
      <c r="P137" s="143">
        <v>63.4</v>
      </c>
      <c r="Q137" s="143">
        <v>58.9</v>
      </c>
      <c r="R137" s="143">
        <v>62.4</v>
      </c>
      <c r="S137" s="143">
        <v>56.6</v>
      </c>
      <c r="T137" s="143">
        <v>53.1</v>
      </c>
      <c r="U137" s="143">
        <v>54</v>
      </c>
      <c r="V137" s="143">
        <v>49.6</v>
      </c>
      <c r="W137" s="143">
        <v>49.6</v>
      </c>
      <c r="X137" s="143">
        <v>48.5</v>
      </c>
      <c r="Y137" s="143">
        <v>53</v>
      </c>
      <c r="Z137" s="143">
        <v>59.4</v>
      </c>
      <c r="AA137" s="143">
        <v>58.2</v>
      </c>
      <c r="AB137" s="144">
        <v>53.5</v>
      </c>
      <c r="AC137" s="144">
        <v>50.3</v>
      </c>
      <c r="AD137" s="144">
        <v>45.6</v>
      </c>
      <c r="AE137" s="144">
        <v>45.6</v>
      </c>
      <c r="AF137" s="144">
        <v>45.6</v>
      </c>
      <c r="AG137" s="145">
        <v>75</v>
      </c>
      <c r="AH137" s="46">
        <f t="shared" si="22"/>
        <v>63.5</v>
      </c>
      <c r="AI137" s="47">
        <f t="shared" si="23"/>
        <v>31.5</v>
      </c>
      <c r="AL137" s="138" t="s">
        <v>164</v>
      </c>
      <c r="AM137" s="139">
        <v>35.5</v>
      </c>
      <c r="AN137" s="140">
        <f>AM137*AN$134</f>
        <v>28.400000000000002</v>
      </c>
      <c r="AO137" s="141">
        <f>AM137-AN137</f>
        <v>7.0999999999999979</v>
      </c>
    </row>
    <row r="138" spans="1:41" x14ac:dyDescent="0.25">
      <c r="A138" s="146" t="s">
        <v>165</v>
      </c>
      <c r="B138" s="143">
        <v>-10</v>
      </c>
      <c r="C138" s="143">
        <v>-10</v>
      </c>
      <c r="D138" s="143">
        <v>-10</v>
      </c>
      <c r="E138" s="143">
        <v>-10</v>
      </c>
      <c r="F138" s="143">
        <v>-10.3</v>
      </c>
      <c r="G138" s="143">
        <v>-10.3</v>
      </c>
      <c r="H138" s="143">
        <v>-8.4</v>
      </c>
      <c r="I138" s="143">
        <v>-13.2</v>
      </c>
      <c r="J138" s="143">
        <v>-10.3</v>
      </c>
      <c r="K138" s="143">
        <v>-7.4</v>
      </c>
      <c r="L138" s="143">
        <v>-10.9</v>
      </c>
      <c r="M138" s="143">
        <v>-1</v>
      </c>
      <c r="N138" s="143">
        <v>-6.7</v>
      </c>
      <c r="O138" s="143">
        <v>-7</v>
      </c>
      <c r="P138" s="143">
        <v>-2.6</v>
      </c>
      <c r="Q138" s="143">
        <v>-3.1</v>
      </c>
      <c r="R138" s="143">
        <v>21.2</v>
      </c>
      <c r="S138" s="143">
        <v>7.6</v>
      </c>
      <c r="T138" s="143">
        <v>-0.1</v>
      </c>
      <c r="U138" s="143">
        <v>-2.6</v>
      </c>
      <c r="V138" s="143">
        <v>-2.7</v>
      </c>
      <c r="W138" s="143">
        <v>-2.7</v>
      </c>
      <c r="X138" s="143">
        <v>-2.1</v>
      </c>
      <c r="Y138" s="143">
        <v>-2.2999999999999998</v>
      </c>
      <c r="Z138" s="143">
        <v>2.1</v>
      </c>
      <c r="AA138" s="143">
        <v>2</v>
      </c>
      <c r="AB138" s="147">
        <v>-13.4</v>
      </c>
      <c r="AC138" s="147">
        <v>-13.3</v>
      </c>
      <c r="AD138" s="147">
        <v>-20.3</v>
      </c>
      <c r="AE138" s="147">
        <v>-20.3</v>
      </c>
      <c r="AF138" s="147">
        <v>-20.3</v>
      </c>
      <c r="AG138" s="145">
        <v>240</v>
      </c>
      <c r="AH138" s="46">
        <f t="shared" si="22"/>
        <v>21.2</v>
      </c>
      <c r="AI138" s="47">
        <f t="shared" si="23"/>
        <v>-20.3</v>
      </c>
      <c r="AL138" s="138" t="s">
        <v>166</v>
      </c>
      <c r="AM138" s="139">
        <v>48.5</v>
      </c>
      <c r="AN138" s="140">
        <f>AM138*AN$134</f>
        <v>38.800000000000004</v>
      </c>
      <c r="AO138" s="141">
        <f>AM138-AN138</f>
        <v>9.6999999999999957</v>
      </c>
    </row>
    <row r="139" spans="1:41" ht="15.75" thickBot="1" x14ac:dyDescent="0.3">
      <c r="A139" s="146" t="s">
        <v>167</v>
      </c>
      <c r="B139" s="143">
        <v>-68.099999999999994</v>
      </c>
      <c r="C139" s="143">
        <v>-68.099999999999994</v>
      </c>
      <c r="D139" s="143">
        <v>-68.099999999999994</v>
      </c>
      <c r="E139" s="143">
        <v>-68.099999999999994</v>
      </c>
      <c r="F139" s="143">
        <v>-56.5</v>
      </c>
      <c r="G139" s="143">
        <v>-56.5</v>
      </c>
      <c r="H139" s="143">
        <v>-53.77</v>
      </c>
      <c r="I139" s="143">
        <v>-41</v>
      </c>
      <c r="J139" s="143">
        <v>-42.5</v>
      </c>
      <c r="K139" s="143">
        <v>-39.9</v>
      </c>
      <c r="L139" s="143">
        <v>-39.200000000000003</v>
      </c>
      <c r="M139" s="143">
        <v>-35.9</v>
      </c>
      <c r="N139" s="143">
        <v>-35.1</v>
      </c>
      <c r="O139" s="143">
        <v>-29.6</v>
      </c>
      <c r="P139" s="143">
        <v>-33.1</v>
      </c>
      <c r="Q139" s="143">
        <v>-28.6</v>
      </c>
      <c r="R139" s="143">
        <v>-24.4</v>
      </c>
      <c r="S139" s="143">
        <v>-26.7</v>
      </c>
      <c r="T139" s="143">
        <v>-24.2</v>
      </c>
      <c r="U139" s="143">
        <v>-29.6</v>
      </c>
      <c r="V139" s="143">
        <v>-28</v>
      </c>
      <c r="W139" s="143">
        <v>-28</v>
      </c>
      <c r="X139" s="143">
        <v>-22</v>
      </c>
      <c r="Y139" s="143">
        <v>-18.100000000000001</v>
      </c>
      <c r="Z139" s="143">
        <v>-21.6</v>
      </c>
      <c r="AA139" s="143">
        <v>-18.399999999999999</v>
      </c>
      <c r="AB139" s="147">
        <v>-27.6</v>
      </c>
      <c r="AC139" s="147">
        <v>-31.3</v>
      </c>
      <c r="AD139" s="147">
        <v>-30.3</v>
      </c>
      <c r="AE139" s="147">
        <v>-30.3</v>
      </c>
      <c r="AF139" s="147">
        <v>-30.3</v>
      </c>
      <c r="AG139" s="145">
        <v>240</v>
      </c>
      <c r="AH139" s="46">
        <f>MAX(B139:AF139)</f>
        <v>-18.100000000000001</v>
      </c>
      <c r="AI139" s="47">
        <f>MIN(B139:AF139)</f>
        <v>-68.099999999999994</v>
      </c>
      <c r="AL139" s="148" t="s">
        <v>168</v>
      </c>
      <c r="AM139" s="149">
        <f>SUM(AM135:AM138)</f>
        <v>127.8</v>
      </c>
      <c r="AN139" s="149">
        <f>SUM(AN134:AN138)</f>
        <v>103.04000000000002</v>
      </c>
      <c r="AO139" s="150">
        <f>AM139-AN139</f>
        <v>24.759999999999977</v>
      </c>
    </row>
    <row r="140" spans="1:41" x14ac:dyDescent="0.25">
      <c r="A140" s="146" t="s">
        <v>169</v>
      </c>
      <c r="B140" s="143">
        <v>64.7</v>
      </c>
      <c r="C140" s="143">
        <v>64.7</v>
      </c>
      <c r="D140" s="143">
        <v>64.7</v>
      </c>
      <c r="E140" s="143">
        <v>64.7</v>
      </c>
      <c r="F140" s="143">
        <v>32.200000000000003</v>
      </c>
      <c r="G140" s="143">
        <v>32.200000000000003</v>
      </c>
      <c r="H140" s="143">
        <v>29.6</v>
      </c>
      <c r="I140" s="143">
        <v>22.3</v>
      </c>
      <c r="J140" s="143">
        <v>23.3</v>
      </c>
      <c r="K140" s="143">
        <v>22</v>
      </c>
      <c r="L140" s="143">
        <v>21.5</v>
      </c>
      <c r="M140" s="143">
        <v>22.2</v>
      </c>
      <c r="N140" s="143">
        <v>18.899999999999999</v>
      </c>
      <c r="O140" s="143">
        <v>19</v>
      </c>
      <c r="P140" s="143">
        <v>18.7</v>
      </c>
      <c r="Q140" s="143">
        <v>15.5</v>
      </c>
      <c r="R140" s="143">
        <v>13.5</v>
      </c>
      <c r="S140" s="143">
        <v>18.3</v>
      </c>
      <c r="T140" s="143">
        <v>13.2</v>
      </c>
      <c r="U140" s="143">
        <v>16</v>
      </c>
      <c r="V140" s="143">
        <v>15.1</v>
      </c>
      <c r="W140" s="143">
        <v>15.1</v>
      </c>
      <c r="X140" s="143">
        <v>12.2</v>
      </c>
      <c r="Y140" s="143">
        <v>13.4</v>
      </c>
      <c r="Z140" s="143">
        <v>11.8</v>
      </c>
      <c r="AA140" s="143">
        <v>11.1</v>
      </c>
      <c r="AB140" s="151">
        <v>14</v>
      </c>
      <c r="AC140" s="151">
        <v>14</v>
      </c>
      <c r="AD140" s="151">
        <v>28.6</v>
      </c>
      <c r="AE140" s="151">
        <v>28.6</v>
      </c>
      <c r="AF140" s="151">
        <v>28.6</v>
      </c>
      <c r="AG140" s="145"/>
      <c r="AH140" s="46">
        <f>MAX(B140:AF140)</f>
        <v>64.7</v>
      </c>
      <c r="AI140" s="47">
        <f>MIN(B140:AF140)</f>
        <v>11.1</v>
      </c>
      <c r="AL140" s="152"/>
      <c r="AM140" s="153"/>
      <c r="AN140" s="153"/>
      <c r="AO140" s="153"/>
    </row>
    <row r="141" spans="1:41" ht="15.75" thickBot="1" x14ac:dyDescent="0.3">
      <c r="A141" s="146" t="s">
        <v>170</v>
      </c>
      <c r="B141" s="143">
        <v>3.6</v>
      </c>
      <c r="C141" s="143">
        <v>3.6</v>
      </c>
      <c r="D141" s="143">
        <v>3.6</v>
      </c>
      <c r="E141" s="143">
        <v>3.6</v>
      </c>
      <c r="F141" s="143">
        <v>3.5</v>
      </c>
      <c r="G141" s="143">
        <v>3.5</v>
      </c>
      <c r="H141" s="143">
        <v>6.4</v>
      </c>
      <c r="I141" s="143">
        <v>14.9</v>
      </c>
      <c r="J141" s="143">
        <v>18</v>
      </c>
      <c r="K141" s="143">
        <v>20.399999999999999</v>
      </c>
      <c r="L141" s="143">
        <v>22.7</v>
      </c>
      <c r="M141" s="143">
        <v>23.3</v>
      </c>
      <c r="N141" s="143">
        <v>24</v>
      </c>
      <c r="O141" s="143">
        <v>23</v>
      </c>
      <c r="P141" s="143">
        <v>21.2</v>
      </c>
      <c r="Q141" s="143">
        <v>2.9</v>
      </c>
      <c r="R141" s="143">
        <v>24.4</v>
      </c>
      <c r="S141" s="143">
        <v>22.6</v>
      </c>
      <c r="T141" s="143">
        <v>24.3</v>
      </c>
      <c r="U141" s="143">
        <v>23.2</v>
      </c>
      <c r="V141" s="143">
        <v>23.3</v>
      </c>
      <c r="W141" s="143">
        <v>23.3</v>
      </c>
      <c r="X141" s="143">
        <v>24.6</v>
      </c>
      <c r="Y141" s="143">
        <v>27.4</v>
      </c>
      <c r="Z141" s="143">
        <v>26.4</v>
      </c>
      <c r="AA141" s="143">
        <v>27.9</v>
      </c>
      <c r="AB141" s="151">
        <v>23.5</v>
      </c>
      <c r="AC141" s="151">
        <v>23.5</v>
      </c>
      <c r="AD141" s="151">
        <v>17.600000000000001</v>
      </c>
      <c r="AE141" s="151">
        <v>17.600000000000001</v>
      </c>
      <c r="AF141" s="151">
        <v>17.600000000000001</v>
      </c>
      <c r="AG141" s="145">
        <v>60</v>
      </c>
      <c r="AH141" s="46">
        <f>MAX(B141:AF141)</f>
        <v>27.9</v>
      </c>
      <c r="AI141" s="47">
        <f>MIN(B141:AF141)</f>
        <v>2.9</v>
      </c>
      <c r="AL141" s="154"/>
      <c r="AM141" s="155"/>
      <c r="AN141" s="155"/>
      <c r="AO141" s="155"/>
    </row>
    <row r="142" spans="1:41" ht="15.75" thickBot="1" x14ac:dyDescent="0.3">
      <c r="A142" s="146" t="s">
        <v>171</v>
      </c>
      <c r="B142" s="143">
        <v>-111.5</v>
      </c>
      <c r="C142" s="143">
        <v>-111.5</v>
      </c>
      <c r="D142" s="143">
        <v>-111.5</v>
      </c>
      <c r="E142" s="143">
        <v>-111.5</v>
      </c>
      <c r="F142" s="143">
        <v>-47.6</v>
      </c>
      <c r="G142" s="143">
        <v>-47.6</v>
      </c>
      <c r="H142" s="143">
        <v>-41.3</v>
      </c>
      <c r="I142" s="143">
        <v>-41.3</v>
      </c>
      <c r="J142" s="143">
        <v>-27.5</v>
      </c>
      <c r="K142" s="143">
        <v>-18.8</v>
      </c>
      <c r="L142" s="143">
        <v>-16</v>
      </c>
      <c r="M142" s="143">
        <v>-19.7</v>
      </c>
      <c r="N142" s="143">
        <v>5.2</v>
      </c>
      <c r="O142" s="143">
        <v>-45.3</v>
      </c>
      <c r="P142" s="143">
        <v>-41.5</v>
      </c>
      <c r="Q142" s="143">
        <v>-51.3</v>
      </c>
      <c r="R142" s="143">
        <v>-45.2</v>
      </c>
      <c r="S142" s="143">
        <v>-46.4</v>
      </c>
      <c r="T142" s="143">
        <v>-46</v>
      </c>
      <c r="U142" s="143">
        <v>-43.1</v>
      </c>
      <c r="V142" s="143">
        <v>-30.5</v>
      </c>
      <c r="W142" s="143">
        <v>-30.5</v>
      </c>
      <c r="X142" s="143">
        <v>-15.77</v>
      </c>
      <c r="Y142" s="143">
        <v>-29.7</v>
      </c>
      <c r="Z142" s="143">
        <v>-2.9</v>
      </c>
      <c r="AA142" s="143">
        <v>3.7</v>
      </c>
      <c r="AB142" s="147">
        <v>-11.7</v>
      </c>
      <c r="AC142" s="147">
        <v>-11.7</v>
      </c>
      <c r="AD142" s="147">
        <v>-51</v>
      </c>
      <c r="AE142" s="147">
        <v>-51</v>
      </c>
      <c r="AF142" s="147">
        <v>-51</v>
      </c>
      <c r="AG142" s="156">
        <v>120</v>
      </c>
      <c r="AH142" s="46">
        <f>MAX(B142:AF142)</f>
        <v>5.2</v>
      </c>
      <c r="AI142" s="47">
        <f>MIN(B142:AF142)</f>
        <v>-111.5</v>
      </c>
      <c r="AL142" s="125" t="s">
        <v>172</v>
      </c>
      <c r="AM142" s="126" t="s">
        <v>157</v>
      </c>
      <c r="AN142" s="127">
        <v>0.5</v>
      </c>
      <c r="AO142" s="128" t="s">
        <v>158</v>
      </c>
    </row>
    <row r="143" spans="1:41" x14ac:dyDescent="0.25">
      <c r="A143" s="146" t="s">
        <v>173</v>
      </c>
      <c r="B143" s="143">
        <v>28.9</v>
      </c>
      <c r="C143" s="143">
        <v>28.9</v>
      </c>
      <c r="D143" s="143">
        <v>28.9</v>
      </c>
      <c r="E143" s="143">
        <v>28.9</v>
      </c>
      <c r="F143" s="143">
        <v>75</v>
      </c>
      <c r="G143" s="143">
        <v>75</v>
      </c>
      <c r="H143" s="143">
        <v>77.5</v>
      </c>
      <c r="I143" s="143">
        <v>77.5</v>
      </c>
      <c r="J143" s="143">
        <v>81.2</v>
      </c>
      <c r="K143" s="143">
        <v>88</v>
      </c>
      <c r="L143" s="143">
        <v>89.4</v>
      </c>
      <c r="M143" s="143">
        <v>86.4</v>
      </c>
      <c r="N143" s="143">
        <v>96.8</v>
      </c>
      <c r="O143" s="143">
        <v>73.099999999999994</v>
      </c>
      <c r="P143" s="143">
        <v>73.099999999999994</v>
      </c>
      <c r="Q143" s="143">
        <v>70.5</v>
      </c>
      <c r="R143" s="143">
        <v>73.599999999999994</v>
      </c>
      <c r="S143" s="143">
        <v>72.5</v>
      </c>
      <c r="T143" s="143">
        <v>73.599999999999994</v>
      </c>
      <c r="U143" s="143">
        <v>75</v>
      </c>
      <c r="V143" s="143">
        <v>81.3</v>
      </c>
      <c r="W143" s="143">
        <v>81.3</v>
      </c>
      <c r="X143" s="143">
        <v>89.3</v>
      </c>
      <c r="Y143" s="143">
        <v>82.4</v>
      </c>
      <c r="Z143" s="143">
        <v>92.3</v>
      </c>
      <c r="AA143" s="143">
        <v>96.3</v>
      </c>
      <c r="AB143" s="151">
        <v>88.7</v>
      </c>
      <c r="AC143" s="151">
        <v>88.7</v>
      </c>
      <c r="AD143" s="151">
        <v>72.3</v>
      </c>
      <c r="AE143" s="151">
        <v>72.3</v>
      </c>
      <c r="AF143" s="151">
        <v>72.3</v>
      </c>
      <c r="AG143" s="156"/>
      <c r="AH143" s="46"/>
      <c r="AI143" s="47"/>
      <c r="AL143" s="131" t="s">
        <v>174</v>
      </c>
      <c r="AM143" s="132">
        <v>54</v>
      </c>
      <c r="AN143" s="133">
        <f>AM143*AN$142</f>
        <v>27</v>
      </c>
      <c r="AO143" s="134">
        <f>AM143-AN143</f>
        <v>27</v>
      </c>
    </row>
    <row r="144" spans="1:41" x14ac:dyDescent="0.25">
      <c r="A144" s="146" t="s">
        <v>175</v>
      </c>
      <c r="B144" s="143">
        <v>-41.8</v>
      </c>
      <c r="C144" s="143">
        <v>-41.8</v>
      </c>
      <c r="D144" s="143">
        <v>-41.8</v>
      </c>
      <c r="E144" s="143">
        <v>-41.8</v>
      </c>
      <c r="F144" s="143">
        <v>56.2</v>
      </c>
      <c r="G144" s="143">
        <v>56.2</v>
      </c>
      <c r="H144" s="143">
        <v>51.2</v>
      </c>
      <c r="I144" s="143">
        <v>51.2</v>
      </c>
      <c r="J144" s="143">
        <v>11.2</v>
      </c>
      <c r="K144" s="143">
        <v>12.7</v>
      </c>
      <c r="L144" s="143">
        <v>-1</v>
      </c>
      <c r="M144" s="143">
        <v>5.2</v>
      </c>
      <c r="N144" s="143">
        <v>-14.6</v>
      </c>
      <c r="O144" s="143">
        <v>32.5</v>
      </c>
      <c r="P144" s="143">
        <v>32.6</v>
      </c>
      <c r="Q144" s="143">
        <v>31</v>
      </c>
      <c r="R144" s="143">
        <v>29.9</v>
      </c>
      <c r="S144" s="143">
        <v>29.1</v>
      </c>
      <c r="T144" s="143">
        <v>29.1</v>
      </c>
      <c r="U144" s="143">
        <v>-30</v>
      </c>
      <c r="V144" s="143">
        <v>-30.5</v>
      </c>
      <c r="W144" s="143">
        <v>-30.5</v>
      </c>
      <c r="X144" s="143">
        <v>-31</v>
      </c>
      <c r="Y144" s="143">
        <v>-57.9</v>
      </c>
      <c r="Z144" s="143">
        <v>-61.3</v>
      </c>
      <c r="AA144" s="143">
        <v>-61.7</v>
      </c>
      <c r="AB144" s="151">
        <v>-59.3</v>
      </c>
      <c r="AC144" s="151">
        <v>-59.3</v>
      </c>
      <c r="AD144" s="151">
        <v>-49.6</v>
      </c>
      <c r="AE144" s="151">
        <v>-49.6</v>
      </c>
      <c r="AF144" s="151">
        <v>-49.6</v>
      </c>
      <c r="AG144" s="156"/>
      <c r="AH144" s="46"/>
      <c r="AI144" s="47"/>
      <c r="AL144" s="138" t="s">
        <v>176</v>
      </c>
      <c r="AM144" s="139">
        <v>25</v>
      </c>
      <c r="AN144" s="140">
        <f>AM144*AN$142</f>
        <v>12.5</v>
      </c>
      <c r="AO144" s="141">
        <f>AM144-AN144</f>
        <v>12.5</v>
      </c>
    </row>
    <row r="145" spans="1:41" x14ac:dyDescent="0.25">
      <c r="A145" s="146" t="s">
        <v>177</v>
      </c>
      <c r="B145" s="143">
        <v>53</v>
      </c>
      <c r="C145" s="143">
        <v>53</v>
      </c>
      <c r="D145" s="143">
        <v>53</v>
      </c>
      <c r="E145" s="143">
        <v>53</v>
      </c>
      <c r="F145" s="143">
        <v>21.1</v>
      </c>
      <c r="G145" s="143">
        <v>21.1</v>
      </c>
      <c r="H145" s="143">
        <v>12.7</v>
      </c>
      <c r="I145" s="143">
        <v>12.7</v>
      </c>
      <c r="J145" s="143">
        <v>8.8000000000000007</v>
      </c>
      <c r="K145" s="143">
        <v>4.7</v>
      </c>
      <c r="L145" s="143">
        <v>9.6999999999999993</v>
      </c>
      <c r="M145" s="143">
        <v>16.2</v>
      </c>
      <c r="N145" s="143">
        <v>-9.1</v>
      </c>
      <c r="O145" s="143">
        <v>0</v>
      </c>
      <c r="P145" s="143">
        <v>14.3</v>
      </c>
      <c r="Q145" s="143">
        <v>-3.7</v>
      </c>
      <c r="R145" s="143">
        <v>5.3</v>
      </c>
      <c r="S145" s="143">
        <v>5.2</v>
      </c>
      <c r="T145" s="143">
        <v>-17</v>
      </c>
      <c r="U145" s="143">
        <v>-2</v>
      </c>
      <c r="V145" s="143">
        <v>-7.3</v>
      </c>
      <c r="W145" s="143">
        <v>-7.3</v>
      </c>
      <c r="X145" s="143">
        <v>-19.100000000000001</v>
      </c>
      <c r="Y145" s="143">
        <v>-6.3</v>
      </c>
      <c r="Z145" s="143">
        <v>-10.9</v>
      </c>
      <c r="AA145" s="143">
        <v>-26.7</v>
      </c>
      <c r="AB145" s="151">
        <v>-28.1</v>
      </c>
      <c r="AC145" s="151">
        <v>-28.1</v>
      </c>
      <c r="AD145" s="151">
        <v>-22.3</v>
      </c>
      <c r="AE145" s="151">
        <v>-22.3</v>
      </c>
      <c r="AF145" s="151">
        <v>-22.3</v>
      </c>
      <c r="AG145" s="156"/>
      <c r="AH145" s="46"/>
      <c r="AI145" s="47"/>
      <c r="AL145" s="138" t="s">
        <v>178</v>
      </c>
      <c r="AM145" s="139">
        <v>27</v>
      </c>
      <c r="AN145" s="140">
        <f>AM145*AN$142</f>
        <v>13.5</v>
      </c>
      <c r="AO145" s="141">
        <f>AM145-AN145</f>
        <v>13.5</v>
      </c>
    </row>
    <row r="146" spans="1:41" x14ac:dyDescent="0.25">
      <c r="A146" s="146" t="s">
        <v>179</v>
      </c>
      <c r="B146" s="143">
        <v>-321</v>
      </c>
      <c r="C146" s="143">
        <v>-321</v>
      </c>
      <c r="D146" s="143">
        <v>-321</v>
      </c>
      <c r="E146" s="143">
        <v>-321</v>
      </c>
      <c r="F146" s="143">
        <v>-322.89999999999998</v>
      </c>
      <c r="G146" s="143">
        <v>-322.89999999999998</v>
      </c>
      <c r="H146" s="143">
        <v>-319.8</v>
      </c>
      <c r="I146" s="143">
        <v>-319.8</v>
      </c>
      <c r="J146" s="143">
        <v>-320.10000000000002</v>
      </c>
      <c r="K146" s="143">
        <v>-318.39999999999998</v>
      </c>
      <c r="L146" s="143">
        <v>-331.9</v>
      </c>
      <c r="M146" s="143">
        <v>-345.3</v>
      </c>
      <c r="N146" s="143">
        <v>-339.9</v>
      </c>
      <c r="O146" s="143">
        <v>-363.7</v>
      </c>
      <c r="P146" s="143">
        <v>-360.2</v>
      </c>
      <c r="Q146" s="143">
        <v>-367.9</v>
      </c>
      <c r="R146" s="143">
        <v>-367</v>
      </c>
      <c r="S146" s="143">
        <v>-364.8</v>
      </c>
      <c r="T146" s="143">
        <v>-368.2</v>
      </c>
      <c r="U146" s="143">
        <v>-357.3</v>
      </c>
      <c r="V146" s="143">
        <v>-359.6</v>
      </c>
      <c r="W146" s="143">
        <v>-359.6</v>
      </c>
      <c r="X146" s="143">
        <v>-314.77</v>
      </c>
      <c r="Y146" s="143">
        <v>-331.7</v>
      </c>
      <c r="Z146" s="143">
        <v>-311.89999999999998</v>
      </c>
      <c r="AA146" s="143">
        <v>-301.89999999999998</v>
      </c>
      <c r="AB146" s="151">
        <v>-303.7</v>
      </c>
      <c r="AC146" s="151">
        <v>-303.7</v>
      </c>
      <c r="AD146" s="151">
        <v>-333.3</v>
      </c>
      <c r="AE146" s="151">
        <v>-333.3</v>
      </c>
      <c r="AF146" s="151">
        <v>-333.3</v>
      </c>
      <c r="AG146" s="156"/>
      <c r="AH146" s="46">
        <f t="shared" ref="AH146:AH158" si="42">MAX(B146:AF146)</f>
        <v>-301.89999999999998</v>
      </c>
      <c r="AI146" s="47">
        <f t="shared" ref="AI146:AI158" si="43">MIN(B146:AF146)</f>
        <v>-368.2</v>
      </c>
      <c r="AL146" s="138" t="s">
        <v>180</v>
      </c>
      <c r="AM146" s="139">
        <v>12</v>
      </c>
      <c r="AN146" s="140">
        <f>AM146*AN$142</f>
        <v>6</v>
      </c>
      <c r="AO146" s="141">
        <f>AM146-AN146</f>
        <v>6</v>
      </c>
    </row>
    <row r="147" spans="1:41" ht="15.75" thickBot="1" x14ac:dyDescent="0.3">
      <c r="A147" s="146" t="s">
        <v>181</v>
      </c>
      <c r="B147" s="143">
        <v>93.4</v>
      </c>
      <c r="C147" s="143">
        <v>93.4</v>
      </c>
      <c r="D147" s="143">
        <v>93.4</v>
      </c>
      <c r="E147" s="143">
        <v>93.4</v>
      </c>
      <c r="F147" s="143">
        <v>102.77</v>
      </c>
      <c r="G147" s="143">
        <v>102.77</v>
      </c>
      <c r="H147" s="143">
        <v>81.7</v>
      </c>
      <c r="I147" s="143">
        <v>81.7</v>
      </c>
      <c r="J147" s="143">
        <v>101.2</v>
      </c>
      <c r="K147" s="143">
        <v>97.6</v>
      </c>
      <c r="L147" s="143">
        <v>95.5</v>
      </c>
      <c r="M147" s="143">
        <v>104.8</v>
      </c>
      <c r="N147" s="143">
        <v>114</v>
      </c>
      <c r="O147" s="143">
        <v>106.5</v>
      </c>
      <c r="P147" s="143">
        <v>111.1</v>
      </c>
      <c r="Q147" s="143">
        <v>112</v>
      </c>
      <c r="R147" s="143">
        <v>108</v>
      </c>
      <c r="S147" s="143">
        <v>101.7</v>
      </c>
      <c r="T147" s="143">
        <v>75.8</v>
      </c>
      <c r="U147" s="143">
        <v>82.4</v>
      </c>
      <c r="V147" s="143">
        <v>72.2</v>
      </c>
      <c r="W147" s="143">
        <v>72.2</v>
      </c>
      <c r="X147" s="143">
        <v>103.2</v>
      </c>
      <c r="Y147" s="143">
        <v>90.5</v>
      </c>
      <c r="Z147" s="143">
        <v>73.599999999999994</v>
      </c>
      <c r="AA147" s="143">
        <v>77.5</v>
      </c>
      <c r="AB147" s="151">
        <v>67.8</v>
      </c>
      <c r="AC147" s="151">
        <v>67.8</v>
      </c>
      <c r="AD147" s="151">
        <v>64.3</v>
      </c>
      <c r="AE147" s="151">
        <v>64.3</v>
      </c>
      <c r="AF147" s="151">
        <v>64.3</v>
      </c>
      <c r="AG147" s="156"/>
      <c r="AH147" s="46">
        <f t="shared" si="42"/>
        <v>114</v>
      </c>
      <c r="AI147" s="47">
        <f t="shared" si="43"/>
        <v>64.3</v>
      </c>
      <c r="AL147" s="148" t="s">
        <v>168</v>
      </c>
      <c r="AM147" s="149">
        <f>SUM(AM142:AM146)</f>
        <v>118</v>
      </c>
      <c r="AN147" s="149">
        <f>SUM(AN142:AN146)</f>
        <v>59.5</v>
      </c>
      <c r="AO147" s="150">
        <f>AM147-AN147</f>
        <v>58.5</v>
      </c>
    </row>
    <row r="148" spans="1:41" x14ac:dyDescent="0.25">
      <c r="A148" s="146" t="s">
        <v>182</v>
      </c>
      <c r="B148" s="143">
        <v>-6.1</v>
      </c>
      <c r="C148" s="143">
        <v>-6.1</v>
      </c>
      <c r="D148" s="143">
        <v>-6.1</v>
      </c>
      <c r="E148" s="143">
        <v>-6.1</v>
      </c>
      <c r="F148" s="143">
        <v>25</v>
      </c>
      <c r="G148" s="143">
        <v>25</v>
      </c>
      <c r="H148" s="143">
        <v>28.3</v>
      </c>
      <c r="I148" s="143">
        <v>28.3</v>
      </c>
      <c r="J148" s="143">
        <v>32.200000000000003</v>
      </c>
      <c r="K148" s="143">
        <v>32.799999999999997</v>
      </c>
      <c r="L148" s="143">
        <v>46.9</v>
      </c>
      <c r="M148" s="143">
        <v>-42</v>
      </c>
      <c r="N148" s="143">
        <v>-49.8</v>
      </c>
      <c r="O148" s="143">
        <v>-32.6</v>
      </c>
      <c r="P148" s="143">
        <v>-31.1</v>
      </c>
      <c r="Q148" s="143">
        <v>-34.1</v>
      </c>
      <c r="R148" s="143">
        <v>-28.6</v>
      </c>
      <c r="S148" s="143">
        <v>-27.8</v>
      </c>
      <c r="T148" s="143">
        <v>-28.6</v>
      </c>
      <c r="U148" s="143">
        <v>-27</v>
      </c>
      <c r="V148" s="143">
        <v>-29.1</v>
      </c>
      <c r="W148" s="143">
        <v>-29.1</v>
      </c>
      <c r="X148" s="143">
        <v>-39</v>
      </c>
      <c r="Y148" s="143">
        <v>-45.4</v>
      </c>
      <c r="Z148" s="143">
        <v>-44.7</v>
      </c>
      <c r="AA148" s="143">
        <v>-40.1</v>
      </c>
      <c r="AB148" s="151">
        <v>-23.6</v>
      </c>
      <c r="AC148" s="151">
        <v>-23.6</v>
      </c>
      <c r="AD148" s="151">
        <v>-18.899999999999999</v>
      </c>
      <c r="AE148" s="151">
        <v>-18.899999999999999</v>
      </c>
      <c r="AF148" s="151">
        <v>-18.899999999999999</v>
      </c>
      <c r="AG148" s="145"/>
      <c r="AH148" s="46">
        <f t="shared" si="42"/>
        <v>46.9</v>
      </c>
      <c r="AI148" s="47">
        <f t="shared" si="43"/>
        <v>-49.8</v>
      </c>
      <c r="AL148" s="157"/>
      <c r="AM148" s="158"/>
      <c r="AN148" s="159"/>
      <c r="AO148" s="158"/>
    </row>
    <row r="149" spans="1:41" ht="15.75" thickBot="1" x14ac:dyDescent="0.3">
      <c r="A149" s="146" t="s">
        <v>183</v>
      </c>
      <c r="B149" s="143">
        <v>127.7</v>
      </c>
      <c r="C149" s="143">
        <v>127.7</v>
      </c>
      <c r="D149" s="143">
        <v>127.7</v>
      </c>
      <c r="E149" s="143">
        <v>127.7</v>
      </c>
      <c r="F149" s="143">
        <v>68.7</v>
      </c>
      <c r="G149" s="143">
        <v>68.7</v>
      </c>
      <c r="H149" s="143">
        <v>67.2</v>
      </c>
      <c r="I149" s="143">
        <v>67.2</v>
      </c>
      <c r="J149" s="143">
        <v>93.4</v>
      </c>
      <c r="K149" s="143">
        <v>94</v>
      </c>
      <c r="L149" s="143">
        <v>110.1</v>
      </c>
      <c r="M149" s="143">
        <v>193.5</v>
      </c>
      <c r="N149" s="143">
        <v>193.8</v>
      </c>
      <c r="O149" s="143">
        <v>227.5</v>
      </c>
      <c r="P149" s="143">
        <v>227.5</v>
      </c>
      <c r="Q149" s="143">
        <v>216.1</v>
      </c>
      <c r="R149" s="143">
        <v>152.19999999999999</v>
      </c>
      <c r="S149" s="143">
        <v>91.2</v>
      </c>
      <c r="T149" s="143">
        <v>100.8</v>
      </c>
      <c r="U149" s="143">
        <v>107.2</v>
      </c>
      <c r="V149" s="143">
        <v>105.8</v>
      </c>
      <c r="W149" s="143">
        <v>105.8</v>
      </c>
      <c r="X149" s="143">
        <v>95.4</v>
      </c>
      <c r="Y149" s="143">
        <v>105.3</v>
      </c>
      <c r="Z149" s="143">
        <v>105.1</v>
      </c>
      <c r="AA149" s="143">
        <v>104.9</v>
      </c>
      <c r="AB149" s="121">
        <v>126.3</v>
      </c>
      <c r="AC149" s="121">
        <v>126.3</v>
      </c>
      <c r="AD149" s="121">
        <v>117.6</v>
      </c>
      <c r="AE149" s="121">
        <v>117.6</v>
      </c>
      <c r="AF149" s="121">
        <v>117.6</v>
      </c>
      <c r="AG149" s="145"/>
      <c r="AH149" s="46">
        <f t="shared" si="42"/>
        <v>227.5</v>
      </c>
      <c r="AI149" s="47">
        <f t="shared" si="43"/>
        <v>67.2</v>
      </c>
      <c r="AL149" s="157"/>
      <c r="AM149" s="158"/>
      <c r="AN149" s="159"/>
      <c r="AO149" s="159"/>
    </row>
    <row r="150" spans="1:41" ht="15.75" thickBot="1" x14ac:dyDescent="0.3">
      <c r="A150" s="146" t="s">
        <v>184</v>
      </c>
      <c r="B150" s="143">
        <v>8.1</v>
      </c>
      <c r="C150" s="143">
        <v>8.1</v>
      </c>
      <c r="D150" s="143">
        <v>8.1</v>
      </c>
      <c r="E150" s="143">
        <v>8.1</v>
      </c>
      <c r="F150" s="143">
        <v>8.1</v>
      </c>
      <c r="G150" s="143">
        <v>8.1</v>
      </c>
      <c r="H150" s="143">
        <v>8.1</v>
      </c>
      <c r="I150" s="143">
        <v>8.1</v>
      </c>
      <c r="J150" s="143">
        <v>8.1</v>
      </c>
      <c r="K150" s="143">
        <v>8</v>
      </c>
      <c r="L150" s="143">
        <v>7.7</v>
      </c>
      <c r="M150" s="143">
        <v>15</v>
      </c>
      <c r="N150" s="143">
        <v>13.8</v>
      </c>
      <c r="O150" s="143">
        <v>14.6</v>
      </c>
      <c r="P150" s="143">
        <v>15.2</v>
      </c>
      <c r="Q150" s="143">
        <v>15.2</v>
      </c>
      <c r="R150" s="143">
        <v>15.2</v>
      </c>
      <c r="S150" s="143">
        <v>7.3</v>
      </c>
      <c r="T150" s="143">
        <v>7.2</v>
      </c>
      <c r="U150" s="143">
        <v>6.3</v>
      </c>
      <c r="V150" s="143">
        <v>6.3</v>
      </c>
      <c r="W150" s="143">
        <v>6.3</v>
      </c>
      <c r="X150" s="143">
        <v>6.2</v>
      </c>
      <c r="Y150" s="143">
        <v>6.3</v>
      </c>
      <c r="Z150" s="143">
        <v>6.8</v>
      </c>
      <c r="AA150" s="143">
        <v>6.7</v>
      </c>
      <c r="AB150" s="121">
        <v>6.9</v>
      </c>
      <c r="AC150" s="121">
        <v>6.9</v>
      </c>
      <c r="AD150" s="121">
        <v>8.6</v>
      </c>
      <c r="AE150" s="121">
        <v>8.6</v>
      </c>
      <c r="AF150" s="121">
        <v>8.6</v>
      </c>
      <c r="AG150" s="145"/>
      <c r="AH150" s="46">
        <f t="shared" si="42"/>
        <v>15.2</v>
      </c>
      <c r="AI150" s="47">
        <f t="shared" si="43"/>
        <v>6.2</v>
      </c>
      <c r="AL150" s="125" t="s">
        <v>185</v>
      </c>
      <c r="AM150" s="126" t="s">
        <v>157</v>
      </c>
      <c r="AN150" s="127">
        <v>1</v>
      </c>
      <c r="AO150" s="128" t="s">
        <v>158</v>
      </c>
    </row>
    <row r="151" spans="1:41" ht="15.75" thickBot="1" x14ac:dyDescent="0.3">
      <c r="A151" s="160" t="s">
        <v>186</v>
      </c>
      <c r="B151" s="143">
        <v>10.6</v>
      </c>
      <c r="C151" s="143">
        <v>10.6</v>
      </c>
      <c r="D151" s="143">
        <v>10.6</v>
      </c>
      <c r="E151" s="143">
        <v>10.6</v>
      </c>
      <c r="F151" s="143">
        <v>8.1</v>
      </c>
      <c r="G151" s="143">
        <v>8.1</v>
      </c>
      <c r="H151" s="143">
        <v>7.8</v>
      </c>
      <c r="I151" s="143">
        <v>7.8</v>
      </c>
      <c r="J151" s="143">
        <v>12.4</v>
      </c>
      <c r="K151" s="143">
        <v>12.8</v>
      </c>
      <c r="L151" s="143">
        <v>13.2</v>
      </c>
      <c r="M151" s="143">
        <v>14.1</v>
      </c>
      <c r="N151" s="143">
        <v>14.9</v>
      </c>
      <c r="O151" s="143">
        <v>26</v>
      </c>
      <c r="P151" s="143">
        <v>25.4</v>
      </c>
      <c r="Q151" s="143">
        <v>27.2</v>
      </c>
      <c r="R151" s="143">
        <v>15.9</v>
      </c>
      <c r="S151" s="143">
        <v>15.2</v>
      </c>
      <c r="T151" s="143">
        <v>14.3</v>
      </c>
      <c r="U151" s="143">
        <v>12.1</v>
      </c>
      <c r="V151" s="143">
        <v>0.7</v>
      </c>
      <c r="W151" s="143">
        <v>0.7</v>
      </c>
      <c r="X151" s="143">
        <v>6.1</v>
      </c>
      <c r="Y151" s="143">
        <v>5.7</v>
      </c>
      <c r="Z151" s="143">
        <v>-1.2</v>
      </c>
      <c r="AA151" s="143">
        <v>-7.2</v>
      </c>
      <c r="AB151" s="121">
        <v>-3.7</v>
      </c>
      <c r="AC151" s="121">
        <v>4.8</v>
      </c>
      <c r="AD151" s="121">
        <v>4.8</v>
      </c>
      <c r="AE151" s="121">
        <v>4.8</v>
      </c>
      <c r="AF151" s="121">
        <v>2.6</v>
      </c>
      <c r="AG151" s="145"/>
      <c r="AH151" s="46">
        <f t="shared" si="42"/>
        <v>27.2</v>
      </c>
      <c r="AI151" s="47">
        <f t="shared" si="43"/>
        <v>-7.2</v>
      </c>
      <c r="AL151" s="131" t="s">
        <v>187</v>
      </c>
      <c r="AM151" s="132">
        <v>38</v>
      </c>
      <c r="AN151" s="161">
        <f>AN$150*AM151</f>
        <v>38</v>
      </c>
      <c r="AO151" s="134">
        <f>AM151-AN151</f>
        <v>0</v>
      </c>
    </row>
    <row r="152" spans="1:41" ht="15.75" thickBot="1" x14ac:dyDescent="0.3">
      <c r="A152" s="162" t="s">
        <v>188</v>
      </c>
      <c r="B152" s="163"/>
      <c r="C152" s="164"/>
      <c r="D152" s="164"/>
      <c r="E152" s="164"/>
      <c r="F152" s="164"/>
      <c r="G152" s="164"/>
      <c r="H152" s="164"/>
      <c r="I152" s="164"/>
      <c r="J152" s="164"/>
      <c r="K152" s="164"/>
      <c r="L152" s="164"/>
      <c r="M152" s="164"/>
      <c r="N152" s="164"/>
      <c r="O152" s="164"/>
      <c r="P152" s="164"/>
      <c r="Q152" s="164"/>
      <c r="R152" s="164"/>
      <c r="S152" s="164"/>
      <c r="T152" s="164"/>
      <c r="U152" s="164"/>
      <c r="V152" s="164"/>
      <c r="W152" s="164"/>
      <c r="X152" s="164"/>
      <c r="Y152" s="164"/>
      <c r="Z152" s="164"/>
      <c r="AA152" s="164"/>
      <c r="AB152" s="164"/>
      <c r="AC152" s="164"/>
      <c r="AD152" s="164"/>
      <c r="AE152" s="164"/>
      <c r="AF152" s="165"/>
      <c r="AG152" s="51"/>
      <c r="AH152" s="46">
        <f t="shared" si="42"/>
        <v>0</v>
      </c>
      <c r="AI152" s="47">
        <f t="shared" si="43"/>
        <v>0</v>
      </c>
      <c r="AL152" s="138" t="s">
        <v>189</v>
      </c>
      <c r="AM152" s="139">
        <v>71</v>
      </c>
      <c r="AN152" s="166">
        <f>AN$150*AM152</f>
        <v>71</v>
      </c>
      <c r="AO152" s="141">
        <f>AM152-AN152</f>
        <v>0</v>
      </c>
    </row>
    <row r="153" spans="1:41" ht="24.75" customHeight="1" x14ac:dyDescent="0.25">
      <c r="A153" s="167" t="str">
        <f t="array" aca="1" ref="A153" ca="1">"UTK (1986.6, 1982.5, "&amp;$AK$153&amp;" m3/s"&amp;IF(INDEX(153:153,MATCH(HOUR(NOW()),HOUR(9:9),0))&lt;1900,", Missing Level Data)",IF(((INDEX(72:72,MATCH(HOUR(NOW()),HOUR(9:9),0))/6.96)-$AK$153)&lt;=0,", Fill Time: "&amp;ROUND((818945-(11607*(INDEX(153:153,MATCH(HOUR(NOW()),HOUR(9:9),0))-1982.5)^2+152154*(INDEX(153:153,MATCH(HOUR(NOW()),HOUR(9:9),0))-1982.5)))/(($AK$153-(INDEX(72:72,MATCH(HOUR(NOW()),HOUR(9:9),0))/6.96))*3600),2),", Drain Time: "&amp;ROUND(((11607*(INDEX(153:153,MATCH(HOUR(NOW()),HOUR(9:9),0))-1982.5)^2+152154*(INDEX(153:153,MATCH(HOUR(NOW()),HOUR(9:9),0))-1982.5)))/(((INDEX(72:72,MATCH(HOUR(NOW()),HOUR(9:9),0))/6.96)-$AK$153)*3600),2))&amp;" Hrs)")</f>
        <v>UTK (1986.6, 1982.5,  m3/s, Missing Level Data)</v>
      </c>
      <c r="B153" s="168"/>
      <c r="C153" s="168"/>
      <c r="D153" s="168"/>
      <c r="E153" s="168"/>
      <c r="F153" s="168"/>
      <c r="G153" s="168"/>
      <c r="H153" s="168"/>
      <c r="I153" s="168"/>
      <c r="J153" s="168"/>
      <c r="K153" s="168"/>
      <c r="L153" s="168"/>
      <c r="M153" s="168"/>
      <c r="N153" s="168"/>
      <c r="O153" s="168"/>
      <c r="P153" s="168"/>
      <c r="Q153" s="168"/>
      <c r="R153" s="168"/>
      <c r="S153" s="168"/>
      <c r="T153" s="168"/>
      <c r="U153" s="168"/>
      <c r="V153" s="168"/>
      <c r="W153" s="168"/>
      <c r="X153" s="168"/>
      <c r="Y153" s="168"/>
      <c r="Z153" s="168"/>
      <c r="AA153" s="168"/>
      <c r="AB153" s="168"/>
      <c r="AC153" s="168"/>
      <c r="AD153" s="168"/>
      <c r="AE153" s="168"/>
      <c r="AF153" s="169"/>
      <c r="AG153" s="170"/>
      <c r="AH153" s="46">
        <f t="shared" si="42"/>
        <v>0</v>
      </c>
      <c r="AI153" s="47">
        <f t="shared" si="43"/>
        <v>0</v>
      </c>
      <c r="AK153" s="171"/>
      <c r="AL153" s="138" t="s">
        <v>190</v>
      </c>
      <c r="AM153" s="139">
        <v>42</v>
      </c>
      <c r="AN153" s="166">
        <f>AN$150*AM153</f>
        <v>42</v>
      </c>
      <c r="AO153" s="141">
        <f>AM153-AN153</f>
        <v>0</v>
      </c>
    </row>
    <row r="154" spans="1:41" x14ac:dyDescent="0.25">
      <c r="A154" s="146" t="s">
        <v>191</v>
      </c>
      <c r="B154" s="172"/>
      <c r="C154" s="173"/>
      <c r="D154" s="173"/>
      <c r="E154" s="173"/>
      <c r="F154" s="173"/>
      <c r="G154" s="173"/>
      <c r="H154" s="173"/>
      <c r="I154" s="173"/>
      <c r="J154" s="173"/>
      <c r="K154" s="173"/>
      <c r="L154" s="173"/>
      <c r="M154" s="173"/>
      <c r="N154" s="173"/>
      <c r="O154" s="173"/>
      <c r="P154" s="173"/>
      <c r="Q154" s="173"/>
      <c r="R154" s="173"/>
      <c r="S154" s="173"/>
      <c r="T154" s="173"/>
      <c r="U154" s="173"/>
      <c r="V154" s="173"/>
      <c r="W154" s="173"/>
      <c r="X154" s="173"/>
      <c r="Y154" s="173"/>
      <c r="Z154" s="173"/>
      <c r="AA154" s="173"/>
      <c r="AB154" s="173"/>
      <c r="AC154" s="173"/>
      <c r="AD154" s="173"/>
      <c r="AE154" s="173"/>
      <c r="AF154" s="174"/>
      <c r="AG154" s="170"/>
      <c r="AH154" s="46">
        <f t="shared" si="42"/>
        <v>0</v>
      </c>
      <c r="AI154" s="47">
        <f t="shared" si="43"/>
        <v>0</v>
      </c>
      <c r="AK154" s="171"/>
      <c r="AL154" s="138" t="s">
        <v>192</v>
      </c>
      <c r="AM154" s="139">
        <v>14.8</v>
      </c>
      <c r="AN154" s="166">
        <f>AN$150*AM154</f>
        <v>14.8</v>
      </c>
      <c r="AO154" s="141">
        <f>AM154-AN154</f>
        <v>0</v>
      </c>
    </row>
    <row r="155" spans="1:41" ht="15.75" thickBot="1" x14ac:dyDescent="0.3">
      <c r="A155" s="146" t="s">
        <v>193</v>
      </c>
      <c r="B155" s="172"/>
      <c r="C155" s="173"/>
      <c r="D155" s="173"/>
      <c r="E155" s="173"/>
      <c r="F155" s="173"/>
      <c r="G155" s="173"/>
      <c r="H155" s="173"/>
      <c r="I155" s="173"/>
      <c r="J155" s="173"/>
      <c r="K155" s="173"/>
      <c r="L155" s="173"/>
      <c r="M155" s="173"/>
      <c r="N155" s="173"/>
      <c r="O155" s="173"/>
      <c r="P155" s="173"/>
      <c r="Q155" s="173"/>
      <c r="R155" s="173"/>
      <c r="S155" s="173"/>
      <c r="T155" s="173"/>
      <c r="U155" s="173"/>
      <c r="V155" s="173"/>
      <c r="W155" s="173"/>
      <c r="X155" s="173"/>
      <c r="Y155" s="173"/>
      <c r="Z155" s="173"/>
      <c r="AA155" s="173"/>
      <c r="AB155" s="173"/>
      <c r="AC155" s="173"/>
      <c r="AD155" s="173"/>
      <c r="AE155" s="173"/>
      <c r="AF155" s="174"/>
      <c r="AG155" s="170"/>
      <c r="AH155" s="46">
        <f t="shared" si="42"/>
        <v>0</v>
      </c>
      <c r="AI155" s="47">
        <f t="shared" si="43"/>
        <v>0</v>
      </c>
      <c r="AK155" s="171"/>
      <c r="AL155" s="148" t="s">
        <v>168</v>
      </c>
      <c r="AM155" s="149">
        <f>SUM(AM150:AM154)</f>
        <v>165.8</v>
      </c>
      <c r="AN155" s="175">
        <f>AN154*AM155</f>
        <v>2453.84</v>
      </c>
      <c r="AO155" s="150">
        <f>SUM(AO151:AO154)</f>
        <v>0</v>
      </c>
    </row>
    <row r="156" spans="1:41" x14ac:dyDescent="0.25">
      <c r="A156" s="146" t="s">
        <v>194</v>
      </c>
      <c r="B156" s="172"/>
      <c r="C156" s="173"/>
      <c r="D156" s="173"/>
      <c r="E156" s="173"/>
      <c r="F156" s="173"/>
      <c r="G156" s="173"/>
      <c r="H156" s="173"/>
      <c r="I156" s="173"/>
      <c r="J156" s="173"/>
      <c r="K156" s="173"/>
      <c r="L156" s="173"/>
      <c r="M156" s="173"/>
      <c r="N156" s="173"/>
      <c r="O156" s="173"/>
      <c r="P156" s="173"/>
      <c r="Q156" s="173"/>
      <c r="R156" s="173"/>
      <c r="S156" s="173"/>
      <c r="T156" s="173"/>
      <c r="U156" s="173"/>
      <c r="V156" s="173"/>
      <c r="W156" s="173"/>
      <c r="X156" s="173"/>
      <c r="Y156" s="173"/>
      <c r="Z156" s="173"/>
      <c r="AA156" s="173"/>
      <c r="AB156" s="173"/>
      <c r="AC156" s="173"/>
      <c r="AD156" s="173"/>
      <c r="AE156" s="173"/>
      <c r="AF156" s="174"/>
      <c r="AG156" s="170"/>
      <c r="AH156" s="46">
        <f t="shared" si="42"/>
        <v>0</v>
      </c>
      <c r="AI156" s="47">
        <f t="shared" si="43"/>
        <v>0</v>
      </c>
      <c r="AK156" s="171"/>
      <c r="AM156" s="51"/>
      <c r="AN156" s="51"/>
      <c r="AO156" s="176"/>
    </row>
    <row r="157" spans="1:41" ht="15.75" thickBot="1" x14ac:dyDescent="0.3">
      <c r="A157" s="146" t="s">
        <v>195</v>
      </c>
      <c r="B157" s="172"/>
      <c r="C157" s="173"/>
      <c r="D157" s="173"/>
      <c r="E157" s="173"/>
      <c r="F157" s="173"/>
      <c r="G157" s="173"/>
      <c r="H157" s="173"/>
      <c r="I157" s="173"/>
      <c r="J157" s="173"/>
      <c r="K157" s="173"/>
      <c r="L157" s="173"/>
      <c r="M157" s="173"/>
      <c r="N157" s="173"/>
      <c r="O157" s="173"/>
      <c r="P157" s="173"/>
      <c r="Q157" s="173"/>
      <c r="R157" s="173"/>
      <c r="S157" s="173"/>
      <c r="T157" s="173"/>
      <c r="U157" s="173"/>
      <c r="V157" s="173"/>
      <c r="W157" s="173"/>
      <c r="X157" s="173"/>
      <c r="Y157" s="173"/>
      <c r="Z157" s="173"/>
      <c r="AA157" s="173"/>
      <c r="AB157" s="173"/>
      <c r="AC157" s="173"/>
      <c r="AD157" s="173"/>
      <c r="AE157" s="173"/>
      <c r="AF157" s="174"/>
      <c r="AG157" s="170"/>
      <c r="AH157" s="46">
        <f t="shared" si="42"/>
        <v>0</v>
      </c>
      <c r="AI157" s="47">
        <f t="shared" si="43"/>
        <v>0</v>
      </c>
      <c r="AK157" s="171"/>
      <c r="AL157" s="177"/>
      <c r="AM157" s="51"/>
      <c r="AN157" s="51"/>
      <c r="AO157" s="51"/>
    </row>
    <row r="158" spans="1:41" ht="15.75" thickBot="1" x14ac:dyDescent="0.3">
      <c r="A158" s="178" t="str">
        <f t="array" aca="1" ref="A158" ca="1">"KL-1 (1530, 1484, "&amp;$AK$158&amp;" m3/s"&amp;IF(INDEX(158:158,MATCH(HOUR(NOW()),HOUR(9:9),0))&lt;1480,", Missing Level Data)",IF(((INDEX(93:93,MATCH(HOUR(NOW()),HOUR(9:9),0))/4.96)-$AK$158)&lt;=0,", Fill Time: "&amp;ROUND((73140000-(15000*(INDEX(158:158,MATCH(HOUR(NOW()),HOUR(9:9),0))-1484)^2+900000*(INDEX(158:158,MATCH(HOUR(NOW()),HOUR(9:9),0))-1484)))/(($AK$158-(INDEX(93:93,MATCH(HOUR(NOW()),HOUR(9:9),0))/4.96))*3600),2),", Drain Time: "&amp;ROUND(((15000*(INDEX(158:158,MATCH(HOUR(NOW()),HOUR(9:9),0))-1484)^2+900000*(INDEX(158:158,MATCH(HOUR(NOW()),HOUR(9:9),0))-1484)))/(((INDEX(93:93,MATCH(HOUR(NOW()),HOUR(9:9),0))/4.96)-$AK$158)*3600),2))&amp;" Hrs)")</f>
        <v>KL-1 (1530, 1484,  m3/s, Missing Level Data)</v>
      </c>
      <c r="B158" s="179"/>
      <c r="C158" s="180"/>
      <c r="D158" s="180"/>
      <c r="E158" s="180"/>
      <c r="F158" s="180"/>
      <c r="G158" s="180"/>
      <c r="H158" s="180"/>
      <c r="I158" s="180"/>
      <c r="J158" s="180"/>
      <c r="K158" s="180"/>
      <c r="L158" s="180"/>
      <c r="M158" s="180"/>
      <c r="N158" s="180"/>
      <c r="O158" s="180"/>
      <c r="P158" s="180"/>
      <c r="Q158" s="180"/>
      <c r="R158" s="180"/>
      <c r="S158" s="180"/>
      <c r="T158" s="180"/>
      <c r="U158" s="180"/>
      <c r="V158" s="180"/>
      <c r="W158" s="180"/>
      <c r="X158" s="180"/>
      <c r="Y158" s="180"/>
      <c r="Z158" s="180"/>
      <c r="AA158" s="180"/>
      <c r="AB158" s="180"/>
      <c r="AC158" s="180"/>
      <c r="AD158" s="180"/>
      <c r="AE158" s="180"/>
      <c r="AF158" s="181"/>
      <c r="AG158" s="182"/>
      <c r="AH158" s="46">
        <f t="shared" si="42"/>
        <v>0</v>
      </c>
      <c r="AI158" s="47">
        <f t="shared" si="43"/>
        <v>0</v>
      </c>
      <c r="AK158" s="171"/>
      <c r="AL158" s="125" t="s">
        <v>196</v>
      </c>
      <c r="AM158" s="126" t="s">
        <v>157</v>
      </c>
      <c r="AN158" s="183">
        <v>1</v>
      </c>
      <c r="AO158" s="128" t="s">
        <v>158</v>
      </c>
    </row>
    <row r="159" spans="1:41" x14ac:dyDescent="0.25">
      <c r="A159" s="184" t="s">
        <v>197</v>
      </c>
      <c r="B159" s="179">
        <f>(SUMPRODUCT((B11:B68&lt;&gt;0)*(B11:B68&lt;$AG$11:$AG$68)*($AG$11:$AG$68-B11:B68)))*0.8</f>
        <v>211.58000000000004</v>
      </c>
      <c r="C159" s="179">
        <f>(SUMPRODUCT((C11:C68&lt;&gt;0)*(C11:C68&lt;$AG$11:$AG$68)*($AG$11:$AG$68-C11:C68)))*0.8</f>
        <v>324.0920000000001</v>
      </c>
      <c r="D159" s="179">
        <f t="shared" ref="D159:AF159" si="44">(SUMPRODUCT((D11:D68&lt;&gt;0)*(D11:D68&lt;$AG$11:$AG$68)*($AG$11:$AG$68-D11:D68)))*0.8</f>
        <v>269.93200000000002</v>
      </c>
      <c r="E159" s="179">
        <f t="shared" si="44"/>
        <v>269.93200000000002</v>
      </c>
      <c r="F159" s="179">
        <f t="shared" si="44"/>
        <v>324.0920000000001</v>
      </c>
      <c r="G159" s="179">
        <f t="shared" si="44"/>
        <v>324.0920000000001</v>
      </c>
      <c r="H159" s="179">
        <f t="shared" si="44"/>
        <v>324.0920000000001</v>
      </c>
      <c r="I159" s="179">
        <f t="shared" si="44"/>
        <v>324.0920000000001</v>
      </c>
      <c r="J159" s="179">
        <f t="shared" si="44"/>
        <v>325.05200000000008</v>
      </c>
      <c r="K159" s="179">
        <f t="shared" si="44"/>
        <v>325.05200000000008</v>
      </c>
      <c r="L159" s="179">
        <f t="shared" si="44"/>
        <v>291.61200000000002</v>
      </c>
      <c r="M159" s="179">
        <f t="shared" si="44"/>
        <v>285.68399999999991</v>
      </c>
      <c r="N159" s="179">
        <f t="shared" si="44"/>
        <v>285.68399999999991</v>
      </c>
      <c r="O159" s="179">
        <f t="shared" si="44"/>
        <v>219.67600000000004</v>
      </c>
      <c r="P159" s="179">
        <f t="shared" si="44"/>
        <v>217.35599999999997</v>
      </c>
      <c r="Q159" s="179">
        <f t="shared" si="44"/>
        <v>226.95600000000002</v>
      </c>
      <c r="R159" s="179">
        <f t="shared" si="44"/>
        <v>117.98000000000002</v>
      </c>
      <c r="S159" s="179">
        <f t="shared" si="44"/>
        <v>117.98000000000002</v>
      </c>
      <c r="T159" s="179">
        <f t="shared" si="44"/>
        <v>117.98000000000002</v>
      </c>
      <c r="U159" s="179">
        <f t="shared" si="44"/>
        <v>117.98000000000002</v>
      </c>
      <c r="V159" s="179">
        <f t="shared" si="44"/>
        <v>117.98000000000002</v>
      </c>
      <c r="W159" s="179">
        <f t="shared" si="44"/>
        <v>117.98000000000002</v>
      </c>
      <c r="X159" s="179">
        <f t="shared" si="44"/>
        <v>117.98000000000002</v>
      </c>
      <c r="Y159" s="179">
        <f t="shared" si="44"/>
        <v>117.98000000000002</v>
      </c>
      <c r="Z159" s="179">
        <f t="shared" si="44"/>
        <v>117.98000000000002</v>
      </c>
      <c r="AA159" s="179">
        <f t="shared" si="44"/>
        <v>117.98000000000002</v>
      </c>
      <c r="AB159" s="179">
        <f>(SUMPRODUCT((AB11:AB68&lt;&gt;0)*(AB11:AB68&lt;$AG$11:$AG$68)*($AG$11:$AG$68-AB11:AB68)))*0.8</f>
        <v>208.48400000000004</v>
      </c>
      <c r="AC159" s="179">
        <f t="shared" si="44"/>
        <v>216.08400000000003</v>
      </c>
      <c r="AD159" s="179">
        <f t="shared" si="44"/>
        <v>266.916</v>
      </c>
      <c r="AE159" s="179">
        <f t="shared" si="44"/>
        <v>237.58399999999997</v>
      </c>
      <c r="AF159" s="179">
        <f t="shared" si="44"/>
        <v>237.58399999999997</v>
      </c>
      <c r="AG159" s="182"/>
      <c r="AH159" s="46"/>
      <c r="AI159" s="47"/>
      <c r="AK159" s="171"/>
      <c r="AL159" s="131" t="s">
        <v>198</v>
      </c>
      <c r="AM159" s="132">
        <v>77</v>
      </c>
      <c r="AN159" s="132">
        <f>AN$158*AM159</f>
        <v>77</v>
      </c>
      <c r="AO159" s="134">
        <f t="shared" ref="AO159:AO167" si="45">AM159-AN159</f>
        <v>0</v>
      </c>
    </row>
    <row r="160" spans="1:41" x14ac:dyDescent="0.25">
      <c r="A160" s="185" t="s">
        <v>199</v>
      </c>
      <c r="B160" s="173">
        <f t="array" ref="B160">SUM(IF(($A$11:$A$68&lt;&gt;"")*(B11:B68&lt;&gt;""),IF(IFERROR(VALUE(TRIM(RIGHT(SUBSTITUTE(SUBSTITUTE($A$11:$A$68,")",""),"(",REPT(" ",100)),100))),0)-IFERROR(B11:B68,0)&gt;0,IFERROR(VALUE(TRIM(RIGHT(SUBSTITUTE(SUBSTITUTE($A$11:$A$68,")",""),"(",REPT(" ",100)),100))),0)-IFERROR(B11:B68,0),0),0))+SUM(IF(($A$72:$A$77&lt;&gt;"")*(B72:B77&lt;&gt;""),IF(IFERROR(VALUE(TRIM(RIGHT(SUBSTITUTE(SUBSTITUTE($A$72:$A$77,")",""),"(",REPT(" ",100)),100))),0)-IFERROR(B72:B77,0)&gt;0,IFERROR(VALUE(TRIM(RIGHT(SUBSTITUTE(SUBSTITUTE($A$72:$A$77,")",""),"(",REPT(" ",100)),100))),0)-IFERROR(B72:B77,0),0),0))+SUM(IF(($A$79:$A$90&lt;&gt;"")*(B79:B90&lt;&gt;""),IF(IFERROR(VALUE(TRIM(RIGHT(SUBSTITUTE(SUBSTITUTE($A$79:$A$90,")",""),"(",REPT(" ",100)),100))),0)-IFERROR(B79:B90,0)&gt;0,IFERROR(VALUE(TRIM(RIGHT(SUBSTITUTE(SUBSTITUTE($A$79:$A$90,")",""),"(",REPT(" ",100)),100))),0)-IFERROR(B79:B90,0),0),0))+SUM(IF(($A$93:$A$95&lt;&gt;"")*(B93:B95&lt;&gt;""),IF(IFERROR(VALUE(TRIM(RIGHT(SUBSTITUTE(SUBSTITUTE($A$93:$A$95,")",""),"(",REPT(" ",100)),100))),0)-IFERROR(B93:B95,0)&gt;0,IFERROR(VALUE(TRIM(RIGHT(SUBSTITUTE(SUBSTITUTE($A$93:$A$95,")",""),"(",REPT(" ",100)),100))),0)-IFERROR(B93:B95,0),0),0))</f>
        <v>694.46500000000015</v>
      </c>
      <c r="C160" s="173">
        <f t="array" ref="C160">SUM(IF(($A$11:$A$68&lt;&gt;"")*(C11:C68&lt;&gt;""),IF(IFERROR(VALUE(TRIM(RIGHT(SUBSTITUTE(SUBSTITUTE($A$11:$A$68,")",""),"(",REPT(" ",100)),100))),0)-IFERROR(C11:C68,0)&gt;0,IFERROR(VALUE(TRIM(RIGHT(SUBSTITUTE(SUBSTITUTE($A$11:$A$68,")",""),"(",REPT(" ",100)),100))),0)-IFERROR(C11:C68,0),0),0))+SUM(IF(($A$72:$A$77&lt;&gt;"")*(C72:C77&lt;&gt;""),IF(IFERROR(VALUE(TRIM(RIGHT(SUBSTITUTE(SUBSTITUTE($A$72:$A$77,")",""),"(",REPT(" ",100)),100))),0)-IFERROR(C72:C77,0)&gt;0,IFERROR(VALUE(TRIM(RIGHT(SUBSTITUTE(SUBSTITUTE($A$72:$A$77,")",""),"(",REPT(" ",100)),100))),0)-IFERROR(C72:C77,0),0),0))+SUM(IF(($A$79:$A$90&lt;&gt;"")*(C79:C90&lt;&gt;""),IF(IFERROR(VALUE(TRIM(RIGHT(SUBSTITUTE(SUBSTITUTE($A$79:$A$90,")",""),"(",REPT(" ",100)),100))),0)-IFERROR(C79:C90,0)&gt;0,IFERROR(VALUE(TRIM(RIGHT(SUBSTITUTE(SUBSTITUTE($A$79:$A$90,")",""),"(",REPT(" ",100)),100))),0)-IFERROR(C79:C90,0),0),0))+SUM(IF(($A$93:$A$95&lt;&gt;"")*(C93:C95&lt;&gt;""),IF(IFERROR(VALUE(TRIM(RIGHT(SUBSTITUTE(SUBSTITUTE($A$93:$A$95,")",""),"(",REPT(" ",100)),100))),0)-IFERROR(C93:C95,0)&gt;0,IFERROR(VALUE(TRIM(RIGHT(SUBSTITUTE(SUBSTITUTE($A$93:$A$95,")",""),"(",REPT(" ",100)),100))),0)-IFERROR(C93:C95,0),0),0))</f>
        <v>953.26499999999987</v>
      </c>
      <c r="D160" s="173">
        <f t="array" ref="D160">SUM(IF(($A$11:$A$68&lt;&gt;"")*(D11:D68&lt;&gt;""),IF(IFERROR(VALUE(TRIM(RIGHT(SUBSTITUTE(SUBSTITUTE($A$11:$A$68,")",""),"(",REPT(" ",100)),100))),0)-IFERROR(D11:D68,0)&gt;0,IFERROR(VALUE(TRIM(RIGHT(SUBSTITUTE(SUBSTITUTE($A$11:$A$68,")",""),"(",REPT(" ",100)),100))),0)-IFERROR(D11:D68,0),0),0))+SUM(IF(($A$72:$A$77&lt;&gt;"")*(D72:D77&lt;&gt;""),IF(IFERROR(VALUE(TRIM(RIGHT(SUBSTITUTE(SUBSTITUTE($A$72:$A$77,")",""),"(",REPT(" ",100)),100))),0)-IFERROR(D72:D77,0)&gt;0,IFERROR(VALUE(TRIM(RIGHT(SUBSTITUTE(SUBSTITUTE($A$72:$A$77,")",""),"(",REPT(" ",100)),100))),0)-IFERROR(D72:D77,0),0),0))+SUM(IF(($A$79:$A$90&lt;&gt;"")*(D79:D90&lt;&gt;""),IF(IFERROR(VALUE(TRIM(RIGHT(SUBSTITUTE(SUBSTITUTE($A$79:$A$90,")",""),"(",REPT(" ",100)),100))),0)-IFERROR(D79:D90,0)&gt;0,IFERROR(VALUE(TRIM(RIGHT(SUBSTITUTE(SUBSTITUTE($A$79:$A$90,")",""),"(",REPT(" ",100)),100))),0)-IFERROR(D79:D90,0),0),0))+SUM(IF(($A$93:$A$95&lt;&gt;"")*(D93:D95&lt;&gt;""),IF(IFERROR(VALUE(TRIM(RIGHT(SUBSTITUTE(SUBSTITUTE($A$93:$A$95,")",""),"(",REPT(" ",100)),100))),0)-IFERROR(D93:D95,0)&gt;0,IFERROR(VALUE(TRIM(RIGHT(SUBSTITUTE(SUBSTITUTE($A$93:$A$95,")",""),"(",REPT(" ",100)),100))),0)-IFERROR(D93:D95,0),0),0))</f>
        <v>885.56499999999983</v>
      </c>
      <c r="E160" s="173">
        <f t="array" ref="E160">SUM(IF(($A$11:$A$68&lt;&gt;"")*(E11:E68&lt;&gt;""),IF(IFERROR(VALUE(TRIM(RIGHT(SUBSTITUTE(SUBSTITUTE($A$11:$A$68,")",""),"(",REPT(" ",100)),100))),0)-IFERROR(E11:E68,0)&gt;0,IFERROR(VALUE(TRIM(RIGHT(SUBSTITUTE(SUBSTITUTE($A$11:$A$68,")",""),"(",REPT(" ",100)),100))),0)-IFERROR(E11:E68,0),0),0))+SUM(IF(($A$72:$A$77&lt;&gt;"")*(E72:E77&lt;&gt;""),IF(IFERROR(VALUE(TRIM(RIGHT(SUBSTITUTE(SUBSTITUTE($A$72:$A$77,")",""),"(",REPT(" ",100)),100))),0)-IFERROR(E72:E77,0)&gt;0,IFERROR(VALUE(TRIM(RIGHT(SUBSTITUTE(SUBSTITUTE($A$72:$A$77,")",""),"(",REPT(" ",100)),100))),0)-IFERROR(E72:E77,0),0),0))+SUM(IF(($A$79:$A$90&lt;&gt;"")*(E79:E90&lt;&gt;""),IF(IFERROR(VALUE(TRIM(RIGHT(SUBSTITUTE(SUBSTITUTE($A$79:$A$90,")",""),"(",REPT(" ",100)),100))),0)-IFERROR(E79:E90,0)&gt;0,IFERROR(VALUE(TRIM(RIGHT(SUBSTITUTE(SUBSTITUTE($A$79:$A$90,")",""),"(",REPT(" ",100)),100))),0)-IFERROR(E79:E90,0),0),0))+SUM(IF(($A$93:$A$95&lt;&gt;"")*(E93:E95&lt;&gt;""),IF(IFERROR(VALUE(TRIM(RIGHT(SUBSTITUTE(SUBSTITUTE($A$93:$A$95,")",""),"(",REPT(" ",100)),100))),0)-IFERROR(E93:E95,0)&gt;0,IFERROR(VALUE(TRIM(RIGHT(SUBSTITUTE(SUBSTITUTE($A$93:$A$95,")",""),"(",REPT(" ",100)),100))),0)-IFERROR(E93:E95,0),0),0))</f>
        <v>885.56499999999983</v>
      </c>
      <c r="F160" s="173">
        <f t="array" ref="F160">SUM(IF(($A$11:$A$68&lt;&gt;"")*(F11:F68&lt;&gt;""),IF(IFERROR(VALUE(TRIM(RIGHT(SUBSTITUTE(SUBSTITUTE($A$11:$A$68,")",""),"(",REPT(" ",100)),100))),0)-IFERROR(F11:F68,0)&gt;0,IFERROR(VALUE(TRIM(RIGHT(SUBSTITUTE(SUBSTITUTE($A$11:$A$68,")",""),"(",REPT(" ",100)),100))),0)-IFERROR(F11:F68,0),0),0))+SUM(IF(($A$72:$A$77&lt;&gt;"")*(F72:F77&lt;&gt;""),IF(IFERROR(VALUE(TRIM(RIGHT(SUBSTITUTE(SUBSTITUTE($A$72:$A$77,")",""),"(",REPT(" ",100)),100))),0)-IFERROR(F72:F77,0)&gt;0,IFERROR(VALUE(TRIM(RIGHT(SUBSTITUTE(SUBSTITUTE($A$72:$A$77,")",""),"(",REPT(" ",100)),100))),0)-IFERROR(F72:F77,0),0),0))+SUM(IF(($A$79:$A$90&lt;&gt;"")*(F79:F90&lt;&gt;""),IF(IFERROR(VALUE(TRIM(RIGHT(SUBSTITUTE(SUBSTITUTE($A$79:$A$90,")",""),"(",REPT(" ",100)),100))),0)-IFERROR(F79:F90,0)&gt;0,IFERROR(VALUE(TRIM(RIGHT(SUBSTITUTE(SUBSTITUTE($A$79:$A$90,")",""),"(",REPT(" ",100)),100))),0)-IFERROR(F79:F90,0),0),0))+SUM(IF(($A$93:$A$95&lt;&gt;"")*(F93:F95&lt;&gt;""),IF(IFERROR(VALUE(TRIM(RIGHT(SUBSTITUTE(SUBSTITUTE($A$93:$A$95,")",""),"(",REPT(" ",100)),100))),0)-IFERROR(F93:F95,0)&gt;0,IFERROR(VALUE(TRIM(RIGHT(SUBSTITUTE(SUBSTITUTE($A$93:$A$95,")",""),"(",REPT(" ",100)),100))),0)-IFERROR(F93:F95,0),0),0))</f>
        <v>953.26499999999987</v>
      </c>
      <c r="G160" s="173">
        <f t="array" ref="G160">SUM(IF(($A$11:$A$68&lt;&gt;"")*(G11:G68&lt;&gt;""),IF(IFERROR(VALUE(TRIM(RIGHT(SUBSTITUTE(SUBSTITUTE($A$11:$A$68,")",""),"(",REPT(" ",100)),100))),0)-IFERROR(G11:G68,0)&gt;0,IFERROR(VALUE(TRIM(RIGHT(SUBSTITUTE(SUBSTITUTE($A$11:$A$68,")",""),"(",REPT(" ",100)),100))),0)-IFERROR(G11:G68,0),0),0))+SUM(IF(($A$72:$A$77&lt;&gt;"")*(G72:G77&lt;&gt;""),IF(IFERROR(VALUE(TRIM(RIGHT(SUBSTITUTE(SUBSTITUTE($A$72:$A$77,")",""),"(",REPT(" ",100)),100))),0)-IFERROR(G72:G77,0)&gt;0,IFERROR(VALUE(TRIM(RIGHT(SUBSTITUTE(SUBSTITUTE($A$72:$A$77,")",""),"(",REPT(" ",100)),100))),0)-IFERROR(G72:G77,0),0),0))+SUM(IF(($A$79:$A$90&lt;&gt;"")*(G79:G90&lt;&gt;""),IF(IFERROR(VALUE(TRIM(RIGHT(SUBSTITUTE(SUBSTITUTE($A$79:$A$90,")",""),"(",REPT(" ",100)),100))),0)-IFERROR(G79:G90,0)&gt;0,IFERROR(VALUE(TRIM(RIGHT(SUBSTITUTE(SUBSTITUTE($A$79:$A$90,")",""),"(",REPT(" ",100)),100))),0)-IFERROR(G79:G90,0),0),0))+SUM(IF(($A$93:$A$95&lt;&gt;"")*(G93:G95&lt;&gt;""),IF(IFERROR(VALUE(TRIM(RIGHT(SUBSTITUTE(SUBSTITUTE($A$93:$A$95,")",""),"(",REPT(" ",100)),100))),0)-IFERROR(G93:G95,0)&gt;0,IFERROR(VALUE(TRIM(RIGHT(SUBSTITUTE(SUBSTITUTE($A$93:$A$95,")",""),"(",REPT(" ",100)),100))),0)-IFERROR(G93:G95,0),0),0))</f>
        <v>953.26499999999987</v>
      </c>
      <c r="H160" s="173">
        <f t="array" ref="H160">SUM(IF(($A$11:$A$68&lt;&gt;"")*(H11:H68&lt;&gt;""),IF(IFERROR(VALUE(TRIM(RIGHT(SUBSTITUTE(SUBSTITUTE($A$11:$A$68,")",""),"(",REPT(" ",100)),100))),0)-IFERROR(H11:H68,0)&gt;0,IFERROR(VALUE(TRIM(RIGHT(SUBSTITUTE(SUBSTITUTE($A$11:$A$68,")",""),"(",REPT(" ",100)),100))),0)-IFERROR(H11:H68,0),0),0))+SUM(IF(($A$72:$A$77&lt;&gt;"")*(H72:H77&lt;&gt;""),IF(IFERROR(VALUE(TRIM(RIGHT(SUBSTITUTE(SUBSTITUTE($A$72:$A$77,")",""),"(",REPT(" ",100)),100))),0)-IFERROR(H72:H77,0)&gt;0,IFERROR(VALUE(TRIM(RIGHT(SUBSTITUTE(SUBSTITUTE($A$72:$A$77,")",""),"(",REPT(" ",100)),100))),0)-IFERROR(H72:H77,0),0),0))+SUM(IF(($A$79:$A$90&lt;&gt;"")*(H79:H90&lt;&gt;""),IF(IFERROR(VALUE(TRIM(RIGHT(SUBSTITUTE(SUBSTITUTE($A$79:$A$90,")",""),"(",REPT(" ",100)),100))),0)-IFERROR(H79:H90,0)&gt;0,IFERROR(VALUE(TRIM(RIGHT(SUBSTITUTE(SUBSTITUTE($A$79:$A$90,")",""),"(",REPT(" ",100)),100))),0)-IFERROR(H79:H90,0),0),0))+SUM(IF(($A$93:$A$95&lt;&gt;"")*(H93:H95&lt;&gt;""),IF(IFERROR(VALUE(TRIM(RIGHT(SUBSTITUTE(SUBSTITUTE($A$93:$A$95,")",""),"(",REPT(" ",100)),100))),0)-IFERROR(H93:H95,0)&gt;0,IFERROR(VALUE(TRIM(RIGHT(SUBSTITUTE(SUBSTITUTE($A$93:$A$95,")",""),"(",REPT(" ",100)),100))),0)-IFERROR(H93:H95,0),0),0))</f>
        <v>938.76499999999987</v>
      </c>
      <c r="I160" s="173">
        <f t="array" ref="I160">SUM(IF(($A$11:$A$68&lt;&gt;"")*(I11:I68&lt;&gt;""),IF(IFERROR(VALUE(TRIM(RIGHT(SUBSTITUTE(SUBSTITUTE($A$11:$A$68,")",""),"(",REPT(" ",100)),100))),0)-IFERROR(I11:I68,0)&gt;0,IFERROR(VALUE(TRIM(RIGHT(SUBSTITUTE(SUBSTITUTE($A$11:$A$68,")",""),"(",REPT(" ",100)),100))),0)-IFERROR(I11:I68,0),0),0))+SUM(IF(($A$72:$A$77&lt;&gt;"")*(I72:I77&lt;&gt;""),IF(IFERROR(VALUE(TRIM(RIGHT(SUBSTITUTE(SUBSTITUTE($A$72:$A$77,")",""),"(",REPT(" ",100)),100))),0)-IFERROR(I72:I77,0)&gt;0,IFERROR(VALUE(TRIM(RIGHT(SUBSTITUTE(SUBSTITUTE($A$72:$A$77,")",""),"(",REPT(" ",100)),100))),0)-IFERROR(I72:I77,0),0),0))+SUM(IF(($A$79:$A$90&lt;&gt;"")*(I79:I90&lt;&gt;""),IF(IFERROR(VALUE(TRIM(RIGHT(SUBSTITUTE(SUBSTITUTE($A$79:$A$90,")",""),"(",REPT(" ",100)),100))),0)-IFERROR(I79:I90,0)&gt;0,IFERROR(VALUE(TRIM(RIGHT(SUBSTITUTE(SUBSTITUTE($A$79:$A$90,")",""),"(",REPT(" ",100)),100))),0)-IFERROR(I79:I90,0),0),0))+SUM(IF(($A$93:$A$95&lt;&gt;"")*(I93:I95&lt;&gt;""),IF(IFERROR(VALUE(TRIM(RIGHT(SUBSTITUTE(SUBSTITUTE($A$93:$A$95,")",""),"(",REPT(" ",100)),100))),0)-IFERROR(I93:I95,0)&gt;0,IFERROR(VALUE(TRIM(RIGHT(SUBSTITUTE(SUBSTITUTE($A$93:$A$95,")",""),"(",REPT(" ",100)),100))),0)-IFERROR(I93:I95,0),0),0))</f>
        <v>938.76499999999987</v>
      </c>
      <c r="J160" s="173">
        <f t="array" ref="J160">SUM(IF(($A$11:$A$68&lt;&gt;"")*(J11:J68&lt;&gt;""),IF(IFERROR(VALUE(TRIM(RIGHT(SUBSTITUTE(SUBSTITUTE($A$11:$A$68,")",""),"(",REPT(" ",100)),100))),0)-IFERROR(J11:J68,0)&gt;0,IFERROR(VALUE(TRIM(RIGHT(SUBSTITUTE(SUBSTITUTE($A$11:$A$68,")",""),"(",REPT(" ",100)),100))),0)-IFERROR(J11:J68,0),0),0))+SUM(IF(($A$72:$A$77&lt;&gt;"")*(J72:J77&lt;&gt;""),IF(IFERROR(VALUE(TRIM(RIGHT(SUBSTITUTE(SUBSTITUTE($A$72:$A$77,")",""),"(",REPT(" ",100)),100))),0)-IFERROR(J72:J77,0)&gt;0,IFERROR(VALUE(TRIM(RIGHT(SUBSTITUTE(SUBSTITUTE($A$72:$A$77,")",""),"(",REPT(" ",100)),100))),0)-IFERROR(J72:J77,0),0),0))+SUM(IF(($A$79:$A$90&lt;&gt;"")*(J79:J90&lt;&gt;""),IF(IFERROR(VALUE(TRIM(RIGHT(SUBSTITUTE(SUBSTITUTE($A$79:$A$90,")",""),"(",REPT(" ",100)),100))),0)-IFERROR(J79:J90,0)&gt;0,IFERROR(VALUE(TRIM(RIGHT(SUBSTITUTE(SUBSTITUTE($A$79:$A$90,")",""),"(",REPT(" ",100)),100))),0)-IFERROR(J79:J90,0),0),0))+SUM(IF(($A$93:$A$95&lt;&gt;"")*(J93:J95&lt;&gt;""),IF(IFERROR(VALUE(TRIM(RIGHT(SUBSTITUTE(SUBSTITUTE($A$93:$A$95,")",""),"(",REPT(" ",100)),100))),0)-IFERROR(J93:J95,0)&gt;0,IFERROR(VALUE(TRIM(RIGHT(SUBSTITUTE(SUBSTITUTE($A$93:$A$95,")",""),"(",REPT(" ",100)),100))),0)-IFERROR(J93:J95,0),0),0))</f>
        <v>899.56499999999983</v>
      </c>
      <c r="K160" s="173">
        <f t="array" ref="K160">SUM(IF(($A$11:$A$68&lt;&gt;"")*(K11:K68&lt;&gt;""),IF(IFERROR(VALUE(TRIM(RIGHT(SUBSTITUTE(SUBSTITUTE($A$11:$A$68,")",""),"(",REPT(" ",100)),100))),0)-IFERROR(K11:K68,0)&gt;0,IFERROR(VALUE(TRIM(RIGHT(SUBSTITUTE(SUBSTITUTE($A$11:$A$68,")",""),"(",REPT(" ",100)),100))),0)-IFERROR(K11:K68,0),0),0))+SUM(IF(($A$72:$A$77&lt;&gt;"")*(K72:K77&lt;&gt;""),IF(IFERROR(VALUE(TRIM(RIGHT(SUBSTITUTE(SUBSTITUTE($A$72:$A$77,")",""),"(",REPT(" ",100)),100))),0)-IFERROR(K72:K77,0)&gt;0,IFERROR(VALUE(TRIM(RIGHT(SUBSTITUTE(SUBSTITUTE($A$72:$A$77,")",""),"(",REPT(" ",100)),100))),0)-IFERROR(K72:K77,0),0),0))+SUM(IF(($A$79:$A$90&lt;&gt;"")*(K79:K90&lt;&gt;""),IF(IFERROR(VALUE(TRIM(RIGHT(SUBSTITUTE(SUBSTITUTE($A$79:$A$90,")",""),"(",REPT(" ",100)),100))),0)-IFERROR(K79:K90,0)&gt;0,IFERROR(VALUE(TRIM(RIGHT(SUBSTITUTE(SUBSTITUTE($A$79:$A$90,")",""),"(",REPT(" ",100)),100))),0)-IFERROR(K79:K90,0),0),0))+SUM(IF(($A$93:$A$95&lt;&gt;"")*(K93:K95&lt;&gt;""),IF(IFERROR(VALUE(TRIM(RIGHT(SUBSTITUTE(SUBSTITUTE($A$93:$A$95,")",""),"(",REPT(" ",100)),100))),0)-IFERROR(K93:K95,0)&gt;0,IFERROR(VALUE(TRIM(RIGHT(SUBSTITUTE(SUBSTITUTE($A$93:$A$95,")",""),"(",REPT(" ",100)),100))),0)-IFERROR(K93:K95,0),0),0))</f>
        <v>889.76499999999976</v>
      </c>
      <c r="L160" s="173">
        <f t="array" ref="L160">SUM(IF(($A$11:$A$68&lt;&gt;"")*(L11:L68&lt;&gt;""),IF(IFERROR(VALUE(TRIM(RIGHT(SUBSTITUTE(SUBSTITUTE($A$11:$A$68,")",""),"(",REPT(" ",100)),100))),0)-IFERROR(L11:L68,0)&gt;0,IFERROR(VALUE(TRIM(RIGHT(SUBSTITUTE(SUBSTITUTE($A$11:$A$68,")",""),"(",REPT(" ",100)),100))),0)-IFERROR(L11:L68,0),0),0))+SUM(IF(($A$72:$A$77&lt;&gt;"")*(L72:L77&lt;&gt;""),IF(IFERROR(VALUE(TRIM(RIGHT(SUBSTITUTE(SUBSTITUTE($A$72:$A$77,")",""),"(",REPT(" ",100)),100))),0)-IFERROR(L72:L77,0)&gt;0,IFERROR(VALUE(TRIM(RIGHT(SUBSTITUTE(SUBSTITUTE($A$72:$A$77,")",""),"(",REPT(" ",100)),100))),0)-IFERROR(L72:L77,0),0),0))+SUM(IF(($A$79:$A$90&lt;&gt;"")*(L79:L90&lt;&gt;""),IF(IFERROR(VALUE(TRIM(RIGHT(SUBSTITUTE(SUBSTITUTE($A$79:$A$90,")",""),"(",REPT(" ",100)),100))),0)-IFERROR(L79:L90,0)&gt;0,IFERROR(VALUE(TRIM(RIGHT(SUBSTITUTE(SUBSTITUTE($A$79:$A$90,")",""),"(",REPT(" ",100)),100))),0)-IFERROR(L79:L90,0),0),0))+SUM(IF(($A$93:$A$95&lt;&gt;"")*(L93:L95&lt;&gt;""),IF(IFERROR(VALUE(TRIM(RIGHT(SUBSTITUTE(SUBSTITUTE($A$93:$A$95,")",""),"(",REPT(" ",100)),100))),0)-IFERROR(L93:L95,0)&gt;0,IFERROR(VALUE(TRIM(RIGHT(SUBSTITUTE(SUBSTITUTE($A$93:$A$95,")",""),"(",REPT(" ",100)),100))),0)-IFERROR(L93:L95,0),0),0))</f>
        <v>767.06499999999994</v>
      </c>
      <c r="M160" s="173">
        <f t="array" ref="M160">SUM(IF(($A$11:$A$68&lt;&gt;"")*(M11:M68&lt;&gt;""),IF(IFERROR(VALUE(TRIM(RIGHT(SUBSTITUTE(SUBSTITUTE($A$11:$A$68,")",""),"(",REPT(" ",100)),100))),0)-IFERROR(M11:M68,0)&gt;0,IFERROR(VALUE(TRIM(RIGHT(SUBSTITUTE(SUBSTITUTE($A$11:$A$68,")",""),"(",REPT(" ",100)),100))),0)-IFERROR(M11:M68,0),0),0))+SUM(IF(($A$72:$A$77&lt;&gt;"")*(M72:M77&lt;&gt;""),IF(IFERROR(VALUE(TRIM(RIGHT(SUBSTITUTE(SUBSTITUTE($A$72:$A$77,")",""),"(",REPT(" ",100)),100))),0)-IFERROR(M72:M77,0)&gt;0,IFERROR(VALUE(TRIM(RIGHT(SUBSTITUTE(SUBSTITUTE($A$72:$A$77,")",""),"(",REPT(" ",100)),100))),0)-IFERROR(M72:M77,0),0),0))+SUM(IF(($A$79:$A$90&lt;&gt;"")*(M79:M90&lt;&gt;""),IF(IFERROR(VALUE(TRIM(RIGHT(SUBSTITUTE(SUBSTITUTE($A$79:$A$90,")",""),"(",REPT(" ",100)),100))),0)-IFERROR(M79:M90,0)&gt;0,IFERROR(VALUE(TRIM(RIGHT(SUBSTITUTE(SUBSTITUTE($A$79:$A$90,")",""),"(",REPT(" ",100)),100))),0)-IFERROR(M79:M90,0),0),0))+SUM(IF(($A$93:$A$95&lt;&gt;"")*(M93:M95&lt;&gt;""),IF(IFERROR(VALUE(TRIM(RIGHT(SUBSTITUTE(SUBSTITUTE($A$93:$A$95,")",""),"(",REPT(" ",100)),100))),0)-IFERROR(M93:M95,0)&gt;0,IFERROR(VALUE(TRIM(RIGHT(SUBSTITUTE(SUBSTITUTE($A$93:$A$95,")",""),"(",REPT(" ",100)),100))),0)-IFERROR(M93:M95,0),0),0))</f>
        <v>718.25499999999988</v>
      </c>
      <c r="N160" s="173">
        <f t="array" ref="N160">SUM(IF(($A$11:$A$68&lt;&gt;"")*(N11:N68&lt;&gt;""),IF(IFERROR(VALUE(TRIM(RIGHT(SUBSTITUTE(SUBSTITUTE($A$11:$A$68,")",""),"(",REPT(" ",100)),100))),0)-IFERROR(N11:N68,0)&gt;0,IFERROR(VALUE(TRIM(RIGHT(SUBSTITUTE(SUBSTITUTE($A$11:$A$68,")",""),"(",REPT(" ",100)),100))),0)-IFERROR(N11:N68,0),0),0))+SUM(IF(($A$72:$A$77&lt;&gt;"")*(N72:N77&lt;&gt;""),IF(IFERROR(VALUE(TRIM(RIGHT(SUBSTITUTE(SUBSTITUTE($A$72:$A$77,")",""),"(",REPT(" ",100)),100))),0)-IFERROR(N72:N77,0)&gt;0,IFERROR(VALUE(TRIM(RIGHT(SUBSTITUTE(SUBSTITUTE($A$72:$A$77,")",""),"(",REPT(" ",100)),100))),0)-IFERROR(N72:N77,0),0),0))+SUM(IF(($A$79:$A$90&lt;&gt;"")*(N79:N90&lt;&gt;""),IF(IFERROR(VALUE(TRIM(RIGHT(SUBSTITUTE(SUBSTITUTE($A$79:$A$90,")",""),"(",REPT(" ",100)),100))),0)-IFERROR(N79:N90,0)&gt;0,IFERROR(VALUE(TRIM(RIGHT(SUBSTITUTE(SUBSTITUTE($A$79:$A$90,")",""),"(",REPT(" ",100)),100))),0)-IFERROR(N79:N90,0),0),0))+SUM(IF(($A$93:$A$95&lt;&gt;"")*(N93:N95&lt;&gt;""),IF(IFERROR(VALUE(TRIM(RIGHT(SUBSTITUTE(SUBSTITUTE($A$93:$A$95,")",""),"(",REPT(" ",100)),100))),0)-IFERROR(N93:N95,0)&gt;0,IFERROR(VALUE(TRIM(RIGHT(SUBSTITUTE(SUBSTITUTE($A$93:$A$95,")",""),"(",REPT(" ",100)),100))),0)-IFERROR(N93:N95,0),0),0))</f>
        <v>715.65499999999986</v>
      </c>
      <c r="O160" s="173">
        <f t="array" ref="O160">SUM(IF(($A$11:$A$68&lt;&gt;"")*(O11:O68&lt;&gt;""),IF(IFERROR(VALUE(TRIM(RIGHT(SUBSTITUTE(SUBSTITUTE($A$11:$A$68,")",""),"(",REPT(" ",100)),100))),0)-IFERROR(O11:O68,0)&gt;0,IFERROR(VALUE(TRIM(RIGHT(SUBSTITUTE(SUBSTITUTE($A$11:$A$68,")",""),"(",REPT(" ",100)),100))),0)-IFERROR(O11:O68,0),0),0))+SUM(IF(($A$72:$A$77&lt;&gt;"")*(O72:O77&lt;&gt;""),IF(IFERROR(VALUE(TRIM(RIGHT(SUBSTITUTE(SUBSTITUTE($A$72:$A$77,")",""),"(",REPT(" ",100)),100))),0)-IFERROR(O72:O77,0)&gt;0,IFERROR(VALUE(TRIM(RIGHT(SUBSTITUTE(SUBSTITUTE($A$72:$A$77,")",""),"(",REPT(" ",100)),100))),0)-IFERROR(O72:O77,0),0),0))+SUM(IF(($A$79:$A$90&lt;&gt;"")*(O79:O90&lt;&gt;""),IF(IFERROR(VALUE(TRIM(RIGHT(SUBSTITUTE(SUBSTITUTE($A$79:$A$90,")",""),"(",REPT(" ",100)),100))),0)-IFERROR(O79:O90,0)&gt;0,IFERROR(VALUE(TRIM(RIGHT(SUBSTITUTE(SUBSTITUTE($A$79:$A$90,")",""),"(",REPT(" ",100)),100))),0)-IFERROR(O79:O90,0),0),0))+SUM(IF(($A$93:$A$95&lt;&gt;"")*(O93:O95&lt;&gt;""),IF(IFERROR(VALUE(TRIM(RIGHT(SUBSTITUTE(SUBSTITUTE($A$93:$A$95,")",""),"(",REPT(" ",100)),100))),0)-IFERROR(O93:O95,0)&gt;0,IFERROR(VALUE(TRIM(RIGHT(SUBSTITUTE(SUBSTITUTE($A$93:$A$95,")",""),"(",REPT(" ",100)),100))),0)-IFERROR(O93:O95,0),0),0))</f>
        <v>611.24500000000012</v>
      </c>
      <c r="P160" s="173">
        <f t="array" ref="P160">SUM(IF(($A$11:$A$68&lt;&gt;"")*(P11:P68&lt;&gt;""),IF(IFERROR(VALUE(TRIM(RIGHT(SUBSTITUTE(SUBSTITUTE($A$11:$A$68,")",""),"(",REPT(" ",100)),100))),0)-IFERROR(P11:P68,0)&gt;0,IFERROR(VALUE(TRIM(RIGHT(SUBSTITUTE(SUBSTITUTE($A$11:$A$68,")",""),"(",REPT(" ",100)),100))),0)-IFERROR(P11:P68,0),0),0))+SUM(IF(($A$72:$A$77&lt;&gt;"")*(P72:P77&lt;&gt;""),IF(IFERROR(VALUE(TRIM(RIGHT(SUBSTITUTE(SUBSTITUTE($A$72:$A$77,")",""),"(",REPT(" ",100)),100))),0)-IFERROR(P72:P77,0)&gt;0,IFERROR(VALUE(TRIM(RIGHT(SUBSTITUTE(SUBSTITUTE($A$72:$A$77,")",""),"(",REPT(" ",100)),100))),0)-IFERROR(P72:P77,0),0),0))+SUM(IF(($A$79:$A$90&lt;&gt;"")*(P79:P90&lt;&gt;""),IF(IFERROR(VALUE(TRIM(RIGHT(SUBSTITUTE(SUBSTITUTE($A$79:$A$90,")",""),"(",REPT(" ",100)),100))),0)-IFERROR(P79:P90,0)&gt;0,IFERROR(VALUE(TRIM(RIGHT(SUBSTITUTE(SUBSTITUTE($A$79:$A$90,")",""),"(",REPT(" ",100)),100))),0)-IFERROR(P79:P90,0),0),0))+SUM(IF(($A$93:$A$95&lt;&gt;"")*(P93:P95&lt;&gt;""),IF(IFERROR(VALUE(TRIM(RIGHT(SUBSTITUTE(SUBSTITUTE($A$93:$A$95,")",""),"(",REPT(" ",100)),100))),0)-IFERROR(P93:P95,0)&gt;0,IFERROR(VALUE(TRIM(RIGHT(SUBSTITUTE(SUBSTITUTE($A$93:$A$95,")",""),"(",REPT(" ",100)),100))),0)-IFERROR(P93:P95,0),0),0))</f>
        <v>609.245</v>
      </c>
      <c r="Q160" s="173">
        <f t="array" ref="Q160">SUM(IF(($A$11:$A$68&lt;&gt;"")*(Q11:Q68&lt;&gt;""),IF(IFERROR(VALUE(TRIM(RIGHT(SUBSTITUTE(SUBSTITUTE($A$11:$A$68,")",""),"(",REPT(" ",100)),100))),0)-IFERROR(Q11:Q68,0)&gt;0,IFERROR(VALUE(TRIM(RIGHT(SUBSTITUTE(SUBSTITUTE($A$11:$A$68,")",""),"(",REPT(" ",100)),100))),0)-IFERROR(Q11:Q68,0),0),0))+SUM(IF(($A$72:$A$77&lt;&gt;"")*(Q72:Q77&lt;&gt;""),IF(IFERROR(VALUE(TRIM(RIGHT(SUBSTITUTE(SUBSTITUTE($A$72:$A$77,")",""),"(",REPT(" ",100)),100))),0)-IFERROR(Q72:Q77,0)&gt;0,IFERROR(VALUE(TRIM(RIGHT(SUBSTITUTE(SUBSTITUTE($A$72:$A$77,")",""),"(",REPT(" ",100)),100))),0)-IFERROR(Q72:Q77,0),0),0))+SUM(IF(($A$79:$A$90&lt;&gt;"")*(Q79:Q90&lt;&gt;""),IF(IFERROR(VALUE(TRIM(RIGHT(SUBSTITUTE(SUBSTITUTE($A$79:$A$90,")",""),"(",REPT(" ",100)),100))),0)-IFERROR(Q79:Q90,0)&gt;0,IFERROR(VALUE(TRIM(RIGHT(SUBSTITUTE(SUBSTITUTE($A$79:$A$90,")",""),"(",REPT(" ",100)),100))),0)-IFERROR(Q79:Q90,0),0),0))+SUM(IF(($A$93:$A$95&lt;&gt;"")*(Q93:Q95&lt;&gt;""),IF(IFERROR(VALUE(TRIM(RIGHT(SUBSTITUTE(SUBSTITUTE($A$93:$A$95,")",""),"(",REPT(" ",100)),100))),0)-IFERROR(Q93:Q95,0)&gt;0,IFERROR(VALUE(TRIM(RIGHT(SUBSTITUTE(SUBSTITUTE($A$93:$A$95,")",""),"(",REPT(" ",100)),100))),0)-IFERROR(Q93:Q95,0),0),0))</f>
        <v>632.245</v>
      </c>
      <c r="R160" s="173">
        <f t="array" ref="R160">SUM(IF(($A$11:$A$68&lt;&gt;"")*(R11:R68&lt;&gt;""),IF(IFERROR(VALUE(TRIM(RIGHT(SUBSTITUTE(SUBSTITUTE($A$11:$A$68,")",""),"(",REPT(" ",100)),100))),0)-IFERROR(R11:R68,0)&gt;0,IFERROR(VALUE(TRIM(RIGHT(SUBSTITUTE(SUBSTITUTE($A$11:$A$68,")",""),"(",REPT(" ",100)),100))),0)-IFERROR(R11:R68,0),0),0))+SUM(IF(($A$72:$A$77&lt;&gt;"")*(R72:R77&lt;&gt;""),IF(IFERROR(VALUE(TRIM(RIGHT(SUBSTITUTE(SUBSTITUTE($A$72:$A$77,")",""),"(",REPT(" ",100)),100))),0)-IFERROR(R72:R77,0)&gt;0,IFERROR(VALUE(TRIM(RIGHT(SUBSTITUTE(SUBSTITUTE($A$72:$A$77,")",""),"(",REPT(" ",100)),100))),0)-IFERROR(R72:R77,0),0),0))+SUM(IF(($A$79:$A$90&lt;&gt;"")*(R79:R90&lt;&gt;""),IF(IFERROR(VALUE(TRIM(RIGHT(SUBSTITUTE(SUBSTITUTE($A$79:$A$90,")",""),"(",REPT(" ",100)),100))),0)-IFERROR(R79:R90,0)&gt;0,IFERROR(VALUE(TRIM(RIGHT(SUBSTITUTE(SUBSTITUTE($A$79:$A$90,")",""),"(",REPT(" ",100)),100))),0)-IFERROR(R79:R90,0),0),0))+SUM(IF(($A$93:$A$95&lt;&gt;"")*(R93:R95&lt;&gt;""),IF(IFERROR(VALUE(TRIM(RIGHT(SUBSTITUTE(SUBSTITUTE($A$93:$A$95,")",""),"(",REPT(" ",100)),100))),0)-IFERROR(R93:R95,0)&gt;0,IFERROR(VALUE(TRIM(RIGHT(SUBSTITUTE(SUBSTITUTE($A$93:$A$95,")",""),"(",REPT(" ",100)),100))),0)-IFERROR(R93:R95,0),0),0))</f>
        <v>586.02499999999986</v>
      </c>
      <c r="S160" s="173">
        <f t="array" ref="S160">SUM(IF(($A$11:$A$68&lt;&gt;"")*(S11:S68&lt;&gt;""),IF(IFERROR(VALUE(TRIM(RIGHT(SUBSTITUTE(SUBSTITUTE($A$11:$A$68,")",""),"(",REPT(" ",100)),100))),0)-IFERROR(S11:S68,0)&gt;0,IFERROR(VALUE(TRIM(RIGHT(SUBSTITUTE(SUBSTITUTE($A$11:$A$68,")",""),"(",REPT(" ",100)),100))),0)-IFERROR(S11:S68,0),0),0))+SUM(IF(($A$72:$A$77&lt;&gt;"")*(S72:S77&lt;&gt;""),IF(IFERROR(VALUE(TRIM(RIGHT(SUBSTITUTE(SUBSTITUTE($A$72:$A$77,")",""),"(",REPT(" ",100)),100))),0)-IFERROR(S72:S77,0)&gt;0,IFERROR(VALUE(TRIM(RIGHT(SUBSTITUTE(SUBSTITUTE($A$72:$A$77,")",""),"(",REPT(" ",100)),100))),0)-IFERROR(S72:S77,0),0),0))+SUM(IF(($A$79:$A$90&lt;&gt;"")*(S79:S90&lt;&gt;""),IF(IFERROR(VALUE(TRIM(RIGHT(SUBSTITUTE(SUBSTITUTE($A$79:$A$90,")",""),"(",REPT(" ",100)),100))),0)-IFERROR(S79:S90,0)&gt;0,IFERROR(VALUE(TRIM(RIGHT(SUBSTITUTE(SUBSTITUTE($A$79:$A$90,")",""),"(",REPT(" ",100)),100))),0)-IFERROR(S79:S90,0),0),0))+SUM(IF(($A$93:$A$95&lt;&gt;"")*(S93:S95&lt;&gt;""),IF(IFERROR(VALUE(TRIM(RIGHT(SUBSTITUTE(SUBSTITUTE($A$93:$A$95,")",""),"(",REPT(" ",100)),100))),0)-IFERROR(S93:S95,0)&gt;0,IFERROR(VALUE(TRIM(RIGHT(SUBSTITUTE(SUBSTITUTE($A$93:$A$95,")",""),"(",REPT(" ",100)),100))),0)-IFERROR(S93:S95,0),0),0))</f>
        <v>544.52499999999998</v>
      </c>
      <c r="T160" s="173">
        <f t="array" ref="T160">SUM(IF(($A$11:$A$68&lt;&gt;"")*(T11:T68&lt;&gt;""),IF(IFERROR(VALUE(TRIM(RIGHT(SUBSTITUTE(SUBSTITUTE($A$11:$A$68,")",""),"(",REPT(" ",100)),100))),0)-IFERROR(T11:T68,0)&gt;0,IFERROR(VALUE(TRIM(RIGHT(SUBSTITUTE(SUBSTITUTE($A$11:$A$68,")",""),"(",REPT(" ",100)),100))),0)-IFERROR(T11:T68,0),0),0))+SUM(IF(($A$72:$A$77&lt;&gt;"")*(T72:T77&lt;&gt;""),IF(IFERROR(VALUE(TRIM(RIGHT(SUBSTITUTE(SUBSTITUTE($A$72:$A$77,")",""),"(",REPT(" ",100)),100))),0)-IFERROR(T72:T77,0)&gt;0,IFERROR(VALUE(TRIM(RIGHT(SUBSTITUTE(SUBSTITUTE($A$72:$A$77,")",""),"(",REPT(" ",100)),100))),0)-IFERROR(T72:T77,0),0),0))+SUM(IF(($A$79:$A$90&lt;&gt;"")*(T79:T90&lt;&gt;""),IF(IFERROR(VALUE(TRIM(RIGHT(SUBSTITUTE(SUBSTITUTE($A$79:$A$90,")",""),"(",REPT(" ",100)),100))),0)-IFERROR(T79:T90,0)&gt;0,IFERROR(VALUE(TRIM(RIGHT(SUBSTITUTE(SUBSTITUTE($A$79:$A$90,")",""),"(",REPT(" ",100)),100))),0)-IFERROR(T79:T90,0),0),0))+SUM(IF(($A$93:$A$95&lt;&gt;"")*(T93:T95&lt;&gt;""),IF(IFERROR(VALUE(TRIM(RIGHT(SUBSTITUTE(SUBSTITUTE($A$93:$A$95,")",""),"(",REPT(" ",100)),100))),0)-IFERROR(T93:T95,0)&gt;0,IFERROR(VALUE(TRIM(RIGHT(SUBSTITUTE(SUBSTITUTE($A$93:$A$95,")",""),"(",REPT(" ",100)),100))),0)-IFERROR(T93:T95,0),0),0))</f>
        <v>504.22499999999991</v>
      </c>
      <c r="U160" s="173">
        <f t="array" ref="U160">SUM(IF(($A$11:$A$68&lt;&gt;"")*(U11:U68&lt;&gt;""),IF(IFERROR(VALUE(TRIM(RIGHT(SUBSTITUTE(SUBSTITUTE($A$11:$A$68,")",""),"(",REPT(" ",100)),100))),0)-IFERROR(U11:U68,0)&gt;0,IFERROR(VALUE(TRIM(RIGHT(SUBSTITUTE(SUBSTITUTE($A$11:$A$68,")",""),"(",REPT(" ",100)),100))),0)-IFERROR(U11:U68,0),0),0))+SUM(IF(($A$72:$A$77&lt;&gt;"")*(U72:U77&lt;&gt;""),IF(IFERROR(VALUE(TRIM(RIGHT(SUBSTITUTE(SUBSTITUTE($A$72:$A$77,")",""),"(",REPT(" ",100)),100))),0)-IFERROR(U72:U77,0)&gt;0,IFERROR(VALUE(TRIM(RIGHT(SUBSTITUTE(SUBSTITUTE($A$72:$A$77,")",""),"(",REPT(" ",100)),100))),0)-IFERROR(U72:U77,0),0),0))+SUM(IF(($A$79:$A$90&lt;&gt;"")*(U79:U90&lt;&gt;""),IF(IFERROR(VALUE(TRIM(RIGHT(SUBSTITUTE(SUBSTITUTE($A$79:$A$90,")",""),"(",REPT(" ",100)),100))),0)-IFERROR(U79:U90,0)&gt;0,IFERROR(VALUE(TRIM(RIGHT(SUBSTITUTE(SUBSTITUTE($A$79:$A$90,")",""),"(",REPT(" ",100)),100))),0)-IFERROR(U79:U90,0),0),0))+SUM(IF(($A$93:$A$95&lt;&gt;"")*(U93:U95&lt;&gt;""),IF(IFERROR(VALUE(TRIM(RIGHT(SUBSTITUTE(SUBSTITUTE($A$93:$A$95,")",""),"(",REPT(" ",100)),100))),0)-IFERROR(U93:U95,0)&gt;0,IFERROR(VALUE(TRIM(RIGHT(SUBSTITUTE(SUBSTITUTE($A$93:$A$95,")",""),"(",REPT(" ",100)),100))),0)-IFERROR(U93:U95,0),0),0))</f>
        <v>515.72499999999991</v>
      </c>
      <c r="V160" s="173">
        <f t="array" ref="V160">SUM(IF(($A$11:$A$68&lt;&gt;"")*(V11:V68&lt;&gt;""),IF(IFERROR(VALUE(TRIM(RIGHT(SUBSTITUTE(SUBSTITUTE($A$11:$A$68,")",""),"(",REPT(" ",100)),100))),0)-IFERROR(V11:V68,0)&gt;0,IFERROR(VALUE(TRIM(RIGHT(SUBSTITUTE(SUBSTITUTE($A$11:$A$68,")",""),"(",REPT(" ",100)),100))),0)-IFERROR(V11:V68,0),0),0))+SUM(IF(($A$72:$A$77&lt;&gt;"")*(V72:V77&lt;&gt;""),IF(IFERROR(VALUE(TRIM(RIGHT(SUBSTITUTE(SUBSTITUTE($A$72:$A$77,")",""),"(",REPT(" ",100)),100))),0)-IFERROR(V72:V77,0)&gt;0,IFERROR(VALUE(TRIM(RIGHT(SUBSTITUTE(SUBSTITUTE($A$72:$A$77,")",""),"(",REPT(" ",100)),100))),0)-IFERROR(V72:V77,0),0),0))+SUM(IF(($A$79:$A$90&lt;&gt;"")*(V79:V90&lt;&gt;""),IF(IFERROR(VALUE(TRIM(RIGHT(SUBSTITUTE(SUBSTITUTE($A$79:$A$90,")",""),"(",REPT(" ",100)),100))),0)-IFERROR(V79:V90,0)&gt;0,IFERROR(VALUE(TRIM(RIGHT(SUBSTITUTE(SUBSTITUTE($A$79:$A$90,")",""),"(",REPT(" ",100)),100))),0)-IFERROR(V79:V90,0),0),0))+SUM(IF(($A$93:$A$95&lt;&gt;"")*(V93:V95&lt;&gt;""),IF(IFERROR(VALUE(TRIM(RIGHT(SUBSTITUTE(SUBSTITUTE($A$93:$A$95,")",""),"(",REPT(" ",100)),100))),0)-IFERROR(V93:V95,0)&gt;0,IFERROR(VALUE(TRIM(RIGHT(SUBSTITUTE(SUBSTITUTE($A$93:$A$95,")",""),"(",REPT(" ",100)),100))),0)-IFERROR(V93:V95,0),0),0))</f>
        <v>530.12499999999989</v>
      </c>
      <c r="W160" s="173">
        <f t="array" ref="W160">SUM(IF(($A$11:$A$68&lt;&gt;"")*(W11:W68&lt;&gt;""),IF(IFERROR(VALUE(TRIM(RIGHT(SUBSTITUTE(SUBSTITUTE($A$11:$A$68,")",""),"(",REPT(" ",100)),100))),0)-IFERROR(W11:W68,0)&gt;0,IFERROR(VALUE(TRIM(RIGHT(SUBSTITUTE(SUBSTITUTE($A$11:$A$68,")",""),"(",REPT(" ",100)),100))),0)-IFERROR(W11:W68,0),0),0))+SUM(IF(($A$72:$A$77&lt;&gt;"")*(W72:W77&lt;&gt;""),IF(IFERROR(VALUE(TRIM(RIGHT(SUBSTITUTE(SUBSTITUTE($A$72:$A$77,")",""),"(",REPT(" ",100)),100))),0)-IFERROR(W72:W77,0)&gt;0,IFERROR(VALUE(TRIM(RIGHT(SUBSTITUTE(SUBSTITUTE($A$72:$A$77,")",""),"(",REPT(" ",100)),100))),0)-IFERROR(W72:W77,0),0),0))+SUM(IF(($A$79:$A$90&lt;&gt;"")*(W79:W90&lt;&gt;""),IF(IFERROR(VALUE(TRIM(RIGHT(SUBSTITUTE(SUBSTITUTE($A$79:$A$90,")",""),"(",REPT(" ",100)),100))),0)-IFERROR(W79:W90,0)&gt;0,IFERROR(VALUE(TRIM(RIGHT(SUBSTITUTE(SUBSTITUTE($A$79:$A$90,")",""),"(",REPT(" ",100)),100))),0)-IFERROR(W79:W90,0),0),0))+SUM(IF(($A$93:$A$95&lt;&gt;"")*(W93:W95&lt;&gt;""),IF(IFERROR(VALUE(TRIM(RIGHT(SUBSTITUTE(SUBSTITUTE($A$93:$A$95,")",""),"(",REPT(" ",100)),100))),0)-IFERROR(W93:W95,0)&gt;0,IFERROR(VALUE(TRIM(RIGHT(SUBSTITUTE(SUBSTITUTE($A$93:$A$95,")",""),"(",REPT(" ",100)),100))),0)-IFERROR(W93:W95,0),0),0))</f>
        <v>530.12499999999989</v>
      </c>
      <c r="X160" s="173">
        <f t="array" ref="X160">SUM(IF(($A$11:$A$68&lt;&gt;"")*(X11:X68&lt;&gt;""),IF(IFERROR(VALUE(TRIM(RIGHT(SUBSTITUTE(SUBSTITUTE($A$11:$A$68,")",""),"(",REPT(" ",100)),100))),0)-IFERROR(X11:X68,0)&gt;0,IFERROR(VALUE(TRIM(RIGHT(SUBSTITUTE(SUBSTITUTE($A$11:$A$68,")",""),"(",REPT(" ",100)),100))),0)-IFERROR(X11:X68,0),0),0))+SUM(IF(($A$72:$A$77&lt;&gt;"")*(X72:X77&lt;&gt;""),IF(IFERROR(VALUE(TRIM(RIGHT(SUBSTITUTE(SUBSTITUTE($A$72:$A$77,")",""),"(",REPT(" ",100)),100))),0)-IFERROR(X72:X77,0)&gt;0,IFERROR(VALUE(TRIM(RIGHT(SUBSTITUTE(SUBSTITUTE($A$72:$A$77,")",""),"(",REPT(" ",100)),100))),0)-IFERROR(X72:X77,0),0),0))+SUM(IF(($A$79:$A$90&lt;&gt;"")*(X79:X90&lt;&gt;""),IF(IFERROR(VALUE(TRIM(RIGHT(SUBSTITUTE(SUBSTITUTE($A$79:$A$90,")",""),"(",REPT(" ",100)),100))),0)-IFERROR(X79:X90,0)&gt;0,IFERROR(VALUE(TRIM(RIGHT(SUBSTITUTE(SUBSTITUTE($A$79:$A$90,")",""),"(",REPT(" ",100)),100))),0)-IFERROR(X79:X90,0),0),0))+SUM(IF(($A$93:$A$95&lt;&gt;"")*(X93:X95&lt;&gt;""),IF(IFERROR(VALUE(TRIM(RIGHT(SUBSTITUTE(SUBSTITUTE($A$93:$A$95,")",""),"(",REPT(" ",100)),100))),0)-IFERROR(X93:X95,0)&gt;0,IFERROR(VALUE(TRIM(RIGHT(SUBSTITUTE(SUBSTITUTE($A$93:$A$95,")",""),"(",REPT(" ",100)),100))),0)-IFERROR(X93:X95,0),0),0))</f>
        <v>586.125</v>
      </c>
      <c r="Y160" s="173">
        <f t="array" ref="Y160">SUM(IF(($A$11:$A$68&lt;&gt;"")*(Y11:Y68&lt;&gt;""),IF(IFERROR(VALUE(TRIM(RIGHT(SUBSTITUTE(SUBSTITUTE($A$11:$A$68,")",""),"(",REPT(" ",100)),100))),0)-IFERROR(Y11:Y68,0)&gt;0,IFERROR(VALUE(TRIM(RIGHT(SUBSTITUTE(SUBSTITUTE($A$11:$A$68,")",""),"(",REPT(" ",100)),100))),0)-IFERROR(Y11:Y68,0),0),0))+SUM(IF(($A$72:$A$77&lt;&gt;"")*(Y72:Y77&lt;&gt;""),IF(IFERROR(VALUE(TRIM(RIGHT(SUBSTITUTE(SUBSTITUTE($A$72:$A$77,")",""),"(",REPT(" ",100)),100))),0)-IFERROR(Y72:Y77,0)&gt;0,IFERROR(VALUE(TRIM(RIGHT(SUBSTITUTE(SUBSTITUTE($A$72:$A$77,")",""),"(",REPT(" ",100)),100))),0)-IFERROR(Y72:Y77,0),0),0))+SUM(IF(($A$79:$A$90&lt;&gt;"")*(Y79:Y90&lt;&gt;""),IF(IFERROR(VALUE(TRIM(RIGHT(SUBSTITUTE(SUBSTITUTE($A$79:$A$90,")",""),"(",REPT(" ",100)),100))),0)-IFERROR(Y79:Y90,0)&gt;0,IFERROR(VALUE(TRIM(RIGHT(SUBSTITUTE(SUBSTITUTE($A$79:$A$90,")",""),"(",REPT(" ",100)),100))),0)-IFERROR(Y79:Y90,0),0),0))+SUM(IF(($A$93:$A$95&lt;&gt;"")*(Y93:Y95&lt;&gt;""),IF(IFERROR(VALUE(TRIM(RIGHT(SUBSTITUTE(SUBSTITUTE($A$93:$A$95,")",""),"(",REPT(" ",100)),100))),0)-IFERROR(Y93:Y95,0)&gt;0,IFERROR(VALUE(TRIM(RIGHT(SUBSTITUTE(SUBSTITUTE($A$93:$A$95,")",""),"(",REPT(" ",100)),100))),0)-IFERROR(Y93:Y95,0),0),0))</f>
        <v>574.375</v>
      </c>
      <c r="Z160" s="173">
        <f t="array" ref="Z160">SUM(IF(($A$11:$A$68&lt;&gt;"")*(Z11:Z68&lt;&gt;""),IF(IFERROR(VALUE(TRIM(RIGHT(SUBSTITUTE(SUBSTITUTE($A$11:$A$68,")",""),"(",REPT(" ",100)),100))),0)-IFERROR(Z11:Z68,0)&gt;0,IFERROR(VALUE(TRIM(RIGHT(SUBSTITUTE(SUBSTITUTE($A$11:$A$68,")",""),"(",REPT(" ",100)),100))),0)-IFERROR(Z11:Z68,0),0),0))+SUM(IF(($A$72:$A$77&lt;&gt;"")*(Z72:Z77&lt;&gt;""),IF(IFERROR(VALUE(TRIM(RIGHT(SUBSTITUTE(SUBSTITUTE($A$72:$A$77,")",""),"(",REPT(" ",100)),100))),0)-IFERROR(Z72:Z77,0)&gt;0,IFERROR(VALUE(TRIM(RIGHT(SUBSTITUTE(SUBSTITUTE($A$72:$A$77,")",""),"(",REPT(" ",100)),100))),0)-IFERROR(Z72:Z77,0),0),0))+SUM(IF(($A$79:$A$90&lt;&gt;"")*(Z79:Z90&lt;&gt;""),IF(IFERROR(VALUE(TRIM(RIGHT(SUBSTITUTE(SUBSTITUTE($A$79:$A$90,")",""),"(",REPT(" ",100)),100))),0)-IFERROR(Z79:Z90,0)&gt;0,IFERROR(VALUE(TRIM(RIGHT(SUBSTITUTE(SUBSTITUTE($A$79:$A$90,")",""),"(",REPT(" ",100)),100))),0)-IFERROR(Z79:Z90,0),0),0))+SUM(IF(($A$93:$A$95&lt;&gt;"")*(Z93:Z95&lt;&gt;""),IF(IFERROR(VALUE(TRIM(RIGHT(SUBSTITUTE(SUBSTITUTE($A$93:$A$95,")",""),"(",REPT(" ",100)),100))),0)-IFERROR(Z93:Z95,0)&gt;0,IFERROR(VALUE(TRIM(RIGHT(SUBSTITUTE(SUBSTITUTE($A$93:$A$95,")",""),"(",REPT(" ",100)),100))),0)-IFERROR(Z93:Z95,0),0),0))</f>
        <v>530.24499999999989</v>
      </c>
      <c r="AA160" s="173">
        <f t="array" ref="AA160">SUM(IF(($A$11:$A$68&lt;&gt;"")*(AA11:AA68&lt;&gt;""),IF(IFERROR(VALUE(TRIM(RIGHT(SUBSTITUTE(SUBSTITUTE($A$11:$A$68,")",""),"(",REPT(" ",100)),100))),0)-IFERROR(AA11:AA68,0)&gt;0,IFERROR(VALUE(TRIM(RIGHT(SUBSTITUTE(SUBSTITUTE($A$11:$A$68,")",""),"(",REPT(" ",100)),100))),0)-IFERROR(AA11:AA68,0),0),0))+SUM(IF(($A$72:$A$77&lt;&gt;"")*(AA72:AA77&lt;&gt;""),IF(IFERROR(VALUE(TRIM(RIGHT(SUBSTITUTE(SUBSTITUTE($A$72:$A$77,")",""),"(",REPT(" ",100)),100))),0)-IFERROR(AA72:AA77,0)&gt;0,IFERROR(VALUE(TRIM(RIGHT(SUBSTITUTE(SUBSTITUTE($A$72:$A$77,")",""),"(",REPT(" ",100)),100))),0)-IFERROR(AA72:AA77,0),0),0))+SUM(IF(($A$79:$A$90&lt;&gt;"")*(AA79:AA90&lt;&gt;""),IF(IFERROR(VALUE(TRIM(RIGHT(SUBSTITUTE(SUBSTITUTE($A$79:$A$90,")",""),"(",REPT(" ",100)),100))),0)-IFERROR(AA79:AA90,0)&gt;0,IFERROR(VALUE(TRIM(RIGHT(SUBSTITUTE(SUBSTITUTE($A$79:$A$90,")",""),"(",REPT(" ",100)),100))),0)-IFERROR(AA79:AA90,0),0),0))+SUM(IF(($A$93:$A$95&lt;&gt;"")*(AA93:AA95&lt;&gt;""),IF(IFERROR(VALUE(TRIM(RIGHT(SUBSTITUTE(SUBSTITUTE($A$93:$A$95,")",""),"(",REPT(" ",100)),100))),0)-IFERROR(AA93:AA95,0)&gt;0,IFERROR(VALUE(TRIM(RIGHT(SUBSTITUTE(SUBSTITUTE($A$93:$A$95,")",""),"(",REPT(" ",100)),100))),0)-IFERROR(AA93:AA95,0),0),0))</f>
        <v>522.82499999999993</v>
      </c>
      <c r="AB160" s="173">
        <f t="array" ref="AB160">SUM(IF(($A$11:$A$68&lt;&gt;"")*(AB11:AB68&lt;&gt;""),IF(IFERROR(VALUE(TRIM(RIGHT(SUBSTITUTE(SUBSTITUTE($A$11:$A$68,")",""),"(",REPT(" ",100)),100))),0)-IFERROR(AB11:AB68,0)&gt;0,IFERROR(VALUE(TRIM(RIGHT(SUBSTITUTE(SUBSTITUTE($A$11:$A$68,")",""),"(",REPT(" ",100)),100))),0)-IFERROR(AB11:AB68,0),0),0))+SUM(IF(($A$72:$A$77&lt;&gt;"")*(AB72:AB77&lt;&gt;""),IF(IFERROR(VALUE(TRIM(RIGHT(SUBSTITUTE(SUBSTITUTE($A$72:$A$77,")",""),"(",REPT(" ",100)),100))),0)-IFERROR(AB72:AB77,0)&gt;0,IFERROR(VALUE(TRIM(RIGHT(SUBSTITUTE(SUBSTITUTE($A$72:$A$77,")",""),"(",REPT(" ",100)),100))),0)-IFERROR(AB72:AB77,0),0),0))+SUM(IF(($A$79:$A$90&lt;&gt;"")*(AB79:AB90&lt;&gt;""),IF(IFERROR(VALUE(TRIM(RIGHT(SUBSTITUTE(SUBSTITUTE($A$79:$A$90,")",""),"(",REPT(" ",100)),100))),0)-IFERROR(AB79:AB90,0)&gt;0,IFERROR(VALUE(TRIM(RIGHT(SUBSTITUTE(SUBSTITUTE($A$79:$A$90,")",""),"(",REPT(" ",100)),100))),0)-IFERROR(AB79:AB90,0),0),0))+SUM(IF(($A$93:$A$95&lt;&gt;"")*(AB93:AB95&lt;&gt;""),IF(IFERROR(VALUE(TRIM(RIGHT(SUBSTITUTE(SUBSTITUTE($A$93:$A$95,")",""),"(",REPT(" ",100)),100))),0)-IFERROR(AB93:AB95,0)&gt;0,IFERROR(VALUE(TRIM(RIGHT(SUBSTITUTE(SUBSTITUTE($A$93:$A$95,")",""),"(",REPT(" ",100)),100))),0)-IFERROR(AB93:AB95,0),0),0))</f>
        <v>737.255</v>
      </c>
      <c r="AC160" s="173">
        <f t="array" ref="AC160">SUM(IF(($A$11:$A$68&lt;&gt;"")*(AC11:AC68&lt;&gt;""),IF(IFERROR(VALUE(TRIM(RIGHT(SUBSTITUTE(SUBSTITUTE($A$11:$A$68,")",""),"(",REPT(" ",100)),100))),0)-IFERROR(AC11:AC68,0)&gt;0,IFERROR(VALUE(TRIM(RIGHT(SUBSTITUTE(SUBSTITUTE($A$11:$A$68,")",""),"(",REPT(" ",100)),100))),0)-IFERROR(AC11:AC68,0),0),0))+SUM(IF(($A$72:$A$77&lt;&gt;"")*(AC72:AC77&lt;&gt;""),IF(IFERROR(VALUE(TRIM(RIGHT(SUBSTITUTE(SUBSTITUTE($A$72:$A$77,")",""),"(",REPT(" ",100)),100))),0)-IFERROR(AC72:AC77,0)&gt;0,IFERROR(VALUE(TRIM(RIGHT(SUBSTITUTE(SUBSTITUTE($A$72:$A$77,")",""),"(",REPT(" ",100)),100))),0)-IFERROR(AC72:AC77,0),0),0))+SUM(IF(($A$79:$A$90&lt;&gt;"")*(AC79:AC90&lt;&gt;""),IF(IFERROR(VALUE(TRIM(RIGHT(SUBSTITUTE(SUBSTITUTE($A$79:$A$90,")",""),"(",REPT(" ",100)),100))),0)-IFERROR(AC79:AC90,0)&gt;0,IFERROR(VALUE(TRIM(RIGHT(SUBSTITUTE(SUBSTITUTE($A$79:$A$90,")",""),"(",REPT(" ",100)),100))),0)-IFERROR(AC79:AC90,0),0),0))+SUM(IF(($A$93:$A$95&lt;&gt;"")*(AC93:AC95&lt;&gt;""),IF(IFERROR(VALUE(TRIM(RIGHT(SUBSTITUTE(SUBSTITUTE($A$93:$A$95,")",""),"(",REPT(" ",100)),100))),0)-IFERROR(AC93:AC95,0)&gt;0,IFERROR(VALUE(TRIM(RIGHT(SUBSTITUTE(SUBSTITUTE($A$93:$A$95,")",""),"(",REPT(" ",100)),100))),0)-IFERROR(AC93:AC95,0),0),0))</f>
        <v>746.755</v>
      </c>
      <c r="AD160" s="173">
        <f t="array" ref="AD160">SUM(IF(($A$11:$A$68&lt;&gt;"")*(AD11:AD68&lt;&gt;""),IF(IFERROR(VALUE(TRIM(RIGHT(SUBSTITUTE(SUBSTITUTE($A$11:$A$68,")",""),"(",REPT(" ",100)),100))),0)-IFERROR(AD11:AD68,0)&gt;0,IFERROR(VALUE(TRIM(RIGHT(SUBSTITUTE(SUBSTITUTE($A$11:$A$68,")",""),"(",REPT(" ",100)),100))),0)-IFERROR(AD11:AD68,0),0),0))+SUM(IF(($A$72:$A$77&lt;&gt;"")*(AD72:AD77&lt;&gt;""),IF(IFERROR(VALUE(TRIM(RIGHT(SUBSTITUTE(SUBSTITUTE($A$72:$A$77,")",""),"(",REPT(" ",100)),100))),0)-IFERROR(AD72:AD77,0)&gt;0,IFERROR(VALUE(TRIM(RIGHT(SUBSTITUTE(SUBSTITUTE($A$72:$A$77,")",""),"(",REPT(" ",100)),100))),0)-IFERROR(AD72:AD77,0),0),0))+SUM(IF(($A$79:$A$90&lt;&gt;"")*(AD79:AD90&lt;&gt;""),IF(IFERROR(VALUE(TRIM(RIGHT(SUBSTITUTE(SUBSTITUTE($A$79:$A$90,")",""),"(",REPT(" ",100)),100))),0)-IFERROR(AD79:AD90,0)&gt;0,IFERROR(VALUE(TRIM(RIGHT(SUBSTITUTE(SUBSTITUTE($A$79:$A$90,")",""),"(",REPT(" ",100)),100))),0)-IFERROR(AD79:AD90,0),0),0))+SUM(IF(($A$93:$A$95&lt;&gt;"")*(AD93:AD95&lt;&gt;""),IF(IFERROR(VALUE(TRIM(RIGHT(SUBSTITUTE(SUBSTITUTE($A$93:$A$95,")",""),"(",REPT(" ",100)),100))),0)-IFERROR(AD93:AD95,0)&gt;0,IFERROR(VALUE(TRIM(RIGHT(SUBSTITUTE(SUBSTITUTE($A$93:$A$95,")",""),"(",REPT(" ",100)),100))),0)-IFERROR(AD93:AD95,0),0),0))</f>
        <v>729.79500000000007</v>
      </c>
      <c r="AE160" s="173">
        <f t="array" ref="AE160">SUM(IF(($A$11:$A$68&lt;&gt;"")*(AE11:AE68&lt;&gt;""),IF(IFERROR(VALUE(TRIM(RIGHT(SUBSTITUTE(SUBSTITUTE($A$11:$A$68,")",""),"(",REPT(" ",100)),100))),0)-IFERROR(AE11:AE68,0)&gt;0,IFERROR(VALUE(TRIM(RIGHT(SUBSTITUTE(SUBSTITUTE($A$11:$A$68,")",""),"(",REPT(" ",100)),100))),0)-IFERROR(AE11:AE68,0),0),0))+SUM(IF(($A$72:$A$77&lt;&gt;"")*(AE72:AE77&lt;&gt;""),IF(IFERROR(VALUE(TRIM(RIGHT(SUBSTITUTE(SUBSTITUTE($A$72:$A$77,")",""),"(",REPT(" ",100)),100))),0)-IFERROR(AE72:AE77,0)&gt;0,IFERROR(VALUE(TRIM(RIGHT(SUBSTITUTE(SUBSTITUTE($A$72:$A$77,")",""),"(",REPT(" ",100)),100))),0)-IFERROR(AE72:AE77,0),0),0))+SUM(IF(($A$79:$A$90&lt;&gt;"")*(AE79:AE90&lt;&gt;""),IF(IFERROR(VALUE(TRIM(RIGHT(SUBSTITUTE(SUBSTITUTE($A$79:$A$90,")",""),"(",REPT(" ",100)),100))),0)-IFERROR(AE79:AE90,0)&gt;0,IFERROR(VALUE(TRIM(RIGHT(SUBSTITUTE(SUBSTITUTE($A$79:$A$90,")",""),"(",REPT(" ",100)),100))),0)-IFERROR(AE79:AE90,0),0),0))+SUM(IF(($A$93:$A$95&lt;&gt;"")*(AE93:AE95&lt;&gt;""),IF(IFERROR(VALUE(TRIM(RIGHT(SUBSTITUTE(SUBSTITUTE($A$93:$A$95,")",""),"(",REPT(" ",100)),100))),0)-IFERROR(AE93:AE95,0)&gt;0,IFERROR(VALUE(TRIM(RIGHT(SUBSTITUTE(SUBSTITUTE($A$93:$A$95,")",""),"(",REPT(" ",100)),100))),0)-IFERROR(AE93:AE95,0),0),0))</f>
        <v>753.69499999999994</v>
      </c>
      <c r="AF160" s="173">
        <f t="array" ref="AF160">SUM(IF(($A$11:$A$68&lt;&gt;"")*(AF11:AF68&lt;&gt;""),IF(IFERROR(VALUE(TRIM(RIGHT(SUBSTITUTE(SUBSTITUTE($A$11:$A$68,")",""),"(",REPT(" ",100)),100))),0)-IFERROR(AF11:AF68,0)&gt;0,IFERROR(VALUE(TRIM(RIGHT(SUBSTITUTE(SUBSTITUTE($A$11:$A$68,")",""),"(",REPT(" ",100)),100))),0)-IFERROR(AF11:AF68,0),0),0))+SUM(IF(($A$72:$A$77&lt;&gt;"")*(AF72:AF77&lt;&gt;""),IF(IFERROR(VALUE(TRIM(RIGHT(SUBSTITUTE(SUBSTITUTE($A$72:$A$77,")",""),"(",REPT(" ",100)),100))),0)-IFERROR(AF72:AF77,0)&gt;0,IFERROR(VALUE(TRIM(RIGHT(SUBSTITUTE(SUBSTITUTE($A$72:$A$77,")",""),"(",REPT(" ",100)),100))),0)-IFERROR(AF72:AF77,0),0),0))+SUM(IF(($A$79:$A$90&lt;&gt;"")*(AF79:AF90&lt;&gt;""),IF(IFERROR(VALUE(TRIM(RIGHT(SUBSTITUTE(SUBSTITUTE($A$79:$A$90,")",""),"(",REPT(" ",100)),100))),0)-IFERROR(AF79:AF90,0)&gt;0,IFERROR(VALUE(TRIM(RIGHT(SUBSTITUTE(SUBSTITUTE($A$79:$A$90,")",""),"(",REPT(" ",100)),100))),0)-IFERROR(AF79:AF90,0),0),0))+SUM(IF(($A$93:$A$95&lt;&gt;"")*(AF93:AF95&lt;&gt;""),IF(IFERROR(VALUE(TRIM(RIGHT(SUBSTITUTE(SUBSTITUTE($A$93:$A$95,")",""),"(",REPT(" ",100)),100))),0)-IFERROR(AF93:AF95,0)&gt;0,IFERROR(VALUE(TRIM(RIGHT(SUBSTITUTE(SUBSTITUTE($A$93:$A$95,")",""),"(",REPT(" ",100)),100))),0)-IFERROR(AF93:AF95,0),0),0))</f>
        <v>753.69499999999994</v>
      </c>
      <c r="AG160" s="186"/>
      <c r="AH160" s="46"/>
      <c r="AI160" s="47"/>
      <c r="AK160" s="49"/>
      <c r="AL160" s="138" t="s">
        <v>200</v>
      </c>
      <c r="AM160" s="139">
        <v>55</v>
      </c>
      <c r="AN160" s="139">
        <f t="shared" ref="AN160:AN167" si="46">AN$158*AM160</f>
        <v>55</v>
      </c>
      <c r="AO160" s="141">
        <f t="shared" si="45"/>
        <v>0</v>
      </c>
    </row>
    <row r="161" spans="1:41" ht="15.75" thickBot="1" x14ac:dyDescent="0.3">
      <c r="A161" s="26" t="s">
        <v>116</v>
      </c>
      <c r="B161" s="176"/>
      <c r="C161" s="176"/>
      <c r="D161" s="176"/>
      <c r="E161" s="176"/>
      <c r="F161" s="176"/>
      <c r="G161" s="176"/>
      <c r="H161" s="176"/>
      <c r="I161" s="176"/>
      <c r="J161" s="176"/>
      <c r="K161" s="176"/>
      <c r="L161" s="176"/>
      <c r="M161" s="176"/>
      <c r="N161" s="176"/>
      <c r="O161" s="176"/>
      <c r="P161" s="176"/>
      <c r="Q161" s="176"/>
      <c r="R161" s="176"/>
      <c r="S161" s="176"/>
      <c r="T161" s="176"/>
      <c r="U161" s="176"/>
      <c r="V161" s="176"/>
      <c r="W161" s="176"/>
      <c r="X161" s="176"/>
      <c r="Y161" s="176"/>
      <c r="Z161" s="176"/>
      <c r="AA161" s="176"/>
      <c r="AB161" s="176"/>
      <c r="AC161" s="176"/>
      <c r="AD161" s="176"/>
      <c r="AE161" s="176"/>
      <c r="AF161" s="176"/>
      <c r="AG161" s="187"/>
      <c r="AH161" s="46"/>
      <c r="AI161" s="47"/>
      <c r="AK161" s="49"/>
      <c r="AL161" s="188" t="s">
        <v>201</v>
      </c>
      <c r="AM161" s="139">
        <v>29</v>
      </c>
      <c r="AN161" s="139">
        <f t="shared" si="46"/>
        <v>29</v>
      </c>
      <c r="AO161" s="139">
        <f t="shared" si="45"/>
        <v>0</v>
      </c>
    </row>
    <row r="162" spans="1:41" x14ac:dyDescent="0.25">
      <c r="A162" s="115" t="s">
        <v>202</v>
      </c>
      <c r="B162" s="189">
        <v>0.3</v>
      </c>
      <c r="C162" s="189">
        <f t="shared" ref="C162:R167" si="47">B162</f>
        <v>0.3</v>
      </c>
      <c r="D162" s="189">
        <f t="shared" si="47"/>
        <v>0.3</v>
      </c>
      <c r="E162" s="189">
        <f t="shared" si="47"/>
        <v>0.3</v>
      </c>
      <c r="F162" s="189">
        <f t="shared" si="47"/>
        <v>0.3</v>
      </c>
      <c r="G162" s="189">
        <f t="shared" si="47"/>
        <v>0.3</v>
      </c>
      <c r="H162" s="189">
        <f t="shared" si="47"/>
        <v>0.3</v>
      </c>
      <c r="I162" s="189">
        <f t="shared" si="47"/>
        <v>0.3</v>
      </c>
      <c r="J162" s="189">
        <f t="shared" si="47"/>
        <v>0.3</v>
      </c>
      <c r="K162" s="189">
        <f t="shared" si="47"/>
        <v>0.3</v>
      </c>
      <c r="L162" s="189">
        <f t="shared" si="47"/>
        <v>0.3</v>
      </c>
      <c r="M162" s="189">
        <f t="shared" si="47"/>
        <v>0.3</v>
      </c>
      <c r="N162" s="189">
        <f t="shared" si="47"/>
        <v>0.3</v>
      </c>
      <c r="O162" s="189">
        <f t="shared" si="47"/>
        <v>0.3</v>
      </c>
      <c r="P162" s="189">
        <f t="shared" si="47"/>
        <v>0.3</v>
      </c>
      <c r="Q162" s="189">
        <f t="shared" si="47"/>
        <v>0.3</v>
      </c>
      <c r="R162" s="189">
        <f t="shared" si="47"/>
        <v>0.3</v>
      </c>
      <c r="S162" s="189">
        <f t="shared" ref="S162:AA167" si="48">R162</f>
        <v>0.3</v>
      </c>
      <c r="T162" s="189">
        <f t="shared" si="48"/>
        <v>0.3</v>
      </c>
      <c r="U162" s="189">
        <f t="shared" si="48"/>
        <v>0.3</v>
      </c>
      <c r="V162" s="189">
        <f t="shared" si="48"/>
        <v>0.3</v>
      </c>
      <c r="W162" s="189">
        <f t="shared" si="48"/>
        <v>0.3</v>
      </c>
      <c r="X162" s="189">
        <f t="shared" si="48"/>
        <v>0.3</v>
      </c>
      <c r="Y162" s="189">
        <f t="shared" si="48"/>
        <v>0.3</v>
      </c>
      <c r="Z162" s="189">
        <f t="shared" si="48"/>
        <v>0.3</v>
      </c>
      <c r="AA162" s="189">
        <f t="shared" si="48"/>
        <v>0.3</v>
      </c>
      <c r="AB162" s="189">
        <f t="shared" ref="AB162:AC167" si="49">AA162</f>
        <v>0.3</v>
      </c>
      <c r="AC162" s="189">
        <f t="shared" si="49"/>
        <v>0.3</v>
      </c>
      <c r="AD162" s="189">
        <f t="shared" ref="AD162:AF167" si="50">AC162</f>
        <v>0.3</v>
      </c>
      <c r="AE162" s="189">
        <f t="shared" si="50"/>
        <v>0.3</v>
      </c>
      <c r="AF162" s="189">
        <f t="shared" si="50"/>
        <v>0.3</v>
      </c>
      <c r="AG162" s="190">
        <v>2.4</v>
      </c>
      <c r="AH162" s="46"/>
      <c r="AI162" s="47"/>
      <c r="AK162" s="49"/>
      <c r="AL162" s="188" t="s">
        <v>203</v>
      </c>
      <c r="AM162" s="139">
        <v>28</v>
      </c>
      <c r="AN162" s="139">
        <f t="shared" si="46"/>
        <v>28</v>
      </c>
      <c r="AO162" s="139">
        <f t="shared" si="45"/>
        <v>0</v>
      </c>
    </row>
    <row r="163" spans="1:41" x14ac:dyDescent="0.25">
      <c r="A163" s="118" t="s">
        <v>204</v>
      </c>
      <c r="B163" s="191">
        <v>0.4</v>
      </c>
      <c r="C163" s="191">
        <f t="shared" si="47"/>
        <v>0.4</v>
      </c>
      <c r="D163" s="191">
        <f t="shared" si="47"/>
        <v>0.4</v>
      </c>
      <c r="E163" s="191">
        <f t="shared" si="47"/>
        <v>0.4</v>
      </c>
      <c r="F163" s="191">
        <f t="shared" si="47"/>
        <v>0.4</v>
      </c>
      <c r="G163" s="191">
        <f t="shared" si="47"/>
        <v>0.4</v>
      </c>
      <c r="H163" s="191">
        <f t="shared" si="47"/>
        <v>0.4</v>
      </c>
      <c r="I163" s="191">
        <f t="shared" si="47"/>
        <v>0.4</v>
      </c>
      <c r="J163" s="191">
        <f t="shared" si="47"/>
        <v>0.4</v>
      </c>
      <c r="K163" s="191">
        <f t="shared" si="47"/>
        <v>0.4</v>
      </c>
      <c r="L163" s="191">
        <f t="shared" si="47"/>
        <v>0.4</v>
      </c>
      <c r="M163" s="191">
        <f t="shared" si="47"/>
        <v>0.4</v>
      </c>
      <c r="N163" s="191">
        <f t="shared" si="47"/>
        <v>0.4</v>
      </c>
      <c r="O163" s="191">
        <f t="shared" si="47"/>
        <v>0.4</v>
      </c>
      <c r="P163" s="191">
        <f t="shared" si="47"/>
        <v>0.4</v>
      </c>
      <c r="Q163" s="191">
        <f t="shared" si="47"/>
        <v>0.4</v>
      </c>
      <c r="R163" s="191">
        <f t="shared" si="47"/>
        <v>0.4</v>
      </c>
      <c r="S163" s="191">
        <f t="shared" si="48"/>
        <v>0.4</v>
      </c>
      <c r="T163" s="191">
        <f t="shared" si="48"/>
        <v>0.4</v>
      </c>
      <c r="U163" s="191">
        <f t="shared" si="48"/>
        <v>0.4</v>
      </c>
      <c r="V163" s="191">
        <f t="shared" si="48"/>
        <v>0.4</v>
      </c>
      <c r="W163" s="191">
        <f t="shared" si="48"/>
        <v>0.4</v>
      </c>
      <c r="X163" s="191">
        <f t="shared" si="48"/>
        <v>0.4</v>
      </c>
      <c r="Y163" s="191">
        <f t="shared" si="48"/>
        <v>0.4</v>
      </c>
      <c r="Z163" s="191">
        <f t="shared" si="48"/>
        <v>0.4</v>
      </c>
      <c r="AA163" s="191">
        <f t="shared" si="48"/>
        <v>0.4</v>
      </c>
      <c r="AB163" s="191">
        <f t="shared" si="49"/>
        <v>0.4</v>
      </c>
      <c r="AC163" s="191">
        <f t="shared" si="49"/>
        <v>0.4</v>
      </c>
      <c r="AD163" s="191">
        <f t="shared" si="50"/>
        <v>0.4</v>
      </c>
      <c r="AE163" s="191">
        <f t="shared" si="50"/>
        <v>0.4</v>
      </c>
      <c r="AF163" s="191">
        <f t="shared" si="50"/>
        <v>0.4</v>
      </c>
      <c r="AG163" s="192">
        <v>2</v>
      </c>
      <c r="AH163" s="46"/>
      <c r="AI163" s="47"/>
      <c r="AK163" s="49"/>
      <c r="AL163" s="138" t="s">
        <v>205</v>
      </c>
      <c r="AM163" s="139">
        <v>60</v>
      </c>
      <c r="AN163" s="139">
        <f t="shared" si="46"/>
        <v>60</v>
      </c>
      <c r="AO163" s="141">
        <f t="shared" si="45"/>
        <v>0</v>
      </c>
    </row>
    <row r="164" spans="1:41" x14ac:dyDescent="0.25">
      <c r="A164" s="118" t="s">
        <v>206</v>
      </c>
      <c r="B164" s="191">
        <v>1.5</v>
      </c>
      <c r="C164" s="191">
        <f t="shared" si="47"/>
        <v>1.5</v>
      </c>
      <c r="D164" s="191">
        <f t="shared" si="47"/>
        <v>1.5</v>
      </c>
      <c r="E164" s="191">
        <f t="shared" si="47"/>
        <v>1.5</v>
      </c>
      <c r="F164" s="191">
        <f t="shared" si="47"/>
        <v>1.5</v>
      </c>
      <c r="G164" s="191">
        <f t="shared" si="47"/>
        <v>1.5</v>
      </c>
      <c r="H164" s="191">
        <f t="shared" si="47"/>
        <v>1.5</v>
      </c>
      <c r="I164" s="191">
        <f t="shared" si="47"/>
        <v>1.5</v>
      </c>
      <c r="J164" s="191">
        <f t="shared" si="47"/>
        <v>1.5</v>
      </c>
      <c r="K164" s="191">
        <f t="shared" si="47"/>
        <v>1.5</v>
      </c>
      <c r="L164" s="191">
        <f t="shared" si="47"/>
        <v>1.5</v>
      </c>
      <c r="M164" s="191">
        <f t="shared" si="47"/>
        <v>1.5</v>
      </c>
      <c r="N164" s="191">
        <f t="shared" si="47"/>
        <v>1.5</v>
      </c>
      <c r="O164" s="191">
        <f t="shared" si="47"/>
        <v>1.5</v>
      </c>
      <c r="P164" s="191">
        <f t="shared" si="47"/>
        <v>1.5</v>
      </c>
      <c r="Q164" s="191">
        <f t="shared" si="47"/>
        <v>1.5</v>
      </c>
      <c r="R164" s="191">
        <f t="shared" si="47"/>
        <v>1.5</v>
      </c>
      <c r="S164" s="191">
        <f t="shared" si="48"/>
        <v>1.5</v>
      </c>
      <c r="T164" s="191">
        <f t="shared" si="48"/>
        <v>1.5</v>
      </c>
      <c r="U164" s="191">
        <f t="shared" si="48"/>
        <v>1.5</v>
      </c>
      <c r="V164" s="191">
        <f t="shared" si="48"/>
        <v>1.5</v>
      </c>
      <c r="W164" s="191">
        <f t="shared" si="48"/>
        <v>1.5</v>
      </c>
      <c r="X164" s="191">
        <f t="shared" si="48"/>
        <v>1.5</v>
      </c>
      <c r="Y164" s="191">
        <f t="shared" si="48"/>
        <v>1.5</v>
      </c>
      <c r="Z164" s="191">
        <f t="shared" si="48"/>
        <v>1.5</v>
      </c>
      <c r="AA164" s="191">
        <f t="shared" si="48"/>
        <v>1.5</v>
      </c>
      <c r="AB164" s="191">
        <f t="shared" si="49"/>
        <v>1.5</v>
      </c>
      <c r="AC164" s="191">
        <f t="shared" si="49"/>
        <v>1.5</v>
      </c>
      <c r="AD164" s="191">
        <f t="shared" si="50"/>
        <v>1.5</v>
      </c>
      <c r="AE164" s="191">
        <f t="shared" si="50"/>
        <v>1.5</v>
      </c>
      <c r="AF164" s="191">
        <f t="shared" si="50"/>
        <v>1.5</v>
      </c>
      <c r="AG164" s="192">
        <v>1.5</v>
      </c>
      <c r="AH164" s="46"/>
      <c r="AI164" s="47"/>
      <c r="AK164" s="49"/>
      <c r="AL164" s="138" t="s">
        <v>207</v>
      </c>
      <c r="AM164" s="139">
        <v>12</v>
      </c>
      <c r="AN164" s="139">
        <f t="shared" si="46"/>
        <v>12</v>
      </c>
      <c r="AO164" s="141">
        <f t="shared" si="45"/>
        <v>0</v>
      </c>
    </row>
    <row r="165" spans="1:41" x14ac:dyDescent="0.25">
      <c r="A165" s="118" t="s">
        <v>208</v>
      </c>
      <c r="B165" s="191">
        <v>0.3</v>
      </c>
      <c r="C165" s="191">
        <f t="shared" si="47"/>
        <v>0.3</v>
      </c>
      <c r="D165" s="191">
        <f t="shared" si="47"/>
        <v>0.3</v>
      </c>
      <c r="E165" s="191">
        <f t="shared" si="47"/>
        <v>0.3</v>
      </c>
      <c r="F165" s="191">
        <f t="shared" si="47"/>
        <v>0.3</v>
      </c>
      <c r="G165" s="191">
        <f t="shared" si="47"/>
        <v>0.3</v>
      </c>
      <c r="H165" s="191">
        <f t="shared" si="47"/>
        <v>0.3</v>
      </c>
      <c r="I165" s="191">
        <f t="shared" si="47"/>
        <v>0.3</v>
      </c>
      <c r="J165" s="191">
        <f t="shared" si="47"/>
        <v>0.3</v>
      </c>
      <c r="K165" s="191">
        <f t="shared" si="47"/>
        <v>0.3</v>
      </c>
      <c r="L165" s="191">
        <f t="shared" si="47"/>
        <v>0.3</v>
      </c>
      <c r="M165" s="191">
        <f t="shared" si="47"/>
        <v>0.3</v>
      </c>
      <c r="N165" s="191">
        <f t="shared" si="47"/>
        <v>0.3</v>
      </c>
      <c r="O165" s="191">
        <f t="shared" si="47"/>
        <v>0.3</v>
      </c>
      <c r="P165" s="191">
        <f t="shared" si="47"/>
        <v>0.3</v>
      </c>
      <c r="Q165" s="191">
        <f t="shared" si="47"/>
        <v>0.3</v>
      </c>
      <c r="R165" s="191">
        <f t="shared" si="47"/>
        <v>0.3</v>
      </c>
      <c r="S165" s="191">
        <f t="shared" si="48"/>
        <v>0.3</v>
      </c>
      <c r="T165" s="191">
        <f t="shared" si="48"/>
        <v>0.3</v>
      </c>
      <c r="U165" s="191">
        <f t="shared" si="48"/>
        <v>0.3</v>
      </c>
      <c r="V165" s="191">
        <f t="shared" si="48"/>
        <v>0.3</v>
      </c>
      <c r="W165" s="191">
        <f t="shared" si="48"/>
        <v>0.3</v>
      </c>
      <c r="X165" s="191">
        <f t="shared" si="48"/>
        <v>0.3</v>
      </c>
      <c r="Y165" s="191">
        <f t="shared" si="48"/>
        <v>0.3</v>
      </c>
      <c r="Z165" s="191">
        <f t="shared" si="48"/>
        <v>0.3</v>
      </c>
      <c r="AA165" s="191">
        <f t="shared" si="48"/>
        <v>0.3</v>
      </c>
      <c r="AB165" s="191">
        <f t="shared" si="49"/>
        <v>0.3</v>
      </c>
      <c r="AC165" s="191">
        <f t="shared" si="49"/>
        <v>0.3</v>
      </c>
      <c r="AD165" s="191">
        <f t="shared" si="50"/>
        <v>0.3</v>
      </c>
      <c r="AE165" s="191">
        <f t="shared" si="50"/>
        <v>0.3</v>
      </c>
      <c r="AF165" s="191">
        <f t="shared" si="50"/>
        <v>0.3</v>
      </c>
      <c r="AG165" s="192">
        <v>1</v>
      </c>
      <c r="AH165" s="46"/>
      <c r="AI165" s="47"/>
      <c r="AK165" s="49"/>
      <c r="AL165" s="138" t="s">
        <v>209</v>
      </c>
      <c r="AM165" s="139">
        <v>11</v>
      </c>
      <c r="AN165" s="139">
        <f t="shared" si="46"/>
        <v>11</v>
      </c>
      <c r="AO165" s="141">
        <f t="shared" si="45"/>
        <v>0</v>
      </c>
    </row>
    <row r="166" spans="1:41" x14ac:dyDescent="0.25">
      <c r="A166" s="118" t="s">
        <v>210</v>
      </c>
      <c r="B166" s="191">
        <v>0.4</v>
      </c>
      <c r="C166" s="191">
        <f t="shared" si="47"/>
        <v>0.4</v>
      </c>
      <c r="D166" s="191">
        <f t="shared" si="47"/>
        <v>0.4</v>
      </c>
      <c r="E166" s="191">
        <f t="shared" si="47"/>
        <v>0.4</v>
      </c>
      <c r="F166" s="191">
        <f t="shared" si="47"/>
        <v>0.4</v>
      </c>
      <c r="G166" s="191">
        <f t="shared" si="47"/>
        <v>0.4</v>
      </c>
      <c r="H166" s="191">
        <f t="shared" si="47"/>
        <v>0.4</v>
      </c>
      <c r="I166" s="191">
        <f t="shared" si="47"/>
        <v>0.4</v>
      </c>
      <c r="J166" s="191">
        <f t="shared" si="47"/>
        <v>0.4</v>
      </c>
      <c r="K166" s="191">
        <f t="shared" si="47"/>
        <v>0.4</v>
      </c>
      <c r="L166" s="191">
        <f t="shared" si="47"/>
        <v>0.4</v>
      </c>
      <c r="M166" s="191">
        <f t="shared" si="47"/>
        <v>0.4</v>
      </c>
      <c r="N166" s="191">
        <f t="shared" si="47"/>
        <v>0.4</v>
      </c>
      <c r="O166" s="191">
        <f t="shared" si="47"/>
        <v>0.4</v>
      </c>
      <c r="P166" s="191">
        <f t="shared" si="47"/>
        <v>0.4</v>
      </c>
      <c r="Q166" s="191">
        <f t="shared" si="47"/>
        <v>0.4</v>
      </c>
      <c r="R166" s="191">
        <f t="shared" si="47"/>
        <v>0.4</v>
      </c>
      <c r="S166" s="191">
        <f t="shared" si="48"/>
        <v>0.4</v>
      </c>
      <c r="T166" s="191">
        <f t="shared" si="48"/>
        <v>0.4</v>
      </c>
      <c r="U166" s="191">
        <f t="shared" si="48"/>
        <v>0.4</v>
      </c>
      <c r="V166" s="191">
        <f t="shared" si="48"/>
        <v>0.4</v>
      </c>
      <c r="W166" s="191">
        <f t="shared" si="48"/>
        <v>0.4</v>
      </c>
      <c r="X166" s="191">
        <f t="shared" si="48"/>
        <v>0.4</v>
      </c>
      <c r="Y166" s="191">
        <f t="shared" si="48"/>
        <v>0.4</v>
      </c>
      <c r="Z166" s="191">
        <f t="shared" si="48"/>
        <v>0.4</v>
      </c>
      <c r="AA166" s="191">
        <f t="shared" si="48"/>
        <v>0.4</v>
      </c>
      <c r="AB166" s="191">
        <f t="shared" si="49"/>
        <v>0.4</v>
      </c>
      <c r="AC166" s="191">
        <f t="shared" si="49"/>
        <v>0.4</v>
      </c>
      <c r="AD166" s="191">
        <f t="shared" si="50"/>
        <v>0.4</v>
      </c>
      <c r="AE166" s="191">
        <f t="shared" si="50"/>
        <v>0.4</v>
      </c>
      <c r="AF166" s="191">
        <f t="shared" si="50"/>
        <v>0.4</v>
      </c>
      <c r="AG166" s="192">
        <v>1</v>
      </c>
      <c r="AH166" s="46"/>
      <c r="AI166" s="47"/>
      <c r="AK166" s="49"/>
      <c r="AL166" s="138" t="s">
        <v>211</v>
      </c>
      <c r="AM166" s="139">
        <v>36</v>
      </c>
      <c r="AN166" s="139">
        <f t="shared" si="46"/>
        <v>36</v>
      </c>
      <c r="AO166" s="141">
        <f t="shared" si="45"/>
        <v>0</v>
      </c>
    </row>
    <row r="167" spans="1:41" ht="15.75" thickBot="1" x14ac:dyDescent="0.3">
      <c r="A167" s="193" t="s">
        <v>212</v>
      </c>
      <c r="B167" s="194">
        <v>0.64</v>
      </c>
      <c r="C167" s="194">
        <f t="shared" si="47"/>
        <v>0.64</v>
      </c>
      <c r="D167" s="194">
        <f t="shared" si="47"/>
        <v>0.64</v>
      </c>
      <c r="E167" s="194">
        <f t="shared" si="47"/>
        <v>0.64</v>
      </c>
      <c r="F167" s="194">
        <f t="shared" si="47"/>
        <v>0.64</v>
      </c>
      <c r="G167" s="194">
        <f t="shared" si="47"/>
        <v>0.64</v>
      </c>
      <c r="H167" s="194">
        <f t="shared" si="47"/>
        <v>0.64</v>
      </c>
      <c r="I167" s="194">
        <f t="shared" si="47"/>
        <v>0.64</v>
      </c>
      <c r="J167" s="194">
        <f t="shared" si="47"/>
        <v>0.64</v>
      </c>
      <c r="K167" s="194">
        <f t="shared" si="47"/>
        <v>0.64</v>
      </c>
      <c r="L167" s="194">
        <f t="shared" si="47"/>
        <v>0.64</v>
      </c>
      <c r="M167" s="194">
        <f t="shared" si="47"/>
        <v>0.64</v>
      </c>
      <c r="N167" s="194">
        <f t="shared" si="47"/>
        <v>0.64</v>
      </c>
      <c r="O167" s="194">
        <f t="shared" si="47"/>
        <v>0.64</v>
      </c>
      <c r="P167" s="194">
        <f t="shared" si="47"/>
        <v>0.64</v>
      </c>
      <c r="Q167" s="194">
        <f t="shared" si="47"/>
        <v>0.64</v>
      </c>
      <c r="R167" s="194">
        <f t="shared" si="47"/>
        <v>0.64</v>
      </c>
      <c r="S167" s="194">
        <f t="shared" si="48"/>
        <v>0.64</v>
      </c>
      <c r="T167" s="194">
        <f t="shared" si="48"/>
        <v>0.64</v>
      </c>
      <c r="U167" s="194">
        <f t="shared" si="48"/>
        <v>0.64</v>
      </c>
      <c r="V167" s="194">
        <f t="shared" si="48"/>
        <v>0.64</v>
      </c>
      <c r="W167" s="194">
        <f t="shared" si="48"/>
        <v>0.64</v>
      </c>
      <c r="X167" s="194">
        <f t="shared" si="48"/>
        <v>0.64</v>
      </c>
      <c r="Y167" s="194">
        <f t="shared" si="48"/>
        <v>0.64</v>
      </c>
      <c r="Z167" s="194">
        <f t="shared" si="48"/>
        <v>0.64</v>
      </c>
      <c r="AA167" s="194">
        <f t="shared" si="48"/>
        <v>0.64</v>
      </c>
      <c r="AB167" s="194">
        <f t="shared" si="49"/>
        <v>0.64</v>
      </c>
      <c r="AC167" s="194">
        <f t="shared" si="49"/>
        <v>0.64</v>
      </c>
      <c r="AD167" s="194">
        <f t="shared" si="50"/>
        <v>0.64</v>
      </c>
      <c r="AE167" s="194">
        <f t="shared" si="50"/>
        <v>0.64</v>
      </c>
      <c r="AF167" s="194">
        <f t="shared" si="50"/>
        <v>0.64</v>
      </c>
      <c r="AG167" s="195">
        <v>0.66</v>
      </c>
      <c r="AH167" s="46"/>
      <c r="AI167" s="47"/>
      <c r="AK167" s="49"/>
      <c r="AL167" s="138" t="s">
        <v>213</v>
      </c>
      <c r="AM167" s="139">
        <v>45</v>
      </c>
      <c r="AN167" s="139">
        <f t="shared" si="46"/>
        <v>45</v>
      </c>
      <c r="AO167" s="141">
        <f t="shared" si="45"/>
        <v>0</v>
      </c>
    </row>
    <row r="168" spans="1:41" ht="15.75" thickBot="1" x14ac:dyDescent="0.3">
      <c r="A168" s="196" t="s">
        <v>116</v>
      </c>
      <c r="B168" s="197">
        <v>3.54</v>
      </c>
      <c r="C168" s="197">
        <f t="shared" ref="C168:AG168" si="51">SUM(C162:C167)</f>
        <v>3.54</v>
      </c>
      <c r="D168" s="197">
        <f t="shared" si="51"/>
        <v>3.54</v>
      </c>
      <c r="E168" s="197">
        <f t="shared" si="51"/>
        <v>3.54</v>
      </c>
      <c r="F168" s="197">
        <f t="shared" si="51"/>
        <v>3.54</v>
      </c>
      <c r="G168" s="197">
        <f t="shared" si="51"/>
        <v>3.54</v>
      </c>
      <c r="H168" s="197">
        <f t="shared" si="51"/>
        <v>3.54</v>
      </c>
      <c r="I168" s="197">
        <f t="shared" si="51"/>
        <v>3.54</v>
      </c>
      <c r="J168" s="197">
        <f t="shared" si="51"/>
        <v>3.54</v>
      </c>
      <c r="K168" s="197">
        <f t="shared" si="51"/>
        <v>3.54</v>
      </c>
      <c r="L168" s="197">
        <f t="shared" si="51"/>
        <v>3.54</v>
      </c>
      <c r="M168" s="197">
        <f t="shared" si="51"/>
        <v>3.54</v>
      </c>
      <c r="N168" s="197">
        <f t="shared" si="51"/>
        <v>3.54</v>
      </c>
      <c r="O168" s="197">
        <f t="shared" si="51"/>
        <v>3.54</v>
      </c>
      <c r="P168" s="197">
        <f t="shared" si="51"/>
        <v>3.54</v>
      </c>
      <c r="Q168" s="197">
        <f t="shared" si="51"/>
        <v>3.54</v>
      </c>
      <c r="R168" s="197">
        <f t="shared" si="51"/>
        <v>3.54</v>
      </c>
      <c r="S168" s="197">
        <f t="shared" si="51"/>
        <v>3.54</v>
      </c>
      <c r="T168" s="197">
        <f t="shared" si="51"/>
        <v>3.54</v>
      </c>
      <c r="U168" s="197">
        <f t="shared" si="51"/>
        <v>3.54</v>
      </c>
      <c r="V168" s="197">
        <f t="shared" si="51"/>
        <v>3.54</v>
      </c>
      <c r="W168" s="197">
        <f t="shared" si="51"/>
        <v>3.54</v>
      </c>
      <c r="X168" s="197">
        <f t="shared" si="51"/>
        <v>3.54</v>
      </c>
      <c r="Y168" s="197">
        <f t="shared" si="51"/>
        <v>3.54</v>
      </c>
      <c r="Z168" s="197">
        <f t="shared" si="51"/>
        <v>3.54</v>
      </c>
      <c r="AA168" s="197">
        <f t="shared" si="51"/>
        <v>3.54</v>
      </c>
      <c r="AB168" s="197">
        <f t="shared" si="51"/>
        <v>3.54</v>
      </c>
      <c r="AC168" s="197">
        <f t="shared" si="51"/>
        <v>3.54</v>
      </c>
      <c r="AD168" s="197">
        <f t="shared" si="51"/>
        <v>3.54</v>
      </c>
      <c r="AE168" s="197">
        <f t="shared" si="51"/>
        <v>3.54</v>
      </c>
      <c r="AF168" s="197">
        <f t="shared" si="51"/>
        <v>3.54</v>
      </c>
      <c r="AG168" s="198">
        <f t="shared" si="51"/>
        <v>8.56</v>
      </c>
      <c r="AH168" s="46"/>
      <c r="AI168" s="47"/>
      <c r="AK168" s="49"/>
      <c r="AL168" s="148" t="s">
        <v>168</v>
      </c>
      <c r="AM168" s="149">
        <f>SUM(AM159:AM167)</f>
        <v>353</v>
      </c>
      <c r="AN168" s="149">
        <f>SUM(AN159:AN167)</f>
        <v>353</v>
      </c>
      <c r="AO168" s="150">
        <f>SUM(AO159:AO167)</f>
        <v>0</v>
      </c>
    </row>
    <row r="169" spans="1:41" ht="15.75" thickBot="1" x14ac:dyDescent="0.3">
      <c r="A169" s="199" t="s">
        <v>214</v>
      </c>
      <c r="B169" s="51"/>
      <c r="C169" s="51"/>
      <c r="D169" s="51"/>
      <c r="E169" s="51"/>
      <c r="F169" s="51" t="s">
        <v>215</v>
      </c>
      <c r="G169" s="51"/>
      <c r="H169" s="51"/>
      <c r="I169" s="51"/>
      <c r="J169" s="51"/>
      <c r="K169" s="51"/>
      <c r="L169" s="51"/>
      <c r="M169" s="51"/>
      <c r="N169" s="51"/>
      <c r="O169" s="51"/>
      <c r="P169" s="51"/>
      <c r="Q169" s="51"/>
      <c r="R169" s="51"/>
      <c r="S169" s="51"/>
      <c r="T169" s="51"/>
      <c r="U169" s="51"/>
      <c r="V169" s="51"/>
      <c r="W169" s="51"/>
      <c r="X169" s="51"/>
      <c r="Y169" s="51"/>
      <c r="Z169" s="51"/>
      <c r="AA169" s="51"/>
      <c r="AB169" s="51"/>
      <c r="AC169" s="51"/>
      <c r="AD169" s="51"/>
      <c r="AE169" s="51"/>
      <c r="AF169" s="51"/>
      <c r="AG169" s="200"/>
      <c r="AH169" s="46"/>
      <c r="AI169" s="47"/>
      <c r="AK169" s="49"/>
    </row>
    <row r="170" spans="1:41" ht="15.75" thickBot="1" x14ac:dyDescent="0.3">
      <c r="A170" s="201" t="s">
        <v>216</v>
      </c>
      <c r="B170" s="189">
        <v>0</v>
      </c>
      <c r="C170" s="189">
        <f t="shared" ref="C170:R185" si="52">B170</f>
        <v>0</v>
      </c>
      <c r="D170" s="189">
        <f t="shared" si="52"/>
        <v>0</v>
      </c>
      <c r="E170" s="189">
        <f t="shared" si="52"/>
        <v>0</v>
      </c>
      <c r="F170" s="189">
        <f t="shared" si="52"/>
        <v>0</v>
      </c>
      <c r="G170" s="189">
        <f t="shared" si="52"/>
        <v>0</v>
      </c>
      <c r="H170" s="189">
        <f t="shared" si="52"/>
        <v>0</v>
      </c>
      <c r="I170" s="189">
        <f t="shared" si="52"/>
        <v>0</v>
      </c>
      <c r="J170" s="189">
        <f t="shared" si="52"/>
        <v>0</v>
      </c>
      <c r="K170" s="189">
        <f t="shared" si="52"/>
        <v>0</v>
      </c>
      <c r="L170" s="189">
        <f t="shared" si="52"/>
        <v>0</v>
      </c>
      <c r="M170" s="189">
        <f t="shared" si="52"/>
        <v>0</v>
      </c>
      <c r="N170" s="189">
        <f t="shared" si="52"/>
        <v>0</v>
      </c>
      <c r="O170" s="189">
        <f t="shared" si="52"/>
        <v>0</v>
      </c>
      <c r="P170" s="189">
        <f t="shared" si="52"/>
        <v>0</v>
      </c>
      <c r="Q170" s="189">
        <f t="shared" si="52"/>
        <v>0</v>
      </c>
      <c r="R170" s="189">
        <f t="shared" si="52"/>
        <v>0</v>
      </c>
      <c r="S170" s="189">
        <f t="shared" ref="S170:AA185" si="53">R170</f>
        <v>0</v>
      </c>
      <c r="T170" s="189">
        <f t="shared" si="53"/>
        <v>0</v>
      </c>
      <c r="U170" s="189">
        <f t="shared" si="53"/>
        <v>0</v>
      </c>
      <c r="V170" s="189">
        <f t="shared" si="53"/>
        <v>0</v>
      </c>
      <c r="W170" s="189">
        <f t="shared" si="53"/>
        <v>0</v>
      </c>
      <c r="X170" s="189">
        <f t="shared" si="53"/>
        <v>0</v>
      </c>
      <c r="Y170" s="189">
        <f t="shared" si="53"/>
        <v>0</v>
      </c>
      <c r="Z170" s="189">
        <f t="shared" si="53"/>
        <v>0</v>
      </c>
      <c r="AA170" s="189">
        <f t="shared" si="53"/>
        <v>0</v>
      </c>
      <c r="AB170" s="189">
        <f t="shared" ref="AB170:AC189" si="54">AA170</f>
        <v>0</v>
      </c>
      <c r="AC170" s="189">
        <f t="shared" si="54"/>
        <v>0</v>
      </c>
      <c r="AD170" s="189">
        <f t="shared" ref="AD170:AF184" si="55">AC170</f>
        <v>0</v>
      </c>
      <c r="AE170" s="189">
        <f t="shared" si="55"/>
        <v>0</v>
      </c>
      <c r="AF170" s="202">
        <f t="shared" si="55"/>
        <v>0</v>
      </c>
      <c r="AG170" s="203">
        <v>9.94</v>
      </c>
      <c r="AH170" s="46"/>
      <c r="AI170" s="47"/>
      <c r="AK170" s="49"/>
    </row>
    <row r="171" spans="1:41" ht="15.75" thickBot="1" x14ac:dyDescent="0.3">
      <c r="A171" s="120" t="s">
        <v>217</v>
      </c>
      <c r="B171" s="191">
        <v>0</v>
      </c>
      <c r="C171" s="191">
        <f t="shared" si="52"/>
        <v>0</v>
      </c>
      <c r="D171" s="191">
        <f t="shared" si="52"/>
        <v>0</v>
      </c>
      <c r="E171" s="191">
        <f t="shared" si="52"/>
        <v>0</v>
      </c>
      <c r="F171" s="191">
        <f t="shared" si="52"/>
        <v>0</v>
      </c>
      <c r="G171" s="191">
        <f t="shared" si="52"/>
        <v>0</v>
      </c>
      <c r="H171" s="191">
        <f t="shared" si="52"/>
        <v>0</v>
      </c>
      <c r="I171" s="191">
        <f t="shared" si="52"/>
        <v>0</v>
      </c>
      <c r="J171" s="191">
        <f t="shared" si="52"/>
        <v>0</v>
      </c>
      <c r="K171" s="191">
        <f t="shared" si="52"/>
        <v>0</v>
      </c>
      <c r="L171" s="191">
        <f t="shared" si="52"/>
        <v>0</v>
      </c>
      <c r="M171" s="191">
        <f t="shared" si="52"/>
        <v>0</v>
      </c>
      <c r="N171" s="191">
        <f t="shared" si="52"/>
        <v>0</v>
      </c>
      <c r="O171" s="191">
        <f t="shared" si="52"/>
        <v>0</v>
      </c>
      <c r="P171" s="191">
        <f t="shared" si="52"/>
        <v>0</v>
      </c>
      <c r="Q171" s="191">
        <f t="shared" si="52"/>
        <v>0</v>
      </c>
      <c r="R171" s="191">
        <f t="shared" si="52"/>
        <v>0</v>
      </c>
      <c r="S171" s="191">
        <f t="shared" si="53"/>
        <v>0</v>
      </c>
      <c r="T171" s="191">
        <f t="shared" si="53"/>
        <v>0</v>
      </c>
      <c r="U171" s="191">
        <f t="shared" si="53"/>
        <v>0</v>
      </c>
      <c r="V171" s="191">
        <f t="shared" si="53"/>
        <v>0</v>
      </c>
      <c r="W171" s="191">
        <f t="shared" si="53"/>
        <v>0</v>
      </c>
      <c r="X171" s="191">
        <f t="shared" si="53"/>
        <v>0</v>
      </c>
      <c r="Y171" s="191">
        <f t="shared" si="53"/>
        <v>0</v>
      </c>
      <c r="Z171" s="191">
        <f t="shared" si="53"/>
        <v>0</v>
      </c>
      <c r="AA171" s="191">
        <f t="shared" si="53"/>
        <v>0</v>
      </c>
      <c r="AB171" s="191">
        <f t="shared" si="54"/>
        <v>0</v>
      </c>
      <c r="AC171" s="191">
        <f t="shared" si="54"/>
        <v>0</v>
      </c>
      <c r="AD171" s="191">
        <f t="shared" si="55"/>
        <v>0</v>
      </c>
      <c r="AE171" s="191">
        <f t="shared" si="55"/>
        <v>0</v>
      </c>
      <c r="AF171" s="204">
        <f t="shared" si="55"/>
        <v>0</v>
      </c>
      <c r="AG171" s="203"/>
      <c r="AH171" s="46"/>
      <c r="AI171" s="47"/>
      <c r="AK171" s="49"/>
      <c r="AL171" s="125"/>
      <c r="AM171" s="126" t="s">
        <v>157</v>
      </c>
      <c r="AN171" s="205" t="s">
        <v>218</v>
      </c>
      <c r="AO171" s="128" t="s">
        <v>158</v>
      </c>
    </row>
    <row r="172" spans="1:41" x14ac:dyDescent="0.25">
      <c r="A172" s="120" t="s">
        <v>219</v>
      </c>
      <c r="B172" s="191">
        <v>0</v>
      </c>
      <c r="C172" s="191">
        <f t="shared" si="52"/>
        <v>0</v>
      </c>
      <c r="D172" s="191">
        <f t="shared" si="52"/>
        <v>0</v>
      </c>
      <c r="E172" s="191">
        <f t="shared" si="52"/>
        <v>0</v>
      </c>
      <c r="F172" s="191">
        <f t="shared" si="52"/>
        <v>0</v>
      </c>
      <c r="G172" s="191">
        <f t="shared" si="52"/>
        <v>0</v>
      </c>
      <c r="H172" s="191">
        <f t="shared" si="52"/>
        <v>0</v>
      </c>
      <c r="I172" s="191">
        <f t="shared" si="52"/>
        <v>0</v>
      </c>
      <c r="J172" s="191">
        <f t="shared" si="52"/>
        <v>0</v>
      </c>
      <c r="K172" s="191">
        <f t="shared" si="52"/>
        <v>0</v>
      </c>
      <c r="L172" s="191">
        <f t="shared" si="52"/>
        <v>0</v>
      </c>
      <c r="M172" s="191">
        <f t="shared" si="52"/>
        <v>0</v>
      </c>
      <c r="N172" s="191">
        <f t="shared" si="52"/>
        <v>0</v>
      </c>
      <c r="O172" s="191">
        <f t="shared" si="52"/>
        <v>0</v>
      </c>
      <c r="P172" s="191">
        <f t="shared" si="52"/>
        <v>0</v>
      </c>
      <c r="Q172" s="191">
        <f t="shared" si="52"/>
        <v>0</v>
      </c>
      <c r="R172" s="191">
        <f t="shared" si="52"/>
        <v>0</v>
      </c>
      <c r="S172" s="191">
        <f t="shared" si="53"/>
        <v>0</v>
      </c>
      <c r="T172" s="191">
        <f t="shared" si="53"/>
        <v>0</v>
      </c>
      <c r="U172" s="191">
        <f t="shared" si="53"/>
        <v>0</v>
      </c>
      <c r="V172" s="191">
        <f t="shared" si="53"/>
        <v>0</v>
      </c>
      <c r="W172" s="191">
        <f t="shared" si="53"/>
        <v>0</v>
      </c>
      <c r="X172" s="191">
        <f t="shared" si="53"/>
        <v>0</v>
      </c>
      <c r="Y172" s="191">
        <f t="shared" si="53"/>
        <v>0</v>
      </c>
      <c r="Z172" s="191">
        <f t="shared" si="53"/>
        <v>0</v>
      </c>
      <c r="AA172" s="191">
        <f t="shared" si="53"/>
        <v>0</v>
      </c>
      <c r="AB172" s="191">
        <f t="shared" si="54"/>
        <v>0</v>
      </c>
      <c r="AC172" s="191">
        <f t="shared" si="54"/>
        <v>0</v>
      </c>
      <c r="AD172" s="191">
        <f t="shared" si="55"/>
        <v>0</v>
      </c>
      <c r="AE172" s="191">
        <f t="shared" si="55"/>
        <v>0</v>
      </c>
      <c r="AF172" s="204">
        <f t="shared" si="55"/>
        <v>0</v>
      </c>
      <c r="AG172" s="203"/>
      <c r="AH172" s="46"/>
      <c r="AI172" s="47"/>
      <c r="AK172" s="49"/>
      <c r="AL172" s="131" t="s">
        <v>220</v>
      </c>
      <c r="AM172" s="206">
        <v>78</v>
      </c>
      <c r="AN172" s="206"/>
      <c r="AO172" s="207">
        <f>AM172*AN172</f>
        <v>0</v>
      </c>
    </row>
    <row r="173" spans="1:41" x14ac:dyDescent="0.25">
      <c r="A173" s="120" t="s">
        <v>221</v>
      </c>
      <c r="B173" s="191">
        <v>0</v>
      </c>
      <c r="C173" s="191">
        <f t="shared" si="52"/>
        <v>0</v>
      </c>
      <c r="D173" s="191">
        <f t="shared" si="52"/>
        <v>0</v>
      </c>
      <c r="E173" s="191">
        <f t="shared" si="52"/>
        <v>0</v>
      </c>
      <c r="F173" s="191">
        <f t="shared" si="52"/>
        <v>0</v>
      </c>
      <c r="G173" s="191">
        <f t="shared" si="52"/>
        <v>0</v>
      </c>
      <c r="H173" s="191">
        <f t="shared" si="52"/>
        <v>0</v>
      </c>
      <c r="I173" s="191">
        <f t="shared" si="52"/>
        <v>0</v>
      </c>
      <c r="J173" s="191">
        <f t="shared" si="52"/>
        <v>0</v>
      </c>
      <c r="K173" s="191">
        <f t="shared" si="52"/>
        <v>0</v>
      </c>
      <c r="L173" s="191">
        <f t="shared" si="52"/>
        <v>0</v>
      </c>
      <c r="M173" s="191">
        <f t="shared" si="52"/>
        <v>0</v>
      </c>
      <c r="N173" s="191">
        <f t="shared" si="52"/>
        <v>0</v>
      </c>
      <c r="O173" s="191">
        <f t="shared" si="52"/>
        <v>0</v>
      </c>
      <c r="P173" s="191">
        <f t="shared" si="52"/>
        <v>0</v>
      </c>
      <c r="Q173" s="191">
        <f t="shared" si="52"/>
        <v>0</v>
      </c>
      <c r="R173" s="191">
        <f t="shared" si="52"/>
        <v>0</v>
      </c>
      <c r="S173" s="191">
        <f t="shared" si="53"/>
        <v>0</v>
      </c>
      <c r="T173" s="191">
        <f t="shared" si="53"/>
        <v>0</v>
      </c>
      <c r="U173" s="191">
        <f t="shared" si="53"/>
        <v>0</v>
      </c>
      <c r="V173" s="191">
        <f t="shared" si="53"/>
        <v>0</v>
      </c>
      <c r="W173" s="191">
        <f t="shared" si="53"/>
        <v>0</v>
      </c>
      <c r="X173" s="191">
        <f t="shared" si="53"/>
        <v>0</v>
      </c>
      <c r="Y173" s="191">
        <f t="shared" si="53"/>
        <v>0</v>
      </c>
      <c r="Z173" s="191">
        <f t="shared" si="53"/>
        <v>0</v>
      </c>
      <c r="AA173" s="191">
        <f t="shared" si="53"/>
        <v>0</v>
      </c>
      <c r="AB173" s="191">
        <f t="shared" si="54"/>
        <v>0</v>
      </c>
      <c r="AC173" s="191">
        <f t="shared" si="54"/>
        <v>0</v>
      </c>
      <c r="AD173" s="191">
        <f t="shared" si="55"/>
        <v>0</v>
      </c>
      <c r="AE173" s="191">
        <f t="shared" si="55"/>
        <v>0</v>
      </c>
      <c r="AF173" s="204">
        <f t="shared" si="55"/>
        <v>0</v>
      </c>
      <c r="AG173" s="203"/>
      <c r="AH173" s="46"/>
      <c r="AI173" s="47"/>
      <c r="AK173" s="49"/>
      <c r="AL173" s="138" t="s">
        <v>222</v>
      </c>
      <c r="AM173" s="208">
        <v>73</v>
      </c>
      <c r="AN173" s="208"/>
      <c r="AO173" s="209">
        <f>AM173*AN173</f>
        <v>0</v>
      </c>
    </row>
    <row r="174" spans="1:41" x14ac:dyDescent="0.25">
      <c r="A174" s="120" t="s">
        <v>223</v>
      </c>
      <c r="B174" s="191">
        <v>0</v>
      </c>
      <c r="C174" s="191">
        <f t="shared" si="52"/>
        <v>0</v>
      </c>
      <c r="D174" s="191">
        <f t="shared" si="52"/>
        <v>0</v>
      </c>
      <c r="E174" s="191">
        <f t="shared" si="52"/>
        <v>0</v>
      </c>
      <c r="F174" s="191">
        <f t="shared" si="52"/>
        <v>0</v>
      </c>
      <c r="G174" s="191">
        <f t="shared" si="52"/>
        <v>0</v>
      </c>
      <c r="H174" s="191">
        <f t="shared" si="52"/>
        <v>0</v>
      </c>
      <c r="I174" s="191">
        <f t="shared" si="52"/>
        <v>0</v>
      </c>
      <c r="J174" s="191">
        <f t="shared" si="52"/>
        <v>0</v>
      </c>
      <c r="K174" s="191">
        <f t="shared" si="52"/>
        <v>0</v>
      </c>
      <c r="L174" s="191">
        <f t="shared" si="52"/>
        <v>0</v>
      </c>
      <c r="M174" s="191">
        <f t="shared" si="52"/>
        <v>0</v>
      </c>
      <c r="N174" s="191">
        <f t="shared" si="52"/>
        <v>0</v>
      </c>
      <c r="O174" s="191">
        <f t="shared" si="52"/>
        <v>0</v>
      </c>
      <c r="P174" s="191">
        <f t="shared" si="52"/>
        <v>0</v>
      </c>
      <c r="Q174" s="191">
        <f t="shared" si="52"/>
        <v>0</v>
      </c>
      <c r="R174" s="191">
        <f t="shared" si="52"/>
        <v>0</v>
      </c>
      <c r="S174" s="191">
        <f t="shared" si="53"/>
        <v>0</v>
      </c>
      <c r="T174" s="191">
        <f t="shared" si="53"/>
        <v>0</v>
      </c>
      <c r="U174" s="191">
        <f t="shared" si="53"/>
        <v>0</v>
      </c>
      <c r="V174" s="191">
        <f t="shared" si="53"/>
        <v>0</v>
      </c>
      <c r="W174" s="191">
        <f t="shared" si="53"/>
        <v>0</v>
      </c>
      <c r="X174" s="191">
        <f t="shared" si="53"/>
        <v>0</v>
      </c>
      <c r="Y174" s="191">
        <f t="shared" si="53"/>
        <v>0</v>
      </c>
      <c r="Z174" s="191">
        <f t="shared" si="53"/>
        <v>0</v>
      </c>
      <c r="AA174" s="191">
        <f t="shared" si="53"/>
        <v>0</v>
      </c>
      <c r="AB174" s="191">
        <f t="shared" si="54"/>
        <v>0</v>
      </c>
      <c r="AC174" s="191">
        <f t="shared" si="54"/>
        <v>0</v>
      </c>
      <c r="AD174" s="191">
        <f t="shared" si="55"/>
        <v>0</v>
      </c>
      <c r="AE174" s="191">
        <f t="shared" si="55"/>
        <v>0</v>
      </c>
      <c r="AF174" s="204">
        <f t="shared" si="55"/>
        <v>0</v>
      </c>
      <c r="AG174" s="203"/>
      <c r="AH174" s="46"/>
      <c r="AI174" s="47"/>
      <c r="AK174" s="49"/>
      <c r="AL174" s="138" t="s">
        <v>224</v>
      </c>
      <c r="AM174" s="208">
        <v>25</v>
      </c>
      <c r="AN174" s="210"/>
      <c r="AO174" s="209">
        <f>AM174*AN174</f>
        <v>0</v>
      </c>
    </row>
    <row r="175" spans="1:41" x14ac:dyDescent="0.25">
      <c r="A175" s="120" t="s">
        <v>225</v>
      </c>
      <c r="B175" s="191">
        <v>0</v>
      </c>
      <c r="C175" s="191">
        <f t="shared" si="52"/>
        <v>0</v>
      </c>
      <c r="D175" s="191">
        <f t="shared" si="52"/>
        <v>0</v>
      </c>
      <c r="E175" s="191">
        <f t="shared" si="52"/>
        <v>0</v>
      </c>
      <c r="F175" s="191">
        <f t="shared" si="52"/>
        <v>0</v>
      </c>
      <c r="G175" s="191">
        <f t="shared" si="52"/>
        <v>0</v>
      </c>
      <c r="H175" s="191">
        <f t="shared" si="52"/>
        <v>0</v>
      </c>
      <c r="I175" s="191">
        <f t="shared" si="52"/>
        <v>0</v>
      </c>
      <c r="J175" s="191">
        <f t="shared" si="52"/>
        <v>0</v>
      </c>
      <c r="K175" s="191">
        <f t="shared" si="52"/>
        <v>0</v>
      </c>
      <c r="L175" s="191">
        <f t="shared" si="52"/>
        <v>0</v>
      </c>
      <c r="M175" s="191">
        <f t="shared" si="52"/>
        <v>0</v>
      </c>
      <c r="N175" s="191">
        <f t="shared" si="52"/>
        <v>0</v>
      </c>
      <c r="O175" s="191">
        <f t="shared" si="52"/>
        <v>0</v>
      </c>
      <c r="P175" s="191">
        <f t="shared" si="52"/>
        <v>0</v>
      </c>
      <c r="Q175" s="191">
        <f t="shared" si="52"/>
        <v>0</v>
      </c>
      <c r="R175" s="191">
        <f t="shared" si="52"/>
        <v>0</v>
      </c>
      <c r="S175" s="191">
        <f t="shared" si="53"/>
        <v>0</v>
      </c>
      <c r="T175" s="191">
        <f t="shared" si="53"/>
        <v>0</v>
      </c>
      <c r="U175" s="191">
        <f t="shared" si="53"/>
        <v>0</v>
      </c>
      <c r="V175" s="191">
        <f t="shared" si="53"/>
        <v>0</v>
      </c>
      <c r="W175" s="191">
        <f t="shared" si="53"/>
        <v>0</v>
      </c>
      <c r="X175" s="191">
        <f t="shared" si="53"/>
        <v>0</v>
      </c>
      <c r="Y175" s="191">
        <f t="shared" si="53"/>
        <v>0</v>
      </c>
      <c r="Z175" s="191">
        <f t="shared" si="53"/>
        <v>0</v>
      </c>
      <c r="AA175" s="191">
        <f t="shared" si="53"/>
        <v>0</v>
      </c>
      <c r="AB175" s="191">
        <f t="shared" si="54"/>
        <v>0</v>
      </c>
      <c r="AC175" s="191">
        <f t="shared" si="54"/>
        <v>0</v>
      </c>
      <c r="AD175" s="191">
        <f t="shared" si="55"/>
        <v>0</v>
      </c>
      <c r="AE175" s="191">
        <f t="shared" si="55"/>
        <v>0</v>
      </c>
      <c r="AF175" s="204">
        <f t="shared" si="55"/>
        <v>0</v>
      </c>
      <c r="AG175" s="203"/>
      <c r="AH175" s="46"/>
      <c r="AI175" s="47"/>
      <c r="AK175" s="49"/>
      <c r="AL175" s="211"/>
      <c r="AM175" s="208">
        <f>SUM(AM172:AM174)</f>
        <v>176</v>
      </c>
      <c r="AN175" s="208">
        <f>SUM(AN172:AN174)</f>
        <v>0</v>
      </c>
      <c r="AO175" s="209">
        <f>SUM(AO172:AO174)</f>
        <v>0</v>
      </c>
    </row>
    <row r="176" spans="1:41" ht="15.75" thickBot="1" x14ac:dyDescent="0.3">
      <c r="A176" s="120" t="s">
        <v>226</v>
      </c>
      <c r="B176" s="191">
        <v>0</v>
      </c>
      <c r="C176" s="191">
        <f t="shared" si="52"/>
        <v>0</v>
      </c>
      <c r="D176" s="191">
        <f t="shared" si="52"/>
        <v>0</v>
      </c>
      <c r="E176" s="191">
        <f t="shared" si="52"/>
        <v>0</v>
      </c>
      <c r="F176" s="191">
        <f t="shared" si="52"/>
        <v>0</v>
      </c>
      <c r="G176" s="191">
        <f t="shared" si="52"/>
        <v>0</v>
      </c>
      <c r="H176" s="191">
        <f t="shared" si="52"/>
        <v>0</v>
      </c>
      <c r="I176" s="191">
        <f t="shared" si="52"/>
        <v>0</v>
      </c>
      <c r="J176" s="191">
        <f t="shared" si="52"/>
        <v>0</v>
      </c>
      <c r="K176" s="191">
        <f t="shared" si="52"/>
        <v>0</v>
      </c>
      <c r="L176" s="191">
        <f t="shared" si="52"/>
        <v>0</v>
      </c>
      <c r="M176" s="191">
        <f t="shared" si="52"/>
        <v>0</v>
      </c>
      <c r="N176" s="191">
        <f t="shared" si="52"/>
        <v>0</v>
      </c>
      <c r="O176" s="191">
        <f t="shared" si="52"/>
        <v>0</v>
      </c>
      <c r="P176" s="191">
        <f t="shared" si="52"/>
        <v>0</v>
      </c>
      <c r="Q176" s="191">
        <f t="shared" si="52"/>
        <v>0</v>
      </c>
      <c r="R176" s="191">
        <f t="shared" si="52"/>
        <v>0</v>
      </c>
      <c r="S176" s="191">
        <f t="shared" si="53"/>
        <v>0</v>
      </c>
      <c r="T176" s="191">
        <f t="shared" si="53"/>
        <v>0</v>
      </c>
      <c r="U176" s="191">
        <f t="shared" si="53"/>
        <v>0</v>
      </c>
      <c r="V176" s="191">
        <f t="shared" si="53"/>
        <v>0</v>
      </c>
      <c r="W176" s="191">
        <f t="shared" si="53"/>
        <v>0</v>
      </c>
      <c r="X176" s="191">
        <f t="shared" si="53"/>
        <v>0</v>
      </c>
      <c r="Y176" s="191">
        <f t="shared" si="53"/>
        <v>0</v>
      </c>
      <c r="Z176" s="191">
        <f t="shared" si="53"/>
        <v>0</v>
      </c>
      <c r="AA176" s="191">
        <f t="shared" si="53"/>
        <v>0</v>
      </c>
      <c r="AB176" s="191">
        <f t="shared" si="54"/>
        <v>0</v>
      </c>
      <c r="AC176" s="191">
        <f t="shared" si="54"/>
        <v>0</v>
      </c>
      <c r="AD176" s="191">
        <f t="shared" si="55"/>
        <v>0</v>
      </c>
      <c r="AE176" s="191">
        <f t="shared" si="55"/>
        <v>0</v>
      </c>
      <c r="AF176" s="204">
        <f t="shared" si="55"/>
        <v>0</v>
      </c>
      <c r="AG176" s="203"/>
      <c r="AH176" s="46"/>
      <c r="AI176" s="47"/>
      <c r="AK176" s="49"/>
      <c r="AL176" s="212" t="s">
        <v>227</v>
      </c>
      <c r="AM176" s="213"/>
      <c r="AN176" s="213"/>
      <c r="AO176" s="214">
        <f>AO166+AO155+AO147+AO139+AO175</f>
        <v>83.259999999999977</v>
      </c>
    </row>
    <row r="177" spans="1:37" x14ac:dyDescent="0.25">
      <c r="A177" s="120" t="s">
        <v>228</v>
      </c>
      <c r="B177" s="191">
        <v>0</v>
      </c>
      <c r="C177" s="191">
        <f t="shared" si="52"/>
        <v>0</v>
      </c>
      <c r="D177" s="191">
        <f t="shared" si="52"/>
        <v>0</v>
      </c>
      <c r="E177" s="191">
        <f t="shared" si="52"/>
        <v>0</v>
      </c>
      <c r="F177" s="191">
        <f t="shared" si="52"/>
        <v>0</v>
      </c>
      <c r="G177" s="191">
        <f t="shared" si="52"/>
        <v>0</v>
      </c>
      <c r="H177" s="191">
        <f t="shared" si="52"/>
        <v>0</v>
      </c>
      <c r="I177" s="191">
        <f t="shared" si="52"/>
        <v>0</v>
      </c>
      <c r="J177" s="191">
        <f t="shared" si="52"/>
        <v>0</v>
      </c>
      <c r="K177" s="191">
        <f t="shared" si="52"/>
        <v>0</v>
      </c>
      <c r="L177" s="191">
        <f t="shared" si="52"/>
        <v>0</v>
      </c>
      <c r="M177" s="191">
        <f t="shared" si="52"/>
        <v>0</v>
      </c>
      <c r="N177" s="191">
        <f t="shared" si="52"/>
        <v>0</v>
      </c>
      <c r="O177" s="191">
        <f t="shared" si="52"/>
        <v>0</v>
      </c>
      <c r="P177" s="191">
        <f t="shared" si="52"/>
        <v>0</v>
      </c>
      <c r="Q177" s="191">
        <f t="shared" si="52"/>
        <v>0</v>
      </c>
      <c r="R177" s="191">
        <f t="shared" si="52"/>
        <v>0</v>
      </c>
      <c r="S177" s="191">
        <f t="shared" si="53"/>
        <v>0</v>
      </c>
      <c r="T177" s="191">
        <f t="shared" si="53"/>
        <v>0</v>
      </c>
      <c r="U177" s="191">
        <f t="shared" si="53"/>
        <v>0</v>
      </c>
      <c r="V177" s="191">
        <f t="shared" si="53"/>
        <v>0</v>
      </c>
      <c r="W177" s="191">
        <f t="shared" si="53"/>
        <v>0</v>
      </c>
      <c r="X177" s="191">
        <f t="shared" si="53"/>
        <v>0</v>
      </c>
      <c r="Y177" s="191">
        <f t="shared" si="53"/>
        <v>0</v>
      </c>
      <c r="Z177" s="191">
        <f t="shared" si="53"/>
        <v>0</v>
      </c>
      <c r="AA177" s="191">
        <f t="shared" si="53"/>
        <v>0</v>
      </c>
      <c r="AB177" s="191">
        <f t="shared" si="54"/>
        <v>0</v>
      </c>
      <c r="AC177" s="191">
        <f t="shared" si="54"/>
        <v>0</v>
      </c>
      <c r="AD177" s="191">
        <f t="shared" si="55"/>
        <v>0</v>
      </c>
      <c r="AE177" s="191">
        <f t="shared" si="55"/>
        <v>0</v>
      </c>
      <c r="AF177" s="204">
        <f t="shared" si="55"/>
        <v>0</v>
      </c>
      <c r="AG177" s="203"/>
      <c r="AH177" s="46"/>
      <c r="AI177" s="47"/>
      <c r="AK177" s="49"/>
    </row>
    <row r="178" spans="1:37" x14ac:dyDescent="0.25">
      <c r="A178" s="120" t="s">
        <v>229</v>
      </c>
      <c r="B178" s="191">
        <v>0</v>
      </c>
      <c r="C178" s="191">
        <f t="shared" si="52"/>
        <v>0</v>
      </c>
      <c r="D178" s="191">
        <f t="shared" si="52"/>
        <v>0</v>
      </c>
      <c r="E178" s="191">
        <f t="shared" si="52"/>
        <v>0</v>
      </c>
      <c r="F178" s="191">
        <f t="shared" si="52"/>
        <v>0</v>
      </c>
      <c r="G178" s="191">
        <f t="shared" si="52"/>
        <v>0</v>
      </c>
      <c r="H178" s="191">
        <f t="shared" si="52"/>
        <v>0</v>
      </c>
      <c r="I178" s="191">
        <f t="shared" si="52"/>
        <v>0</v>
      </c>
      <c r="J178" s="191">
        <f t="shared" si="52"/>
        <v>0</v>
      </c>
      <c r="K178" s="191">
        <f t="shared" si="52"/>
        <v>0</v>
      </c>
      <c r="L178" s="191">
        <f t="shared" si="52"/>
        <v>0</v>
      </c>
      <c r="M178" s="191">
        <f t="shared" si="52"/>
        <v>0</v>
      </c>
      <c r="N178" s="191">
        <f t="shared" si="52"/>
        <v>0</v>
      </c>
      <c r="O178" s="191">
        <f t="shared" si="52"/>
        <v>0</v>
      </c>
      <c r="P178" s="191">
        <f t="shared" si="52"/>
        <v>0</v>
      </c>
      <c r="Q178" s="191">
        <f t="shared" si="52"/>
        <v>0</v>
      </c>
      <c r="R178" s="191">
        <f t="shared" si="52"/>
        <v>0</v>
      </c>
      <c r="S178" s="191">
        <f t="shared" si="53"/>
        <v>0</v>
      </c>
      <c r="T178" s="191">
        <f t="shared" si="53"/>
        <v>0</v>
      </c>
      <c r="U178" s="191">
        <f t="shared" si="53"/>
        <v>0</v>
      </c>
      <c r="V178" s="191">
        <f t="shared" si="53"/>
        <v>0</v>
      </c>
      <c r="W178" s="191">
        <f t="shared" si="53"/>
        <v>0</v>
      </c>
      <c r="X178" s="191">
        <f t="shared" si="53"/>
        <v>0</v>
      </c>
      <c r="Y178" s="191">
        <f t="shared" si="53"/>
        <v>0</v>
      </c>
      <c r="Z178" s="191">
        <f t="shared" si="53"/>
        <v>0</v>
      </c>
      <c r="AA178" s="191">
        <f t="shared" si="53"/>
        <v>0</v>
      </c>
      <c r="AB178" s="191">
        <f t="shared" si="54"/>
        <v>0</v>
      </c>
      <c r="AC178" s="191">
        <f t="shared" si="54"/>
        <v>0</v>
      </c>
      <c r="AD178" s="191">
        <f t="shared" si="55"/>
        <v>0</v>
      </c>
      <c r="AE178" s="191">
        <f t="shared" si="55"/>
        <v>0</v>
      </c>
      <c r="AF178" s="204">
        <f t="shared" si="55"/>
        <v>0</v>
      </c>
      <c r="AG178" s="203"/>
      <c r="AH178" s="46"/>
      <c r="AI178" s="47"/>
      <c r="AK178" s="49"/>
    </row>
    <row r="179" spans="1:37" x14ac:dyDescent="0.25">
      <c r="A179" s="120" t="s">
        <v>230</v>
      </c>
      <c r="B179" s="191">
        <v>0</v>
      </c>
      <c r="C179" s="191">
        <f t="shared" si="52"/>
        <v>0</v>
      </c>
      <c r="D179" s="191">
        <f t="shared" si="52"/>
        <v>0</v>
      </c>
      <c r="E179" s="191">
        <f t="shared" si="52"/>
        <v>0</v>
      </c>
      <c r="F179" s="191">
        <f t="shared" si="52"/>
        <v>0</v>
      </c>
      <c r="G179" s="191">
        <f t="shared" si="52"/>
        <v>0</v>
      </c>
      <c r="H179" s="191">
        <f t="shared" si="52"/>
        <v>0</v>
      </c>
      <c r="I179" s="191">
        <f t="shared" si="52"/>
        <v>0</v>
      </c>
      <c r="J179" s="191">
        <f t="shared" si="52"/>
        <v>0</v>
      </c>
      <c r="K179" s="191">
        <f t="shared" si="52"/>
        <v>0</v>
      </c>
      <c r="L179" s="191">
        <f t="shared" si="52"/>
        <v>0</v>
      </c>
      <c r="M179" s="191">
        <f t="shared" si="52"/>
        <v>0</v>
      </c>
      <c r="N179" s="191">
        <f t="shared" si="52"/>
        <v>0</v>
      </c>
      <c r="O179" s="191">
        <f t="shared" si="52"/>
        <v>0</v>
      </c>
      <c r="P179" s="191">
        <f t="shared" si="52"/>
        <v>0</v>
      </c>
      <c r="Q179" s="191">
        <f t="shared" si="52"/>
        <v>0</v>
      </c>
      <c r="R179" s="191">
        <f t="shared" si="52"/>
        <v>0</v>
      </c>
      <c r="S179" s="191">
        <f t="shared" si="53"/>
        <v>0</v>
      </c>
      <c r="T179" s="191">
        <f t="shared" si="53"/>
        <v>0</v>
      </c>
      <c r="U179" s="191">
        <f t="shared" si="53"/>
        <v>0</v>
      </c>
      <c r="V179" s="191">
        <f t="shared" si="53"/>
        <v>0</v>
      </c>
      <c r="W179" s="191">
        <f t="shared" si="53"/>
        <v>0</v>
      </c>
      <c r="X179" s="191">
        <f t="shared" si="53"/>
        <v>0</v>
      </c>
      <c r="Y179" s="191">
        <f t="shared" si="53"/>
        <v>0</v>
      </c>
      <c r="Z179" s="191">
        <f t="shared" si="53"/>
        <v>0</v>
      </c>
      <c r="AA179" s="191">
        <f t="shared" si="53"/>
        <v>0</v>
      </c>
      <c r="AB179" s="191">
        <f t="shared" si="54"/>
        <v>0</v>
      </c>
      <c r="AC179" s="191">
        <f t="shared" si="54"/>
        <v>0</v>
      </c>
      <c r="AD179" s="191">
        <f t="shared" si="55"/>
        <v>0</v>
      </c>
      <c r="AE179" s="191">
        <f t="shared" si="55"/>
        <v>0</v>
      </c>
      <c r="AF179" s="204">
        <f t="shared" si="55"/>
        <v>0</v>
      </c>
      <c r="AG179" s="203"/>
      <c r="AH179" s="46"/>
      <c r="AI179" s="47"/>
      <c r="AK179" s="49"/>
    </row>
    <row r="180" spans="1:37" x14ac:dyDescent="0.25">
      <c r="A180" s="120" t="s">
        <v>231</v>
      </c>
      <c r="B180" s="191">
        <v>0</v>
      </c>
      <c r="C180" s="191">
        <f t="shared" si="52"/>
        <v>0</v>
      </c>
      <c r="D180" s="191">
        <f t="shared" si="52"/>
        <v>0</v>
      </c>
      <c r="E180" s="191">
        <f t="shared" si="52"/>
        <v>0</v>
      </c>
      <c r="F180" s="191">
        <f t="shared" si="52"/>
        <v>0</v>
      </c>
      <c r="G180" s="191">
        <f t="shared" si="52"/>
        <v>0</v>
      </c>
      <c r="H180" s="191">
        <f t="shared" si="52"/>
        <v>0</v>
      </c>
      <c r="I180" s="191">
        <f t="shared" si="52"/>
        <v>0</v>
      </c>
      <c r="J180" s="191">
        <f t="shared" si="52"/>
        <v>0</v>
      </c>
      <c r="K180" s="191">
        <f t="shared" si="52"/>
        <v>0</v>
      </c>
      <c r="L180" s="191">
        <f t="shared" si="52"/>
        <v>0</v>
      </c>
      <c r="M180" s="191">
        <f t="shared" si="52"/>
        <v>0</v>
      </c>
      <c r="N180" s="191">
        <f t="shared" si="52"/>
        <v>0</v>
      </c>
      <c r="O180" s="191">
        <f t="shared" si="52"/>
        <v>0</v>
      </c>
      <c r="P180" s="191">
        <f t="shared" si="52"/>
        <v>0</v>
      </c>
      <c r="Q180" s="191">
        <f t="shared" si="52"/>
        <v>0</v>
      </c>
      <c r="R180" s="191">
        <f t="shared" si="52"/>
        <v>0</v>
      </c>
      <c r="S180" s="191">
        <f t="shared" si="53"/>
        <v>0</v>
      </c>
      <c r="T180" s="191">
        <f t="shared" si="53"/>
        <v>0</v>
      </c>
      <c r="U180" s="191">
        <f t="shared" si="53"/>
        <v>0</v>
      </c>
      <c r="V180" s="191">
        <f t="shared" si="53"/>
        <v>0</v>
      </c>
      <c r="W180" s="191">
        <f t="shared" si="53"/>
        <v>0</v>
      </c>
      <c r="X180" s="191">
        <f t="shared" si="53"/>
        <v>0</v>
      </c>
      <c r="Y180" s="191">
        <f t="shared" si="53"/>
        <v>0</v>
      </c>
      <c r="Z180" s="191">
        <f t="shared" si="53"/>
        <v>0</v>
      </c>
      <c r="AA180" s="191">
        <f t="shared" si="53"/>
        <v>0</v>
      </c>
      <c r="AB180" s="191">
        <f t="shared" si="54"/>
        <v>0</v>
      </c>
      <c r="AC180" s="191">
        <f t="shared" si="54"/>
        <v>0</v>
      </c>
      <c r="AD180" s="191">
        <f t="shared" si="55"/>
        <v>0</v>
      </c>
      <c r="AE180" s="191">
        <f t="shared" si="55"/>
        <v>0</v>
      </c>
      <c r="AF180" s="204">
        <f t="shared" si="55"/>
        <v>0</v>
      </c>
      <c r="AG180" s="203"/>
      <c r="AH180" s="46"/>
      <c r="AI180" s="47"/>
      <c r="AK180" s="49"/>
    </row>
    <row r="181" spans="1:37" x14ac:dyDescent="0.25">
      <c r="A181" s="120" t="s">
        <v>232</v>
      </c>
      <c r="B181" s="191">
        <v>0</v>
      </c>
      <c r="C181" s="191">
        <f t="shared" si="52"/>
        <v>0</v>
      </c>
      <c r="D181" s="191">
        <f t="shared" si="52"/>
        <v>0</v>
      </c>
      <c r="E181" s="191">
        <f t="shared" si="52"/>
        <v>0</v>
      </c>
      <c r="F181" s="191">
        <f t="shared" si="52"/>
        <v>0</v>
      </c>
      <c r="G181" s="191">
        <f t="shared" si="52"/>
        <v>0</v>
      </c>
      <c r="H181" s="191">
        <f t="shared" si="52"/>
        <v>0</v>
      </c>
      <c r="I181" s="191">
        <f t="shared" si="52"/>
        <v>0</v>
      </c>
      <c r="J181" s="191">
        <f t="shared" si="52"/>
        <v>0</v>
      </c>
      <c r="K181" s="191">
        <f t="shared" si="52"/>
        <v>0</v>
      </c>
      <c r="L181" s="191">
        <f t="shared" si="52"/>
        <v>0</v>
      </c>
      <c r="M181" s="191">
        <f t="shared" si="52"/>
        <v>0</v>
      </c>
      <c r="N181" s="191">
        <f t="shared" si="52"/>
        <v>0</v>
      </c>
      <c r="O181" s="191">
        <f t="shared" si="52"/>
        <v>0</v>
      </c>
      <c r="P181" s="191">
        <f t="shared" si="52"/>
        <v>0</v>
      </c>
      <c r="Q181" s="191">
        <f t="shared" si="52"/>
        <v>0</v>
      </c>
      <c r="R181" s="191">
        <f t="shared" si="52"/>
        <v>0</v>
      </c>
      <c r="S181" s="191">
        <f t="shared" si="53"/>
        <v>0</v>
      </c>
      <c r="T181" s="191">
        <f t="shared" si="53"/>
        <v>0</v>
      </c>
      <c r="U181" s="191">
        <f t="shared" si="53"/>
        <v>0</v>
      </c>
      <c r="V181" s="191">
        <f t="shared" si="53"/>
        <v>0</v>
      </c>
      <c r="W181" s="191">
        <f t="shared" si="53"/>
        <v>0</v>
      </c>
      <c r="X181" s="191">
        <f t="shared" si="53"/>
        <v>0</v>
      </c>
      <c r="Y181" s="191">
        <f t="shared" si="53"/>
        <v>0</v>
      </c>
      <c r="Z181" s="191">
        <f t="shared" si="53"/>
        <v>0</v>
      </c>
      <c r="AA181" s="191">
        <f t="shared" si="53"/>
        <v>0</v>
      </c>
      <c r="AB181" s="191">
        <f t="shared" si="54"/>
        <v>0</v>
      </c>
      <c r="AC181" s="191">
        <f t="shared" si="54"/>
        <v>0</v>
      </c>
      <c r="AD181" s="191">
        <f t="shared" si="55"/>
        <v>0</v>
      </c>
      <c r="AE181" s="191">
        <f t="shared" si="55"/>
        <v>0</v>
      </c>
      <c r="AF181" s="204">
        <f t="shared" si="55"/>
        <v>0</v>
      </c>
      <c r="AG181" s="203"/>
      <c r="AH181" s="46"/>
      <c r="AI181" s="47"/>
      <c r="AK181" s="49"/>
    </row>
    <row r="182" spans="1:37" ht="13.5" customHeight="1" x14ac:dyDescent="0.25">
      <c r="A182" s="120" t="s">
        <v>233</v>
      </c>
      <c r="B182" s="191">
        <v>0</v>
      </c>
      <c r="C182" s="191">
        <f t="shared" si="52"/>
        <v>0</v>
      </c>
      <c r="D182" s="191">
        <f t="shared" si="52"/>
        <v>0</v>
      </c>
      <c r="E182" s="191">
        <f t="shared" si="52"/>
        <v>0</v>
      </c>
      <c r="F182" s="191">
        <f t="shared" si="52"/>
        <v>0</v>
      </c>
      <c r="G182" s="191">
        <f t="shared" si="52"/>
        <v>0</v>
      </c>
      <c r="H182" s="191">
        <f t="shared" si="52"/>
        <v>0</v>
      </c>
      <c r="I182" s="191">
        <f t="shared" si="52"/>
        <v>0</v>
      </c>
      <c r="J182" s="191">
        <f t="shared" si="52"/>
        <v>0</v>
      </c>
      <c r="K182" s="191">
        <f t="shared" si="52"/>
        <v>0</v>
      </c>
      <c r="L182" s="191">
        <f t="shared" si="52"/>
        <v>0</v>
      </c>
      <c r="M182" s="191">
        <f t="shared" si="52"/>
        <v>0</v>
      </c>
      <c r="N182" s="191">
        <f t="shared" si="52"/>
        <v>0</v>
      </c>
      <c r="O182" s="191">
        <f t="shared" si="52"/>
        <v>0</v>
      </c>
      <c r="P182" s="191">
        <f t="shared" si="52"/>
        <v>0</v>
      </c>
      <c r="Q182" s="191">
        <f t="shared" si="52"/>
        <v>0</v>
      </c>
      <c r="R182" s="191">
        <f t="shared" si="52"/>
        <v>0</v>
      </c>
      <c r="S182" s="191">
        <f t="shared" si="53"/>
        <v>0</v>
      </c>
      <c r="T182" s="191">
        <f t="shared" si="53"/>
        <v>0</v>
      </c>
      <c r="U182" s="191">
        <f t="shared" si="53"/>
        <v>0</v>
      </c>
      <c r="V182" s="191">
        <f t="shared" si="53"/>
        <v>0</v>
      </c>
      <c r="W182" s="191">
        <f t="shared" si="53"/>
        <v>0</v>
      </c>
      <c r="X182" s="191">
        <f t="shared" si="53"/>
        <v>0</v>
      </c>
      <c r="Y182" s="191">
        <f t="shared" si="53"/>
        <v>0</v>
      </c>
      <c r="Z182" s="191">
        <f t="shared" si="53"/>
        <v>0</v>
      </c>
      <c r="AA182" s="191">
        <f t="shared" si="53"/>
        <v>0</v>
      </c>
      <c r="AB182" s="191">
        <f t="shared" si="54"/>
        <v>0</v>
      </c>
      <c r="AC182" s="191">
        <f t="shared" si="54"/>
        <v>0</v>
      </c>
      <c r="AD182" s="191">
        <f t="shared" si="55"/>
        <v>0</v>
      </c>
      <c r="AE182" s="191">
        <f t="shared" si="55"/>
        <v>0</v>
      </c>
      <c r="AF182" s="204">
        <f t="shared" si="55"/>
        <v>0</v>
      </c>
      <c r="AG182" s="203"/>
      <c r="AH182" s="46"/>
      <c r="AI182" s="47"/>
      <c r="AK182" s="49"/>
    </row>
    <row r="183" spans="1:37" x14ac:dyDescent="0.25">
      <c r="A183" s="120" t="s">
        <v>234</v>
      </c>
      <c r="B183" s="191">
        <v>0</v>
      </c>
      <c r="C183" s="191">
        <f t="shared" si="52"/>
        <v>0</v>
      </c>
      <c r="D183" s="191">
        <f t="shared" si="52"/>
        <v>0</v>
      </c>
      <c r="E183" s="191">
        <f t="shared" si="52"/>
        <v>0</v>
      </c>
      <c r="F183" s="191">
        <f t="shared" si="52"/>
        <v>0</v>
      </c>
      <c r="G183" s="191">
        <f t="shared" si="52"/>
        <v>0</v>
      </c>
      <c r="H183" s="191">
        <f t="shared" si="52"/>
        <v>0</v>
      </c>
      <c r="I183" s="191">
        <f t="shared" si="52"/>
        <v>0</v>
      </c>
      <c r="J183" s="191">
        <f t="shared" si="52"/>
        <v>0</v>
      </c>
      <c r="K183" s="191">
        <f t="shared" si="52"/>
        <v>0</v>
      </c>
      <c r="L183" s="191">
        <f t="shared" si="52"/>
        <v>0</v>
      </c>
      <c r="M183" s="191">
        <f t="shared" si="52"/>
        <v>0</v>
      </c>
      <c r="N183" s="191">
        <f t="shared" si="52"/>
        <v>0</v>
      </c>
      <c r="O183" s="191">
        <f t="shared" si="52"/>
        <v>0</v>
      </c>
      <c r="P183" s="191">
        <f t="shared" si="52"/>
        <v>0</v>
      </c>
      <c r="Q183" s="191">
        <f t="shared" si="52"/>
        <v>0</v>
      </c>
      <c r="R183" s="191">
        <f t="shared" si="52"/>
        <v>0</v>
      </c>
      <c r="S183" s="191">
        <f t="shared" si="53"/>
        <v>0</v>
      </c>
      <c r="T183" s="191">
        <f t="shared" si="53"/>
        <v>0</v>
      </c>
      <c r="U183" s="191">
        <f t="shared" si="53"/>
        <v>0</v>
      </c>
      <c r="V183" s="191">
        <f t="shared" si="53"/>
        <v>0</v>
      </c>
      <c r="W183" s="191">
        <f t="shared" si="53"/>
        <v>0</v>
      </c>
      <c r="X183" s="191">
        <f t="shared" si="53"/>
        <v>0</v>
      </c>
      <c r="Y183" s="191">
        <f t="shared" si="53"/>
        <v>0</v>
      </c>
      <c r="Z183" s="191">
        <f t="shared" si="53"/>
        <v>0</v>
      </c>
      <c r="AA183" s="191">
        <f t="shared" si="53"/>
        <v>0</v>
      </c>
      <c r="AB183" s="191">
        <f t="shared" si="54"/>
        <v>0</v>
      </c>
      <c r="AC183" s="191">
        <f t="shared" si="54"/>
        <v>0</v>
      </c>
      <c r="AD183" s="191">
        <f t="shared" si="55"/>
        <v>0</v>
      </c>
      <c r="AE183" s="191">
        <f t="shared" si="55"/>
        <v>0</v>
      </c>
      <c r="AF183" s="204">
        <f t="shared" si="55"/>
        <v>0</v>
      </c>
      <c r="AG183" s="203"/>
      <c r="AH183" s="46"/>
      <c r="AI183" s="47"/>
      <c r="AK183" s="49"/>
    </row>
    <row r="184" spans="1:37" x14ac:dyDescent="0.25">
      <c r="A184" s="120" t="s">
        <v>235</v>
      </c>
      <c r="B184" s="191">
        <v>0</v>
      </c>
      <c r="C184" s="191">
        <f t="shared" si="52"/>
        <v>0</v>
      </c>
      <c r="D184" s="191">
        <f t="shared" si="52"/>
        <v>0</v>
      </c>
      <c r="E184" s="191">
        <f t="shared" si="52"/>
        <v>0</v>
      </c>
      <c r="F184" s="191">
        <f t="shared" si="52"/>
        <v>0</v>
      </c>
      <c r="G184" s="191">
        <f t="shared" si="52"/>
        <v>0</v>
      </c>
      <c r="H184" s="191">
        <f t="shared" si="52"/>
        <v>0</v>
      </c>
      <c r="I184" s="191">
        <f t="shared" si="52"/>
        <v>0</v>
      </c>
      <c r="J184" s="191">
        <f t="shared" si="52"/>
        <v>0</v>
      </c>
      <c r="K184" s="191">
        <f t="shared" si="52"/>
        <v>0</v>
      </c>
      <c r="L184" s="191">
        <f t="shared" si="52"/>
        <v>0</v>
      </c>
      <c r="M184" s="191">
        <f t="shared" si="52"/>
        <v>0</v>
      </c>
      <c r="N184" s="191">
        <f t="shared" si="52"/>
        <v>0</v>
      </c>
      <c r="O184" s="191">
        <f t="shared" si="52"/>
        <v>0</v>
      </c>
      <c r="P184" s="191">
        <f t="shared" si="52"/>
        <v>0</v>
      </c>
      <c r="Q184" s="191">
        <f t="shared" si="52"/>
        <v>0</v>
      </c>
      <c r="R184" s="191">
        <f t="shared" si="52"/>
        <v>0</v>
      </c>
      <c r="S184" s="191">
        <f t="shared" si="53"/>
        <v>0</v>
      </c>
      <c r="T184" s="191">
        <f t="shared" si="53"/>
        <v>0</v>
      </c>
      <c r="U184" s="191">
        <f t="shared" si="53"/>
        <v>0</v>
      </c>
      <c r="V184" s="191">
        <f t="shared" si="53"/>
        <v>0</v>
      </c>
      <c r="W184" s="191">
        <f t="shared" si="53"/>
        <v>0</v>
      </c>
      <c r="X184" s="191">
        <f t="shared" si="53"/>
        <v>0</v>
      </c>
      <c r="Y184" s="191">
        <f t="shared" si="53"/>
        <v>0</v>
      </c>
      <c r="Z184" s="191">
        <f t="shared" si="53"/>
        <v>0</v>
      </c>
      <c r="AA184" s="191">
        <f t="shared" si="53"/>
        <v>0</v>
      </c>
      <c r="AB184" s="191">
        <f t="shared" si="54"/>
        <v>0</v>
      </c>
      <c r="AC184" s="191">
        <f t="shared" si="54"/>
        <v>0</v>
      </c>
      <c r="AD184" s="191">
        <f t="shared" si="55"/>
        <v>0</v>
      </c>
      <c r="AE184" s="191">
        <f t="shared" si="55"/>
        <v>0</v>
      </c>
      <c r="AF184" s="204">
        <f t="shared" si="55"/>
        <v>0</v>
      </c>
      <c r="AG184" s="203"/>
      <c r="AH184" s="46"/>
      <c r="AI184" s="47"/>
      <c r="AK184" s="49"/>
    </row>
    <row r="185" spans="1:37" x14ac:dyDescent="0.25">
      <c r="A185" s="120" t="s">
        <v>236</v>
      </c>
      <c r="B185" s="191">
        <v>0</v>
      </c>
      <c r="C185" s="191">
        <f t="shared" si="52"/>
        <v>0</v>
      </c>
      <c r="D185" s="191">
        <f t="shared" si="52"/>
        <v>0</v>
      </c>
      <c r="E185" s="191">
        <f t="shared" si="52"/>
        <v>0</v>
      </c>
      <c r="F185" s="191">
        <f t="shared" si="52"/>
        <v>0</v>
      </c>
      <c r="G185" s="191">
        <f t="shared" si="52"/>
        <v>0</v>
      </c>
      <c r="H185" s="191">
        <f t="shared" si="52"/>
        <v>0</v>
      </c>
      <c r="I185" s="191">
        <f t="shared" si="52"/>
        <v>0</v>
      </c>
      <c r="J185" s="191">
        <f t="shared" si="52"/>
        <v>0</v>
      </c>
      <c r="K185" s="191">
        <f t="shared" si="52"/>
        <v>0</v>
      </c>
      <c r="L185" s="191">
        <f t="shared" si="52"/>
        <v>0</v>
      </c>
      <c r="M185" s="191">
        <f t="shared" si="52"/>
        <v>0</v>
      </c>
      <c r="N185" s="191">
        <f t="shared" si="52"/>
        <v>0</v>
      </c>
      <c r="O185" s="191">
        <f t="shared" si="52"/>
        <v>0</v>
      </c>
      <c r="P185" s="191">
        <f t="shared" si="52"/>
        <v>0</v>
      </c>
      <c r="Q185" s="191">
        <f t="shared" si="52"/>
        <v>0</v>
      </c>
      <c r="R185" s="191">
        <f t="shared" ref="R185:AF200" si="56">Q185</f>
        <v>0</v>
      </c>
      <c r="S185" s="191">
        <f t="shared" si="56"/>
        <v>0</v>
      </c>
      <c r="T185" s="191">
        <f t="shared" si="56"/>
        <v>0</v>
      </c>
      <c r="U185" s="191">
        <f t="shared" si="56"/>
        <v>0</v>
      </c>
      <c r="V185" s="191">
        <f t="shared" si="53"/>
        <v>0</v>
      </c>
      <c r="W185" s="191">
        <f t="shared" si="53"/>
        <v>0</v>
      </c>
      <c r="X185" s="191">
        <f t="shared" si="53"/>
        <v>0</v>
      </c>
      <c r="Y185" s="191">
        <f t="shared" si="53"/>
        <v>0</v>
      </c>
      <c r="Z185" s="191">
        <f t="shared" si="53"/>
        <v>0</v>
      </c>
      <c r="AA185" s="191">
        <f t="shared" si="53"/>
        <v>0</v>
      </c>
      <c r="AB185" s="191">
        <f t="shared" si="54"/>
        <v>0</v>
      </c>
      <c r="AC185" s="191">
        <f t="shared" si="54"/>
        <v>0</v>
      </c>
      <c r="AD185" s="191">
        <f t="shared" si="56"/>
        <v>0</v>
      </c>
      <c r="AE185" s="191">
        <f t="shared" si="56"/>
        <v>0</v>
      </c>
      <c r="AF185" s="204">
        <f t="shared" si="56"/>
        <v>0</v>
      </c>
      <c r="AG185" s="203"/>
      <c r="AH185" s="46"/>
      <c r="AI185" s="47"/>
      <c r="AK185" s="49"/>
    </row>
    <row r="186" spans="1:37" x14ac:dyDescent="0.25">
      <c r="A186" s="120" t="s">
        <v>237</v>
      </c>
      <c r="B186" s="191">
        <v>0</v>
      </c>
      <c r="C186" s="191">
        <f t="shared" ref="C186:R201" si="57">B186</f>
        <v>0</v>
      </c>
      <c r="D186" s="191">
        <f t="shared" si="57"/>
        <v>0</v>
      </c>
      <c r="E186" s="191">
        <f t="shared" si="57"/>
        <v>0</v>
      </c>
      <c r="F186" s="191">
        <f t="shared" si="57"/>
        <v>0</v>
      </c>
      <c r="G186" s="191">
        <f t="shared" si="57"/>
        <v>0</v>
      </c>
      <c r="H186" s="191">
        <f t="shared" si="57"/>
        <v>0</v>
      </c>
      <c r="I186" s="191">
        <f t="shared" si="57"/>
        <v>0</v>
      </c>
      <c r="J186" s="191">
        <f t="shared" si="57"/>
        <v>0</v>
      </c>
      <c r="K186" s="191">
        <f t="shared" si="57"/>
        <v>0</v>
      </c>
      <c r="L186" s="191">
        <f t="shared" si="57"/>
        <v>0</v>
      </c>
      <c r="M186" s="191">
        <f t="shared" si="57"/>
        <v>0</v>
      </c>
      <c r="N186" s="191">
        <f t="shared" si="57"/>
        <v>0</v>
      </c>
      <c r="O186" s="191">
        <f t="shared" si="57"/>
        <v>0</v>
      </c>
      <c r="P186" s="191">
        <f t="shared" si="57"/>
        <v>0</v>
      </c>
      <c r="Q186" s="191">
        <f t="shared" si="57"/>
        <v>0</v>
      </c>
      <c r="R186" s="191">
        <f t="shared" si="57"/>
        <v>0</v>
      </c>
      <c r="S186" s="191">
        <f t="shared" si="56"/>
        <v>0</v>
      </c>
      <c r="T186" s="191">
        <f t="shared" si="56"/>
        <v>0</v>
      </c>
      <c r="U186" s="191">
        <f t="shared" si="56"/>
        <v>0</v>
      </c>
      <c r="V186" s="191">
        <f t="shared" si="56"/>
        <v>0</v>
      </c>
      <c r="W186" s="191">
        <f t="shared" si="56"/>
        <v>0</v>
      </c>
      <c r="X186" s="191">
        <f t="shared" si="56"/>
        <v>0</v>
      </c>
      <c r="Y186" s="191">
        <f t="shared" si="56"/>
        <v>0</v>
      </c>
      <c r="Z186" s="191">
        <f t="shared" si="56"/>
        <v>0</v>
      </c>
      <c r="AA186" s="191">
        <f t="shared" si="56"/>
        <v>0</v>
      </c>
      <c r="AB186" s="191">
        <f t="shared" si="54"/>
        <v>0</v>
      </c>
      <c r="AC186" s="191">
        <f t="shared" si="54"/>
        <v>0</v>
      </c>
      <c r="AD186" s="191">
        <f t="shared" si="56"/>
        <v>0</v>
      </c>
      <c r="AE186" s="191">
        <f t="shared" si="56"/>
        <v>0</v>
      </c>
      <c r="AF186" s="204">
        <f t="shared" si="56"/>
        <v>0</v>
      </c>
      <c r="AG186" s="215">
        <v>9.9</v>
      </c>
      <c r="AH186" s="46"/>
      <c r="AI186" s="47"/>
      <c r="AK186" s="49"/>
    </row>
    <row r="187" spans="1:37" x14ac:dyDescent="0.25">
      <c r="A187" s="73" t="s">
        <v>238</v>
      </c>
      <c r="B187" s="191">
        <v>0</v>
      </c>
      <c r="C187" s="191">
        <f t="shared" si="57"/>
        <v>0</v>
      </c>
      <c r="D187" s="191">
        <f t="shared" si="57"/>
        <v>0</v>
      </c>
      <c r="E187" s="191">
        <f t="shared" si="57"/>
        <v>0</v>
      </c>
      <c r="F187" s="191">
        <f t="shared" si="57"/>
        <v>0</v>
      </c>
      <c r="G187" s="191">
        <f t="shared" si="57"/>
        <v>0</v>
      </c>
      <c r="H187" s="191">
        <f t="shared" si="57"/>
        <v>0</v>
      </c>
      <c r="I187" s="191">
        <f t="shared" si="57"/>
        <v>0</v>
      </c>
      <c r="J187" s="191">
        <f t="shared" si="57"/>
        <v>0</v>
      </c>
      <c r="K187" s="191">
        <f t="shared" si="57"/>
        <v>0</v>
      </c>
      <c r="L187" s="191">
        <f t="shared" si="57"/>
        <v>0</v>
      </c>
      <c r="M187" s="191">
        <f t="shared" si="57"/>
        <v>0</v>
      </c>
      <c r="N187" s="191">
        <f t="shared" si="57"/>
        <v>0</v>
      </c>
      <c r="O187" s="191">
        <f t="shared" si="57"/>
        <v>0</v>
      </c>
      <c r="P187" s="191">
        <f t="shared" si="57"/>
        <v>0</v>
      </c>
      <c r="Q187" s="191">
        <f t="shared" si="57"/>
        <v>0</v>
      </c>
      <c r="R187" s="191">
        <f t="shared" si="57"/>
        <v>0</v>
      </c>
      <c r="S187" s="191">
        <f t="shared" si="56"/>
        <v>0</v>
      </c>
      <c r="T187" s="191">
        <f t="shared" si="56"/>
        <v>0</v>
      </c>
      <c r="U187" s="191">
        <f t="shared" si="56"/>
        <v>0</v>
      </c>
      <c r="V187" s="191">
        <f t="shared" si="56"/>
        <v>0</v>
      </c>
      <c r="W187" s="191">
        <f t="shared" si="56"/>
        <v>0</v>
      </c>
      <c r="X187" s="191">
        <f t="shared" si="56"/>
        <v>0</v>
      </c>
      <c r="Y187" s="191">
        <f t="shared" si="56"/>
        <v>0</v>
      </c>
      <c r="Z187" s="191">
        <f t="shared" si="56"/>
        <v>0</v>
      </c>
      <c r="AA187" s="191">
        <f t="shared" si="56"/>
        <v>0</v>
      </c>
      <c r="AB187" s="191">
        <f t="shared" si="54"/>
        <v>0</v>
      </c>
      <c r="AC187" s="191">
        <f t="shared" si="54"/>
        <v>0</v>
      </c>
      <c r="AD187" s="191">
        <f t="shared" si="56"/>
        <v>0</v>
      </c>
      <c r="AE187" s="191">
        <f t="shared" si="56"/>
        <v>0</v>
      </c>
      <c r="AF187" s="204">
        <f t="shared" si="56"/>
        <v>0</v>
      </c>
      <c r="AG187" s="216">
        <v>9.6579999999999995</v>
      </c>
      <c r="AH187" s="46"/>
      <c r="AI187" s="47"/>
      <c r="AK187" s="49"/>
    </row>
    <row r="188" spans="1:37" x14ac:dyDescent="0.25">
      <c r="A188" s="73" t="s">
        <v>239</v>
      </c>
      <c r="B188" s="191">
        <v>0</v>
      </c>
      <c r="C188" s="191">
        <f t="shared" si="57"/>
        <v>0</v>
      </c>
      <c r="D188" s="191">
        <f t="shared" si="57"/>
        <v>0</v>
      </c>
      <c r="E188" s="191">
        <f t="shared" si="57"/>
        <v>0</v>
      </c>
      <c r="F188" s="191">
        <f t="shared" si="57"/>
        <v>0</v>
      </c>
      <c r="G188" s="191">
        <f t="shared" si="57"/>
        <v>0</v>
      </c>
      <c r="H188" s="191">
        <f t="shared" si="57"/>
        <v>0</v>
      </c>
      <c r="I188" s="191">
        <f t="shared" si="57"/>
        <v>0</v>
      </c>
      <c r="J188" s="191">
        <f t="shared" si="57"/>
        <v>0</v>
      </c>
      <c r="K188" s="191">
        <f t="shared" si="57"/>
        <v>0</v>
      </c>
      <c r="L188" s="191">
        <f t="shared" si="57"/>
        <v>0</v>
      </c>
      <c r="M188" s="191">
        <f t="shared" si="57"/>
        <v>0</v>
      </c>
      <c r="N188" s="191">
        <f t="shared" si="57"/>
        <v>0</v>
      </c>
      <c r="O188" s="191">
        <f t="shared" si="57"/>
        <v>0</v>
      </c>
      <c r="P188" s="191">
        <f t="shared" si="57"/>
        <v>0</v>
      </c>
      <c r="Q188" s="191">
        <f t="shared" si="57"/>
        <v>0</v>
      </c>
      <c r="R188" s="191">
        <f t="shared" si="57"/>
        <v>0</v>
      </c>
      <c r="S188" s="191">
        <f t="shared" si="56"/>
        <v>0</v>
      </c>
      <c r="T188" s="191">
        <f t="shared" si="56"/>
        <v>0</v>
      </c>
      <c r="U188" s="191">
        <f t="shared" si="56"/>
        <v>0</v>
      </c>
      <c r="V188" s="191">
        <f t="shared" si="56"/>
        <v>0</v>
      </c>
      <c r="W188" s="191">
        <f t="shared" si="56"/>
        <v>0</v>
      </c>
      <c r="X188" s="191">
        <f t="shared" si="56"/>
        <v>0</v>
      </c>
      <c r="Y188" s="191">
        <f t="shared" si="56"/>
        <v>0</v>
      </c>
      <c r="Z188" s="191">
        <f t="shared" si="56"/>
        <v>0</v>
      </c>
      <c r="AA188" s="191">
        <f t="shared" si="56"/>
        <v>0</v>
      </c>
      <c r="AB188" s="191">
        <f t="shared" si="54"/>
        <v>0</v>
      </c>
      <c r="AC188" s="191">
        <f t="shared" si="54"/>
        <v>0</v>
      </c>
      <c r="AD188" s="191">
        <f t="shared" si="56"/>
        <v>0</v>
      </c>
      <c r="AE188" s="191">
        <f t="shared" si="56"/>
        <v>0</v>
      </c>
      <c r="AF188" s="204">
        <f t="shared" si="56"/>
        <v>0</v>
      </c>
      <c r="AG188" s="216">
        <v>9.6</v>
      </c>
      <c r="AH188" s="46"/>
      <c r="AI188" s="47"/>
      <c r="AK188" s="49"/>
    </row>
    <row r="189" spans="1:37" x14ac:dyDescent="0.25">
      <c r="A189" s="73" t="s">
        <v>240</v>
      </c>
      <c r="B189" s="191">
        <v>0</v>
      </c>
      <c r="C189" s="191">
        <f t="shared" si="57"/>
        <v>0</v>
      </c>
      <c r="D189" s="191">
        <f t="shared" si="57"/>
        <v>0</v>
      </c>
      <c r="E189" s="191">
        <f t="shared" si="57"/>
        <v>0</v>
      </c>
      <c r="F189" s="191">
        <f t="shared" si="57"/>
        <v>0</v>
      </c>
      <c r="G189" s="191">
        <f t="shared" si="57"/>
        <v>0</v>
      </c>
      <c r="H189" s="191">
        <f t="shared" si="57"/>
        <v>0</v>
      </c>
      <c r="I189" s="191">
        <f t="shared" si="57"/>
        <v>0</v>
      </c>
      <c r="J189" s="191">
        <f t="shared" si="57"/>
        <v>0</v>
      </c>
      <c r="K189" s="191">
        <f t="shared" si="57"/>
        <v>0</v>
      </c>
      <c r="L189" s="191">
        <f t="shared" si="57"/>
        <v>0</v>
      </c>
      <c r="M189" s="191">
        <f t="shared" si="57"/>
        <v>0</v>
      </c>
      <c r="N189" s="191">
        <f t="shared" si="57"/>
        <v>0</v>
      </c>
      <c r="O189" s="191">
        <f t="shared" si="57"/>
        <v>0</v>
      </c>
      <c r="P189" s="191">
        <f t="shared" si="57"/>
        <v>0</v>
      </c>
      <c r="Q189" s="191">
        <f t="shared" si="57"/>
        <v>0</v>
      </c>
      <c r="R189" s="191">
        <f t="shared" si="57"/>
        <v>0</v>
      </c>
      <c r="S189" s="191">
        <f t="shared" si="56"/>
        <v>0</v>
      </c>
      <c r="T189" s="191">
        <f t="shared" si="56"/>
        <v>0</v>
      </c>
      <c r="U189" s="191">
        <f t="shared" si="56"/>
        <v>0</v>
      </c>
      <c r="V189" s="191">
        <f t="shared" si="56"/>
        <v>0</v>
      </c>
      <c r="W189" s="191">
        <f t="shared" si="56"/>
        <v>0</v>
      </c>
      <c r="X189" s="191">
        <f t="shared" si="56"/>
        <v>0</v>
      </c>
      <c r="Y189" s="191">
        <f t="shared" si="56"/>
        <v>0</v>
      </c>
      <c r="Z189" s="191">
        <f t="shared" si="56"/>
        <v>0</v>
      </c>
      <c r="AA189" s="191">
        <f t="shared" si="56"/>
        <v>0</v>
      </c>
      <c r="AB189" s="191">
        <f t="shared" si="54"/>
        <v>0</v>
      </c>
      <c r="AC189" s="191">
        <f t="shared" si="54"/>
        <v>0</v>
      </c>
      <c r="AD189" s="191">
        <f t="shared" si="56"/>
        <v>0</v>
      </c>
      <c r="AE189" s="191">
        <f t="shared" si="56"/>
        <v>0</v>
      </c>
      <c r="AF189" s="204">
        <f t="shared" si="56"/>
        <v>0</v>
      </c>
      <c r="AG189" s="216">
        <v>9.51</v>
      </c>
      <c r="AH189" s="46"/>
      <c r="AI189" s="47"/>
      <c r="AK189" s="49"/>
    </row>
    <row r="190" spans="1:37" x14ac:dyDescent="0.25">
      <c r="A190" s="73" t="s">
        <v>241</v>
      </c>
      <c r="B190" s="191">
        <v>0</v>
      </c>
      <c r="C190" s="191">
        <f t="shared" si="57"/>
        <v>0</v>
      </c>
      <c r="D190" s="191">
        <f t="shared" si="57"/>
        <v>0</v>
      </c>
      <c r="E190" s="191">
        <f t="shared" si="57"/>
        <v>0</v>
      </c>
      <c r="F190" s="191">
        <f t="shared" si="57"/>
        <v>0</v>
      </c>
      <c r="G190" s="191">
        <f t="shared" si="57"/>
        <v>0</v>
      </c>
      <c r="H190" s="191">
        <f t="shared" si="57"/>
        <v>0</v>
      </c>
      <c r="I190" s="191">
        <f t="shared" si="57"/>
        <v>0</v>
      </c>
      <c r="J190" s="191">
        <f t="shared" si="57"/>
        <v>0</v>
      </c>
      <c r="K190" s="191">
        <f t="shared" si="57"/>
        <v>0</v>
      </c>
      <c r="L190" s="191">
        <f t="shared" si="57"/>
        <v>0</v>
      </c>
      <c r="M190" s="191">
        <f t="shared" si="57"/>
        <v>0</v>
      </c>
      <c r="N190" s="191">
        <f t="shared" si="57"/>
        <v>0</v>
      </c>
      <c r="O190" s="191">
        <f t="shared" si="57"/>
        <v>0</v>
      </c>
      <c r="P190" s="191">
        <f t="shared" si="57"/>
        <v>0</v>
      </c>
      <c r="Q190" s="191">
        <f t="shared" si="57"/>
        <v>0</v>
      </c>
      <c r="R190" s="191">
        <f t="shared" si="57"/>
        <v>0</v>
      </c>
      <c r="S190" s="191">
        <f t="shared" si="56"/>
        <v>0</v>
      </c>
      <c r="T190" s="191">
        <f t="shared" si="56"/>
        <v>0</v>
      </c>
      <c r="U190" s="191">
        <f t="shared" si="56"/>
        <v>0</v>
      </c>
      <c r="V190" s="191">
        <f t="shared" si="56"/>
        <v>0</v>
      </c>
      <c r="W190" s="191">
        <f t="shared" si="56"/>
        <v>0</v>
      </c>
      <c r="X190" s="191">
        <f t="shared" si="56"/>
        <v>0</v>
      </c>
      <c r="Y190" s="191">
        <f t="shared" si="56"/>
        <v>0</v>
      </c>
      <c r="Z190" s="191">
        <f t="shared" si="56"/>
        <v>0</v>
      </c>
      <c r="AA190" s="191">
        <f t="shared" si="56"/>
        <v>0</v>
      </c>
      <c r="AB190" s="191">
        <f t="shared" si="56"/>
        <v>0</v>
      </c>
      <c r="AC190" s="191">
        <f t="shared" si="56"/>
        <v>0</v>
      </c>
      <c r="AD190" s="191">
        <f t="shared" si="56"/>
        <v>0</v>
      </c>
      <c r="AE190" s="191">
        <f t="shared" si="56"/>
        <v>0</v>
      </c>
      <c r="AF190" s="204">
        <f t="shared" si="56"/>
        <v>0</v>
      </c>
      <c r="AG190" s="216">
        <v>9.4</v>
      </c>
      <c r="AH190" s="46"/>
      <c r="AI190" s="47"/>
      <c r="AK190" s="49"/>
    </row>
    <row r="191" spans="1:37" x14ac:dyDescent="0.25">
      <c r="A191" s="73" t="s">
        <v>242</v>
      </c>
      <c r="B191" s="191">
        <v>0</v>
      </c>
      <c r="C191" s="191">
        <f t="shared" si="57"/>
        <v>0</v>
      </c>
      <c r="D191" s="191">
        <f t="shared" si="57"/>
        <v>0</v>
      </c>
      <c r="E191" s="191">
        <f t="shared" si="57"/>
        <v>0</v>
      </c>
      <c r="F191" s="191">
        <f t="shared" si="57"/>
        <v>0</v>
      </c>
      <c r="G191" s="191">
        <f t="shared" si="57"/>
        <v>0</v>
      </c>
      <c r="H191" s="191">
        <f t="shared" si="57"/>
        <v>0</v>
      </c>
      <c r="I191" s="191">
        <f t="shared" si="57"/>
        <v>0</v>
      </c>
      <c r="J191" s="191">
        <f t="shared" si="57"/>
        <v>0</v>
      </c>
      <c r="K191" s="191">
        <f t="shared" si="57"/>
        <v>0</v>
      </c>
      <c r="L191" s="191">
        <f t="shared" si="57"/>
        <v>0</v>
      </c>
      <c r="M191" s="191">
        <f t="shared" si="57"/>
        <v>0</v>
      </c>
      <c r="N191" s="191">
        <f t="shared" si="57"/>
        <v>0</v>
      </c>
      <c r="O191" s="191">
        <f t="shared" si="57"/>
        <v>0</v>
      </c>
      <c r="P191" s="191">
        <f t="shared" si="57"/>
        <v>0</v>
      </c>
      <c r="Q191" s="191">
        <f t="shared" si="57"/>
        <v>0</v>
      </c>
      <c r="R191" s="191">
        <f t="shared" si="57"/>
        <v>0</v>
      </c>
      <c r="S191" s="191">
        <f t="shared" si="56"/>
        <v>0</v>
      </c>
      <c r="T191" s="191">
        <f t="shared" si="56"/>
        <v>0</v>
      </c>
      <c r="U191" s="191">
        <f t="shared" si="56"/>
        <v>0</v>
      </c>
      <c r="V191" s="191">
        <f t="shared" si="56"/>
        <v>0</v>
      </c>
      <c r="W191" s="191">
        <f t="shared" si="56"/>
        <v>0</v>
      </c>
      <c r="X191" s="191">
        <f t="shared" si="56"/>
        <v>0</v>
      </c>
      <c r="Y191" s="191">
        <f t="shared" si="56"/>
        <v>0</v>
      </c>
      <c r="Z191" s="191">
        <f t="shared" si="56"/>
        <v>0</v>
      </c>
      <c r="AA191" s="191">
        <f t="shared" si="56"/>
        <v>0</v>
      </c>
      <c r="AB191" s="191">
        <f t="shared" si="56"/>
        <v>0</v>
      </c>
      <c r="AC191" s="191">
        <f t="shared" si="56"/>
        <v>0</v>
      </c>
      <c r="AD191" s="191">
        <f t="shared" si="56"/>
        <v>0</v>
      </c>
      <c r="AE191" s="191">
        <f t="shared" si="56"/>
        <v>0</v>
      </c>
      <c r="AF191" s="204">
        <f t="shared" si="56"/>
        <v>0</v>
      </c>
      <c r="AG191" s="216">
        <v>8.8000000000000007</v>
      </c>
      <c r="AH191" s="46"/>
      <c r="AI191" s="47"/>
      <c r="AK191" s="49"/>
    </row>
    <row r="192" spans="1:37" x14ac:dyDescent="0.25">
      <c r="A192" s="73" t="s">
        <v>243</v>
      </c>
      <c r="B192" s="191">
        <v>0</v>
      </c>
      <c r="C192" s="191">
        <f t="shared" si="57"/>
        <v>0</v>
      </c>
      <c r="D192" s="191">
        <f t="shared" si="57"/>
        <v>0</v>
      </c>
      <c r="E192" s="191">
        <f t="shared" si="57"/>
        <v>0</v>
      </c>
      <c r="F192" s="191">
        <f t="shared" si="57"/>
        <v>0</v>
      </c>
      <c r="G192" s="191">
        <f t="shared" si="57"/>
        <v>0</v>
      </c>
      <c r="H192" s="191">
        <f t="shared" si="57"/>
        <v>0</v>
      </c>
      <c r="I192" s="191">
        <f t="shared" si="57"/>
        <v>0</v>
      </c>
      <c r="J192" s="191">
        <f t="shared" si="57"/>
        <v>0</v>
      </c>
      <c r="K192" s="191">
        <f t="shared" si="57"/>
        <v>0</v>
      </c>
      <c r="L192" s="191">
        <f t="shared" si="57"/>
        <v>0</v>
      </c>
      <c r="M192" s="191">
        <f t="shared" si="57"/>
        <v>0</v>
      </c>
      <c r="N192" s="191">
        <f t="shared" si="57"/>
        <v>0</v>
      </c>
      <c r="O192" s="191">
        <f t="shared" si="57"/>
        <v>0</v>
      </c>
      <c r="P192" s="191">
        <f t="shared" si="57"/>
        <v>0</v>
      </c>
      <c r="Q192" s="191">
        <f t="shared" si="57"/>
        <v>0</v>
      </c>
      <c r="R192" s="191">
        <f t="shared" si="57"/>
        <v>0</v>
      </c>
      <c r="S192" s="191">
        <f t="shared" si="56"/>
        <v>0</v>
      </c>
      <c r="T192" s="191">
        <f t="shared" si="56"/>
        <v>0</v>
      </c>
      <c r="U192" s="191">
        <f t="shared" si="56"/>
        <v>0</v>
      </c>
      <c r="V192" s="191">
        <f t="shared" si="56"/>
        <v>0</v>
      </c>
      <c r="W192" s="191">
        <f t="shared" si="56"/>
        <v>0</v>
      </c>
      <c r="X192" s="191">
        <f t="shared" si="56"/>
        <v>0</v>
      </c>
      <c r="Y192" s="191">
        <f t="shared" si="56"/>
        <v>0</v>
      </c>
      <c r="Z192" s="191">
        <f t="shared" si="56"/>
        <v>0</v>
      </c>
      <c r="AA192" s="191">
        <f t="shared" si="56"/>
        <v>0</v>
      </c>
      <c r="AB192" s="191">
        <f t="shared" si="56"/>
        <v>0</v>
      </c>
      <c r="AC192" s="191">
        <f t="shared" si="56"/>
        <v>0</v>
      </c>
      <c r="AD192" s="191">
        <f t="shared" si="56"/>
        <v>0</v>
      </c>
      <c r="AE192" s="191">
        <f t="shared" si="56"/>
        <v>0</v>
      </c>
      <c r="AF192" s="204">
        <f t="shared" si="56"/>
        <v>0</v>
      </c>
      <c r="AG192" s="216">
        <v>8.5</v>
      </c>
      <c r="AH192" s="46"/>
      <c r="AI192" s="47"/>
      <c r="AK192" s="49"/>
    </row>
    <row r="193" spans="1:37" x14ac:dyDescent="0.25">
      <c r="A193" s="73" t="s">
        <v>244</v>
      </c>
      <c r="B193" s="191">
        <v>0</v>
      </c>
      <c r="C193" s="191">
        <f t="shared" si="57"/>
        <v>0</v>
      </c>
      <c r="D193" s="191">
        <f t="shared" si="57"/>
        <v>0</v>
      </c>
      <c r="E193" s="191">
        <f t="shared" si="57"/>
        <v>0</v>
      </c>
      <c r="F193" s="191">
        <f t="shared" si="57"/>
        <v>0</v>
      </c>
      <c r="G193" s="191">
        <f t="shared" si="57"/>
        <v>0</v>
      </c>
      <c r="H193" s="191">
        <f t="shared" si="57"/>
        <v>0</v>
      </c>
      <c r="I193" s="191">
        <f t="shared" si="57"/>
        <v>0</v>
      </c>
      <c r="J193" s="191">
        <f t="shared" si="57"/>
        <v>0</v>
      </c>
      <c r="K193" s="191">
        <f t="shared" si="57"/>
        <v>0</v>
      </c>
      <c r="L193" s="191">
        <f t="shared" si="57"/>
        <v>0</v>
      </c>
      <c r="M193" s="191">
        <f t="shared" si="57"/>
        <v>0</v>
      </c>
      <c r="N193" s="191">
        <f t="shared" si="57"/>
        <v>0</v>
      </c>
      <c r="O193" s="191">
        <f t="shared" si="57"/>
        <v>0</v>
      </c>
      <c r="P193" s="191">
        <f t="shared" si="57"/>
        <v>0</v>
      </c>
      <c r="Q193" s="191">
        <f t="shared" si="57"/>
        <v>0</v>
      </c>
      <c r="R193" s="191">
        <f t="shared" si="57"/>
        <v>0</v>
      </c>
      <c r="S193" s="191">
        <f t="shared" si="56"/>
        <v>0</v>
      </c>
      <c r="T193" s="191">
        <f t="shared" si="56"/>
        <v>0</v>
      </c>
      <c r="U193" s="191">
        <f t="shared" si="56"/>
        <v>0</v>
      </c>
      <c r="V193" s="191">
        <f t="shared" si="56"/>
        <v>0</v>
      </c>
      <c r="W193" s="191">
        <f t="shared" si="56"/>
        <v>0</v>
      </c>
      <c r="X193" s="191">
        <f t="shared" si="56"/>
        <v>0</v>
      </c>
      <c r="Y193" s="191">
        <f t="shared" si="56"/>
        <v>0</v>
      </c>
      <c r="Z193" s="191">
        <f t="shared" si="56"/>
        <v>0</v>
      </c>
      <c r="AA193" s="191">
        <f t="shared" si="56"/>
        <v>0</v>
      </c>
      <c r="AB193" s="191">
        <f t="shared" si="56"/>
        <v>0</v>
      </c>
      <c r="AC193" s="191">
        <f t="shared" si="56"/>
        <v>0</v>
      </c>
      <c r="AD193" s="191">
        <f t="shared" si="56"/>
        <v>0</v>
      </c>
      <c r="AE193" s="191">
        <f t="shared" si="56"/>
        <v>0</v>
      </c>
      <c r="AF193" s="204">
        <f t="shared" si="56"/>
        <v>0</v>
      </c>
      <c r="AG193" s="216">
        <v>8.5</v>
      </c>
      <c r="AH193" s="46"/>
      <c r="AI193" s="47"/>
      <c r="AK193" s="49"/>
    </row>
    <row r="194" spans="1:37" x14ac:dyDescent="0.25">
      <c r="A194" s="73" t="s">
        <v>245</v>
      </c>
      <c r="B194" s="191">
        <v>0</v>
      </c>
      <c r="C194" s="191">
        <f t="shared" si="57"/>
        <v>0</v>
      </c>
      <c r="D194" s="191">
        <f t="shared" si="57"/>
        <v>0</v>
      </c>
      <c r="E194" s="191">
        <f t="shared" si="57"/>
        <v>0</v>
      </c>
      <c r="F194" s="191">
        <f t="shared" si="57"/>
        <v>0</v>
      </c>
      <c r="G194" s="191">
        <f t="shared" si="57"/>
        <v>0</v>
      </c>
      <c r="H194" s="191">
        <f t="shared" si="57"/>
        <v>0</v>
      </c>
      <c r="I194" s="191">
        <f t="shared" si="57"/>
        <v>0</v>
      </c>
      <c r="J194" s="191">
        <f t="shared" si="57"/>
        <v>0</v>
      </c>
      <c r="K194" s="191">
        <f t="shared" si="57"/>
        <v>0</v>
      </c>
      <c r="L194" s="191">
        <f t="shared" si="57"/>
        <v>0</v>
      </c>
      <c r="M194" s="191">
        <f t="shared" si="57"/>
        <v>0</v>
      </c>
      <c r="N194" s="191">
        <f t="shared" si="57"/>
        <v>0</v>
      </c>
      <c r="O194" s="191">
        <f t="shared" si="57"/>
        <v>0</v>
      </c>
      <c r="P194" s="191">
        <f t="shared" si="57"/>
        <v>0</v>
      </c>
      <c r="Q194" s="191">
        <f t="shared" si="57"/>
        <v>0</v>
      </c>
      <c r="R194" s="191">
        <f t="shared" si="57"/>
        <v>0</v>
      </c>
      <c r="S194" s="191">
        <f t="shared" si="56"/>
        <v>0</v>
      </c>
      <c r="T194" s="191">
        <f t="shared" si="56"/>
        <v>0</v>
      </c>
      <c r="U194" s="191">
        <f t="shared" si="56"/>
        <v>0</v>
      </c>
      <c r="V194" s="191">
        <f t="shared" si="56"/>
        <v>0</v>
      </c>
      <c r="W194" s="191">
        <f t="shared" si="56"/>
        <v>0</v>
      </c>
      <c r="X194" s="191">
        <f t="shared" si="56"/>
        <v>0</v>
      </c>
      <c r="Y194" s="191">
        <f t="shared" si="56"/>
        <v>0</v>
      </c>
      <c r="Z194" s="191">
        <f t="shared" si="56"/>
        <v>0</v>
      </c>
      <c r="AA194" s="191">
        <f t="shared" si="56"/>
        <v>0</v>
      </c>
      <c r="AB194" s="191">
        <f t="shared" si="56"/>
        <v>0</v>
      </c>
      <c r="AC194" s="191">
        <f t="shared" si="56"/>
        <v>0</v>
      </c>
      <c r="AD194" s="191">
        <f t="shared" si="56"/>
        <v>0</v>
      </c>
      <c r="AE194" s="191">
        <f t="shared" si="56"/>
        <v>0</v>
      </c>
      <c r="AF194" s="204">
        <f t="shared" si="56"/>
        <v>0</v>
      </c>
      <c r="AG194" s="216">
        <v>8.4</v>
      </c>
      <c r="AH194" s="46"/>
      <c r="AI194" s="47"/>
      <c r="AK194" s="49"/>
    </row>
    <row r="195" spans="1:37" x14ac:dyDescent="0.25">
      <c r="A195" s="73" t="s">
        <v>246</v>
      </c>
      <c r="B195" s="191">
        <v>0</v>
      </c>
      <c r="C195" s="191">
        <f t="shared" si="57"/>
        <v>0</v>
      </c>
      <c r="D195" s="191">
        <f t="shared" si="57"/>
        <v>0</v>
      </c>
      <c r="E195" s="191">
        <f t="shared" si="57"/>
        <v>0</v>
      </c>
      <c r="F195" s="191">
        <f t="shared" si="57"/>
        <v>0</v>
      </c>
      <c r="G195" s="191">
        <f t="shared" si="57"/>
        <v>0</v>
      </c>
      <c r="H195" s="191">
        <f t="shared" si="57"/>
        <v>0</v>
      </c>
      <c r="I195" s="191">
        <f t="shared" si="57"/>
        <v>0</v>
      </c>
      <c r="J195" s="191">
        <f t="shared" si="57"/>
        <v>0</v>
      </c>
      <c r="K195" s="191">
        <f t="shared" si="57"/>
        <v>0</v>
      </c>
      <c r="L195" s="191">
        <f t="shared" si="57"/>
        <v>0</v>
      </c>
      <c r="M195" s="191">
        <f t="shared" si="57"/>
        <v>0</v>
      </c>
      <c r="N195" s="191">
        <f t="shared" si="57"/>
        <v>0</v>
      </c>
      <c r="O195" s="191">
        <f t="shared" si="57"/>
        <v>0</v>
      </c>
      <c r="P195" s="191">
        <f t="shared" si="57"/>
        <v>0</v>
      </c>
      <c r="Q195" s="191">
        <f t="shared" si="57"/>
        <v>0</v>
      </c>
      <c r="R195" s="191">
        <f t="shared" si="57"/>
        <v>0</v>
      </c>
      <c r="S195" s="191">
        <f t="shared" si="56"/>
        <v>0</v>
      </c>
      <c r="T195" s="191">
        <f t="shared" si="56"/>
        <v>0</v>
      </c>
      <c r="U195" s="191">
        <f t="shared" si="56"/>
        <v>0</v>
      </c>
      <c r="V195" s="191">
        <f t="shared" si="56"/>
        <v>0</v>
      </c>
      <c r="W195" s="191">
        <f t="shared" si="56"/>
        <v>0</v>
      </c>
      <c r="X195" s="191">
        <f t="shared" si="56"/>
        <v>0</v>
      </c>
      <c r="Y195" s="191">
        <f t="shared" si="56"/>
        <v>0</v>
      </c>
      <c r="Z195" s="191">
        <f t="shared" si="56"/>
        <v>0</v>
      </c>
      <c r="AA195" s="191">
        <f t="shared" si="56"/>
        <v>0</v>
      </c>
      <c r="AB195" s="191">
        <f t="shared" si="56"/>
        <v>0</v>
      </c>
      <c r="AC195" s="191">
        <f t="shared" si="56"/>
        <v>0</v>
      </c>
      <c r="AD195" s="191">
        <f t="shared" si="56"/>
        <v>0</v>
      </c>
      <c r="AE195" s="191">
        <f t="shared" si="56"/>
        <v>0</v>
      </c>
      <c r="AF195" s="204">
        <f t="shared" si="56"/>
        <v>0</v>
      </c>
      <c r="AG195" s="216">
        <v>8</v>
      </c>
      <c r="AH195" s="46"/>
      <c r="AI195" s="47"/>
      <c r="AK195" s="49"/>
    </row>
    <row r="196" spans="1:37" x14ac:dyDescent="0.25">
      <c r="A196" s="73" t="s">
        <v>247</v>
      </c>
      <c r="B196" s="191">
        <v>0</v>
      </c>
      <c r="C196" s="191">
        <f t="shared" si="57"/>
        <v>0</v>
      </c>
      <c r="D196" s="191">
        <f t="shared" si="57"/>
        <v>0</v>
      </c>
      <c r="E196" s="191">
        <f t="shared" si="57"/>
        <v>0</v>
      </c>
      <c r="F196" s="191">
        <f t="shared" si="57"/>
        <v>0</v>
      </c>
      <c r="G196" s="191">
        <f t="shared" si="57"/>
        <v>0</v>
      </c>
      <c r="H196" s="191">
        <f t="shared" si="57"/>
        <v>0</v>
      </c>
      <c r="I196" s="191">
        <f t="shared" si="57"/>
        <v>0</v>
      </c>
      <c r="J196" s="191">
        <f t="shared" si="57"/>
        <v>0</v>
      </c>
      <c r="K196" s="191">
        <f t="shared" si="57"/>
        <v>0</v>
      </c>
      <c r="L196" s="191">
        <f t="shared" si="57"/>
        <v>0</v>
      </c>
      <c r="M196" s="191">
        <f t="shared" si="57"/>
        <v>0</v>
      </c>
      <c r="N196" s="191">
        <f t="shared" si="57"/>
        <v>0</v>
      </c>
      <c r="O196" s="191">
        <f t="shared" si="57"/>
        <v>0</v>
      </c>
      <c r="P196" s="191">
        <f t="shared" si="57"/>
        <v>0</v>
      </c>
      <c r="Q196" s="191">
        <f t="shared" si="57"/>
        <v>0</v>
      </c>
      <c r="R196" s="191">
        <f t="shared" si="57"/>
        <v>0</v>
      </c>
      <c r="S196" s="191">
        <f t="shared" si="56"/>
        <v>0</v>
      </c>
      <c r="T196" s="191">
        <f t="shared" si="56"/>
        <v>0</v>
      </c>
      <c r="U196" s="191">
        <f t="shared" si="56"/>
        <v>0</v>
      </c>
      <c r="V196" s="191">
        <f t="shared" si="56"/>
        <v>0</v>
      </c>
      <c r="W196" s="191">
        <f t="shared" si="56"/>
        <v>0</v>
      </c>
      <c r="X196" s="191">
        <f t="shared" si="56"/>
        <v>0</v>
      </c>
      <c r="Y196" s="191">
        <f t="shared" si="56"/>
        <v>0</v>
      </c>
      <c r="Z196" s="191">
        <f t="shared" si="56"/>
        <v>0</v>
      </c>
      <c r="AA196" s="191">
        <f t="shared" si="56"/>
        <v>0</v>
      </c>
      <c r="AB196" s="191">
        <f t="shared" si="56"/>
        <v>0</v>
      </c>
      <c r="AC196" s="191">
        <f t="shared" si="56"/>
        <v>0</v>
      </c>
      <c r="AD196" s="191">
        <f t="shared" si="56"/>
        <v>0</v>
      </c>
      <c r="AE196" s="191">
        <f t="shared" si="56"/>
        <v>0</v>
      </c>
      <c r="AF196" s="204">
        <f t="shared" si="56"/>
        <v>0</v>
      </c>
      <c r="AG196" s="216">
        <v>8</v>
      </c>
      <c r="AH196" s="46"/>
      <c r="AI196" s="47"/>
      <c r="AK196" s="49"/>
    </row>
    <row r="197" spans="1:37" x14ac:dyDescent="0.25">
      <c r="A197" s="73" t="s">
        <v>248</v>
      </c>
      <c r="B197" s="191">
        <v>0</v>
      </c>
      <c r="C197" s="191">
        <f t="shared" si="57"/>
        <v>0</v>
      </c>
      <c r="D197" s="191">
        <f t="shared" si="57"/>
        <v>0</v>
      </c>
      <c r="E197" s="191">
        <f t="shared" si="57"/>
        <v>0</v>
      </c>
      <c r="F197" s="191">
        <f t="shared" si="57"/>
        <v>0</v>
      </c>
      <c r="G197" s="191">
        <f t="shared" si="57"/>
        <v>0</v>
      </c>
      <c r="H197" s="191">
        <f t="shared" si="57"/>
        <v>0</v>
      </c>
      <c r="I197" s="191">
        <f t="shared" si="57"/>
        <v>0</v>
      </c>
      <c r="J197" s="191">
        <f t="shared" si="57"/>
        <v>0</v>
      </c>
      <c r="K197" s="191">
        <f t="shared" si="57"/>
        <v>0</v>
      </c>
      <c r="L197" s="191">
        <f t="shared" si="57"/>
        <v>0</v>
      </c>
      <c r="M197" s="191">
        <f t="shared" si="57"/>
        <v>0</v>
      </c>
      <c r="N197" s="191">
        <f t="shared" si="57"/>
        <v>0</v>
      </c>
      <c r="O197" s="191">
        <f t="shared" si="57"/>
        <v>0</v>
      </c>
      <c r="P197" s="191">
        <f t="shared" si="57"/>
        <v>0</v>
      </c>
      <c r="Q197" s="191">
        <f t="shared" si="57"/>
        <v>0</v>
      </c>
      <c r="R197" s="191">
        <f t="shared" si="57"/>
        <v>0</v>
      </c>
      <c r="S197" s="191">
        <f t="shared" si="56"/>
        <v>0</v>
      </c>
      <c r="T197" s="191">
        <f t="shared" si="56"/>
        <v>0</v>
      </c>
      <c r="U197" s="191">
        <f t="shared" si="56"/>
        <v>0</v>
      </c>
      <c r="V197" s="191">
        <f t="shared" si="56"/>
        <v>0</v>
      </c>
      <c r="W197" s="191">
        <f t="shared" si="56"/>
        <v>0</v>
      </c>
      <c r="X197" s="191">
        <f t="shared" si="56"/>
        <v>0</v>
      </c>
      <c r="Y197" s="191">
        <f t="shared" si="56"/>
        <v>0</v>
      </c>
      <c r="Z197" s="191">
        <f t="shared" si="56"/>
        <v>0</v>
      </c>
      <c r="AA197" s="191">
        <f t="shared" si="56"/>
        <v>0</v>
      </c>
      <c r="AB197" s="191">
        <f t="shared" si="56"/>
        <v>0</v>
      </c>
      <c r="AC197" s="191">
        <f t="shared" si="56"/>
        <v>0</v>
      </c>
      <c r="AD197" s="191">
        <f t="shared" si="56"/>
        <v>0</v>
      </c>
      <c r="AE197" s="191">
        <f t="shared" si="56"/>
        <v>0</v>
      </c>
      <c r="AF197" s="204">
        <f t="shared" si="56"/>
        <v>0</v>
      </c>
      <c r="AG197" s="216">
        <v>8</v>
      </c>
      <c r="AH197" s="46"/>
      <c r="AI197" s="47"/>
      <c r="AK197" s="49"/>
    </row>
    <row r="198" spans="1:37" x14ac:dyDescent="0.25">
      <c r="A198" s="73" t="s">
        <v>249</v>
      </c>
      <c r="B198" s="191">
        <v>0</v>
      </c>
      <c r="C198" s="191">
        <f t="shared" si="57"/>
        <v>0</v>
      </c>
      <c r="D198" s="191">
        <f t="shared" si="57"/>
        <v>0</v>
      </c>
      <c r="E198" s="191">
        <f t="shared" si="57"/>
        <v>0</v>
      </c>
      <c r="F198" s="191">
        <f t="shared" si="57"/>
        <v>0</v>
      </c>
      <c r="G198" s="191">
        <f t="shared" si="57"/>
        <v>0</v>
      </c>
      <c r="H198" s="191">
        <f t="shared" si="57"/>
        <v>0</v>
      </c>
      <c r="I198" s="191">
        <f t="shared" si="57"/>
        <v>0</v>
      </c>
      <c r="J198" s="191">
        <f t="shared" si="57"/>
        <v>0</v>
      </c>
      <c r="K198" s="191">
        <f t="shared" si="57"/>
        <v>0</v>
      </c>
      <c r="L198" s="191">
        <f t="shared" si="57"/>
        <v>0</v>
      </c>
      <c r="M198" s="191">
        <f t="shared" si="57"/>
        <v>0</v>
      </c>
      <c r="N198" s="191">
        <f t="shared" si="57"/>
        <v>0</v>
      </c>
      <c r="O198" s="191">
        <f t="shared" si="57"/>
        <v>0</v>
      </c>
      <c r="P198" s="191">
        <f t="shared" si="57"/>
        <v>0</v>
      </c>
      <c r="Q198" s="191">
        <f t="shared" si="57"/>
        <v>0</v>
      </c>
      <c r="R198" s="191">
        <f t="shared" si="57"/>
        <v>0</v>
      </c>
      <c r="S198" s="191">
        <f t="shared" si="56"/>
        <v>0</v>
      </c>
      <c r="T198" s="191">
        <f t="shared" si="56"/>
        <v>0</v>
      </c>
      <c r="U198" s="191">
        <f t="shared" si="56"/>
        <v>0</v>
      </c>
      <c r="V198" s="191">
        <f t="shared" si="56"/>
        <v>0</v>
      </c>
      <c r="W198" s="191">
        <f t="shared" si="56"/>
        <v>0</v>
      </c>
      <c r="X198" s="191">
        <f t="shared" si="56"/>
        <v>0</v>
      </c>
      <c r="Y198" s="191">
        <f t="shared" si="56"/>
        <v>0</v>
      </c>
      <c r="Z198" s="191">
        <f t="shared" si="56"/>
        <v>0</v>
      </c>
      <c r="AA198" s="191">
        <f t="shared" si="56"/>
        <v>0</v>
      </c>
      <c r="AB198" s="191">
        <f t="shared" si="56"/>
        <v>0</v>
      </c>
      <c r="AC198" s="191">
        <f t="shared" si="56"/>
        <v>0</v>
      </c>
      <c r="AD198" s="191">
        <f t="shared" si="56"/>
        <v>0</v>
      </c>
      <c r="AE198" s="191">
        <f t="shared" si="56"/>
        <v>0</v>
      </c>
      <c r="AF198" s="204">
        <f t="shared" si="56"/>
        <v>0</v>
      </c>
      <c r="AG198" s="216">
        <v>7.8</v>
      </c>
      <c r="AH198" s="46"/>
      <c r="AI198" s="47"/>
      <c r="AK198" s="49"/>
    </row>
    <row r="199" spans="1:37" x14ac:dyDescent="0.25">
      <c r="A199" s="73" t="s">
        <v>250</v>
      </c>
      <c r="B199" s="191">
        <v>0</v>
      </c>
      <c r="C199" s="191">
        <f t="shared" si="57"/>
        <v>0</v>
      </c>
      <c r="D199" s="191">
        <f t="shared" si="57"/>
        <v>0</v>
      </c>
      <c r="E199" s="191">
        <f t="shared" si="57"/>
        <v>0</v>
      </c>
      <c r="F199" s="191">
        <f t="shared" si="57"/>
        <v>0</v>
      </c>
      <c r="G199" s="191">
        <f t="shared" si="57"/>
        <v>0</v>
      </c>
      <c r="H199" s="191">
        <f t="shared" si="57"/>
        <v>0</v>
      </c>
      <c r="I199" s="191">
        <f t="shared" si="57"/>
        <v>0</v>
      </c>
      <c r="J199" s="191">
        <f t="shared" si="57"/>
        <v>0</v>
      </c>
      <c r="K199" s="191">
        <f t="shared" si="57"/>
        <v>0</v>
      </c>
      <c r="L199" s="191">
        <f t="shared" si="57"/>
        <v>0</v>
      </c>
      <c r="M199" s="191">
        <f t="shared" si="57"/>
        <v>0</v>
      </c>
      <c r="N199" s="191">
        <f t="shared" si="57"/>
        <v>0</v>
      </c>
      <c r="O199" s="191">
        <f t="shared" si="57"/>
        <v>0</v>
      </c>
      <c r="P199" s="191">
        <f t="shared" si="57"/>
        <v>0</v>
      </c>
      <c r="Q199" s="191">
        <f t="shared" si="57"/>
        <v>0</v>
      </c>
      <c r="R199" s="191">
        <f t="shared" si="57"/>
        <v>0</v>
      </c>
      <c r="S199" s="191">
        <f t="shared" si="56"/>
        <v>0</v>
      </c>
      <c r="T199" s="191">
        <f t="shared" si="56"/>
        <v>0</v>
      </c>
      <c r="U199" s="191">
        <f t="shared" si="56"/>
        <v>0</v>
      </c>
      <c r="V199" s="191">
        <f t="shared" si="56"/>
        <v>0</v>
      </c>
      <c r="W199" s="191">
        <f t="shared" si="56"/>
        <v>0</v>
      </c>
      <c r="X199" s="191">
        <f t="shared" si="56"/>
        <v>0</v>
      </c>
      <c r="Y199" s="191">
        <f t="shared" si="56"/>
        <v>0</v>
      </c>
      <c r="Z199" s="191">
        <f t="shared" si="56"/>
        <v>0</v>
      </c>
      <c r="AA199" s="191">
        <f t="shared" si="56"/>
        <v>0</v>
      </c>
      <c r="AB199" s="191">
        <f t="shared" si="56"/>
        <v>0</v>
      </c>
      <c r="AC199" s="191">
        <f t="shared" si="56"/>
        <v>0</v>
      </c>
      <c r="AD199" s="191">
        <f t="shared" si="56"/>
        <v>0</v>
      </c>
      <c r="AE199" s="191">
        <f t="shared" si="56"/>
        <v>0</v>
      </c>
      <c r="AF199" s="204">
        <f t="shared" si="56"/>
        <v>0</v>
      </c>
      <c r="AG199" s="216">
        <v>7.6</v>
      </c>
      <c r="AH199" s="46"/>
      <c r="AI199" s="47"/>
      <c r="AK199" s="49"/>
    </row>
    <row r="200" spans="1:37" x14ac:dyDescent="0.25">
      <c r="A200" s="73" t="s">
        <v>251</v>
      </c>
      <c r="B200" s="191">
        <v>0</v>
      </c>
      <c r="C200" s="191">
        <f t="shared" si="57"/>
        <v>0</v>
      </c>
      <c r="D200" s="191">
        <f t="shared" si="57"/>
        <v>0</v>
      </c>
      <c r="E200" s="191">
        <f t="shared" si="57"/>
        <v>0</v>
      </c>
      <c r="F200" s="191">
        <f t="shared" si="57"/>
        <v>0</v>
      </c>
      <c r="G200" s="191">
        <f t="shared" si="57"/>
        <v>0</v>
      </c>
      <c r="H200" s="191">
        <f t="shared" si="57"/>
        <v>0</v>
      </c>
      <c r="I200" s="191">
        <f t="shared" si="57"/>
        <v>0</v>
      </c>
      <c r="J200" s="191">
        <f t="shared" si="57"/>
        <v>0</v>
      </c>
      <c r="K200" s="191">
        <f t="shared" si="57"/>
        <v>0</v>
      </c>
      <c r="L200" s="191">
        <f t="shared" si="57"/>
        <v>0</v>
      </c>
      <c r="M200" s="191">
        <f t="shared" si="57"/>
        <v>0</v>
      </c>
      <c r="N200" s="191">
        <f t="shared" si="57"/>
        <v>0</v>
      </c>
      <c r="O200" s="191">
        <f t="shared" si="57"/>
        <v>0</v>
      </c>
      <c r="P200" s="191">
        <f t="shared" si="57"/>
        <v>0</v>
      </c>
      <c r="Q200" s="191">
        <f t="shared" si="57"/>
        <v>0</v>
      </c>
      <c r="R200" s="191">
        <f t="shared" si="57"/>
        <v>0</v>
      </c>
      <c r="S200" s="191">
        <f t="shared" si="56"/>
        <v>0</v>
      </c>
      <c r="T200" s="191">
        <f t="shared" si="56"/>
        <v>0</v>
      </c>
      <c r="U200" s="191">
        <f t="shared" si="56"/>
        <v>0</v>
      </c>
      <c r="V200" s="191">
        <f t="shared" si="56"/>
        <v>0</v>
      </c>
      <c r="W200" s="191">
        <f t="shared" si="56"/>
        <v>0</v>
      </c>
      <c r="X200" s="191">
        <f t="shared" si="56"/>
        <v>0</v>
      </c>
      <c r="Y200" s="191">
        <f t="shared" si="56"/>
        <v>0</v>
      </c>
      <c r="Z200" s="191">
        <f t="shared" si="56"/>
        <v>0</v>
      </c>
      <c r="AA200" s="191">
        <f t="shared" si="56"/>
        <v>0</v>
      </c>
      <c r="AB200" s="191">
        <f t="shared" si="56"/>
        <v>0</v>
      </c>
      <c r="AC200" s="191">
        <f t="shared" si="56"/>
        <v>0</v>
      </c>
      <c r="AD200" s="191">
        <f t="shared" si="56"/>
        <v>0</v>
      </c>
      <c r="AE200" s="191">
        <f t="shared" si="56"/>
        <v>0</v>
      </c>
      <c r="AF200" s="204">
        <f t="shared" si="56"/>
        <v>0</v>
      </c>
      <c r="AG200" s="216">
        <v>7.5</v>
      </c>
      <c r="AH200" s="46"/>
      <c r="AI200" s="47"/>
      <c r="AK200" s="49"/>
    </row>
    <row r="201" spans="1:37" x14ac:dyDescent="0.25">
      <c r="A201" s="73" t="s">
        <v>252</v>
      </c>
      <c r="B201" s="191">
        <v>0</v>
      </c>
      <c r="C201" s="191">
        <f t="shared" si="57"/>
        <v>0</v>
      </c>
      <c r="D201" s="191">
        <f t="shared" si="57"/>
        <v>0</v>
      </c>
      <c r="E201" s="191">
        <f t="shared" si="57"/>
        <v>0</v>
      </c>
      <c r="F201" s="191">
        <f t="shared" si="57"/>
        <v>0</v>
      </c>
      <c r="G201" s="191">
        <f t="shared" si="57"/>
        <v>0</v>
      </c>
      <c r="H201" s="191">
        <f t="shared" si="57"/>
        <v>0</v>
      </c>
      <c r="I201" s="191">
        <f t="shared" si="57"/>
        <v>0</v>
      </c>
      <c r="J201" s="191">
        <f t="shared" si="57"/>
        <v>0</v>
      </c>
      <c r="K201" s="191">
        <f t="shared" si="57"/>
        <v>0</v>
      </c>
      <c r="L201" s="191">
        <f t="shared" si="57"/>
        <v>0</v>
      </c>
      <c r="M201" s="191">
        <f t="shared" si="57"/>
        <v>0</v>
      </c>
      <c r="N201" s="191">
        <f t="shared" si="57"/>
        <v>0</v>
      </c>
      <c r="O201" s="191">
        <f t="shared" si="57"/>
        <v>0</v>
      </c>
      <c r="P201" s="191">
        <f t="shared" si="57"/>
        <v>0</v>
      </c>
      <c r="Q201" s="191">
        <f t="shared" si="57"/>
        <v>0</v>
      </c>
      <c r="R201" s="191">
        <f t="shared" ref="R201:AF216" si="58">Q201</f>
        <v>0</v>
      </c>
      <c r="S201" s="191">
        <f t="shared" si="58"/>
        <v>0</v>
      </c>
      <c r="T201" s="191">
        <f t="shared" si="58"/>
        <v>0</v>
      </c>
      <c r="U201" s="191">
        <f t="shared" si="58"/>
        <v>0</v>
      </c>
      <c r="V201" s="191">
        <f t="shared" si="58"/>
        <v>0</v>
      </c>
      <c r="W201" s="191">
        <f t="shared" si="58"/>
        <v>0</v>
      </c>
      <c r="X201" s="191">
        <f t="shared" si="58"/>
        <v>0</v>
      </c>
      <c r="Y201" s="191">
        <f t="shared" si="58"/>
        <v>0</v>
      </c>
      <c r="Z201" s="191">
        <f t="shared" si="58"/>
        <v>0</v>
      </c>
      <c r="AA201" s="191">
        <f t="shared" si="58"/>
        <v>0</v>
      </c>
      <c r="AB201" s="191">
        <f t="shared" si="58"/>
        <v>0</v>
      </c>
      <c r="AC201" s="191">
        <f t="shared" si="58"/>
        <v>0</v>
      </c>
      <c r="AD201" s="191">
        <f t="shared" si="58"/>
        <v>0</v>
      </c>
      <c r="AE201" s="191">
        <f t="shared" si="58"/>
        <v>0</v>
      </c>
      <c r="AF201" s="204">
        <f t="shared" si="58"/>
        <v>0</v>
      </c>
      <c r="AG201" s="216">
        <v>7.5</v>
      </c>
      <c r="AH201" s="46"/>
      <c r="AI201" s="47"/>
      <c r="AK201" s="49"/>
    </row>
    <row r="202" spans="1:37" x14ac:dyDescent="0.25">
      <c r="A202" s="73" t="s">
        <v>253</v>
      </c>
      <c r="B202" s="191">
        <v>0</v>
      </c>
      <c r="C202" s="191">
        <f t="shared" ref="C202:R217" si="59">B202</f>
        <v>0</v>
      </c>
      <c r="D202" s="191">
        <f t="shared" si="59"/>
        <v>0</v>
      </c>
      <c r="E202" s="191">
        <f t="shared" si="59"/>
        <v>0</v>
      </c>
      <c r="F202" s="191">
        <f t="shared" si="59"/>
        <v>0</v>
      </c>
      <c r="G202" s="191">
        <f t="shared" si="59"/>
        <v>0</v>
      </c>
      <c r="H202" s="191">
        <f t="shared" si="59"/>
        <v>0</v>
      </c>
      <c r="I202" s="191">
        <f t="shared" si="59"/>
        <v>0</v>
      </c>
      <c r="J202" s="191">
        <f t="shared" si="59"/>
        <v>0</v>
      </c>
      <c r="K202" s="191">
        <f t="shared" si="59"/>
        <v>0</v>
      </c>
      <c r="L202" s="191">
        <f t="shared" si="59"/>
        <v>0</v>
      </c>
      <c r="M202" s="191">
        <f t="shared" si="59"/>
        <v>0</v>
      </c>
      <c r="N202" s="191">
        <f t="shared" si="59"/>
        <v>0</v>
      </c>
      <c r="O202" s="191">
        <f t="shared" si="59"/>
        <v>0</v>
      </c>
      <c r="P202" s="191">
        <f t="shared" si="59"/>
        <v>0</v>
      </c>
      <c r="Q202" s="191">
        <f t="shared" si="59"/>
        <v>0</v>
      </c>
      <c r="R202" s="191">
        <f t="shared" si="59"/>
        <v>0</v>
      </c>
      <c r="S202" s="191">
        <f t="shared" si="58"/>
        <v>0</v>
      </c>
      <c r="T202" s="191">
        <f t="shared" si="58"/>
        <v>0</v>
      </c>
      <c r="U202" s="191">
        <f t="shared" si="58"/>
        <v>0</v>
      </c>
      <c r="V202" s="191">
        <f t="shared" si="58"/>
        <v>0</v>
      </c>
      <c r="W202" s="191">
        <f t="shared" si="58"/>
        <v>0</v>
      </c>
      <c r="X202" s="191">
        <f t="shared" si="58"/>
        <v>0</v>
      </c>
      <c r="Y202" s="191">
        <f t="shared" si="58"/>
        <v>0</v>
      </c>
      <c r="Z202" s="191">
        <f t="shared" si="58"/>
        <v>0</v>
      </c>
      <c r="AA202" s="191">
        <f t="shared" si="58"/>
        <v>0</v>
      </c>
      <c r="AB202" s="191">
        <f t="shared" si="58"/>
        <v>0</v>
      </c>
      <c r="AC202" s="191">
        <f t="shared" si="58"/>
        <v>0</v>
      </c>
      <c r="AD202" s="191">
        <f t="shared" si="58"/>
        <v>0</v>
      </c>
      <c r="AE202" s="191">
        <f t="shared" si="58"/>
        <v>0</v>
      </c>
      <c r="AF202" s="204">
        <f t="shared" si="58"/>
        <v>0</v>
      </c>
      <c r="AG202" s="216">
        <v>7</v>
      </c>
      <c r="AH202" s="46"/>
      <c r="AI202" s="47"/>
      <c r="AK202" s="49"/>
    </row>
    <row r="203" spans="1:37" x14ac:dyDescent="0.25">
      <c r="A203" s="73" t="s">
        <v>254</v>
      </c>
      <c r="B203" s="191">
        <v>0</v>
      </c>
      <c r="C203" s="191">
        <f t="shared" si="59"/>
        <v>0</v>
      </c>
      <c r="D203" s="191">
        <f t="shared" si="59"/>
        <v>0</v>
      </c>
      <c r="E203" s="191">
        <f t="shared" si="59"/>
        <v>0</v>
      </c>
      <c r="F203" s="191">
        <f t="shared" si="59"/>
        <v>0</v>
      </c>
      <c r="G203" s="191">
        <f t="shared" si="59"/>
        <v>0</v>
      </c>
      <c r="H203" s="191">
        <f t="shared" si="59"/>
        <v>0</v>
      </c>
      <c r="I203" s="191">
        <f t="shared" si="59"/>
        <v>0</v>
      </c>
      <c r="J203" s="191">
        <f t="shared" si="59"/>
        <v>0</v>
      </c>
      <c r="K203" s="191">
        <f t="shared" si="59"/>
        <v>0</v>
      </c>
      <c r="L203" s="191">
        <f t="shared" si="59"/>
        <v>0</v>
      </c>
      <c r="M203" s="191">
        <f t="shared" si="59"/>
        <v>0</v>
      </c>
      <c r="N203" s="191">
        <f t="shared" si="59"/>
        <v>0</v>
      </c>
      <c r="O203" s="191">
        <f t="shared" si="59"/>
        <v>0</v>
      </c>
      <c r="P203" s="191">
        <f t="shared" si="59"/>
        <v>0</v>
      </c>
      <c r="Q203" s="191">
        <f t="shared" si="59"/>
        <v>0</v>
      </c>
      <c r="R203" s="191">
        <f t="shared" si="59"/>
        <v>0</v>
      </c>
      <c r="S203" s="191">
        <f t="shared" si="58"/>
        <v>0</v>
      </c>
      <c r="T203" s="191">
        <f t="shared" si="58"/>
        <v>0</v>
      </c>
      <c r="U203" s="191">
        <f t="shared" si="58"/>
        <v>0</v>
      </c>
      <c r="V203" s="191">
        <f t="shared" si="58"/>
        <v>0</v>
      </c>
      <c r="W203" s="191">
        <f t="shared" si="58"/>
        <v>0</v>
      </c>
      <c r="X203" s="191">
        <f t="shared" si="58"/>
        <v>0</v>
      </c>
      <c r="Y203" s="191">
        <f t="shared" si="58"/>
        <v>0</v>
      </c>
      <c r="Z203" s="191">
        <f t="shared" si="58"/>
        <v>0</v>
      </c>
      <c r="AA203" s="191">
        <f t="shared" si="58"/>
        <v>0</v>
      </c>
      <c r="AB203" s="191">
        <f t="shared" si="58"/>
        <v>0</v>
      </c>
      <c r="AC203" s="191">
        <f t="shared" si="58"/>
        <v>0</v>
      </c>
      <c r="AD203" s="191">
        <f t="shared" si="58"/>
        <v>0</v>
      </c>
      <c r="AE203" s="191">
        <f t="shared" si="58"/>
        <v>0</v>
      </c>
      <c r="AF203" s="204">
        <f t="shared" si="58"/>
        <v>0</v>
      </c>
      <c r="AG203" s="216">
        <v>7</v>
      </c>
      <c r="AH203" s="46"/>
      <c r="AI203" s="47"/>
      <c r="AK203" s="49"/>
    </row>
    <row r="204" spans="1:37" x14ac:dyDescent="0.25">
      <c r="A204" s="73" t="s">
        <v>255</v>
      </c>
      <c r="B204" s="191">
        <v>0</v>
      </c>
      <c r="C204" s="191">
        <f t="shared" si="59"/>
        <v>0</v>
      </c>
      <c r="D204" s="191">
        <f t="shared" si="59"/>
        <v>0</v>
      </c>
      <c r="E204" s="191">
        <f t="shared" si="59"/>
        <v>0</v>
      </c>
      <c r="F204" s="191">
        <f t="shared" si="59"/>
        <v>0</v>
      </c>
      <c r="G204" s="191">
        <f t="shared" si="59"/>
        <v>0</v>
      </c>
      <c r="H204" s="191">
        <f t="shared" si="59"/>
        <v>0</v>
      </c>
      <c r="I204" s="191">
        <f t="shared" si="59"/>
        <v>0</v>
      </c>
      <c r="J204" s="191">
        <f t="shared" si="59"/>
        <v>0</v>
      </c>
      <c r="K204" s="191">
        <f t="shared" si="59"/>
        <v>0</v>
      </c>
      <c r="L204" s="191">
        <f t="shared" si="59"/>
        <v>0</v>
      </c>
      <c r="M204" s="191">
        <f t="shared" si="59"/>
        <v>0</v>
      </c>
      <c r="N204" s="191">
        <f t="shared" si="59"/>
        <v>0</v>
      </c>
      <c r="O204" s="191">
        <f t="shared" si="59"/>
        <v>0</v>
      </c>
      <c r="P204" s="191">
        <f t="shared" si="59"/>
        <v>0</v>
      </c>
      <c r="Q204" s="191">
        <f t="shared" si="59"/>
        <v>0</v>
      </c>
      <c r="R204" s="191">
        <f t="shared" si="59"/>
        <v>0</v>
      </c>
      <c r="S204" s="191">
        <f t="shared" si="58"/>
        <v>0</v>
      </c>
      <c r="T204" s="191">
        <f t="shared" si="58"/>
        <v>0</v>
      </c>
      <c r="U204" s="191">
        <f t="shared" si="58"/>
        <v>0</v>
      </c>
      <c r="V204" s="191">
        <f t="shared" si="58"/>
        <v>0</v>
      </c>
      <c r="W204" s="191">
        <f t="shared" si="58"/>
        <v>0</v>
      </c>
      <c r="X204" s="191">
        <f t="shared" si="58"/>
        <v>0</v>
      </c>
      <c r="Y204" s="191">
        <f t="shared" si="58"/>
        <v>0</v>
      </c>
      <c r="Z204" s="191">
        <f t="shared" si="58"/>
        <v>0</v>
      </c>
      <c r="AA204" s="191">
        <f t="shared" si="58"/>
        <v>0</v>
      </c>
      <c r="AB204" s="191">
        <f t="shared" si="58"/>
        <v>0</v>
      </c>
      <c r="AC204" s="191">
        <f t="shared" si="58"/>
        <v>0</v>
      </c>
      <c r="AD204" s="191">
        <f t="shared" si="58"/>
        <v>0</v>
      </c>
      <c r="AE204" s="191">
        <f t="shared" si="58"/>
        <v>0</v>
      </c>
      <c r="AF204" s="204">
        <f t="shared" si="58"/>
        <v>0</v>
      </c>
      <c r="AG204" s="216">
        <v>7</v>
      </c>
      <c r="AH204" s="46"/>
      <c r="AI204" s="47"/>
      <c r="AK204" s="49"/>
    </row>
    <row r="205" spans="1:37" x14ac:dyDescent="0.25">
      <c r="A205" s="73" t="s">
        <v>256</v>
      </c>
      <c r="B205" s="191">
        <v>0</v>
      </c>
      <c r="C205" s="191">
        <f t="shared" si="59"/>
        <v>0</v>
      </c>
      <c r="D205" s="191">
        <f t="shared" si="59"/>
        <v>0</v>
      </c>
      <c r="E205" s="191">
        <f t="shared" si="59"/>
        <v>0</v>
      </c>
      <c r="F205" s="191">
        <f t="shared" si="59"/>
        <v>0</v>
      </c>
      <c r="G205" s="191">
        <f t="shared" si="59"/>
        <v>0</v>
      </c>
      <c r="H205" s="191">
        <f t="shared" si="59"/>
        <v>0</v>
      </c>
      <c r="I205" s="191">
        <f t="shared" si="59"/>
        <v>0</v>
      </c>
      <c r="J205" s="191">
        <f t="shared" si="59"/>
        <v>0</v>
      </c>
      <c r="K205" s="191">
        <f t="shared" si="59"/>
        <v>0</v>
      </c>
      <c r="L205" s="191">
        <f t="shared" si="59"/>
        <v>0</v>
      </c>
      <c r="M205" s="191">
        <f t="shared" si="59"/>
        <v>0</v>
      </c>
      <c r="N205" s="191">
        <f t="shared" si="59"/>
        <v>0</v>
      </c>
      <c r="O205" s="191">
        <f t="shared" si="59"/>
        <v>0</v>
      </c>
      <c r="P205" s="191">
        <f t="shared" si="59"/>
        <v>0</v>
      </c>
      <c r="Q205" s="191">
        <f t="shared" si="59"/>
        <v>0</v>
      </c>
      <c r="R205" s="191">
        <f t="shared" si="59"/>
        <v>0</v>
      </c>
      <c r="S205" s="191">
        <f t="shared" si="58"/>
        <v>0</v>
      </c>
      <c r="T205" s="191">
        <f t="shared" si="58"/>
        <v>0</v>
      </c>
      <c r="U205" s="191">
        <f t="shared" si="58"/>
        <v>0</v>
      </c>
      <c r="V205" s="191">
        <f t="shared" si="58"/>
        <v>0</v>
      </c>
      <c r="W205" s="191">
        <f t="shared" si="58"/>
        <v>0</v>
      </c>
      <c r="X205" s="191">
        <f t="shared" si="58"/>
        <v>0</v>
      </c>
      <c r="Y205" s="191">
        <f t="shared" si="58"/>
        <v>0</v>
      </c>
      <c r="Z205" s="191">
        <f t="shared" si="58"/>
        <v>0</v>
      </c>
      <c r="AA205" s="191">
        <f t="shared" si="58"/>
        <v>0</v>
      </c>
      <c r="AB205" s="191">
        <f t="shared" si="58"/>
        <v>0</v>
      </c>
      <c r="AC205" s="191">
        <f t="shared" si="58"/>
        <v>0</v>
      </c>
      <c r="AD205" s="191">
        <f t="shared" si="58"/>
        <v>0</v>
      </c>
      <c r="AE205" s="191">
        <f t="shared" si="58"/>
        <v>0</v>
      </c>
      <c r="AF205" s="204">
        <f t="shared" si="58"/>
        <v>0</v>
      </c>
      <c r="AG205" s="216">
        <v>7</v>
      </c>
      <c r="AH205" s="46"/>
      <c r="AI205" s="47"/>
      <c r="AK205" s="49"/>
    </row>
    <row r="206" spans="1:37" x14ac:dyDescent="0.25">
      <c r="A206" s="73" t="s">
        <v>257</v>
      </c>
      <c r="B206" s="191">
        <v>0</v>
      </c>
      <c r="C206" s="191">
        <f t="shared" si="59"/>
        <v>0</v>
      </c>
      <c r="D206" s="191">
        <f t="shared" si="59"/>
        <v>0</v>
      </c>
      <c r="E206" s="191">
        <f t="shared" si="59"/>
        <v>0</v>
      </c>
      <c r="F206" s="191">
        <f t="shared" si="59"/>
        <v>0</v>
      </c>
      <c r="G206" s="191">
        <f t="shared" si="59"/>
        <v>0</v>
      </c>
      <c r="H206" s="191">
        <f t="shared" si="59"/>
        <v>0</v>
      </c>
      <c r="I206" s="191">
        <f t="shared" si="59"/>
        <v>0</v>
      </c>
      <c r="J206" s="191">
        <f t="shared" si="59"/>
        <v>0</v>
      </c>
      <c r="K206" s="191">
        <f t="shared" si="59"/>
        <v>0</v>
      </c>
      <c r="L206" s="191">
        <f t="shared" si="59"/>
        <v>0</v>
      </c>
      <c r="M206" s="191">
        <f t="shared" si="59"/>
        <v>0</v>
      </c>
      <c r="N206" s="191">
        <f t="shared" si="59"/>
        <v>0</v>
      </c>
      <c r="O206" s="191">
        <f t="shared" si="59"/>
        <v>0</v>
      </c>
      <c r="P206" s="191">
        <f t="shared" si="59"/>
        <v>0</v>
      </c>
      <c r="Q206" s="191">
        <f t="shared" si="59"/>
        <v>0</v>
      </c>
      <c r="R206" s="191">
        <f t="shared" si="59"/>
        <v>0</v>
      </c>
      <c r="S206" s="191">
        <f t="shared" si="58"/>
        <v>0</v>
      </c>
      <c r="T206" s="191">
        <f t="shared" si="58"/>
        <v>0</v>
      </c>
      <c r="U206" s="191">
        <f t="shared" si="58"/>
        <v>0</v>
      </c>
      <c r="V206" s="191">
        <f t="shared" si="58"/>
        <v>0</v>
      </c>
      <c r="W206" s="191">
        <f t="shared" si="58"/>
        <v>0</v>
      </c>
      <c r="X206" s="191">
        <f t="shared" si="58"/>
        <v>0</v>
      </c>
      <c r="Y206" s="191">
        <f t="shared" si="58"/>
        <v>0</v>
      </c>
      <c r="Z206" s="191">
        <f t="shared" si="58"/>
        <v>0</v>
      </c>
      <c r="AA206" s="191">
        <f t="shared" si="58"/>
        <v>0</v>
      </c>
      <c r="AB206" s="191">
        <f t="shared" si="58"/>
        <v>0</v>
      </c>
      <c r="AC206" s="191">
        <f t="shared" si="58"/>
        <v>0</v>
      </c>
      <c r="AD206" s="191">
        <f t="shared" si="58"/>
        <v>0</v>
      </c>
      <c r="AE206" s="191">
        <f t="shared" si="58"/>
        <v>0</v>
      </c>
      <c r="AF206" s="204">
        <f t="shared" si="58"/>
        <v>0</v>
      </c>
      <c r="AG206" s="216">
        <v>6.6</v>
      </c>
      <c r="AH206" s="46"/>
      <c r="AI206" s="47"/>
      <c r="AK206" s="49"/>
    </row>
    <row r="207" spans="1:37" x14ac:dyDescent="0.25">
      <c r="A207" s="73" t="s">
        <v>258</v>
      </c>
      <c r="B207" s="191">
        <v>0</v>
      </c>
      <c r="C207" s="191">
        <f t="shared" si="59"/>
        <v>0</v>
      </c>
      <c r="D207" s="191">
        <f t="shared" si="59"/>
        <v>0</v>
      </c>
      <c r="E207" s="191">
        <f t="shared" si="59"/>
        <v>0</v>
      </c>
      <c r="F207" s="191">
        <f t="shared" si="59"/>
        <v>0</v>
      </c>
      <c r="G207" s="191">
        <f t="shared" si="59"/>
        <v>0</v>
      </c>
      <c r="H207" s="191">
        <f t="shared" si="59"/>
        <v>0</v>
      </c>
      <c r="I207" s="191">
        <f t="shared" si="59"/>
        <v>0</v>
      </c>
      <c r="J207" s="191">
        <f t="shared" si="59"/>
        <v>0</v>
      </c>
      <c r="K207" s="191">
        <f t="shared" si="59"/>
        <v>0</v>
      </c>
      <c r="L207" s="191">
        <f t="shared" si="59"/>
        <v>0</v>
      </c>
      <c r="M207" s="191">
        <f t="shared" si="59"/>
        <v>0</v>
      </c>
      <c r="N207" s="191">
        <f t="shared" si="59"/>
        <v>0</v>
      </c>
      <c r="O207" s="191">
        <f t="shared" si="59"/>
        <v>0</v>
      </c>
      <c r="P207" s="191">
        <f t="shared" si="59"/>
        <v>0</v>
      </c>
      <c r="Q207" s="191">
        <f t="shared" si="59"/>
        <v>0</v>
      </c>
      <c r="R207" s="191">
        <f t="shared" si="59"/>
        <v>0</v>
      </c>
      <c r="S207" s="191">
        <f t="shared" si="58"/>
        <v>0</v>
      </c>
      <c r="T207" s="191">
        <f t="shared" si="58"/>
        <v>0</v>
      </c>
      <c r="U207" s="191">
        <f t="shared" si="58"/>
        <v>0</v>
      </c>
      <c r="V207" s="191">
        <f t="shared" si="58"/>
        <v>0</v>
      </c>
      <c r="W207" s="191">
        <f t="shared" si="58"/>
        <v>0</v>
      </c>
      <c r="X207" s="191">
        <f t="shared" si="58"/>
        <v>0</v>
      </c>
      <c r="Y207" s="191">
        <f t="shared" si="58"/>
        <v>0</v>
      </c>
      <c r="Z207" s="191">
        <f t="shared" si="58"/>
        <v>0</v>
      </c>
      <c r="AA207" s="191">
        <f t="shared" si="58"/>
        <v>0</v>
      </c>
      <c r="AB207" s="191">
        <f t="shared" si="58"/>
        <v>0</v>
      </c>
      <c r="AC207" s="191">
        <f t="shared" si="58"/>
        <v>0</v>
      </c>
      <c r="AD207" s="191">
        <f t="shared" si="58"/>
        <v>0</v>
      </c>
      <c r="AE207" s="191">
        <f t="shared" si="58"/>
        <v>0</v>
      </c>
      <c r="AF207" s="204">
        <f t="shared" si="58"/>
        <v>0</v>
      </c>
      <c r="AG207" s="216">
        <v>6.6</v>
      </c>
      <c r="AH207" s="46"/>
      <c r="AI207" s="47"/>
      <c r="AK207" s="49"/>
    </row>
    <row r="208" spans="1:37" x14ac:dyDescent="0.25">
      <c r="A208" s="73" t="s">
        <v>259</v>
      </c>
      <c r="B208" s="191">
        <v>0</v>
      </c>
      <c r="C208" s="191">
        <f t="shared" si="59"/>
        <v>0</v>
      </c>
      <c r="D208" s="191">
        <f t="shared" si="59"/>
        <v>0</v>
      </c>
      <c r="E208" s="191">
        <f t="shared" si="59"/>
        <v>0</v>
      </c>
      <c r="F208" s="191">
        <f t="shared" si="59"/>
        <v>0</v>
      </c>
      <c r="G208" s="191">
        <f t="shared" si="59"/>
        <v>0</v>
      </c>
      <c r="H208" s="191">
        <f t="shared" si="59"/>
        <v>0</v>
      </c>
      <c r="I208" s="191">
        <f t="shared" si="59"/>
        <v>0</v>
      </c>
      <c r="J208" s="191">
        <f t="shared" si="59"/>
        <v>0</v>
      </c>
      <c r="K208" s="191">
        <f t="shared" si="59"/>
        <v>0</v>
      </c>
      <c r="L208" s="191">
        <f t="shared" si="59"/>
        <v>0</v>
      </c>
      <c r="M208" s="191">
        <f t="shared" si="59"/>
        <v>0</v>
      </c>
      <c r="N208" s="191">
        <f t="shared" si="59"/>
        <v>0</v>
      </c>
      <c r="O208" s="191">
        <f t="shared" si="59"/>
        <v>0</v>
      </c>
      <c r="P208" s="191">
        <f t="shared" si="59"/>
        <v>0</v>
      </c>
      <c r="Q208" s="191">
        <f t="shared" si="59"/>
        <v>0</v>
      </c>
      <c r="R208" s="191">
        <f t="shared" si="59"/>
        <v>0</v>
      </c>
      <c r="S208" s="191">
        <f t="shared" si="58"/>
        <v>0</v>
      </c>
      <c r="T208" s="191">
        <f t="shared" si="58"/>
        <v>0</v>
      </c>
      <c r="U208" s="191">
        <f t="shared" si="58"/>
        <v>0</v>
      </c>
      <c r="V208" s="191">
        <f t="shared" si="58"/>
        <v>0</v>
      </c>
      <c r="W208" s="191">
        <f t="shared" si="58"/>
        <v>0</v>
      </c>
      <c r="X208" s="191">
        <f t="shared" si="58"/>
        <v>0</v>
      </c>
      <c r="Y208" s="191">
        <f t="shared" si="58"/>
        <v>0</v>
      </c>
      <c r="Z208" s="191">
        <f t="shared" si="58"/>
        <v>0</v>
      </c>
      <c r="AA208" s="191">
        <f t="shared" si="58"/>
        <v>0</v>
      </c>
      <c r="AB208" s="191">
        <f t="shared" si="58"/>
        <v>0</v>
      </c>
      <c r="AC208" s="191">
        <f t="shared" si="58"/>
        <v>0</v>
      </c>
      <c r="AD208" s="191">
        <f t="shared" si="58"/>
        <v>0</v>
      </c>
      <c r="AE208" s="191">
        <f t="shared" si="58"/>
        <v>0</v>
      </c>
      <c r="AF208" s="204">
        <f t="shared" si="58"/>
        <v>0</v>
      </c>
      <c r="AG208" s="216">
        <v>6.4</v>
      </c>
      <c r="AH208" s="46"/>
      <c r="AI208" s="47"/>
      <c r="AK208" s="49"/>
    </row>
    <row r="209" spans="1:37" x14ac:dyDescent="0.25">
      <c r="A209" s="73" t="s">
        <v>260</v>
      </c>
      <c r="B209" s="191">
        <v>0</v>
      </c>
      <c r="C209" s="191">
        <f t="shared" si="59"/>
        <v>0</v>
      </c>
      <c r="D209" s="191">
        <f t="shared" si="59"/>
        <v>0</v>
      </c>
      <c r="E209" s="191">
        <f t="shared" si="59"/>
        <v>0</v>
      </c>
      <c r="F209" s="191">
        <f t="shared" si="59"/>
        <v>0</v>
      </c>
      <c r="G209" s="191">
        <f t="shared" si="59"/>
        <v>0</v>
      </c>
      <c r="H209" s="191">
        <f t="shared" si="59"/>
        <v>0</v>
      </c>
      <c r="I209" s="191">
        <f t="shared" si="59"/>
        <v>0</v>
      </c>
      <c r="J209" s="191">
        <f t="shared" si="59"/>
        <v>0</v>
      </c>
      <c r="K209" s="191">
        <f t="shared" si="59"/>
        <v>0</v>
      </c>
      <c r="L209" s="191">
        <f t="shared" si="59"/>
        <v>0</v>
      </c>
      <c r="M209" s="191">
        <f t="shared" si="59"/>
        <v>0</v>
      </c>
      <c r="N209" s="191">
        <f t="shared" si="59"/>
        <v>0</v>
      </c>
      <c r="O209" s="191">
        <f t="shared" si="59"/>
        <v>0</v>
      </c>
      <c r="P209" s="191">
        <f t="shared" si="59"/>
        <v>0</v>
      </c>
      <c r="Q209" s="191">
        <f t="shared" si="59"/>
        <v>0</v>
      </c>
      <c r="R209" s="191">
        <f t="shared" si="59"/>
        <v>0</v>
      </c>
      <c r="S209" s="191">
        <f t="shared" si="58"/>
        <v>0</v>
      </c>
      <c r="T209" s="191">
        <f t="shared" si="58"/>
        <v>0</v>
      </c>
      <c r="U209" s="191">
        <f t="shared" si="58"/>
        <v>0</v>
      </c>
      <c r="V209" s="191">
        <f t="shared" si="58"/>
        <v>0</v>
      </c>
      <c r="W209" s="191">
        <f t="shared" si="58"/>
        <v>0</v>
      </c>
      <c r="X209" s="191">
        <f t="shared" si="58"/>
        <v>0</v>
      </c>
      <c r="Y209" s="191">
        <f t="shared" si="58"/>
        <v>0</v>
      </c>
      <c r="Z209" s="191">
        <f t="shared" si="58"/>
        <v>0</v>
      </c>
      <c r="AA209" s="191">
        <f t="shared" si="58"/>
        <v>0</v>
      </c>
      <c r="AB209" s="191">
        <f t="shared" si="58"/>
        <v>0</v>
      </c>
      <c r="AC209" s="191">
        <f t="shared" si="58"/>
        <v>0</v>
      </c>
      <c r="AD209" s="191">
        <f t="shared" si="58"/>
        <v>0</v>
      </c>
      <c r="AE209" s="191">
        <f t="shared" si="58"/>
        <v>0</v>
      </c>
      <c r="AF209" s="204">
        <f t="shared" si="58"/>
        <v>0</v>
      </c>
      <c r="AG209" s="216">
        <v>6</v>
      </c>
      <c r="AH209" s="46"/>
      <c r="AI209" s="47"/>
      <c r="AK209" s="49"/>
    </row>
    <row r="210" spans="1:37" x14ac:dyDescent="0.25">
      <c r="A210" s="73" t="s">
        <v>261</v>
      </c>
      <c r="B210" s="191">
        <v>0</v>
      </c>
      <c r="C210" s="191">
        <f t="shared" si="59"/>
        <v>0</v>
      </c>
      <c r="D210" s="191">
        <f t="shared" si="59"/>
        <v>0</v>
      </c>
      <c r="E210" s="191">
        <f t="shared" si="59"/>
        <v>0</v>
      </c>
      <c r="F210" s="191">
        <f t="shared" si="59"/>
        <v>0</v>
      </c>
      <c r="G210" s="191">
        <f t="shared" si="59"/>
        <v>0</v>
      </c>
      <c r="H210" s="191">
        <f t="shared" si="59"/>
        <v>0</v>
      </c>
      <c r="I210" s="191">
        <f t="shared" si="59"/>
        <v>0</v>
      </c>
      <c r="J210" s="191">
        <f t="shared" si="59"/>
        <v>0</v>
      </c>
      <c r="K210" s="191">
        <f t="shared" si="59"/>
        <v>0</v>
      </c>
      <c r="L210" s="191">
        <f t="shared" si="59"/>
        <v>0</v>
      </c>
      <c r="M210" s="191">
        <f t="shared" si="59"/>
        <v>0</v>
      </c>
      <c r="N210" s="191">
        <f t="shared" si="59"/>
        <v>0</v>
      </c>
      <c r="O210" s="191">
        <f t="shared" si="59"/>
        <v>0</v>
      </c>
      <c r="P210" s="191">
        <f t="shared" si="59"/>
        <v>0</v>
      </c>
      <c r="Q210" s="191">
        <f t="shared" si="59"/>
        <v>0</v>
      </c>
      <c r="R210" s="191">
        <f t="shared" si="59"/>
        <v>0</v>
      </c>
      <c r="S210" s="191">
        <f t="shared" si="58"/>
        <v>0</v>
      </c>
      <c r="T210" s="191">
        <f t="shared" si="58"/>
        <v>0</v>
      </c>
      <c r="U210" s="191">
        <f t="shared" si="58"/>
        <v>0</v>
      </c>
      <c r="V210" s="191">
        <f t="shared" si="58"/>
        <v>0</v>
      </c>
      <c r="W210" s="191">
        <f t="shared" si="58"/>
        <v>0</v>
      </c>
      <c r="X210" s="191">
        <f t="shared" si="58"/>
        <v>0</v>
      </c>
      <c r="Y210" s="191">
        <f t="shared" si="58"/>
        <v>0</v>
      </c>
      <c r="Z210" s="191">
        <f t="shared" si="58"/>
        <v>0</v>
      </c>
      <c r="AA210" s="191">
        <f t="shared" si="58"/>
        <v>0</v>
      </c>
      <c r="AB210" s="191">
        <f t="shared" si="58"/>
        <v>0</v>
      </c>
      <c r="AC210" s="191">
        <f t="shared" si="58"/>
        <v>0</v>
      </c>
      <c r="AD210" s="191">
        <f t="shared" si="58"/>
        <v>0</v>
      </c>
      <c r="AE210" s="191">
        <f t="shared" si="58"/>
        <v>0</v>
      </c>
      <c r="AF210" s="204">
        <f t="shared" si="58"/>
        <v>0</v>
      </c>
      <c r="AG210" s="216">
        <v>5.0999999999999996</v>
      </c>
      <c r="AH210" s="46"/>
      <c r="AI210" s="47"/>
      <c r="AK210" s="49"/>
    </row>
    <row r="211" spans="1:37" x14ac:dyDescent="0.25">
      <c r="A211" s="73" t="s">
        <v>262</v>
      </c>
      <c r="B211" s="191">
        <v>0</v>
      </c>
      <c r="C211" s="191">
        <f t="shared" si="59"/>
        <v>0</v>
      </c>
      <c r="D211" s="191">
        <f t="shared" si="59"/>
        <v>0</v>
      </c>
      <c r="E211" s="191">
        <f t="shared" si="59"/>
        <v>0</v>
      </c>
      <c r="F211" s="191">
        <f t="shared" si="59"/>
        <v>0</v>
      </c>
      <c r="G211" s="191">
        <f t="shared" si="59"/>
        <v>0</v>
      </c>
      <c r="H211" s="191">
        <f t="shared" si="59"/>
        <v>0</v>
      </c>
      <c r="I211" s="191">
        <f t="shared" si="59"/>
        <v>0</v>
      </c>
      <c r="J211" s="191">
        <f t="shared" si="59"/>
        <v>0</v>
      </c>
      <c r="K211" s="191">
        <f t="shared" si="59"/>
        <v>0</v>
      </c>
      <c r="L211" s="191">
        <f t="shared" si="59"/>
        <v>0</v>
      </c>
      <c r="M211" s="191">
        <f t="shared" si="59"/>
        <v>0</v>
      </c>
      <c r="N211" s="191">
        <f t="shared" si="59"/>
        <v>0</v>
      </c>
      <c r="O211" s="191">
        <f t="shared" si="59"/>
        <v>0</v>
      </c>
      <c r="P211" s="191">
        <f t="shared" si="59"/>
        <v>0</v>
      </c>
      <c r="Q211" s="191">
        <f t="shared" si="59"/>
        <v>0</v>
      </c>
      <c r="R211" s="191">
        <f t="shared" si="59"/>
        <v>0</v>
      </c>
      <c r="S211" s="191">
        <f t="shared" si="58"/>
        <v>0</v>
      </c>
      <c r="T211" s="191">
        <f t="shared" si="58"/>
        <v>0</v>
      </c>
      <c r="U211" s="191">
        <f t="shared" si="58"/>
        <v>0</v>
      </c>
      <c r="V211" s="191">
        <f t="shared" si="58"/>
        <v>0</v>
      </c>
      <c r="W211" s="191">
        <f t="shared" si="58"/>
        <v>0</v>
      </c>
      <c r="X211" s="191">
        <f t="shared" si="58"/>
        <v>0</v>
      </c>
      <c r="Y211" s="191">
        <f t="shared" si="58"/>
        <v>0</v>
      </c>
      <c r="Z211" s="191">
        <f t="shared" si="58"/>
        <v>0</v>
      </c>
      <c r="AA211" s="191">
        <f t="shared" si="58"/>
        <v>0</v>
      </c>
      <c r="AB211" s="191">
        <f t="shared" si="58"/>
        <v>0</v>
      </c>
      <c r="AC211" s="191">
        <f t="shared" si="58"/>
        <v>0</v>
      </c>
      <c r="AD211" s="191">
        <f t="shared" si="58"/>
        <v>0</v>
      </c>
      <c r="AE211" s="191">
        <f t="shared" si="58"/>
        <v>0</v>
      </c>
      <c r="AF211" s="204">
        <f t="shared" si="58"/>
        <v>0</v>
      </c>
      <c r="AG211" s="216">
        <v>5</v>
      </c>
      <c r="AH211" s="46"/>
      <c r="AI211" s="47"/>
      <c r="AK211" s="49"/>
    </row>
    <row r="212" spans="1:37" x14ac:dyDescent="0.25">
      <c r="A212" s="120" t="s">
        <v>263</v>
      </c>
      <c r="B212" s="191">
        <v>0</v>
      </c>
      <c r="C212" s="191">
        <f t="shared" si="59"/>
        <v>0</v>
      </c>
      <c r="D212" s="191">
        <f t="shared" si="59"/>
        <v>0</v>
      </c>
      <c r="E212" s="191">
        <f t="shared" si="59"/>
        <v>0</v>
      </c>
      <c r="F212" s="191">
        <f t="shared" si="59"/>
        <v>0</v>
      </c>
      <c r="G212" s="191">
        <f t="shared" si="59"/>
        <v>0</v>
      </c>
      <c r="H212" s="191">
        <f t="shared" si="59"/>
        <v>0</v>
      </c>
      <c r="I212" s="191">
        <f t="shared" si="59"/>
        <v>0</v>
      </c>
      <c r="J212" s="191">
        <f t="shared" si="59"/>
        <v>0</v>
      </c>
      <c r="K212" s="191">
        <f t="shared" si="59"/>
        <v>0</v>
      </c>
      <c r="L212" s="191">
        <f t="shared" si="59"/>
        <v>0</v>
      </c>
      <c r="M212" s="191">
        <f t="shared" si="59"/>
        <v>0</v>
      </c>
      <c r="N212" s="191">
        <f t="shared" si="59"/>
        <v>0</v>
      </c>
      <c r="O212" s="191">
        <f t="shared" si="59"/>
        <v>0</v>
      </c>
      <c r="P212" s="191">
        <f t="shared" si="59"/>
        <v>0</v>
      </c>
      <c r="Q212" s="191">
        <f t="shared" si="59"/>
        <v>0</v>
      </c>
      <c r="R212" s="191">
        <f t="shared" si="59"/>
        <v>0</v>
      </c>
      <c r="S212" s="191">
        <f t="shared" si="58"/>
        <v>0</v>
      </c>
      <c r="T212" s="191">
        <f t="shared" si="58"/>
        <v>0</v>
      </c>
      <c r="U212" s="191">
        <f t="shared" si="58"/>
        <v>0</v>
      </c>
      <c r="V212" s="191">
        <f t="shared" si="58"/>
        <v>0</v>
      </c>
      <c r="W212" s="191">
        <f t="shared" si="58"/>
        <v>0</v>
      </c>
      <c r="X212" s="191">
        <f t="shared" si="58"/>
        <v>0</v>
      </c>
      <c r="Y212" s="191">
        <f t="shared" si="58"/>
        <v>0</v>
      </c>
      <c r="Z212" s="191">
        <f t="shared" si="58"/>
        <v>0</v>
      </c>
      <c r="AA212" s="191">
        <f t="shared" si="58"/>
        <v>0</v>
      </c>
      <c r="AB212" s="191">
        <f t="shared" si="58"/>
        <v>0</v>
      </c>
      <c r="AC212" s="191">
        <f t="shared" si="58"/>
        <v>0</v>
      </c>
      <c r="AD212" s="191">
        <f t="shared" si="58"/>
        <v>0</v>
      </c>
      <c r="AE212" s="191">
        <f t="shared" si="58"/>
        <v>0</v>
      </c>
      <c r="AF212" s="204">
        <f t="shared" si="58"/>
        <v>0</v>
      </c>
      <c r="AG212" s="215">
        <v>5</v>
      </c>
      <c r="AH212" s="46"/>
      <c r="AI212" s="47"/>
      <c r="AK212" s="49"/>
    </row>
    <row r="213" spans="1:37" x14ac:dyDescent="0.25">
      <c r="A213" s="73" t="s">
        <v>264</v>
      </c>
      <c r="B213" s="191">
        <v>0</v>
      </c>
      <c r="C213" s="191">
        <f t="shared" si="59"/>
        <v>0</v>
      </c>
      <c r="D213" s="191">
        <f t="shared" si="59"/>
        <v>0</v>
      </c>
      <c r="E213" s="191">
        <f t="shared" si="59"/>
        <v>0</v>
      </c>
      <c r="F213" s="191">
        <f t="shared" si="59"/>
        <v>0</v>
      </c>
      <c r="G213" s="191">
        <f t="shared" si="59"/>
        <v>0</v>
      </c>
      <c r="H213" s="191">
        <f t="shared" si="59"/>
        <v>0</v>
      </c>
      <c r="I213" s="191">
        <f t="shared" si="59"/>
        <v>0</v>
      </c>
      <c r="J213" s="191">
        <f t="shared" si="59"/>
        <v>0</v>
      </c>
      <c r="K213" s="191">
        <f t="shared" si="59"/>
        <v>0</v>
      </c>
      <c r="L213" s="191">
        <f t="shared" si="59"/>
        <v>0</v>
      </c>
      <c r="M213" s="191">
        <f t="shared" si="59"/>
        <v>0</v>
      </c>
      <c r="N213" s="191">
        <f t="shared" si="59"/>
        <v>0</v>
      </c>
      <c r="O213" s="191">
        <f t="shared" si="59"/>
        <v>0</v>
      </c>
      <c r="P213" s="191">
        <f t="shared" si="59"/>
        <v>0</v>
      </c>
      <c r="Q213" s="191">
        <f t="shared" si="59"/>
        <v>0</v>
      </c>
      <c r="R213" s="191">
        <f t="shared" si="59"/>
        <v>0</v>
      </c>
      <c r="S213" s="191">
        <f t="shared" si="58"/>
        <v>0</v>
      </c>
      <c r="T213" s="191">
        <f t="shared" si="58"/>
        <v>0</v>
      </c>
      <c r="U213" s="191">
        <f t="shared" si="58"/>
        <v>0</v>
      </c>
      <c r="V213" s="191">
        <f t="shared" si="58"/>
        <v>0</v>
      </c>
      <c r="W213" s="191">
        <f t="shared" si="58"/>
        <v>0</v>
      </c>
      <c r="X213" s="191">
        <f t="shared" si="58"/>
        <v>0</v>
      </c>
      <c r="Y213" s="191">
        <f t="shared" si="58"/>
        <v>0</v>
      </c>
      <c r="Z213" s="191">
        <f t="shared" si="58"/>
        <v>0</v>
      </c>
      <c r="AA213" s="191">
        <f t="shared" si="58"/>
        <v>0</v>
      </c>
      <c r="AB213" s="191">
        <f t="shared" si="58"/>
        <v>0</v>
      </c>
      <c r="AC213" s="191">
        <f t="shared" si="58"/>
        <v>0</v>
      </c>
      <c r="AD213" s="191">
        <f t="shared" si="58"/>
        <v>0</v>
      </c>
      <c r="AE213" s="191">
        <f t="shared" si="58"/>
        <v>0</v>
      </c>
      <c r="AF213" s="204">
        <f t="shared" si="58"/>
        <v>0</v>
      </c>
      <c r="AG213" s="216">
        <v>5</v>
      </c>
      <c r="AH213" s="46"/>
      <c r="AI213" s="47"/>
      <c r="AK213" s="49"/>
    </row>
    <row r="214" spans="1:37" x14ac:dyDescent="0.25">
      <c r="A214" s="73" t="s">
        <v>265</v>
      </c>
      <c r="B214" s="191">
        <v>0</v>
      </c>
      <c r="C214" s="191">
        <f t="shared" si="59"/>
        <v>0</v>
      </c>
      <c r="D214" s="191">
        <f t="shared" si="59"/>
        <v>0</v>
      </c>
      <c r="E214" s="191">
        <f t="shared" si="59"/>
        <v>0</v>
      </c>
      <c r="F214" s="191">
        <f t="shared" si="59"/>
        <v>0</v>
      </c>
      <c r="G214" s="191">
        <f t="shared" si="59"/>
        <v>0</v>
      </c>
      <c r="H214" s="191">
        <f t="shared" si="59"/>
        <v>0</v>
      </c>
      <c r="I214" s="191">
        <f t="shared" si="59"/>
        <v>0</v>
      </c>
      <c r="J214" s="191">
        <f t="shared" si="59"/>
        <v>0</v>
      </c>
      <c r="K214" s="191">
        <f t="shared" si="59"/>
        <v>0</v>
      </c>
      <c r="L214" s="191">
        <f t="shared" si="59"/>
        <v>0</v>
      </c>
      <c r="M214" s="191">
        <f t="shared" si="59"/>
        <v>0</v>
      </c>
      <c r="N214" s="191">
        <f t="shared" si="59"/>
        <v>0</v>
      </c>
      <c r="O214" s="191">
        <f t="shared" si="59"/>
        <v>0</v>
      </c>
      <c r="P214" s="191">
        <f t="shared" si="59"/>
        <v>0</v>
      </c>
      <c r="Q214" s="191">
        <f t="shared" si="59"/>
        <v>0</v>
      </c>
      <c r="R214" s="191">
        <f t="shared" si="59"/>
        <v>0</v>
      </c>
      <c r="S214" s="191">
        <f t="shared" si="58"/>
        <v>0</v>
      </c>
      <c r="T214" s="191">
        <f t="shared" si="58"/>
        <v>0</v>
      </c>
      <c r="U214" s="191">
        <f t="shared" si="58"/>
        <v>0</v>
      </c>
      <c r="V214" s="191">
        <f t="shared" si="58"/>
        <v>0</v>
      </c>
      <c r="W214" s="191">
        <f t="shared" si="58"/>
        <v>0</v>
      </c>
      <c r="X214" s="191">
        <f t="shared" si="58"/>
        <v>0</v>
      </c>
      <c r="Y214" s="191">
        <f t="shared" si="58"/>
        <v>0</v>
      </c>
      <c r="Z214" s="191">
        <f t="shared" si="58"/>
        <v>0</v>
      </c>
      <c r="AA214" s="191">
        <f t="shared" si="58"/>
        <v>0</v>
      </c>
      <c r="AB214" s="191">
        <f t="shared" si="58"/>
        <v>0</v>
      </c>
      <c r="AC214" s="191">
        <f t="shared" si="58"/>
        <v>0</v>
      </c>
      <c r="AD214" s="191">
        <f t="shared" si="58"/>
        <v>0</v>
      </c>
      <c r="AE214" s="191">
        <f t="shared" si="58"/>
        <v>0</v>
      </c>
      <c r="AF214" s="204">
        <f t="shared" si="58"/>
        <v>0</v>
      </c>
      <c r="AG214" s="216">
        <v>5</v>
      </c>
      <c r="AH214" s="46"/>
      <c r="AI214" s="47"/>
      <c r="AK214" s="49"/>
    </row>
    <row r="215" spans="1:37" x14ac:dyDescent="0.25">
      <c r="A215" s="73" t="s">
        <v>266</v>
      </c>
      <c r="B215" s="191">
        <v>0</v>
      </c>
      <c r="C215" s="191">
        <f t="shared" si="59"/>
        <v>0</v>
      </c>
      <c r="D215" s="191">
        <f t="shared" si="59"/>
        <v>0</v>
      </c>
      <c r="E215" s="191">
        <f t="shared" si="59"/>
        <v>0</v>
      </c>
      <c r="F215" s="191">
        <f t="shared" si="59"/>
        <v>0</v>
      </c>
      <c r="G215" s="191">
        <f t="shared" si="59"/>
        <v>0</v>
      </c>
      <c r="H215" s="191">
        <f t="shared" si="59"/>
        <v>0</v>
      </c>
      <c r="I215" s="191">
        <f t="shared" si="59"/>
        <v>0</v>
      </c>
      <c r="J215" s="191">
        <f t="shared" si="59"/>
        <v>0</v>
      </c>
      <c r="K215" s="191">
        <f t="shared" si="59"/>
        <v>0</v>
      </c>
      <c r="L215" s="191">
        <f t="shared" si="59"/>
        <v>0</v>
      </c>
      <c r="M215" s="191">
        <f t="shared" si="59"/>
        <v>0</v>
      </c>
      <c r="N215" s="191">
        <f t="shared" si="59"/>
        <v>0</v>
      </c>
      <c r="O215" s="191">
        <f t="shared" si="59"/>
        <v>0</v>
      </c>
      <c r="P215" s="191">
        <f t="shared" si="59"/>
        <v>0</v>
      </c>
      <c r="Q215" s="191">
        <f t="shared" si="59"/>
        <v>0</v>
      </c>
      <c r="R215" s="191">
        <f t="shared" si="59"/>
        <v>0</v>
      </c>
      <c r="S215" s="191">
        <f t="shared" si="58"/>
        <v>0</v>
      </c>
      <c r="T215" s="191">
        <f t="shared" si="58"/>
        <v>0</v>
      </c>
      <c r="U215" s="191">
        <f t="shared" si="58"/>
        <v>0</v>
      </c>
      <c r="V215" s="191">
        <f t="shared" si="58"/>
        <v>0</v>
      </c>
      <c r="W215" s="191">
        <f t="shared" si="58"/>
        <v>0</v>
      </c>
      <c r="X215" s="191">
        <f t="shared" si="58"/>
        <v>0</v>
      </c>
      <c r="Y215" s="191">
        <f t="shared" si="58"/>
        <v>0</v>
      </c>
      <c r="Z215" s="191">
        <f t="shared" si="58"/>
        <v>0</v>
      </c>
      <c r="AA215" s="191">
        <f t="shared" si="58"/>
        <v>0</v>
      </c>
      <c r="AB215" s="191">
        <f t="shared" si="58"/>
        <v>0</v>
      </c>
      <c r="AC215" s="191">
        <f t="shared" si="58"/>
        <v>0</v>
      </c>
      <c r="AD215" s="191">
        <f t="shared" si="58"/>
        <v>0</v>
      </c>
      <c r="AE215" s="191">
        <f t="shared" si="58"/>
        <v>0</v>
      </c>
      <c r="AF215" s="204">
        <f t="shared" si="58"/>
        <v>0</v>
      </c>
      <c r="AG215" s="216">
        <v>5</v>
      </c>
      <c r="AH215" s="46"/>
      <c r="AI215" s="47"/>
      <c r="AK215" s="49"/>
    </row>
    <row r="216" spans="1:37" x14ac:dyDescent="0.25">
      <c r="A216" s="73" t="s">
        <v>267</v>
      </c>
      <c r="B216" s="191">
        <v>0</v>
      </c>
      <c r="C216" s="191">
        <f t="shared" si="59"/>
        <v>0</v>
      </c>
      <c r="D216" s="191">
        <f t="shared" si="59"/>
        <v>0</v>
      </c>
      <c r="E216" s="191">
        <f t="shared" si="59"/>
        <v>0</v>
      </c>
      <c r="F216" s="191">
        <f t="shared" si="59"/>
        <v>0</v>
      </c>
      <c r="G216" s="191">
        <f t="shared" si="59"/>
        <v>0</v>
      </c>
      <c r="H216" s="191">
        <f t="shared" si="59"/>
        <v>0</v>
      </c>
      <c r="I216" s="191">
        <f t="shared" si="59"/>
        <v>0</v>
      </c>
      <c r="J216" s="191">
        <f t="shared" si="59"/>
        <v>0</v>
      </c>
      <c r="K216" s="191">
        <f t="shared" si="59"/>
        <v>0</v>
      </c>
      <c r="L216" s="191">
        <f t="shared" si="59"/>
        <v>0</v>
      </c>
      <c r="M216" s="191">
        <f t="shared" si="59"/>
        <v>0</v>
      </c>
      <c r="N216" s="191">
        <f t="shared" si="59"/>
        <v>0</v>
      </c>
      <c r="O216" s="191">
        <f t="shared" si="59"/>
        <v>0</v>
      </c>
      <c r="P216" s="191">
        <f t="shared" si="59"/>
        <v>0</v>
      </c>
      <c r="Q216" s="191">
        <f t="shared" si="59"/>
        <v>0</v>
      </c>
      <c r="R216" s="191">
        <f t="shared" si="59"/>
        <v>0</v>
      </c>
      <c r="S216" s="191">
        <f t="shared" si="58"/>
        <v>0</v>
      </c>
      <c r="T216" s="191">
        <f t="shared" si="58"/>
        <v>0</v>
      </c>
      <c r="U216" s="191">
        <f t="shared" si="58"/>
        <v>0</v>
      </c>
      <c r="V216" s="191">
        <f t="shared" si="58"/>
        <v>0</v>
      </c>
      <c r="W216" s="191">
        <f t="shared" si="58"/>
        <v>0</v>
      </c>
      <c r="X216" s="191">
        <f t="shared" si="58"/>
        <v>0</v>
      </c>
      <c r="Y216" s="191">
        <f t="shared" si="58"/>
        <v>0</v>
      </c>
      <c r="Z216" s="191">
        <f t="shared" si="58"/>
        <v>0</v>
      </c>
      <c r="AA216" s="191">
        <f t="shared" si="58"/>
        <v>0</v>
      </c>
      <c r="AB216" s="191">
        <f t="shared" si="58"/>
        <v>0</v>
      </c>
      <c r="AC216" s="191">
        <f t="shared" si="58"/>
        <v>0</v>
      </c>
      <c r="AD216" s="191">
        <f t="shared" si="58"/>
        <v>0</v>
      </c>
      <c r="AE216" s="191">
        <f t="shared" si="58"/>
        <v>0</v>
      </c>
      <c r="AF216" s="204">
        <f t="shared" si="58"/>
        <v>0</v>
      </c>
      <c r="AG216" s="216">
        <v>5</v>
      </c>
      <c r="AH216" s="46"/>
      <c r="AI216" s="47"/>
      <c r="AK216" s="49"/>
    </row>
    <row r="217" spans="1:37" x14ac:dyDescent="0.25">
      <c r="A217" s="73" t="s">
        <v>268</v>
      </c>
      <c r="B217" s="191">
        <v>0</v>
      </c>
      <c r="C217" s="191">
        <f t="shared" si="59"/>
        <v>0</v>
      </c>
      <c r="D217" s="191">
        <f t="shared" si="59"/>
        <v>0</v>
      </c>
      <c r="E217" s="191">
        <f t="shared" si="59"/>
        <v>0</v>
      </c>
      <c r="F217" s="191">
        <f t="shared" si="59"/>
        <v>0</v>
      </c>
      <c r="G217" s="191">
        <f t="shared" si="59"/>
        <v>0</v>
      </c>
      <c r="H217" s="191">
        <f t="shared" si="59"/>
        <v>0</v>
      </c>
      <c r="I217" s="191">
        <f t="shared" si="59"/>
        <v>0</v>
      </c>
      <c r="J217" s="191">
        <f t="shared" si="59"/>
        <v>0</v>
      </c>
      <c r="K217" s="191">
        <f t="shared" si="59"/>
        <v>0</v>
      </c>
      <c r="L217" s="191">
        <f t="shared" si="59"/>
        <v>0</v>
      </c>
      <c r="M217" s="191">
        <f t="shared" si="59"/>
        <v>0</v>
      </c>
      <c r="N217" s="191">
        <f t="shared" si="59"/>
        <v>0</v>
      </c>
      <c r="O217" s="191">
        <f t="shared" si="59"/>
        <v>0</v>
      </c>
      <c r="P217" s="191">
        <f t="shared" si="59"/>
        <v>0</v>
      </c>
      <c r="Q217" s="191">
        <f t="shared" si="59"/>
        <v>0</v>
      </c>
      <c r="R217" s="191">
        <f t="shared" ref="R217:AF232" si="60">Q217</f>
        <v>0</v>
      </c>
      <c r="S217" s="191">
        <f t="shared" si="60"/>
        <v>0</v>
      </c>
      <c r="T217" s="191">
        <f t="shared" si="60"/>
        <v>0</v>
      </c>
      <c r="U217" s="191">
        <f t="shared" si="60"/>
        <v>0</v>
      </c>
      <c r="V217" s="191">
        <f t="shared" si="60"/>
        <v>0</v>
      </c>
      <c r="W217" s="191">
        <f t="shared" si="60"/>
        <v>0</v>
      </c>
      <c r="X217" s="191">
        <f t="shared" si="60"/>
        <v>0</v>
      </c>
      <c r="Y217" s="191">
        <f t="shared" si="60"/>
        <v>0</v>
      </c>
      <c r="Z217" s="191">
        <f t="shared" si="60"/>
        <v>0</v>
      </c>
      <c r="AA217" s="191">
        <f t="shared" si="60"/>
        <v>0</v>
      </c>
      <c r="AB217" s="191">
        <f t="shared" si="60"/>
        <v>0</v>
      </c>
      <c r="AC217" s="191">
        <f t="shared" si="60"/>
        <v>0</v>
      </c>
      <c r="AD217" s="191">
        <f t="shared" si="60"/>
        <v>0</v>
      </c>
      <c r="AE217" s="191">
        <f t="shared" si="60"/>
        <v>0</v>
      </c>
      <c r="AF217" s="204">
        <f t="shared" si="60"/>
        <v>0</v>
      </c>
      <c r="AG217" s="216">
        <v>5</v>
      </c>
      <c r="AH217" s="46"/>
      <c r="AI217" s="47"/>
      <c r="AK217" s="49"/>
    </row>
    <row r="218" spans="1:37" x14ac:dyDescent="0.25">
      <c r="A218" s="73" t="s">
        <v>269</v>
      </c>
      <c r="B218" s="191">
        <v>0</v>
      </c>
      <c r="C218" s="191">
        <f t="shared" ref="C218:R233" si="61">B218</f>
        <v>0</v>
      </c>
      <c r="D218" s="191">
        <f t="shared" si="61"/>
        <v>0</v>
      </c>
      <c r="E218" s="191">
        <f t="shared" si="61"/>
        <v>0</v>
      </c>
      <c r="F218" s="191">
        <f t="shared" si="61"/>
        <v>0</v>
      </c>
      <c r="G218" s="191">
        <f t="shared" si="61"/>
        <v>0</v>
      </c>
      <c r="H218" s="191">
        <f t="shared" si="61"/>
        <v>0</v>
      </c>
      <c r="I218" s="191">
        <f t="shared" si="61"/>
        <v>0</v>
      </c>
      <c r="J218" s="191">
        <f t="shared" si="61"/>
        <v>0</v>
      </c>
      <c r="K218" s="191">
        <f t="shared" si="61"/>
        <v>0</v>
      </c>
      <c r="L218" s="191">
        <f t="shared" si="61"/>
        <v>0</v>
      </c>
      <c r="M218" s="191">
        <f t="shared" si="61"/>
        <v>0</v>
      </c>
      <c r="N218" s="191">
        <f t="shared" si="61"/>
        <v>0</v>
      </c>
      <c r="O218" s="191">
        <f t="shared" si="61"/>
        <v>0</v>
      </c>
      <c r="P218" s="191">
        <f t="shared" si="61"/>
        <v>0</v>
      </c>
      <c r="Q218" s="191">
        <f t="shared" si="61"/>
        <v>0</v>
      </c>
      <c r="R218" s="191">
        <f t="shared" si="61"/>
        <v>0</v>
      </c>
      <c r="S218" s="191">
        <f t="shared" si="60"/>
        <v>0</v>
      </c>
      <c r="T218" s="191">
        <f t="shared" si="60"/>
        <v>0</v>
      </c>
      <c r="U218" s="191">
        <f t="shared" si="60"/>
        <v>0</v>
      </c>
      <c r="V218" s="191">
        <f t="shared" si="60"/>
        <v>0</v>
      </c>
      <c r="W218" s="191">
        <f t="shared" si="60"/>
        <v>0</v>
      </c>
      <c r="X218" s="191">
        <f t="shared" si="60"/>
        <v>0</v>
      </c>
      <c r="Y218" s="191">
        <f t="shared" si="60"/>
        <v>0</v>
      </c>
      <c r="Z218" s="191">
        <f t="shared" si="60"/>
        <v>0</v>
      </c>
      <c r="AA218" s="191">
        <f t="shared" si="60"/>
        <v>0</v>
      </c>
      <c r="AB218" s="191">
        <f t="shared" si="60"/>
        <v>0</v>
      </c>
      <c r="AC218" s="191">
        <f t="shared" si="60"/>
        <v>0</v>
      </c>
      <c r="AD218" s="191">
        <f t="shared" si="60"/>
        <v>0</v>
      </c>
      <c r="AE218" s="191">
        <f t="shared" si="60"/>
        <v>0</v>
      </c>
      <c r="AF218" s="204">
        <f t="shared" si="60"/>
        <v>0</v>
      </c>
      <c r="AG218" s="216">
        <v>4.9930000000000003</v>
      </c>
      <c r="AH218" s="46"/>
      <c r="AI218" s="47"/>
      <c r="AK218" s="49"/>
    </row>
    <row r="219" spans="1:37" x14ac:dyDescent="0.25">
      <c r="A219" s="73" t="s">
        <v>270</v>
      </c>
      <c r="B219" s="191">
        <v>0</v>
      </c>
      <c r="C219" s="191">
        <f t="shared" si="61"/>
        <v>0</v>
      </c>
      <c r="D219" s="191">
        <f t="shared" si="61"/>
        <v>0</v>
      </c>
      <c r="E219" s="191">
        <f t="shared" si="61"/>
        <v>0</v>
      </c>
      <c r="F219" s="191">
        <f t="shared" si="61"/>
        <v>0</v>
      </c>
      <c r="G219" s="191">
        <f t="shared" si="61"/>
        <v>0</v>
      </c>
      <c r="H219" s="191">
        <f t="shared" si="61"/>
        <v>0</v>
      </c>
      <c r="I219" s="191">
        <f t="shared" si="61"/>
        <v>0</v>
      </c>
      <c r="J219" s="191">
        <f t="shared" si="61"/>
        <v>0</v>
      </c>
      <c r="K219" s="191">
        <f t="shared" si="61"/>
        <v>0</v>
      </c>
      <c r="L219" s="191">
        <f t="shared" si="61"/>
        <v>0</v>
      </c>
      <c r="M219" s="191">
        <f t="shared" si="61"/>
        <v>0</v>
      </c>
      <c r="N219" s="191">
        <f t="shared" si="61"/>
        <v>0</v>
      </c>
      <c r="O219" s="191">
        <f t="shared" si="61"/>
        <v>0</v>
      </c>
      <c r="P219" s="191">
        <f t="shared" si="61"/>
        <v>0</v>
      </c>
      <c r="Q219" s="191">
        <f t="shared" si="61"/>
        <v>0</v>
      </c>
      <c r="R219" s="191">
        <f t="shared" si="61"/>
        <v>0</v>
      </c>
      <c r="S219" s="191">
        <f t="shared" si="60"/>
        <v>0</v>
      </c>
      <c r="T219" s="191">
        <f t="shared" si="60"/>
        <v>0</v>
      </c>
      <c r="U219" s="191">
        <f t="shared" si="60"/>
        <v>0</v>
      </c>
      <c r="V219" s="191">
        <f t="shared" si="60"/>
        <v>0</v>
      </c>
      <c r="W219" s="191">
        <f t="shared" si="60"/>
        <v>0</v>
      </c>
      <c r="X219" s="191">
        <f t="shared" si="60"/>
        <v>0</v>
      </c>
      <c r="Y219" s="191">
        <f t="shared" si="60"/>
        <v>0</v>
      </c>
      <c r="Z219" s="191">
        <f t="shared" si="60"/>
        <v>0</v>
      </c>
      <c r="AA219" s="191">
        <f t="shared" si="60"/>
        <v>0</v>
      </c>
      <c r="AB219" s="191">
        <f t="shared" si="60"/>
        <v>0</v>
      </c>
      <c r="AC219" s="191">
        <f t="shared" si="60"/>
        <v>0</v>
      </c>
      <c r="AD219" s="191">
        <f t="shared" si="60"/>
        <v>0</v>
      </c>
      <c r="AE219" s="191">
        <f t="shared" si="60"/>
        <v>0</v>
      </c>
      <c r="AF219" s="204">
        <f t="shared" si="60"/>
        <v>0</v>
      </c>
      <c r="AG219" s="216">
        <v>4.9800000000000004</v>
      </c>
      <c r="AH219" s="46"/>
      <c r="AI219" s="47"/>
      <c r="AK219" s="49"/>
    </row>
    <row r="220" spans="1:37" x14ac:dyDescent="0.25">
      <c r="A220" s="73" t="s">
        <v>271</v>
      </c>
      <c r="B220" s="191">
        <v>0</v>
      </c>
      <c r="C220" s="191">
        <f t="shared" si="61"/>
        <v>0</v>
      </c>
      <c r="D220" s="191">
        <f t="shared" si="61"/>
        <v>0</v>
      </c>
      <c r="E220" s="191">
        <f t="shared" si="61"/>
        <v>0</v>
      </c>
      <c r="F220" s="191">
        <f t="shared" si="61"/>
        <v>0</v>
      </c>
      <c r="G220" s="191">
        <f t="shared" si="61"/>
        <v>0</v>
      </c>
      <c r="H220" s="191">
        <f t="shared" si="61"/>
        <v>0</v>
      </c>
      <c r="I220" s="191">
        <f t="shared" si="61"/>
        <v>0</v>
      </c>
      <c r="J220" s="191">
        <f t="shared" si="61"/>
        <v>0</v>
      </c>
      <c r="K220" s="191">
        <f t="shared" si="61"/>
        <v>0</v>
      </c>
      <c r="L220" s="191">
        <f t="shared" si="61"/>
        <v>0</v>
      </c>
      <c r="M220" s="191">
        <f t="shared" si="61"/>
        <v>0</v>
      </c>
      <c r="N220" s="191">
        <f t="shared" si="61"/>
        <v>0</v>
      </c>
      <c r="O220" s="191">
        <f t="shared" si="61"/>
        <v>0</v>
      </c>
      <c r="P220" s="191">
        <f t="shared" si="61"/>
        <v>0</v>
      </c>
      <c r="Q220" s="191">
        <f t="shared" si="61"/>
        <v>0</v>
      </c>
      <c r="R220" s="191">
        <f t="shared" si="61"/>
        <v>0</v>
      </c>
      <c r="S220" s="191">
        <f t="shared" si="60"/>
        <v>0</v>
      </c>
      <c r="T220" s="191">
        <f t="shared" si="60"/>
        <v>0</v>
      </c>
      <c r="U220" s="191">
        <f t="shared" si="60"/>
        <v>0</v>
      </c>
      <c r="V220" s="191">
        <f t="shared" si="60"/>
        <v>0</v>
      </c>
      <c r="W220" s="191">
        <f t="shared" si="60"/>
        <v>0</v>
      </c>
      <c r="X220" s="191">
        <f t="shared" si="60"/>
        <v>0</v>
      </c>
      <c r="Y220" s="191">
        <f t="shared" si="60"/>
        <v>0</v>
      </c>
      <c r="Z220" s="191">
        <f t="shared" si="60"/>
        <v>0</v>
      </c>
      <c r="AA220" s="191">
        <f t="shared" si="60"/>
        <v>0</v>
      </c>
      <c r="AB220" s="191">
        <f t="shared" si="60"/>
        <v>0</v>
      </c>
      <c r="AC220" s="191">
        <f t="shared" si="60"/>
        <v>0</v>
      </c>
      <c r="AD220" s="191">
        <f t="shared" si="60"/>
        <v>0</v>
      </c>
      <c r="AE220" s="191">
        <f t="shared" si="60"/>
        <v>0</v>
      </c>
      <c r="AF220" s="204">
        <f t="shared" si="60"/>
        <v>0</v>
      </c>
      <c r="AG220" s="216">
        <v>4.95</v>
      </c>
      <c r="AH220" s="46"/>
      <c r="AI220" s="47"/>
      <c r="AK220" s="49"/>
    </row>
    <row r="221" spans="1:37" x14ac:dyDescent="0.25">
      <c r="A221" s="73" t="s">
        <v>272</v>
      </c>
      <c r="B221" s="191">
        <v>0</v>
      </c>
      <c r="C221" s="191">
        <f t="shared" si="61"/>
        <v>0</v>
      </c>
      <c r="D221" s="191">
        <f t="shared" si="61"/>
        <v>0</v>
      </c>
      <c r="E221" s="191">
        <f t="shared" si="61"/>
        <v>0</v>
      </c>
      <c r="F221" s="191">
        <f t="shared" si="61"/>
        <v>0</v>
      </c>
      <c r="G221" s="191">
        <f t="shared" si="61"/>
        <v>0</v>
      </c>
      <c r="H221" s="191">
        <f t="shared" si="61"/>
        <v>0</v>
      </c>
      <c r="I221" s="191">
        <f t="shared" si="61"/>
        <v>0</v>
      </c>
      <c r="J221" s="191">
        <f t="shared" si="61"/>
        <v>0</v>
      </c>
      <c r="K221" s="191">
        <f t="shared" si="61"/>
        <v>0</v>
      </c>
      <c r="L221" s="191">
        <f t="shared" si="61"/>
        <v>0</v>
      </c>
      <c r="M221" s="191">
        <f t="shared" si="61"/>
        <v>0</v>
      </c>
      <c r="N221" s="191">
        <f t="shared" si="61"/>
        <v>0</v>
      </c>
      <c r="O221" s="191">
        <f t="shared" si="61"/>
        <v>0</v>
      </c>
      <c r="P221" s="191">
        <f t="shared" si="61"/>
        <v>0</v>
      </c>
      <c r="Q221" s="191">
        <f t="shared" si="61"/>
        <v>0</v>
      </c>
      <c r="R221" s="191">
        <f t="shared" si="61"/>
        <v>0</v>
      </c>
      <c r="S221" s="191">
        <f t="shared" si="60"/>
        <v>0</v>
      </c>
      <c r="T221" s="191">
        <f t="shared" si="60"/>
        <v>0</v>
      </c>
      <c r="U221" s="191">
        <f t="shared" si="60"/>
        <v>0</v>
      </c>
      <c r="V221" s="191">
        <f t="shared" si="60"/>
        <v>0</v>
      </c>
      <c r="W221" s="191">
        <f t="shared" si="60"/>
        <v>0</v>
      </c>
      <c r="X221" s="191">
        <f t="shared" si="60"/>
        <v>0</v>
      </c>
      <c r="Y221" s="191">
        <f t="shared" si="60"/>
        <v>0</v>
      </c>
      <c r="Z221" s="191">
        <f t="shared" si="60"/>
        <v>0</v>
      </c>
      <c r="AA221" s="191">
        <f t="shared" si="60"/>
        <v>0</v>
      </c>
      <c r="AB221" s="191">
        <f t="shared" si="60"/>
        <v>0</v>
      </c>
      <c r="AC221" s="191">
        <f t="shared" si="60"/>
        <v>0</v>
      </c>
      <c r="AD221" s="191">
        <f t="shared" si="60"/>
        <v>0</v>
      </c>
      <c r="AE221" s="191">
        <f t="shared" si="60"/>
        <v>0</v>
      </c>
      <c r="AF221" s="204">
        <f t="shared" si="60"/>
        <v>0</v>
      </c>
      <c r="AG221" s="216">
        <v>4.95</v>
      </c>
      <c r="AH221" s="46"/>
      <c r="AI221" s="47"/>
      <c r="AK221" s="49"/>
    </row>
    <row r="222" spans="1:37" x14ac:dyDescent="0.25">
      <c r="A222" s="73" t="s">
        <v>273</v>
      </c>
      <c r="B222" s="191">
        <v>0</v>
      </c>
      <c r="C222" s="191">
        <f t="shared" si="61"/>
        <v>0</v>
      </c>
      <c r="D222" s="191">
        <f t="shared" si="61"/>
        <v>0</v>
      </c>
      <c r="E222" s="191">
        <f t="shared" si="61"/>
        <v>0</v>
      </c>
      <c r="F222" s="191">
        <f t="shared" si="61"/>
        <v>0</v>
      </c>
      <c r="G222" s="191">
        <f t="shared" si="61"/>
        <v>0</v>
      </c>
      <c r="H222" s="191">
        <f t="shared" si="61"/>
        <v>0</v>
      </c>
      <c r="I222" s="191">
        <f t="shared" si="61"/>
        <v>0</v>
      </c>
      <c r="J222" s="191">
        <f t="shared" si="61"/>
        <v>0</v>
      </c>
      <c r="K222" s="191">
        <f t="shared" si="61"/>
        <v>0</v>
      </c>
      <c r="L222" s="191">
        <f t="shared" si="61"/>
        <v>0</v>
      </c>
      <c r="M222" s="191">
        <f t="shared" si="61"/>
        <v>0</v>
      </c>
      <c r="N222" s="191">
        <f t="shared" si="61"/>
        <v>0</v>
      </c>
      <c r="O222" s="191">
        <f t="shared" si="61"/>
        <v>0</v>
      </c>
      <c r="P222" s="191">
        <f t="shared" si="61"/>
        <v>0</v>
      </c>
      <c r="Q222" s="191">
        <f t="shared" si="61"/>
        <v>0</v>
      </c>
      <c r="R222" s="191">
        <f t="shared" si="61"/>
        <v>0</v>
      </c>
      <c r="S222" s="191">
        <f t="shared" si="60"/>
        <v>0</v>
      </c>
      <c r="T222" s="191">
        <f t="shared" si="60"/>
        <v>0</v>
      </c>
      <c r="U222" s="191">
        <f t="shared" si="60"/>
        <v>0</v>
      </c>
      <c r="V222" s="191">
        <f t="shared" si="60"/>
        <v>0</v>
      </c>
      <c r="W222" s="191">
        <f t="shared" si="60"/>
        <v>0</v>
      </c>
      <c r="X222" s="191">
        <f t="shared" si="60"/>
        <v>0</v>
      </c>
      <c r="Y222" s="191">
        <f t="shared" si="60"/>
        <v>0</v>
      </c>
      <c r="Z222" s="191">
        <f t="shared" si="60"/>
        <v>0</v>
      </c>
      <c r="AA222" s="191">
        <f t="shared" si="60"/>
        <v>0</v>
      </c>
      <c r="AB222" s="191">
        <f t="shared" si="60"/>
        <v>0</v>
      </c>
      <c r="AC222" s="191">
        <f t="shared" si="60"/>
        <v>0</v>
      </c>
      <c r="AD222" s="191">
        <f t="shared" si="60"/>
        <v>0</v>
      </c>
      <c r="AE222" s="191">
        <f t="shared" si="60"/>
        <v>0</v>
      </c>
      <c r="AF222" s="204">
        <f t="shared" si="60"/>
        <v>0</v>
      </c>
      <c r="AG222" s="216">
        <v>4.8</v>
      </c>
      <c r="AH222" s="46"/>
      <c r="AI222" s="47"/>
      <c r="AK222" s="49"/>
    </row>
    <row r="223" spans="1:37" x14ac:dyDescent="0.25">
      <c r="A223" s="73" t="s">
        <v>274</v>
      </c>
      <c r="B223" s="191">
        <v>0</v>
      </c>
      <c r="C223" s="191">
        <f t="shared" si="61"/>
        <v>0</v>
      </c>
      <c r="D223" s="191">
        <f t="shared" si="61"/>
        <v>0</v>
      </c>
      <c r="E223" s="191">
        <f t="shared" si="61"/>
        <v>0</v>
      </c>
      <c r="F223" s="191">
        <f t="shared" si="61"/>
        <v>0</v>
      </c>
      <c r="G223" s="191">
        <f t="shared" si="61"/>
        <v>0</v>
      </c>
      <c r="H223" s="191">
        <f t="shared" si="61"/>
        <v>0</v>
      </c>
      <c r="I223" s="191">
        <f t="shared" si="61"/>
        <v>0</v>
      </c>
      <c r="J223" s="191">
        <f t="shared" si="61"/>
        <v>0</v>
      </c>
      <c r="K223" s="191">
        <f t="shared" si="61"/>
        <v>0</v>
      </c>
      <c r="L223" s="191">
        <f t="shared" si="61"/>
        <v>0</v>
      </c>
      <c r="M223" s="191">
        <f t="shared" si="61"/>
        <v>0</v>
      </c>
      <c r="N223" s="191">
        <f t="shared" si="61"/>
        <v>0</v>
      </c>
      <c r="O223" s="191">
        <f t="shared" si="61"/>
        <v>0</v>
      </c>
      <c r="P223" s="191">
        <f t="shared" si="61"/>
        <v>0</v>
      </c>
      <c r="Q223" s="191">
        <f t="shared" si="61"/>
        <v>0</v>
      </c>
      <c r="R223" s="191">
        <f t="shared" si="61"/>
        <v>0</v>
      </c>
      <c r="S223" s="191">
        <f t="shared" si="60"/>
        <v>0</v>
      </c>
      <c r="T223" s="191">
        <f t="shared" si="60"/>
        <v>0</v>
      </c>
      <c r="U223" s="191">
        <f t="shared" si="60"/>
        <v>0</v>
      </c>
      <c r="V223" s="191">
        <f t="shared" si="60"/>
        <v>0</v>
      </c>
      <c r="W223" s="191">
        <f t="shared" si="60"/>
        <v>0</v>
      </c>
      <c r="X223" s="191">
        <f t="shared" si="60"/>
        <v>0</v>
      </c>
      <c r="Y223" s="191">
        <f t="shared" si="60"/>
        <v>0</v>
      </c>
      <c r="Z223" s="191">
        <f t="shared" si="60"/>
        <v>0</v>
      </c>
      <c r="AA223" s="191">
        <f t="shared" si="60"/>
        <v>0</v>
      </c>
      <c r="AB223" s="191">
        <f t="shared" si="60"/>
        <v>0</v>
      </c>
      <c r="AC223" s="191">
        <f t="shared" si="60"/>
        <v>0</v>
      </c>
      <c r="AD223" s="191">
        <f t="shared" si="60"/>
        <v>0</v>
      </c>
      <c r="AE223" s="191">
        <f t="shared" si="60"/>
        <v>0</v>
      </c>
      <c r="AF223" s="204">
        <f t="shared" si="60"/>
        <v>0</v>
      </c>
      <c r="AG223" s="216">
        <v>4.8</v>
      </c>
      <c r="AH223" s="46"/>
      <c r="AI223" s="47"/>
      <c r="AK223" s="49"/>
    </row>
    <row r="224" spans="1:37" x14ac:dyDescent="0.25">
      <c r="A224" s="73" t="s">
        <v>275</v>
      </c>
      <c r="B224" s="191">
        <v>0</v>
      </c>
      <c r="C224" s="191">
        <f t="shared" si="61"/>
        <v>0</v>
      </c>
      <c r="D224" s="191">
        <f t="shared" si="61"/>
        <v>0</v>
      </c>
      <c r="E224" s="191">
        <f t="shared" si="61"/>
        <v>0</v>
      </c>
      <c r="F224" s="191">
        <f t="shared" si="61"/>
        <v>0</v>
      </c>
      <c r="G224" s="191">
        <f t="shared" si="61"/>
        <v>0</v>
      </c>
      <c r="H224" s="191">
        <f t="shared" si="61"/>
        <v>0</v>
      </c>
      <c r="I224" s="191">
        <f t="shared" si="61"/>
        <v>0</v>
      </c>
      <c r="J224" s="191">
        <f t="shared" si="61"/>
        <v>0</v>
      </c>
      <c r="K224" s="191">
        <f t="shared" si="61"/>
        <v>0</v>
      </c>
      <c r="L224" s="191">
        <f t="shared" si="61"/>
        <v>0</v>
      </c>
      <c r="M224" s="191">
        <f t="shared" si="61"/>
        <v>0</v>
      </c>
      <c r="N224" s="191">
        <f t="shared" si="61"/>
        <v>0</v>
      </c>
      <c r="O224" s="191">
        <f t="shared" si="61"/>
        <v>0</v>
      </c>
      <c r="P224" s="191">
        <f t="shared" si="61"/>
        <v>0</v>
      </c>
      <c r="Q224" s="191">
        <f t="shared" si="61"/>
        <v>0</v>
      </c>
      <c r="R224" s="191">
        <f t="shared" si="61"/>
        <v>0</v>
      </c>
      <c r="S224" s="191">
        <f t="shared" si="60"/>
        <v>0</v>
      </c>
      <c r="T224" s="191">
        <f t="shared" si="60"/>
        <v>0</v>
      </c>
      <c r="U224" s="191">
        <f t="shared" si="60"/>
        <v>0</v>
      </c>
      <c r="V224" s="191">
        <f t="shared" si="60"/>
        <v>0</v>
      </c>
      <c r="W224" s="191">
        <f t="shared" si="60"/>
        <v>0</v>
      </c>
      <c r="X224" s="191">
        <f t="shared" si="60"/>
        <v>0</v>
      </c>
      <c r="Y224" s="191">
        <f t="shared" si="60"/>
        <v>0</v>
      </c>
      <c r="Z224" s="191">
        <f t="shared" si="60"/>
        <v>0</v>
      </c>
      <c r="AA224" s="191">
        <f t="shared" si="60"/>
        <v>0</v>
      </c>
      <c r="AB224" s="191">
        <f t="shared" si="60"/>
        <v>0</v>
      </c>
      <c r="AC224" s="191">
        <f t="shared" si="60"/>
        <v>0</v>
      </c>
      <c r="AD224" s="191">
        <f t="shared" si="60"/>
        <v>0</v>
      </c>
      <c r="AE224" s="191">
        <f t="shared" si="60"/>
        <v>0</v>
      </c>
      <c r="AF224" s="204">
        <f t="shared" si="60"/>
        <v>0</v>
      </c>
      <c r="AG224" s="216">
        <v>4.8</v>
      </c>
      <c r="AH224" s="46"/>
      <c r="AI224" s="47"/>
      <c r="AK224" s="49"/>
    </row>
    <row r="225" spans="1:37" x14ac:dyDescent="0.25">
      <c r="A225" s="73" t="s">
        <v>276</v>
      </c>
      <c r="B225" s="191">
        <v>0</v>
      </c>
      <c r="C225" s="191">
        <f t="shared" si="61"/>
        <v>0</v>
      </c>
      <c r="D225" s="191">
        <f t="shared" si="61"/>
        <v>0</v>
      </c>
      <c r="E225" s="191">
        <f t="shared" si="61"/>
        <v>0</v>
      </c>
      <c r="F225" s="191">
        <f t="shared" si="61"/>
        <v>0</v>
      </c>
      <c r="G225" s="191">
        <f t="shared" si="61"/>
        <v>0</v>
      </c>
      <c r="H225" s="191">
        <f t="shared" si="61"/>
        <v>0</v>
      </c>
      <c r="I225" s="191">
        <f t="shared" si="61"/>
        <v>0</v>
      </c>
      <c r="J225" s="191">
        <f t="shared" si="61"/>
        <v>0</v>
      </c>
      <c r="K225" s="191">
        <f t="shared" si="61"/>
        <v>0</v>
      </c>
      <c r="L225" s="191">
        <f t="shared" si="61"/>
        <v>0</v>
      </c>
      <c r="M225" s="191">
        <f t="shared" si="61"/>
        <v>0</v>
      </c>
      <c r="N225" s="191">
        <f t="shared" si="61"/>
        <v>0</v>
      </c>
      <c r="O225" s="191">
        <f t="shared" si="61"/>
        <v>0</v>
      </c>
      <c r="P225" s="191">
        <f t="shared" si="61"/>
        <v>0</v>
      </c>
      <c r="Q225" s="191">
        <f t="shared" si="61"/>
        <v>0</v>
      </c>
      <c r="R225" s="191">
        <f t="shared" si="61"/>
        <v>0</v>
      </c>
      <c r="S225" s="191">
        <f t="shared" si="60"/>
        <v>0</v>
      </c>
      <c r="T225" s="191">
        <f t="shared" si="60"/>
        <v>0</v>
      </c>
      <c r="U225" s="191">
        <f t="shared" si="60"/>
        <v>0</v>
      </c>
      <c r="V225" s="191">
        <f t="shared" si="60"/>
        <v>0</v>
      </c>
      <c r="W225" s="191">
        <f t="shared" si="60"/>
        <v>0</v>
      </c>
      <c r="X225" s="191">
        <f t="shared" si="60"/>
        <v>0</v>
      </c>
      <c r="Y225" s="191">
        <f t="shared" si="60"/>
        <v>0</v>
      </c>
      <c r="Z225" s="191">
        <f t="shared" si="60"/>
        <v>0</v>
      </c>
      <c r="AA225" s="191">
        <f t="shared" si="60"/>
        <v>0</v>
      </c>
      <c r="AB225" s="191">
        <f t="shared" si="60"/>
        <v>0</v>
      </c>
      <c r="AC225" s="191">
        <f t="shared" si="60"/>
        <v>0</v>
      </c>
      <c r="AD225" s="191">
        <f t="shared" si="60"/>
        <v>0</v>
      </c>
      <c r="AE225" s="191">
        <f t="shared" si="60"/>
        <v>0</v>
      </c>
      <c r="AF225" s="204">
        <f t="shared" si="60"/>
        <v>0</v>
      </c>
      <c r="AG225" s="216">
        <v>4.5</v>
      </c>
      <c r="AH225" s="46"/>
      <c r="AI225" s="47"/>
      <c r="AK225" s="49"/>
    </row>
    <row r="226" spans="1:37" x14ac:dyDescent="0.25">
      <c r="A226" s="73" t="s">
        <v>277</v>
      </c>
      <c r="B226" s="191">
        <v>0</v>
      </c>
      <c r="C226" s="191">
        <f t="shared" si="61"/>
        <v>0</v>
      </c>
      <c r="D226" s="191">
        <f t="shared" si="61"/>
        <v>0</v>
      </c>
      <c r="E226" s="191">
        <f t="shared" si="61"/>
        <v>0</v>
      </c>
      <c r="F226" s="191">
        <f t="shared" si="61"/>
        <v>0</v>
      </c>
      <c r="G226" s="191">
        <f t="shared" si="61"/>
        <v>0</v>
      </c>
      <c r="H226" s="191">
        <f t="shared" si="61"/>
        <v>0</v>
      </c>
      <c r="I226" s="191">
        <f t="shared" si="61"/>
        <v>0</v>
      </c>
      <c r="J226" s="191">
        <f t="shared" si="61"/>
        <v>0</v>
      </c>
      <c r="K226" s="191">
        <f t="shared" si="61"/>
        <v>0</v>
      </c>
      <c r="L226" s="191">
        <f t="shared" si="61"/>
        <v>0</v>
      </c>
      <c r="M226" s="191">
        <f t="shared" si="61"/>
        <v>0</v>
      </c>
      <c r="N226" s="191">
        <f t="shared" si="61"/>
        <v>0</v>
      </c>
      <c r="O226" s="191">
        <f t="shared" si="61"/>
        <v>0</v>
      </c>
      <c r="P226" s="191">
        <f t="shared" si="61"/>
        <v>0</v>
      </c>
      <c r="Q226" s="191">
        <f t="shared" si="61"/>
        <v>0</v>
      </c>
      <c r="R226" s="191">
        <f t="shared" si="61"/>
        <v>0</v>
      </c>
      <c r="S226" s="191">
        <f t="shared" si="60"/>
        <v>0</v>
      </c>
      <c r="T226" s="191">
        <f t="shared" si="60"/>
        <v>0</v>
      </c>
      <c r="U226" s="191">
        <f t="shared" si="60"/>
        <v>0</v>
      </c>
      <c r="V226" s="191">
        <f t="shared" si="60"/>
        <v>0</v>
      </c>
      <c r="W226" s="191">
        <f t="shared" si="60"/>
        <v>0</v>
      </c>
      <c r="X226" s="191">
        <f t="shared" si="60"/>
        <v>0</v>
      </c>
      <c r="Y226" s="191">
        <f t="shared" si="60"/>
        <v>0</v>
      </c>
      <c r="Z226" s="191">
        <f t="shared" si="60"/>
        <v>0</v>
      </c>
      <c r="AA226" s="191">
        <f t="shared" si="60"/>
        <v>0</v>
      </c>
      <c r="AB226" s="191">
        <f t="shared" si="60"/>
        <v>0</v>
      </c>
      <c r="AC226" s="191">
        <f t="shared" si="60"/>
        <v>0</v>
      </c>
      <c r="AD226" s="191">
        <f t="shared" si="60"/>
        <v>0</v>
      </c>
      <c r="AE226" s="191">
        <f t="shared" si="60"/>
        <v>0</v>
      </c>
      <c r="AF226" s="204">
        <f t="shared" si="60"/>
        <v>0</v>
      </c>
      <c r="AG226" s="216">
        <v>4.5</v>
      </c>
      <c r="AH226" s="46"/>
      <c r="AI226" s="47"/>
      <c r="AK226" s="49"/>
    </row>
    <row r="227" spans="1:37" x14ac:dyDescent="0.25">
      <c r="A227" s="73" t="s">
        <v>278</v>
      </c>
      <c r="B227" s="191">
        <v>0</v>
      </c>
      <c r="C227" s="191">
        <f t="shared" si="61"/>
        <v>0</v>
      </c>
      <c r="D227" s="191">
        <f t="shared" si="61"/>
        <v>0</v>
      </c>
      <c r="E227" s="191">
        <f t="shared" si="61"/>
        <v>0</v>
      </c>
      <c r="F227" s="191">
        <f t="shared" si="61"/>
        <v>0</v>
      </c>
      <c r="G227" s="191">
        <f t="shared" si="61"/>
        <v>0</v>
      </c>
      <c r="H227" s="191">
        <f t="shared" si="61"/>
        <v>0</v>
      </c>
      <c r="I227" s="191">
        <f t="shared" si="61"/>
        <v>0</v>
      </c>
      <c r="J227" s="191">
        <f t="shared" si="61"/>
        <v>0</v>
      </c>
      <c r="K227" s="191">
        <f t="shared" si="61"/>
        <v>0</v>
      </c>
      <c r="L227" s="191">
        <f t="shared" si="61"/>
        <v>0</v>
      </c>
      <c r="M227" s="191">
        <f t="shared" si="61"/>
        <v>0</v>
      </c>
      <c r="N227" s="191">
        <f t="shared" si="61"/>
        <v>0</v>
      </c>
      <c r="O227" s="191">
        <f t="shared" si="61"/>
        <v>0</v>
      </c>
      <c r="P227" s="191">
        <f t="shared" si="61"/>
        <v>0</v>
      </c>
      <c r="Q227" s="191">
        <f t="shared" si="61"/>
        <v>0</v>
      </c>
      <c r="R227" s="191">
        <f t="shared" si="61"/>
        <v>0</v>
      </c>
      <c r="S227" s="191">
        <f t="shared" si="60"/>
        <v>0</v>
      </c>
      <c r="T227" s="191">
        <f t="shared" si="60"/>
        <v>0</v>
      </c>
      <c r="U227" s="191">
        <f t="shared" si="60"/>
        <v>0</v>
      </c>
      <c r="V227" s="191">
        <f t="shared" si="60"/>
        <v>0</v>
      </c>
      <c r="W227" s="191">
        <f t="shared" si="60"/>
        <v>0</v>
      </c>
      <c r="X227" s="191">
        <f t="shared" si="60"/>
        <v>0</v>
      </c>
      <c r="Y227" s="191">
        <f t="shared" si="60"/>
        <v>0</v>
      </c>
      <c r="Z227" s="191">
        <f t="shared" si="60"/>
        <v>0</v>
      </c>
      <c r="AA227" s="191">
        <f t="shared" si="60"/>
        <v>0</v>
      </c>
      <c r="AB227" s="191">
        <f t="shared" si="60"/>
        <v>0</v>
      </c>
      <c r="AC227" s="191">
        <f t="shared" si="60"/>
        <v>0</v>
      </c>
      <c r="AD227" s="191">
        <f t="shared" si="60"/>
        <v>0</v>
      </c>
      <c r="AE227" s="191">
        <f t="shared" si="60"/>
        <v>0</v>
      </c>
      <c r="AF227" s="204">
        <f t="shared" si="60"/>
        <v>0</v>
      </c>
      <c r="AG227" s="216">
        <v>4.4550000000000001</v>
      </c>
      <c r="AH227" s="46"/>
      <c r="AI227" s="47"/>
      <c r="AK227" s="49"/>
    </row>
    <row r="228" spans="1:37" x14ac:dyDescent="0.25">
      <c r="A228" s="73" t="s">
        <v>279</v>
      </c>
      <c r="B228" s="191">
        <v>0</v>
      </c>
      <c r="C228" s="191">
        <f t="shared" si="61"/>
        <v>0</v>
      </c>
      <c r="D228" s="191">
        <f t="shared" si="61"/>
        <v>0</v>
      </c>
      <c r="E228" s="191">
        <f t="shared" si="61"/>
        <v>0</v>
      </c>
      <c r="F228" s="191">
        <f t="shared" si="61"/>
        <v>0</v>
      </c>
      <c r="G228" s="191">
        <f t="shared" si="61"/>
        <v>0</v>
      </c>
      <c r="H228" s="191">
        <f t="shared" si="61"/>
        <v>0</v>
      </c>
      <c r="I228" s="191">
        <f t="shared" si="61"/>
        <v>0</v>
      </c>
      <c r="J228" s="191">
        <f t="shared" si="61"/>
        <v>0</v>
      </c>
      <c r="K228" s="191">
        <f t="shared" si="61"/>
        <v>0</v>
      </c>
      <c r="L228" s="191">
        <f t="shared" si="61"/>
        <v>0</v>
      </c>
      <c r="M228" s="191">
        <f t="shared" si="61"/>
        <v>0</v>
      </c>
      <c r="N228" s="191">
        <f t="shared" si="61"/>
        <v>0</v>
      </c>
      <c r="O228" s="191">
        <f t="shared" si="61"/>
        <v>0</v>
      </c>
      <c r="P228" s="191">
        <f t="shared" si="61"/>
        <v>0</v>
      </c>
      <c r="Q228" s="191">
        <f t="shared" si="61"/>
        <v>0</v>
      </c>
      <c r="R228" s="191">
        <f t="shared" si="61"/>
        <v>0</v>
      </c>
      <c r="S228" s="191">
        <f t="shared" si="60"/>
        <v>0</v>
      </c>
      <c r="T228" s="191">
        <f t="shared" si="60"/>
        <v>0</v>
      </c>
      <c r="U228" s="191">
        <f t="shared" si="60"/>
        <v>0</v>
      </c>
      <c r="V228" s="191">
        <f t="shared" si="60"/>
        <v>0</v>
      </c>
      <c r="W228" s="191">
        <f t="shared" si="60"/>
        <v>0</v>
      </c>
      <c r="X228" s="191">
        <f t="shared" si="60"/>
        <v>0</v>
      </c>
      <c r="Y228" s="191">
        <f t="shared" si="60"/>
        <v>0</v>
      </c>
      <c r="Z228" s="191">
        <f t="shared" si="60"/>
        <v>0</v>
      </c>
      <c r="AA228" s="191">
        <f t="shared" si="60"/>
        <v>0</v>
      </c>
      <c r="AB228" s="191">
        <f t="shared" si="60"/>
        <v>0</v>
      </c>
      <c r="AC228" s="191">
        <f t="shared" si="60"/>
        <v>0</v>
      </c>
      <c r="AD228" s="191">
        <f t="shared" si="60"/>
        <v>0</v>
      </c>
      <c r="AE228" s="191">
        <f t="shared" si="60"/>
        <v>0</v>
      </c>
      <c r="AF228" s="204">
        <f t="shared" si="60"/>
        <v>0</v>
      </c>
      <c r="AG228" s="216">
        <v>4.41</v>
      </c>
      <c r="AH228" s="46"/>
      <c r="AI228" s="47"/>
      <c r="AK228" s="49"/>
    </row>
    <row r="229" spans="1:37" x14ac:dyDescent="0.25">
      <c r="A229" s="73" t="s">
        <v>280</v>
      </c>
      <c r="B229" s="191">
        <v>0</v>
      </c>
      <c r="C229" s="191">
        <f t="shared" si="61"/>
        <v>0</v>
      </c>
      <c r="D229" s="191">
        <f t="shared" si="61"/>
        <v>0</v>
      </c>
      <c r="E229" s="191">
        <f t="shared" si="61"/>
        <v>0</v>
      </c>
      <c r="F229" s="191">
        <f t="shared" si="61"/>
        <v>0</v>
      </c>
      <c r="G229" s="191">
        <f t="shared" si="61"/>
        <v>0</v>
      </c>
      <c r="H229" s="191">
        <f t="shared" si="61"/>
        <v>0</v>
      </c>
      <c r="I229" s="191">
        <f t="shared" si="61"/>
        <v>0</v>
      </c>
      <c r="J229" s="191">
        <f t="shared" si="61"/>
        <v>0</v>
      </c>
      <c r="K229" s="191">
        <f t="shared" si="61"/>
        <v>0</v>
      </c>
      <c r="L229" s="191">
        <f t="shared" si="61"/>
        <v>0</v>
      </c>
      <c r="M229" s="191">
        <f t="shared" si="61"/>
        <v>0</v>
      </c>
      <c r="N229" s="191">
        <f t="shared" si="61"/>
        <v>0</v>
      </c>
      <c r="O229" s="191">
        <f t="shared" si="61"/>
        <v>0</v>
      </c>
      <c r="P229" s="191">
        <f t="shared" si="61"/>
        <v>0</v>
      </c>
      <c r="Q229" s="191">
        <f t="shared" si="61"/>
        <v>0</v>
      </c>
      <c r="R229" s="191">
        <f t="shared" si="61"/>
        <v>0</v>
      </c>
      <c r="S229" s="191">
        <f t="shared" si="60"/>
        <v>0</v>
      </c>
      <c r="T229" s="191">
        <f t="shared" si="60"/>
        <v>0</v>
      </c>
      <c r="U229" s="191">
        <f t="shared" si="60"/>
        <v>0</v>
      </c>
      <c r="V229" s="191">
        <f t="shared" si="60"/>
        <v>0</v>
      </c>
      <c r="W229" s="191">
        <f t="shared" si="60"/>
        <v>0</v>
      </c>
      <c r="X229" s="191">
        <f t="shared" si="60"/>
        <v>0</v>
      </c>
      <c r="Y229" s="191">
        <f t="shared" si="60"/>
        <v>0</v>
      </c>
      <c r="Z229" s="191">
        <f t="shared" si="60"/>
        <v>0</v>
      </c>
      <c r="AA229" s="191">
        <f t="shared" si="60"/>
        <v>0</v>
      </c>
      <c r="AB229" s="191">
        <f t="shared" si="60"/>
        <v>0</v>
      </c>
      <c r="AC229" s="191">
        <f t="shared" si="60"/>
        <v>0</v>
      </c>
      <c r="AD229" s="191">
        <f t="shared" si="60"/>
        <v>0</v>
      </c>
      <c r="AE229" s="191">
        <f t="shared" si="60"/>
        <v>0</v>
      </c>
      <c r="AF229" s="204">
        <f t="shared" si="60"/>
        <v>0</v>
      </c>
      <c r="AG229" s="216">
        <v>4.4000000000000004</v>
      </c>
      <c r="AH229" s="46"/>
      <c r="AI229" s="47"/>
      <c r="AK229" s="49"/>
    </row>
    <row r="230" spans="1:37" x14ac:dyDescent="0.25">
      <c r="A230" s="73" t="s">
        <v>281</v>
      </c>
      <c r="B230" s="191">
        <v>0</v>
      </c>
      <c r="C230" s="191">
        <f t="shared" si="61"/>
        <v>0</v>
      </c>
      <c r="D230" s="191">
        <f t="shared" si="61"/>
        <v>0</v>
      </c>
      <c r="E230" s="191">
        <f t="shared" si="61"/>
        <v>0</v>
      </c>
      <c r="F230" s="191">
        <f t="shared" si="61"/>
        <v>0</v>
      </c>
      <c r="G230" s="191">
        <f t="shared" si="61"/>
        <v>0</v>
      </c>
      <c r="H230" s="191">
        <f t="shared" si="61"/>
        <v>0</v>
      </c>
      <c r="I230" s="191">
        <f t="shared" si="61"/>
        <v>0</v>
      </c>
      <c r="J230" s="191">
        <f t="shared" si="61"/>
        <v>0</v>
      </c>
      <c r="K230" s="191">
        <f t="shared" si="61"/>
        <v>0</v>
      </c>
      <c r="L230" s="191">
        <f t="shared" si="61"/>
        <v>0</v>
      </c>
      <c r="M230" s="191">
        <f t="shared" si="61"/>
        <v>0</v>
      </c>
      <c r="N230" s="191">
        <f t="shared" si="61"/>
        <v>0</v>
      </c>
      <c r="O230" s="191">
        <f t="shared" si="61"/>
        <v>0</v>
      </c>
      <c r="P230" s="191">
        <f t="shared" si="61"/>
        <v>0</v>
      </c>
      <c r="Q230" s="191">
        <f t="shared" si="61"/>
        <v>0</v>
      </c>
      <c r="R230" s="191">
        <f t="shared" si="61"/>
        <v>0</v>
      </c>
      <c r="S230" s="191">
        <f t="shared" si="60"/>
        <v>0</v>
      </c>
      <c r="T230" s="191">
        <f t="shared" si="60"/>
        <v>0</v>
      </c>
      <c r="U230" s="191">
        <f t="shared" si="60"/>
        <v>0</v>
      </c>
      <c r="V230" s="191">
        <f t="shared" si="60"/>
        <v>0</v>
      </c>
      <c r="W230" s="191">
        <f t="shared" si="60"/>
        <v>0</v>
      </c>
      <c r="X230" s="191">
        <f t="shared" si="60"/>
        <v>0</v>
      </c>
      <c r="Y230" s="191">
        <f t="shared" si="60"/>
        <v>0</v>
      </c>
      <c r="Z230" s="191">
        <f t="shared" si="60"/>
        <v>0</v>
      </c>
      <c r="AA230" s="191">
        <f t="shared" si="60"/>
        <v>0</v>
      </c>
      <c r="AB230" s="191">
        <f t="shared" si="60"/>
        <v>0</v>
      </c>
      <c r="AC230" s="191">
        <f t="shared" si="60"/>
        <v>0</v>
      </c>
      <c r="AD230" s="191">
        <f t="shared" si="60"/>
        <v>0</v>
      </c>
      <c r="AE230" s="191">
        <f t="shared" si="60"/>
        <v>0</v>
      </c>
      <c r="AF230" s="204">
        <f t="shared" si="60"/>
        <v>0</v>
      </c>
      <c r="AG230" s="216">
        <v>4.3600000000000003</v>
      </c>
      <c r="AH230" s="46"/>
      <c r="AI230" s="47"/>
      <c r="AK230" s="49"/>
    </row>
    <row r="231" spans="1:37" x14ac:dyDescent="0.25">
      <c r="A231" s="73" t="s">
        <v>282</v>
      </c>
      <c r="B231" s="191">
        <v>0</v>
      </c>
      <c r="C231" s="191">
        <f t="shared" si="61"/>
        <v>0</v>
      </c>
      <c r="D231" s="191">
        <f t="shared" si="61"/>
        <v>0</v>
      </c>
      <c r="E231" s="191">
        <f t="shared" si="61"/>
        <v>0</v>
      </c>
      <c r="F231" s="191">
        <f t="shared" si="61"/>
        <v>0</v>
      </c>
      <c r="G231" s="191">
        <f t="shared" si="61"/>
        <v>0</v>
      </c>
      <c r="H231" s="191">
        <f t="shared" si="61"/>
        <v>0</v>
      </c>
      <c r="I231" s="191">
        <f t="shared" si="61"/>
        <v>0</v>
      </c>
      <c r="J231" s="191">
        <f t="shared" si="61"/>
        <v>0</v>
      </c>
      <c r="K231" s="191">
        <f t="shared" si="61"/>
        <v>0</v>
      </c>
      <c r="L231" s="191">
        <f t="shared" si="61"/>
        <v>0</v>
      </c>
      <c r="M231" s="191">
        <f t="shared" si="61"/>
        <v>0</v>
      </c>
      <c r="N231" s="191">
        <f t="shared" si="61"/>
        <v>0</v>
      </c>
      <c r="O231" s="191">
        <f t="shared" si="61"/>
        <v>0</v>
      </c>
      <c r="P231" s="191">
        <f t="shared" si="61"/>
        <v>0</v>
      </c>
      <c r="Q231" s="191">
        <f t="shared" si="61"/>
        <v>0</v>
      </c>
      <c r="R231" s="191">
        <f t="shared" si="61"/>
        <v>0</v>
      </c>
      <c r="S231" s="191">
        <f t="shared" si="60"/>
        <v>0</v>
      </c>
      <c r="T231" s="191">
        <f t="shared" si="60"/>
        <v>0</v>
      </c>
      <c r="U231" s="191">
        <f t="shared" si="60"/>
        <v>0</v>
      </c>
      <c r="V231" s="191">
        <f t="shared" si="60"/>
        <v>0</v>
      </c>
      <c r="W231" s="191">
        <f t="shared" si="60"/>
        <v>0</v>
      </c>
      <c r="X231" s="191">
        <f t="shared" si="60"/>
        <v>0</v>
      </c>
      <c r="Y231" s="191">
        <f t="shared" si="60"/>
        <v>0</v>
      </c>
      <c r="Z231" s="191">
        <f t="shared" si="60"/>
        <v>0</v>
      </c>
      <c r="AA231" s="191">
        <f t="shared" si="60"/>
        <v>0</v>
      </c>
      <c r="AB231" s="191">
        <f t="shared" si="60"/>
        <v>0</v>
      </c>
      <c r="AC231" s="191">
        <f t="shared" si="60"/>
        <v>0</v>
      </c>
      <c r="AD231" s="191">
        <f t="shared" si="60"/>
        <v>0</v>
      </c>
      <c r="AE231" s="191">
        <f t="shared" si="60"/>
        <v>0</v>
      </c>
      <c r="AF231" s="204">
        <f t="shared" si="60"/>
        <v>0</v>
      </c>
      <c r="AG231" s="216">
        <v>4.2</v>
      </c>
      <c r="AH231" s="46"/>
      <c r="AI231" s="47"/>
      <c r="AK231" s="49"/>
    </row>
    <row r="232" spans="1:37" x14ac:dyDescent="0.25">
      <c r="A232" s="73" t="s">
        <v>283</v>
      </c>
      <c r="B232" s="191">
        <v>0</v>
      </c>
      <c r="C232" s="191">
        <f t="shared" si="61"/>
        <v>0</v>
      </c>
      <c r="D232" s="191">
        <f t="shared" si="61"/>
        <v>0</v>
      </c>
      <c r="E232" s="191">
        <f t="shared" si="61"/>
        <v>0</v>
      </c>
      <c r="F232" s="191">
        <f t="shared" si="61"/>
        <v>0</v>
      </c>
      <c r="G232" s="191">
        <f t="shared" si="61"/>
        <v>0</v>
      </c>
      <c r="H232" s="191">
        <f t="shared" si="61"/>
        <v>0</v>
      </c>
      <c r="I232" s="191">
        <f t="shared" si="61"/>
        <v>0</v>
      </c>
      <c r="J232" s="191">
        <f t="shared" si="61"/>
        <v>0</v>
      </c>
      <c r="K232" s="191">
        <f t="shared" si="61"/>
        <v>0</v>
      </c>
      <c r="L232" s="191">
        <f t="shared" si="61"/>
        <v>0</v>
      </c>
      <c r="M232" s="191">
        <f t="shared" si="61"/>
        <v>0</v>
      </c>
      <c r="N232" s="191">
        <f t="shared" si="61"/>
        <v>0</v>
      </c>
      <c r="O232" s="191">
        <f t="shared" si="61"/>
        <v>0</v>
      </c>
      <c r="P232" s="191">
        <f t="shared" si="61"/>
        <v>0</v>
      </c>
      <c r="Q232" s="191">
        <f t="shared" si="61"/>
        <v>0</v>
      </c>
      <c r="R232" s="191">
        <f t="shared" si="61"/>
        <v>0</v>
      </c>
      <c r="S232" s="191">
        <f t="shared" si="60"/>
        <v>0</v>
      </c>
      <c r="T232" s="191">
        <f t="shared" si="60"/>
        <v>0</v>
      </c>
      <c r="U232" s="191">
        <f t="shared" si="60"/>
        <v>0</v>
      </c>
      <c r="V232" s="191">
        <f t="shared" si="60"/>
        <v>0</v>
      </c>
      <c r="W232" s="191">
        <f t="shared" si="60"/>
        <v>0</v>
      </c>
      <c r="X232" s="191">
        <f t="shared" si="60"/>
        <v>0</v>
      </c>
      <c r="Y232" s="191">
        <f t="shared" si="60"/>
        <v>0</v>
      </c>
      <c r="Z232" s="191">
        <f t="shared" si="60"/>
        <v>0</v>
      </c>
      <c r="AA232" s="191">
        <f t="shared" si="60"/>
        <v>0</v>
      </c>
      <c r="AB232" s="191">
        <f t="shared" si="60"/>
        <v>0</v>
      </c>
      <c r="AC232" s="191">
        <f t="shared" si="60"/>
        <v>0</v>
      </c>
      <c r="AD232" s="191">
        <f t="shared" si="60"/>
        <v>0</v>
      </c>
      <c r="AE232" s="191">
        <f t="shared" si="60"/>
        <v>0</v>
      </c>
      <c r="AF232" s="204">
        <f t="shared" si="60"/>
        <v>0</v>
      </c>
      <c r="AG232" s="216">
        <v>4</v>
      </c>
      <c r="AH232" s="46"/>
      <c r="AI232" s="47"/>
      <c r="AK232" s="49"/>
    </row>
    <row r="233" spans="1:37" x14ac:dyDescent="0.25">
      <c r="A233" s="73" t="s">
        <v>284</v>
      </c>
      <c r="B233" s="191">
        <v>0</v>
      </c>
      <c r="C233" s="191">
        <f t="shared" si="61"/>
        <v>0</v>
      </c>
      <c r="D233" s="191">
        <f t="shared" si="61"/>
        <v>0</v>
      </c>
      <c r="E233" s="191">
        <f t="shared" si="61"/>
        <v>0</v>
      </c>
      <c r="F233" s="191">
        <f t="shared" si="61"/>
        <v>0</v>
      </c>
      <c r="G233" s="191">
        <f t="shared" si="61"/>
        <v>0</v>
      </c>
      <c r="H233" s="191">
        <f t="shared" si="61"/>
        <v>0</v>
      </c>
      <c r="I233" s="191">
        <f t="shared" si="61"/>
        <v>0</v>
      </c>
      <c r="J233" s="191">
        <f t="shared" si="61"/>
        <v>0</v>
      </c>
      <c r="K233" s="191">
        <f t="shared" si="61"/>
        <v>0</v>
      </c>
      <c r="L233" s="191">
        <f t="shared" si="61"/>
        <v>0</v>
      </c>
      <c r="M233" s="191">
        <f t="shared" si="61"/>
        <v>0</v>
      </c>
      <c r="N233" s="191">
        <f t="shared" si="61"/>
        <v>0</v>
      </c>
      <c r="O233" s="191">
        <f t="shared" si="61"/>
        <v>0</v>
      </c>
      <c r="P233" s="191">
        <f t="shared" si="61"/>
        <v>0</v>
      </c>
      <c r="Q233" s="191">
        <f t="shared" si="61"/>
        <v>0</v>
      </c>
      <c r="R233" s="191">
        <f t="shared" ref="R233:AF248" si="62">Q233</f>
        <v>0</v>
      </c>
      <c r="S233" s="191">
        <f t="shared" si="62"/>
        <v>0</v>
      </c>
      <c r="T233" s="191">
        <f t="shared" si="62"/>
        <v>0</v>
      </c>
      <c r="U233" s="191">
        <f t="shared" si="62"/>
        <v>0</v>
      </c>
      <c r="V233" s="191">
        <f t="shared" si="62"/>
        <v>0</v>
      </c>
      <c r="W233" s="191">
        <f t="shared" si="62"/>
        <v>0</v>
      </c>
      <c r="X233" s="191">
        <f t="shared" si="62"/>
        <v>0</v>
      </c>
      <c r="Y233" s="191">
        <f t="shared" si="62"/>
        <v>0</v>
      </c>
      <c r="Z233" s="191">
        <f t="shared" si="62"/>
        <v>0</v>
      </c>
      <c r="AA233" s="191">
        <f t="shared" si="62"/>
        <v>0</v>
      </c>
      <c r="AB233" s="191">
        <f t="shared" si="62"/>
        <v>0</v>
      </c>
      <c r="AC233" s="191">
        <f t="shared" si="62"/>
        <v>0</v>
      </c>
      <c r="AD233" s="191">
        <f t="shared" si="62"/>
        <v>0</v>
      </c>
      <c r="AE233" s="191">
        <f t="shared" si="62"/>
        <v>0</v>
      </c>
      <c r="AF233" s="204">
        <f t="shared" si="62"/>
        <v>0</v>
      </c>
      <c r="AG233" s="216">
        <v>4</v>
      </c>
      <c r="AH233" s="46"/>
      <c r="AI233" s="47"/>
      <c r="AK233" s="49"/>
    </row>
    <row r="234" spans="1:37" x14ac:dyDescent="0.25">
      <c r="A234" s="73" t="s">
        <v>285</v>
      </c>
      <c r="B234" s="191">
        <v>0</v>
      </c>
      <c r="C234" s="191">
        <f t="shared" ref="C234:R249" si="63">B234</f>
        <v>0</v>
      </c>
      <c r="D234" s="191">
        <f t="shared" si="63"/>
        <v>0</v>
      </c>
      <c r="E234" s="191">
        <f t="shared" si="63"/>
        <v>0</v>
      </c>
      <c r="F234" s="191">
        <f t="shared" si="63"/>
        <v>0</v>
      </c>
      <c r="G234" s="191">
        <f t="shared" si="63"/>
        <v>0</v>
      </c>
      <c r="H234" s="191">
        <f t="shared" si="63"/>
        <v>0</v>
      </c>
      <c r="I234" s="191">
        <f t="shared" si="63"/>
        <v>0</v>
      </c>
      <c r="J234" s="191">
        <f t="shared" si="63"/>
        <v>0</v>
      </c>
      <c r="K234" s="191">
        <f t="shared" si="63"/>
        <v>0</v>
      </c>
      <c r="L234" s="191">
        <f t="shared" si="63"/>
        <v>0</v>
      </c>
      <c r="M234" s="191">
        <f t="shared" si="63"/>
        <v>0</v>
      </c>
      <c r="N234" s="191">
        <f t="shared" si="63"/>
        <v>0</v>
      </c>
      <c r="O234" s="191">
        <f t="shared" si="63"/>
        <v>0</v>
      </c>
      <c r="P234" s="191">
        <f t="shared" si="63"/>
        <v>0</v>
      </c>
      <c r="Q234" s="191">
        <f t="shared" si="63"/>
        <v>0</v>
      </c>
      <c r="R234" s="191">
        <f t="shared" si="63"/>
        <v>0</v>
      </c>
      <c r="S234" s="191">
        <f t="shared" si="62"/>
        <v>0</v>
      </c>
      <c r="T234" s="191">
        <f t="shared" si="62"/>
        <v>0</v>
      </c>
      <c r="U234" s="191">
        <f t="shared" si="62"/>
        <v>0</v>
      </c>
      <c r="V234" s="191">
        <f t="shared" si="62"/>
        <v>0</v>
      </c>
      <c r="W234" s="191">
        <f t="shared" si="62"/>
        <v>0</v>
      </c>
      <c r="X234" s="191">
        <f t="shared" si="62"/>
        <v>0</v>
      </c>
      <c r="Y234" s="191">
        <f t="shared" si="62"/>
        <v>0</v>
      </c>
      <c r="Z234" s="191">
        <f t="shared" si="62"/>
        <v>0</v>
      </c>
      <c r="AA234" s="191">
        <f t="shared" si="62"/>
        <v>0</v>
      </c>
      <c r="AB234" s="191">
        <f t="shared" si="62"/>
        <v>0</v>
      </c>
      <c r="AC234" s="191">
        <f t="shared" si="62"/>
        <v>0</v>
      </c>
      <c r="AD234" s="191">
        <f t="shared" si="62"/>
        <v>0</v>
      </c>
      <c r="AE234" s="191">
        <f t="shared" si="62"/>
        <v>0</v>
      </c>
      <c r="AF234" s="204">
        <f t="shared" si="62"/>
        <v>0</v>
      </c>
      <c r="AG234" s="216">
        <v>4</v>
      </c>
      <c r="AH234" s="46"/>
      <c r="AI234" s="47"/>
      <c r="AK234" s="49"/>
    </row>
    <row r="235" spans="1:37" x14ac:dyDescent="0.25">
      <c r="A235" s="73" t="s">
        <v>286</v>
      </c>
      <c r="B235" s="191">
        <v>0</v>
      </c>
      <c r="C235" s="191">
        <f t="shared" si="63"/>
        <v>0</v>
      </c>
      <c r="D235" s="191">
        <f t="shared" si="63"/>
        <v>0</v>
      </c>
      <c r="E235" s="191">
        <f t="shared" si="63"/>
        <v>0</v>
      </c>
      <c r="F235" s="191">
        <f t="shared" si="63"/>
        <v>0</v>
      </c>
      <c r="G235" s="191">
        <f t="shared" si="63"/>
        <v>0</v>
      </c>
      <c r="H235" s="191">
        <f t="shared" si="63"/>
        <v>0</v>
      </c>
      <c r="I235" s="191">
        <f t="shared" si="63"/>
        <v>0</v>
      </c>
      <c r="J235" s="191">
        <f t="shared" si="63"/>
        <v>0</v>
      </c>
      <c r="K235" s="191">
        <f t="shared" si="63"/>
        <v>0</v>
      </c>
      <c r="L235" s="191">
        <f t="shared" si="63"/>
        <v>0</v>
      </c>
      <c r="M235" s="191">
        <f t="shared" si="63"/>
        <v>0</v>
      </c>
      <c r="N235" s="191">
        <f t="shared" si="63"/>
        <v>0</v>
      </c>
      <c r="O235" s="191">
        <f t="shared" si="63"/>
        <v>0</v>
      </c>
      <c r="P235" s="191">
        <f t="shared" si="63"/>
        <v>0</v>
      </c>
      <c r="Q235" s="191">
        <f t="shared" si="63"/>
        <v>0</v>
      </c>
      <c r="R235" s="191">
        <f t="shared" si="63"/>
        <v>0</v>
      </c>
      <c r="S235" s="191">
        <f t="shared" si="62"/>
        <v>0</v>
      </c>
      <c r="T235" s="191">
        <f t="shared" si="62"/>
        <v>0</v>
      </c>
      <c r="U235" s="191">
        <f t="shared" si="62"/>
        <v>0</v>
      </c>
      <c r="V235" s="191">
        <f t="shared" si="62"/>
        <v>0</v>
      </c>
      <c r="W235" s="191">
        <f t="shared" si="62"/>
        <v>0</v>
      </c>
      <c r="X235" s="191">
        <f t="shared" si="62"/>
        <v>0</v>
      </c>
      <c r="Y235" s="191">
        <f t="shared" si="62"/>
        <v>0</v>
      </c>
      <c r="Z235" s="191">
        <f t="shared" si="62"/>
        <v>0</v>
      </c>
      <c r="AA235" s="191">
        <f t="shared" si="62"/>
        <v>0</v>
      </c>
      <c r="AB235" s="191">
        <f t="shared" si="62"/>
        <v>0</v>
      </c>
      <c r="AC235" s="191">
        <f t="shared" si="62"/>
        <v>0</v>
      </c>
      <c r="AD235" s="191">
        <f t="shared" si="62"/>
        <v>0</v>
      </c>
      <c r="AE235" s="191">
        <f t="shared" si="62"/>
        <v>0</v>
      </c>
      <c r="AF235" s="204">
        <f t="shared" si="62"/>
        <v>0</v>
      </c>
      <c r="AG235" s="216">
        <v>4</v>
      </c>
      <c r="AH235" s="46"/>
      <c r="AI235" s="47"/>
      <c r="AK235" s="49"/>
    </row>
    <row r="236" spans="1:37" x14ac:dyDescent="0.25">
      <c r="A236" s="73" t="s">
        <v>287</v>
      </c>
      <c r="B236" s="191">
        <v>0</v>
      </c>
      <c r="C236" s="191">
        <f t="shared" si="63"/>
        <v>0</v>
      </c>
      <c r="D236" s="191">
        <f t="shared" si="63"/>
        <v>0</v>
      </c>
      <c r="E236" s="191">
        <f t="shared" si="63"/>
        <v>0</v>
      </c>
      <c r="F236" s="191">
        <f t="shared" si="63"/>
        <v>0</v>
      </c>
      <c r="G236" s="191">
        <f t="shared" si="63"/>
        <v>0</v>
      </c>
      <c r="H236" s="191">
        <f t="shared" si="63"/>
        <v>0</v>
      </c>
      <c r="I236" s="191">
        <f t="shared" si="63"/>
        <v>0</v>
      </c>
      <c r="J236" s="191">
        <f t="shared" si="63"/>
        <v>0</v>
      </c>
      <c r="K236" s="191">
        <f t="shared" si="63"/>
        <v>0</v>
      </c>
      <c r="L236" s="191">
        <f t="shared" si="63"/>
        <v>0</v>
      </c>
      <c r="M236" s="191">
        <f t="shared" si="63"/>
        <v>0</v>
      </c>
      <c r="N236" s="191">
        <f t="shared" si="63"/>
        <v>0</v>
      </c>
      <c r="O236" s="191">
        <f t="shared" si="63"/>
        <v>0</v>
      </c>
      <c r="P236" s="191">
        <f t="shared" si="63"/>
        <v>0</v>
      </c>
      <c r="Q236" s="191">
        <f t="shared" si="63"/>
        <v>0</v>
      </c>
      <c r="R236" s="191">
        <f t="shared" si="63"/>
        <v>0</v>
      </c>
      <c r="S236" s="191">
        <f t="shared" si="62"/>
        <v>0</v>
      </c>
      <c r="T236" s="191">
        <f t="shared" si="62"/>
        <v>0</v>
      </c>
      <c r="U236" s="191">
        <f t="shared" si="62"/>
        <v>0</v>
      </c>
      <c r="V236" s="191">
        <f t="shared" si="62"/>
        <v>0</v>
      </c>
      <c r="W236" s="191">
        <f t="shared" si="62"/>
        <v>0</v>
      </c>
      <c r="X236" s="191">
        <f t="shared" si="62"/>
        <v>0</v>
      </c>
      <c r="Y236" s="191">
        <f t="shared" si="62"/>
        <v>0</v>
      </c>
      <c r="Z236" s="191">
        <f t="shared" si="62"/>
        <v>0</v>
      </c>
      <c r="AA236" s="191">
        <f t="shared" si="62"/>
        <v>0</v>
      </c>
      <c r="AB236" s="191">
        <f t="shared" si="62"/>
        <v>0</v>
      </c>
      <c r="AC236" s="191">
        <f t="shared" si="62"/>
        <v>0</v>
      </c>
      <c r="AD236" s="191">
        <f t="shared" si="62"/>
        <v>0</v>
      </c>
      <c r="AE236" s="191">
        <f t="shared" si="62"/>
        <v>0</v>
      </c>
      <c r="AF236" s="204">
        <f t="shared" si="62"/>
        <v>0</v>
      </c>
      <c r="AG236" s="216">
        <v>4</v>
      </c>
      <c r="AH236" s="46"/>
      <c r="AI236" s="47"/>
      <c r="AK236" s="49"/>
    </row>
    <row r="237" spans="1:37" x14ac:dyDescent="0.25">
      <c r="A237" s="73" t="s">
        <v>288</v>
      </c>
      <c r="B237" s="191">
        <v>0</v>
      </c>
      <c r="C237" s="191">
        <f t="shared" si="63"/>
        <v>0</v>
      </c>
      <c r="D237" s="191">
        <f t="shared" si="63"/>
        <v>0</v>
      </c>
      <c r="E237" s="191">
        <f t="shared" si="63"/>
        <v>0</v>
      </c>
      <c r="F237" s="191">
        <f t="shared" si="63"/>
        <v>0</v>
      </c>
      <c r="G237" s="191">
        <f t="shared" si="63"/>
        <v>0</v>
      </c>
      <c r="H237" s="191">
        <f t="shared" si="63"/>
        <v>0</v>
      </c>
      <c r="I237" s="191">
        <f t="shared" si="63"/>
        <v>0</v>
      </c>
      <c r="J237" s="191">
        <f t="shared" si="63"/>
        <v>0</v>
      </c>
      <c r="K237" s="191">
        <f t="shared" si="63"/>
        <v>0</v>
      </c>
      <c r="L237" s="191">
        <f t="shared" si="63"/>
        <v>0</v>
      </c>
      <c r="M237" s="191">
        <f t="shared" si="63"/>
        <v>0</v>
      </c>
      <c r="N237" s="191">
        <f t="shared" si="63"/>
        <v>0</v>
      </c>
      <c r="O237" s="191">
        <f t="shared" si="63"/>
        <v>0</v>
      </c>
      <c r="P237" s="191">
        <f t="shared" si="63"/>
        <v>0</v>
      </c>
      <c r="Q237" s="191">
        <f t="shared" si="63"/>
        <v>0</v>
      </c>
      <c r="R237" s="191">
        <f t="shared" si="63"/>
        <v>0</v>
      </c>
      <c r="S237" s="191">
        <f t="shared" si="62"/>
        <v>0</v>
      </c>
      <c r="T237" s="191">
        <f t="shared" si="62"/>
        <v>0</v>
      </c>
      <c r="U237" s="191">
        <f t="shared" si="62"/>
        <v>0</v>
      </c>
      <c r="V237" s="191">
        <f t="shared" si="62"/>
        <v>0</v>
      </c>
      <c r="W237" s="191">
        <f t="shared" si="62"/>
        <v>0</v>
      </c>
      <c r="X237" s="191">
        <f t="shared" si="62"/>
        <v>0</v>
      </c>
      <c r="Y237" s="191">
        <f t="shared" si="62"/>
        <v>0</v>
      </c>
      <c r="Z237" s="191">
        <f t="shared" si="62"/>
        <v>0</v>
      </c>
      <c r="AA237" s="191">
        <f t="shared" si="62"/>
        <v>0</v>
      </c>
      <c r="AB237" s="191">
        <f t="shared" si="62"/>
        <v>0</v>
      </c>
      <c r="AC237" s="191">
        <f t="shared" si="62"/>
        <v>0</v>
      </c>
      <c r="AD237" s="191">
        <f t="shared" si="62"/>
        <v>0</v>
      </c>
      <c r="AE237" s="191">
        <f t="shared" si="62"/>
        <v>0</v>
      </c>
      <c r="AF237" s="204">
        <f t="shared" si="62"/>
        <v>0</v>
      </c>
      <c r="AG237" s="216">
        <v>4</v>
      </c>
      <c r="AH237" s="46"/>
      <c r="AI237" s="47"/>
      <c r="AK237" s="49"/>
    </row>
    <row r="238" spans="1:37" x14ac:dyDescent="0.25">
      <c r="A238" s="73" t="s">
        <v>289</v>
      </c>
      <c r="B238" s="191">
        <v>0</v>
      </c>
      <c r="C238" s="191">
        <f t="shared" si="63"/>
        <v>0</v>
      </c>
      <c r="D238" s="191">
        <f t="shared" si="63"/>
        <v>0</v>
      </c>
      <c r="E238" s="191">
        <f t="shared" si="63"/>
        <v>0</v>
      </c>
      <c r="F238" s="191">
        <f t="shared" si="63"/>
        <v>0</v>
      </c>
      <c r="G238" s="191">
        <f t="shared" si="63"/>
        <v>0</v>
      </c>
      <c r="H238" s="191">
        <f t="shared" si="63"/>
        <v>0</v>
      </c>
      <c r="I238" s="191">
        <f t="shared" si="63"/>
        <v>0</v>
      </c>
      <c r="J238" s="191">
        <f t="shared" si="63"/>
        <v>0</v>
      </c>
      <c r="K238" s="191">
        <f t="shared" si="63"/>
        <v>0</v>
      </c>
      <c r="L238" s="191">
        <f t="shared" si="63"/>
        <v>0</v>
      </c>
      <c r="M238" s="191">
        <f t="shared" si="63"/>
        <v>0</v>
      </c>
      <c r="N238" s="191">
        <f t="shared" si="63"/>
        <v>0</v>
      </c>
      <c r="O238" s="191">
        <f t="shared" si="63"/>
        <v>0</v>
      </c>
      <c r="P238" s="191">
        <f t="shared" si="63"/>
        <v>0</v>
      </c>
      <c r="Q238" s="191">
        <f t="shared" si="63"/>
        <v>0</v>
      </c>
      <c r="R238" s="191">
        <f t="shared" si="63"/>
        <v>0</v>
      </c>
      <c r="S238" s="191">
        <f t="shared" si="62"/>
        <v>0</v>
      </c>
      <c r="T238" s="191">
        <f t="shared" si="62"/>
        <v>0</v>
      </c>
      <c r="U238" s="191">
        <f t="shared" si="62"/>
        <v>0</v>
      </c>
      <c r="V238" s="191">
        <f t="shared" si="62"/>
        <v>0</v>
      </c>
      <c r="W238" s="191">
        <f t="shared" si="62"/>
        <v>0</v>
      </c>
      <c r="X238" s="191">
        <f t="shared" si="62"/>
        <v>0</v>
      </c>
      <c r="Y238" s="191">
        <f t="shared" si="62"/>
        <v>0</v>
      </c>
      <c r="Z238" s="191">
        <f t="shared" si="62"/>
        <v>0</v>
      </c>
      <c r="AA238" s="191">
        <f t="shared" si="62"/>
        <v>0</v>
      </c>
      <c r="AB238" s="191">
        <f t="shared" si="62"/>
        <v>0</v>
      </c>
      <c r="AC238" s="191">
        <f t="shared" si="62"/>
        <v>0</v>
      </c>
      <c r="AD238" s="191">
        <f t="shared" si="62"/>
        <v>0</v>
      </c>
      <c r="AE238" s="191">
        <f t="shared" si="62"/>
        <v>0</v>
      </c>
      <c r="AF238" s="204">
        <f t="shared" si="62"/>
        <v>0</v>
      </c>
      <c r="AG238" s="216">
        <v>4</v>
      </c>
      <c r="AH238" s="46"/>
      <c r="AI238" s="47"/>
      <c r="AK238" s="49"/>
    </row>
    <row r="239" spans="1:37" x14ac:dyDescent="0.25">
      <c r="A239" s="73" t="s">
        <v>290</v>
      </c>
      <c r="B239" s="191">
        <v>0</v>
      </c>
      <c r="C239" s="191">
        <f t="shared" si="63"/>
        <v>0</v>
      </c>
      <c r="D239" s="191">
        <f t="shared" si="63"/>
        <v>0</v>
      </c>
      <c r="E239" s="191">
        <f t="shared" si="63"/>
        <v>0</v>
      </c>
      <c r="F239" s="191">
        <f t="shared" si="63"/>
        <v>0</v>
      </c>
      <c r="G239" s="191">
        <f t="shared" si="63"/>
        <v>0</v>
      </c>
      <c r="H239" s="191">
        <f t="shared" si="63"/>
        <v>0</v>
      </c>
      <c r="I239" s="191">
        <f t="shared" si="63"/>
        <v>0</v>
      </c>
      <c r="J239" s="191">
        <f t="shared" si="63"/>
        <v>0</v>
      </c>
      <c r="K239" s="191">
        <f t="shared" si="63"/>
        <v>0</v>
      </c>
      <c r="L239" s="191">
        <f t="shared" si="63"/>
        <v>0</v>
      </c>
      <c r="M239" s="191">
        <f t="shared" si="63"/>
        <v>0</v>
      </c>
      <c r="N239" s="191">
        <f t="shared" si="63"/>
        <v>0</v>
      </c>
      <c r="O239" s="191">
        <f t="shared" si="63"/>
        <v>0</v>
      </c>
      <c r="P239" s="191">
        <f t="shared" si="63"/>
        <v>0</v>
      </c>
      <c r="Q239" s="191">
        <f t="shared" si="63"/>
        <v>0</v>
      </c>
      <c r="R239" s="191">
        <f t="shared" si="63"/>
        <v>0</v>
      </c>
      <c r="S239" s="191">
        <f t="shared" si="62"/>
        <v>0</v>
      </c>
      <c r="T239" s="191">
        <f t="shared" si="62"/>
        <v>0</v>
      </c>
      <c r="U239" s="191">
        <f t="shared" si="62"/>
        <v>0</v>
      </c>
      <c r="V239" s="191">
        <f t="shared" si="62"/>
        <v>0</v>
      </c>
      <c r="W239" s="191">
        <f t="shared" si="62"/>
        <v>0</v>
      </c>
      <c r="X239" s="191">
        <f t="shared" si="62"/>
        <v>0</v>
      </c>
      <c r="Y239" s="191">
        <f t="shared" si="62"/>
        <v>0</v>
      </c>
      <c r="Z239" s="191">
        <f t="shared" si="62"/>
        <v>0</v>
      </c>
      <c r="AA239" s="191">
        <f t="shared" si="62"/>
        <v>0</v>
      </c>
      <c r="AB239" s="191">
        <f t="shared" si="62"/>
        <v>0</v>
      </c>
      <c r="AC239" s="191">
        <f t="shared" si="62"/>
        <v>0</v>
      </c>
      <c r="AD239" s="191">
        <f t="shared" si="62"/>
        <v>0</v>
      </c>
      <c r="AE239" s="191">
        <f t="shared" si="62"/>
        <v>0</v>
      </c>
      <c r="AF239" s="204">
        <f t="shared" si="62"/>
        <v>0</v>
      </c>
      <c r="AG239" s="216">
        <v>4</v>
      </c>
      <c r="AH239" s="46"/>
      <c r="AI239" s="47"/>
      <c r="AK239" s="49"/>
    </row>
    <row r="240" spans="1:37" x14ac:dyDescent="0.25">
      <c r="A240" s="73" t="s">
        <v>291</v>
      </c>
      <c r="B240" s="191">
        <v>0</v>
      </c>
      <c r="C240" s="191">
        <f t="shared" si="63"/>
        <v>0</v>
      </c>
      <c r="D240" s="191">
        <f t="shared" si="63"/>
        <v>0</v>
      </c>
      <c r="E240" s="191">
        <f t="shared" si="63"/>
        <v>0</v>
      </c>
      <c r="F240" s="191">
        <f t="shared" si="63"/>
        <v>0</v>
      </c>
      <c r="G240" s="191">
        <f t="shared" si="63"/>
        <v>0</v>
      </c>
      <c r="H240" s="191">
        <f t="shared" si="63"/>
        <v>0</v>
      </c>
      <c r="I240" s="191">
        <f t="shared" si="63"/>
        <v>0</v>
      </c>
      <c r="J240" s="191">
        <f t="shared" si="63"/>
        <v>0</v>
      </c>
      <c r="K240" s="191">
        <f t="shared" si="63"/>
        <v>0</v>
      </c>
      <c r="L240" s="191">
        <f t="shared" si="63"/>
        <v>0</v>
      </c>
      <c r="M240" s="191">
        <f t="shared" si="63"/>
        <v>0</v>
      </c>
      <c r="N240" s="191">
        <f t="shared" si="63"/>
        <v>0</v>
      </c>
      <c r="O240" s="191">
        <f t="shared" si="63"/>
        <v>0</v>
      </c>
      <c r="P240" s="191">
        <f t="shared" si="63"/>
        <v>0</v>
      </c>
      <c r="Q240" s="191">
        <f t="shared" si="63"/>
        <v>0</v>
      </c>
      <c r="R240" s="191">
        <f t="shared" si="63"/>
        <v>0</v>
      </c>
      <c r="S240" s="191">
        <f t="shared" si="62"/>
        <v>0</v>
      </c>
      <c r="T240" s="191">
        <f t="shared" si="62"/>
        <v>0</v>
      </c>
      <c r="U240" s="191">
        <f t="shared" si="62"/>
        <v>0</v>
      </c>
      <c r="V240" s="191">
        <f t="shared" si="62"/>
        <v>0</v>
      </c>
      <c r="W240" s="191">
        <f t="shared" si="62"/>
        <v>0</v>
      </c>
      <c r="X240" s="191">
        <f t="shared" si="62"/>
        <v>0</v>
      </c>
      <c r="Y240" s="191">
        <f t="shared" si="62"/>
        <v>0</v>
      </c>
      <c r="Z240" s="191">
        <f t="shared" si="62"/>
        <v>0</v>
      </c>
      <c r="AA240" s="191">
        <f t="shared" si="62"/>
        <v>0</v>
      </c>
      <c r="AB240" s="191">
        <f t="shared" si="62"/>
        <v>0</v>
      </c>
      <c r="AC240" s="191">
        <f t="shared" si="62"/>
        <v>0</v>
      </c>
      <c r="AD240" s="191">
        <f t="shared" si="62"/>
        <v>0</v>
      </c>
      <c r="AE240" s="191">
        <f t="shared" si="62"/>
        <v>0</v>
      </c>
      <c r="AF240" s="204">
        <f t="shared" si="62"/>
        <v>0</v>
      </c>
      <c r="AG240" s="216">
        <v>3.75</v>
      </c>
      <c r="AH240" s="46"/>
      <c r="AI240" s="47"/>
      <c r="AK240" s="49"/>
    </row>
    <row r="241" spans="1:37" x14ac:dyDescent="0.25">
      <c r="A241" s="73" t="s">
        <v>292</v>
      </c>
      <c r="B241" s="191">
        <v>0</v>
      </c>
      <c r="C241" s="191">
        <f t="shared" si="63"/>
        <v>0</v>
      </c>
      <c r="D241" s="191">
        <f t="shared" si="63"/>
        <v>0</v>
      </c>
      <c r="E241" s="191">
        <f t="shared" si="63"/>
        <v>0</v>
      </c>
      <c r="F241" s="191">
        <f t="shared" si="63"/>
        <v>0</v>
      </c>
      <c r="G241" s="191">
        <f t="shared" si="63"/>
        <v>0</v>
      </c>
      <c r="H241" s="191">
        <f t="shared" si="63"/>
        <v>0</v>
      </c>
      <c r="I241" s="191">
        <f t="shared" si="63"/>
        <v>0</v>
      </c>
      <c r="J241" s="191">
        <f t="shared" si="63"/>
        <v>0</v>
      </c>
      <c r="K241" s="191">
        <f t="shared" si="63"/>
        <v>0</v>
      </c>
      <c r="L241" s="191">
        <f t="shared" si="63"/>
        <v>0</v>
      </c>
      <c r="M241" s="191">
        <f t="shared" si="63"/>
        <v>0</v>
      </c>
      <c r="N241" s="191">
        <f t="shared" si="63"/>
        <v>0</v>
      </c>
      <c r="O241" s="191">
        <f t="shared" si="63"/>
        <v>0</v>
      </c>
      <c r="P241" s="191">
        <f t="shared" si="63"/>
        <v>0</v>
      </c>
      <c r="Q241" s="191">
        <f t="shared" si="63"/>
        <v>0</v>
      </c>
      <c r="R241" s="191">
        <f t="shared" si="63"/>
        <v>0</v>
      </c>
      <c r="S241" s="191">
        <f t="shared" si="62"/>
        <v>0</v>
      </c>
      <c r="T241" s="191">
        <f t="shared" si="62"/>
        <v>0</v>
      </c>
      <c r="U241" s="191">
        <f t="shared" si="62"/>
        <v>0</v>
      </c>
      <c r="V241" s="191">
        <f t="shared" si="62"/>
        <v>0</v>
      </c>
      <c r="W241" s="191">
        <f t="shared" si="62"/>
        <v>0</v>
      </c>
      <c r="X241" s="191">
        <f t="shared" si="62"/>
        <v>0</v>
      </c>
      <c r="Y241" s="191">
        <f t="shared" si="62"/>
        <v>0</v>
      </c>
      <c r="Z241" s="191">
        <f t="shared" si="62"/>
        <v>0</v>
      </c>
      <c r="AA241" s="191">
        <f t="shared" si="62"/>
        <v>0</v>
      </c>
      <c r="AB241" s="191">
        <f t="shared" si="62"/>
        <v>0</v>
      </c>
      <c r="AC241" s="191">
        <f t="shared" si="62"/>
        <v>0</v>
      </c>
      <c r="AD241" s="191">
        <f t="shared" si="62"/>
        <v>0</v>
      </c>
      <c r="AE241" s="191">
        <f t="shared" si="62"/>
        <v>0</v>
      </c>
      <c r="AF241" s="204">
        <f t="shared" si="62"/>
        <v>0</v>
      </c>
      <c r="AG241" s="216">
        <v>3.52</v>
      </c>
      <c r="AH241" s="46"/>
      <c r="AI241" s="47"/>
      <c r="AK241" s="49"/>
    </row>
    <row r="242" spans="1:37" x14ac:dyDescent="0.25">
      <c r="A242" s="73" t="s">
        <v>293</v>
      </c>
      <c r="B242" s="191">
        <v>0</v>
      </c>
      <c r="C242" s="191">
        <f t="shared" si="63"/>
        <v>0</v>
      </c>
      <c r="D242" s="191">
        <f t="shared" si="63"/>
        <v>0</v>
      </c>
      <c r="E242" s="191">
        <f t="shared" si="63"/>
        <v>0</v>
      </c>
      <c r="F242" s="191">
        <f t="shared" si="63"/>
        <v>0</v>
      </c>
      <c r="G242" s="191">
        <f t="shared" si="63"/>
        <v>0</v>
      </c>
      <c r="H242" s="191">
        <f t="shared" si="63"/>
        <v>0</v>
      </c>
      <c r="I242" s="191">
        <f t="shared" si="63"/>
        <v>0</v>
      </c>
      <c r="J242" s="191">
        <f t="shared" si="63"/>
        <v>0</v>
      </c>
      <c r="K242" s="191">
        <f t="shared" si="63"/>
        <v>0</v>
      </c>
      <c r="L242" s="191">
        <f t="shared" si="63"/>
        <v>0</v>
      </c>
      <c r="M242" s="191">
        <f t="shared" si="63"/>
        <v>0</v>
      </c>
      <c r="N242" s="191">
        <f t="shared" si="63"/>
        <v>0</v>
      </c>
      <c r="O242" s="191">
        <f t="shared" si="63"/>
        <v>0</v>
      </c>
      <c r="P242" s="191">
        <f t="shared" si="63"/>
        <v>0</v>
      </c>
      <c r="Q242" s="191">
        <f t="shared" si="63"/>
        <v>0</v>
      </c>
      <c r="R242" s="191">
        <f t="shared" si="63"/>
        <v>0</v>
      </c>
      <c r="S242" s="191">
        <f t="shared" si="62"/>
        <v>0</v>
      </c>
      <c r="T242" s="191">
        <f t="shared" si="62"/>
        <v>0</v>
      </c>
      <c r="U242" s="191">
        <f t="shared" si="62"/>
        <v>0</v>
      </c>
      <c r="V242" s="191">
        <f t="shared" si="62"/>
        <v>0</v>
      </c>
      <c r="W242" s="191">
        <f t="shared" si="62"/>
        <v>0</v>
      </c>
      <c r="X242" s="191">
        <f t="shared" si="62"/>
        <v>0</v>
      </c>
      <c r="Y242" s="191">
        <f t="shared" si="62"/>
        <v>0</v>
      </c>
      <c r="Z242" s="191">
        <f t="shared" si="62"/>
        <v>0</v>
      </c>
      <c r="AA242" s="191">
        <f t="shared" si="62"/>
        <v>0</v>
      </c>
      <c r="AB242" s="191">
        <f t="shared" si="62"/>
        <v>0</v>
      </c>
      <c r="AC242" s="191">
        <f t="shared" si="62"/>
        <v>0</v>
      </c>
      <c r="AD242" s="191">
        <f t="shared" si="62"/>
        <v>0</v>
      </c>
      <c r="AE242" s="191">
        <f t="shared" si="62"/>
        <v>0</v>
      </c>
      <c r="AF242" s="204">
        <f t="shared" si="62"/>
        <v>0</v>
      </c>
      <c r="AG242" s="216">
        <v>3.33</v>
      </c>
      <c r="AH242" s="46"/>
      <c r="AI242" s="47"/>
      <c r="AK242" s="49"/>
    </row>
    <row r="243" spans="1:37" x14ac:dyDescent="0.25">
      <c r="A243" s="73" t="s">
        <v>294</v>
      </c>
      <c r="B243" s="191">
        <v>0</v>
      </c>
      <c r="C243" s="191">
        <f t="shared" si="63"/>
        <v>0</v>
      </c>
      <c r="D243" s="191">
        <f t="shared" si="63"/>
        <v>0</v>
      </c>
      <c r="E243" s="191">
        <f t="shared" si="63"/>
        <v>0</v>
      </c>
      <c r="F243" s="191">
        <f t="shared" si="63"/>
        <v>0</v>
      </c>
      <c r="G243" s="191">
        <f t="shared" si="63"/>
        <v>0</v>
      </c>
      <c r="H243" s="191">
        <f t="shared" si="63"/>
        <v>0</v>
      </c>
      <c r="I243" s="191">
        <f t="shared" si="63"/>
        <v>0</v>
      </c>
      <c r="J243" s="191">
        <f t="shared" si="63"/>
        <v>0</v>
      </c>
      <c r="K243" s="191">
        <f t="shared" si="63"/>
        <v>0</v>
      </c>
      <c r="L243" s="191">
        <f t="shared" si="63"/>
        <v>0</v>
      </c>
      <c r="M243" s="191">
        <f t="shared" si="63"/>
        <v>0</v>
      </c>
      <c r="N243" s="191">
        <f t="shared" si="63"/>
        <v>0</v>
      </c>
      <c r="O243" s="191">
        <f t="shared" si="63"/>
        <v>0</v>
      </c>
      <c r="P243" s="191">
        <f t="shared" si="63"/>
        <v>0</v>
      </c>
      <c r="Q243" s="191">
        <f t="shared" si="63"/>
        <v>0</v>
      </c>
      <c r="R243" s="191">
        <f t="shared" si="63"/>
        <v>0</v>
      </c>
      <c r="S243" s="191">
        <f t="shared" si="62"/>
        <v>0</v>
      </c>
      <c r="T243" s="191">
        <f t="shared" si="62"/>
        <v>0</v>
      </c>
      <c r="U243" s="191">
        <f t="shared" si="62"/>
        <v>0</v>
      </c>
      <c r="V243" s="191">
        <f t="shared" si="62"/>
        <v>0</v>
      </c>
      <c r="W243" s="191">
        <f t="shared" si="62"/>
        <v>0</v>
      </c>
      <c r="X243" s="191">
        <f t="shared" si="62"/>
        <v>0</v>
      </c>
      <c r="Y243" s="191">
        <f t="shared" si="62"/>
        <v>0</v>
      </c>
      <c r="Z243" s="191">
        <f t="shared" si="62"/>
        <v>0</v>
      </c>
      <c r="AA243" s="191">
        <f t="shared" si="62"/>
        <v>0</v>
      </c>
      <c r="AB243" s="191">
        <f t="shared" si="62"/>
        <v>0</v>
      </c>
      <c r="AC243" s="191">
        <f t="shared" si="62"/>
        <v>0</v>
      </c>
      <c r="AD243" s="191">
        <f t="shared" si="62"/>
        <v>0</v>
      </c>
      <c r="AE243" s="191">
        <f t="shared" si="62"/>
        <v>0</v>
      </c>
      <c r="AF243" s="204">
        <f t="shared" si="62"/>
        <v>0</v>
      </c>
      <c r="AG243" s="216">
        <v>3.2</v>
      </c>
      <c r="AH243" s="46"/>
      <c r="AI243" s="47"/>
      <c r="AK243" s="49"/>
    </row>
    <row r="244" spans="1:37" x14ac:dyDescent="0.25">
      <c r="A244" s="73" t="s">
        <v>295</v>
      </c>
      <c r="B244" s="191">
        <v>0</v>
      </c>
      <c r="C244" s="191">
        <f t="shared" si="63"/>
        <v>0</v>
      </c>
      <c r="D244" s="191">
        <f t="shared" si="63"/>
        <v>0</v>
      </c>
      <c r="E244" s="191">
        <f t="shared" si="63"/>
        <v>0</v>
      </c>
      <c r="F244" s="191">
        <f t="shared" si="63"/>
        <v>0</v>
      </c>
      <c r="G244" s="191">
        <f t="shared" si="63"/>
        <v>0</v>
      </c>
      <c r="H244" s="191">
        <f t="shared" si="63"/>
        <v>0</v>
      </c>
      <c r="I244" s="191">
        <f t="shared" si="63"/>
        <v>0</v>
      </c>
      <c r="J244" s="191">
        <f t="shared" si="63"/>
        <v>0</v>
      </c>
      <c r="K244" s="191">
        <f t="shared" si="63"/>
        <v>0</v>
      </c>
      <c r="L244" s="191">
        <f t="shared" si="63"/>
        <v>0</v>
      </c>
      <c r="M244" s="191">
        <f t="shared" si="63"/>
        <v>0</v>
      </c>
      <c r="N244" s="191">
        <f t="shared" si="63"/>
        <v>0</v>
      </c>
      <c r="O244" s="191">
        <f t="shared" si="63"/>
        <v>0</v>
      </c>
      <c r="P244" s="191">
        <f t="shared" si="63"/>
        <v>0</v>
      </c>
      <c r="Q244" s="191">
        <f t="shared" si="63"/>
        <v>0</v>
      </c>
      <c r="R244" s="191">
        <f t="shared" si="63"/>
        <v>0</v>
      </c>
      <c r="S244" s="191">
        <f t="shared" si="62"/>
        <v>0</v>
      </c>
      <c r="T244" s="191">
        <f t="shared" si="62"/>
        <v>0</v>
      </c>
      <c r="U244" s="191">
        <f t="shared" si="62"/>
        <v>0</v>
      </c>
      <c r="V244" s="191">
        <f t="shared" si="62"/>
        <v>0</v>
      </c>
      <c r="W244" s="191">
        <f t="shared" si="62"/>
        <v>0</v>
      </c>
      <c r="X244" s="191">
        <f t="shared" si="62"/>
        <v>0</v>
      </c>
      <c r="Y244" s="191">
        <f t="shared" si="62"/>
        <v>0</v>
      </c>
      <c r="Z244" s="191">
        <f t="shared" si="62"/>
        <v>0</v>
      </c>
      <c r="AA244" s="191">
        <f t="shared" si="62"/>
        <v>0</v>
      </c>
      <c r="AB244" s="191">
        <f t="shared" si="62"/>
        <v>0</v>
      </c>
      <c r="AC244" s="191">
        <f t="shared" si="62"/>
        <v>0</v>
      </c>
      <c r="AD244" s="191">
        <f t="shared" si="62"/>
        <v>0</v>
      </c>
      <c r="AE244" s="191">
        <f t="shared" si="62"/>
        <v>0</v>
      </c>
      <c r="AF244" s="204">
        <f t="shared" si="62"/>
        <v>0</v>
      </c>
      <c r="AG244" s="216">
        <v>3</v>
      </c>
      <c r="AH244" s="46"/>
      <c r="AI244" s="47"/>
      <c r="AK244" s="49"/>
    </row>
    <row r="245" spans="1:37" x14ac:dyDescent="0.25">
      <c r="A245" s="73" t="s">
        <v>296</v>
      </c>
      <c r="B245" s="191">
        <v>0</v>
      </c>
      <c r="C245" s="191">
        <f t="shared" si="63"/>
        <v>0</v>
      </c>
      <c r="D245" s="191">
        <f t="shared" si="63"/>
        <v>0</v>
      </c>
      <c r="E245" s="191">
        <f t="shared" si="63"/>
        <v>0</v>
      </c>
      <c r="F245" s="191">
        <f t="shared" si="63"/>
        <v>0</v>
      </c>
      <c r="G245" s="191">
        <f t="shared" si="63"/>
        <v>0</v>
      </c>
      <c r="H245" s="191">
        <f t="shared" si="63"/>
        <v>0</v>
      </c>
      <c r="I245" s="191">
        <f t="shared" si="63"/>
        <v>0</v>
      </c>
      <c r="J245" s="191">
        <f t="shared" si="63"/>
        <v>0</v>
      </c>
      <c r="K245" s="191">
        <f t="shared" si="63"/>
        <v>0</v>
      </c>
      <c r="L245" s="191">
        <f t="shared" si="63"/>
        <v>0</v>
      </c>
      <c r="M245" s="191">
        <f t="shared" si="63"/>
        <v>0</v>
      </c>
      <c r="N245" s="191">
        <f t="shared" si="63"/>
        <v>0</v>
      </c>
      <c r="O245" s="191">
        <f t="shared" si="63"/>
        <v>0</v>
      </c>
      <c r="P245" s="191">
        <f t="shared" si="63"/>
        <v>0</v>
      </c>
      <c r="Q245" s="191">
        <f t="shared" si="63"/>
        <v>0</v>
      </c>
      <c r="R245" s="191">
        <f t="shared" si="63"/>
        <v>0</v>
      </c>
      <c r="S245" s="191">
        <f t="shared" si="62"/>
        <v>0</v>
      </c>
      <c r="T245" s="191">
        <f t="shared" si="62"/>
        <v>0</v>
      </c>
      <c r="U245" s="191">
        <f t="shared" si="62"/>
        <v>0</v>
      </c>
      <c r="V245" s="191">
        <f t="shared" si="62"/>
        <v>0</v>
      </c>
      <c r="W245" s="191">
        <f t="shared" si="62"/>
        <v>0</v>
      </c>
      <c r="X245" s="191">
        <f t="shared" si="62"/>
        <v>0</v>
      </c>
      <c r="Y245" s="191">
        <f t="shared" si="62"/>
        <v>0</v>
      </c>
      <c r="Z245" s="191">
        <f t="shared" si="62"/>
        <v>0</v>
      </c>
      <c r="AA245" s="191">
        <f t="shared" si="62"/>
        <v>0</v>
      </c>
      <c r="AB245" s="191">
        <f t="shared" si="62"/>
        <v>0</v>
      </c>
      <c r="AC245" s="191">
        <f t="shared" si="62"/>
        <v>0</v>
      </c>
      <c r="AD245" s="191">
        <f t="shared" si="62"/>
        <v>0</v>
      </c>
      <c r="AE245" s="191">
        <f t="shared" si="62"/>
        <v>0</v>
      </c>
      <c r="AF245" s="204">
        <f t="shared" si="62"/>
        <v>0</v>
      </c>
      <c r="AG245" s="216">
        <v>3</v>
      </c>
      <c r="AH245" s="46"/>
      <c r="AI245" s="47"/>
      <c r="AK245" s="49"/>
    </row>
    <row r="246" spans="1:37" x14ac:dyDescent="0.25">
      <c r="A246" s="73" t="s">
        <v>297</v>
      </c>
      <c r="B246" s="191">
        <v>0</v>
      </c>
      <c r="C246" s="191">
        <f t="shared" si="63"/>
        <v>0</v>
      </c>
      <c r="D246" s="191">
        <f t="shared" si="63"/>
        <v>0</v>
      </c>
      <c r="E246" s="191">
        <f t="shared" si="63"/>
        <v>0</v>
      </c>
      <c r="F246" s="191">
        <f t="shared" si="63"/>
        <v>0</v>
      </c>
      <c r="G246" s="191">
        <f t="shared" si="63"/>
        <v>0</v>
      </c>
      <c r="H246" s="191">
        <f t="shared" si="63"/>
        <v>0</v>
      </c>
      <c r="I246" s="191">
        <f t="shared" si="63"/>
        <v>0</v>
      </c>
      <c r="J246" s="191">
        <f t="shared" si="63"/>
        <v>0</v>
      </c>
      <c r="K246" s="191">
        <f t="shared" si="63"/>
        <v>0</v>
      </c>
      <c r="L246" s="191">
        <f t="shared" si="63"/>
        <v>0</v>
      </c>
      <c r="M246" s="191">
        <f t="shared" si="63"/>
        <v>0</v>
      </c>
      <c r="N246" s="191">
        <f t="shared" si="63"/>
        <v>0</v>
      </c>
      <c r="O246" s="191">
        <f t="shared" si="63"/>
        <v>0</v>
      </c>
      <c r="P246" s="191">
        <f t="shared" si="63"/>
        <v>0</v>
      </c>
      <c r="Q246" s="191">
        <f t="shared" si="63"/>
        <v>0</v>
      </c>
      <c r="R246" s="191">
        <f t="shared" si="63"/>
        <v>0</v>
      </c>
      <c r="S246" s="191">
        <f t="shared" si="62"/>
        <v>0</v>
      </c>
      <c r="T246" s="191">
        <f t="shared" si="62"/>
        <v>0</v>
      </c>
      <c r="U246" s="191">
        <f t="shared" si="62"/>
        <v>0</v>
      </c>
      <c r="V246" s="191">
        <f t="shared" si="62"/>
        <v>0</v>
      </c>
      <c r="W246" s="191">
        <f t="shared" si="62"/>
        <v>0</v>
      </c>
      <c r="X246" s="191">
        <f t="shared" si="62"/>
        <v>0</v>
      </c>
      <c r="Y246" s="191">
        <f t="shared" si="62"/>
        <v>0</v>
      </c>
      <c r="Z246" s="191">
        <f t="shared" si="62"/>
        <v>0</v>
      </c>
      <c r="AA246" s="191">
        <f t="shared" si="62"/>
        <v>0</v>
      </c>
      <c r="AB246" s="191">
        <f t="shared" si="62"/>
        <v>0</v>
      </c>
      <c r="AC246" s="191">
        <f t="shared" si="62"/>
        <v>0</v>
      </c>
      <c r="AD246" s="191">
        <f t="shared" si="62"/>
        <v>0</v>
      </c>
      <c r="AE246" s="191">
        <f t="shared" si="62"/>
        <v>0</v>
      </c>
      <c r="AF246" s="204">
        <f t="shared" si="62"/>
        <v>0</v>
      </c>
      <c r="AG246" s="216">
        <v>3</v>
      </c>
      <c r="AH246" s="46"/>
      <c r="AI246" s="47"/>
      <c r="AK246" s="49"/>
    </row>
    <row r="247" spans="1:37" x14ac:dyDescent="0.25">
      <c r="A247" s="73" t="s">
        <v>298</v>
      </c>
      <c r="B247" s="191">
        <v>0</v>
      </c>
      <c r="C247" s="191">
        <f t="shared" si="63"/>
        <v>0</v>
      </c>
      <c r="D247" s="191">
        <f t="shared" si="63"/>
        <v>0</v>
      </c>
      <c r="E247" s="191">
        <f t="shared" si="63"/>
        <v>0</v>
      </c>
      <c r="F247" s="191">
        <f t="shared" si="63"/>
        <v>0</v>
      </c>
      <c r="G247" s="191">
        <f t="shared" si="63"/>
        <v>0</v>
      </c>
      <c r="H247" s="191">
        <f t="shared" si="63"/>
        <v>0</v>
      </c>
      <c r="I247" s="191">
        <f t="shared" si="63"/>
        <v>0</v>
      </c>
      <c r="J247" s="191">
        <f t="shared" si="63"/>
        <v>0</v>
      </c>
      <c r="K247" s="191">
        <f t="shared" si="63"/>
        <v>0</v>
      </c>
      <c r="L247" s="191">
        <f t="shared" si="63"/>
        <v>0</v>
      </c>
      <c r="M247" s="191">
        <f t="shared" si="63"/>
        <v>0</v>
      </c>
      <c r="N247" s="191">
        <f t="shared" si="63"/>
        <v>0</v>
      </c>
      <c r="O247" s="191">
        <f t="shared" si="63"/>
        <v>0</v>
      </c>
      <c r="P247" s="191">
        <f t="shared" si="63"/>
        <v>0</v>
      </c>
      <c r="Q247" s="191">
        <f t="shared" si="63"/>
        <v>0</v>
      </c>
      <c r="R247" s="191">
        <f t="shared" si="63"/>
        <v>0</v>
      </c>
      <c r="S247" s="191">
        <f t="shared" si="62"/>
        <v>0</v>
      </c>
      <c r="T247" s="191">
        <f t="shared" si="62"/>
        <v>0</v>
      </c>
      <c r="U247" s="191">
        <f t="shared" si="62"/>
        <v>0</v>
      </c>
      <c r="V247" s="191">
        <f t="shared" si="62"/>
        <v>0</v>
      </c>
      <c r="W247" s="191">
        <f t="shared" si="62"/>
        <v>0</v>
      </c>
      <c r="X247" s="191">
        <f t="shared" si="62"/>
        <v>0</v>
      </c>
      <c r="Y247" s="191">
        <f t="shared" si="62"/>
        <v>0</v>
      </c>
      <c r="Z247" s="191">
        <f t="shared" si="62"/>
        <v>0</v>
      </c>
      <c r="AA247" s="191">
        <f t="shared" si="62"/>
        <v>0</v>
      </c>
      <c r="AB247" s="191">
        <f t="shared" si="62"/>
        <v>0</v>
      </c>
      <c r="AC247" s="191">
        <f t="shared" si="62"/>
        <v>0</v>
      </c>
      <c r="AD247" s="191">
        <f t="shared" si="62"/>
        <v>0</v>
      </c>
      <c r="AE247" s="191">
        <f t="shared" si="62"/>
        <v>0</v>
      </c>
      <c r="AF247" s="204">
        <f t="shared" si="62"/>
        <v>0</v>
      </c>
      <c r="AG247" s="216">
        <v>3</v>
      </c>
      <c r="AH247" s="46"/>
      <c r="AI247" s="47"/>
      <c r="AK247" s="49"/>
    </row>
    <row r="248" spans="1:37" x14ac:dyDescent="0.25">
      <c r="A248" s="73" t="s">
        <v>299</v>
      </c>
      <c r="B248" s="191">
        <v>0</v>
      </c>
      <c r="C248" s="191">
        <f t="shared" si="63"/>
        <v>0</v>
      </c>
      <c r="D248" s="191">
        <f t="shared" si="63"/>
        <v>0</v>
      </c>
      <c r="E248" s="191">
        <f t="shared" si="63"/>
        <v>0</v>
      </c>
      <c r="F248" s="191">
        <f t="shared" si="63"/>
        <v>0</v>
      </c>
      <c r="G248" s="191">
        <f t="shared" si="63"/>
        <v>0</v>
      </c>
      <c r="H248" s="191">
        <f t="shared" si="63"/>
        <v>0</v>
      </c>
      <c r="I248" s="191">
        <f t="shared" si="63"/>
        <v>0</v>
      </c>
      <c r="J248" s="191">
        <f t="shared" si="63"/>
        <v>0</v>
      </c>
      <c r="K248" s="191">
        <f t="shared" si="63"/>
        <v>0</v>
      </c>
      <c r="L248" s="191">
        <f t="shared" si="63"/>
        <v>0</v>
      </c>
      <c r="M248" s="191">
        <f t="shared" si="63"/>
        <v>0</v>
      </c>
      <c r="N248" s="191">
        <f t="shared" si="63"/>
        <v>0</v>
      </c>
      <c r="O248" s="191">
        <f t="shared" si="63"/>
        <v>0</v>
      </c>
      <c r="P248" s="191">
        <f t="shared" si="63"/>
        <v>0</v>
      </c>
      <c r="Q248" s="191">
        <f t="shared" si="63"/>
        <v>0</v>
      </c>
      <c r="R248" s="191">
        <f t="shared" si="63"/>
        <v>0</v>
      </c>
      <c r="S248" s="191">
        <f t="shared" si="62"/>
        <v>0</v>
      </c>
      <c r="T248" s="191">
        <f t="shared" si="62"/>
        <v>0</v>
      </c>
      <c r="U248" s="191">
        <f t="shared" si="62"/>
        <v>0</v>
      </c>
      <c r="V248" s="191">
        <f t="shared" si="62"/>
        <v>0</v>
      </c>
      <c r="W248" s="191">
        <f t="shared" si="62"/>
        <v>0</v>
      </c>
      <c r="X248" s="191">
        <f t="shared" si="62"/>
        <v>0</v>
      </c>
      <c r="Y248" s="191">
        <f t="shared" si="62"/>
        <v>0</v>
      </c>
      <c r="Z248" s="191">
        <f t="shared" si="62"/>
        <v>0</v>
      </c>
      <c r="AA248" s="191">
        <f t="shared" si="62"/>
        <v>0</v>
      </c>
      <c r="AB248" s="191">
        <f t="shared" si="62"/>
        <v>0</v>
      </c>
      <c r="AC248" s="191">
        <f t="shared" si="62"/>
        <v>0</v>
      </c>
      <c r="AD248" s="191">
        <f t="shared" si="62"/>
        <v>0</v>
      </c>
      <c r="AE248" s="191">
        <f t="shared" si="62"/>
        <v>0</v>
      </c>
      <c r="AF248" s="204">
        <f t="shared" si="62"/>
        <v>0</v>
      </c>
      <c r="AG248" s="216">
        <v>3</v>
      </c>
      <c r="AH248" s="46"/>
      <c r="AI248" s="47"/>
      <c r="AK248" s="49"/>
    </row>
    <row r="249" spans="1:37" x14ac:dyDescent="0.25">
      <c r="A249" s="73" t="s">
        <v>300</v>
      </c>
      <c r="B249" s="191">
        <v>0</v>
      </c>
      <c r="C249" s="191">
        <f t="shared" si="63"/>
        <v>0</v>
      </c>
      <c r="D249" s="191">
        <f t="shared" si="63"/>
        <v>0</v>
      </c>
      <c r="E249" s="191">
        <f t="shared" si="63"/>
        <v>0</v>
      </c>
      <c r="F249" s="191">
        <f t="shared" si="63"/>
        <v>0</v>
      </c>
      <c r="G249" s="191">
        <f t="shared" si="63"/>
        <v>0</v>
      </c>
      <c r="H249" s="191">
        <f t="shared" si="63"/>
        <v>0</v>
      </c>
      <c r="I249" s="191">
        <f t="shared" si="63"/>
        <v>0</v>
      </c>
      <c r="J249" s="191">
        <f t="shared" si="63"/>
        <v>0</v>
      </c>
      <c r="K249" s="191">
        <f t="shared" si="63"/>
        <v>0</v>
      </c>
      <c r="L249" s="191">
        <f t="shared" si="63"/>
        <v>0</v>
      </c>
      <c r="M249" s="191">
        <f t="shared" si="63"/>
        <v>0</v>
      </c>
      <c r="N249" s="191">
        <f t="shared" si="63"/>
        <v>0</v>
      </c>
      <c r="O249" s="191">
        <f t="shared" si="63"/>
        <v>0</v>
      </c>
      <c r="P249" s="191">
        <f t="shared" si="63"/>
        <v>0</v>
      </c>
      <c r="Q249" s="191">
        <f t="shared" si="63"/>
        <v>0</v>
      </c>
      <c r="R249" s="191">
        <f t="shared" ref="R249:AF264" si="64">Q249</f>
        <v>0</v>
      </c>
      <c r="S249" s="191">
        <f t="shared" si="64"/>
        <v>0</v>
      </c>
      <c r="T249" s="191">
        <f t="shared" si="64"/>
        <v>0</v>
      </c>
      <c r="U249" s="191">
        <f t="shared" si="64"/>
        <v>0</v>
      </c>
      <c r="V249" s="191">
        <f t="shared" si="64"/>
        <v>0</v>
      </c>
      <c r="W249" s="191">
        <f t="shared" si="64"/>
        <v>0</v>
      </c>
      <c r="X249" s="191">
        <f t="shared" si="64"/>
        <v>0</v>
      </c>
      <c r="Y249" s="191">
        <f t="shared" si="64"/>
        <v>0</v>
      </c>
      <c r="Z249" s="191">
        <f t="shared" si="64"/>
        <v>0</v>
      </c>
      <c r="AA249" s="191">
        <f t="shared" si="64"/>
        <v>0</v>
      </c>
      <c r="AB249" s="191">
        <f t="shared" si="64"/>
        <v>0</v>
      </c>
      <c r="AC249" s="191">
        <f t="shared" si="64"/>
        <v>0</v>
      </c>
      <c r="AD249" s="191">
        <f t="shared" si="64"/>
        <v>0</v>
      </c>
      <c r="AE249" s="191">
        <f t="shared" si="64"/>
        <v>0</v>
      </c>
      <c r="AF249" s="204">
        <f t="shared" si="64"/>
        <v>0</v>
      </c>
      <c r="AG249" s="216">
        <v>3</v>
      </c>
      <c r="AH249" s="46"/>
      <c r="AI249" s="47"/>
      <c r="AK249" s="49"/>
    </row>
    <row r="250" spans="1:37" x14ac:dyDescent="0.25">
      <c r="A250" s="73" t="s">
        <v>301</v>
      </c>
      <c r="B250" s="191">
        <v>0</v>
      </c>
      <c r="C250" s="191">
        <f t="shared" ref="C250:R265" si="65">B250</f>
        <v>0</v>
      </c>
      <c r="D250" s="191">
        <f t="shared" si="65"/>
        <v>0</v>
      </c>
      <c r="E250" s="191">
        <f t="shared" si="65"/>
        <v>0</v>
      </c>
      <c r="F250" s="191">
        <f t="shared" si="65"/>
        <v>0</v>
      </c>
      <c r="G250" s="191">
        <f t="shared" si="65"/>
        <v>0</v>
      </c>
      <c r="H250" s="191">
        <f t="shared" si="65"/>
        <v>0</v>
      </c>
      <c r="I250" s="191">
        <f t="shared" si="65"/>
        <v>0</v>
      </c>
      <c r="J250" s="191">
        <f t="shared" si="65"/>
        <v>0</v>
      </c>
      <c r="K250" s="191">
        <f t="shared" si="65"/>
        <v>0</v>
      </c>
      <c r="L250" s="191">
        <f t="shared" si="65"/>
        <v>0</v>
      </c>
      <c r="M250" s="191">
        <f t="shared" si="65"/>
        <v>0</v>
      </c>
      <c r="N250" s="191">
        <f t="shared" si="65"/>
        <v>0</v>
      </c>
      <c r="O250" s="191">
        <f t="shared" si="65"/>
        <v>0</v>
      </c>
      <c r="P250" s="191">
        <f t="shared" si="65"/>
        <v>0</v>
      </c>
      <c r="Q250" s="191">
        <f t="shared" si="65"/>
        <v>0</v>
      </c>
      <c r="R250" s="191">
        <f t="shared" si="64"/>
        <v>0</v>
      </c>
      <c r="S250" s="191">
        <f t="shared" si="64"/>
        <v>0</v>
      </c>
      <c r="T250" s="191">
        <f t="shared" si="64"/>
        <v>0</v>
      </c>
      <c r="U250" s="191">
        <f t="shared" si="64"/>
        <v>0</v>
      </c>
      <c r="V250" s="191">
        <f t="shared" si="64"/>
        <v>0</v>
      </c>
      <c r="W250" s="191">
        <f t="shared" si="64"/>
        <v>0</v>
      </c>
      <c r="X250" s="191">
        <f t="shared" si="64"/>
        <v>0</v>
      </c>
      <c r="Y250" s="191">
        <f t="shared" si="64"/>
        <v>0</v>
      </c>
      <c r="Z250" s="191">
        <f t="shared" si="64"/>
        <v>0</v>
      </c>
      <c r="AA250" s="191">
        <f t="shared" si="64"/>
        <v>0</v>
      </c>
      <c r="AB250" s="191">
        <f t="shared" si="64"/>
        <v>0</v>
      </c>
      <c r="AC250" s="191">
        <f t="shared" si="64"/>
        <v>0</v>
      </c>
      <c r="AD250" s="191">
        <f t="shared" si="64"/>
        <v>0</v>
      </c>
      <c r="AE250" s="191">
        <f t="shared" si="64"/>
        <v>0</v>
      </c>
      <c r="AF250" s="204">
        <f t="shared" si="64"/>
        <v>0</v>
      </c>
      <c r="AG250" s="216">
        <v>3</v>
      </c>
      <c r="AH250" s="46"/>
      <c r="AI250" s="47"/>
      <c r="AK250" s="49"/>
    </row>
    <row r="251" spans="1:37" x14ac:dyDescent="0.25">
      <c r="A251" s="73" t="s">
        <v>302</v>
      </c>
      <c r="B251" s="191">
        <v>0</v>
      </c>
      <c r="C251" s="191">
        <f t="shared" si="65"/>
        <v>0</v>
      </c>
      <c r="D251" s="191">
        <f t="shared" si="65"/>
        <v>0</v>
      </c>
      <c r="E251" s="191">
        <f t="shared" si="65"/>
        <v>0</v>
      </c>
      <c r="F251" s="191">
        <f t="shared" si="65"/>
        <v>0</v>
      </c>
      <c r="G251" s="191">
        <f t="shared" si="65"/>
        <v>0</v>
      </c>
      <c r="H251" s="191">
        <f t="shared" si="65"/>
        <v>0</v>
      </c>
      <c r="I251" s="191">
        <f t="shared" si="65"/>
        <v>0</v>
      </c>
      <c r="J251" s="191">
        <f t="shared" si="65"/>
        <v>0</v>
      </c>
      <c r="K251" s="191">
        <f t="shared" si="65"/>
        <v>0</v>
      </c>
      <c r="L251" s="191">
        <f t="shared" si="65"/>
        <v>0</v>
      </c>
      <c r="M251" s="191">
        <f t="shared" si="65"/>
        <v>0</v>
      </c>
      <c r="N251" s="191">
        <f t="shared" si="65"/>
        <v>0</v>
      </c>
      <c r="O251" s="191">
        <f t="shared" si="65"/>
        <v>0</v>
      </c>
      <c r="P251" s="191">
        <f t="shared" si="65"/>
        <v>0</v>
      </c>
      <c r="Q251" s="191">
        <f t="shared" si="65"/>
        <v>0</v>
      </c>
      <c r="R251" s="191">
        <f t="shared" si="65"/>
        <v>0</v>
      </c>
      <c r="S251" s="191">
        <f t="shared" si="64"/>
        <v>0</v>
      </c>
      <c r="T251" s="191">
        <f t="shared" si="64"/>
        <v>0</v>
      </c>
      <c r="U251" s="191">
        <f t="shared" si="64"/>
        <v>0</v>
      </c>
      <c r="V251" s="191">
        <f t="shared" si="64"/>
        <v>0</v>
      </c>
      <c r="W251" s="191">
        <f t="shared" si="64"/>
        <v>0</v>
      </c>
      <c r="X251" s="191">
        <f t="shared" si="64"/>
        <v>0</v>
      </c>
      <c r="Y251" s="191">
        <f t="shared" si="64"/>
        <v>0</v>
      </c>
      <c r="Z251" s="191">
        <f t="shared" si="64"/>
        <v>0</v>
      </c>
      <c r="AA251" s="191">
        <f t="shared" si="64"/>
        <v>0</v>
      </c>
      <c r="AB251" s="191">
        <f t="shared" si="64"/>
        <v>0</v>
      </c>
      <c r="AC251" s="191">
        <f t="shared" si="64"/>
        <v>0</v>
      </c>
      <c r="AD251" s="191">
        <f t="shared" si="64"/>
        <v>0</v>
      </c>
      <c r="AE251" s="191">
        <f t="shared" si="64"/>
        <v>0</v>
      </c>
      <c r="AF251" s="204">
        <f t="shared" si="64"/>
        <v>0</v>
      </c>
      <c r="AG251" s="216">
        <v>3</v>
      </c>
      <c r="AH251" s="46"/>
      <c r="AI251" s="47"/>
      <c r="AK251" s="49"/>
    </row>
    <row r="252" spans="1:37" x14ac:dyDescent="0.25">
      <c r="A252" s="73" t="s">
        <v>303</v>
      </c>
      <c r="B252" s="191">
        <v>0</v>
      </c>
      <c r="C252" s="191">
        <f t="shared" si="65"/>
        <v>0</v>
      </c>
      <c r="D252" s="191">
        <f t="shared" si="65"/>
        <v>0</v>
      </c>
      <c r="E252" s="191">
        <f t="shared" si="65"/>
        <v>0</v>
      </c>
      <c r="F252" s="191">
        <f t="shared" si="65"/>
        <v>0</v>
      </c>
      <c r="G252" s="191">
        <f t="shared" si="65"/>
        <v>0</v>
      </c>
      <c r="H252" s="191">
        <f t="shared" si="65"/>
        <v>0</v>
      </c>
      <c r="I252" s="191">
        <f t="shared" si="65"/>
        <v>0</v>
      </c>
      <c r="J252" s="191">
        <f t="shared" si="65"/>
        <v>0</v>
      </c>
      <c r="K252" s="191">
        <f t="shared" si="65"/>
        <v>0</v>
      </c>
      <c r="L252" s="191">
        <f t="shared" si="65"/>
        <v>0</v>
      </c>
      <c r="M252" s="191">
        <f t="shared" si="65"/>
        <v>0</v>
      </c>
      <c r="N252" s="191">
        <f t="shared" si="65"/>
        <v>0</v>
      </c>
      <c r="O252" s="191">
        <f t="shared" si="65"/>
        <v>0</v>
      </c>
      <c r="P252" s="191">
        <f t="shared" si="65"/>
        <v>0</v>
      </c>
      <c r="Q252" s="191">
        <f t="shared" si="65"/>
        <v>0</v>
      </c>
      <c r="R252" s="191">
        <f t="shared" si="65"/>
        <v>0</v>
      </c>
      <c r="S252" s="191">
        <f t="shared" si="64"/>
        <v>0</v>
      </c>
      <c r="T252" s="191">
        <f t="shared" si="64"/>
        <v>0</v>
      </c>
      <c r="U252" s="191">
        <f t="shared" si="64"/>
        <v>0</v>
      </c>
      <c r="V252" s="191">
        <f t="shared" si="64"/>
        <v>0</v>
      </c>
      <c r="W252" s="191">
        <f t="shared" si="64"/>
        <v>0</v>
      </c>
      <c r="X252" s="191">
        <f t="shared" si="64"/>
        <v>0</v>
      </c>
      <c r="Y252" s="191">
        <f t="shared" si="64"/>
        <v>0</v>
      </c>
      <c r="Z252" s="191">
        <f t="shared" si="64"/>
        <v>0</v>
      </c>
      <c r="AA252" s="191">
        <f t="shared" si="64"/>
        <v>0</v>
      </c>
      <c r="AB252" s="191">
        <f t="shared" si="64"/>
        <v>0</v>
      </c>
      <c r="AC252" s="191">
        <f t="shared" si="64"/>
        <v>0</v>
      </c>
      <c r="AD252" s="191">
        <f t="shared" si="64"/>
        <v>0</v>
      </c>
      <c r="AE252" s="191">
        <f t="shared" si="64"/>
        <v>0</v>
      </c>
      <c r="AF252" s="204">
        <f t="shared" si="64"/>
        <v>0</v>
      </c>
      <c r="AG252" s="216">
        <v>2.83</v>
      </c>
      <c r="AH252" s="46"/>
      <c r="AI252" s="47"/>
      <c r="AK252" s="49"/>
    </row>
    <row r="253" spans="1:37" x14ac:dyDescent="0.25">
      <c r="A253" s="73" t="s">
        <v>304</v>
      </c>
      <c r="B253" s="191">
        <v>0</v>
      </c>
      <c r="C253" s="191">
        <f t="shared" si="65"/>
        <v>0</v>
      </c>
      <c r="D253" s="191">
        <f t="shared" si="65"/>
        <v>0</v>
      </c>
      <c r="E253" s="191">
        <f t="shared" si="65"/>
        <v>0</v>
      </c>
      <c r="F253" s="191">
        <f t="shared" si="65"/>
        <v>0</v>
      </c>
      <c r="G253" s="191">
        <f t="shared" si="65"/>
        <v>0</v>
      </c>
      <c r="H253" s="191">
        <f t="shared" si="65"/>
        <v>0</v>
      </c>
      <c r="I253" s="191">
        <f t="shared" si="65"/>
        <v>0</v>
      </c>
      <c r="J253" s="191">
        <f t="shared" si="65"/>
        <v>0</v>
      </c>
      <c r="K253" s="191">
        <f t="shared" si="65"/>
        <v>0</v>
      </c>
      <c r="L253" s="191">
        <f t="shared" si="65"/>
        <v>0</v>
      </c>
      <c r="M253" s="191">
        <f t="shared" si="65"/>
        <v>0</v>
      </c>
      <c r="N253" s="191">
        <f t="shared" si="65"/>
        <v>0</v>
      </c>
      <c r="O253" s="191">
        <f t="shared" si="65"/>
        <v>0</v>
      </c>
      <c r="P253" s="191">
        <f t="shared" si="65"/>
        <v>0</v>
      </c>
      <c r="Q253" s="191">
        <f t="shared" si="65"/>
        <v>0</v>
      </c>
      <c r="R253" s="191">
        <f t="shared" si="65"/>
        <v>0</v>
      </c>
      <c r="S253" s="191">
        <f t="shared" si="64"/>
        <v>0</v>
      </c>
      <c r="T253" s="191">
        <f t="shared" si="64"/>
        <v>0</v>
      </c>
      <c r="U253" s="191">
        <f t="shared" si="64"/>
        <v>0</v>
      </c>
      <c r="V253" s="191">
        <f t="shared" si="64"/>
        <v>0</v>
      </c>
      <c r="W253" s="191">
        <f t="shared" si="64"/>
        <v>0</v>
      </c>
      <c r="X253" s="191">
        <f t="shared" si="64"/>
        <v>0</v>
      </c>
      <c r="Y253" s="191">
        <f t="shared" si="64"/>
        <v>0</v>
      </c>
      <c r="Z253" s="191">
        <f t="shared" si="64"/>
        <v>0</v>
      </c>
      <c r="AA253" s="191">
        <f t="shared" si="64"/>
        <v>0</v>
      </c>
      <c r="AB253" s="191">
        <f t="shared" si="64"/>
        <v>0</v>
      </c>
      <c r="AC253" s="191">
        <f t="shared" si="64"/>
        <v>0</v>
      </c>
      <c r="AD253" s="191">
        <f t="shared" si="64"/>
        <v>0</v>
      </c>
      <c r="AE253" s="191">
        <f t="shared" si="64"/>
        <v>0</v>
      </c>
      <c r="AF253" s="204">
        <f t="shared" si="64"/>
        <v>0</v>
      </c>
      <c r="AG253" s="216">
        <v>2.5</v>
      </c>
      <c r="AH253" s="46"/>
      <c r="AI253" s="47"/>
      <c r="AK253" s="49"/>
    </row>
    <row r="254" spans="1:37" x14ac:dyDescent="0.25">
      <c r="A254" s="73" t="s">
        <v>305</v>
      </c>
      <c r="B254" s="191">
        <v>0</v>
      </c>
      <c r="C254" s="191">
        <f t="shared" si="65"/>
        <v>0</v>
      </c>
      <c r="D254" s="191">
        <f t="shared" si="65"/>
        <v>0</v>
      </c>
      <c r="E254" s="191">
        <f t="shared" si="65"/>
        <v>0</v>
      </c>
      <c r="F254" s="191">
        <f t="shared" si="65"/>
        <v>0</v>
      </c>
      <c r="G254" s="191">
        <f t="shared" si="65"/>
        <v>0</v>
      </c>
      <c r="H254" s="191">
        <f t="shared" si="65"/>
        <v>0</v>
      </c>
      <c r="I254" s="191">
        <f t="shared" si="65"/>
        <v>0</v>
      </c>
      <c r="J254" s="191">
        <f t="shared" si="65"/>
        <v>0</v>
      </c>
      <c r="K254" s="191">
        <f t="shared" si="65"/>
        <v>0</v>
      </c>
      <c r="L254" s="191">
        <f t="shared" si="65"/>
        <v>0</v>
      </c>
      <c r="M254" s="191">
        <f t="shared" si="65"/>
        <v>0</v>
      </c>
      <c r="N254" s="191">
        <f t="shared" si="65"/>
        <v>0</v>
      </c>
      <c r="O254" s="191">
        <f t="shared" si="65"/>
        <v>0</v>
      </c>
      <c r="P254" s="191">
        <f t="shared" si="65"/>
        <v>0</v>
      </c>
      <c r="Q254" s="191">
        <f t="shared" si="65"/>
        <v>0</v>
      </c>
      <c r="R254" s="191">
        <f t="shared" si="65"/>
        <v>0</v>
      </c>
      <c r="S254" s="191">
        <f t="shared" si="64"/>
        <v>0</v>
      </c>
      <c r="T254" s="191">
        <f t="shared" si="64"/>
        <v>0</v>
      </c>
      <c r="U254" s="191">
        <f t="shared" si="64"/>
        <v>0</v>
      </c>
      <c r="V254" s="191">
        <f t="shared" si="64"/>
        <v>0</v>
      </c>
      <c r="W254" s="191">
        <f t="shared" si="64"/>
        <v>0</v>
      </c>
      <c r="X254" s="191">
        <f t="shared" si="64"/>
        <v>0</v>
      </c>
      <c r="Y254" s="191">
        <f t="shared" si="64"/>
        <v>0</v>
      </c>
      <c r="Z254" s="191">
        <f t="shared" si="64"/>
        <v>0</v>
      </c>
      <c r="AA254" s="191">
        <f t="shared" si="64"/>
        <v>0</v>
      </c>
      <c r="AB254" s="191">
        <f t="shared" si="64"/>
        <v>0</v>
      </c>
      <c r="AC254" s="191">
        <f t="shared" si="64"/>
        <v>0</v>
      </c>
      <c r="AD254" s="191">
        <f t="shared" si="64"/>
        <v>0</v>
      </c>
      <c r="AE254" s="191">
        <f t="shared" si="64"/>
        <v>0</v>
      </c>
      <c r="AF254" s="204">
        <f t="shared" si="64"/>
        <v>0</v>
      </c>
      <c r="AG254" s="216">
        <v>2.5</v>
      </c>
      <c r="AH254" s="46"/>
      <c r="AI254" s="47"/>
      <c r="AK254" s="49"/>
    </row>
    <row r="255" spans="1:37" x14ac:dyDescent="0.25">
      <c r="A255" s="73" t="s">
        <v>306</v>
      </c>
      <c r="B255" s="191">
        <v>0</v>
      </c>
      <c r="C255" s="191">
        <f t="shared" si="65"/>
        <v>0</v>
      </c>
      <c r="D255" s="191">
        <f t="shared" si="65"/>
        <v>0</v>
      </c>
      <c r="E255" s="191">
        <f t="shared" si="65"/>
        <v>0</v>
      </c>
      <c r="F255" s="191">
        <f t="shared" si="65"/>
        <v>0</v>
      </c>
      <c r="G255" s="191">
        <f t="shared" si="65"/>
        <v>0</v>
      </c>
      <c r="H255" s="191">
        <f t="shared" si="65"/>
        <v>0</v>
      </c>
      <c r="I255" s="191">
        <f t="shared" si="65"/>
        <v>0</v>
      </c>
      <c r="J255" s="191">
        <f t="shared" si="65"/>
        <v>0</v>
      </c>
      <c r="K255" s="191">
        <f t="shared" si="65"/>
        <v>0</v>
      </c>
      <c r="L255" s="191">
        <f t="shared" si="65"/>
        <v>0</v>
      </c>
      <c r="M255" s="191">
        <f t="shared" si="65"/>
        <v>0</v>
      </c>
      <c r="N255" s="191">
        <f t="shared" si="65"/>
        <v>0</v>
      </c>
      <c r="O255" s="191">
        <f t="shared" si="65"/>
        <v>0</v>
      </c>
      <c r="P255" s="191">
        <f t="shared" si="65"/>
        <v>0</v>
      </c>
      <c r="Q255" s="191">
        <f t="shared" si="65"/>
        <v>0</v>
      </c>
      <c r="R255" s="191">
        <f t="shared" si="65"/>
        <v>0</v>
      </c>
      <c r="S255" s="191">
        <f t="shared" si="64"/>
        <v>0</v>
      </c>
      <c r="T255" s="191">
        <f t="shared" si="64"/>
        <v>0</v>
      </c>
      <c r="U255" s="191">
        <f t="shared" si="64"/>
        <v>0</v>
      </c>
      <c r="V255" s="191">
        <f t="shared" si="64"/>
        <v>0</v>
      </c>
      <c r="W255" s="191">
        <f t="shared" si="64"/>
        <v>0</v>
      </c>
      <c r="X255" s="191">
        <f t="shared" si="64"/>
        <v>0</v>
      </c>
      <c r="Y255" s="191">
        <f t="shared" si="64"/>
        <v>0</v>
      </c>
      <c r="Z255" s="191">
        <f t="shared" si="64"/>
        <v>0</v>
      </c>
      <c r="AA255" s="191">
        <f t="shared" si="64"/>
        <v>0</v>
      </c>
      <c r="AB255" s="191">
        <f t="shared" si="64"/>
        <v>0</v>
      </c>
      <c r="AC255" s="191">
        <f t="shared" si="64"/>
        <v>0</v>
      </c>
      <c r="AD255" s="191">
        <f t="shared" si="64"/>
        <v>0</v>
      </c>
      <c r="AE255" s="191">
        <f t="shared" si="64"/>
        <v>0</v>
      </c>
      <c r="AF255" s="204">
        <f t="shared" si="64"/>
        <v>0</v>
      </c>
      <c r="AG255" s="216">
        <v>2.4</v>
      </c>
      <c r="AH255" s="46"/>
      <c r="AI255" s="47"/>
      <c r="AK255" s="49"/>
    </row>
    <row r="256" spans="1:37" x14ac:dyDescent="0.25">
      <c r="A256" s="73" t="s">
        <v>307</v>
      </c>
      <c r="B256" s="191">
        <v>0</v>
      </c>
      <c r="C256" s="191">
        <f t="shared" si="65"/>
        <v>0</v>
      </c>
      <c r="D256" s="191">
        <f t="shared" si="65"/>
        <v>0</v>
      </c>
      <c r="E256" s="191">
        <f t="shared" si="65"/>
        <v>0</v>
      </c>
      <c r="F256" s="191">
        <f t="shared" si="65"/>
        <v>0</v>
      </c>
      <c r="G256" s="191">
        <f t="shared" si="65"/>
        <v>0</v>
      </c>
      <c r="H256" s="191">
        <f t="shared" si="65"/>
        <v>0</v>
      </c>
      <c r="I256" s="191">
        <f t="shared" si="65"/>
        <v>0</v>
      </c>
      <c r="J256" s="191">
        <f t="shared" si="65"/>
        <v>0</v>
      </c>
      <c r="K256" s="191">
        <f t="shared" si="65"/>
        <v>0</v>
      </c>
      <c r="L256" s="191">
        <f t="shared" si="65"/>
        <v>0</v>
      </c>
      <c r="M256" s="191">
        <f t="shared" si="65"/>
        <v>0</v>
      </c>
      <c r="N256" s="191">
        <f t="shared" si="65"/>
        <v>0</v>
      </c>
      <c r="O256" s="191">
        <f t="shared" si="65"/>
        <v>0</v>
      </c>
      <c r="P256" s="191">
        <f t="shared" si="65"/>
        <v>0</v>
      </c>
      <c r="Q256" s="191">
        <f t="shared" si="65"/>
        <v>0</v>
      </c>
      <c r="R256" s="191">
        <f t="shared" si="65"/>
        <v>0</v>
      </c>
      <c r="S256" s="191">
        <f t="shared" si="64"/>
        <v>0</v>
      </c>
      <c r="T256" s="191">
        <f t="shared" si="64"/>
        <v>0</v>
      </c>
      <c r="U256" s="191">
        <f t="shared" si="64"/>
        <v>0</v>
      </c>
      <c r="V256" s="191">
        <f t="shared" si="64"/>
        <v>0</v>
      </c>
      <c r="W256" s="191">
        <f t="shared" si="64"/>
        <v>0</v>
      </c>
      <c r="X256" s="191">
        <f t="shared" si="64"/>
        <v>0</v>
      </c>
      <c r="Y256" s="191">
        <f t="shared" si="64"/>
        <v>0</v>
      </c>
      <c r="Z256" s="191">
        <f t="shared" si="64"/>
        <v>0</v>
      </c>
      <c r="AA256" s="191">
        <f t="shared" si="64"/>
        <v>0</v>
      </c>
      <c r="AB256" s="191">
        <f t="shared" si="64"/>
        <v>0</v>
      </c>
      <c r="AC256" s="191">
        <f t="shared" si="64"/>
        <v>0</v>
      </c>
      <c r="AD256" s="191">
        <f t="shared" si="64"/>
        <v>0</v>
      </c>
      <c r="AE256" s="191">
        <f t="shared" si="64"/>
        <v>0</v>
      </c>
      <c r="AF256" s="204">
        <f t="shared" si="64"/>
        <v>0</v>
      </c>
      <c r="AG256" s="216">
        <v>2.4</v>
      </c>
      <c r="AH256" s="46"/>
      <c r="AI256" s="47"/>
      <c r="AK256" s="49"/>
    </row>
    <row r="257" spans="1:37" x14ac:dyDescent="0.25">
      <c r="A257" s="73" t="s">
        <v>308</v>
      </c>
      <c r="B257" s="191">
        <v>0</v>
      </c>
      <c r="C257" s="191">
        <f t="shared" si="65"/>
        <v>0</v>
      </c>
      <c r="D257" s="191">
        <f t="shared" si="65"/>
        <v>0</v>
      </c>
      <c r="E257" s="191">
        <f t="shared" si="65"/>
        <v>0</v>
      </c>
      <c r="F257" s="191">
        <f t="shared" si="65"/>
        <v>0</v>
      </c>
      <c r="G257" s="191">
        <f t="shared" si="65"/>
        <v>0</v>
      </c>
      <c r="H257" s="191">
        <f t="shared" si="65"/>
        <v>0</v>
      </c>
      <c r="I257" s="191">
        <f t="shared" si="65"/>
        <v>0</v>
      </c>
      <c r="J257" s="191">
        <f t="shared" si="65"/>
        <v>0</v>
      </c>
      <c r="K257" s="191">
        <f t="shared" si="65"/>
        <v>0</v>
      </c>
      <c r="L257" s="191">
        <f t="shared" si="65"/>
        <v>0</v>
      </c>
      <c r="M257" s="191">
        <f t="shared" si="65"/>
        <v>0</v>
      </c>
      <c r="N257" s="191">
        <f t="shared" si="65"/>
        <v>0</v>
      </c>
      <c r="O257" s="191">
        <f t="shared" si="65"/>
        <v>0</v>
      </c>
      <c r="P257" s="191">
        <f t="shared" si="65"/>
        <v>0</v>
      </c>
      <c r="Q257" s="191">
        <f t="shared" si="65"/>
        <v>0</v>
      </c>
      <c r="R257" s="191">
        <f t="shared" si="65"/>
        <v>0</v>
      </c>
      <c r="S257" s="191">
        <f t="shared" si="64"/>
        <v>0</v>
      </c>
      <c r="T257" s="191">
        <f t="shared" si="64"/>
        <v>0</v>
      </c>
      <c r="U257" s="191">
        <f t="shared" si="64"/>
        <v>0</v>
      </c>
      <c r="V257" s="191">
        <f t="shared" si="64"/>
        <v>0</v>
      </c>
      <c r="W257" s="191">
        <f t="shared" si="64"/>
        <v>0</v>
      </c>
      <c r="X257" s="191">
        <f t="shared" si="64"/>
        <v>0</v>
      </c>
      <c r="Y257" s="191">
        <f t="shared" si="64"/>
        <v>0</v>
      </c>
      <c r="Z257" s="191">
        <f t="shared" si="64"/>
        <v>0</v>
      </c>
      <c r="AA257" s="191">
        <f t="shared" si="64"/>
        <v>0</v>
      </c>
      <c r="AB257" s="191">
        <f t="shared" si="64"/>
        <v>0</v>
      </c>
      <c r="AC257" s="191">
        <f t="shared" si="64"/>
        <v>0</v>
      </c>
      <c r="AD257" s="191">
        <f t="shared" si="64"/>
        <v>0</v>
      </c>
      <c r="AE257" s="191">
        <f t="shared" si="64"/>
        <v>0</v>
      </c>
      <c r="AF257" s="204">
        <f t="shared" si="64"/>
        <v>0</v>
      </c>
      <c r="AG257" s="216">
        <v>2.2000000000000002</v>
      </c>
      <c r="AH257" s="46"/>
      <c r="AI257" s="47"/>
      <c r="AK257" s="49"/>
    </row>
    <row r="258" spans="1:37" x14ac:dyDescent="0.25">
      <c r="A258" s="73" t="s">
        <v>309</v>
      </c>
      <c r="B258" s="191">
        <v>0</v>
      </c>
      <c r="C258" s="191">
        <f t="shared" si="65"/>
        <v>0</v>
      </c>
      <c r="D258" s="191">
        <f t="shared" si="65"/>
        <v>0</v>
      </c>
      <c r="E258" s="191">
        <f t="shared" si="65"/>
        <v>0</v>
      </c>
      <c r="F258" s="191">
        <f t="shared" si="65"/>
        <v>0</v>
      </c>
      <c r="G258" s="191">
        <f t="shared" si="65"/>
        <v>0</v>
      </c>
      <c r="H258" s="191">
        <f t="shared" si="65"/>
        <v>0</v>
      </c>
      <c r="I258" s="191">
        <f t="shared" si="65"/>
        <v>0</v>
      </c>
      <c r="J258" s="191">
        <f t="shared" si="65"/>
        <v>0</v>
      </c>
      <c r="K258" s="191">
        <f t="shared" si="65"/>
        <v>0</v>
      </c>
      <c r="L258" s="191">
        <f t="shared" si="65"/>
        <v>0</v>
      </c>
      <c r="M258" s="191">
        <f t="shared" si="65"/>
        <v>0</v>
      </c>
      <c r="N258" s="191">
        <f t="shared" si="65"/>
        <v>0</v>
      </c>
      <c r="O258" s="191">
        <f t="shared" si="65"/>
        <v>0</v>
      </c>
      <c r="P258" s="191">
        <f t="shared" si="65"/>
        <v>0</v>
      </c>
      <c r="Q258" s="191">
        <f t="shared" si="65"/>
        <v>0</v>
      </c>
      <c r="R258" s="191">
        <f t="shared" si="65"/>
        <v>0</v>
      </c>
      <c r="S258" s="191">
        <f t="shared" si="64"/>
        <v>0</v>
      </c>
      <c r="T258" s="191">
        <f t="shared" si="64"/>
        <v>0</v>
      </c>
      <c r="U258" s="191">
        <f t="shared" si="64"/>
        <v>0</v>
      </c>
      <c r="V258" s="191">
        <f t="shared" si="64"/>
        <v>0</v>
      </c>
      <c r="W258" s="191">
        <f t="shared" si="64"/>
        <v>0</v>
      </c>
      <c r="X258" s="191">
        <f t="shared" si="64"/>
        <v>0</v>
      </c>
      <c r="Y258" s="191">
        <f t="shared" si="64"/>
        <v>0</v>
      </c>
      <c r="Z258" s="191">
        <f t="shared" si="64"/>
        <v>0</v>
      </c>
      <c r="AA258" s="191">
        <f t="shared" si="64"/>
        <v>0</v>
      </c>
      <c r="AB258" s="191">
        <f t="shared" si="64"/>
        <v>0</v>
      </c>
      <c r="AC258" s="191">
        <f t="shared" si="64"/>
        <v>0</v>
      </c>
      <c r="AD258" s="191">
        <f t="shared" si="64"/>
        <v>0</v>
      </c>
      <c r="AE258" s="191">
        <f t="shared" si="64"/>
        <v>0</v>
      </c>
      <c r="AF258" s="204">
        <f t="shared" si="64"/>
        <v>0</v>
      </c>
      <c r="AG258" s="216">
        <v>2</v>
      </c>
      <c r="AH258" s="46"/>
      <c r="AI258" s="47"/>
      <c r="AK258" s="49"/>
    </row>
    <row r="259" spans="1:37" x14ac:dyDescent="0.25">
      <c r="A259" s="73" t="s">
        <v>310</v>
      </c>
      <c r="B259" s="191">
        <v>0</v>
      </c>
      <c r="C259" s="191">
        <f t="shared" si="65"/>
        <v>0</v>
      </c>
      <c r="D259" s="191">
        <f t="shared" si="65"/>
        <v>0</v>
      </c>
      <c r="E259" s="191">
        <f t="shared" si="65"/>
        <v>0</v>
      </c>
      <c r="F259" s="191">
        <f t="shared" si="65"/>
        <v>0</v>
      </c>
      <c r="G259" s="191">
        <f t="shared" si="65"/>
        <v>0</v>
      </c>
      <c r="H259" s="191">
        <f t="shared" si="65"/>
        <v>0</v>
      </c>
      <c r="I259" s="191">
        <f t="shared" si="65"/>
        <v>0</v>
      </c>
      <c r="J259" s="191">
        <f t="shared" si="65"/>
        <v>0</v>
      </c>
      <c r="K259" s="191">
        <f t="shared" si="65"/>
        <v>0</v>
      </c>
      <c r="L259" s="191">
        <f t="shared" si="65"/>
        <v>0</v>
      </c>
      <c r="M259" s="191">
        <f t="shared" si="65"/>
        <v>0</v>
      </c>
      <c r="N259" s="191">
        <f t="shared" si="65"/>
        <v>0</v>
      </c>
      <c r="O259" s="191">
        <f t="shared" si="65"/>
        <v>0</v>
      </c>
      <c r="P259" s="191">
        <f t="shared" si="65"/>
        <v>0</v>
      </c>
      <c r="Q259" s="191">
        <f t="shared" si="65"/>
        <v>0</v>
      </c>
      <c r="R259" s="191">
        <f t="shared" si="65"/>
        <v>0</v>
      </c>
      <c r="S259" s="191">
        <f t="shared" si="64"/>
        <v>0</v>
      </c>
      <c r="T259" s="191">
        <f t="shared" si="64"/>
        <v>0</v>
      </c>
      <c r="U259" s="191">
        <f t="shared" si="64"/>
        <v>0</v>
      </c>
      <c r="V259" s="191">
        <f t="shared" si="64"/>
        <v>0</v>
      </c>
      <c r="W259" s="191">
        <f t="shared" si="64"/>
        <v>0</v>
      </c>
      <c r="X259" s="191">
        <f t="shared" si="64"/>
        <v>0</v>
      </c>
      <c r="Y259" s="191">
        <f t="shared" si="64"/>
        <v>0</v>
      </c>
      <c r="Z259" s="191">
        <f t="shared" si="64"/>
        <v>0</v>
      </c>
      <c r="AA259" s="191">
        <f t="shared" si="64"/>
        <v>0</v>
      </c>
      <c r="AB259" s="191">
        <f t="shared" si="64"/>
        <v>0</v>
      </c>
      <c r="AC259" s="191">
        <f t="shared" si="64"/>
        <v>0</v>
      </c>
      <c r="AD259" s="191">
        <f t="shared" si="64"/>
        <v>0</v>
      </c>
      <c r="AE259" s="191">
        <f t="shared" si="64"/>
        <v>0</v>
      </c>
      <c r="AF259" s="204">
        <f t="shared" si="64"/>
        <v>0</v>
      </c>
      <c r="AG259" s="216">
        <v>2</v>
      </c>
      <c r="AH259" s="46"/>
      <c r="AI259" s="47"/>
      <c r="AK259" s="49"/>
    </row>
    <row r="260" spans="1:37" x14ac:dyDescent="0.25">
      <c r="A260" s="73" t="s">
        <v>311</v>
      </c>
      <c r="B260" s="191">
        <v>0</v>
      </c>
      <c r="C260" s="191">
        <f t="shared" si="65"/>
        <v>0</v>
      </c>
      <c r="D260" s="191">
        <f t="shared" si="65"/>
        <v>0</v>
      </c>
      <c r="E260" s="191">
        <f t="shared" si="65"/>
        <v>0</v>
      </c>
      <c r="F260" s="191">
        <f t="shared" si="65"/>
        <v>0</v>
      </c>
      <c r="G260" s="191">
        <f t="shared" si="65"/>
        <v>0</v>
      </c>
      <c r="H260" s="191">
        <f t="shared" si="65"/>
        <v>0</v>
      </c>
      <c r="I260" s="191">
        <f t="shared" si="65"/>
        <v>0</v>
      </c>
      <c r="J260" s="191">
        <f t="shared" si="65"/>
        <v>0</v>
      </c>
      <c r="K260" s="191">
        <f t="shared" si="65"/>
        <v>0</v>
      </c>
      <c r="L260" s="191">
        <f t="shared" si="65"/>
        <v>0</v>
      </c>
      <c r="M260" s="191">
        <f t="shared" si="65"/>
        <v>0</v>
      </c>
      <c r="N260" s="191">
        <f t="shared" si="65"/>
        <v>0</v>
      </c>
      <c r="O260" s="191">
        <f t="shared" si="65"/>
        <v>0</v>
      </c>
      <c r="P260" s="191">
        <f t="shared" si="65"/>
        <v>0</v>
      </c>
      <c r="Q260" s="191">
        <f t="shared" si="65"/>
        <v>0</v>
      </c>
      <c r="R260" s="191">
        <f t="shared" si="65"/>
        <v>0</v>
      </c>
      <c r="S260" s="191">
        <f t="shared" si="64"/>
        <v>0</v>
      </c>
      <c r="T260" s="191">
        <f t="shared" si="64"/>
        <v>0</v>
      </c>
      <c r="U260" s="191">
        <f t="shared" si="64"/>
        <v>0</v>
      </c>
      <c r="V260" s="191">
        <f t="shared" si="64"/>
        <v>0</v>
      </c>
      <c r="W260" s="191">
        <f t="shared" si="64"/>
        <v>0</v>
      </c>
      <c r="X260" s="191">
        <f t="shared" si="64"/>
        <v>0</v>
      </c>
      <c r="Y260" s="191">
        <f t="shared" si="64"/>
        <v>0</v>
      </c>
      <c r="Z260" s="191">
        <f t="shared" si="64"/>
        <v>0</v>
      </c>
      <c r="AA260" s="191">
        <f t="shared" si="64"/>
        <v>0</v>
      </c>
      <c r="AB260" s="191">
        <f t="shared" si="64"/>
        <v>0</v>
      </c>
      <c r="AC260" s="191">
        <f t="shared" si="64"/>
        <v>0</v>
      </c>
      <c r="AD260" s="191">
        <f t="shared" si="64"/>
        <v>0</v>
      </c>
      <c r="AE260" s="191">
        <f t="shared" si="64"/>
        <v>0</v>
      </c>
      <c r="AF260" s="204">
        <f t="shared" si="64"/>
        <v>0</v>
      </c>
      <c r="AG260" s="216">
        <v>2</v>
      </c>
      <c r="AH260" s="46"/>
      <c r="AI260" s="47"/>
      <c r="AK260" s="49"/>
    </row>
    <row r="261" spans="1:37" x14ac:dyDescent="0.25">
      <c r="A261" s="73" t="s">
        <v>312</v>
      </c>
      <c r="B261" s="191">
        <v>0</v>
      </c>
      <c r="C261" s="191">
        <f t="shared" si="65"/>
        <v>0</v>
      </c>
      <c r="D261" s="191">
        <f t="shared" si="65"/>
        <v>0</v>
      </c>
      <c r="E261" s="191">
        <f t="shared" si="65"/>
        <v>0</v>
      </c>
      <c r="F261" s="191">
        <f t="shared" si="65"/>
        <v>0</v>
      </c>
      <c r="G261" s="191">
        <f t="shared" si="65"/>
        <v>0</v>
      </c>
      <c r="H261" s="191">
        <f t="shared" si="65"/>
        <v>0</v>
      </c>
      <c r="I261" s="191">
        <f t="shared" si="65"/>
        <v>0</v>
      </c>
      <c r="J261" s="191">
        <f t="shared" si="65"/>
        <v>0</v>
      </c>
      <c r="K261" s="191">
        <f t="shared" si="65"/>
        <v>0</v>
      </c>
      <c r="L261" s="191">
        <f t="shared" si="65"/>
        <v>0</v>
      </c>
      <c r="M261" s="191">
        <f t="shared" si="65"/>
        <v>0</v>
      </c>
      <c r="N261" s="191">
        <f t="shared" si="65"/>
        <v>0</v>
      </c>
      <c r="O261" s="191">
        <f t="shared" si="65"/>
        <v>0</v>
      </c>
      <c r="P261" s="191">
        <f t="shared" si="65"/>
        <v>0</v>
      </c>
      <c r="Q261" s="191">
        <f t="shared" si="65"/>
        <v>0</v>
      </c>
      <c r="R261" s="191">
        <f t="shared" si="65"/>
        <v>0</v>
      </c>
      <c r="S261" s="191">
        <f t="shared" si="64"/>
        <v>0</v>
      </c>
      <c r="T261" s="191">
        <f t="shared" si="64"/>
        <v>0</v>
      </c>
      <c r="U261" s="191">
        <f t="shared" si="64"/>
        <v>0</v>
      </c>
      <c r="V261" s="191">
        <f t="shared" si="64"/>
        <v>0</v>
      </c>
      <c r="W261" s="191">
        <f t="shared" si="64"/>
        <v>0</v>
      </c>
      <c r="X261" s="191">
        <f t="shared" si="64"/>
        <v>0</v>
      </c>
      <c r="Y261" s="191">
        <f t="shared" si="64"/>
        <v>0</v>
      </c>
      <c r="Z261" s="191">
        <f t="shared" si="64"/>
        <v>0</v>
      </c>
      <c r="AA261" s="191">
        <f t="shared" si="64"/>
        <v>0</v>
      </c>
      <c r="AB261" s="191">
        <f t="shared" si="64"/>
        <v>0</v>
      </c>
      <c r="AC261" s="191">
        <f t="shared" si="64"/>
        <v>0</v>
      </c>
      <c r="AD261" s="191">
        <f t="shared" si="64"/>
        <v>0</v>
      </c>
      <c r="AE261" s="191">
        <f t="shared" si="64"/>
        <v>0</v>
      </c>
      <c r="AF261" s="204">
        <f t="shared" si="64"/>
        <v>0</v>
      </c>
      <c r="AG261" s="216">
        <v>1.8</v>
      </c>
      <c r="AH261" s="46"/>
      <c r="AI261" s="47"/>
      <c r="AK261" s="49"/>
    </row>
    <row r="262" spans="1:37" x14ac:dyDescent="0.25">
      <c r="A262" s="73" t="s">
        <v>313</v>
      </c>
      <c r="B262" s="191">
        <v>0</v>
      </c>
      <c r="C262" s="191">
        <f t="shared" si="65"/>
        <v>0</v>
      </c>
      <c r="D262" s="191">
        <f t="shared" si="65"/>
        <v>0</v>
      </c>
      <c r="E262" s="191">
        <f t="shared" si="65"/>
        <v>0</v>
      </c>
      <c r="F262" s="191">
        <f t="shared" si="65"/>
        <v>0</v>
      </c>
      <c r="G262" s="191">
        <f t="shared" si="65"/>
        <v>0</v>
      </c>
      <c r="H262" s="191">
        <f t="shared" si="65"/>
        <v>0</v>
      </c>
      <c r="I262" s="191">
        <f t="shared" si="65"/>
        <v>0</v>
      </c>
      <c r="J262" s="191">
        <f t="shared" si="65"/>
        <v>0</v>
      </c>
      <c r="K262" s="191">
        <f t="shared" si="65"/>
        <v>0</v>
      </c>
      <c r="L262" s="191">
        <f t="shared" si="65"/>
        <v>0</v>
      </c>
      <c r="M262" s="191">
        <f t="shared" si="65"/>
        <v>0</v>
      </c>
      <c r="N262" s="191">
        <f t="shared" si="65"/>
        <v>0</v>
      </c>
      <c r="O262" s="191">
        <f t="shared" si="65"/>
        <v>0</v>
      </c>
      <c r="P262" s="191">
        <f t="shared" si="65"/>
        <v>0</v>
      </c>
      <c r="Q262" s="191">
        <f t="shared" si="65"/>
        <v>0</v>
      </c>
      <c r="R262" s="191">
        <f t="shared" si="65"/>
        <v>0</v>
      </c>
      <c r="S262" s="191">
        <f t="shared" si="64"/>
        <v>0</v>
      </c>
      <c r="T262" s="191">
        <f t="shared" si="64"/>
        <v>0</v>
      </c>
      <c r="U262" s="191">
        <f t="shared" si="64"/>
        <v>0</v>
      </c>
      <c r="V262" s="191">
        <f t="shared" si="64"/>
        <v>0</v>
      </c>
      <c r="W262" s="191">
        <f t="shared" si="64"/>
        <v>0</v>
      </c>
      <c r="X262" s="191">
        <f t="shared" si="64"/>
        <v>0</v>
      </c>
      <c r="Y262" s="191">
        <f t="shared" si="64"/>
        <v>0</v>
      </c>
      <c r="Z262" s="191">
        <f t="shared" si="64"/>
        <v>0</v>
      </c>
      <c r="AA262" s="191">
        <f t="shared" si="64"/>
        <v>0</v>
      </c>
      <c r="AB262" s="191">
        <f t="shared" si="64"/>
        <v>0</v>
      </c>
      <c r="AC262" s="191">
        <f t="shared" si="64"/>
        <v>0</v>
      </c>
      <c r="AD262" s="191">
        <f t="shared" si="64"/>
        <v>0</v>
      </c>
      <c r="AE262" s="191">
        <f t="shared" si="64"/>
        <v>0</v>
      </c>
      <c r="AF262" s="204">
        <f t="shared" si="64"/>
        <v>0</v>
      </c>
      <c r="AG262" s="216">
        <v>1.8</v>
      </c>
      <c r="AH262" s="46"/>
      <c r="AI262" s="47"/>
      <c r="AK262" s="49"/>
    </row>
    <row r="263" spans="1:37" x14ac:dyDescent="0.25">
      <c r="A263" s="73" t="s">
        <v>314</v>
      </c>
      <c r="B263" s="191">
        <v>0</v>
      </c>
      <c r="C263" s="191">
        <f t="shared" si="65"/>
        <v>0</v>
      </c>
      <c r="D263" s="191">
        <f t="shared" si="65"/>
        <v>0</v>
      </c>
      <c r="E263" s="191">
        <f t="shared" si="65"/>
        <v>0</v>
      </c>
      <c r="F263" s="191">
        <f t="shared" si="65"/>
        <v>0</v>
      </c>
      <c r="G263" s="191">
        <f t="shared" si="65"/>
        <v>0</v>
      </c>
      <c r="H263" s="191">
        <f t="shared" si="65"/>
        <v>0</v>
      </c>
      <c r="I263" s="191">
        <f t="shared" si="65"/>
        <v>0</v>
      </c>
      <c r="J263" s="191">
        <f t="shared" si="65"/>
        <v>0</v>
      </c>
      <c r="K263" s="191">
        <f t="shared" si="65"/>
        <v>0</v>
      </c>
      <c r="L263" s="191">
        <f t="shared" si="65"/>
        <v>0</v>
      </c>
      <c r="M263" s="191">
        <f t="shared" si="65"/>
        <v>0</v>
      </c>
      <c r="N263" s="191">
        <f t="shared" si="65"/>
        <v>0</v>
      </c>
      <c r="O263" s="191">
        <f t="shared" si="65"/>
        <v>0</v>
      </c>
      <c r="P263" s="191">
        <f t="shared" si="65"/>
        <v>0</v>
      </c>
      <c r="Q263" s="191">
        <f t="shared" si="65"/>
        <v>0</v>
      </c>
      <c r="R263" s="191">
        <f t="shared" si="65"/>
        <v>0</v>
      </c>
      <c r="S263" s="191">
        <f t="shared" si="64"/>
        <v>0</v>
      </c>
      <c r="T263" s="191">
        <f t="shared" si="64"/>
        <v>0</v>
      </c>
      <c r="U263" s="191">
        <f t="shared" si="64"/>
        <v>0</v>
      </c>
      <c r="V263" s="191">
        <f t="shared" si="64"/>
        <v>0</v>
      </c>
      <c r="W263" s="191">
        <f t="shared" si="64"/>
        <v>0</v>
      </c>
      <c r="X263" s="191">
        <f t="shared" si="64"/>
        <v>0</v>
      </c>
      <c r="Y263" s="191">
        <f t="shared" si="64"/>
        <v>0</v>
      </c>
      <c r="Z263" s="191">
        <f t="shared" si="64"/>
        <v>0</v>
      </c>
      <c r="AA263" s="191">
        <f t="shared" si="64"/>
        <v>0</v>
      </c>
      <c r="AB263" s="191">
        <f t="shared" si="64"/>
        <v>0</v>
      </c>
      <c r="AC263" s="191">
        <f t="shared" si="64"/>
        <v>0</v>
      </c>
      <c r="AD263" s="191">
        <f t="shared" si="64"/>
        <v>0</v>
      </c>
      <c r="AE263" s="191">
        <f t="shared" si="64"/>
        <v>0</v>
      </c>
      <c r="AF263" s="204">
        <f t="shared" si="64"/>
        <v>0</v>
      </c>
      <c r="AG263" s="216">
        <v>1.65</v>
      </c>
      <c r="AH263" s="46"/>
      <c r="AI263" s="47"/>
      <c r="AK263" s="49"/>
    </row>
    <row r="264" spans="1:37" x14ac:dyDescent="0.25">
      <c r="A264" s="73" t="s">
        <v>315</v>
      </c>
      <c r="B264" s="191">
        <v>0</v>
      </c>
      <c r="C264" s="191">
        <f t="shared" si="65"/>
        <v>0</v>
      </c>
      <c r="D264" s="191">
        <f t="shared" si="65"/>
        <v>0</v>
      </c>
      <c r="E264" s="191">
        <f t="shared" si="65"/>
        <v>0</v>
      </c>
      <c r="F264" s="191">
        <f t="shared" si="65"/>
        <v>0</v>
      </c>
      <c r="G264" s="191">
        <f t="shared" si="65"/>
        <v>0</v>
      </c>
      <c r="H264" s="191">
        <f t="shared" si="65"/>
        <v>0</v>
      </c>
      <c r="I264" s="191">
        <f t="shared" si="65"/>
        <v>0</v>
      </c>
      <c r="J264" s="191">
        <f t="shared" si="65"/>
        <v>0</v>
      </c>
      <c r="K264" s="191">
        <f t="shared" si="65"/>
        <v>0</v>
      </c>
      <c r="L264" s="191">
        <f t="shared" si="65"/>
        <v>0</v>
      </c>
      <c r="M264" s="191">
        <f t="shared" si="65"/>
        <v>0</v>
      </c>
      <c r="N264" s="191">
        <f t="shared" si="65"/>
        <v>0</v>
      </c>
      <c r="O264" s="191">
        <f t="shared" si="65"/>
        <v>0</v>
      </c>
      <c r="P264" s="191">
        <f t="shared" si="65"/>
        <v>0</v>
      </c>
      <c r="Q264" s="191">
        <f t="shared" si="65"/>
        <v>0</v>
      </c>
      <c r="R264" s="191">
        <f t="shared" si="65"/>
        <v>0</v>
      </c>
      <c r="S264" s="191">
        <f t="shared" si="64"/>
        <v>0</v>
      </c>
      <c r="T264" s="191">
        <f t="shared" si="64"/>
        <v>0</v>
      </c>
      <c r="U264" s="191">
        <f t="shared" si="64"/>
        <v>0</v>
      </c>
      <c r="V264" s="191">
        <f t="shared" si="64"/>
        <v>0</v>
      </c>
      <c r="W264" s="191">
        <f t="shared" si="64"/>
        <v>0</v>
      </c>
      <c r="X264" s="191">
        <f t="shared" si="64"/>
        <v>0</v>
      </c>
      <c r="Y264" s="191">
        <f t="shared" si="64"/>
        <v>0</v>
      </c>
      <c r="Z264" s="191">
        <f t="shared" si="64"/>
        <v>0</v>
      </c>
      <c r="AA264" s="191">
        <f t="shared" si="64"/>
        <v>0</v>
      </c>
      <c r="AB264" s="191">
        <f t="shared" si="64"/>
        <v>0</v>
      </c>
      <c r="AC264" s="191">
        <f t="shared" si="64"/>
        <v>0</v>
      </c>
      <c r="AD264" s="191">
        <f t="shared" si="64"/>
        <v>0</v>
      </c>
      <c r="AE264" s="191">
        <f t="shared" si="64"/>
        <v>0</v>
      </c>
      <c r="AF264" s="204">
        <f t="shared" si="64"/>
        <v>0</v>
      </c>
      <c r="AG264" s="216">
        <v>1.5</v>
      </c>
      <c r="AH264" s="46"/>
      <c r="AI264" s="47"/>
      <c r="AK264" s="49"/>
    </row>
    <row r="265" spans="1:37" x14ac:dyDescent="0.25">
      <c r="A265" s="73" t="s">
        <v>316</v>
      </c>
      <c r="B265" s="191">
        <v>0</v>
      </c>
      <c r="C265" s="191">
        <f t="shared" si="65"/>
        <v>0</v>
      </c>
      <c r="D265" s="191">
        <f t="shared" si="65"/>
        <v>0</v>
      </c>
      <c r="E265" s="191">
        <f t="shared" si="65"/>
        <v>0</v>
      </c>
      <c r="F265" s="191">
        <f t="shared" si="65"/>
        <v>0</v>
      </c>
      <c r="G265" s="191">
        <f t="shared" si="65"/>
        <v>0</v>
      </c>
      <c r="H265" s="191">
        <f t="shared" si="65"/>
        <v>0</v>
      </c>
      <c r="I265" s="191">
        <f t="shared" si="65"/>
        <v>0</v>
      </c>
      <c r="J265" s="191">
        <f t="shared" si="65"/>
        <v>0</v>
      </c>
      <c r="K265" s="191">
        <f t="shared" si="65"/>
        <v>0</v>
      </c>
      <c r="L265" s="191">
        <f t="shared" si="65"/>
        <v>0</v>
      </c>
      <c r="M265" s="191">
        <f t="shared" si="65"/>
        <v>0</v>
      </c>
      <c r="N265" s="191">
        <f t="shared" si="65"/>
        <v>0</v>
      </c>
      <c r="O265" s="191">
        <f t="shared" si="65"/>
        <v>0</v>
      </c>
      <c r="P265" s="191">
        <f t="shared" si="65"/>
        <v>0</v>
      </c>
      <c r="Q265" s="191">
        <f t="shared" si="65"/>
        <v>0</v>
      </c>
      <c r="R265" s="191">
        <f t="shared" si="65"/>
        <v>0</v>
      </c>
      <c r="S265" s="191">
        <f t="shared" ref="S265:AA273" si="66">R265</f>
        <v>0</v>
      </c>
      <c r="T265" s="191">
        <f t="shared" si="66"/>
        <v>0</v>
      </c>
      <c r="U265" s="191">
        <f t="shared" si="66"/>
        <v>0</v>
      </c>
      <c r="V265" s="191">
        <f t="shared" si="66"/>
        <v>0</v>
      </c>
      <c r="W265" s="191">
        <f t="shared" si="66"/>
        <v>0</v>
      </c>
      <c r="X265" s="191">
        <f t="shared" si="66"/>
        <v>0</v>
      </c>
      <c r="Y265" s="191">
        <f t="shared" si="66"/>
        <v>0</v>
      </c>
      <c r="Z265" s="191">
        <f t="shared" si="66"/>
        <v>0</v>
      </c>
      <c r="AA265" s="191">
        <f t="shared" si="66"/>
        <v>0</v>
      </c>
      <c r="AB265" s="191">
        <f t="shared" ref="AB265:AC274" si="67">AA265</f>
        <v>0</v>
      </c>
      <c r="AC265" s="191">
        <f t="shared" si="67"/>
        <v>0</v>
      </c>
      <c r="AD265" s="191">
        <f t="shared" ref="S265:AF274" si="68">AC265</f>
        <v>0</v>
      </c>
      <c r="AE265" s="191">
        <f t="shared" si="68"/>
        <v>0</v>
      </c>
      <c r="AF265" s="204">
        <f t="shared" si="68"/>
        <v>0</v>
      </c>
      <c r="AG265" s="216">
        <v>0.998</v>
      </c>
      <c r="AH265" s="46"/>
      <c r="AI265" s="47"/>
      <c r="AK265" s="49"/>
    </row>
    <row r="266" spans="1:37" x14ac:dyDescent="0.25">
      <c r="A266" s="73" t="s">
        <v>317</v>
      </c>
      <c r="B266" s="191">
        <v>0</v>
      </c>
      <c r="C266" s="191">
        <f t="shared" ref="C266:R274" si="69">B266</f>
        <v>0</v>
      </c>
      <c r="D266" s="191">
        <f t="shared" si="69"/>
        <v>0</v>
      </c>
      <c r="E266" s="191">
        <f t="shared" si="69"/>
        <v>0</v>
      </c>
      <c r="F266" s="191">
        <f t="shared" si="69"/>
        <v>0</v>
      </c>
      <c r="G266" s="191">
        <f t="shared" si="69"/>
        <v>0</v>
      </c>
      <c r="H266" s="191">
        <f t="shared" si="69"/>
        <v>0</v>
      </c>
      <c r="I266" s="191">
        <f t="shared" si="69"/>
        <v>0</v>
      </c>
      <c r="J266" s="191">
        <f t="shared" si="69"/>
        <v>0</v>
      </c>
      <c r="K266" s="191">
        <f t="shared" si="69"/>
        <v>0</v>
      </c>
      <c r="L266" s="191">
        <f t="shared" si="69"/>
        <v>0</v>
      </c>
      <c r="M266" s="191">
        <f t="shared" si="69"/>
        <v>0</v>
      </c>
      <c r="N266" s="191">
        <f t="shared" si="69"/>
        <v>0</v>
      </c>
      <c r="O266" s="191">
        <f t="shared" si="69"/>
        <v>0</v>
      </c>
      <c r="P266" s="191">
        <f t="shared" si="69"/>
        <v>0</v>
      </c>
      <c r="Q266" s="191">
        <f t="shared" si="69"/>
        <v>0</v>
      </c>
      <c r="R266" s="191">
        <f t="shared" si="69"/>
        <v>0</v>
      </c>
      <c r="S266" s="191">
        <f t="shared" si="66"/>
        <v>0</v>
      </c>
      <c r="T266" s="191">
        <f t="shared" si="66"/>
        <v>0</v>
      </c>
      <c r="U266" s="191">
        <f t="shared" si="66"/>
        <v>0</v>
      </c>
      <c r="V266" s="191">
        <f t="shared" si="66"/>
        <v>0</v>
      </c>
      <c r="W266" s="191">
        <f t="shared" si="66"/>
        <v>0</v>
      </c>
      <c r="X266" s="191">
        <f t="shared" si="66"/>
        <v>0</v>
      </c>
      <c r="Y266" s="191">
        <f t="shared" si="66"/>
        <v>0</v>
      </c>
      <c r="Z266" s="191">
        <f t="shared" si="66"/>
        <v>0</v>
      </c>
      <c r="AA266" s="191">
        <f t="shared" si="66"/>
        <v>0</v>
      </c>
      <c r="AB266" s="191">
        <f t="shared" si="67"/>
        <v>0</v>
      </c>
      <c r="AC266" s="191">
        <f t="shared" si="67"/>
        <v>0</v>
      </c>
      <c r="AD266" s="191">
        <f t="shared" si="68"/>
        <v>0</v>
      </c>
      <c r="AE266" s="191">
        <f t="shared" si="68"/>
        <v>0</v>
      </c>
      <c r="AF266" s="204">
        <f t="shared" si="68"/>
        <v>0</v>
      </c>
      <c r="AG266" s="216">
        <v>0.997</v>
      </c>
      <c r="AH266" s="46"/>
      <c r="AI266" s="47"/>
      <c r="AK266" s="49"/>
    </row>
    <row r="267" spans="1:37" x14ac:dyDescent="0.25">
      <c r="A267" s="73" t="s">
        <v>318</v>
      </c>
      <c r="B267" s="191">
        <v>0</v>
      </c>
      <c r="C267" s="191">
        <f t="shared" si="69"/>
        <v>0</v>
      </c>
      <c r="D267" s="191">
        <f t="shared" si="69"/>
        <v>0</v>
      </c>
      <c r="E267" s="191">
        <f t="shared" si="69"/>
        <v>0</v>
      </c>
      <c r="F267" s="191">
        <f t="shared" si="69"/>
        <v>0</v>
      </c>
      <c r="G267" s="191">
        <f t="shared" si="69"/>
        <v>0</v>
      </c>
      <c r="H267" s="191">
        <f t="shared" si="69"/>
        <v>0</v>
      </c>
      <c r="I267" s="191">
        <f t="shared" si="69"/>
        <v>0</v>
      </c>
      <c r="J267" s="191">
        <f t="shared" si="69"/>
        <v>0</v>
      </c>
      <c r="K267" s="191">
        <f t="shared" si="69"/>
        <v>0</v>
      </c>
      <c r="L267" s="191">
        <f t="shared" si="69"/>
        <v>0</v>
      </c>
      <c r="M267" s="191">
        <f t="shared" si="69"/>
        <v>0</v>
      </c>
      <c r="N267" s="191">
        <f t="shared" si="69"/>
        <v>0</v>
      </c>
      <c r="O267" s="191">
        <f t="shared" si="69"/>
        <v>0</v>
      </c>
      <c r="P267" s="191">
        <f t="shared" si="69"/>
        <v>0</v>
      </c>
      <c r="Q267" s="191">
        <f t="shared" si="69"/>
        <v>0</v>
      </c>
      <c r="R267" s="191">
        <f t="shared" si="69"/>
        <v>0</v>
      </c>
      <c r="S267" s="191">
        <f t="shared" si="66"/>
        <v>0</v>
      </c>
      <c r="T267" s="191">
        <f t="shared" si="66"/>
        <v>0</v>
      </c>
      <c r="U267" s="191">
        <f t="shared" si="66"/>
        <v>0</v>
      </c>
      <c r="V267" s="191">
        <f t="shared" si="66"/>
        <v>0</v>
      </c>
      <c r="W267" s="191">
        <f t="shared" si="66"/>
        <v>0</v>
      </c>
      <c r="X267" s="191">
        <f t="shared" si="66"/>
        <v>0</v>
      </c>
      <c r="Y267" s="191">
        <f t="shared" si="66"/>
        <v>0</v>
      </c>
      <c r="Z267" s="191">
        <f t="shared" si="66"/>
        <v>0</v>
      </c>
      <c r="AA267" s="191">
        <f t="shared" si="66"/>
        <v>0</v>
      </c>
      <c r="AB267" s="191">
        <f t="shared" si="67"/>
        <v>0</v>
      </c>
      <c r="AC267" s="191">
        <f t="shared" si="67"/>
        <v>0</v>
      </c>
      <c r="AD267" s="191">
        <f t="shared" si="68"/>
        <v>0</v>
      </c>
      <c r="AE267" s="191">
        <f t="shared" si="68"/>
        <v>0</v>
      </c>
      <c r="AF267" s="204">
        <f t="shared" si="68"/>
        <v>0</v>
      </c>
      <c r="AG267" s="216">
        <v>0.997</v>
      </c>
      <c r="AH267" s="46"/>
      <c r="AI267" s="47"/>
      <c r="AK267" s="49"/>
    </row>
    <row r="268" spans="1:37" x14ac:dyDescent="0.25">
      <c r="A268" s="73" t="s">
        <v>319</v>
      </c>
      <c r="B268" s="191">
        <v>0</v>
      </c>
      <c r="C268" s="191">
        <f t="shared" si="69"/>
        <v>0</v>
      </c>
      <c r="D268" s="191">
        <f t="shared" si="69"/>
        <v>0</v>
      </c>
      <c r="E268" s="191">
        <f t="shared" si="69"/>
        <v>0</v>
      </c>
      <c r="F268" s="191">
        <f t="shared" si="69"/>
        <v>0</v>
      </c>
      <c r="G268" s="191">
        <f t="shared" si="69"/>
        <v>0</v>
      </c>
      <c r="H268" s="191">
        <f t="shared" si="69"/>
        <v>0</v>
      </c>
      <c r="I268" s="191">
        <f t="shared" si="69"/>
        <v>0</v>
      </c>
      <c r="J268" s="191">
        <f t="shared" si="69"/>
        <v>0</v>
      </c>
      <c r="K268" s="191">
        <f t="shared" si="69"/>
        <v>0</v>
      </c>
      <c r="L268" s="191">
        <f t="shared" si="69"/>
        <v>0</v>
      </c>
      <c r="M268" s="191">
        <f t="shared" si="69"/>
        <v>0</v>
      </c>
      <c r="N268" s="191">
        <f t="shared" si="69"/>
        <v>0</v>
      </c>
      <c r="O268" s="191">
        <f t="shared" si="69"/>
        <v>0</v>
      </c>
      <c r="P268" s="191">
        <f t="shared" si="69"/>
        <v>0</v>
      </c>
      <c r="Q268" s="191">
        <f t="shared" si="69"/>
        <v>0</v>
      </c>
      <c r="R268" s="191">
        <f t="shared" si="69"/>
        <v>0</v>
      </c>
      <c r="S268" s="191">
        <f t="shared" si="66"/>
        <v>0</v>
      </c>
      <c r="T268" s="191">
        <f t="shared" si="66"/>
        <v>0</v>
      </c>
      <c r="U268" s="191">
        <f t="shared" si="66"/>
        <v>0</v>
      </c>
      <c r="V268" s="191">
        <f t="shared" si="66"/>
        <v>0</v>
      </c>
      <c r="W268" s="191">
        <f t="shared" si="66"/>
        <v>0</v>
      </c>
      <c r="X268" s="191">
        <f t="shared" si="66"/>
        <v>0</v>
      </c>
      <c r="Y268" s="191">
        <f t="shared" si="66"/>
        <v>0</v>
      </c>
      <c r="Z268" s="191">
        <f t="shared" si="68"/>
        <v>0</v>
      </c>
      <c r="AA268" s="191">
        <f t="shared" si="68"/>
        <v>0</v>
      </c>
      <c r="AB268" s="191">
        <f t="shared" si="67"/>
        <v>0</v>
      </c>
      <c r="AC268" s="191">
        <f t="shared" si="67"/>
        <v>0</v>
      </c>
      <c r="AD268" s="191">
        <f t="shared" si="68"/>
        <v>0</v>
      </c>
      <c r="AE268" s="191">
        <f t="shared" si="68"/>
        <v>0</v>
      </c>
      <c r="AF268" s="204">
        <f t="shared" si="68"/>
        <v>0</v>
      </c>
      <c r="AG268" s="216">
        <v>0.996</v>
      </c>
      <c r="AH268" s="46"/>
      <c r="AI268" s="47"/>
      <c r="AK268" s="49"/>
    </row>
    <row r="269" spans="1:37" x14ac:dyDescent="0.25">
      <c r="A269" s="73" t="s">
        <v>320</v>
      </c>
      <c r="B269" s="191">
        <v>0</v>
      </c>
      <c r="C269" s="191">
        <f t="shared" si="69"/>
        <v>0</v>
      </c>
      <c r="D269" s="191">
        <f t="shared" si="69"/>
        <v>0</v>
      </c>
      <c r="E269" s="191">
        <f t="shared" si="69"/>
        <v>0</v>
      </c>
      <c r="F269" s="191">
        <f t="shared" si="69"/>
        <v>0</v>
      </c>
      <c r="G269" s="191">
        <f t="shared" si="69"/>
        <v>0</v>
      </c>
      <c r="H269" s="191">
        <f t="shared" si="69"/>
        <v>0</v>
      </c>
      <c r="I269" s="191">
        <f t="shared" si="69"/>
        <v>0</v>
      </c>
      <c r="J269" s="191">
        <f t="shared" si="69"/>
        <v>0</v>
      </c>
      <c r="K269" s="191">
        <f t="shared" si="69"/>
        <v>0</v>
      </c>
      <c r="L269" s="191">
        <f t="shared" si="69"/>
        <v>0</v>
      </c>
      <c r="M269" s="191">
        <f t="shared" si="69"/>
        <v>0</v>
      </c>
      <c r="N269" s="191">
        <f t="shared" si="69"/>
        <v>0</v>
      </c>
      <c r="O269" s="191">
        <f t="shared" si="69"/>
        <v>0</v>
      </c>
      <c r="P269" s="191">
        <f t="shared" si="69"/>
        <v>0</v>
      </c>
      <c r="Q269" s="191">
        <f t="shared" si="69"/>
        <v>0</v>
      </c>
      <c r="R269" s="191">
        <f t="shared" si="69"/>
        <v>0</v>
      </c>
      <c r="S269" s="191">
        <f t="shared" si="66"/>
        <v>0</v>
      </c>
      <c r="T269" s="191">
        <f t="shared" si="66"/>
        <v>0</v>
      </c>
      <c r="U269" s="191">
        <f t="shared" si="68"/>
        <v>0</v>
      </c>
      <c r="V269" s="191">
        <f t="shared" si="68"/>
        <v>0</v>
      </c>
      <c r="W269" s="191">
        <f t="shared" si="68"/>
        <v>0</v>
      </c>
      <c r="X269" s="191">
        <f t="shared" si="68"/>
        <v>0</v>
      </c>
      <c r="Y269" s="191">
        <f t="shared" si="68"/>
        <v>0</v>
      </c>
      <c r="Z269" s="191">
        <f t="shared" si="68"/>
        <v>0</v>
      </c>
      <c r="AA269" s="191">
        <f t="shared" si="68"/>
        <v>0</v>
      </c>
      <c r="AB269" s="191">
        <f t="shared" si="67"/>
        <v>0</v>
      </c>
      <c r="AC269" s="191">
        <f t="shared" si="67"/>
        <v>0</v>
      </c>
      <c r="AD269" s="191">
        <f t="shared" si="68"/>
        <v>0</v>
      </c>
      <c r="AE269" s="191">
        <f t="shared" si="68"/>
        <v>0</v>
      </c>
      <c r="AF269" s="204">
        <f t="shared" si="68"/>
        <v>0</v>
      </c>
      <c r="AG269" s="216">
        <v>0.996</v>
      </c>
      <c r="AH269" s="46"/>
      <c r="AI269" s="47"/>
    </row>
    <row r="270" spans="1:37" x14ac:dyDescent="0.25">
      <c r="A270" s="73" t="s">
        <v>321</v>
      </c>
      <c r="B270" s="191">
        <v>0</v>
      </c>
      <c r="C270" s="191">
        <f t="shared" si="69"/>
        <v>0</v>
      </c>
      <c r="D270" s="191">
        <f t="shared" si="69"/>
        <v>0</v>
      </c>
      <c r="E270" s="191">
        <f t="shared" si="69"/>
        <v>0</v>
      </c>
      <c r="F270" s="191">
        <f t="shared" si="69"/>
        <v>0</v>
      </c>
      <c r="G270" s="191">
        <f t="shared" si="69"/>
        <v>0</v>
      </c>
      <c r="H270" s="191">
        <f t="shared" si="69"/>
        <v>0</v>
      </c>
      <c r="I270" s="191">
        <f t="shared" si="69"/>
        <v>0</v>
      </c>
      <c r="J270" s="191">
        <f t="shared" si="69"/>
        <v>0</v>
      </c>
      <c r="K270" s="191">
        <f t="shared" si="69"/>
        <v>0</v>
      </c>
      <c r="L270" s="191">
        <f t="shared" si="69"/>
        <v>0</v>
      </c>
      <c r="M270" s="191">
        <f t="shared" si="69"/>
        <v>0</v>
      </c>
      <c r="N270" s="191">
        <f t="shared" si="69"/>
        <v>0</v>
      </c>
      <c r="O270" s="191">
        <f t="shared" si="69"/>
        <v>0</v>
      </c>
      <c r="P270" s="191">
        <f t="shared" si="69"/>
        <v>0</v>
      </c>
      <c r="Q270" s="191">
        <f t="shared" si="69"/>
        <v>0</v>
      </c>
      <c r="R270" s="191">
        <f t="shared" si="69"/>
        <v>0</v>
      </c>
      <c r="S270" s="191">
        <f t="shared" si="66"/>
        <v>0</v>
      </c>
      <c r="T270" s="191">
        <f t="shared" si="66"/>
        <v>0</v>
      </c>
      <c r="U270" s="191">
        <f t="shared" si="68"/>
        <v>0</v>
      </c>
      <c r="V270" s="191">
        <f t="shared" si="68"/>
        <v>0</v>
      </c>
      <c r="W270" s="191">
        <f t="shared" si="68"/>
        <v>0</v>
      </c>
      <c r="X270" s="191">
        <f t="shared" si="68"/>
        <v>0</v>
      </c>
      <c r="Y270" s="191">
        <f t="shared" si="68"/>
        <v>0</v>
      </c>
      <c r="Z270" s="191">
        <f t="shared" si="68"/>
        <v>0</v>
      </c>
      <c r="AA270" s="191">
        <f t="shared" si="68"/>
        <v>0</v>
      </c>
      <c r="AB270" s="191">
        <f t="shared" si="67"/>
        <v>0</v>
      </c>
      <c r="AC270" s="191">
        <f t="shared" si="67"/>
        <v>0</v>
      </c>
      <c r="AD270" s="191">
        <f t="shared" si="68"/>
        <v>0</v>
      </c>
      <c r="AE270" s="191">
        <f t="shared" si="68"/>
        <v>0</v>
      </c>
      <c r="AF270" s="204">
        <f t="shared" si="68"/>
        <v>0</v>
      </c>
      <c r="AG270" s="216">
        <v>0.996</v>
      </c>
      <c r="AH270" s="46"/>
      <c r="AI270" s="47"/>
    </row>
    <row r="271" spans="1:37" x14ac:dyDescent="0.25">
      <c r="A271" s="73" t="s">
        <v>322</v>
      </c>
      <c r="B271" s="191">
        <v>0</v>
      </c>
      <c r="C271" s="191">
        <f t="shared" si="69"/>
        <v>0</v>
      </c>
      <c r="D271" s="191">
        <f t="shared" si="69"/>
        <v>0</v>
      </c>
      <c r="E271" s="191">
        <f t="shared" si="69"/>
        <v>0</v>
      </c>
      <c r="F271" s="191">
        <f t="shared" si="69"/>
        <v>0</v>
      </c>
      <c r="G271" s="191">
        <f t="shared" si="69"/>
        <v>0</v>
      </c>
      <c r="H271" s="191">
        <f t="shared" si="69"/>
        <v>0</v>
      </c>
      <c r="I271" s="191">
        <f t="shared" si="69"/>
        <v>0</v>
      </c>
      <c r="J271" s="191">
        <f t="shared" si="69"/>
        <v>0</v>
      </c>
      <c r="K271" s="191">
        <f t="shared" si="69"/>
        <v>0</v>
      </c>
      <c r="L271" s="191">
        <f t="shared" si="69"/>
        <v>0</v>
      </c>
      <c r="M271" s="191">
        <f t="shared" si="69"/>
        <v>0</v>
      </c>
      <c r="N271" s="191">
        <f t="shared" si="69"/>
        <v>0</v>
      </c>
      <c r="O271" s="191">
        <f t="shared" si="69"/>
        <v>0</v>
      </c>
      <c r="P271" s="191">
        <f t="shared" si="69"/>
        <v>0</v>
      </c>
      <c r="Q271" s="191">
        <f t="shared" si="69"/>
        <v>0</v>
      </c>
      <c r="R271" s="191">
        <f t="shared" si="69"/>
        <v>0</v>
      </c>
      <c r="S271" s="191">
        <f t="shared" si="66"/>
        <v>0</v>
      </c>
      <c r="T271" s="191">
        <f t="shared" si="68"/>
        <v>0</v>
      </c>
      <c r="U271" s="191">
        <f t="shared" si="68"/>
        <v>0</v>
      </c>
      <c r="V271" s="191">
        <f t="shared" si="68"/>
        <v>0</v>
      </c>
      <c r="W271" s="191">
        <f t="shared" si="68"/>
        <v>0</v>
      </c>
      <c r="X271" s="191">
        <f t="shared" si="68"/>
        <v>0</v>
      </c>
      <c r="Y271" s="191">
        <f t="shared" si="68"/>
        <v>0</v>
      </c>
      <c r="Z271" s="191">
        <f t="shared" si="68"/>
        <v>0</v>
      </c>
      <c r="AA271" s="191">
        <f t="shared" si="68"/>
        <v>0</v>
      </c>
      <c r="AB271" s="191">
        <f t="shared" si="67"/>
        <v>0</v>
      </c>
      <c r="AC271" s="191">
        <f t="shared" si="67"/>
        <v>0</v>
      </c>
      <c r="AD271" s="191">
        <f t="shared" si="68"/>
        <v>0</v>
      </c>
      <c r="AE271" s="191">
        <f t="shared" si="68"/>
        <v>0</v>
      </c>
      <c r="AF271" s="204">
        <f t="shared" si="68"/>
        <v>0</v>
      </c>
      <c r="AG271" s="216">
        <v>0.995</v>
      </c>
      <c r="AH271" s="46"/>
      <c r="AI271" s="47"/>
    </row>
    <row r="272" spans="1:37" x14ac:dyDescent="0.25">
      <c r="A272" s="73" t="s">
        <v>323</v>
      </c>
      <c r="B272" s="191">
        <v>0</v>
      </c>
      <c r="C272" s="191">
        <f t="shared" si="69"/>
        <v>0</v>
      </c>
      <c r="D272" s="191">
        <f t="shared" si="69"/>
        <v>0</v>
      </c>
      <c r="E272" s="191">
        <f t="shared" si="69"/>
        <v>0</v>
      </c>
      <c r="F272" s="191">
        <f t="shared" si="69"/>
        <v>0</v>
      </c>
      <c r="G272" s="191">
        <f t="shared" si="69"/>
        <v>0</v>
      </c>
      <c r="H272" s="191">
        <f t="shared" si="69"/>
        <v>0</v>
      </c>
      <c r="I272" s="191">
        <f t="shared" si="69"/>
        <v>0</v>
      </c>
      <c r="J272" s="191">
        <f t="shared" si="69"/>
        <v>0</v>
      </c>
      <c r="K272" s="191">
        <f t="shared" si="69"/>
        <v>0</v>
      </c>
      <c r="L272" s="191">
        <f t="shared" si="69"/>
        <v>0</v>
      </c>
      <c r="M272" s="191">
        <f t="shared" si="69"/>
        <v>0</v>
      </c>
      <c r="N272" s="191">
        <f t="shared" si="69"/>
        <v>0</v>
      </c>
      <c r="O272" s="191">
        <f t="shared" si="69"/>
        <v>0</v>
      </c>
      <c r="P272" s="191">
        <f t="shared" si="69"/>
        <v>0</v>
      </c>
      <c r="Q272" s="191">
        <f t="shared" si="69"/>
        <v>0</v>
      </c>
      <c r="R272" s="191">
        <f t="shared" si="69"/>
        <v>0</v>
      </c>
      <c r="S272" s="191">
        <f t="shared" si="66"/>
        <v>0</v>
      </c>
      <c r="T272" s="191">
        <f t="shared" si="68"/>
        <v>0</v>
      </c>
      <c r="U272" s="191">
        <f t="shared" si="68"/>
        <v>0</v>
      </c>
      <c r="V272" s="191">
        <f t="shared" si="68"/>
        <v>0</v>
      </c>
      <c r="W272" s="191">
        <f t="shared" si="68"/>
        <v>0</v>
      </c>
      <c r="X272" s="191">
        <f t="shared" si="68"/>
        <v>0</v>
      </c>
      <c r="Y272" s="191">
        <f t="shared" si="68"/>
        <v>0</v>
      </c>
      <c r="Z272" s="191">
        <f t="shared" si="68"/>
        <v>0</v>
      </c>
      <c r="AA272" s="191">
        <f t="shared" si="68"/>
        <v>0</v>
      </c>
      <c r="AB272" s="191">
        <f t="shared" si="67"/>
        <v>0</v>
      </c>
      <c r="AC272" s="191">
        <f t="shared" si="67"/>
        <v>0</v>
      </c>
      <c r="AD272" s="191">
        <f t="shared" si="68"/>
        <v>0</v>
      </c>
      <c r="AE272" s="191">
        <f t="shared" si="68"/>
        <v>0</v>
      </c>
      <c r="AF272" s="204">
        <f t="shared" si="68"/>
        <v>0</v>
      </c>
      <c r="AG272" s="216">
        <v>0.99299999999999999</v>
      </c>
      <c r="AH272" s="46"/>
      <c r="AI272" s="47"/>
    </row>
    <row r="273" spans="1:35" x14ac:dyDescent="0.25">
      <c r="A273" s="73" t="s">
        <v>324</v>
      </c>
      <c r="B273" s="191">
        <v>0</v>
      </c>
      <c r="C273" s="191">
        <f t="shared" si="69"/>
        <v>0</v>
      </c>
      <c r="D273" s="191">
        <f t="shared" si="69"/>
        <v>0</v>
      </c>
      <c r="E273" s="191">
        <f t="shared" si="69"/>
        <v>0</v>
      </c>
      <c r="F273" s="191">
        <f t="shared" si="69"/>
        <v>0</v>
      </c>
      <c r="G273" s="191">
        <f t="shared" si="69"/>
        <v>0</v>
      </c>
      <c r="H273" s="191">
        <f t="shared" si="69"/>
        <v>0</v>
      </c>
      <c r="I273" s="191">
        <f t="shared" si="69"/>
        <v>0</v>
      </c>
      <c r="J273" s="191">
        <f t="shared" si="69"/>
        <v>0</v>
      </c>
      <c r="K273" s="191">
        <f t="shared" si="69"/>
        <v>0</v>
      </c>
      <c r="L273" s="191">
        <f t="shared" si="69"/>
        <v>0</v>
      </c>
      <c r="M273" s="191">
        <f t="shared" si="69"/>
        <v>0</v>
      </c>
      <c r="N273" s="191">
        <f t="shared" si="69"/>
        <v>0</v>
      </c>
      <c r="O273" s="191">
        <f t="shared" si="69"/>
        <v>0</v>
      </c>
      <c r="P273" s="191">
        <f t="shared" si="69"/>
        <v>0</v>
      </c>
      <c r="Q273" s="191">
        <f t="shared" si="69"/>
        <v>0</v>
      </c>
      <c r="R273" s="191">
        <f t="shared" si="69"/>
        <v>0</v>
      </c>
      <c r="S273" s="191">
        <f t="shared" si="66"/>
        <v>0</v>
      </c>
      <c r="T273" s="191">
        <f t="shared" si="68"/>
        <v>0</v>
      </c>
      <c r="U273" s="191">
        <f t="shared" si="68"/>
        <v>0</v>
      </c>
      <c r="V273" s="191">
        <f t="shared" si="68"/>
        <v>0</v>
      </c>
      <c r="W273" s="191">
        <f t="shared" si="68"/>
        <v>0</v>
      </c>
      <c r="X273" s="191">
        <f t="shared" si="68"/>
        <v>0</v>
      </c>
      <c r="Y273" s="191">
        <f t="shared" si="68"/>
        <v>0</v>
      </c>
      <c r="Z273" s="191">
        <f t="shared" si="68"/>
        <v>0</v>
      </c>
      <c r="AA273" s="191">
        <f t="shared" si="68"/>
        <v>0</v>
      </c>
      <c r="AB273" s="191">
        <f t="shared" si="67"/>
        <v>0</v>
      </c>
      <c r="AC273" s="191">
        <f t="shared" si="67"/>
        <v>0</v>
      </c>
      <c r="AD273" s="191">
        <f t="shared" si="68"/>
        <v>0</v>
      </c>
      <c r="AE273" s="191">
        <f t="shared" si="68"/>
        <v>0</v>
      </c>
      <c r="AF273" s="204">
        <f t="shared" si="68"/>
        <v>0</v>
      </c>
      <c r="AG273" s="216">
        <v>0.99</v>
      </c>
      <c r="AH273" s="46"/>
      <c r="AI273" s="47"/>
    </row>
    <row r="274" spans="1:35" ht="15.75" thickBot="1" x14ac:dyDescent="0.3">
      <c r="A274" s="73" t="s">
        <v>325</v>
      </c>
      <c r="B274" s="217">
        <v>0</v>
      </c>
      <c r="C274" s="217">
        <f t="shared" si="69"/>
        <v>0</v>
      </c>
      <c r="D274" s="217">
        <f t="shared" si="69"/>
        <v>0</v>
      </c>
      <c r="E274" s="217">
        <f t="shared" si="69"/>
        <v>0</v>
      </c>
      <c r="F274" s="217">
        <f t="shared" si="69"/>
        <v>0</v>
      </c>
      <c r="G274" s="217">
        <f t="shared" si="69"/>
        <v>0</v>
      </c>
      <c r="H274" s="217">
        <f t="shared" si="69"/>
        <v>0</v>
      </c>
      <c r="I274" s="217">
        <f t="shared" si="69"/>
        <v>0</v>
      </c>
      <c r="J274" s="217">
        <f t="shared" si="69"/>
        <v>0</v>
      </c>
      <c r="K274" s="217">
        <f t="shared" si="69"/>
        <v>0</v>
      </c>
      <c r="L274" s="217">
        <f t="shared" si="69"/>
        <v>0</v>
      </c>
      <c r="M274" s="217">
        <f t="shared" si="69"/>
        <v>0</v>
      </c>
      <c r="N274" s="217">
        <f t="shared" si="69"/>
        <v>0</v>
      </c>
      <c r="O274" s="217">
        <f t="shared" si="69"/>
        <v>0</v>
      </c>
      <c r="P274" s="217">
        <f t="shared" si="69"/>
        <v>0</v>
      </c>
      <c r="Q274" s="217">
        <f t="shared" si="69"/>
        <v>0</v>
      </c>
      <c r="R274" s="217">
        <f t="shared" si="69"/>
        <v>0</v>
      </c>
      <c r="S274" s="217">
        <f t="shared" si="68"/>
        <v>0</v>
      </c>
      <c r="T274" s="217">
        <f t="shared" si="68"/>
        <v>0</v>
      </c>
      <c r="U274" s="217">
        <f t="shared" si="68"/>
        <v>0</v>
      </c>
      <c r="V274" s="217">
        <f t="shared" si="68"/>
        <v>0</v>
      </c>
      <c r="W274" s="217">
        <f t="shared" si="68"/>
        <v>0</v>
      </c>
      <c r="X274" s="217">
        <f t="shared" si="68"/>
        <v>0</v>
      </c>
      <c r="Y274" s="217">
        <f t="shared" si="68"/>
        <v>0</v>
      </c>
      <c r="Z274" s="217">
        <f t="shared" si="68"/>
        <v>0</v>
      </c>
      <c r="AA274" s="217">
        <f t="shared" si="68"/>
        <v>0</v>
      </c>
      <c r="AB274" s="217">
        <f t="shared" si="67"/>
        <v>0</v>
      </c>
      <c r="AC274" s="217">
        <f t="shared" si="67"/>
        <v>0</v>
      </c>
      <c r="AD274" s="217">
        <f t="shared" si="68"/>
        <v>0</v>
      </c>
      <c r="AE274" s="217">
        <f t="shared" si="68"/>
        <v>0</v>
      </c>
      <c r="AF274" s="218">
        <f t="shared" si="68"/>
        <v>0</v>
      </c>
      <c r="AG274" s="216">
        <v>0.97899999999999998</v>
      </c>
      <c r="AH274" s="46"/>
      <c r="AI274" s="47"/>
    </row>
    <row r="275" spans="1:35" ht="15.75" thickBot="1" x14ac:dyDescent="0.3">
      <c r="A275" s="219" t="s">
        <v>326</v>
      </c>
      <c r="B275" s="220">
        <f t="shared" ref="B275:AG275" si="70">SUM(B170:B274)</f>
        <v>0</v>
      </c>
      <c r="C275" s="220">
        <f t="shared" si="70"/>
        <v>0</v>
      </c>
      <c r="D275" s="220">
        <f t="shared" si="70"/>
        <v>0</v>
      </c>
      <c r="E275" s="220">
        <f t="shared" si="70"/>
        <v>0</v>
      </c>
      <c r="F275" s="220">
        <f t="shared" si="70"/>
        <v>0</v>
      </c>
      <c r="G275" s="220">
        <f t="shared" si="70"/>
        <v>0</v>
      </c>
      <c r="H275" s="220">
        <f t="shared" si="70"/>
        <v>0</v>
      </c>
      <c r="I275" s="220">
        <f t="shared" si="70"/>
        <v>0</v>
      </c>
      <c r="J275" s="220">
        <f t="shared" si="70"/>
        <v>0</v>
      </c>
      <c r="K275" s="220">
        <f t="shared" si="70"/>
        <v>0</v>
      </c>
      <c r="L275" s="220">
        <f t="shared" si="70"/>
        <v>0</v>
      </c>
      <c r="M275" s="220">
        <f t="shared" si="70"/>
        <v>0</v>
      </c>
      <c r="N275" s="220">
        <f t="shared" si="70"/>
        <v>0</v>
      </c>
      <c r="O275" s="220">
        <f t="shared" si="70"/>
        <v>0</v>
      </c>
      <c r="P275" s="220">
        <f t="shared" si="70"/>
        <v>0</v>
      </c>
      <c r="Q275" s="220">
        <f t="shared" si="70"/>
        <v>0</v>
      </c>
      <c r="R275" s="220">
        <f t="shared" si="70"/>
        <v>0</v>
      </c>
      <c r="S275" s="220">
        <f t="shared" si="70"/>
        <v>0</v>
      </c>
      <c r="T275" s="220">
        <f t="shared" si="70"/>
        <v>0</v>
      </c>
      <c r="U275" s="220">
        <f t="shared" si="70"/>
        <v>0</v>
      </c>
      <c r="V275" s="220">
        <f t="shared" si="70"/>
        <v>0</v>
      </c>
      <c r="W275" s="220">
        <f t="shared" si="70"/>
        <v>0</v>
      </c>
      <c r="X275" s="220">
        <f t="shared" si="70"/>
        <v>0</v>
      </c>
      <c r="Y275" s="220">
        <f t="shared" si="70"/>
        <v>0</v>
      </c>
      <c r="Z275" s="220">
        <f t="shared" si="70"/>
        <v>0</v>
      </c>
      <c r="AA275" s="220">
        <f t="shared" si="70"/>
        <v>0</v>
      </c>
      <c r="AB275" s="220">
        <f t="shared" si="70"/>
        <v>0</v>
      </c>
      <c r="AC275" s="220">
        <f t="shared" si="70"/>
        <v>0</v>
      </c>
      <c r="AD275" s="220">
        <f t="shared" si="70"/>
        <v>0</v>
      </c>
      <c r="AE275" s="220">
        <f t="shared" si="70"/>
        <v>0</v>
      </c>
      <c r="AF275" s="221">
        <f t="shared" si="70"/>
        <v>0</v>
      </c>
      <c r="AG275" s="222">
        <f t="shared" si="70"/>
        <v>412.72299999999984</v>
      </c>
      <c r="AH275" s="46"/>
      <c r="AI275" s="47"/>
    </row>
    <row r="276" spans="1:35" x14ac:dyDescent="0.25">
      <c r="B276" s="51"/>
      <c r="C276" s="51"/>
      <c r="D276" s="51"/>
      <c r="E276" s="51"/>
      <c r="F276" s="51"/>
      <c r="G276" s="51"/>
      <c r="H276" s="51"/>
      <c r="I276" s="51"/>
      <c r="J276" s="51"/>
      <c r="K276" s="51"/>
      <c r="L276" s="51"/>
      <c r="M276" s="51"/>
      <c r="N276" s="51"/>
      <c r="O276" s="51"/>
      <c r="P276" s="51"/>
      <c r="Q276" s="51"/>
      <c r="R276" s="51"/>
      <c r="S276" s="51"/>
      <c r="T276" s="51"/>
      <c r="U276" s="51"/>
      <c r="V276" s="51"/>
      <c r="W276" s="51"/>
      <c r="X276" s="51"/>
      <c r="Y276" s="51"/>
      <c r="Z276" s="51"/>
      <c r="AA276" s="51"/>
      <c r="AB276" s="51"/>
      <c r="AC276" s="51"/>
      <c r="AD276" s="51"/>
      <c r="AE276" s="51"/>
      <c r="AF276" s="51"/>
      <c r="AG276" s="176"/>
      <c r="AH276" s="51"/>
    </row>
    <row r="277" spans="1:35" ht="12.75" customHeight="1" x14ac:dyDescent="0.25">
      <c r="B277" s="51"/>
      <c r="C277" s="51"/>
      <c r="D277" s="51"/>
      <c r="E277" s="51"/>
      <c r="F277" s="51"/>
      <c r="G277" s="51"/>
      <c r="H277" s="51"/>
      <c r="I277" s="51"/>
      <c r="J277" s="51"/>
      <c r="K277" s="51"/>
      <c r="L277" s="51"/>
      <c r="M277" s="51"/>
      <c r="N277" s="51"/>
      <c r="O277" s="51"/>
      <c r="P277" s="51"/>
      <c r="Q277" s="51"/>
      <c r="R277" s="51"/>
      <c r="S277" s="51"/>
      <c r="T277" s="51"/>
      <c r="U277" s="51"/>
      <c r="V277" s="51"/>
      <c r="W277" s="51"/>
      <c r="X277" s="51"/>
      <c r="Y277" s="51"/>
      <c r="Z277" s="51"/>
      <c r="AA277" s="51"/>
      <c r="AB277" s="51"/>
      <c r="AC277" s="51"/>
      <c r="AD277" s="51"/>
      <c r="AE277" s="51"/>
      <c r="AF277" s="51"/>
      <c r="AG277" s="51"/>
      <c r="AH277" s="51"/>
    </row>
    <row r="278" spans="1:35" x14ac:dyDescent="0.25">
      <c r="A278" s="51"/>
      <c r="B278" s="51"/>
      <c r="C278" s="51"/>
      <c r="D278" s="51"/>
      <c r="E278" s="51"/>
      <c r="F278" s="51"/>
      <c r="G278" s="51"/>
      <c r="H278" s="51"/>
      <c r="I278" s="51"/>
      <c r="J278" s="51"/>
      <c r="K278" s="51"/>
      <c r="L278" s="51"/>
      <c r="M278" s="51"/>
      <c r="N278" s="51"/>
      <c r="O278" s="51"/>
      <c r="P278" s="51"/>
      <c r="Q278" s="51"/>
      <c r="R278" s="51"/>
      <c r="S278" s="51"/>
      <c r="T278" s="51"/>
      <c r="U278" s="51"/>
      <c r="V278" s="51"/>
      <c r="W278" s="51"/>
      <c r="X278" s="51"/>
      <c r="Y278" s="51"/>
      <c r="Z278" s="51"/>
      <c r="AA278" s="51"/>
      <c r="AB278" s="51"/>
      <c r="AC278" s="51"/>
      <c r="AD278" s="51"/>
      <c r="AE278" s="51"/>
      <c r="AF278" s="51"/>
      <c r="AG278" s="51"/>
      <c r="AH278" s="51"/>
    </row>
    <row r="279" spans="1:35" x14ac:dyDescent="0.25">
      <c r="B279" s="51"/>
      <c r="C279" s="51"/>
      <c r="D279" s="51"/>
      <c r="E279" s="51"/>
      <c r="F279" s="51"/>
      <c r="G279" s="51"/>
      <c r="H279" s="51"/>
      <c r="I279" s="51"/>
      <c r="J279" s="51"/>
      <c r="K279" s="51"/>
      <c r="L279" s="51"/>
      <c r="M279" s="51"/>
      <c r="N279" s="51"/>
      <c r="O279" s="51"/>
      <c r="P279" s="51"/>
      <c r="Q279" s="51"/>
      <c r="R279" s="51"/>
    </row>
    <row r="280" spans="1:35" x14ac:dyDescent="0.25">
      <c r="B280" s="51"/>
      <c r="C280" s="51"/>
      <c r="D280" s="51"/>
      <c r="E280" s="51"/>
      <c r="F280" s="51"/>
      <c r="G280" s="51"/>
      <c r="H280" s="51"/>
      <c r="I280" s="51"/>
      <c r="J280" s="51"/>
      <c r="K280" s="51"/>
      <c r="L280" s="51"/>
      <c r="M280" s="51"/>
      <c r="N280" s="51"/>
      <c r="O280" s="51"/>
      <c r="P280" s="51"/>
      <c r="Q280" s="51"/>
      <c r="R280" s="51"/>
    </row>
    <row r="281" spans="1:35" x14ac:dyDescent="0.25">
      <c r="B281" s="51"/>
      <c r="C281" s="51"/>
      <c r="D281" s="51"/>
      <c r="E281" s="51"/>
      <c r="F281" s="51"/>
      <c r="G281" s="51"/>
      <c r="H281" s="51"/>
      <c r="I281" s="51"/>
      <c r="J281" s="51"/>
      <c r="K281" s="51"/>
      <c r="L281" s="51"/>
      <c r="M281" s="51"/>
      <c r="N281" s="51"/>
      <c r="O281" s="51"/>
      <c r="P281" s="51"/>
      <c r="Q281" s="51"/>
      <c r="R281" s="51"/>
    </row>
    <row r="282" spans="1:35" x14ac:dyDescent="0.25">
      <c r="B282" s="51"/>
      <c r="C282" s="51"/>
      <c r="D282" s="51"/>
      <c r="E282" s="51"/>
      <c r="F282" s="51"/>
      <c r="G282" s="51"/>
      <c r="H282" s="51"/>
      <c r="I282" s="51"/>
      <c r="J282" s="51"/>
      <c r="K282" s="51"/>
      <c r="L282" s="51"/>
      <c r="M282" s="51"/>
      <c r="N282" s="51"/>
      <c r="O282" s="51"/>
      <c r="P282" s="51"/>
      <c r="Q282" s="51"/>
      <c r="R282" s="51"/>
      <c r="S282" s="51"/>
      <c r="T282" s="51"/>
      <c r="U282" s="51"/>
      <c r="V282" s="51"/>
      <c r="W282" s="51"/>
      <c r="X282" s="51"/>
      <c r="Y282" s="51"/>
      <c r="Z282" s="51"/>
      <c r="AA282" s="51"/>
      <c r="AB282" s="51"/>
      <c r="AC282" s="51"/>
      <c r="AD282" s="51"/>
      <c r="AE282" s="51"/>
      <c r="AF282" s="51"/>
      <c r="AG282" s="51"/>
      <c r="AH282" s="51"/>
    </row>
    <row r="283" spans="1:35" x14ac:dyDescent="0.25">
      <c r="B283" s="51"/>
      <c r="C283" s="51"/>
      <c r="D283" s="51"/>
      <c r="E283" s="51"/>
      <c r="F283" s="51"/>
      <c r="G283" s="51"/>
      <c r="H283" s="51"/>
      <c r="I283" s="51"/>
      <c r="J283" s="51"/>
      <c r="K283" s="51"/>
      <c r="L283" s="51"/>
      <c r="M283" s="51"/>
      <c r="N283" s="51"/>
      <c r="O283" s="51"/>
      <c r="P283" s="51"/>
      <c r="Q283" s="51"/>
      <c r="R283" s="51"/>
      <c r="S283" s="51"/>
      <c r="T283" s="51"/>
      <c r="U283" s="51"/>
      <c r="V283" s="51"/>
      <c r="W283" s="51"/>
      <c r="X283" s="51"/>
      <c r="Y283" s="51"/>
      <c r="Z283" s="51"/>
      <c r="AA283" s="51"/>
      <c r="AB283" s="51"/>
      <c r="AC283" s="51"/>
      <c r="AD283" s="51"/>
      <c r="AE283" s="51"/>
      <c r="AF283" s="51"/>
      <c r="AG283" s="51"/>
      <c r="AH283" s="51"/>
    </row>
    <row r="284" spans="1:35" x14ac:dyDescent="0.25">
      <c r="B284" s="51"/>
      <c r="C284" s="51"/>
      <c r="D284" s="51"/>
      <c r="E284" s="51"/>
      <c r="F284" s="51"/>
      <c r="G284" s="51"/>
      <c r="H284" s="51"/>
      <c r="I284" s="51"/>
      <c r="J284" s="51"/>
      <c r="K284" s="51"/>
      <c r="L284" s="51"/>
      <c r="M284" s="51"/>
      <c r="N284" s="51"/>
      <c r="O284" s="51"/>
      <c r="P284" s="51"/>
      <c r="Q284" s="51"/>
      <c r="R284" s="51"/>
      <c r="S284" s="51"/>
      <c r="T284" s="51"/>
      <c r="U284" s="51"/>
      <c r="V284" s="51"/>
      <c r="W284" s="51"/>
      <c r="X284" s="51"/>
      <c r="Y284" s="51"/>
      <c r="Z284" s="51"/>
      <c r="AA284" s="51"/>
      <c r="AB284" s="51"/>
      <c r="AC284" s="51"/>
      <c r="AD284" s="51"/>
      <c r="AE284" s="51"/>
      <c r="AF284" s="51"/>
      <c r="AG284" s="51"/>
      <c r="AH284" s="51"/>
    </row>
    <row r="285" spans="1:35" x14ac:dyDescent="0.25">
      <c r="B285" s="51"/>
      <c r="C285" s="51"/>
      <c r="D285" s="51"/>
      <c r="E285" s="51"/>
      <c r="F285" s="51"/>
      <c r="G285" s="51"/>
      <c r="H285" s="51"/>
      <c r="I285" s="51"/>
      <c r="J285" s="51"/>
      <c r="K285" s="51"/>
      <c r="L285" s="51"/>
      <c r="M285" s="51"/>
      <c r="N285" s="51"/>
      <c r="O285" s="51"/>
      <c r="P285" s="51"/>
      <c r="Q285" s="51"/>
      <c r="R285" s="51"/>
      <c r="S285" s="51"/>
      <c r="T285" s="51"/>
      <c r="U285" s="51"/>
      <c r="V285" s="51"/>
      <c r="W285" s="51"/>
      <c r="X285" s="51"/>
      <c r="Y285" s="51"/>
      <c r="Z285" s="51"/>
      <c r="AA285" s="51"/>
      <c r="AB285" s="51"/>
      <c r="AC285" s="51"/>
      <c r="AD285" s="51"/>
      <c r="AE285" s="51"/>
      <c r="AF285" s="51"/>
      <c r="AG285" s="51"/>
      <c r="AH285" s="51"/>
    </row>
    <row r="286" spans="1:35" x14ac:dyDescent="0.25">
      <c r="B286" s="51"/>
      <c r="C286" s="51"/>
      <c r="D286" s="51"/>
      <c r="E286" s="51"/>
      <c r="F286" s="51"/>
      <c r="G286" s="51"/>
      <c r="H286" s="51"/>
      <c r="I286" s="51"/>
      <c r="J286" s="51"/>
      <c r="K286" s="51"/>
      <c r="L286" s="51"/>
      <c r="M286" s="51"/>
      <c r="N286" s="51"/>
      <c r="O286" s="51"/>
      <c r="P286" s="51"/>
      <c r="Q286" s="51"/>
      <c r="R286" s="51"/>
      <c r="S286" s="51"/>
      <c r="T286" s="51"/>
      <c r="U286" s="51"/>
      <c r="V286" s="51"/>
      <c r="W286" s="51"/>
      <c r="X286" s="51"/>
      <c r="Y286" s="51"/>
      <c r="Z286" s="51"/>
      <c r="AA286" s="51"/>
      <c r="AB286" s="51"/>
      <c r="AC286" s="51"/>
      <c r="AD286" s="51"/>
      <c r="AE286" s="51"/>
      <c r="AF286" s="51"/>
      <c r="AG286" s="51"/>
      <c r="AH286" s="51"/>
    </row>
    <row r="287" spans="1:35" x14ac:dyDescent="0.25">
      <c r="B287" s="51"/>
      <c r="C287" s="51"/>
      <c r="D287" s="51"/>
      <c r="E287" s="51"/>
      <c r="F287" s="51"/>
      <c r="G287" s="51"/>
      <c r="H287" s="51"/>
      <c r="I287" s="51"/>
      <c r="J287" s="51"/>
      <c r="K287" s="51"/>
      <c r="L287" s="51"/>
      <c r="M287" s="51"/>
      <c r="N287" s="51"/>
      <c r="O287" s="51"/>
      <c r="P287" s="51"/>
      <c r="Q287" s="51"/>
      <c r="R287" s="51"/>
      <c r="S287" s="51"/>
      <c r="T287" s="51"/>
      <c r="U287" s="51"/>
      <c r="V287" s="51"/>
      <c r="W287" s="51"/>
      <c r="X287" s="51"/>
      <c r="Y287" s="51"/>
      <c r="Z287" s="51"/>
      <c r="AA287" s="51"/>
      <c r="AB287" s="51"/>
      <c r="AC287" s="51"/>
      <c r="AD287" s="51"/>
      <c r="AE287" s="51"/>
      <c r="AF287" s="51"/>
      <c r="AG287" s="51"/>
      <c r="AH287" s="51"/>
    </row>
    <row r="288" spans="1:35" x14ac:dyDescent="0.25">
      <c r="B288" s="51"/>
      <c r="C288" s="51"/>
      <c r="D288" s="51"/>
      <c r="E288" s="51"/>
      <c r="F288" s="51"/>
      <c r="G288" s="51"/>
      <c r="H288" s="51"/>
      <c r="I288" s="51"/>
      <c r="J288" s="51"/>
      <c r="K288" s="51"/>
      <c r="L288" s="51"/>
      <c r="M288" s="51"/>
      <c r="N288" s="51"/>
      <c r="O288" s="51"/>
      <c r="P288" s="51"/>
      <c r="Q288" s="51"/>
      <c r="R288" s="51"/>
      <c r="S288" s="51"/>
      <c r="T288" s="51"/>
      <c r="U288" s="51"/>
      <c r="V288" s="51"/>
      <c r="W288" s="51"/>
      <c r="X288" s="51"/>
      <c r="Y288" s="51"/>
      <c r="Z288" s="51"/>
      <c r="AA288" s="51"/>
      <c r="AB288" s="51"/>
      <c r="AC288" s="51"/>
      <c r="AD288" s="51"/>
      <c r="AE288" s="51"/>
      <c r="AF288" s="51"/>
      <c r="AG288" s="51"/>
      <c r="AH288" s="51"/>
    </row>
    <row r="289" spans="2:34" x14ac:dyDescent="0.25">
      <c r="B289" s="51"/>
      <c r="C289" s="51"/>
      <c r="D289" s="51"/>
      <c r="E289" s="51"/>
      <c r="F289" s="51"/>
      <c r="G289" s="51"/>
      <c r="H289" s="51"/>
      <c r="I289" s="51"/>
      <c r="J289" s="51"/>
      <c r="K289" s="51"/>
      <c r="L289" s="51"/>
      <c r="M289" s="51"/>
      <c r="N289" s="51"/>
      <c r="O289" s="51"/>
      <c r="P289" s="51"/>
      <c r="Q289" s="51"/>
      <c r="R289" s="51"/>
      <c r="S289" s="51"/>
      <c r="T289" s="51"/>
      <c r="U289" s="51"/>
      <c r="V289" s="51"/>
      <c r="W289" s="51"/>
      <c r="X289" s="51"/>
      <c r="Y289" s="51"/>
      <c r="Z289" s="51"/>
      <c r="AA289" s="51"/>
      <c r="AB289" s="51"/>
      <c r="AC289" s="51"/>
      <c r="AD289" s="51"/>
      <c r="AE289" s="51"/>
      <c r="AF289" s="51"/>
      <c r="AG289" s="51"/>
      <c r="AH289" s="51"/>
    </row>
    <row r="290" spans="2:34" x14ac:dyDescent="0.25">
      <c r="B290" s="51"/>
      <c r="C290" s="51"/>
      <c r="D290" s="51"/>
      <c r="E290" s="51"/>
      <c r="F290" s="51"/>
      <c r="G290" s="51"/>
      <c r="H290" s="51"/>
      <c r="I290" s="51"/>
      <c r="J290" s="51"/>
      <c r="K290" s="51"/>
      <c r="L290" s="51"/>
      <c r="M290" s="51"/>
      <c r="N290" s="51"/>
      <c r="O290" s="51"/>
      <c r="P290" s="51"/>
      <c r="Q290" s="51"/>
      <c r="R290" s="51"/>
      <c r="S290" s="51"/>
      <c r="T290" s="51"/>
      <c r="U290" s="51"/>
      <c r="V290" s="51"/>
      <c r="W290" s="51"/>
      <c r="X290" s="51"/>
      <c r="Y290" s="51"/>
      <c r="Z290" s="51"/>
      <c r="AA290" s="51"/>
      <c r="AB290" s="51"/>
      <c r="AC290" s="51"/>
      <c r="AD290" s="51"/>
      <c r="AE290" s="51"/>
      <c r="AF290" s="51"/>
      <c r="AG290" s="51"/>
      <c r="AH290" s="51"/>
    </row>
    <row r="291" spans="2:34" x14ac:dyDescent="0.25">
      <c r="B291" s="51"/>
      <c r="C291" s="51"/>
      <c r="D291" s="51"/>
      <c r="E291" s="51"/>
      <c r="F291" s="51"/>
      <c r="G291" s="51"/>
      <c r="H291" s="51"/>
      <c r="I291" s="51"/>
      <c r="J291" s="51"/>
      <c r="K291" s="51"/>
      <c r="L291" s="51"/>
      <c r="M291" s="51"/>
      <c r="N291" s="51"/>
      <c r="O291" s="51"/>
      <c r="P291" s="51"/>
      <c r="Q291" s="51"/>
      <c r="R291" s="51"/>
      <c r="S291" s="51"/>
      <c r="T291" s="51"/>
      <c r="U291" s="51"/>
      <c r="V291" s="51"/>
      <c r="W291" s="51"/>
      <c r="X291" s="51"/>
      <c r="Y291" s="51"/>
      <c r="Z291" s="51"/>
      <c r="AA291" s="51"/>
      <c r="AB291" s="51"/>
      <c r="AC291" s="51"/>
      <c r="AD291" s="51"/>
      <c r="AE291" s="51"/>
      <c r="AF291" s="51"/>
      <c r="AG291" s="51"/>
      <c r="AH291" s="51"/>
    </row>
    <row r="292" spans="2:34" x14ac:dyDescent="0.25">
      <c r="B292" s="51"/>
      <c r="C292" s="51"/>
      <c r="D292" s="51"/>
      <c r="E292" s="51"/>
      <c r="F292" s="51"/>
      <c r="G292" s="51"/>
      <c r="H292" s="51"/>
      <c r="I292" s="51"/>
      <c r="J292" s="51"/>
      <c r="K292" s="51"/>
      <c r="L292" s="51"/>
      <c r="M292" s="51"/>
      <c r="N292" s="51"/>
      <c r="O292" s="51"/>
      <c r="P292" s="51"/>
      <c r="Q292" s="51"/>
      <c r="R292" s="51"/>
      <c r="S292" s="51"/>
      <c r="T292" s="51"/>
      <c r="U292" s="51"/>
      <c r="V292" s="51"/>
      <c r="W292" s="51"/>
      <c r="X292" s="51"/>
      <c r="Y292" s="51"/>
      <c r="Z292" s="51"/>
      <c r="AA292" s="51"/>
      <c r="AB292" s="51"/>
      <c r="AC292" s="51"/>
      <c r="AD292" s="51"/>
      <c r="AE292" s="51"/>
      <c r="AF292" s="51"/>
      <c r="AG292" s="51"/>
      <c r="AH292" s="51"/>
    </row>
    <row r="293" spans="2:34" x14ac:dyDescent="0.25">
      <c r="B293" s="51"/>
      <c r="C293" s="51"/>
      <c r="D293" s="51"/>
      <c r="E293" s="51"/>
      <c r="F293" s="51"/>
      <c r="G293" s="51"/>
      <c r="H293" s="51"/>
      <c r="I293" s="51"/>
      <c r="J293" s="51"/>
      <c r="K293" s="51"/>
      <c r="L293" s="51"/>
      <c r="M293" s="51"/>
      <c r="N293" s="51"/>
      <c r="O293" s="51"/>
      <c r="P293" s="51"/>
      <c r="Q293" s="51"/>
      <c r="R293" s="51"/>
      <c r="S293" s="51"/>
      <c r="T293" s="51"/>
      <c r="U293" s="51"/>
      <c r="V293" s="51"/>
      <c r="W293" s="51"/>
      <c r="X293" s="51"/>
      <c r="Y293" s="51"/>
      <c r="Z293" s="51"/>
      <c r="AA293" s="51"/>
      <c r="AB293" s="51"/>
      <c r="AC293" s="51"/>
      <c r="AD293" s="51"/>
      <c r="AE293" s="51"/>
      <c r="AF293" s="51"/>
      <c r="AG293" s="51"/>
      <c r="AH293" s="51"/>
    </row>
    <row r="294" spans="2:34" x14ac:dyDescent="0.25">
      <c r="B294" s="51"/>
      <c r="C294" s="51"/>
      <c r="D294" s="51"/>
      <c r="E294" s="51"/>
      <c r="F294" s="51"/>
      <c r="G294" s="51"/>
      <c r="H294" s="51"/>
      <c r="I294" s="51"/>
      <c r="J294" s="51"/>
      <c r="K294" s="51"/>
      <c r="L294" s="51"/>
      <c r="M294" s="51"/>
      <c r="N294" s="51"/>
      <c r="O294" s="51"/>
      <c r="P294" s="51"/>
      <c r="Q294" s="51"/>
      <c r="R294" s="51"/>
      <c r="S294" s="51"/>
      <c r="T294" s="51"/>
      <c r="U294" s="51"/>
      <c r="V294" s="51"/>
      <c r="W294" s="51"/>
      <c r="X294" s="51"/>
      <c r="Y294" s="51"/>
      <c r="Z294" s="51"/>
      <c r="AA294" s="51"/>
      <c r="AB294" s="51"/>
      <c r="AC294" s="51"/>
      <c r="AD294" s="51"/>
      <c r="AE294" s="51"/>
      <c r="AF294" s="51"/>
      <c r="AG294" s="51"/>
      <c r="AH294" s="51"/>
    </row>
    <row r="295" spans="2:34" x14ac:dyDescent="0.25">
      <c r="B295" s="51"/>
      <c r="C295" s="51"/>
      <c r="D295" s="51"/>
      <c r="E295" s="51"/>
      <c r="F295" s="51"/>
      <c r="G295" s="51"/>
      <c r="H295" s="51"/>
      <c r="I295" s="51"/>
      <c r="J295" s="51"/>
      <c r="K295" s="51"/>
      <c r="L295" s="51"/>
      <c r="M295" s="51"/>
      <c r="N295" s="51"/>
      <c r="O295" s="51"/>
      <c r="P295" s="51"/>
      <c r="Q295" s="51"/>
      <c r="R295" s="51"/>
      <c r="S295" s="51"/>
      <c r="T295" s="51"/>
      <c r="U295" s="51"/>
      <c r="V295" s="51"/>
      <c r="W295" s="51"/>
      <c r="X295" s="51"/>
      <c r="Y295" s="51"/>
      <c r="Z295" s="51"/>
      <c r="AA295" s="51"/>
      <c r="AB295" s="51"/>
      <c r="AC295" s="51"/>
      <c r="AD295" s="51"/>
      <c r="AE295" s="51"/>
      <c r="AF295" s="51"/>
      <c r="AG295" s="51"/>
      <c r="AH295" s="51"/>
    </row>
    <row r="296" spans="2:34" x14ac:dyDescent="0.25">
      <c r="B296" s="51"/>
      <c r="C296" s="51"/>
      <c r="D296" s="51"/>
      <c r="E296" s="51"/>
      <c r="F296" s="51"/>
      <c r="G296" s="51"/>
      <c r="H296" s="51"/>
      <c r="I296" s="51"/>
      <c r="J296" s="51"/>
      <c r="K296" s="51"/>
      <c r="L296" s="51"/>
      <c r="M296" s="51"/>
      <c r="N296" s="51"/>
      <c r="O296" s="51"/>
      <c r="P296" s="51"/>
      <c r="Q296" s="51"/>
      <c r="R296" s="51"/>
      <c r="S296" s="51"/>
      <c r="T296" s="51"/>
      <c r="U296" s="51"/>
      <c r="V296" s="51"/>
      <c r="W296" s="51"/>
      <c r="X296" s="51"/>
      <c r="Y296" s="51"/>
      <c r="Z296" s="51"/>
      <c r="AA296" s="51"/>
      <c r="AB296" s="51"/>
      <c r="AC296" s="51"/>
      <c r="AD296" s="51"/>
      <c r="AE296" s="51"/>
      <c r="AF296" s="51"/>
      <c r="AG296" s="51"/>
      <c r="AH296" s="51"/>
    </row>
    <row r="297" spans="2:34" x14ac:dyDescent="0.25">
      <c r="B297" s="51"/>
      <c r="C297" s="51"/>
      <c r="D297" s="51"/>
      <c r="E297" s="51"/>
      <c r="F297" s="51"/>
      <c r="G297" s="51"/>
      <c r="H297" s="51"/>
      <c r="I297" s="51"/>
      <c r="J297" s="51"/>
      <c r="K297" s="51"/>
      <c r="L297" s="51"/>
      <c r="M297" s="51"/>
      <c r="N297" s="51"/>
      <c r="O297" s="51"/>
      <c r="P297" s="51"/>
      <c r="Q297" s="51"/>
      <c r="R297" s="51"/>
      <c r="S297" s="51"/>
      <c r="T297" s="51"/>
      <c r="U297" s="51"/>
      <c r="V297" s="51"/>
      <c r="W297" s="51"/>
      <c r="X297" s="51"/>
      <c r="Y297" s="51"/>
      <c r="Z297" s="51"/>
      <c r="AA297" s="51"/>
      <c r="AB297" s="51"/>
      <c r="AC297" s="51"/>
      <c r="AD297" s="51"/>
      <c r="AE297" s="51"/>
      <c r="AF297" s="51"/>
      <c r="AG297" s="51"/>
      <c r="AH297" s="51"/>
    </row>
    <row r="298" spans="2:34" x14ac:dyDescent="0.25">
      <c r="B298" s="51"/>
      <c r="C298" s="51"/>
      <c r="D298" s="51"/>
      <c r="E298" s="51"/>
      <c r="F298" s="51"/>
      <c r="G298" s="51"/>
      <c r="H298" s="51"/>
      <c r="I298" s="51"/>
      <c r="J298" s="51"/>
      <c r="K298" s="51"/>
      <c r="L298" s="51"/>
      <c r="M298" s="51"/>
      <c r="N298" s="51"/>
      <c r="O298" s="51"/>
      <c r="P298" s="51"/>
      <c r="Q298" s="51"/>
      <c r="R298" s="51"/>
      <c r="S298" s="51"/>
      <c r="T298" s="51"/>
      <c r="U298" s="51"/>
      <c r="V298" s="51"/>
      <c r="W298" s="51"/>
      <c r="X298" s="51"/>
      <c r="Y298" s="51"/>
      <c r="Z298" s="51"/>
      <c r="AA298" s="51"/>
      <c r="AB298" s="51"/>
      <c r="AC298" s="51"/>
      <c r="AD298" s="51"/>
      <c r="AE298" s="51"/>
      <c r="AF298" s="51"/>
      <c r="AG298" s="51"/>
      <c r="AH298" s="51"/>
    </row>
    <row r="299" spans="2:34" x14ac:dyDescent="0.25">
      <c r="B299" s="51"/>
      <c r="C299" s="51"/>
      <c r="D299" s="51"/>
      <c r="E299" s="51"/>
      <c r="F299" s="51"/>
      <c r="G299" s="51"/>
      <c r="H299" s="51"/>
      <c r="I299" s="51"/>
      <c r="J299" s="51"/>
      <c r="K299" s="51"/>
      <c r="L299" s="51"/>
      <c r="M299" s="51"/>
      <c r="N299" s="51"/>
      <c r="O299" s="51"/>
      <c r="P299" s="51"/>
      <c r="Q299" s="51"/>
      <c r="R299" s="51"/>
      <c r="S299" s="51"/>
      <c r="T299" s="51"/>
      <c r="U299" s="51"/>
      <c r="V299" s="51"/>
      <c r="W299" s="51"/>
      <c r="X299" s="51"/>
      <c r="Y299" s="51"/>
      <c r="Z299" s="51"/>
      <c r="AA299" s="51"/>
      <c r="AB299" s="51"/>
      <c r="AC299" s="51"/>
      <c r="AD299" s="51"/>
      <c r="AE299" s="51"/>
      <c r="AF299" s="51"/>
      <c r="AG299" s="51"/>
      <c r="AH299" s="51"/>
    </row>
    <row r="300" spans="2:34" x14ac:dyDescent="0.25">
      <c r="B300" s="51"/>
      <c r="C300" s="51"/>
      <c r="D300" s="51"/>
      <c r="E300" s="51"/>
      <c r="F300" s="51"/>
      <c r="G300" s="51"/>
      <c r="H300" s="51"/>
      <c r="I300" s="51"/>
      <c r="J300" s="51"/>
      <c r="K300" s="51"/>
      <c r="L300" s="51"/>
      <c r="M300" s="51"/>
      <c r="N300" s="51"/>
      <c r="O300" s="51"/>
      <c r="P300" s="51"/>
      <c r="Q300" s="51"/>
      <c r="R300" s="51"/>
      <c r="S300" s="51"/>
      <c r="T300" s="51"/>
      <c r="U300" s="51"/>
      <c r="V300" s="51"/>
      <c r="W300" s="51"/>
      <c r="X300" s="51"/>
      <c r="Y300" s="51"/>
      <c r="Z300" s="51"/>
      <c r="AA300" s="51"/>
      <c r="AB300" s="51"/>
      <c r="AC300" s="51"/>
      <c r="AD300" s="51"/>
      <c r="AE300" s="51"/>
      <c r="AF300" s="51"/>
      <c r="AG300" s="51"/>
      <c r="AH300" s="51"/>
    </row>
    <row r="301" spans="2:34" x14ac:dyDescent="0.25">
      <c r="S301" s="51"/>
      <c r="T301" s="51"/>
      <c r="U301" s="51"/>
      <c r="V301" s="51"/>
      <c r="W301" s="51"/>
      <c r="X301" s="51"/>
      <c r="Y301" s="51"/>
      <c r="Z301" s="51"/>
      <c r="AA301" s="51"/>
      <c r="AB301" s="51"/>
      <c r="AC301" s="51"/>
      <c r="AD301" s="51"/>
      <c r="AE301" s="51"/>
      <c r="AF301" s="51"/>
      <c r="AG301" s="51"/>
      <c r="AH301" s="51"/>
    </row>
    <row r="302" spans="2:34" x14ac:dyDescent="0.25">
      <c r="S302" s="51"/>
      <c r="T302" s="51"/>
      <c r="U302" s="51"/>
      <c r="V302" s="51"/>
      <c r="W302" s="51"/>
      <c r="X302" s="51"/>
      <c r="Y302" s="51"/>
      <c r="Z302" s="51"/>
      <c r="AA302" s="51"/>
      <c r="AB302" s="51"/>
      <c r="AC302" s="51"/>
      <c r="AD302" s="51"/>
      <c r="AE302" s="51"/>
      <c r="AF302" s="51"/>
      <c r="AG302" s="51"/>
      <c r="AH302" s="51"/>
    </row>
    <row r="303" spans="2:34" x14ac:dyDescent="0.25">
      <c r="S303" s="51"/>
      <c r="T303" s="51"/>
      <c r="U303" s="51"/>
      <c r="V303" s="51"/>
      <c r="W303" s="51"/>
      <c r="X303" s="51"/>
      <c r="Y303" s="51"/>
      <c r="Z303" s="51"/>
      <c r="AA303" s="51"/>
      <c r="AB303" s="51"/>
      <c r="AC303" s="51"/>
      <c r="AD303" s="51"/>
      <c r="AE303" s="51"/>
      <c r="AF303" s="51"/>
      <c r="AG303" s="51"/>
      <c r="AH303" s="51"/>
    </row>
    <row r="304" spans="2:34" x14ac:dyDescent="0.25">
      <c r="S304" s="51"/>
      <c r="T304" s="51"/>
      <c r="U304" s="51"/>
      <c r="V304" s="51"/>
      <c r="W304" s="51"/>
      <c r="X304" s="51"/>
      <c r="Y304" s="51"/>
      <c r="Z304" s="51"/>
      <c r="AA304" s="51"/>
      <c r="AB304" s="51"/>
      <c r="AC304" s="51"/>
      <c r="AD304" s="51"/>
      <c r="AE304" s="51"/>
      <c r="AF304" s="51"/>
      <c r="AG304" s="51"/>
      <c r="AH304" s="51"/>
    </row>
    <row r="305" spans="19:34" x14ac:dyDescent="0.25">
      <c r="S305" s="51"/>
      <c r="T305" s="51"/>
      <c r="U305" s="51"/>
      <c r="V305" s="51"/>
      <c r="W305" s="51"/>
      <c r="X305" s="51"/>
      <c r="Y305" s="51"/>
      <c r="Z305" s="51"/>
      <c r="AA305" s="51"/>
      <c r="AB305" s="51"/>
      <c r="AC305" s="51"/>
      <c r="AD305" s="51"/>
      <c r="AE305" s="51"/>
      <c r="AF305" s="51"/>
      <c r="AG305" s="51"/>
      <c r="AH305" s="51"/>
    </row>
    <row r="306" spans="19:34" x14ac:dyDescent="0.25">
      <c r="S306" s="51"/>
      <c r="T306" s="51"/>
      <c r="U306" s="51"/>
      <c r="V306" s="51"/>
      <c r="W306" s="51"/>
      <c r="X306" s="51"/>
      <c r="Y306" s="51"/>
      <c r="Z306" s="51"/>
      <c r="AA306" s="51"/>
      <c r="AB306" s="51"/>
      <c r="AC306" s="51"/>
      <c r="AD306" s="51"/>
      <c r="AE306" s="51"/>
      <c r="AF306" s="51"/>
    </row>
  </sheetData>
  <mergeCells count="50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AB8:AF8"/>
    <mergeCell ref="AH8:AH9"/>
    <mergeCell ref="AI8:AI9"/>
    <mergeCell ref="A9:A10"/>
    <mergeCell ref="B9:B10"/>
    <mergeCell ref="C9:C10"/>
    <mergeCell ref="D9:D10"/>
    <mergeCell ref="E9:E10"/>
    <mergeCell ref="F9:F10"/>
    <mergeCell ref="G9:G10"/>
    <mergeCell ref="S8:AA8"/>
    <mergeCell ref="H9:H10"/>
    <mergeCell ref="I9:I10"/>
    <mergeCell ref="J9:J10"/>
    <mergeCell ref="K9:K10"/>
    <mergeCell ref="L9:L10"/>
    <mergeCell ref="Y9:Y10"/>
    <mergeCell ref="N9:N10"/>
    <mergeCell ref="O9:O10"/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M9:M10"/>
    <mergeCell ref="AF9:AF10"/>
    <mergeCell ref="AG9:AG10"/>
    <mergeCell ref="AN103:AN104"/>
    <mergeCell ref="Z9:Z10"/>
    <mergeCell ref="AA9:AA10"/>
    <mergeCell ref="AB9:AB10"/>
    <mergeCell ref="AC9:AC10"/>
    <mergeCell ref="AD9:AD10"/>
    <mergeCell ref="AE9:AE10"/>
  </mergeCells>
  <conditionalFormatting sqref="A11:A72 A108:A159 A74:A102">
    <cfRule type="expression" dxfId="533" priority="35">
      <formula>$AH11=0</formula>
    </cfRule>
  </conditionalFormatting>
  <conditionalFormatting sqref="A101:A102">
    <cfRule type="expression" dxfId="532" priority="190">
      <formula>$AH106=0</formula>
    </cfRule>
  </conditionalFormatting>
  <conditionalFormatting sqref="A103:A107">
    <cfRule type="expression" dxfId="531" priority="138">
      <formula>$AH102=0</formula>
    </cfRule>
  </conditionalFormatting>
  <conditionalFormatting sqref="A161:A168">
    <cfRule type="expression" dxfId="530" priority="191">
      <formula>$AH268=0</formula>
    </cfRule>
  </conditionalFormatting>
  <conditionalFormatting sqref="A169:A276">
    <cfRule type="expression" dxfId="529" priority="66">
      <formula>$AH169=0</formula>
    </cfRule>
  </conditionalFormatting>
  <conditionalFormatting sqref="B8">
    <cfRule type="expression" dxfId="528" priority="186">
      <formula>AND(C$9&gt;=14/24,C$9&lt;20/24)</formula>
    </cfRule>
    <cfRule type="expression" dxfId="527" priority="187">
      <formula>AND(C$9&gt;=8/24,C$9&lt;14/24)</formula>
    </cfRule>
    <cfRule type="expression" dxfId="526" priority="188">
      <formula>C$9&lt;8/24</formula>
    </cfRule>
    <cfRule type="expression" dxfId="525" priority="189">
      <formula>C$9&gt;=20/24</formula>
    </cfRule>
  </conditionalFormatting>
  <conditionalFormatting sqref="C103:L107 B9:AF10 B113:B115 C109:R115 B108:R108 B117:B124 C152:R152 C154:R158 B153:R153 B93:R96 B78:D90 F97:L102 M97:R107 C117:AA125 S152:AA158 F134:AA134 D11:AA13 B72:AA72 B76:AA77 E79:AA90 C159:AA160 S93:AF115 AB85:AF90 AB12:AF13 AB117:AF134 AB137:AF160">
    <cfRule type="expression" dxfId="524" priority="104">
      <formula>B$9&gt;=20/24</formula>
    </cfRule>
  </conditionalFormatting>
  <conditionalFormatting sqref="B9:AF10 C103:L107 B113:B115 C109:R115 B108:R108 B117:B124 C152:R152 C154:R158 B153:R153 B93:R96 B78:D90 F97:L102 M97:R107 C117:AA125 S152:AA158 F134:AA134 D11:AA13 B72:AA72 B76:AA77 E79:AA90 C159:AA160 S93:AF115 AB85:AF90 AB12:AF13 AB117:AF134 AB137:AF160">
    <cfRule type="expression" dxfId="523" priority="105">
      <formula>AND(B$9&gt;=14/24,B$9&lt;20/24)</formula>
    </cfRule>
    <cfRule type="expression" dxfId="522" priority="106">
      <formula>AND(B$9&gt;=8/24,B$9&lt;14/24)</formula>
    </cfRule>
    <cfRule type="expression" dxfId="521" priority="107">
      <formula>B$9&lt;8/24</formula>
    </cfRule>
  </conditionalFormatting>
  <conditionalFormatting sqref="B29:AA53 AB14:AF53">
    <cfRule type="expression" dxfId="520" priority="51">
      <formula>B14&gt;$AG14*1</formula>
    </cfRule>
    <cfRule type="expression" dxfId="519" priority="52">
      <formula>B$9&gt;=20/24</formula>
    </cfRule>
    <cfRule type="expression" dxfId="518" priority="53">
      <formula>AND(B$9&gt;=14/24,B$9&lt;20/24)</formula>
    </cfRule>
    <cfRule type="expression" dxfId="517" priority="54">
      <formula>AND(B$9&gt;=8/24,B$9&lt;14/24)</formula>
    </cfRule>
    <cfRule type="expression" dxfId="516" priority="55">
      <formula>B$9&lt;8/24</formula>
    </cfRule>
  </conditionalFormatting>
  <conditionalFormatting sqref="B54:AF68">
    <cfRule type="expression" dxfId="515" priority="44">
      <formula>B$9&lt;8/24</formula>
    </cfRule>
  </conditionalFormatting>
  <conditionalFormatting sqref="B54:AF70">
    <cfRule type="expression" dxfId="514" priority="41">
      <formula>B$9&gt;=20/24</formula>
    </cfRule>
    <cfRule type="expression" dxfId="513" priority="42">
      <formula>AND(B$9&gt;=14/24,B$9&lt;20/24)</formula>
    </cfRule>
    <cfRule type="expression" dxfId="512" priority="43">
      <formula>AND(B$9&gt;=8/24,B$9&lt;14/24)</formula>
    </cfRule>
  </conditionalFormatting>
  <conditionalFormatting sqref="B63:AF65">
    <cfRule type="expression" dxfId="511" priority="45">
      <formula>B63&gt;$AG63</formula>
    </cfRule>
  </conditionalFormatting>
  <conditionalFormatting sqref="B69:AF70">
    <cfRule type="expression" dxfId="510" priority="112">
      <formula>B$9&lt;8/24</formula>
    </cfRule>
  </conditionalFormatting>
  <conditionalFormatting sqref="B72:AA75">
    <cfRule type="expression" dxfId="509" priority="36">
      <formula>B72&gt;$AG72*1</formula>
    </cfRule>
  </conditionalFormatting>
  <conditionalFormatting sqref="B73:AA75 C162:AF168 C170:AF275">
    <cfRule type="expression" dxfId="508" priority="37">
      <formula>B$9&gt;=20/24</formula>
    </cfRule>
    <cfRule type="expression" dxfId="507" priority="38">
      <formula>AND(B$9&gt;=14/24,B$9&lt;20/24)</formula>
    </cfRule>
    <cfRule type="expression" dxfId="506" priority="39">
      <formula>AND(B$9&gt;=8/24,B$9&lt;14/24)</formula>
    </cfRule>
    <cfRule type="expression" dxfId="505" priority="40">
      <formula>B$9&lt;8/24</formula>
    </cfRule>
  </conditionalFormatting>
  <conditionalFormatting sqref="AG96 AB70:AD70 B71:AD71 D11:AA13 B76:AA96 B69:AD69 AG71 AG78 AB78:AF96 AE69:AF71 AB12:AF13">
    <cfRule type="expression" dxfId="504" priority="103">
      <formula>B11&gt;$AG11*1</formula>
    </cfRule>
  </conditionalFormatting>
  <conditionalFormatting sqref="E79:AA83">
    <cfRule type="expression" dxfId="503" priority="113">
      <formula>E$9&gt;=20/24</formula>
    </cfRule>
    <cfRule type="expression" dxfId="502" priority="114">
      <formula>AND(E$9&gt;=14/24,E$9&lt;20/24)</formula>
    </cfRule>
    <cfRule type="expression" dxfId="501" priority="115">
      <formula>AND(E$9&gt;=8/24,E$9&lt;14/24)</formula>
    </cfRule>
    <cfRule type="expression" dxfId="500" priority="116">
      <formula>E$9&lt;8/24</formula>
    </cfRule>
  </conditionalFormatting>
  <conditionalFormatting sqref="E84:AA84">
    <cfRule type="expression" dxfId="499" priority="108">
      <formula>E$9&gt;=20/24</formula>
    </cfRule>
    <cfRule type="expression" dxfId="498" priority="109">
      <formula>AND(E$9&gt;=14/24,E$9&lt;20/24)</formula>
    </cfRule>
    <cfRule type="expression" dxfId="497" priority="110">
      <formula>AND(E$9&gt;=8/24,E$9&lt;14/24)</formula>
    </cfRule>
    <cfRule type="expression" dxfId="496" priority="111">
      <formula>E$9&lt;8/24</formula>
    </cfRule>
  </conditionalFormatting>
  <conditionalFormatting sqref="B72:AA72 E78:AF78">
    <cfRule type="expression" dxfId="495" priority="122">
      <formula>B$9&gt;=20/24</formula>
    </cfRule>
    <cfRule type="expression" dxfId="494" priority="123">
      <formula>AND(B$9&gt;=14/24,B$9&lt;20/24)</formula>
    </cfRule>
    <cfRule type="expression" dxfId="493" priority="124">
      <formula>AND(B$9&gt;=8/24,B$9&lt;14/24)</formula>
    </cfRule>
    <cfRule type="expression" dxfId="492" priority="125">
      <formula>B$9&lt;8/24</formula>
    </cfRule>
  </conditionalFormatting>
  <conditionalFormatting sqref="F79:AA81">
    <cfRule type="expression" dxfId="491" priority="130">
      <formula>F$9&gt;=20/24</formula>
    </cfRule>
    <cfRule type="expression" dxfId="490" priority="131">
      <formula>AND(F$9&gt;=14/24,F$9&lt;20/24)</formula>
    </cfRule>
    <cfRule type="expression" dxfId="489" priority="132">
      <formula>AND(F$9&gt;=8/24,F$9&lt;14/24)</formula>
    </cfRule>
    <cfRule type="expression" dxfId="488" priority="133">
      <formula>F$9&lt;8/24</formula>
    </cfRule>
  </conditionalFormatting>
  <conditionalFormatting sqref="L84:AF84">
    <cfRule type="expression" dxfId="487" priority="126">
      <formula>L$9&gt;=20/24</formula>
    </cfRule>
    <cfRule type="expression" dxfId="486" priority="127">
      <formula>AND(L$9&gt;=14/24,L$9&lt;20/24)</formula>
    </cfRule>
    <cfRule type="expression" dxfId="485" priority="128">
      <formula>AND(L$9&gt;=8/24,L$9&lt;14/24)</formula>
    </cfRule>
    <cfRule type="expression" dxfId="484" priority="129">
      <formula>L$9&lt;8/24</formula>
    </cfRule>
  </conditionalFormatting>
  <conditionalFormatting sqref="M8 S8 AB8">
    <cfRule type="expression" dxfId="483" priority="179">
      <formula>AND(N$9&gt;=14/24,N$9&lt;20/24)</formula>
    </cfRule>
    <cfRule type="expression" dxfId="482" priority="180">
      <formula>AND(N$9&gt;=8/24,N$9&lt;14/24)</formula>
    </cfRule>
    <cfRule type="expression" dxfId="481" priority="181">
      <formula>N$9&lt;8/24</formula>
    </cfRule>
  </conditionalFormatting>
  <conditionalFormatting sqref="M79:AA83">
    <cfRule type="expression" dxfId="480" priority="134">
      <formula>M$9&gt;=20/24</formula>
    </cfRule>
    <cfRule type="expression" dxfId="479" priority="135">
      <formula>AND(M$9&gt;=14/24,M$9&lt;20/24)</formula>
    </cfRule>
    <cfRule type="expression" dxfId="478" priority="136">
      <formula>AND(M$9&gt;=8/24,M$9&lt;14/24)</formula>
    </cfRule>
    <cfRule type="expression" dxfId="477" priority="137">
      <formula>M$9&lt;8/24</formula>
    </cfRule>
  </conditionalFormatting>
  <conditionalFormatting sqref="O3:P3">
    <cfRule type="iconSet" priority="176">
      <iconSet iconSet="3TrafficLights2" reverse="1">
        <cfvo type="percent" val="0"/>
        <cfvo type="num" val="1"/>
        <cfvo type="num" val="1"/>
      </iconSet>
    </cfRule>
  </conditionalFormatting>
  <conditionalFormatting sqref="S8 AB8 M8">
    <cfRule type="expression" dxfId="476" priority="178">
      <formula>N$9&gt;=20/24</formula>
    </cfRule>
  </conditionalFormatting>
  <conditionalFormatting sqref="S8">
    <cfRule type="expression" dxfId="475" priority="169">
      <formula>U$9&gt;=20/24</formula>
    </cfRule>
    <cfRule type="expression" dxfId="474" priority="170">
      <formula>AND(U$9&gt;=14/24,U$9&lt;20/24)</formula>
    </cfRule>
    <cfRule type="expression" dxfId="473" priority="171">
      <formula>AND(U$9&gt;=8/24,U$9&lt;14/24)</formula>
    </cfRule>
    <cfRule type="expression" dxfId="472" priority="172">
      <formula>U$9&lt;8/24</formula>
    </cfRule>
  </conditionalFormatting>
  <conditionalFormatting sqref="AB79:AF84">
    <cfRule type="expression" dxfId="471" priority="61">
      <formula>AB$9&gt;=20/24</formula>
    </cfRule>
    <cfRule type="expression" dxfId="470" priority="62">
      <formula>AND(AB$9&gt;=14/24,AB$9&lt;20/24)</formula>
    </cfRule>
    <cfRule type="expression" dxfId="469" priority="63">
      <formula>AND(AB$9&gt;=8/24,AB$9&lt;14/24)</formula>
    </cfRule>
    <cfRule type="expression" dxfId="468" priority="64">
      <formula>AB$9&lt;8/24</formula>
    </cfRule>
  </conditionalFormatting>
  <conditionalFormatting sqref="V3 AB3">
    <cfRule type="iconSet" priority="177">
      <iconSet iconSet="3TrafficLights2" reverse="1">
        <cfvo type="percent" val="0"/>
        <cfvo type="num" val="1"/>
        <cfvo type="num" val="1"/>
      </iconSet>
    </cfRule>
  </conditionalFormatting>
  <conditionalFormatting sqref="AB65:AF65">
    <cfRule type="expression" dxfId="467" priority="46">
      <formula>AB$9&gt;=20/24</formula>
    </cfRule>
    <cfRule type="expression" dxfId="466" priority="47">
      <formula>AND(AB$9&gt;=14/24,AB$9&lt;20/24)</formula>
    </cfRule>
    <cfRule type="expression" dxfId="465" priority="48">
      <formula>AND(AB$9&gt;=8/24,AB$9&lt;14/24)</formula>
    </cfRule>
    <cfRule type="expression" dxfId="464" priority="49">
      <formula>AB$9&lt;8/24</formula>
    </cfRule>
  </conditionalFormatting>
  <conditionalFormatting sqref="B66:AA70 AB11:AF11 B54:AF62 AB66:AF69">
    <cfRule type="expression" dxfId="463" priority="117">
      <formula>B11&gt;$AG11</formula>
    </cfRule>
  </conditionalFormatting>
  <conditionalFormatting sqref="AB8">
    <cfRule type="expression" dxfId="462" priority="165">
      <formula>AD$9&gt;=20/24</formula>
    </cfRule>
    <cfRule type="expression" dxfId="461" priority="166">
      <formula>AND(AD$9&gt;=14/24,AD$9&lt;20/24)</formula>
    </cfRule>
    <cfRule type="expression" dxfId="460" priority="167">
      <formula>AND(AD$9&gt;=8/24,AD$9&lt;14/24)</formula>
    </cfRule>
    <cfRule type="expression" dxfId="459" priority="168">
      <formula>AD$9&lt;8/24</formula>
    </cfRule>
  </conditionalFormatting>
  <conditionalFormatting sqref="AB11:AF11">
    <cfRule type="expression" dxfId="458" priority="118">
      <formula>AB$9&gt;=20/24</formula>
    </cfRule>
    <cfRule type="expression" dxfId="457" priority="119">
      <formula>AND(AB$9&gt;=14/24,AB$9&lt;20/24)</formula>
    </cfRule>
    <cfRule type="expression" dxfId="456" priority="120">
      <formula>AND(AB$9&gt;=8/24,AB$9&lt;14/24)</formula>
    </cfRule>
    <cfRule type="expression" dxfId="455" priority="121">
      <formula>AB$9&lt;8/24</formula>
    </cfRule>
  </conditionalFormatting>
  <conditionalFormatting sqref="AG78">
    <cfRule type="expression" dxfId="454" priority="144">
      <formula>AG$9&gt;=20/24</formula>
    </cfRule>
    <cfRule type="expression" dxfId="453" priority="145">
      <formula>AND(AG$9&gt;=14/24,AG$9&lt;20/24)</formula>
    </cfRule>
    <cfRule type="expression" dxfId="452" priority="146">
      <formula>AND(AG$9&gt;=8/24,AG$9&lt;14/24)</formula>
    </cfRule>
    <cfRule type="expression" dxfId="451" priority="147">
      <formula>AG$9&lt;8/24</formula>
    </cfRule>
  </conditionalFormatting>
  <conditionalFormatting sqref="AG91:AG92">
    <cfRule type="expression" dxfId="450" priority="139">
      <formula>AG91&gt;$AG91</formula>
    </cfRule>
  </conditionalFormatting>
  <conditionalFormatting sqref="AG96">
    <cfRule type="expression" dxfId="449" priority="140">
      <formula>AG$9&gt;=20/24</formula>
    </cfRule>
    <cfRule type="expression" dxfId="448" priority="141">
      <formula>AND(AG$9&gt;=14/24,AG$9&lt;20/24)</formula>
    </cfRule>
    <cfRule type="expression" dxfId="447" priority="142">
      <formula>AND(AG$9&gt;=8/24,AG$9&lt;14/24)</formula>
    </cfRule>
    <cfRule type="expression" dxfId="446" priority="143">
      <formula>AG$9&lt;8/24</formula>
    </cfRule>
  </conditionalFormatting>
  <conditionalFormatting sqref="AG113">
    <cfRule type="expression" dxfId="445" priority="161">
      <formula>AG$9&gt;=20/24</formula>
    </cfRule>
    <cfRule type="expression" dxfId="444" priority="162">
      <formula>AND(AG$9&gt;=14/24,AG$9&lt;20/24)</formula>
    </cfRule>
    <cfRule type="expression" dxfId="443" priority="163">
      <formula>AND(AG$9&gt;=8/24,AG$9&lt;14/24)</formula>
    </cfRule>
    <cfRule type="expression" dxfId="442" priority="164">
      <formula>AG$9&lt;8/24</formula>
    </cfRule>
  </conditionalFormatting>
  <conditionalFormatting sqref="AH8:AI10">
    <cfRule type="expression" dxfId="441" priority="57">
      <formula>AH$9&gt;=20/24</formula>
    </cfRule>
    <cfRule type="expression" dxfId="440" priority="58">
      <formula>AND(AH$9&gt;=14/24,AH$9&lt;20/24)</formula>
    </cfRule>
    <cfRule type="expression" dxfId="439" priority="59">
      <formula>AND(AH$9&gt;=8/24,AH$9&lt;14/24)</formula>
    </cfRule>
    <cfRule type="expression" dxfId="438" priority="60">
      <formula>AH$9&lt;8/24</formula>
    </cfRule>
  </conditionalFormatting>
  <conditionalFormatting sqref="AL4:AL6">
    <cfRule type="iconSet" priority="175">
      <iconSet iconSet="3TrafficLights2" reverse="1">
        <cfvo type="percent" val="0"/>
        <cfvo type="num" val="1"/>
        <cfvo type="num" val="1"/>
      </iconSet>
    </cfRule>
  </conditionalFormatting>
  <conditionalFormatting sqref="AL26">
    <cfRule type="iconSet" priority="159">
      <iconSet iconSet="3TrafficLights2" reverse="1">
        <cfvo type="percent" val="0"/>
        <cfvo type="num" val="1"/>
        <cfvo type="num" val="1"/>
      </iconSet>
    </cfRule>
  </conditionalFormatting>
  <conditionalFormatting sqref="AL33">
    <cfRule type="iconSet" priority="56">
      <iconSet iconSet="3TrafficLights2" reverse="1">
        <cfvo type="percent" val="0"/>
        <cfvo type="num" val="1"/>
        <cfvo type="num" val="1"/>
      </iconSet>
    </cfRule>
  </conditionalFormatting>
  <conditionalFormatting sqref="AL49">
    <cfRule type="iconSet" priority="149">
      <iconSet iconSet="3TrafficLights2" reverse="1">
        <cfvo type="percent" val="0"/>
        <cfvo type="num" val="1"/>
        <cfvo type="num" val="1"/>
      </iconSet>
    </cfRule>
  </conditionalFormatting>
  <conditionalFormatting sqref="AL55">
    <cfRule type="iconSet" priority="158">
      <iconSet iconSet="3TrafficLights2" reverse="1">
        <cfvo type="percent" val="0"/>
        <cfvo type="num" val="1"/>
        <cfvo type="num" val="1"/>
      </iconSet>
    </cfRule>
  </conditionalFormatting>
  <conditionalFormatting sqref="AL58">
    <cfRule type="iconSet" priority="160">
      <iconSet iconSet="3TrafficLights2" reverse="1">
        <cfvo type="percent" val="0"/>
        <cfvo type="num" val="1"/>
        <cfvo type="num" val="1"/>
      </iconSet>
    </cfRule>
  </conditionalFormatting>
  <conditionalFormatting sqref="AL59 AL56:AL57 AL7:AL11 AL27:AL32 AL50:AL54 AL68 AL34:AL48">
    <cfRule type="iconSet" priority="192">
      <iconSet iconSet="3TrafficLights2" reverse="1">
        <cfvo type="percent" val="0"/>
        <cfvo type="num" val="1"/>
        <cfvo type="num" val="1"/>
      </iconSet>
    </cfRule>
  </conditionalFormatting>
  <conditionalFormatting sqref="AL60:AL62">
    <cfRule type="iconSet" priority="174">
      <iconSet iconSet="3TrafficLights2" reverse="1">
        <cfvo type="percent" val="0"/>
        <cfvo type="num" val="1"/>
        <cfvo type="num" val="1"/>
      </iconSet>
    </cfRule>
  </conditionalFormatting>
  <conditionalFormatting sqref="AL63:AL64">
    <cfRule type="iconSet" priority="65">
      <iconSet iconSet="3TrafficLights2" reverse="1">
        <cfvo type="percent" val="0"/>
        <cfvo type="num" val="1"/>
        <cfvo type="num" val="1"/>
      </iconSet>
    </cfRule>
  </conditionalFormatting>
  <conditionalFormatting sqref="AL65">
    <cfRule type="iconSet" priority="50">
      <iconSet iconSet="3TrafficLights2" reverse="1">
        <cfvo type="percent" val="0"/>
        <cfvo type="num" val="1"/>
        <cfvo type="num" val="1"/>
      </iconSet>
    </cfRule>
  </conditionalFormatting>
  <conditionalFormatting sqref="AL66">
    <cfRule type="iconSet" priority="173">
      <iconSet iconSet="3TrafficLights2" reverse="1">
        <cfvo type="percent" val="0"/>
        <cfvo type="num" val="1"/>
        <cfvo type="num" val="1"/>
      </iconSet>
    </cfRule>
  </conditionalFormatting>
  <conditionalFormatting sqref="AL67">
    <cfRule type="iconSet" priority="148">
      <iconSet iconSet="3TrafficLights2" reverse="1">
        <cfvo type="percent" val="0"/>
        <cfvo type="num" val="1"/>
        <cfvo type="num" val="1"/>
      </iconSet>
    </cfRule>
  </conditionalFormatting>
  <conditionalFormatting sqref="AL100:AM104">
    <cfRule type="expression" dxfId="437" priority="182">
      <formula>AJ$9&gt;=20/24</formula>
    </cfRule>
    <cfRule type="expression" dxfId="436" priority="183">
      <formula>AND(AJ$9&gt;=14/24,AJ$9&lt;20/24)</formula>
    </cfRule>
    <cfRule type="expression" dxfId="435" priority="184">
      <formula>AND(AJ$9&gt;=8/24,AJ$9&lt;14/24)</formula>
    </cfRule>
    <cfRule type="expression" dxfId="434" priority="185">
      <formula>AJ$9&lt;8/24</formula>
    </cfRule>
  </conditionalFormatting>
  <conditionalFormatting sqref="AL99:AN99 AL105:AN105">
    <cfRule type="expression" dxfId="433" priority="154">
      <formula>AL$9&gt;=20/24</formula>
    </cfRule>
    <cfRule type="expression" dxfId="432" priority="155">
      <formula>AND(AL$9&gt;=14/24,AL$9&lt;20/24)</formula>
    </cfRule>
    <cfRule type="expression" dxfId="431" priority="156">
      <formula>AND(AL$9&gt;=8/24,AL$9&lt;14/24)</formula>
    </cfRule>
    <cfRule type="expression" dxfId="430" priority="157">
      <formula>AL$9&lt;8/24</formula>
    </cfRule>
  </conditionalFormatting>
  <conditionalFormatting sqref="AM15:AM21 AN16:AR21">
    <cfRule type="expression" dxfId="429" priority="79">
      <formula>AX$9&gt;=20/24</formula>
    </cfRule>
    <cfRule type="expression" dxfId="428" priority="80">
      <formula>AND(AX$9&gt;=14/24,AX$9&lt;20/24)</formula>
    </cfRule>
    <cfRule type="expression" dxfId="427" priority="81">
      <formula>AND(AX$9&gt;=8/24,AX$9&lt;14/24)</formula>
    </cfRule>
    <cfRule type="expression" dxfId="426" priority="82">
      <formula>AX$9&lt;8/24</formula>
    </cfRule>
  </conditionalFormatting>
  <conditionalFormatting sqref="AN100:AN103">
    <cfRule type="expression" dxfId="425" priority="150">
      <formula>AN$9&gt;=20/24</formula>
    </cfRule>
    <cfRule type="expression" dxfId="424" priority="151">
      <formula>AND(AN$9&gt;=14/24,AN$9&lt;20/24)</formula>
    </cfRule>
    <cfRule type="expression" dxfId="423" priority="152">
      <formula>AND(AN$9&gt;=8/24,AN$9&lt;14/24)</formula>
    </cfRule>
    <cfRule type="expression" dxfId="422" priority="153">
      <formula>AN$9&lt;8/24</formula>
    </cfRule>
  </conditionalFormatting>
  <conditionalFormatting sqref="AN15:AR15">
    <cfRule type="expression" dxfId="421" priority="67">
      <formula>U$9&gt;=20/24</formula>
    </cfRule>
    <cfRule type="expression" dxfId="420" priority="68">
      <formula>AND(U$9&gt;=14/24,U$9&lt;20/24)</formula>
    </cfRule>
    <cfRule type="expression" dxfId="419" priority="69">
      <formula>AND(U$9&gt;=8/24,U$9&lt;14/24)</formula>
    </cfRule>
    <cfRule type="expression" dxfId="418" priority="70">
      <formula>U$9&lt;8/24</formula>
    </cfRule>
  </conditionalFormatting>
  <conditionalFormatting sqref="AS15">
    <cfRule type="expression" dxfId="417" priority="75">
      <formula>AA$9&gt;=20/24</formula>
    </cfRule>
    <cfRule type="expression" dxfId="416" priority="76">
      <formula>AND(AA$9&gt;=14/24,AA$9&lt;20/24)</formula>
    </cfRule>
    <cfRule type="expression" dxfId="415" priority="77">
      <formula>AND(AA$9&gt;=8/24,AA$9&lt;14/24)</formula>
    </cfRule>
    <cfRule type="expression" dxfId="414" priority="78">
      <formula>AA$9&lt;8/24</formula>
    </cfRule>
  </conditionalFormatting>
  <conditionalFormatting sqref="AS16:AS21">
    <cfRule type="expression" dxfId="413" priority="83">
      <formula>BE$9&gt;=20/24</formula>
    </cfRule>
    <cfRule type="expression" dxfId="412" priority="84">
      <formula>AND(BE$9&gt;=14/24,BE$9&lt;20/24)</formula>
    </cfRule>
    <cfRule type="expression" dxfId="411" priority="85">
      <formula>AND(BE$9&gt;=8/24,BE$9&lt;14/24)</formula>
    </cfRule>
    <cfRule type="expression" dxfId="410" priority="86">
      <formula>BE$9&lt;8/24</formula>
    </cfRule>
  </conditionalFormatting>
  <conditionalFormatting sqref="AT15 AX15:BJ15">
    <cfRule type="expression" dxfId="409" priority="87">
      <formula>AC$9&gt;=20/24</formula>
    </cfRule>
    <cfRule type="expression" dxfId="408" priority="88">
      <formula>AND(AC$9&gt;=14/24,AC$9&lt;20/24)</formula>
    </cfRule>
    <cfRule type="expression" dxfId="407" priority="89">
      <formula>AND(AC$9&gt;=8/24,AC$9&lt;14/24)</formula>
    </cfRule>
    <cfRule type="expression" dxfId="406" priority="90">
      <formula>AC$9&lt;8/24</formula>
    </cfRule>
  </conditionalFormatting>
  <conditionalFormatting sqref="AT16:AT21">
    <cfRule type="expression" dxfId="405" priority="91">
      <formula>BG$9&gt;=20/24</formula>
    </cfRule>
    <cfRule type="expression" dxfId="404" priority="92">
      <formula>AND(BG$9&gt;=14/24,BG$9&lt;20/24)</formula>
    </cfRule>
    <cfRule type="expression" dxfId="403" priority="93">
      <formula>AND(BG$9&gt;=8/24,BG$9&lt;14/24)</formula>
    </cfRule>
    <cfRule type="expression" dxfId="402" priority="94">
      <formula>BG$9&lt;8/24</formula>
    </cfRule>
  </conditionalFormatting>
  <conditionalFormatting sqref="AU15:AV15">
    <cfRule type="expression" dxfId="401" priority="95">
      <formula>AE$9&gt;=20/24</formula>
    </cfRule>
    <cfRule type="expression" dxfId="400" priority="96">
      <formula>AND(AE$9&gt;=14/24,AE$9&lt;20/24)</formula>
    </cfRule>
    <cfRule type="expression" dxfId="399" priority="97">
      <formula>AND(AE$9&gt;=8/24,AE$9&lt;14/24)</formula>
    </cfRule>
    <cfRule type="expression" dxfId="398" priority="98">
      <formula>AE$9&lt;8/24</formula>
    </cfRule>
  </conditionalFormatting>
  <conditionalFormatting sqref="AU16:BJ21">
    <cfRule type="expression" dxfId="397" priority="99">
      <formula>BI$9&gt;=20/24</formula>
    </cfRule>
    <cfRule type="expression" dxfId="396" priority="100">
      <formula>AND(BI$9&gt;=14/24,BI$9&lt;20/24)</formula>
    </cfRule>
    <cfRule type="expression" dxfId="395" priority="101">
      <formula>AND(BI$9&gt;=8/24,BI$9&lt;14/24)</formula>
    </cfRule>
    <cfRule type="expression" dxfId="394" priority="102">
      <formula>BI$9&lt;8/24</formula>
    </cfRule>
  </conditionalFormatting>
  <conditionalFormatting sqref="AW15">
    <cfRule type="expression" dxfId="393" priority="71">
      <formula>B$9&gt;=20/24</formula>
    </cfRule>
    <cfRule type="expression" dxfId="392" priority="72">
      <formula>AND(B$9&gt;=14/24,B$9&lt;20/24)</formula>
    </cfRule>
    <cfRule type="expression" dxfId="391" priority="73">
      <formula>AND(B$9&gt;=8/24,B$9&lt;14/24)</formula>
    </cfRule>
    <cfRule type="expression" dxfId="390" priority="74">
      <formula>B$9&lt;8/24</formula>
    </cfRule>
  </conditionalFormatting>
  <conditionalFormatting sqref="A73">
    <cfRule type="expression" dxfId="389" priority="34">
      <formula>$AH73=0</formula>
    </cfRule>
  </conditionalFormatting>
  <conditionalFormatting sqref="B97:B107 B137:B152 B109:B112 B125:B134 B154:B160 B11:C13 C97:E102 C126:E134 F126:AA133 C137:AA151">
    <cfRule type="expression" dxfId="388" priority="30">
      <formula>B$9&gt;=20/24</formula>
    </cfRule>
  </conditionalFormatting>
  <conditionalFormatting sqref="B97:B107 B137:B152 B109:B112 B125:B134 B154:B160 B11:C13 C97:E102 C126:E134 F126:AA133 C137:AA151">
    <cfRule type="expression" dxfId="387" priority="31">
      <formula>AND(B$9&gt;=14/24,B$9&lt;20/24)</formula>
    </cfRule>
    <cfRule type="expression" dxfId="386" priority="32">
      <formula>AND(B$9&gt;=8/24,B$9&lt;14/24)</formula>
    </cfRule>
    <cfRule type="expression" dxfId="385" priority="33">
      <formula>B$9&lt;8/24</formula>
    </cfRule>
  </conditionalFormatting>
  <conditionalFormatting sqref="B14:AA28">
    <cfRule type="expression" dxfId="384" priority="20">
      <formula>B14&gt;$AG14*1</formula>
    </cfRule>
    <cfRule type="expression" dxfId="383" priority="21">
      <formula>B$9&gt;=20/24</formula>
    </cfRule>
    <cfRule type="expression" dxfId="382" priority="22">
      <formula>AND(B$9&gt;=14/24,B$9&lt;20/24)</formula>
    </cfRule>
    <cfRule type="expression" dxfId="381" priority="23">
      <formula>AND(B$9&gt;=8/24,B$9&lt;14/24)</formula>
    </cfRule>
    <cfRule type="expression" dxfId="380" priority="24">
      <formula>B$9&lt;8/24</formula>
    </cfRule>
  </conditionalFormatting>
  <conditionalFormatting sqref="B162:B168">
    <cfRule type="expression" dxfId="379" priority="25">
      <formula>B$9&gt;=20/24</formula>
    </cfRule>
    <cfRule type="expression" dxfId="378" priority="26">
      <formula>AND(B$9&gt;=14/24,B$9&lt;20/24)</formula>
    </cfRule>
    <cfRule type="expression" dxfId="377" priority="27">
      <formula>AND(B$9&gt;=8/24,B$9&lt;14/24)</formula>
    </cfRule>
    <cfRule type="expression" dxfId="376" priority="28">
      <formula>B$9&lt;8/24</formula>
    </cfRule>
  </conditionalFormatting>
  <conditionalFormatting sqref="B170:B275">
    <cfRule type="expression" dxfId="375" priority="16">
      <formula>B$9&gt;=20/24</formula>
    </cfRule>
    <cfRule type="expression" dxfId="374" priority="17">
      <formula>AND(B$9&gt;=14/24,B$9&lt;20/24)</formula>
    </cfRule>
    <cfRule type="expression" dxfId="373" priority="18">
      <formula>AND(B$9&gt;=8/24,B$9&lt;14/24)</formula>
    </cfRule>
    <cfRule type="expression" dxfId="372" priority="19">
      <formula>B$9&lt;8/24</formula>
    </cfRule>
  </conditionalFormatting>
  <conditionalFormatting sqref="B11:C13">
    <cfRule type="expression" dxfId="371" priority="29">
      <formula>B11&gt;$AG11*1</formula>
    </cfRule>
  </conditionalFormatting>
  <conditionalFormatting sqref="A153">
    <cfRule type="expression" dxfId="370" priority="15">
      <formula>AND(ISNUMBER(SEARCH("Hrs", $A$153)), VALUE(TRIM(MID($A$153, SEARCH("m3/s,", $A$153)+5, SEARCH("Hrs", $A$153) - SEARCH("m3/s,", $A$153) - 5))) &lt;= 2)</formula>
    </cfRule>
  </conditionalFormatting>
  <conditionalFormatting sqref="AB76:AF77 AB72:AF72">
    <cfRule type="expression" dxfId="369" priority="7">
      <formula>AB$9&gt;=20/24</formula>
    </cfRule>
  </conditionalFormatting>
  <conditionalFormatting sqref="AB76:AF77 AB72:AF72">
    <cfRule type="expression" dxfId="368" priority="8">
      <formula>AND(AB$9&gt;=14/24,AB$9&lt;20/24)</formula>
    </cfRule>
    <cfRule type="expression" dxfId="367" priority="9">
      <formula>AND(AB$9&gt;=8/24,AB$9&lt;14/24)</formula>
    </cfRule>
    <cfRule type="expression" dxfId="366" priority="10">
      <formula>AB$9&lt;8/24</formula>
    </cfRule>
  </conditionalFormatting>
  <conditionalFormatting sqref="AB72:AF75">
    <cfRule type="expression" dxfId="365" priority="1">
      <formula>AB72&gt;$AG72*1</formula>
    </cfRule>
  </conditionalFormatting>
  <conditionalFormatting sqref="AB73:AF75">
    <cfRule type="expression" dxfId="364" priority="2">
      <formula>AB$9&gt;=20/24</formula>
    </cfRule>
    <cfRule type="expression" dxfId="363" priority="3">
      <formula>AND(AB$9&gt;=14/24,AB$9&lt;20/24)</formula>
    </cfRule>
    <cfRule type="expression" dxfId="362" priority="4">
      <formula>AND(AB$9&gt;=8/24,AB$9&lt;14/24)</formula>
    </cfRule>
    <cfRule type="expression" dxfId="361" priority="5">
      <formula>AB$9&lt;8/24</formula>
    </cfRule>
  </conditionalFormatting>
  <conditionalFormatting sqref="AB76:AF77">
    <cfRule type="expression" dxfId="360" priority="6">
      <formula>AB76&gt;$AG76*1</formula>
    </cfRule>
  </conditionalFormatting>
  <conditionalFormatting sqref="AB72:AF72">
    <cfRule type="expression" dxfId="359" priority="11">
      <formula>AB$9&gt;=20/24</formula>
    </cfRule>
    <cfRule type="expression" dxfId="358" priority="12">
      <formula>AND(AB$9&gt;=14/24,AB$9&lt;20/24)</formula>
    </cfRule>
    <cfRule type="expression" dxfId="357" priority="13">
      <formula>AND(AB$9&gt;=8/24,AB$9&lt;14/24)</formula>
    </cfRule>
    <cfRule type="expression" dxfId="356" priority="14">
      <formula>AB$9&lt;8/24</formula>
    </cfRule>
  </conditionalFormatting>
  <pageMargins left="0.7" right="0.7" top="0.75" bottom="0.75" header="0.3" footer="0.3"/>
  <pageSetup paperSize="9" orientation="portrait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306"/>
  <sheetViews>
    <sheetView tabSelected="1" zoomScaleNormal="100" workbookViewId="0">
      <pane xSplit="1" ySplit="10" topLeftCell="B11" activePane="bottomRight" state="frozen"/>
      <selection activeCell="AF103" sqref="AF103"/>
      <selection pane="topRight" activeCell="AF103" sqref="AF103"/>
      <selection pane="bottomLeft" activeCell="AF103" sqref="AF103"/>
      <selection pane="bottomRight" activeCell="W21" sqref="W21"/>
    </sheetView>
  </sheetViews>
  <sheetFormatPr defaultColWidth="10.42578125" defaultRowHeight="15" x14ac:dyDescent="0.25"/>
  <cols>
    <col min="1" max="1" width="43.85546875" style="1" customWidth="1"/>
    <col min="2" max="2" width="7.7109375" style="1" customWidth="1"/>
    <col min="3" max="3" width="7" style="1" customWidth="1"/>
    <col min="4" max="4" width="8" style="1" customWidth="1"/>
    <col min="5" max="9" width="7.28515625" style="1" customWidth="1"/>
    <col min="10" max="10" width="7.140625" style="1" customWidth="1"/>
    <col min="11" max="13" width="6.85546875" style="1" customWidth="1"/>
    <col min="14" max="15" width="7.140625" style="1" customWidth="1"/>
    <col min="16" max="16" width="7.7109375" style="1" customWidth="1"/>
    <col min="17" max="17" width="8.140625" style="1" customWidth="1"/>
    <col min="18" max="18" width="7.140625" style="1" customWidth="1"/>
    <col min="19" max="19" width="8.28515625" style="1" customWidth="1"/>
    <col min="20" max="20" width="7.85546875" style="1" customWidth="1"/>
    <col min="21" max="21" width="7.5703125" style="1" customWidth="1"/>
    <col min="22" max="26" width="7.85546875" style="1" customWidth="1"/>
    <col min="27" max="27" width="8.140625" style="1" customWidth="1"/>
    <col min="28" max="32" width="7.85546875" style="1" customWidth="1"/>
    <col min="33" max="33" width="16.42578125" style="1" customWidth="1"/>
    <col min="34" max="35" width="9.140625" style="1" customWidth="1"/>
    <col min="36" max="36" width="10.42578125" style="1"/>
    <col min="37" max="37" width="12.7109375" style="1" customWidth="1"/>
    <col min="38" max="38" width="17.28515625" style="1" customWidth="1"/>
    <col min="39" max="39" width="8.42578125" style="1" customWidth="1"/>
    <col min="40" max="40" width="9" style="1" bestFit="1" customWidth="1"/>
    <col min="41" max="41" width="11.28515625" style="1" bestFit="1" customWidth="1"/>
    <col min="42" max="50" width="8.42578125" style="1" customWidth="1"/>
    <col min="51" max="57" width="10.42578125" style="1"/>
    <col min="58" max="58" width="12.7109375" style="1" customWidth="1"/>
    <col min="59" max="16384" width="10.42578125" style="1"/>
  </cols>
  <sheetData>
    <row r="1" spans="1:88" ht="36" hidden="1" customHeight="1" thickBot="1" x14ac:dyDescent="0.3">
      <c r="A1" s="243" t="s">
        <v>0</v>
      </c>
      <c r="B1" s="243"/>
      <c r="C1" s="243"/>
      <c r="D1" s="243"/>
      <c r="E1" s="243"/>
      <c r="F1" s="243"/>
      <c r="G1" s="243"/>
      <c r="H1" s="243"/>
      <c r="I1" s="243"/>
      <c r="J1" s="243"/>
      <c r="K1" s="243"/>
      <c r="L1" s="243"/>
      <c r="M1" s="243"/>
      <c r="N1" s="243"/>
      <c r="O1" s="243"/>
      <c r="P1" s="243"/>
      <c r="Q1" s="243"/>
      <c r="R1" s="243"/>
      <c r="S1" s="243"/>
      <c r="T1" s="243"/>
      <c r="U1" s="243"/>
      <c r="V1" s="243"/>
      <c r="W1" s="243"/>
      <c r="X1" s="243"/>
      <c r="Y1" s="243"/>
      <c r="Z1" s="243"/>
      <c r="AA1" s="243"/>
      <c r="AB1" s="243"/>
      <c r="AC1" s="243"/>
      <c r="AD1" s="243"/>
      <c r="AE1" s="243"/>
      <c r="AF1" s="243"/>
      <c r="AG1" s="244" t="s">
        <v>1</v>
      </c>
      <c r="AH1" s="244"/>
      <c r="AI1" s="244"/>
      <c r="AL1" s="2"/>
    </row>
    <row r="2" spans="1:88" ht="20.25" hidden="1" x14ac:dyDescent="0.25">
      <c r="A2" s="3"/>
      <c r="B2" s="245" t="s">
        <v>2</v>
      </c>
      <c r="C2" s="4"/>
      <c r="D2" s="247" t="s">
        <v>3</v>
      </c>
      <c r="E2" s="4"/>
      <c r="F2" s="247" t="s">
        <v>4</v>
      </c>
      <c r="G2" s="4"/>
      <c r="H2" s="247" t="s">
        <v>5</v>
      </c>
      <c r="I2" s="5"/>
      <c r="J2" s="249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AG71</f>
        <v>1812.2049999999999</v>
      </c>
      <c r="AH2" s="11" t="s">
        <v>7</v>
      </c>
      <c r="AI2" s="12"/>
      <c r="AM2" s="13"/>
      <c r="AN2" s="14"/>
      <c r="AO2" s="14"/>
    </row>
    <row r="3" spans="1:88" ht="19.5" hidden="1" thickBot="1" x14ac:dyDescent="0.3">
      <c r="A3" s="15"/>
      <c r="B3" s="246"/>
      <c r="C3" s="16"/>
      <c r="D3" s="248"/>
      <c r="E3" s="16"/>
      <c r="F3" s="248"/>
      <c r="G3" s="16"/>
      <c r="H3" s="248"/>
      <c r="I3" s="17"/>
      <c r="J3" s="249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AG92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" hidden="1" customHeight="1" x14ac:dyDescent="0.25">
      <c r="A4" s="25" t="s">
        <v>11</v>
      </c>
      <c r="B4" s="238" t="str">
        <f ca="1">"2080/"&amp;"10/"&amp;INT(MID(CELL("filename",D6),FIND("]",CELL("filename",D6))+1,200))</f>
        <v>2080/10/1</v>
      </c>
      <c r="C4" s="238"/>
      <c r="D4" s="238"/>
      <c r="E4" s="239" t="str">
        <f ca="1">"2080/"&amp;"10/"&amp;INT(MID(CELL("filename",G6),FIND("]",CELL("filename",G6))+1,200))</f>
        <v>2080/10/1</v>
      </c>
      <c r="F4" s="239"/>
      <c r="G4" s="239"/>
      <c r="H4" s="239" t="str">
        <f ca="1">TEXT(E4,"dddd")</f>
        <v>Tuesday</v>
      </c>
      <c r="I4" s="239"/>
      <c r="J4" s="26"/>
      <c r="K4" s="1" t="e">
        <f>"Total Peak Supply(Inclusive of Export) ("&amp;ROUND(#REF!,0)&amp;" MW)"&amp;"    IPP   = "&amp;ROUND(#REF!,0)&amp;" MW     NEA RoR = "&amp;ROUND(#REF!,0)&amp;" MWImport   = "&amp;ROUND(#REF!,0)&amp;" MW      KL1+KL2+K3 = "&amp;ROUND(#REF!,0)&amp;" MW    EXPORT = "&amp;ROUND(#REF!,0)</f>
        <v>#REF!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AG96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hidden="1" customHeight="1" x14ac:dyDescent="0.25">
      <c r="A5" s="29"/>
      <c r="B5" s="30">
        <f t="shared" ref="B5:AE5" si="0">C108</f>
        <v>3.6</v>
      </c>
      <c r="C5" s="30">
        <f t="shared" si="0"/>
        <v>24</v>
      </c>
      <c r="D5" s="30">
        <f t="shared" si="0"/>
        <v>2</v>
      </c>
      <c r="E5" s="30">
        <f t="shared" si="0"/>
        <v>0</v>
      </c>
      <c r="F5" s="30">
        <f t="shared" si="0"/>
        <v>0</v>
      </c>
      <c r="G5" s="30">
        <f t="shared" si="0"/>
        <v>0</v>
      </c>
      <c r="H5" s="30">
        <f t="shared" si="0"/>
        <v>0</v>
      </c>
      <c r="I5" s="30">
        <f t="shared" si="0"/>
        <v>0</v>
      </c>
      <c r="J5" s="30">
        <f t="shared" si="0"/>
        <v>0</v>
      </c>
      <c r="K5" s="30">
        <f t="shared" si="0"/>
        <v>0</v>
      </c>
      <c r="L5" s="30">
        <f t="shared" si="0"/>
        <v>0</v>
      </c>
      <c r="M5" s="30">
        <f t="shared" si="0"/>
        <v>0</v>
      </c>
      <c r="N5" s="30">
        <f t="shared" si="0"/>
        <v>0</v>
      </c>
      <c r="O5" s="30">
        <f t="shared" si="0"/>
        <v>0</v>
      </c>
      <c r="P5" s="30">
        <f t="shared" si="0"/>
        <v>0</v>
      </c>
      <c r="Q5" s="30">
        <f t="shared" si="0"/>
        <v>0</v>
      </c>
      <c r="R5" s="30">
        <f t="shared" si="0"/>
        <v>0</v>
      </c>
      <c r="S5" s="30">
        <f t="shared" si="0"/>
        <v>0</v>
      </c>
      <c r="T5" s="30">
        <f t="shared" si="0"/>
        <v>0</v>
      </c>
      <c r="U5" s="30">
        <f t="shared" si="0"/>
        <v>0</v>
      </c>
      <c r="V5" s="30">
        <f t="shared" si="0"/>
        <v>0</v>
      </c>
      <c r="W5" s="30">
        <f t="shared" si="0"/>
        <v>0</v>
      </c>
      <c r="X5" s="30">
        <f t="shared" si="0"/>
        <v>0</v>
      </c>
      <c r="Y5" s="30">
        <f t="shared" si="0"/>
        <v>0</v>
      </c>
      <c r="Z5" s="30">
        <f t="shared" si="0"/>
        <v>0</v>
      </c>
      <c r="AA5" s="30">
        <f>AB108</f>
        <v>0</v>
      </c>
      <c r="AB5" s="30">
        <f t="shared" si="0"/>
        <v>0</v>
      </c>
      <c r="AC5" s="30">
        <f t="shared" si="0"/>
        <v>0</v>
      </c>
      <c r="AD5" s="30">
        <f t="shared" si="0"/>
        <v>0</v>
      </c>
      <c r="AE5" s="30">
        <f t="shared" si="0"/>
        <v>0</v>
      </c>
      <c r="AF5" s="30">
        <f>B108</f>
        <v>3.6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24.75" hidden="1" customHeight="1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e">
        <f>"Evening Peak "&amp;ROUND(#REF!,0)&amp;"MW at "&amp;TRUNC(#REF!*24,0)&amp;":"&amp;ROUND((#REF!*24-TRUNC(#REF!*24,0))*60,0)&amp;"hr at "&amp;ROUND(#REF!,1)&amp;"Hz     "&amp;#REF!&amp;" "&amp;ROUND(#REF!,0)&amp;"MW at "&amp;TRUNC(#REF!*24,0)&amp;":"&amp;ROUND((#REF!*24-TRUNC(#REF!*24,0))*6,0)&amp;"0hr"</f>
        <v>#REF!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2408.1149999999998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Load=252</v>
      </c>
      <c r="B7" s="35">
        <f t="shared" ref="B7:AF7" si="1">B116</f>
        <v>1894.3999999999999</v>
      </c>
      <c r="C7" s="35">
        <f t="shared" si="1"/>
        <v>1894.3999999999999</v>
      </c>
      <c r="D7" s="35">
        <f t="shared" si="1"/>
        <v>1757.2</v>
      </c>
      <c r="E7" s="35">
        <f t="shared" si="1"/>
        <v>1716</v>
      </c>
      <c r="F7" s="35">
        <f t="shared" si="1"/>
        <v>1760.5</v>
      </c>
      <c r="G7" s="35">
        <f t="shared" si="1"/>
        <v>1558.6999999999998</v>
      </c>
      <c r="H7" s="35">
        <f t="shared" si="1"/>
        <v>1499.9999999999998</v>
      </c>
      <c r="I7" s="35">
        <f t="shared" si="1"/>
        <v>1516.8999999999999</v>
      </c>
      <c r="J7" s="35">
        <f t="shared" si="1"/>
        <v>1512.8999999999999</v>
      </c>
      <c r="K7" s="35">
        <f t="shared" si="1"/>
        <v>1477.7999999999997</v>
      </c>
      <c r="L7" s="35">
        <f t="shared" si="1"/>
        <v>1556.2999999999997</v>
      </c>
      <c r="M7" s="35">
        <f t="shared" si="1"/>
        <v>1621.1999999999998</v>
      </c>
      <c r="N7" s="35">
        <f t="shared" si="1"/>
        <v>1608.6</v>
      </c>
      <c r="O7" s="35">
        <f t="shared" si="1"/>
        <v>1627.2999999999997</v>
      </c>
      <c r="P7" s="35">
        <f t="shared" si="1"/>
        <v>1693.1999999999998</v>
      </c>
      <c r="Q7" s="35">
        <f t="shared" si="1"/>
        <v>252</v>
      </c>
      <c r="R7" s="35">
        <f t="shared" si="1"/>
        <v>252</v>
      </c>
      <c r="S7" s="35">
        <f t="shared" si="1"/>
        <v>252</v>
      </c>
      <c r="T7" s="35">
        <f t="shared" si="1"/>
        <v>252</v>
      </c>
      <c r="U7" s="35">
        <f t="shared" si="1"/>
        <v>252</v>
      </c>
      <c r="V7" s="35">
        <f t="shared" si="1"/>
        <v>252</v>
      </c>
      <c r="W7" s="35">
        <f t="shared" si="1"/>
        <v>252</v>
      </c>
      <c r="X7" s="35">
        <f t="shared" si="1"/>
        <v>252</v>
      </c>
      <c r="Y7" s="35">
        <f t="shared" si="1"/>
        <v>252</v>
      </c>
      <c r="Z7" s="35">
        <f t="shared" si="1"/>
        <v>252</v>
      </c>
      <c r="AA7" s="35">
        <f t="shared" si="1"/>
        <v>252</v>
      </c>
      <c r="AB7" s="35">
        <f>AB116</f>
        <v>252</v>
      </c>
      <c r="AC7" s="35">
        <f t="shared" si="1"/>
        <v>252</v>
      </c>
      <c r="AD7" s="35">
        <f t="shared" si="1"/>
        <v>252</v>
      </c>
      <c r="AE7" s="35">
        <f t="shared" si="1"/>
        <v>252</v>
      </c>
      <c r="AF7" s="35">
        <f t="shared" si="1"/>
        <v>252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6.5" thickTop="1" thickBot="1" x14ac:dyDescent="0.3">
      <c r="A8" s="38"/>
      <c r="B8" s="240" t="s">
        <v>14</v>
      </c>
      <c r="C8" s="241"/>
      <c r="D8" s="241"/>
      <c r="E8" s="241"/>
      <c r="F8" s="241"/>
      <c r="G8" s="241"/>
      <c r="H8" s="241"/>
      <c r="I8" s="241"/>
      <c r="J8" s="241"/>
      <c r="K8" s="241"/>
      <c r="L8" s="242"/>
      <c r="M8" s="233" t="s">
        <v>15</v>
      </c>
      <c r="N8" s="234"/>
      <c r="O8" s="234"/>
      <c r="P8" s="234"/>
      <c r="Q8" s="234"/>
      <c r="R8" s="235"/>
      <c r="S8" s="233" t="s">
        <v>16</v>
      </c>
      <c r="T8" s="234"/>
      <c r="U8" s="234"/>
      <c r="V8" s="234"/>
      <c r="W8" s="234"/>
      <c r="X8" s="234"/>
      <c r="Y8" s="234"/>
      <c r="Z8" s="234"/>
      <c r="AA8" s="235"/>
      <c r="AB8" s="233" t="s">
        <v>17</v>
      </c>
      <c r="AC8" s="234"/>
      <c r="AD8" s="234"/>
      <c r="AE8" s="234"/>
      <c r="AF8" s="235"/>
      <c r="AG8" s="39"/>
      <c r="AH8" s="224"/>
      <c r="AI8" s="224"/>
      <c r="AL8" s="28"/>
      <c r="AM8" s="24"/>
      <c r="AN8" s="24"/>
      <c r="AO8" s="24"/>
      <c r="AP8" s="24"/>
      <c r="AQ8" s="24"/>
      <c r="AR8" s="24"/>
      <c r="AS8" s="24"/>
      <c r="AT8" s="40" t="str">
        <f>"DAILY SYSTEM PEAK : "&amp;MAX(AM22:BJ22)&amp;" MW"</f>
        <v>DAILY SYSTEM PEAK : 2515.6 MW</v>
      </c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thickBot="1" x14ac:dyDescent="0.3">
      <c r="A9" s="236" t="s">
        <v>18</v>
      </c>
      <c r="B9" s="230">
        <v>0</v>
      </c>
      <c r="C9" s="230">
        <v>4.1666666666666664E-2</v>
      </c>
      <c r="D9" s="230">
        <v>8.3333333333333301E-2</v>
      </c>
      <c r="E9" s="230">
        <v>0.125</v>
      </c>
      <c r="F9" s="230">
        <v>0.16666666666666699</v>
      </c>
      <c r="G9" s="230">
        <v>0.20833333333333301</v>
      </c>
      <c r="H9" s="230">
        <v>0.22916666666666699</v>
      </c>
      <c r="I9" s="230">
        <v>0.25</v>
      </c>
      <c r="J9" s="230">
        <v>0.27083333333333298</v>
      </c>
      <c r="K9" s="230">
        <v>0.29166666666666702</v>
      </c>
      <c r="L9" s="230">
        <v>0.3125</v>
      </c>
      <c r="M9" s="231">
        <v>0.33333333333333298</v>
      </c>
      <c r="N9" s="231">
        <v>0.375</v>
      </c>
      <c r="O9" s="231">
        <v>0.41666666666666702</v>
      </c>
      <c r="P9" s="231">
        <v>0.45833333333333298</v>
      </c>
      <c r="Q9" s="231">
        <v>0.5</v>
      </c>
      <c r="R9" s="231">
        <v>0.54166666666666696</v>
      </c>
      <c r="S9" s="224">
        <v>0.58333333333333304</v>
      </c>
      <c r="T9" s="224">
        <v>0.625</v>
      </c>
      <c r="U9" s="224">
        <v>0.66666666666666696</v>
      </c>
      <c r="V9" s="224">
        <v>0.70833333333333304</v>
      </c>
      <c r="W9" s="224">
        <v>0.72916666666666696</v>
      </c>
      <c r="X9" s="224">
        <v>0.75</v>
      </c>
      <c r="Y9" s="224">
        <v>0.77083333333333304</v>
      </c>
      <c r="Z9" s="224">
        <v>0.79166666666666696</v>
      </c>
      <c r="AA9" s="224">
        <v>0.8125</v>
      </c>
      <c r="AB9" s="224">
        <v>0.83333333333333304</v>
      </c>
      <c r="AC9" s="224">
        <v>0.85416666666666696</v>
      </c>
      <c r="AD9" s="224">
        <v>0.875</v>
      </c>
      <c r="AE9" s="224">
        <v>0.91666666666666696</v>
      </c>
      <c r="AF9" s="224">
        <v>0.95833333333333304</v>
      </c>
      <c r="AG9" s="226" t="s">
        <v>1</v>
      </c>
      <c r="AH9" s="225"/>
      <c r="AI9" s="225"/>
      <c r="AL9" s="28"/>
      <c r="AM9" s="24"/>
      <c r="AN9" s="24"/>
      <c r="AO9" s="24"/>
      <c r="AP9" s="24"/>
      <c r="AQ9" s="24"/>
      <c r="AR9" s="24"/>
      <c r="AS9" s="24"/>
      <c r="AT9" s="40" t="str">
        <f>"DAILY NATIONAL PEAK : "&amp;MAX(AM25:BJ25)&amp;" MW"</f>
        <v>DAILY NATIONAL PEAK : 1894.4 MW</v>
      </c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6.5" thickTop="1" thickBot="1" x14ac:dyDescent="0.3">
      <c r="A10" s="237"/>
      <c r="B10" s="230"/>
      <c r="C10" s="230"/>
      <c r="D10" s="230"/>
      <c r="E10" s="230"/>
      <c r="F10" s="230"/>
      <c r="G10" s="230"/>
      <c r="H10" s="225"/>
      <c r="I10" s="225"/>
      <c r="J10" s="225"/>
      <c r="K10" s="225"/>
      <c r="L10" s="225"/>
      <c r="M10" s="232"/>
      <c r="N10" s="232"/>
      <c r="O10" s="232"/>
      <c r="P10" s="232"/>
      <c r="Q10" s="232"/>
      <c r="R10" s="232"/>
      <c r="S10" s="225"/>
      <c r="T10" s="225"/>
      <c r="U10" s="225"/>
      <c r="V10" s="225"/>
      <c r="W10" s="225"/>
      <c r="X10" s="225"/>
      <c r="Y10" s="225"/>
      <c r="Z10" s="225"/>
      <c r="AA10" s="225"/>
      <c r="AB10" s="225"/>
      <c r="AC10" s="225"/>
      <c r="AD10" s="225"/>
      <c r="AE10" s="225"/>
      <c r="AF10" s="225"/>
      <c r="AG10" s="227"/>
      <c r="AH10" s="41" t="s">
        <v>19</v>
      </c>
      <c r="AI10" s="41" t="s">
        <v>20</v>
      </c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customHeight="1" thickTop="1" x14ac:dyDescent="0.25">
      <c r="A11" s="42" t="s">
        <v>21</v>
      </c>
      <c r="B11" s="43">
        <v>90.5</v>
      </c>
      <c r="C11" s="43">
        <v>90.5</v>
      </c>
      <c r="D11" s="43">
        <v>90.5</v>
      </c>
      <c r="E11" s="43">
        <v>90.5</v>
      </c>
      <c r="F11" s="43">
        <v>90.5</v>
      </c>
      <c r="G11" s="43">
        <v>90.5</v>
      </c>
      <c r="H11" s="43">
        <v>90.5</v>
      </c>
      <c r="I11" s="43">
        <v>90.5</v>
      </c>
      <c r="J11" s="43">
        <v>90.5</v>
      </c>
      <c r="K11" s="43">
        <v>90.5</v>
      </c>
      <c r="L11" s="43">
        <v>90.5</v>
      </c>
      <c r="M11" s="43">
        <v>90.5</v>
      </c>
      <c r="N11" s="43">
        <v>90.5</v>
      </c>
      <c r="O11" s="43">
        <v>90.5</v>
      </c>
      <c r="P11" s="43">
        <v>86.6</v>
      </c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5">
        <v>86</v>
      </c>
      <c r="AH11" s="46">
        <f t="shared" ref="AH11:AH74" si="2">MAX(B11:AF11)</f>
        <v>90.5</v>
      </c>
      <c r="AI11" s="47">
        <f t="shared" ref="AI11:AI74" si="3">MIN(B11:AF11)</f>
        <v>86.6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2" t="s">
        <v>22</v>
      </c>
      <c r="B12" s="43">
        <v>90</v>
      </c>
      <c r="C12" s="43">
        <v>90</v>
      </c>
      <c r="D12" s="43">
        <v>90</v>
      </c>
      <c r="E12" s="43">
        <v>90</v>
      </c>
      <c r="F12" s="43">
        <v>90</v>
      </c>
      <c r="G12" s="43">
        <v>90</v>
      </c>
      <c r="H12" s="43">
        <v>90</v>
      </c>
      <c r="I12" s="43">
        <v>90</v>
      </c>
      <c r="J12" s="43">
        <v>90</v>
      </c>
      <c r="K12" s="43">
        <v>90</v>
      </c>
      <c r="L12" s="43">
        <v>90</v>
      </c>
      <c r="M12" s="43">
        <v>90</v>
      </c>
      <c r="N12" s="43">
        <v>90</v>
      </c>
      <c r="O12" s="43">
        <v>90</v>
      </c>
      <c r="P12" s="43">
        <v>83</v>
      </c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8">
        <v>82</v>
      </c>
      <c r="AH12" s="46">
        <f t="shared" si="2"/>
        <v>90</v>
      </c>
      <c r="AI12" s="47">
        <f t="shared" si="3"/>
        <v>83</v>
      </c>
      <c r="AK12" s="49"/>
      <c r="AL12" s="50" t="str">
        <f ca="1">MID(CELL("filename",C7),FIND("]",CELL("filename",C7))+1,600)</f>
        <v>01</v>
      </c>
      <c r="AM12" s="51"/>
      <c r="AN12" s="51"/>
      <c r="AO12" s="51"/>
      <c r="AP12" s="51"/>
      <c r="AQ12" s="51"/>
      <c r="AR12" s="51"/>
      <c r="AS12" s="51"/>
      <c r="AT12" s="51"/>
      <c r="AU12" s="51"/>
      <c r="AV12" s="51"/>
      <c r="AW12" s="51"/>
      <c r="AX12" s="51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2" t="s">
        <v>23</v>
      </c>
      <c r="B13" s="43">
        <v>19.8</v>
      </c>
      <c r="C13" s="43">
        <v>19.8</v>
      </c>
      <c r="D13" s="43">
        <v>0</v>
      </c>
      <c r="E13" s="43">
        <v>0</v>
      </c>
      <c r="F13" s="43">
        <v>25</v>
      </c>
      <c r="G13" s="43">
        <v>10.4</v>
      </c>
      <c r="H13" s="43">
        <v>10.4</v>
      </c>
      <c r="I13" s="43">
        <v>10.4</v>
      </c>
      <c r="J13" s="43">
        <v>10.4</v>
      </c>
      <c r="K13" s="43">
        <v>10.4</v>
      </c>
      <c r="L13" s="43">
        <v>10.4</v>
      </c>
      <c r="M13" s="43">
        <v>10.4</v>
      </c>
      <c r="N13" s="43">
        <v>10.4</v>
      </c>
      <c r="O13" s="43">
        <v>10.4</v>
      </c>
      <c r="P13" s="43">
        <v>47</v>
      </c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8">
        <v>78</v>
      </c>
      <c r="AH13" s="46">
        <f t="shared" si="2"/>
        <v>47</v>
      </c>
      <c r="AI13" s="47">
        <f t="shared" si="3"/>
        <v>0</v>
      </c>
      <c r="AK13" s="49"/>
      <c r="AL13" s="50" t="str">
        <f ca="1">"Daily Load Curve(Excluding of Export) of Nepal ("&amp;A4&amp;" "&amp;B4&amp;")"</f>
        <v>Daily Load Curve(Excluding of Export) of Nepal (Nepali Date: 2080/10/1)</v>
      </c>
      <c r="AM13" s="51"/>
      <c r="AN13" s="51"/>
      <c r="AO13" s="51"/>
      <c r="AP13" s="51"/>
      <c r="AQ13" s="51"/>
      <c r="AR13" s="51"/>
      <c r="AS13" s="51"/>
      <c r="AT13" s="51"/>
      <c r="AU13" s="51"/>
      <c r="AV13" s="51"/>
      <c r="AW13" s="51"/>
      <c r="AX13" s="51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ht="15.75" thickBot="1" x14ac:dyDescent="0.3">
      <c r="A14" s="42" t="s">
        <v>24</v>
      </c>
      <c r="B14" s="43">
        <v>0</v>
      </c>
      <c r="C14" s="43">
        <v>0</v>
      </c>
      <c r="D14" s="43">
        <v>0</v>
      </c>
      <c r="E14" s="43">
        <v>0</v>
      </c>
      <c r="F14" s="43">
        <v>0</v>
      </c>
      <c r="G14" s="43">
        <v>0</v>
      </c>
      <c r="H14" s="43">
        <v>0</v>
      </c>
      <c r="I14" s="43">
        <v>0</v>
      </c>
      <c r="J14" s="43">
        <v>0</v>
      </c>
      <c r="K14" s="43">
        <v>0</v>
      </c>
      <c r="L14" s="43">
        <v>0</v>
      </c>
      <c r="M14" s="43">
        <v>0</v>
      </c>
      <c r="N14" s="43">
        <v>0</v>
      </c>
      <c r="O14" s="43">
        <v>0</v>
      </c>
      <c r="P14" s="43">
        <v>0</v>
      </c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8">
        <v>77</v>
      </c>
      <c r="AH14" s="46">
        <f t="shared" si="2"/>
        <v>0</v>
      </c>
      <c r="AI14" s="47">
        <f t="shared" si="3"/>
        <v>0</v>
      </c>
      <c r="AK14" s="49"/>
      <c r="AL14" s="51"/>
      <c r="AM14" s="51"/>
      <c r="AN14" s="51"/>
      <c r="AO14" s="51"/>
      <c r="AP14" s="51"/>
      <c r="AQ14" s="51"/>
      <c r="AR14" s="51"/>
      <c r="AS14" s="51"/>
      <c r="AT14" s="51"/>
      <c r="AU14" s="51"/>
      <c r="AV14" s="51"/>
      <c r="AW14" s="51"/>
      <c r="AX14" s="51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ht="15.75" thickTop="1" x14ac:dyDescent="0.25">
      <c r="A15" s="42" t="s">
        <v>25</v>
      </c>
      <c r="B15" s="43">
        <v>73.8</v>
      </c>
      <c r="C15" s="43">
        <v>73.8</v>
      </c>
      <c r="D15" s="43">
        <v>73.8</v>
      </c>
      <c r="E15" s="43">
        <v>73.8</v>
      </c>
      <c r="F15" s="43">
        <v>73.8</v>
      </c>
      <c r="G15" s="43">
        <v>73.8</v>
      </c>
      <c r="H15" s="43">
        <v>73.8</v>
      </c>
      <c r="I15" s="43">
        <v>73.8</v>
      </c>
      <c r="J15" s="43">
        <v>73.8</v>
      </c>
      <c r="K15" s="43">
        <v>73.8</v>
      </c>
      <c r="L15" s="43">
        <v>73.8</v>
      </c>
      <c r="M15" s="43">
        <v>73.8</v>
      </c>
      <c r="N15" s="43">
        <v>73.8</v>
      </c>
      <c r="O15" s="43">
        <v>73.8</v>
      </c>
      <c r="P15" s="43">
        <v>73.8</v>
      </c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8">
        <v>73</v>
      </c>
      <c r="AH15" s="46">
        <f t="shared" si="2"/>
        <v>73.8</v>
      </c>
      <c r="AI15" s="47">
        <f t="shared" si="3"/>
        <v>73.8</v>
      </c>
      <c r="AK15" s="49"/>
      <c r="AL15" s="52" t="s">
        <v>26</v>
      </c>
      <c r="AM15" s="53">
        <v>0</v>
      </c>
      <c r="AN15" s="54">
        <v>4.1666666666666699E-2</v>
      </c>
      <c r="AO15" s="55">
        <v>8.3333333333333301E-2</v>
      </c>
      <c r="AP15" s="55">
        <v>0.125</v>
      </c>
      <c r="AQ15" s="55">
        <v>0.16666666666666699</v>
      </c>
      <c r="AR15" s="55">
        <v>0.20833333333333301</v>
      </c>
      <c r="AS15" s="55">
        <v>0.25</v>
      </c>
      <c r="AT15" s="55">
        <v>0.29166666666666702</v>
      </c>
      <c r="AU15" s="56">
        <v>0.33333333333333298</v>
      </c>
      <c r="AV15" s="56">
        <v>0.375</v>
      </c>
      <c r="AW15" s="56">
        <v>0.41666666666666702</v>
      </c>
      <c r="AX15" s="56">
        <v>0.45833333333333298</v>
      </c>
      <c r="AY15" s="56">
        <v>0.5</v>
      </c>
      <c r="AZ15" s="56">
        <v>0.54166666666666596</v>
      </c>
      <c r="BA15" s="56">
        <v>0.58333333333333304</v>
      </c>
      <c r="BB15" s="56">
        <v>0.625</v>
      </c>
      <c r="BC15" s="56">
        <v>0.66666666666666596</v>
      </c>
      <c r="BD15" s="56">
        <v>0.70833333333333304</v>
      </c>
      <c r="BE15" s="56">
        <v>0.75</v>
      </c>
      <c r="BF15" s="56">
        <v>0.79166666666666596</v>
      </c>
      <c r="BG15" s="56">
        <v>0.83333333333333304</v>
      </c>
      <c r="BH15" s="56">
        <v>0.875</v>
      </c>
      <c r="BI15" s="56">
        <v>0.91666666666666596</v>
      </c>
      <c r="BJ15" s="56">
        <v>0.95833333333333304</v>
      </c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2" t="s">
        <v>27</v>
      </c>
      <c r="B16" s="43">
        <v>57.2</v>
      </c>
      <c r="C16" s="43">
        <v>57.2</v>
      </c>
      <c r="D16" s="43">
        <v>45.5</v>
      </c>
      <c r="E16" s="43">
        <v>45.5</v>
      </c>
      <c r="F16" s="43">
        <v>45.5</v>
      </c>
      <c r="G16" s="43">
        <v>45.5</v>
      </c>
      <c r="H16" s="43">
        <v>45.5</v>
      </c>
      <c r="I16" s="43">
        <v>45.5</v>
      </c>
      <c r="J16" s="43">
        <v>45.5</v>
      </c>
      <c r="K16" s="43">
        <v>45.5</v>
      </c>
      <c r="L16" s="43">
        <v>45.5</v>
      </c>
      <c r="M16" s="43">
        <v>45.5</v>
      </c>
      <c r="N16" s="43">
        <v>45.5</v>
      </c>
      <c r="O16" s="43">
        <v>45.5</v>
      </c>
      <c r="P16" s="43">
        <v>52</v>
      </c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8">
        <v>71</v>
      </c>
      <c r="AH16" s="46">
        <f t="shared" si="2"/>
        <v>57.2</v>
      </c>
      <c r="AI16" s="47">
        <f t="shared" si="3"/>
        <v>45.5</v>
      </c>
      <c r="AK16" s="49"/>
      <c r="AL16" s="52" t="s">
        <v>7</v>
      </c>
      <c r="AM16" s="57">
        <f t="shared" ref="AM16:AR16" si="4">B71</f>
        <v>1534.1999999999998</v>
      </c>
      <c r="AN16" s="57">
        <f t="shared" si="4"/>
        <v>1534.1999999999998</v>
      </c>
      <c r="AO16" s="57">
        <f t="shared" si="4"/>
        <v>1343.3999999999999</v>
      </c>
      <c r="AP16" s="57">
        <f t="shared" si="4"/>
        <v>1343.3999999999999</v>
      </c>
      <c r="AQ16" s="57">
        <f t="shared" si="4"/>
        <v>1389.8999999999999</v>
      </c>
      <c r="AR16" s="57">
        <f t="shared" si="4"/>
        <v>1275.2999999999997</v>
      </c>
      <c r="AS16" s="57">
        <f>I71</f>
        <v>1283.2999999999997</v>
      </c>
      <c r="AT16" s="57">
        <f>K71</f>
        <v>1283.2999999999997</v>
      </c>
      <c r="AU16" s="57">
        <f t="shared" ref="AU16:BD16" si="5">M71</f>
        <v>1348.7999999999997</v>
      </c>
      <c r="AV16" s="57">
        <f t="shared" si="5"/>
        <v>1348.7999999999997</v>
      </c>
      <c r="AW16" s="57">
        <f t="shared" si="5"/>
        <v>1348.7999999999997</v>
      </c>
      <c r="AX16" s="57">
        <f t="shared" si="5"/>
        <v>1407.4999999999998</v>
      </c>
      <c r="AY16" s="57">
        <f t="shared" si="5"/>
        <v>250</v>
      </c>
      <c r="AZ16" s="57">
        <f t="shared" si="5"/>
        <v>250</v>
      </c>
      <c r="BA16" s="57">
        <f t="shared" si="5"/>
        <v>250</v>
      </c>
      <c r="BB16" s="57">
        <f t="shared" si="5"/>
        <v>250</v>
      </c>
      <c r="BC16" s="57">
        <f t="shared" si="5"/>
        <v>250</v>
      </c>
      <c r="BD16" s="57">
        <f t="shared" si="5"/>
        <v>250</v>
      </c>
      <c r="BE16" s="58">
        <f>X71</f>
        <v>250</v>
      </c>
      <c r="BF16" s="58">
        <f>Z71</f>
        <v>250</v>
      </c>
      <c r="BG16" s="58">
        <f>AB71</f>
        <v>250</v>
      </c>
      <c r="BH16" s="58">
        <f>AD71</f>
        <v>250</v>
      </c>
      <c r="BI16" s="58">
        <f>AE71</f>
        <v>250</v>
      </c>
      <c r="BJ16" s="58">
        <f>AF71</f>
        <v>250</v>
      </c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2" t="s">
        <v>28</v>
      </c>
      <c r="B17" s="44">
        <v>27.8</v>
      </c>
      <c r="C17" s="44">
        <v>27.8</v>
      </c>
      <c r="D17" s="44">
        <v>27.8</v>
      </c>
      <c r="E17" s="44">
        <v>27.8</v>
      </c>
      <c r="F17" s="44">
        <v>27.8</v>
      </c>
      <c r="G17" s="44">
        <v>27.8</v>
      </c>
      <c r="H17" s="44">
        <v>27.8</v>
      </c>
      <c r="I17" s="44">
        <v>27.8</v>
      </c>
      <c r="J17" s="44">
        <v>27.8</v>
      </c>
      <c r="K17" s="44">
        <v>27.8</v>
      </c>
      <c r="L17" s="44">
        <v>27.8</v>
      </c>
      <c r="M17" s="44">
        <v>27.8</v>
      </c>
      <c r="N17" s="44">
        <v>27.8</v>
      </c>
      <c r="O17" s="44">
        <v>27.8</v>
      </c>
      <c r="P17" s="44">
        <v>34</v>
      </c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5">
        <v>54</v>
      </c>
      <c r="AH17" s="46">
        <f t="shared" si="2"/>
        <v>34</v>
      </c>
      <c r="AI17" s="47">
        <f t="shared" si="3"/>
        <v>27.8</v>
      </c>
      <c r="AK17" s="49"/>
      <c r="AL17" s="52" t="s">
        <v>29</v>
      </c>
      <c r="AM17" s="57">
        <f t="shared" ref="AM17:AR17" si="6">B78</f>
        <v>581.30000000000007</v>
      </c>
      <c r="AN17" s="57">
        <f t="shared" si="6"/>
        <v>581.30000000000007</v>
      </c>
      <c r="AO17" s="57">
        <f t="shared" si="6"/>
        <v>353.20000000000005</v>
      </c>
      <c r="AP17" s="57">
        <f t="shared" si="6"/>
        <v>377.20000000000005</v>
      </c>
      <c r="AQ17" s="57">
        <f t="shared" si="6"/>
        <v>377.20000000000005</v>
      </c>
      <c r="AR17" s="57">
        <f t="shared" si="6"/>
        <v>366</v>
      </c>
      <c r="AS17" s="57">
        <f>I78</f>
        <v>360.5</v>
      </c>
      <c r="AT17" s="57">
        <f>K78</f>
        <v>390.6</v>
      </c>
      <c r="AU17" s="57">
        <f t="shared" ref="AU17:BD17" si="7">M78</f>
        <v>425.1</v>
      </c>
      <c r="AV17" s="57">
        <f t="shared" si="7"/>
        <v>425.1</v>
      </c>
      <c r="AW17" s="57">
        <f t="shared" si="7"/>
        <v>425.1</v>
      </c>
      <c r="AX17" s="57">
        <f t="shared" si="7"/>
        <v>425.1</v>
      </c>
      <c r="AY17" s="57">
        <f t="shared" si="7"/>
        <v>0</v>
      </c>
      <c r="AZ17" s="57">
        <f t="shared" si="7"/>
        <v>0</v>
      </c>
      <c r="BA17" s="57">
        <f t="shared" si="7"/>
        <v>0</v>
      </c>
      <c r="BB17" s="57">
        <f t="shared" si="7"/>
        <v>0</v>
      </c>
      <c r="BC17" s="57">
        <f t="shared" si="7"/>
        <v>0</v>
      </c>
      <c r="BD17" s="57">
        <f t="shared" si="7"/>
        <v>0</v>
      </c>
      <c r="BE17" s="58">
        <f>X78</f>
        <v>0</v>
      </c>
      <c r="BF17" s="58">
        <f>Z78</f>
        <v>0</v>
      </c>
      <c r="BG17" s="58">
        <f>AB78</f>
        <v>0</v>
      </c>
      <c r="BH17" s="58">
        <f>AD78</f>
        <v>0</v>
      </c>
      <c r="BI17" s="58">
        <f>AE78</f>
        <v>0</v>
      </c>
      <c r="BJ17" s="58">
        <f>AF78</f>
        <v>0</v>
      </c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2" t="s">
        <v>30</v>
      </c>
      <c r="B18" s="44">
        <v>0</v>
      </c>
      <c r="C18" s="44">
        <v>0</v>
      </c>
      <c r="D18" s="44">
        <v>0</v>
      </c>
      <c r="E18" s="44">
        <v>0</v>
      </c>
      <c r="F18" s="44">
        <v>0</v>
      </c>
      <c r="G18" s="44">
        <v>0</v>
      </c>
      <c r="H18" s="44">
        <v>0</v>
      </c>
      <c r="I18" s="44">
        <v>0</v>
      </c>
      <c r="J18" s="44">
        <v>0</v>
      </c>
      <c r="K18" s="44">
        <v>0</v>
      </c>
      <c r="L18" s="44">
        <v>0</v>
      </c>
      <c r="M18" s="44">
        <v>21.5</v>
      </c>
      <c r="N18" s="44">
        <v>21.5</v>
      </c>
      <c r="O18" s="44">
        <v>21.5</v>
      </c>
      <c r="P18" s="44">
        <v>21.5</v>
      </c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8">
        <v>52.465000000000003</v>
      </c>
      <c r="AH18" s="46">
        <f t="shared" si="2"/>
        <v>21.5</v>
      </c>
      <c r="AI18" s="47">
        <f t="shared" si="3"/>
        <v>0</v>
      </c>
      <c r="AK18" s="49"/>
      <c r="AL18" s="52" t="s">
        <v>31</v>
      </c>
      <c r="AM18" s="57">
        <f t="shared" ref="AM18:AR18" si="8">B92</f>
        <v>396.50000000000006</v>
      </c>
      <c r="AN18" s="57">
        <f t="shared" si="8"/>
        <v>396.50000000000006</v>
      </c>
      <c r="AO18" s="57">
        <f t="shared" si="8"/>
        <v>398.40000000000009</v>
      </c>
      <c r="AP18" s="57">
        <f t="shared" si="8"/>
        <v>398.40000000000009</v>
      </c>
      <c r="AQ18" s="57">
        <f t="shared" si="8"/>
        <v>398.40000000000009</v>
      </c>
      <c r="AR18" s="57">
        <f t="shared" si="8"/>
        <v>398.40000000000009</v>
      </c>
      <c r="AS18" s="57">
        <f>I92</f>
        <v>398.40000000000009</v>
      </c>
      <c r="AT18" s="57">
        <f>K92</f>
        <v>399.00000000000011</v>
      </c>
      <c r="AU18" s="57">
        <f t="shared" ref="AU18:BD18" si="9">M92</f>
        <v>399.30000000000007</v>
      </c>
      <c r="AV18" s="57">
        <f t="shared" si="9"/>
        <v>399.7000000000001</v>
      </c>
      <c r="AW18" s="57">
        <f t="shared" si="9"/>
        <v>403.40000000000009</v>
      </c>
      <c r="AX18" s="57">
        <f t="shared" si="9"/>
        <v>404.60000000000014</v>
      </c>
      <c r="AY18" s="57">
        <f t="shared" si="9"/>
        <v>2</v>
      </c>
      <c r="AZ18" s="57">
        <f t="shared" si="9"/>
        <v>2</v>
      </c>
      <c r="BA18" s="57">
        <f t="shared" si="9"/>
        <v>2</v>
      </c>
      <c r="BB18" s="57">
        <f t="shared" si="9"/>
        <v>2</v>
      </c>
      <c r="BC18" s="57">
        <f t="shared" si="9"/>
        <v>2</v>
      </c>
      <c r="BD18" s="57">
        <f t="shared" si="9"/>
        <v>2</v>
      </c>
      <c r="BE18" s="58">
        <f>X92</f>
        <v>2</v>
      </c>
      <c r="BF18" s="58">
        <f>Z92</f>
        <v>2</v>
      </c>
      <c r="BG18" s="58">
        <f>AB92</f>
        <v>2</v>
      </c>
      <c r="BH18" s="58">
        <f>AD92</f>
        <v>2</v>
      </c>
      <c r="BI18" s="58">
        <f>AE92</f>
        <v>2</v>
      </c>
      <c r="BJ18" s="58">
        <f>AF92</f>
        <v>2</v>
      </c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2" t="s">
        <v>32</v>
      </c>
      <c r="B19" s="44">
        <v>54.2</v>
      </c>
      <c r="C19" s="44">
        <v>54.2</v>
      </c>
      <c r="D19" s="44">
        <v>26.7</v>
      </c>
      <c r="E19" s="44">
        <v>26.7</v>
      </c>
      <c r="F19" s="44">
        <v>26.7</v>
      </c>
      <c r="G19" s="44">
        <v>26.7</v>
      </c>
      <c r="H19" s="44">
        <v>26.7</v>
      </c>
      <c r="I19" s="44">
        <v>26.7</v>
      </c>
      <c r="J19" s="44">
        <v>26.7</v>
      </c>
      <c r="K19" s="44">
        <v>26.7</v>
      </c>
      <c r="L19" s="44">
        <v>26.7</v>
      </c>
      <c r="M19" s="44">
        <v>26.7</v>
      </c>
      <c r="N19" s="44">
        <v>26.7</v>
      </c>
      <c r="O19" s="44">
        <v>26.7</v>
      </c>
      <c r="P19" s="44">
        <v>42.6</v>
      </c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8">
        <v>52.4</v>
      </c>
      <c r="AH19" s="46">
        <f t="shared" si="2"/>
        <v>54.2</v>
      </c>
      <c r="AI19" s="47">
        <f t="shared" si="3"/>
        <v>26.7</v>
      </c>
      <c r="AK19" s="49"/>
      <c r="AL19" s="52" t="s">
        <v>33</v>
      </c>
      <c r="AM19" s="57">
        <f t="shared" ref="AM19:AR19" si="10">B108</f>
        <v>3.6</v>
      </c>
      <c r="AN19" s="57">
        <f t="shared" si="10"/>
        <v>3.6</v>
      </c>
      <c r="AO19" s="57">
        <f t="shared" si="10"/>
        <v>24</v>
      </c>
      <c r="AP19" s="57">
        <f t="shared" si="10"/>
        <v>2</v>
      </c>
      <c r="AQ19" s="57">
        <f t="shared" si="10"/>
        <v>0</v>
      </c>
      <c r="AR19" s="57">
        <f t="shared" si="10"/>
        <v>0</v>
      </c>
      <c r="AS19" s="57">
        <f>I108</f>
        <v>0</v>
      </c>
      <c r="AT19" s="57">
        <f>K108</f>
        <v>0</v>
      </c>
      <c r="AU19" s="57">
        <f t="shared" ref="AU19:BD19" si="11">M108</f>
        <v>0</v>
      </c>
      <c r="AV19" s="57">
        <f t="shared" si="11"/>
        <v>0</v>
      </c>
      <c r="AW19" s="57">
        <f t="shared" si="11"/>
        <v>0</v>
      </c>
      <c r="AX19" s="57">
        <f t="shared" si="11"/>
        <v>0</v>
      </c>
      <c r="AY19" s="57">
        <f t="shared" si="11"/>
        <v>0</v>
      </c>
      <c r="AZ19" s="57">
        <f t="shared" si="11"/>
        <v>0</v>
      </c>
      <c r="BA19" s="57">
        <f t="shared" si="11"/>
        <v>0</v>
      </c>
      <c r="BB19" s="57">
        <f t="shared" si="11"/>
        <v>0</v>
      </c>
      <c r="BC19" s="57">
        <f t="shared" si="11"/>
        <v>0</v>
      </c>
      <c r="BD19" s="57">
        <f t="shared" si="11"/>
        <v>0</v>
      </c>
      <c r="BE19" s="58">
        <f>X108</f>
        <v>0</v>
      </c>
      <c r="BF19" s="58">
        <f>Z108</f>
        <v>0</v>
      </c>
      <c r="BG19" s="58">
        <f>AB108</f>
        <v>0</v>
      </c>
      <c r="BH19" s="58">
        <f>AD108</f>
        <v>0</v>
      </c>
      <c r="BI19" s="58">
        <f>AE108</f>
        <v>0</v>
      </c>
      <c r="BJ19" s="58">
        <f>AF108</f>
        <v>0</v>
      </c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2" t="s">
        <v>34</v>
      </c>
      <c r="B20" s="44">
        <v>0</v>
      </c>
      <c r="C20" s="44">
        <v>0</v>
      </c>
      <c r="D20" s="44">
        <v>0</v>
      </c>
      <c r="E20" s="44">
        <v>0</v>
      </c>
      <c r="F20" s="44">
        <v>0</v>
      </c>
      <c r="G20" s="44">
        <v>0</v>
      </c>
      <c r="H20" s="44">
        <v>0</v>
      </c>
      <c r="I20" s="44">
        <v>0</v>
      </c>
      <c r="J20" s="44">
        <v>0</v>
      </c>
      <c r="K20" s="44">
        <v>0</v>
      </c>
      <c r="L20" s="44">
        <v>0</v>
      </c>
      <c r="M20" s="44">
        <v>0</v>
      </c>
      <c r="N20" s="44">
        <v>0</v>
      </c>
      <c r="O20" s="44">
        <v>0</v>
      </c>
      <c r="P20" s="44">
        <v>0</v>
      </c>
      <c r="Q20" s="44"/>
      <c r="R20" s="44"/>
      <c r="S20" s="44"/>
      <c r="T20" s="44"/>
      <c r="U20" s="44"/>
      <c r="V20" s="44"/>
      <c r="W20" s="44"/>
      <c r="X20" s="44"/>
      <c r="Y20" s="44"/>
      <c r="Z20" s="44"/>
      <c r="AA20" s="44"/>
      <c r="AB20" s="44"/>
      <c r="AC20" s="44"/>
      <c r="AD20" s="44"/>
      <c r="AE20" s="44"/>
      <c r="AF20" s="44"/>
      <c r="AG20" s="48">
        <v>50</v>
      </c>
      <c r="AH20" s="46">
        <f t="shared" si="2"/>
        <v>0</v>
      </c>
      <c r="AI20" s="47">
        <f t="shared" si="3"/>
        <v>0</v>
      </c>
      <c r="AK20" s="49"/>
      <c r="AL20" s="52" t="s">
        <v>35</v>
      </c>
      <c r="AM20" s="57">
        <f t="shared" ref="AM20:AR20" si="12">B96</f>
        <v>0</v>
      </c>
      <c r="AN20" s="57">
        <f t="shared" si="12"/>
        <v>0</v>
      </c>
      <c r="AO20" s="57">
        <f t="shared" si="12"/>
        <v>0</v>
      </c>
      <c r="AP20" s="57">
        <f t="shared" si="12"/>
        <v>0</v>
      </c>
      <c r="AQ20" s="57">
        <f t="shared" si="12"/>
        <v>0</v>
      </c>
      <c r="AR20" s="57">
        <f t="shared" si="12"/>
        <v>0</v>
      </c>
      <c r="AS20" s="57">
        <f>I96</f>
        <v>0</v>
      </c>
      <c r="AT20" s="57">
        <f>K96</f>
        <v>0</v>
      </c>
      <c r="AU20" s="57">
        <f t="shared" ref="AU20:BD20" si="13">M96</f>
        <v>0</v>
      </c>
      <c r="AV20" s="57">
        <f t="shared" si="13"/>
        <v>0</v>
      </c>
      <c r="AW20" s="57">
        <f t="shared" si="13"/>
        <v>0</v>
      </c>
      <c r="AX20" s="57">
        <f t="shared" si="13"/>
        <v>0</v>
      </c>
      <c r="AY20" s="57">
        <f t="shared" si="13"/>
        <v>0</v>
      </c>
      <c r="AZ20" s="57">
        <f t="shared" si="13"/>
        <v>0</v>
      </c>
      <c r="BA20" s="57">
        <f t="shared" si="13"/>
        <v>0</v>
      </c>
      <c r="BB20" s="57">
        <f t="shared" si="13"/>
        <v>0</v>
      </c>
      <c r="BC20" s="57">
        <f t="shared" si="13"/>
        <v>0</v>
      </c>
      <c r="BD20" s="57">
        <f t="shared" si="13"/>
        <v>0</v>
      </c>
      <c r="BE20" s="58">
        <f>X96</f>
        <v>0</v>
      </c>
      <c r="BF20" s="58">
        <f>Z96</f>
        <v>0</v>
      </c>
      <c r="BG20" s="58">
        <f>AB96</f>
        <v>0</v>
      </c>
      <c r="BH20" s="58">
        <f>AD96</f>
        <v>0</v>
      </c>
      <c r="BI20" s="58">
        <f>AE96</f>
        <v>0</v>
      </c>
      <c r="BJ20" s="58">
        <f>AF96</f>
        <v>0</v>
      </c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2" t="s">
        <v>36</v>
      </c>
      <c r="B21" s="44">
        <v>45.9</v>
      </c>
      <c r="C21" s="44">
        <v>45.9</v>
      </c>
      <c r="D21" s="44">
        <v>26</v>
      </c>
      <c r="E21" s="44">
        <v>26</v>
      </c>
      <c r="F21" s="44">
        <v>26</v>
      </c>
      <c r="G21" s="44">
        <v>26</v>
      </c>
      <c r="H21" s="44">
        <v>26</v>
      </c>
      <c r="I21" s="44">
        <v>26</v>
      </c>
      <c r="J21" s="44">
        <v>26</v>
      </c>
      <c r="K21" s="44">
        <v>26</v>
      </c>
      <c r="L21" s="44">
        <v>26</v>
      </c>
      <c r="M21" s="44">
        <v>26</v>
      </c>
      <c r="N21" s="44">
        <v>26</v>
      </c>
      <c r="O21" s="44">
        <v>26</v>
      </c>
      <c r="P21" s="44">
        <v>26</v>
      </c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/>
      <c r="AB21" s="44"/>
      <c r="AC21" s="44"/>
      <c r="AD21" s="44"/>
      <c r="AE21" s="44"/>
      <c r="AF21" s="44"/>
      <c r="AG21" s="48">
        <v>45</v>
      </c>
      <c r="AH21" s="46">
        <f t="shared" si="2"/>
        <v>45.9</v>
      </c>
      <c r="AI21" s="47">
        <f t="shared" si="3"/>
        <v>26</v>
      </c>
      <c r="AK21" s="49"/>
      <c r="AL21" s="52" t="s">
        <v>37</v>
      </c>
      <c r="AM21" s="57">
        <f t="shared" ref="AM21:AR21" si="14">B114</f>
        <v>0</v>
      </c>
      <c r="AN21" s="57">
        <f t="shared" si="14"/>
        <v>0</v>
      </c>
      <c r="AO21" s="57">
        <f t="shared" si="14"/>
        <v>0</v>
      </c>
      <c r="AP21" s="57">
        <f t="shared" si="14"/>
        <v>0</v>
      </c>
      <c r="AQ21" s="57">
        <f t="shared" si="14"/>
        <v>0</v>
      </c>
      <c r="AR21" s="57">
        <f t="shared" si="14"/>
        <v>0</v>
      </c>
      <c r="AS21" s="57">
        <f>I114</f>
        <v>0</v>
      </c>
      <c r="AT21" s="57">
        <f>K114</f>
        <v>0</v>
      </c>
      <c r="AU21" s="57">
        <f t="shared" ref="AU21:BD21" si="15">M114</f>
        <v>0</v>
      </c>
      <c r="AV21" s="57">
        <f t="shared" si="15"/>
        <v>0</v>
      </c>
      <c r="AW21" s="57">
        <f t="shared" si="15"/>
        <v>0</v>
      </c>
      <c r="AX21" s="57">
        <f t="shared" si="15"/>
        <v>0</v>
      </c>
      <c r="AY21" s="57">
        <f t="shared" si="15"/>
        <v>0</v>
      </c>
      <c r="AZ21" s="57">
        <f t="shared" si="15"/>
        <v>0</v>
      </c>
      <c r="BA21" s="57">
        <f t="shared" si="15"/>
        <v>0</v>
      </c>
      <c r="BB21" s="57">
        <f t="shared" si="15"/>
        <v>0</v>
      </c>
      <c r="BC21" s="57">
        <f t="shared" si="15"/>
        <v>0</v>
      </c>
      <c r="BD21" s="57">
        <f t="shared" si="15"/>
        <v>0</v>
      </c>
      <c r="BE21" s="58">
        <f>X114</f>
        <v>0</v>
      </c>
      <c r="BF21" s="58">
        <f>Z114</f>
        <v>0</v>
      </c>
      <c r="BG21" s="58">
        <f>AB114</f>
        <v>0</v>
      </c>
      <c r="BH21" s="58">
        <f>AD114</f>
        <v>0</v>
      </c>
      <c r="BI21" s="58">
        <f>AE114</f>
        <v>0</v>
      </c>
      <c r="BJ21" s="58">
        <f>AF114</f>
        <v>0</v>
      </c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2" t="s">
        <v>38</v>
      </c>
      <c r="B22" s="44">
        <v>31.6</v>
      </c>
      <c r="C22" s="44">
        <v>31.6</v>
      </c>
      <c r="D22" s="44">
        <v>27.2</v>
      </c>
      <c r="E22" s="44">
        <v>27.2</v>
      </c>
      <c r="F22" s="44">
        <v>27.2</v>
      </c>
      <c r="G22" s="44">
        <v>27.2</v>
      </c>
      <c r="H22" s="44">
        <v>27.2</v>
      </c>
      <c r="I22" s="44">
        <v>27.2</v>
      </c>
      <c r="J22" s="44">
        <v>27.2</v>
      </c>
      <c r="K22" s="44">
        <v>27.2</v>
      </c>
      <c r="L22" s="44">
        <v>27.2</v>
      </c>
      <c r="M22" s="44">
        <v>27.2</v>
      </c>
      <c r="N22" s="44">
        <v>27.2</v>
      </c>
      <c r="O22" s="44">
        <v>27.2</v>
      </c>
      <c r="P22" s="44">
        <v>27.2</v>
      </c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4"/>
      <c r="AE22" s="44"/>
      <c r="AF22" s="44"/>
      <c r="AG22" s="48">
        <v>44</v>
      </c>
      <c r="AH22" s="46">
        <f t="shared" si="2"/>
        <v>31.6</v>
      </c>
      <c r="AI22" s="47">
        <f t="shared" si="3"/>
        <v>27.2</v>
      </c>
      <c r="AK22" s="49"/>
      <c r="AL22" s="59" t="s">
        <v>39</v>
      </c>
      <c r="AM22" s="60">
        <f t="shared" ref="AM22:BJ22" si="16">SUM(AM16:AM21)</f>
        <v>2515.6</v>
      </c>
      <c r="AN22" s="60">
        <f t="shared" si="16"/>
        <v>2515.6</v>
      </c>
      <c r="AO22" s="60">
        <f t="shared" si="16"/>
        <v>2119</v>
      </c>
      <c r="AP22" s="60">
        <f t="shared" si="16"/>
        <v>2121</v>
      </c>
      <c r="AQ22" s="60">
        <f t="shared" si="16"/>
        <v>2165.5</v>
      </c>
      <c r="AR22" s="60">
        <f t="shared" si="16"/>
        <v>2039.6999999999998</v>
      </c>
      <c r="AS22" s="60">
        <f t="shared" si="16"/>
        <v>2042.1999999999998</v>
      </c>
      <c r="AT22" s="60">
        <f t="shared" si="16"/>
        <v>2072.8999999999996</v>
      </c>
      <c r="AU22" s="60">
        <f t="shared" si="16"/>
        <v>2173.1999999999998</v>
      </c>
      <c r="AV22" s="60">
        <f t="shared" si="16"/>
        <v>2173.6</v>
      </c>
      <c r="AW22" s="60">
        <f t="shared" si="16"/>
        <v>2177.2999999999997</v>
      </c>
      <c r="AX22" s="60">
        <f t="shared" si="16"/>
        <v>2237.1999999999998</v>
      </c>
      <c r="AY22" s="60">
        <f t="shared" si="16"/>
        <v>252</v>
      </c>
      <c r="AZ22" s="60">
        <f t="shared" si="16"/>
        <v>252</v>
      </c>
      <c r="BA22" s="60">
        <f t="shared" si="16"/>
        <v>252</v>
      </c>
      <c r="BB22" s="60">
        <f t="shared" si="16"/>
        <v>252</v>
      </c>
      <c r="BC22" s="60">
        <f t="shared" si="16"/>
        <v>252</v>
      </c>
      <c r="BD22" s="60">
        <f t="shared" si="16"/>
        <v>252</v>
      </c>
      <c r="BE22" s="60">
        <f t="shared" si="16"/>
        <v>252</v>
      </c>
      <c r="BF22" s="60">
        <f t="shared" si="16"/>
        <v>252</v>
      </c>
      <c r="BG22" s="60">
        <f t="shared" si="16"/>
        <v>252</v>
      </c>
      <c r="BH22" s="60">
        <f t="shared" si="16"/>
        <v>252</v>
      </c>
      <c r="BI22" s="60">
        <f t="shared" si="16"/>
        <v>252</v>
      </c>
      <c r="BJ22" s="60">
        <f t="shared" si="16"/>
        <v>252</v>
      </c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2" t="s">
        <v>40</v>
      </c>
      <c r="B23" s="44">
        <v>35</v>
      </c>
      <c r="C23" s="44">
        <v>35</v>
      </c>
      <c r="D23" s="44">
        <v>27</v>
      </c>
      <c r="E23" s="44">
        <v>27</v>
      </c>
      <c r="F23" s="44">
        <v>27</v>
      </c>
      <c r="G23" s="44">
        <v>27</v>
      </c>
      <c r="H23" s="44">
        <v>27</v>
      </c>
      <c r="I23" s="44">
        <v>27</v>
      </c>
      <c r="J23" s="44">
        <v>27</v>
      </c>
      <c r="K23" s="44">
        <v>27</v>
      </c>
      <c r="L23" s="44">
        <v>27</v>
      </c>
      <c r="M23" s="44">
        <v>27</v>
      </c>
      <c r="N23" s="44">
        <v>27</v>
      </c>
      <c r="O23" s="44">
        <v>27</v>
      </c>
      <c r="P23" s="44">
        <v>31</v>
      </c>
      <c r="Q23" s="44"/>
      <c r="R23" s="44"/>
      <c r="S23" s="44"/>
      <c r="T23" s="44"/>
      <c r="U23" s="44"/>
      <c r="V23" s="44"/>
      <c r="W23" s="44"/>
      <c r="X23" s="44"/>
      <c r="Y23" s="44"/>
      <c r="Z23" s="44"/>
      <c r="AA23" s="44"/>
      <c r="AB23" s="44"/>
      <c r="AC23" s="44"/>
      <c r="AD23" s="44"/>
      <c r="AE23" s="44"/>
      <c r="AF23" s="44"/>
      <c r="AG23" s="48">
        <v>42</v>
      </c>
      <c r="AH23" s="46">
        <f t="shared" si="2"/>
        <v>35</v>
      </c>
      <c r="AI23" s="47">
        <f t="shared" si="3"/>
        <v>27</v>
      </c>
      <c r="AK23" s="49"/>
      <c r="AL23" s="59" t="s">
        <v>41</v>
      </c>
      <c r="AM23" s="60">
        <f t="shared" ref="AM23:AR23" si="17">B123*-1</f>
        <v>-621.20000000000005</v>
      </c>
      <c r="AN23" s="60">
        <f t="shared" si="17"/>
        <v>-621.20000000000005</v>
      </c>
      <c r="AO23" s="60">
        <f t="shared" si="17"/>
        <v>-361.8</v>
      </c>
      <c r="AP23" s="60">
        <f t="shared" si="17"/>
        <v>-405</v>
      </c>
      <c r="AQ23" s="60">
        <f t="shared" si="17"/>
        <v>-405</v>
      </c>
      <c r="AR23" s="60">
        <f t="shared" si="17"/>
        <v>-481.00000000000006</v>
      </c>
      <c r="AS23" s="60">
        <f>I123*-1</f>
        <v>-525.29999999999995</v>
      </c>
      <c r="AT23" s="60">
        <f>K123*-1</f>
        <v>-595.1</v>
      </c>
      <c r="AU23" s="60">
        <f t="shared" ref="AU23:BD23" si="18">M123*-1</f>
        <v>-552</v>
      </c>
      <c r="AV23" s="60">
        <f t="shared" si="18"/>
        <v>-565</v>
      </c>
      <c r="AW23" s="60">
        <f t="shared" si="18"/>
        <v>-550</v>
      </c>
      <c r="AX23" s="60">
        <f t="shared" si="18"/>
        <v>-544</v>
      </c>
      <c r="AY23" s="60">
        <f t="shared" si="18"/>
        <v>0</v>
      </c>
      <c r="AZ23" s="60">
        <f t="shared" si="18"/>
        <v>0</v>
      </c>
      <c r="BA23" s="60">
        <f t="shared" si="18"/>
        <v>0</v>
      </c>
      <c r="BB23" s="60">
        <f t="shared" si="18"/>
        <v>0</v>
      </c>
      <c r="BC23" s="60">
        <f t="shared" si="18"/>
        <v>0</v>
      </c>
      <c r="BD23" s="60">
        <f t="shared" si="18"/>
        <v>0</v>
      </c>
      <c r="BE23" s="60">
        <f>X123*-1</f>
        <v>0</v>
      </c>
      <c r="BF23" s="60">
        <f>Z123*-1</f>
        <v>0</v>
      </c>
      <c r="BG23" s="60">
        <f>AB123*-1</f>
        <v>0</v>
      </c>
      <c r="BH23" s="60">
        <f>AD123*-1</f>
        <v>0</v>
      </c>
      <c r="BI23" s="60">
        <f>AE123*-1</f>
        <v>0</v>
      </c>
      <c r="BJ23" s="60">
        <f>AF123*-1</f>
        <v>0</v>
      </c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2" t="s">
        <v>42</v>
      </c>
      <c r="B24" s="44">
        <v>39.799999999999997</v>
      </c>
      <c r="C24" s="44">
        <v>39.799999999999997</v>
      </c>
      <c r="D24" s="44">
        <v>0</v>
      </c>
      <c r="E24" s="44">
        <v>0</v>
      </c>
      <c r="F24" s="44">
        <v>0</v>
      </c>
      <c r="G24" s="44">
        <v>0</v>
      </c>
      <c r="H24" s="44">
        <v>0</v>
      </c>
      <c r="I24" s="44">
        <v>0</v>
      </c>
      <c r="J24" s="44">
        <v>0</v>
      </c>
      <c r="K24" s="44">
        <v>0</v>
      </c>
      <c r="L24" s="44">
        <v>0</v>
      </c>
      <c r="M24" s="44">
        <v>39.6</v>
      </c>
      <c r="N24" s="44">
        <v>39.6</v>
      </c>
      <c r="O24" s="44">
        <v>39.6</v>
      </c>
      <c r="P24" s="44">
        <v>39.6</v>
      </c>
      <c r="Q24" s="44"/>
      <c r="R24" s="44"/>
      <c r="S24" s="44"/>
      <c r="T24" s="44"/>
      <c r="U24" s="44"/>
      <c r="V24" s="44"/>
      <c r="W24" s="44"/>
      <c r="X24" s="44"/>
      <c r="Y24" s="44"/>
      <c r="Z24" s="44"/>
      <c r="AA24" s="44"/>
      <c r="AB24" s="44"/>
      <c r="AC24" s="44"/>
      <c r="AD24" s="44"/>
      <c r="AE24" s="44"/>
      <c r="AF24" s="44"/>
      <c r="AG24" s="48">
        <v>40</v>
      </c>
      <c r="AH24" s="46">
        <f t="shared" si="2"/>
        <v>39.799999999999997</v>
      </c>
      <c r="AI24" s="47">
        <f t="shared" si="3"/>
        <v>0</v>
      </c>
      <c r="AK24" s="49"/>
      <c r="AL24" s="51"/>
      <c r="AM24" s="51"/>
      <c r="AN24" s="51"/>
      <c r="AO24" s="51"/>
      <c r="AP24" s="51"/>
      <c r="AQ24" s="51"/>
      <c r="AR24" s="51"/>
      <c r="AS24" s="51"/>
      <c r="AT24" s="51"/>
      <c r="AU24" s="51"/>
      <c r="AV24" s="51"/>
      <c r="AW24" s="51"/>
      <c r="AX24" s="51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2" t="s">
        <v>43</v>
      </c>
      <c r="B25" s="44">
        <v>40.1</v>
      </c>
      <c r="C25" s="44">
        <v>40.1</v>
      </c>
      <c r="D25" s="44">
        <v>40.1</v>
      </c>
      <c r="E25" s="44">
        <v>40.1</v>
      </c>
      <c r="F25" s="44">
        <v>40.1</v>
      </c>
      <c r="G25" s="44">
        <v>40.1</v>
      </c>
      <c r="H25" s="44">
        <v>40.1</v>
      </c>
      <c r="I25" s="44">
        <v>40.1</v>
      </c>
      <c r="J25" s="44">
        <v>40.1</v>
      </c>
      <c r="K25" s="44">
        <v>40.1</v>
      </c>
      <c r="L25" s="44">
        <v>40.1</v>
      </c>
      <c r="M25" s="44">
        <v>40.1</v>
      </c>
      <c r="N25" s="44">
        <v>40.1</v>
      </c>
      <c r="O25" s="44">
        <v>40.1</v>
      </c>
      <c r="P25" s="44">
        <v>40.1</v>
      </c>
      <c r="Q25" s="44"/>
      <c r="R25" s="44"/>
      <c r="S25" s="44"/>
      <c r="T25" s="44"/>
      <c r="U25" s="44"/>
      <c r="V25" s="44"/>
      <c r="W25" s="44"/>
      <c r="X25" s="44"/>
      <c r="Y25" s="44"/>
      <c r="Z25" s="44"/>
      <c r="AA25" s="44"/>
      <c r="AB25" s="44"/>
      <c r="AC25" s="44"/>
      <c r="AD25" s="44"/>
      <c r="AE25" s="44"/>
      <c r="AF25" s="44"/>
      <c r="AG25" s="48">
        <v>38.46</v>
      </c>
      <c r="AH25" s="46">
        <f t="shared" si="2"/>
        <v>40.1</v>
      </c>
      <c r="AI25" s="47">
        <f t="shared" si="3"/>
        <v>40.1</v>
      </c>
      <c r="AK25" s="49"/>
      <c r="AL25" s="59" t="s">
        <v>44</v>
      </c>
      <c r="AM25" s="60">
        <f t="shared" ref="AM25:BJ25" si="19">AM22+AM23</f>
        <v>1894.3999999999999</v>
      </c>
      <c r="AN25" s="60">
        <f t="shared" si="19"/>
        <v>1894.3999999999999</v>
      </c>
      <c r="AO25" s="60">
        <f t="shared" si="19"/>
        <v>1757.2</v>
      </c>
      <c r="AP25" s="60">
        <f t="shared" si="19"/>
        <v>1716</v>
      </c>
      <c r="AQ25" s="60">
        <f t="shared" si="19"/>
        <v>1760.5</v>
      </c>
      <c r="AR25" s="60">
        <f t="shared" si="19"/>
        <v>1558.6999999999998</v>
      </c>
      <c r="AS25" s="60">
        <f t="shared" si="19"/>
        <v>1516.8999999999999</v>
      </c>
      <c r="AT25" s="60">
        <f t="shared" si="19"/>
        <v>1477.7999999999997</v>
      </c>
      <c r="AU25" s="60">
        <f t="shared" si="19"/>
        <v>1621.1999999999998</v>
      </c>
      <c r="AV25" s="60">
        <f t="shared" si="19"/>
        <v>1608.6</v>
      </c>
      <c r="AW25" s="60">
        <f t="shared" si="19"/>
        <v>1627.2999999999997</v>
      </c>
      <c r="AX25" s="60">
        <f t="shared" si="19"/>
        <v>1693.1999999999998</v>
      </c>
      <c r="AY25" s="60">
        <f t="shared" si="19"/>
        <v>252</v>
      </c>
      <c r="AZ25" s="60">
        <f t="shared" si="19"/>
        <v>252</v>
      </c>
      <c r="BA25" s="60">
        <f t="shared" si="19"/>
        <v>252</v>
      </c>
      <c r="BB25" s="60">
        <f t="shared" si="19"/>
        <v>252</v>
      </c>
      <c r="BC25" s="60">
        <f t="shared" si="19"/>
        <v>252</v>
      </c>
      <c r="BD25" s="60">
        <f t="shared" si="19"/>
        <v>252</v>
      </c>
      <c r="BE25" s="60">
        <f t="shared" si="19"/>
        <v>252</v>
      </c>
      <c r="BF25" s="60">
        <f t="shared" si="19"/>
        <v>252</v>
      </c>
      <c r="BG25" s="60">
        <f t="shared" si="19"/>
        <v>252</v>
      </c>
      <c r="BH25" s="60">
        <f t="shared" si="19"/>
        <v>252</v>
      </c>
      <c r="BI25" s="60">
        <f t="shared" si="19"/>
        <v>252</v>
      </c>
      <c r="BJ25" s="60">
        <f t="shared" si="19"/>
        <v>252</v>
      </c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2" t="s">
        <v>45</v>
      </c>
      <c r="B26" s="44">
        <v>31</v>
      </c>
      <c r="C26" s="44">
        <v>31</v>
      </c>
      <c r="D26" s="44">
        <v>24</v>
      </c>
      <c r="E26" s="44">
        <v>24</v>
      </c>
      <c r="F26" s="44">
        <v>24</v>
      </c>
      <c r="G26" s="44">
        <v>24</v>
      </c>
      <c r="H26" s="44">
        <v>24</v>
      </c>
      <c r="I26" s="44">
        <v>24</v>
      </c>
      <c r="J26" s="44">
        <v>24</v>
      </c>
      <c r="K26" s="44">
        <v>24</v>
      </c>
      <c r="L26" s="44">
        <v>24</v>
      </c>
      <c r="M26" s="44">
        <v>24</v>
      </c>
      <c r="N26" s="44">
        <v>24</v>
      </c>
      <c r="O26" s="44">
        <v>24</v>
      </c>
      <c r="P26" s="44">
        <v>28.9</v>
      </c>
      <c r="Q26" s="44"/>
      <c r="R26" s="44"/>
      <c r="S26" s="44"/>
      <c r="T26" s="44"/>
      <c r="U26" s="44"/>
      <c r="V26" s="44"/>
      <c r="W26" s="44"/>
      <c r="X26" s="44"/>
      <c r="Y26" s="44"/>
      <c r="Z26" s="44"/>
      <c r="AA26" s="44"/>
      <c r="AB26" s="44"/>
      <c r="AC26" s="44"/>
      <c r="AD26" s="44"/>
      <c r="AE26" s="44"/>
      <c r="AF26" s="44"/>
      <c r="AG26" s="61">
        <v>38</v>
      </c>
      <c r="AH26" s="46">
        <f t="shared" si="2"/>
        <v>31</v>
      </c>
      <c r="AI26" s="47">
        <f t="shared" si="3"/>
        <v>24</v>
      </c>
      <c r="AK26" s="49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2" t="s">
        <v>46</v>
      </c>
      <c r="B27" s="44">
        <v>36.6</v>
      </c>
      <c r="C27" s="44">
        <v>36.6</v>
      </c>
      <c r="D27" s="44">
        <v>20</v>
      </c>
      <c r="E27" s="44">
        <v>20</v>
      </c>
      <c r="F27" s="44">
        <v>20</v>
      </c>
      <c r="G27" s="44">
        <v>20</v>
      </c>
      <c r="H27" s="44">
        <v>20</v>
      </c>
      <c r="I27" s="44">
        <v>20</v>
      </c>
      <c r="J27" s="44">
        <v>20</v>
      </c>
      <c r="K27" s="44">
        <v>20</v>
      </c>
      <c r="L27" s="44">
        <v>20</v>
      </c>
      <c r="M27" s="44">
        <v>20</v>
      </c>
      <c r="N27" s="44">
        <v>20</v>
      </c>
      <c r="O27" s="44">
        <v>20</v>
      </c>
      <c r="P27" s="44">
        <v>20</v>
      </c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4"/>
      <c r="AB27" s="44"/>
      <c r="AC27" s="44"/>
      <c r="AD27" s="44"/>
      <c r="AE27" s="44"/>
      <c r="AF27" s="44"/>
      <c r="AG27" s="48">
        <v>36</v>
      </c>
      <c r="AH27" s="46">
        <f t="shared" si="2"/>
        <v>36.6</v>
      </c>
      <c r="AI27" s="47">
        <f t="shared" si="3"/>
        <v>20</v>
      </c>
      <c r="AK27" s="49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2" t="s">
        <v>47</v>
      </c>
      <c r="B28" s="44">
        <v>0</v>
      </c>
      <c r="C28" s="44">
        <v>0</v>
      </c>
      <c r="D28" s="44">
        <v>0</v>
      </c>
      <c r="E28" s="44">
        <v>0</v>
      </c>
      <c r="F28" s="44">
        <v>0</v>
      </c>
      <c r="G28" s="44">
        <v>0</v>
      </c>
      <c r="H28" s="44">
        <v>8</v>
      </c>
      <c r="I28" s="44">
        <v>8</v>
      </c>
      <c r="J28" s="44">
        <v>8</v>
      </c>
      <c r="K28" s="44">
        <v>8</v>
      </c>
      <c r="L28" s="44">
        <v>8</v>
      </c>
      <c r="M28" s="44">
        <v>8</v>
      </c>
      <c r="N28" s="44">
        <v>8</v>
      </c>
      <c r="O28" s="44">
        <v>8</v>
      </c>
      <c r="P28" s="44">
        <v>8</v>
      </c>
      <c r="Q28" s="44"/>
      <c r="R28" s="44"/>
      <c r="S28" s="44"/>
      <c r="T28" s="44"/>
      <c r="U28" s="44"/>
      <c r="V28" s="44"/>
      <c r="W28" s="44"/>
      <c r="X28" s="44"/>
      <c r="Y28" s="44"/>
      <c r="Z28" s="44"/>
      <c r="AA28" s="44"/>
      <c r="AB28" s="44"/>
      <c r="AC28" s="44"/>
      <c r="AD28" s="44"/>
      <c r="AE28" s="44"/>
      <c r="AF28" s="44"/>
      <c r="AG28" s="48">
        <v>35.5</v>
      </c>
      <c r="AH28" s="46">
        <f t="shared" si="2"/>
        <v>8</v>
      </c>
      <c r="AI28" s="47">
        <f t="shared" si="3"/>
        <v>0</v>
      </c>
      <c r="AK28" s="49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2" t="s">
        <v>48</v>
      </c>
      <c r="B29" s="44">
        <v>17</v>
      </c>
      <c r="C29" s="44">
        <v>17</v>
      </c>
      <c r="D29" s="44">
        <v>21</v>
      </c>
      <c r="E29" s="44">
        <v>21</v>
      </c>
      <c r="F29" s="44">
        <v>21</v>
      </c>
      <c r="G29" s="44">
        <v>21</v>
      </c>
      <c r="H29" s="44">
        <v>21</v>
      </c>
      <c r="I29" s="44">
        <v>21</v>
      </c>
      <c r="J29" s="44">
        <v>21</v>
      </c>
      <c r="K29" s="44">
        <v>21</v>
      </c>
      <c r="L29" s="44">
        <v>21</v>
      </c>
      <c r="M29" s="44">
        <v>21</v>
      </c>
      <c r="N29" s="44">
        <v>21</v>
      </c>
      <c r="O29" s="44">
        <v>21</v>
      </c>
      <c r="P29" s="44">
        <v>21</v>
      </c>
      <c r="Q29" s="44"/>
      <c r="R29" s="44"/>
      <c r="S29" s="44"/>
      <c r="T29" s="44"/>
      <c r="U29" s="44"/>
      <c r="V29" s="44"/>
      <c r="W29" s="44"/>
      <c r="X29" s="44"/>
      <c r="Y29" s="44"/>
      <c r="Z29" s="44"/>
      <c r="AA29" s="44"/>
      <c r="AB29" s="44"/>
      <c r="AC29" s="44"/>
      <c r="AD29" s="44"/>
      <c r="AE29" s="44"/>
      <c r="AF29" s="44"/>
      <c r="AG29" s="61">
        <v>32</v>
      </c>
      <c r="AH29" s="46">
        <f t="shared" si="2"/>
        <v>21</v>
      </c>
      <c r="AI29" s="47">
        <f t="shared" si="3"/>
        <v>17</v>
      </c>
      <c r="AK29" s="49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2" t="s">
        <v>49</v>
      </c>
      <c r="B30" s="44">
        <v>0</v>
      </c>
      <c r="C30" s="44">
        <v>0</v>
      </c>
      <c r="D30" s="44">
        <v>0</v>
      </c>
      <c r="E30" s="44">
        <v>0</v>
      </c>
      <c r="F30" s="44">
        <v>0</v>
      </c>
      <c r="G30" s="44">
        <v>0</v>
      </c>
      <c r="H30" s="44">
        <v>0</v>
      </c>
      <c r="I30" s="44">
        <v>0</v>
      </c>
      <c r="J30" s="44">
        <v>0</v>
      </c>
      <c r="K30" s="44">
        <v>0</v>
      </c>
      <c r="L30" s="44">
        <v>0</v>
      </c>
      <c r="M30" s="44">
        <v>0</v>
      </c>
      <c r="N30" s="44">
        <v>0</v>
      </c>
      <c r="O30" s="44">
        <v>0</v>
      </c>
      <c r="P30" s="44">
        <v>0</v>
      </c>
      <c r="Q30" s="44"/>
      <c r="R30" s="44"/>
      <c r="S30" s="44"/>
      <c r="T30" s="44"/>
      <c r="U30" s="44"/>
      <c r="V30" s="44"/>
      <c r="W30" s="44"/>
      <c r="X30" s="44"/>
      <c r="Y30" s="44"/>
      <c r="Z30" s="44"/>
      <c r="AA30" s="44"/>
      <c r="AB30" s="44"/>
      <c r="AC30" s="44"/>
      <c r="AD30" s="44"/>
      <c r="AE30" s="44"/>
      <c r="AF30" s="44"/>
      <c r="AG30" s="48">
        <v>30</v>
      </c>
      <c r="AH30" s="46">
        <f t="shared" si="2"/>
        <v>0</v>
      </c>
      <c r="AI30" s="47">
        <f t="shared" si="3"/>
        <v>0</v>
      </c>
      <c r="AK30" s="49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2" t="s">
        <v>50</v>
      </c>
      <c r="B31" s="44">
        <v>0</v>
      </c>
      <c r="C31" s="44">
        <v>0</v>
      </c>
      <c r="D31" s="44">
        <v>0</v>
      </c>
      <c r="E31" s="44">
        <v>0</v>
      </c>
      <c r="F31" s="44">
        <v>16.2</v>
      </c>
      <c r="G31" s="44">
        <v>16.2</v>
      </c>
      <c r="H31" s="44">
        <v>16.2</v>
      </c>
      <c r="I31" s="44">
        <v>16.2</v>
      </c>
      <c r="J31" s="44">
        <v>16.2</v>
      </c>
      <c r="K31" s="44">
        <v>16.2</v>
      </c>
      <c r="L31" s="44">
        <v>16.2</v>
      </c>
      <c r="M31" s="44">
        <v>16.2</v>
      </c>
      <c r="N31" s="44">
        <v>16.2</v>
      </c>
      <c r="O31" s="44">
        <v>16.2</v>
      </c>
      <c r="P31" s="44">
        <v>17.600000000000001</v>
      </c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44"/>
      <c r="AB31" s="44"/>
      <c r="AC31" s="44"/>
      <c r="AD31" s="44"/>
      <c r="AE31" s="44"/>
      <c r="AF31" s="44"/>
      <c r="AG31" s="48">
        <v>29.04</v>
      </c>
      <c r="AH31" s="46">
        <f t="shared" si="2"/>
        <v>17.600000000000001</v>
      </c>
      <c r="AI31" s="47">
        <f t="shared" si="3"/>
        <v>0</v>
      </c>
      <c r="AK31" s="49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2" t="s">
        <v>51</v>
      </c>
      <c r="B32" s="44">
        <v>28</v>
      </c>
      <c r="C32" s="44">
        <v>28</v>
      </c>
      <c r="D32" s="44">
        <v>15.9</v>
      </c>
      <c r="E32" s="44">
        <v>15.9</v>
      </c>
      <c r="F32" s="44">
        <v>15.9</v>
      </c>
      <c r="G32" s="44">
        <v>15.9</v>
      </c>
      <c r="H32" s="44">
        <v>15.9</v>
      </c>
      <c r="I32" s="44">
        <v>15.9</v>
      </c>
      <c r="J32" s="44">
        <v>15.9</v>
      </c>
      <c r="K32" s="44">
        <v>15.9</v>
      </c>
      <c r="L32" s="44">
        <v>15.9</v>
      </c>
      <c r="M32" s="44">
        <v>15.9</v>
      </c>
      <c r="N32" s="44">
        <v>15.9</v>
      </c>
      <c r="O32" s="44">
        <v>15.9</v>
      </c>
      <c r="P32" s="44">
        <v>16</v>
      </c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  <c r="AB32" s="44"/>
      <c r="AC32" s="44"/>
      <c r="AD32" s="44"/>
      <c r="AE32" s="44"/>
      <c r="AF32" s="44"/>
      <c r="AG32" s="48">
        <v>28.1</v>
      </c>
      <c r="AH32" s="46">
        <f t="shared" si="2"/>
        <v>28</v>
      </c>
      <c r="AI32" s="47">
        <f t="shared" si="3"/>
        <v>15.9</v>
      </c>
      <c r="AK32" s="49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2" t="s">
        <v>52</v>
      </c>
      <c r="B33" s="44">
        <v>14</v>
      </c>
      <c r="C33" s="44">
        <v>14</v>
      </c>
      <c r="D33" s="44">
        <v>14</v>
      </c>
      <c r="E33" s="44">
        <v>14</v>
      </c>
      <c r="F33" s="44">
        <v>14</v>
      </c>
      <c r="G33" s="44">
        <v>14</v>
      </c>
      <c r="H33" s="44">
        <v>14</v>
      </c>
      <c r="I33" s="44">
        <v>14</v>
      </c>
      <c r="J33" s="44">
        <v>14</v>
      </c>
      <c r="K33" s="44">
        <v>14</v>
      </c>
      <c r="L33" s="44">
        <v>14</v>
      </c>
      <c r="M33" s="44">
        <v>14</v>
      </c>
      <c r="N33" s="44">
        <v>14</v>
      </c>
      <c r="O33" s="44">
        <v>14</v>
      </c>
      <c r="P33" s="44">
        <v>16.8</v>
      </c>
      <c r="Q33" s="44"/>
      <c r="R33" s="44"/>
      <c r="S33" s="44"/>
      <c r="T33" s="44"/>
      <c r="U33" s="44"/>
      <c r="V33" s="44"/>
      <c r="W33" s="44"/>
      <c r="X33" s="44"/>
      <c r="Y33" s="44"/>
      <c r="Z33" s="44"/>
      <c r="AA33" s="44"/>
      <c r="AB33" s="44"/>
      <c r="AC33" s="44"/>
      <c r="AD33" s="44"/>
      <c r="AE33" s="44"/>
      <c r="AF33" s="44"/>
      <c r="AG33" s="48">
        <v>27</v>
      </c>
      <c r="AH33" s="46">
        <f t="shared" si="2"/>
        <v>16.8</v>
      </c>
      <c r="AI33" s="47">
        <f t="shared" si="3"/>
        <v>14</v>
      </c>
      <c r="AK33" s="49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2" t="s">
        <v>53</v>
      </c>
      <c r="B34" s="44">
        <v>20.3</v>
      </c>
      <c r="C34" s="44">
        <v>20.3</v>
      </c>
      <c r="D34" s="44">
        <v>20.3</v>
      </c>
      <c r="E34" s="44">
        <v>20.3</v>
      </c>
      <c r="F34" s="44">
        <v>20.3</v>
      </c>
      <c r="G34" s="44">
        <v>20.3</v>
      </c>
      <c r="H34" s="44">
        <v>20.3</v>
      </c>
      <c r="I34" s="44">
        <v>20.3</v>
      </c>
      <c r="J34" s="44">
        <v>20.3</v>
      </c>
      <c r="K34" s="44">
        <v>20.3</v>
      </c>
      <c r="L34" s="44">
        <v>20.3</v>
      </c>
      <c r="M34" s="44">
        <v>20.3</v>
      </c>
      <c r="N34" s="44">
        <v>20.3</v>
      </c>
      <c r="O34" s="44">
        <v>20.3</v>
      </c>
      <c r="P34" s="44">
        <v>20.3</v>
      </c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  <c r="AD34" s="44"/>
      <c r="AE34" s="44"/>
      <c r="AF34" s="44"/>
      <c r="AG34" s="48">
        <v>25</v>
      </c>
      <c r="AH34" s="46">
        <f t="shared" si="2"/>
        <v>20.3</v>
      </c>
      <c r="AI34" s="47">
        <f t="shared" si="3"/>
        <v>20.3</v>
      </c>
      <c r="AK34" s="49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2" t="s">
        <v>54</v>
      </c>
      <c r="B35" s="44">
        <v>17.8</v>
      </c>
      <c r="C35" s="44">
        <v>17.8</v>
      </c>
      <c r="D35" s="44">
        <v>17.8</v>
      </c>
      <c r="E35" s="44">
        <v>17.8</v>
      </c>
      <c r="F35" s="44">
        <v>17.8</v>
      </c>
      <c r="G35" s="44">
        <v>17.8</v>
      </c>
      <c r="H35" s="44">
        <v>17.8</v>
      </c>
      <c r="I35" s="44">
        <v>17.8</v>
      </c>
      <c r="J35" s="44">
        <v>17.8</v>
      </c>
      <c r="K35" s="44">
        <v>17.8</v>
      </c>
      <c r="L35" s="44">
        <v>17.8</v>
      </c>
      <c r="M35" s="44">
        <v>17.8</v>
      </c>
      <c r="N35" s="44">
        <v>17.8</v>
      </c>
      <c r="O35" s="44">
        <v>17.8</v>
      </c>
      <c r="P35" s="44">
        <v>18.399999999999999</v>
      </c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4"/>
      <c r="AB35" s="44"/>
      <c r="AC35" s="44"/>
      <c r="AD35" s="44"/>
      <c r="AE35" s="44"/>
      <c r="AF35" s="44"/>
      <c r="AG35" s="48">
        <v>25</v>
      </c>
      <c r="AH35" s="46">
        <f t="shared" si="2"/>
        <v>18.399999999999999</v>
      </c>
      <c r="AI35" s="47">
        <f t="shared" si="3"/>
        <v>17.8</v>
      </c>
      <c r="AK35" s="49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2" t="s">
        <v>55</v>
      </c>
      <c r="B36" s="44">
        <v>25.2</v>
      </c>
      <c r="C36" s="44">
        <v>25.2</v>
      </c>
      <c r="D36" s="44">
        <v>14.9</v>
      </c>
      <c r="E36" s="44">
        <v>14.9</v>
      </c>
      <c r="F36" s="44">
        <v>14.9</v>
      </c>
      <c r="G36" s="44">
        <v>14.9</v>
      </c>
      <c r="H36" s="44">
        <v>14.9</v>
      </c>
      <c r="I36" s="44">
        <v>14.9</v>
      </c>
      <c r="J36" s="44">
        <v>14.9</v>
      </c>
      <c r="K36" s="44">
        <v>14.9</v>
      </c>
      <c r="L36" s="44">
        <v>14.9</v>
      </c>
      <c r="M36" s="44">
        <v>14.9</v>
      </c>
      <c r="N36" s="44">
        <v>14.9</v>
      </c>
      <c r="O36" s="44">
        <v>14.9</v>
      </c>
      <c r="P36" s="44">
        <v>14.9</v>
      </c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44"/>
      <c r="AB36" s="44"/>
      <c r="AC36" s="44"/>
      <c r="AD36" s="44"/>
      <c r="AE36" s="44"/>
      <c r="AF36" s="44"/>
      <c r="AG36" s="48">
        <v>25</v>
      </c>
      <c r="AH36" s="46">
        <f t="shared" si="2"/>
        <v>25.2</v>
      </c>
      <c r="AI36" s="47">
        <f t="shared" si="3"/>
        <v>14.9</v>
      </c>
      <c r="AK36" s="49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2" t="s">
        <v>56</v>
      </c>
      <c r="B37" s="44">
        <v>12.9</v>
      </c>
      <c r="C37" s="44">
        <v>12.9</v>
      </c>
      <c r="D37" s="44">
        <v>12.9</v>
      </c>
      <c r="E37" s="44">
        <v>12.9</v>
      </c>
      <c r="F37" s="44">
        <v>12.9</v>
      </c>
      <c r="G37" s="44">
        <v>12.9</v>
      </c>
      <c r="H37" s="44">
        <v>12.9</v>
      </c>
      <c r="I37" s="44">
        <v>12.9</v>
      </c>
      <c r="J37" s="44">
        <v>12.9</v>
      </c>
      <c r="K37" s="44">
        <v>12.9</v>
      </c>
      <c r="L37" s="44">
        <v>12.9</v>
      </c>
      <c r="M37" s="44">
        <v>12.9</v>
      </c>
      <c r="N37" s="44">
        <v>12.9</v>
      </c>
      <c r="O37" s="44">
        <v>12.9</v>
      </c>
      <c r="P37" s="44">
        <v>15.8</v>
      </c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44"/>
      <c r="AD37" s="44"/>
      <c r="AE37" s="44"/>
      <c r="AF37" s="44"/>
      <c r="AG37" s="48">
        <v>25</v>
      </c>
      <c r="AH37" s="46">
        <f t="shared" si="2"/>
        <v>15.8</v>
      </c>
      <c r="AI37" s="47">
        <f t="shared" si="3"/>
        <v>12.9</v>
      </c>
      <c r="AK37" s="49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2" t="s">
        <v>57</v>
      </c>
      <c r="B38" s="44">
        <v>17.8</v>
      </c>
      <c r="C38" s="44">
        <v>17.8</v>
      </c>
      <c r="D38" s="44">
        <v>17.8</v>
      </c>
      <c r="E38" s="44">
        <v>17.8</v>
      </c>
      <c r="F38" s="44">
        <v>17.8</v>
      </c>
      <c r="G38" s="44">
        <v>17.8</v>
      </c>
      <c r="H38" s="44">
        <v>17.8</v>
      </c>
      <c r="I38" s="44">
        <v>17.8</v>
      </c>
      <c r="J38" s="44">
        <v>17.8</v>
      </c>
      <c r="K38" s="44">
        <v>17.8</v>
      </c>
      <c r="L38" s="44">
        <v>17.8</v>
      </c>
      <c r="M38" s="44">
        <v>17.8</v>
      </c>
      <c r="N38" s="44">
        <v>17.8</v>
      </c>
      <c r="O38" s="44">
        <v>17.8</v>
      </c>
      <c r="P38" s="44">
        <v>17.8</v>
      </c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44"/>
      <c r="AB38" s="44"/>
      <c r="AC38" s="44"/>
      <c r="AD38" s="44"/>
      <c r="AE38" s="44"/>
      <c r="AF38" s="44"/>
      <c r="AG38" s="48">
        <v>25</v>
      </c>
      <c r="AH38" s="46">
        <f t="shared" si="2"/>
        <v>17.8</v>
      </c>
      <c r="AI38" s="47">
        <f t="shared" si="3"/>
        <v>17.8</v>
      </c>
      <c r="AK38" s="49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2" t="s">
        <v>58</v>
      </c>
      <c r="B39" s="44">
        <v>24.8</v>
      </c>
      <c r="C39" s="44">
        <v>24.8</v>
      </c>
      <c r="D39" s="44">
        <v>24.8</v>
      </c>
      <c r="E39" s="44">
        <v>24.8</v>
      </c>
      <c r="F39" s="44">
        <v>24.8</v>
      </c>
      <c r="G39" s="44">
        <v>24.8</v>
      </c>
      <c r="H39" s="44">
        <v>24.8</v>
      </c>
      <c r="I39" s="44">
        <v>24.8</v>
      </c>
      <c r="J39" s="44">
        <v>24.8</v>
      </c>
      <c r="K39" s="44">
        <v>24.8</v>
      </c>
      <c r="L39" s="44">
        <v>24.8</v>
      </c>
      <c r="M39" s="44">
        <v>24.8</v>
      </c>
      <c r="N39" s="44">
        <v>24.8</v>
      </c>
      <c r="O39" s="44">
        <v>24.8</v>
      </c>
      <c r="P39" s="44">
        <v>24.8</v>
      </c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4"/>
      <c r="AE39" s="44"/>
      <c r="AF39" s="44"/>
      <c r="AG39" s="48">
        <v>23.5</v>
      </c>
      <c r="AH39" s="46">
        <f t="shared" si="2"/>
        <v>24.8</v>
      </c>
      <c r="AI39" s="47">
        <f t="shared" si="3"/>
        <v>24.8</v>
      </c>
      <c r="AK39" s="49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2" t="s">
        <v>59</v>
      </c>
      <c r="B40" s="44">
        <v>11</v>
      </c>
      <c r="C40" s="44">
        <v>11</v>
      </c>
      <c r="D40" s="44">
        <v>11</v>
      </c>
      <c r="E40" s="44">
        <v>11</v>
      </c>
      <c r="F40" s="44">
        <v>11</v>
      </c>
      <c r="G40" s="44">
        <v>11</v>
      </c>
      <c r="H40" s="44">
        <v>11</v>
      </c>
      <c r="I40" s="44">
        <v>11</v>
      </c>
      <c r="J40" s="44">
        <v>11</v>
      </c>
      <c r="K40" s="44">
        <v>11</v>
      </c>
      <c r="L40" s="44">
        <v>11</v>
      </c>
      <c r="M40" s="44">
        <v>11</v>
      </c>
      <c r="N40" s="44">
        <v>11</v>
      </c>
      <c r="O40" s="44">
        <v>11</v>
      </c>
      <c r="P40" s="44">
        <v>11</v>
      </c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4"/>
      <c r="AB40" s="44"/>
      <c r="AC40" s="44"/>
      <c r="AD40" s="44"/>
      <c r="AE40" s="44"/>
      <c r="AF40" s="44"/>
      <c r="AG40" s="48">
        <v>22.2</v>
      </c>
      <c r="AH40" s="46">
        <f t="shared" si="2"/>
        <v>11</v>
      </c>
      <c r="AI40" s="47">
        <f t="shared" si="3"/>
        <v>11</v>
      </c>
      <c r="AK40" s="49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2" t="s">
        <v>60</v>
      </c>
      <c r="B41" s="44">
        <v>18.899999999999999</v>
      </c>
      <c r="C41" s="44">
        <v>18.899999999999999</v>
      </c>
      <c r="D41" s="44">
        <v>18.899999999999999</v>
      </c>
      <c r="E41" s="44">
        <v>18.899999999999999</v>
      </c>
      <c r="F41" s="44">
        <v>18.899999999999999</v>
      </c>
      <c r="G41" s="44">
        <v>18.899999999999999</v>
      </c>
      <c r="H41" s="44">
        <v>18.899999999999999</v>
      </c>
      <c r="I41" s="44">
        <v>18.899999999999999</v>
      </c>
      <c r="J41" s="44">
        <v>18.899999999999999</v>
      </c>
      <c r="K41" s="44">
        <v>18.899999999999999</v>
      </c>
      <c r="L41" s="44">
        <v>18.899999999999999</v>
      </c>
      <c r="M41" s="44">
        <v>18.899999999999999</v>
      </c>
      <c r="N41" s="44">
        <v>18.899999999999999</v>
      </c>
      <c r="O41" s="44">
        <v>18.899999999999999</v>
      </c>
      <c r="P41" s="44">
        <v>18.899999999999999</v>
      </c>
      <c r="Q41" s="44"/>
      <c r="R41" s="44"/>
      <c r="S41" s="44"/>
      <c r="T41" s="44"/>
      <c r="U41" s="44"/>
      <c r="V41" s="44"/>
      <c r="W41" s="44"/>
      <c r="X41" s="44"/>
      <c r="Y41" s="44"/>
      <c r="Z41" s="44"/>
      <c r="AA41" s="44"/>
      <c r="AB41" s="44"/>
      <c r="AC41" s="44"/>
      <c r="AD41" s="44"/>
      <c r="AE41" s="44"/>
      <c r="AF41" s="44"/>
      <c r="AG41" s="48">
        <v>22.1</v>
      </c>
      <c r="AH41" s="46">
        <f t="shared" si="2"/>
        <v>18.899999999999999</v>
      </c>
      <c r="AI41" s="47">
        <f t="shared" si="3"/>
        <v>18.899999999999999</v>
      </c>
      <c r="AK41" s="49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42" t="s">
        <v>61</v>
      </c>
      <c r="B42" s="44">
        <v>33.200000000000003</v>
      </c>
      <c r="C42" s="44">
        <v>33.200000000000003</v>
      </c>
      <c r="D42" s="44">
        <v>33.200000000000003</v>
      </c>
      <c r="E42" s="44">
        <v>33.200000000000003</v>
      </c>
      <c r="F42" s="44">
        <v>33.200000000000003</v>
      </c>
      <c r="G42" s="44">
        <v>33.200000000000003</v>
      </c>
      <c r="H42" s="44">
        <v>33.200000000000003</v>
      </c>
      <c r="I42" s="44">
        <v>33.200000000000003</v>
      </c>
      <c r="J42" s="44">
        <v>33.200000000000003</v>
      </c>
      <c r="K42" s="44">
        <v>33.200000000000003</v>
      </c>
      <c r="L42" s="44">
        <v>33.200000000000003</v>
      </c>
      <c r="M42" s="44">
        <v>33.200000000000003</v>
      </c>
      <c r="N42" s="44">
        <v>33.200000000000003</v>
      </c>
      <c r="O42" s="44">
        <v>33.200000000000003</v>
      </c>
      <c r="P42" s="44">
        <v>12.6</v>
      </c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44"/>
      <c r="AB42" s="44"/>
      <c r="AC42" s="44"/>
      <c r="AD42" s="44"/>
      <c r="AE42" s="44"/>
      <c r="AF42" s="44"/>
      <c r="AG42" s="48">
        <v>22</v>
      </c>
      <c r="AH42" s="46">
        <f t="shared" si="2"/>
        <v>33.200000000000003</v>
      </c>
      <c r="AI42" s="47">
        <f t="shared" si="3"/>
        <v>12.6</v>
      </c>
      <c r="AK42" s="49"/>
      <c r="AL42" s="28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x14ac:dyDescent="0.25">
      <c r="A43" s="42" t="s">
        <v>62</v>
      </c>
      <c r="B43" s="44">
        <v>17.600000000000001</v>
      </c>
      <c r="C43" s="44">
        <v>17.600000000000001</v>
      </c>
      <c r="D43" s="44">
        <v>17.600000000000001</v>
      </c>
      <c r="E43" s="44">
        <v>17.600000000000001</v>
      </c>
      <c r="F43" s="44">
        <v>17.600000000000001</v>
      </c>
      <c r="G43" s="44">
        <v>17.600000000000001</v>
      </c>
      <c r="H43" s="44">
        <v>17.600000000000001</v>
      </c>
      <c r="I43" s="44">
        <v>17.600000000000001</v>
      </c>
      <c r="J43" s="44">
        <v>17.600000000000001</v>
      </c>
      <c r="K43" s="44">
        <v>17.600000000000001</v>
      </c>
      <c r="L43" s="44">
        <v>17.600000000000001</v>
      </c>
      <c r="M43" s="44">
        <v>17.600000000000001</v>
      </c>
      <c r="N43" s="44">
        <v>17.600000000000001</v>
      </c>
      <c r="O43" s="44">
        <v>17.600000000000001</v>
      </c>
      <c r="P43" s="44">
        <v>17.600000000000001</v>
      </c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/>
      <c r="AB43" s="44"/>
      <c r="AC43" s="44"/>
      <c r="AD43" s="44"/>
      <c r="AE43" s="44"/>
      <c r="AF43" s="44"/>
      <c r="AG43" s="48">
        <v>22</v>
      </c>
      <c r="AH43" s="46">
        <f t="shared" si="2"/>
        <v>17.600000000000001</v>
      </c>
      <c r="AI43" s="47">
        <f t="shared" si="3"/>
        <v>17.600000000000001</v>
      </c>
      <c r="AK43" s="49"/>
      <c r="AL43" s="28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x14ac:dyDescent="0.25">
      <c r="A44" s="42" t="s">
        <v>63</v>
      </c>
      <c r="B44" s="44">
        <v>18.399999999999999</v>
      </c>
      <c r="C44" s="44">
        <v>18.399999999999999</v>
      </c>
      <c r="D44" s="44">
        <v>18.399999999999999</v>
      </c>
      <c r="E44" s="44">
        <v>18.399999999999999</v>
      </c>
      <c r="F44" s="44">
        <v>18.399999999999999</v>
      </c>
      <c r="G44" s="44">
        <v>18.399999999999999</v>
      </c>
      <c r="H44" s="44">
        <v>18.399999999999999</v>
      </c>
      <c r="I44" s="44">
        <v>18.399999999999999</v>
      </c>
      <c r="J44" s="44">
        <v>18.399999999999999</v>
      </c>
      <c r="K44" s="44">
        <v>18.399999999999999</v>
      </c>
      <c r="L44" s="44">
        <v>18.399999999999999</v>
      </c>
      <c r="M44" s="44">
        <v>18.399999999999999</v>
      </c>
      <c r="N44" s="44">
        <v>18.399999999999999</v>
      </c>
      <c r="O44" s="44">
        <v>18.399999999999999</v>
      </c>
      <c r="P44" s="44">
        <v>18.399999999999999</v>
      </c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44"/>
      <c r="AF44" s="44"/>
      <c r="AG44" s="48">
        <v>21.93</v>
      </c>
      <c r="AH44" s="46">
        <f t="shared" si="2"/>
        <v>18.399999999999999</v>
      </c>
      <c r="AI44" s="47">
        <f t="shared" si="3"/>
        <v>18.399999999999999</v>
      </c>
      <c r="AK44" s="49"/>
      <c r="AL44" s="28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x14ac:dyDescent="0.25">
      <c r="A45" s="42" t="s">
        <v>64</v>
      </c>
      <c r="B45" s="44">
        <v>6.5</v>
      </c>
      <c r="C45" s="44">
        <v>6.5</v>
      </c>
      <c r="D45" s="44">
        <v>0</v>
      </c>
      <c r="E45" s="44">
        <v>0</v>
      </c>
      <c r="F45" s="44">
        <v>0</v>
      </c>
      <c r="G45" s="44">
        <v>0</v>
      </c>
      <c r="H45" s="44">
        <v>0</v>
      </c>
      <c r="I45" s="44">
        <v>0</v>
      </c>
      <c r="J45" s="44">
        <v>0</v>
      </c>
      <c r="K45" s="44">
        <v>0</v>
      </c>
      <c r="L45" s="44">
        <v>0</v>
      </c>
      <c r="M45" s="44">
        <v>4.4000000000000004</v>
      </c>
      <c r="N45" s="44">
        <v>4.4000000000000004</v>
      </c>
      <c r="O45" s="44">
        <v>4.4000000000000004</v>
      </c>
      <c r="P45" s="44">
        <v>4.4000000000000004</v>
      </c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4"/>
      <c r="AE45" s="44"/>
      <c r="AF45" s="44"/>
      <c r="AG45" s="48">
        <v>21.3</v>
      </c>
      <c r="AH45" s="46">
        <f t="shared" si="2"/>
        <v>6.5</v>
      </c>
      <c r="AI45" s="47">
        <f t="shared" si="3"/>
        <v>0</v>
      </c>
      <c r="AK45" s="49"/>
      <c r="AL45" s="28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42" t="s">
        <v>65</v>
      </c>
      <c r="B46" s="44">
        <v>6</v>
      </c>
      <c r="C46" s="44">
        <v>6</v>
      </c>
      <c r="D46" s="44">
        <v>6</v>
      </c>
      <c r="E46" s="44">
        <v>6</v>
      </c>
      <c r="F46" s="44">
        <v>6</v>
      </c>
      <c r="G46" s="44">
        <v>6</v>
      </c>
      <c r="H46" s="44">
        <v>6</v>
      </c>
      <c r="I46" s="44">
        <v>6</v>
      </c>
      <c r="J46" s="44">
        <v>6</v>
      </c>
      <c r="K46" s="44">
        <v>6</v>
      </c>
      <c r="L46" s="44">
        <v>6</v>
      </c>
      <c r="M46" s="44">
        <v>6</v>
      </c>
      <c r="N46" s="44">
        <v>6</v>
      </c>
      <c r="O46" s="44">
        <v>6</v>
      </c>
      <c r="P46" s="44">
        <v>14.4</v>
      </c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8">
        <v>20</v>
      </c>
      <c r="AH46" s="46">
        <f t="shared" si="2"/>
        <v>14.4</v>
      </c>
      <c r="AI46" s="47">
        <f t="shared" si="3"/>
        <v>6</v>
      </c>
      <c r="AK46" s="49"/>
      <c r="AL46" s="28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x14ac:dyDescent="0.25">
      <c r="A47" s="42" t="s">
        <v>66</v>
      </c>
      <c r="B47" s="44">
        <v>20.100000000000001</v>
      </c>
      <c r="C47" s="44">
        <v>20.100000000000001</v>
      </c>
      <c r="D47" s="44">
        <v>20.100000000000001</v>
      </c>
      <c r="E47" s="44">
        <v>20.100000000000001</v>
      </c>
      <c r="F47" s="44">
        <v>20.100000000000001</v>
      </c>
      <c r="G47" s="44">
        <v>20.100000000000001</v>
      </c>
      <c r="H47" s="44">
        <v>20.100000000000001</v>
      </c>
      <c r="I47" s="44">
        <v>20.100000000000001</v>
      </c>
      <c r="J47" s="44">
        <v>20.100000000000001</v>
      </c>
      <c r="K47" s="44">
        <v>20.100000000000001</v>
      </c>
      <c r="L47" s="44">
        <v>20.100000000000001</v>
      </c>
      <c r="M47" s="44">
        <v>20.100000000000001</v>
      </c>
      <c r="N47" s="44">
        <v>20.100000000000001</v>
      </c>
      <c r="O47" s="44">
        <v>20.100000000000001</v>
      </c>
      <c r="P47" s="44">
        <v>20.100000000000001</v>
      </c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8">
        <v>19.8</v>
      </c>
      <c r="AH47" s="46">
        <f t="shared" si="2"/>
        <v>20.100000000000001</v>
      </c>
      <c r="AI47" s="47">
        <f t="shared" si="3"/>
        <v>20.100000000000001</v>
      </c>
      <c r="AK47" s="49"/>
      <c r="AL47" s="28"/>
      <c r="AM47" s="24"/>
      <c r="AN47" s="24"/>
      <c r="AO47" s="24"/>
      <c r="AP47" s="24"/>
      <c r="AQ47" s="24"/>
      <c r="AR47" s="24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x14ac:dyDescent="0.25">
      <c r="A48" s="42" t="s">
        <v>67</v>
      </c>
      <c r="B48" s="44">
        <v>5.2</v>
      </c>
      <c r="C48" s="44">
        <v>5.2</v>
      </c>
      <c r="D48" s="44">
        <v>5.2</v>
      </c>
      <c r="E48" s="44">
        <v>5.2</v>
      </c>
      <c r="F48" s="44">
        <v>5.2</v>
      </c>
      <c r="G48" s="44">
        <v>5.2</v>
      </c>
      <c r="H48" s="44">
        <v>5.2</v>
      </c>
      <c r="I48" s="44">
        <v>5.2</v>
      </c>
      <c r="J48" s="44">
        <v>5.2</v>
      </c>
      <c r="K48" s="44">
        <v>5.2</v>
      </c>
      <c r="L48" s="44">
        <v>5.2</v>
      </c>
      <c r="M48" s="44">
        <v>5.2</v>
      </c>
      <c r="N48" s="44">
        <v>5.2</v>
      </c>
      <c r="O48" s="44">
        <v>5.2</v>
      </c>
      <c r="P48" s="44">
        <v>5.2</v>
      </c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44"/>
      <c r="AB48" s="44"/>
      <c r="AC48" s="44"/>
      <c r="AD48" s="44"/>
      <c r="AE48" s="44"/>
      <c r="AF48" s="44"/>
      <c r="AG48" s="48">
        <v>18</v>
      </c>
      <c r="AH48" s="46">
        <f t="shared" si="2"/>
        <v>5.2</v>
      </c>
      <c r="AI48" s="47">
        <f t="shared" si="3"/>
        <v>5.2</v>
      </c>
      <c r="AK48" s="49"/>
      <c r="AL48" s="28"/>
      <c r="AM48" s="24"/>
      <c r="AN48" s="24"/>
      <c r="AO48" s="24"/>
      <c r="AP48" s="24"/>
      <c r="AQ48" s="24"/>
      <c r="AR48" s="24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24"/>
      <c r="CI48" s="24"/>
      <c r="CJ48" s="24"/>
    </row>
    <row r="49" spans="1:88" x14ac:dyDescent="0.25">
      <c r="A49" s="42" t="s">
        <v>68</v>
      </c>
      <c r="B49" s="44">
        <v>14.1</v>
      </c>
      <c r="C49" s="44">
        <v>14.1</v>
      </c>
      <c r="D49" s="44">
        <v>14.1</v>
      </c>
      <c r="E49" s="44">
        <v>14.1</v>
      </c>
      <c r="F49" s="44">
        <v>14.1</v>
      </c>
      <c r="G49" s="44">
        <v>14.1</v>
      </c>
      <c r="H49" s="44">
        <v>14.1</v>
      </c>
      <c r="I49" s="44">
        <v>14.1</v>
      </c>
      <c r="J49" s="44">
        <v>14.1</v>
      </c>
      <c r="K49" s="44">
        <v>14.1</v>
      </c>
      <c r="L49" s="44">
        <v>14.1</v>
      </c>
      <c r="M49" s="44">
        <v>14.1</v>
      </c>
      <c r="N49" s="44">
        <v>14.1</v>
      </c>
      <c r="O49" s="44">
        <v>14.1</v>
      </c>
      <c r="P49" s="44">
        <v>15.5</v>
      </c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8">
        <v>15.33</v>
      </c>
      <c r="AH49" s="46">
        <f t="shared" si="2"/>
        <v>15.5</v>
      </c>
      <c r="AI49" s="47">
        <f t="shared" si="3"/>
        <v>14.1</v>
      </c>
      <c r="AK49" s="49"/>
      <c r="AL49" s="28"/>
      <c r="AM49" s="24"/>
      <c r="AN49" s="24"/>
      <c r="AO49" s="24"/>
      <c r="AP49" s="24"/>
      <c r="AQ49" s="24"/>
      <c r="AR49" s="24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24"/>
      <c r="CI49" s="24"/>
      <c r="CJ49" s="24"/>
    </row>
    <row r="50" spans="1:88" x14ac:dyDescent="0.25">
      <c r="A50" s="42" t="s">
        <v>69</v>
      </c>
      <c r="B50" s="44">
        <v>13</v>
      </c>
      <c r="C50" s="44">
        <v>13</v>
      </c>
      <c r="D50" s="44">
        <v>13</v>
      </c>
      <c r="E50" s="44">
        <v>13</v>
      </c>
      <c r="F50" s="44">
        <v>13</v>
      </c>
      <c r="G50" s="44">
        <v>13</v>
      </c>
      <c r="H50" s="44">
        <v>13</v>
      </c>
      <c r="I50" s="44">
        <v>13</v>
      </c>
      <c r="J50" s="44">
        <v>13</v>
      </c>
      <c r="K50" s="44">
        <v>13</v>
      </c>
      <c r="L50" s="44">
        <v>13</v>
      </c>
      <c r="M50" s="44">
        <v>13</v>
      </c>
      <c r="N50" s="44">
        <v>13</v>
      </c>
      <c r="O50" s="44">
        <v>13</v>
      </c>
      <c r="P50" s="44">
        <v>13</v>
      </c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8">
        <v>14.9</v>
      </c>
      <c r="AH50" s="46">
        <f t="shared" si="2"/>
        <v>13</v>
      </c>
      <c r="AI50" s="47">
        <f t="shared" si="3"/>
        <v>13</v>
      </c>
      <c r="AK50" s="49"/>
      <c r="AL50" s="28"/>
      <c r="AM50" s="24"/>
      <c r="AN50" s="24"/>
      <c r="AO50" s="24"/>
      <c r="AP50" s="24"/>
      <c r="AQ50" s="24"/>
      <c r="AR50" s="24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</row>
    <row r="51" spans="1:88" x14ac:dyDescent="0.25">
      <c r="A51" s="42" t="s">
        <v>70</v>
      </c>
      <c r="B51" s="44">
        <v>10.5</v>
      </c>
      <c r="C51" s="44">
        <v>10.5</v>
      </c>
      <c r="D51" s="44">
        <v>10.5</v>
      </c>
      <c r="E51" s="44">
        <v>10.5</v>
      </c>
      <c r="F51" s="44">
        <v>10.5</v>
      </c>
      <c r="G51" s="44">
        <v>10.5</v>
      </c>
      <c r="H51" s="44">
        <v>10.5</v>
      </c>
      <c r="I51" s="44">
        <v>10.5</v>
      </c>
      <c r="J51" s="44">
        <v>10.5</v>
      </c>
      <c r="K51" s="44">
        <v>10.5</v>
      </c>
      <c r="L51" s="44">
        <v>10.5</v>
      </c>
      <c r="M51" s="44">
        <v>10.5</v>
      </c>
      <c r="N51" s="44">
        <v>10.5</v>
      </c>
      <c r="O51" s="44">
        <v>10.5</v>
      </c>
      <c r="P51" s="44">
        <v>10.5</v>
      </c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8">
        <v>14.9</v>
      </c>
      <c r="AH51" s="46">
        <f t="shared" si="2"/>
        <v>10.5</v>
      </c>
      <c r="AI51" s="47">
        <f t="shared" si="3"/>
        <v>10.5</v>
      </c>
      <c r="AK51" s="49"/>
      <c r="AL51" s="28"/>
      <c r="AM51" s="24"/>
      <c r="AN51" s="24"/>
      <c r="AO51" s="24"/>
      <c r="AP51" s="24"/>
      <c r="AQ51" s="24"/>
      <c r="AR51" s="24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</row>
    <row r="52" spans="1:88" x14ac:dyDescent="0.25">
      <c r="A52" s="42" t="s">
        <v>71</v>
      </c>
      <c r="B52" s="44">
        <v>15</v>
      </c>
      <c r="C52" s="44">
        <v>15</v>
      </c>
      <c r="D52" s="44">
        <v>15</v>
      </c>
      <c r="E52" s="44">
        <v>15</v>
      </c>
      <c r="F52" s="44">
        <v>15</v>
      </c>
      <c r="G52" s="44">
        <v>15</v>
      </c>
      <c r="H52" s="44">
        <v>15</v>
      </c>
      <c r="I52" s="44">
        <v>15</v>
      </c>
      <c r="J52" s="44">
        <v>15</v>
      </c>
      <c r="K52" s="44">
        <v>15</v>
      </c>
      <c r="L52" s="44">
        <v>15</v>
      </c>
      <c r="M52" s="44">
        <v>15</v>
      </c>
      <c r="N52" s="44">
        <v>15</v>
      </c>
      <c r="O52" s="44">
        <v>15</v>
      </c>
      <c r="P52" s="44">
        <v>15</v>
      </c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8">
        <v>14.3</v>
      </c>
      <c r="AH52" s="46">
        <f t="shared" si="2"/>
        <v>15</v>
      </c>
      <c r="AI52" s="47">
        <f t="shared" si="3"/>
        <v>15</v>
      </c>
      <c r="AK52" s="49"/>
      <c r="AL52" s="28"/>
      <c r="AM52" s="24"/>
      <c r="AN52" s="24"/>
      <c r="AO52" s="24"/>
      <c r="AP52" s="24"/>
      <c r="AQ52" s="24"/>
      <c r="AR52" s="24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</row>
    <row r="53" spans="1:88" x14ac:dyDescent="0.25">
      <c r="A53" s="42" t="s">
        <v>72</v>
      </c>
      <c r="B53" s="44">
        <v>14</v>
      </c>
      <c r="C53" s="44">
        <v>14</v>
      </c>
      <c r="D53" s="44">
        <v>8</v>
      </c>
      <c r="E53" s="44">
        <v>8</v>
      </c>
      <c r="F53" s="44">
        <v>8</v>
      </c>
      <c r="G53" s="44">
        <v>8</v>
      </c>
      <c r="H53" s="44">
        <v>8</v>
      </c>
      <c r="I53" s="44">
        <v>8</v>
      </c>
      <c r="J53" s="44">
        <v>8</v>
      </c>
      <c r="K53" s="44">
        <v>8</v>
      </c>
      <c r="L53" s="44">
        <v>8</v>
      </c>
      <c r="M53" s="44">
        <v>8</v>
      </c>
      <c r="N53" s="44">
        <v>8</v>
      </c>
      <c r="O53" s="44">
        <v>8</v>
      </c>
      <c r="P53" s="44">
        <v>10.8</v>
      </c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8">
        <v>14</v>
      </c>
      <c r="AH53" s="46">
        <f t="shared" si="2"/>
        <v>14</v>
      </c>
      <c r="AI53" s="47">
        <f t="shared" si="3"/>
        <v>8</v>
      </c>
      <c r="AK53" s="49"/>
      <c r="AL53" s="28"/>
      <c r="AM53" s="24"/>
      <c r="AN53" s="24"/>
      <c r="AO53" s="24"/>
      <c r="AP53" s="24"/>
      <c r="AQ53" s="24"/>
      <c r="AR53" s="24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</row>
    <row r="54" spans="1:88" x14ac:dyDescent="0.25">
      <c r="A54" s="42" t="s">
        <v>73</v>
      </c>
      <c r="B54" s="44">
        <v>6</v>
      </c>
      <c r="C54" s="44">
        <v>6</v>
      </c>
      <c r="D54" s="44">
        <v>6</v>
      </c>
      <c r="E54" s="44">
        <v>6</v>
      </c>
      <c r="F54" s="44">
        <v>6</v>
      </c>
      <c r="G54" s="44">
        <v>6</v>
      </c>
      <c r="H54" s="44">
        <v>6</v>
      </c>
      <c r="I54" s="44">
        <v>6</v>
      </c>
      <c r="J54" s="44">
        <v>6</v>
      </c>
      <c r="K54" s="44">
        <v>6</v>
      </c>
      <c r="L54" s="44">
        <v>6</v>
      </c>
      <c r="M54" s="44">
        <v>6</v>
      </c>
      <c r="N54" s="44">
        <v>6</v>
      </c>
      <c r="O54" s="44">
        <v>6</v>
      </c>
      <c r="P54" s="44">
        <v>6</v>
      </c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48">
        <v>13.6</v>
      </c>
      <c r="AH54" s="46">
        <f t="shared" si="2"/>
        <v>6</v>
      </c>
      <c r="AI54" s="47">
        <f t="shared" si="3"/>
        <v>6</v>
      </c>
      <c r="AK54" s="49"/>
      <c r="AL54" s="28"/>
      <c r="AM54" s="24"/>
      <c r="AN54" s="24"/>
      <c r="AO54" s="24"/>
      <c r="AP54" s="24"/>
      <c r="AQ54" s="24"/>
      <c r="AR54" s="24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</row>
    <row r="55" spans="1:88" x14ac:dyDescent="0.25">
      <c r="A55" s="42" t="s">
        <v>74</v>
      </c>
      <c r="B55" s="44">
        <v>11.5</v>
      </c>
      <c r="C55" s="44">
        <v>11.5</v>
      </c>
      <c r="D55" s="44">
        <v>11.5</v>
      </c>
      <c r="E55" s="44">
        <v>11.5</v>
      </c>
      <c r="F55" s="44">
        <v>11.5</v>
      </c>
      <c r="G55" s="44">
        <v>11.5</v>
      </c>
      <c r="H55" s="44">
        <v>11.5</v>
      </c>
      <c r="I55" s="44">
        <v>11.5</v>
      </c>
      <c r="J55" s="44">
        <v>11.5</v>
      </c>
      <c r="K55" s="44">
        <v>11.5</v>
      </c>
      <c r="L55" s="44">
        <v>11.5</v>
      </c>
      <c r="M55" s="44">
        <v>11.5</v>
      </c>
      <c r="N55" s="44">
        <v>11.5</v>
      </c>
      <c r="O55" s="44">
        <v>11.5</v>
      </c>
      <c r="P55" s="44">
        <v>11.5</v>
      </c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8">
        <v>13.5</v>
      </c>
      <c r="AH55" s="46">
        <f t="shared" si="2"/>
        <v>11.5</v>
      </c>
      <c r="AI55" s="47">
        <f t="shared" si="3"/>
        <v>11.5</v>
      </c>
      <c r="AK55" s="49"/>
      <c r="AL55" s="28"/>
      <c r="AM55" s="24"/>
      <c r="AN55" s="24"/>
      <c r="AO55" s="24"/>
      <c r="AP55" s="24"/>
      <c r="AQ55" s="24"/>
      <c r="AR55" s="24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</row>
    <row r="56" spans="1:88" x14ac:dyDescent="0.25">
      <c r="A56" s="42" t="s">
        <v>75</v>
      </c>
      <c r="B56" s="44">
        <v>10</v>
      </c>
      <c r="C56" s="44">
        <v>10</v>
      </c>
      <c r="D56" s="44">
        <v>10</v>
      </c>
      <c r="E56" s="44">
        <v>10</v>
      </c>
      <c r="F56" s="44">
        <v>10</v>
      </c>
      <c r="G56" s="44">
        <v>10</v>
      </c>
      <c r="H56" s="44">
        <v>10</v>
      </c>
      <c r="I56" s="44">
        <v>10</v>
      </c>
      <c r="J56" s="44">
        <v>10</v>
      </c>
      <c r="K56" s="44">
        <v>10</v>
      </c>
      <c r="L56" s="44">
        <v>10</v>
      </c>
      <c r="M56" s="44">
        <v>10</v>
      </c>
      <c r="N56" s="44">
        <v>10</v>
      </c>
      <c r="O56" s="44">
        <v>10</v>
      </c>
      <c r="P56" s="44">
        <v>10</v>
      </c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8">
        <v>13</v>
      </c>
      <c r="AH56" s="46">
        <f t="shared" si="2"/>
        <v>10</v>
      </c>
      <c r="AI56" s="47">
        <f t="shared" si="3"/>
        <v>10</v>
      </c>
      <c r="AK56" s="49"/>
      <c r="AL56" s="28"/>
      <c r="AM56" s="24"/>
      <c r="AN56" s="24"/>
      <c r="AO56" s="24"/>
      <c r="AP56" s="24"/>
      <c r="AQ56" s="24"/>
      <c r="AR56" s="24"/>
      <c r="AS56" s="24"/>
      <c r="AT56" s="24"/>
      <c r="AU56" s="24"/>
      <c r="AV56" s="24"/>
      <c r="AW56" s="24"/>
      <c r="AX56" s="24"/>
      <c r="AY56" s="24"/>
      <c r="AZ56" s="24"/>
      <c r="BA56" s="24"/>
      <c r="BB56" s="24"/>
      <c r="BC56" s="24"/>
      <c r="BD56" s="24"/>
      <c r="BE56" s="24"/>
      <c r="BF56" s="24"/>
      <c r="BG56" s="24"/>
      <c r="BH56" s="24"/>
      <c r="BI56" s="24"/>
      <c r="BJ56" s="24"/>
      <c r="BK56" s="24"/>
      <c r="BL56" s="24"/>
      <c r="BM56" s="24"/>
      <c r="BN56" s="24"/>
      <c r="BO56" s="24"/>
      <c r="BP56" s="24"/>
      <c r="BQ56" s="24"/>
      <c r="BR56" s="24"/>
      <c r="BS56" s="24"/>
      <c r="BT56" s="24"/>
      <c r="BU56" s="24"/>
      <c r="BV56" s="24"/>
      <c r="BW56" s="24"/>
      <c r="BX56" s="24"/>
      <c r="BY56" s="24"/>
      <c r="BZ56" s="24"/>
      <c r="CA56" s="24"/>
      <c r="CB56" s="24"/>
      <c r="CC56" s="24"/>
      <c r="CD56" s="24"/>
      <c r="CE56" s="24"/>
      <c r="CF56" s="24"/>
      <c r="CG56" s="24"/>
      <c r="CH56" s="24"/>
      <c r="CI56" s="24"/>
      <c r="CJ56" s="24"/>
    </row>
    <row r="57" spans="1:88" x14ac:dyDescent="0.25">
      <c r="A57" s="42" t="s">
        <v>76</v>
      </c>
      <c r="B57" s="44">
        <v>4.5</v>
      </c>
      <c r="C57" s="44">
        <v>4.5</v>
      </c>
      <c r="D57" s="44">
        <v>0</v>
      </c>
      <c r="E57" s="44">
        <v>0</v>
      </c>
      <c r="F57" s="44">
        <v>5.3</v>
      </c>
      <c r="G57" s="44">
        <v>5.3</v>
      </c>
      <c r="H57" s="44">
        <v>5.3</v>
      </c>
      <c r="I57" s="44">
        <v>5.3</v>
      </c>
      <c r="J57" s="44">
        <v>5.3</v>
      </c>
      <c r="K57" s="44">
        <v>5.3</v>
      </c>
      <c r="L57" s="44">
        <v>5.3</v>
      </c>
      <c r="M57" s="44">
        <v>5.3</v>
      </c>
      <c r="N57" s="44">
        <v>5.3</v>
      </c>
      <c r="O57" s="44">
        <v>5.3</v>
      </c>
      <c r="P57" s="44">
        <v>6</v>
      </c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8">
        <v>12</v>
      </c>
      <c r="AH57" s="46">
        <f t="shared" si="2"/>
        <v>6</v>
      </c>
      <c r="AI57" s="47">
        <f t="shared" si="3"/>
        <v>0</v>
      </c>
      <c r="AK57" s="49"/>
      <c r="AL57" s="28"/>
      <c r="AM57" s="24"/>
      <c r="AN57" s="24"/>
      <c r="AO57" s="24"/>
      <c r="AP57" s="24"/>
      <c r="AQ57" s="24"/>
      <c r="AR57" s="24"/>
      <c r="AS57" s="24"/>
      <c r="AT57" s="24"/>
      <c r="AU57" s="24"/>
      <c r="AV57" s="24"/>
      <c r="AW57" s="24"/>
      <c r="AX57" s="24"/>
      <c r="AY57" s="24"/>
      <c r="AZ57" s="24"/>
      <c r="BA57" s="24"/>
      <c r="BB57" s="24"/>
      <c r="BC57" s="24"/>
      <c r="BD57" s="24"/>
      <c r="BE57" s="24"/>
      <c r="BF57" s="24"/>
      <c r="BG57" s="24"/>
      <c r="BH57" s="24"/>
      <c r="BI57" s="24"/>
      <c r="BJ57" s="24"/>
      <c r="BK57" s="24"/>
      <c r="BL57" s="24"/>
      <c r="BM57" s="24"/>
      <c r="BN57" s="24"/>
      <c r="BO57" s="24"/>
      <c r="BP57" s="24"/>
      <c r="BQ57" s="24"/>
      <c r="BR57" s="24"/>
      <c r="BS57" s="24"/>
      <c r="BT57" s="24"/>
      <c r="BU57" s="24"/>
      <c r="BV57" s="24"/>
      <c r="BW57" s="24"/>
      <c r="BX57" s="24"/>
      <c r="BY57" s="24"/>
      <c r="BZ57" s="24"/>
      <c r="CA57" s="24"/>
      <c r="CB57" s="24"/>
      <c r="CC57" s="24"/>
      <c r="CD57" s="24"/>
      <c r="CE57" s="24"/>
      <c r="CF57" s="24"/>
      <c r="CG57" s="24"/>
      <c r="CH57" s="24"/>
      <c r="CI57" s="24"/>
      <c r="CJ57" s="24"/>
    </row>
    <row r="58" spans="1:88" ht="14.25" customHeight="1" x14ac:dyDescent="0.25">
      <c r="A58" s="42" t="s">
        <v>77</v>
      </c>
      <c r="B58" s="44">
        <v>13.2</v>
      </c>
      <c r="C58" s="44">
        <v>13.2</v>
      </c>
      <c r="D58" s="44">
        <v>13.2</v>
      </c>
      <c r="E58" s="44">
        <v>13.2</v>
      </c>
      <c r="F58" s="44">
        <v>13.2</v>
      </c>
      <c r="G58" s="44">
        <v>13.2</v>
      </c>
      <c r="H58" s="44">
        <v>13.2</v>
      </c>
      <c r="I58" s="44">
        <v>13.2</v>
      </c>
      <c r="J58" s="44">
        <v>13.2</v>
      </c>
      <c r="K58" s="44">
        <v>13.2</v>
      </c>
      <c r="L58" s="44">
        <v>13.2</v>
      </c>
      <c r="M58" s="44">
        <v>13.2</v>
      </c>
      <c r="N58" s="44">
        <v>13.2</v>
      </c>
      <c r="O58" s="44">
        <v>13.2</v>
      </c>
      <c r="P58" s="44">
        <v>13.2</v>
      </c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  <c r="AG58" s="48">
        <v>12</v>
      </c>
      <c r="AH58" s="46">
        <f t="shared" si="2"/>
        <v>13.2</v>
      </c>
      <c r="AI58" s="47">
        <f t="shared" si="3"/>
        <v>13.2</v>
      </c>
      <c r="AK58" s="49"/>
      <c r="AL58" s="28"/>
      <c r="AM58" s="24"/>
      <c r="AN58" s="24"/>
      <c r="AO58" s="24"/>
      <c r="AP58" s="24"/>
      <c r="AQ58" s="15"/>
      <c r="AR58" s="21"/>
      <c r="AS58" s="24"/>
      <c r="AT58" s="24"/>
      <c r="AU58" s="24"/>
      <c r="AV58" s="24"/>
      <c r="AW58" s="24"/>
      <c r="AX58" s="24"/>
      <c r="AY58" s="24"/>
      <c r="AZ58" s="24"/>
      <c r="BA58" s="24"/>
      <c r="BB58" s="24"/>
      <c r="BC58" s="24"/>
      <c r="BD58" s="24"/>
      <c r="BE58" s="24"/>
      <c r="BF58" s="24"/>
      <c r="BG58" s="24"/>
      <c r="BH58" s="24"/>
      <c r="BI58" s="24"/>
      <c r="BJ58" s="24"/>
      <c r="BK58" s="24"/>
      <c r="BL58" s="24"/>
      <c r="BM58" s="24"/>
      <c r="BN58" s="24"/>
      <c r="BO58" s="24"/>
      <c r="BP58" s="24"/>
      <c r="BQ58" s="24"/>
      <c r="BR58" s="24"/>
      <c r="BS58" s="24"/>
      <c r="BT58" s="24"/>
      <c r="BU58" s="24"/>
      <c r="BV58" s="24"/>
      <c r="BW58" s="24"/>
      <c r="BX58" s="24"/>
      <c r="BY58" s="24"/>
      <c r="BZ58" s="24"/>
      <c r="CA58" s="24"/>
      <c r="CB58" s="24"/>
      <c r="CC58" s="24"/>
      <c r="CD58" s="24"/>
      <c r="CE58" s="24"/>
      <c r="CF58" s="24"/>
      <c r="CG58" s="24"/>
      <c r="CH58" s="24"/>
      <c r="CI58" s="24"/>
      <c r="CJ58" s="24"/>
    </row>
    <row r="59" spans="1:88" ht="14.25" customHeight="1" x14ac:dyDescent="0.25">
      <c r="A59" s="42" t="s">
        <v>78</v>
      </c>
      <c r="B59" s="44">
        <v>0</v>
      </c>
      <c r="C59" s="44">
        <v>0</v>
      </c>
      <c r="D59" s="44">
        <v>0</v>
      </c>
      <c r="E59" s="44">
        <v>0</v>
      </c>
      <c r="F59" s="44">
        <v>0</v>
      </c>
      <c r="G59" s="44">
        <v>0</v>
      </c>
      <c r="H59" s="44">
        <v>0</v>
      </c>
      <c r="I59" s="44">
        <v>0</v>
      </c>
      <c r="J59" s="44">
        <v>0</v>
      </c>
      <c r="K59" s="44">
        <v>0</v>
      </c>
      <c r="L59" s="44">
        <v>0</v>
      </c>
      <c r="M59" s="44">
        <v>0</v>
      </c>
      <c r="N59" s="44">
        <v>0</v>
      </c>
      <c r="O59" s="44">
        <v>0</v>
      </c>
      <c r="P59" s="44">
        <v>0</v>
      </c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  <c r="AG59" s="48">
        <v>12</v>
      </c>
      <c r="AH59" s="46">
        <f t="shared" si="2"/>
        <v>0</v>
      </c>
      <c r="AI59" s="47">
        <f t="shared" si="3"/>
        <v>0</v>
      </c>
      <c r="AK59" s="49"/>
      <c r="AL59" s="28"/>
      <c r="AM59" s="24"/>
      <c r="AN59" s="24"/>
      <c r="AO59" s="24"/>
      <c r="AP59" s="24"/>
      <c r="AQ59" s="15"/>
      <c r="AR59" s="21"/>
      <c r="AS59" s="24"/>
      <c r="AT59" s="24"/>
      <c r="AU59" s="24"/>
      <c r="AV59" s="24"/>
      <c r="AW59" s="24"/>
      <c r="AX59" s="24"/>
      <c r="AY59" s="24"/>
      <c r="AZ59" s="24"/>
      <c r="BA59" s="24"/>
      <c r="BB59" s="24"/>
      <c r="BC59" s="24"/>
      <c r="BD59" s="24"/>
      <c r="BE59" s="24"/>
      <c r="BF59" s="24"/>
      <c r="BG59" s="24"/>
      <c r="BH59" s="24"/>
      <c r="BI59" s="24"/>
      <c r="BJ59" s="24"/>
      <c r="BK59" s="24"/>
      <c r="BL59" s="24"/>
      <c r="BM59" s="24"/>
      <c r="BN59" s="24"/>
      <c r="BO59" s="24"/>
      <c r="BP59" s="24"/>
      <c r="BQ59" s="24"/>
      <c r="BR59" s="24"/>
      <c r="BS59" s="24"/>
      <c r="BT59" s="24"/>
      <c r="BU59" s="24"/>
      <c r="BV59" s="24"/>
      <c r="BW59" s="24"/>
      <c r="BX59" s="24"/>
      <c r="BY59" s="24"/>
      <c r="BZ59" s="24"/>
      <c r="CA59" s="24"/>
      <c r="CB59" s="24"/>
      <c r="CC59" s="24"/>
      <c r="CD59" s="24"/>
      <c r="CE59" s="24"/>
      <c r="CF59" s="24"/>
      <c r="CG59" s="24"/>
      <c r="CH59" s="24"/>
      <c r="CI59" s="24"/>
      <c r="CJ59" s="24"/>
    </row>
    <row r="60" spans="1:88" ht="14.25" customHeight="1" x14ac:dyDescent="0.25">
      <c r="A60" s="42" t="s">
        <v>79</v>
      </c>
      <c r="B60" s="44">
        <v>9.9</v>
      </c>
      <c r="C60" s="44">
        <v>9.9</v>
      </c>
      <c r="D60" s="44">
        <v>9.9</v>
      </c>
      <c r="E60" s="44">
        <v>9.9</v>
      </c>
      <c r="F60" s="44">
        <v>9.9</v>
      </c>
      <c r="G60" s="44">
        <v>9.9</v>
      </c>
      <c r="H60" s="44">
        <v>9.9</v>
      </c>
      <c r="I60" s="44">
        <v>9.9</v>
      </c>
      <c r="J60" s="44">
        <v>9.9</v>
      </c>
      <c r="K60" s="44">
        <v>9.9</v>
      </c>
      <c r="L60" s="44">
        <v>9.9</v>
      </c>
      <c r="M60" s="44">
        <v>9.9</v>
      </c>
      <c r="N60" s="44">
        <v>9.9</v>
      </c>
      <c r="O60" s="44">
        <v>9.9</v>
      </c>
      <c r="P60" s="44">
        <v>9.9</v>
      </c>
      <c r="Q60" s="44"/>
      <c r="R60" s="44"/>
      <c r="S60" s="44"/>
      <c r="T60" s="44"/>
      <c r="U60" s="44"/>
      <c r="V60" s="44"/>
      <c r="W60" s="44"/>
      <c r="X60" s="44"/>
      <c r="Y60" s="44"/>
      <c r="Z60" s="44"/>
      <c r="AA60" s="44"/>
      <c r="AB60" s="44"/>
      <c r="AC60" s="44"/>
      <c r="AD60" s="44"/>
      <c r="AE60" s="44"/>
      <c r="AF60" s="44"/>
      <c r="AG60" s="48">
        <v>12</v>
      </c>
      <c r="AH60" s="46">
        <f t="shared" si="2"/>
        <v>9.9</v>
      </c>
      <c r="AI60" s="47">
        <f t="shared" si="3"/>
        <v>9.9</v>
      </c>
      <c r="AK60" s="49"/>
      <c r="AL60" s="28"/>
      <c r="AM60" s="24"/>
      <c r="AN60" s="24"/>
      <c r="AO60" s="24"/>
      <c r="AP60" s="24"/>
      <c r="AQ60" s="15"/>
      <c r="AR60" s="21"/>
      <c r="AS60" s="24"/>
      <c r="AT60" s="24"/>
      <c r="AU60" s="24"/>
      <c r="AV60" s="24"/>
      <c r="AW60" s="24"/>
      <c r="AX60" s="24"/>
      <c r="AY60" s="24"/>
      <c r="AZ60" s="24"/>
      <c r="BA60" s="24"/>
      <c r="BB60" s="24"/>
      <c r="BC60" s="24"/>
      <c r="BD60" s="24"/>
      <c r="BE60" s="24"/>
      <c r="BF60" s="24"/>
      <c r="BG60" s="24"/>
      <c r="BH60" s="24"/>
      <c r="BI60" s="24"/>
      <c r="BJ60" s="24"/>
      <c r="BK60" s="24"/>
      <c r="BL60" s="24"/>
      <c r="BM60" s="24"/>
      <c r="BN60" s="24"/>
      <c r="BO60" s="24"/>
      <c r="BP60" s="24"/>
      <c r="BQ60" s="24"/>
      <c r="BR60" s="24"/>
      <c r="BS60" s="24"/>
      <c r="BT60" s="24"/>
      <c r="BU60" s="24"/>
      <c r="BV60" s="24"/>
      <c r="BW60" s="24"/>
      <c r="BX60" s="24"/>
      <c r="BY60" s="24"/>
      <c r="BZ60" s="24"/>
      <c r="CA60" s="24"/>
      <c r="CB60" s="24"/>
      <c r="CC60" s="24"/>
      <c r="CD60" s="24"/>
      <c r="CE60" s="24"/>
      <c r="CF60" s="24"/>
      <c r="CG60" s="24"/>
      <c r="CH60" s="24"/>
      <c r="CI60" s="24"/>
      <c r="CJ60" s="24"/>
    </row>
    <row r="61" spans="1:88" ht="14.25" customHeight="1" x14ac:dyDescent="0.25">
      <c r="A61" s="42" t="s">
        <v>80</v>
      </c>
      <c r="B61" s="44">
        <v>12.7</v>
      </c>
      <c r="C61" s="44">
        <v>12.7</v>
      </c>
      <c r="D61" s="44">
        <v>12</v>
      </c>
      <c r="E61" s="44">
        <v>12</v>
      </c>
      <c r="F61" s="44">
        <v>12</v>
      </c>
      <c r="G61" s="44">
        <v>12</v>
      </c>
      <c r="H61" s="44">
        <v>12</v>
      </c>
      <c r="I61" s="44">
        <v>12</v>
      </c>
      <c r="J61" s="44">
        <v>12</v>
      </c>
      <c r="K61" s="44">
        <v>12</v>
      </c>
      <c r="L61" s="44">
        <v>12</v>
      </c>
      <c r="M61" s="44">
        <v>12</v>
      </c>
      <c r="N61" s="44">
        <v>12</v>
      </c>
      <c r="O61" s="44">
        <v>12</v>
      </c>
      <c r="P61" s="44">
        <v>12</v>
      </c>
      <c r="Q61" s="44"/>
      <c r="R61" s="44"/>
      <c r="S61" s="44"/>
      <c r="T61" s="44"/>
      <c r="U61" s="44"/>
      <c r="V61" s="44"/>
      <c r="W61" s="44"/>
      <c r="X61" s="44"/>
      <c r="Y61" s="44"/>
      <c r="Z61" s="44"/>
      <c r="AA61" s="44"/>
      <c r="AB61" s="44"/>
      <c r="AC61" s="44"/>
      <c r="AD61" s="44"/>
      <c r="AE61" s="44"/>
      <c r="AF61" s="44"/>
      <c r="AG61" s="48">
        <v>12</v>
      </c>
      <c r="AH61" s="46">
        <f t="shared" si="2"/>
        <v>12.7</v>
      </c>
      <c r="AI61" s="47">
        <f t="shared" si="3"/>
        <v>12</v>
      </c>
      <c r="AK61" s="49"/>
      <c r="AL61" s="28"/>
      <c r="AM61" s="24"/>
      <c r="AN61" s="24"/>
      <c r="AO61" s="24"/>
      <c r="AP61" s="24"/>
      <c r="AQ61" s="15"/>
      <c r="AR61" s="21"/>
      <c r="AS61" s="24"/>
      <c r="AT61" s="24"/>
      <c r="AU61" s="24"/>
      <c r="AV61" s="24"/>
      <c r="AW61" s="24"/>
      <c r="AX61" s="24"/>
      <c r="AY61" s="24"/>
      <c r="AZ61" s="24"/>
      <c r="BA61" s="24"/>
      <c r="BB61" s="24"/>
      <c r="BC61" s="24"/>
      <c r="BD61" s="24"/>
      <c r="BE61" s="24"/>
      <c r="BF61" s="24"/>
      <c r="BG61" s="24"/>
      <c r="BH61" s="24"/>
      <c r="BI61" s="24"/>
      <c r="BJ61" s="24"/>
      <c r="BK61" s="24"/>
      <c r="BL61" s="24"/>
      <c r="BM61" s="24"/>
      <c r="BN61" s="24"/>
      <c r="BO61" s="24"/>
      <c r="BP61" s="24"/>
      <c r="BQ61" s="24"/>
      <c r="BR61" s="24"/>
      <c r="BS61" s="24"/>
      <c r="BT61" s="24"/>
      <c r="BU61" s="24"/>
      <c r="BV61" s="24"/>
      <c r="BW61" s="24"/>
      <c r="BX61" s="24"/>
      <c r="BY61" s="24"/>
      <c r="BZ61" s="24"/>
      <c r="CA61" s="24"/>
      <c r="CB61" s="24"/>
      <c r="CC61" s="24"/>
      <c r="CD61" s="24"/>
      <c r="CE61" s="24"/>
      <c r="CF61" s="24"/>
      <c r="CG61" s="24"/>
      <c r="CH61" s="24"/>
      <c r="CI61" s="24"/>
      <c r="CJ61" s="24"/>
    </row>
    <row r="62" spans="1:88" ht="14.25" customHeight="1" x14ac:dyDescent="0.25">
      <c r="A62" s="42" t="s">
        <v>81</v>
      </c>
      <c r="B62" s="44">
        <v>10.5</v>
      </c>
      <c r="C62" s="44">
        <v>10.5</v>
      </c>
      <c r="D62" s="44">
        <v>10.5</v>
      </c>
      <c r="E62" s="44">
        <v>10.5</v>
      </c>
      <c r="F62" s="44">
        <v>10.5</v>
      </c>
      <c r="G62" s="44">
        <v>10.5</v>
      </c>
      <c r="H62" s="44">
        <v>10.5</v>
      </c>
      <c r="I62" s="44">
        <v>10.5</v>
      </c>
      <c r="J62" s="44">
        <v>10.5</v>
      </c>
      <c r="K62" s="44">
        <v>10.5</v>
      </c>
      <c r="L62" s="44">
        <v>10.5</v>
      </c>
      <c r="M62" s="44">
        <v>10.5</v>
      </c>
      <c r="N62" s="44">
        <v>10.5</v>
      </c>
      <c r="O62" s="44">
        <v>10.5</v>
      </c>
      <c r="P62" s="44">
        <v>10.5</v>
      </c>
      <c r="Q62" s="44"/>
      <c r="R62" s="44"/>
      <c r="S62" s="44"/>
      <c r="T62" s="44"/>
      <c r="U62" s="44"/>
      <c r="V62" s="44"/>
      <c r="W62" s="44"/>
      <c r="X62" s="44"/>
      <c r="Y62" s="44"/>
      <c r="Z62" s="44"/>
      <c r="AA62" s="44"/>
      <c r="AB62" s="44"/>
      <c r="AC62" s="44"/>
      <c r="AD62" s="44"/>
      <c r="AE62" s="44"/>
      <c r="AF62" s="44"/>
      <c r="AG62" s="48">
        <v>11.88</v>
      </c>
      <c r="AH62" s="46">
        <f t="shared" si="2"/>
        <v>10.5</v>
      </c>
      <c r="AI62" s="47">
        <f t="shared" si="3"/>
        <v>10.5</v>
      </c>
      <c r="AK62" s="49"/>
      <c r="AL62" s="28"/>
      <c r="AM62" s="24"/>
      <c r="AN62" s="24"/>
      <c r="AO62" s="24"/>
      <c r="AP62" s="24"/>
      <c r="AQ62" s="15"/>
      <c r="AR62" s="21"/>
      <c r="AS62" s="24"/>
      <c r="AT62" s="24"/>
      <c r="AU62" s="24"/>
      <c r="AV62" s="24"/>
      <c r="AW62" s="24"/>
      <c r="AX62" s="24"/>
      <c r="AY62" s="24"/>
      <c r="AZ62" s="24"/>
      <c r="BA62" s="24"/>
      <c r="BB62" s="24"/>
      <c r="BC62" s="24"/>
      <c r="BD62" s="24"/>
      <c r="BE62" s="24"/>
      <c r="BF62" s="24"/>
      <c r="BG62" s="24"/>
      <c r="BH62" s="24"/>
      <c r="BI62" s="24"/>
      <c r="BJ62" s="24"/>
      <c r="BK62" s="24"/>
      <c r="BL62" s="24"/>
      <c r="BM62" s="24"/>
      <c r="BN62" s="24"/>
      <c r="BO62" s="24"/>
      <c r="BP62" s="24"/>
      <c r="BQ62" s="24"/>
      <c r="BR62" s="24"/>
      <c r="BS62" s="24"/>
      <c r="BT62" s="24"/>
      <c r="BU62" s="24"/>
      <c r="BV62" s="24"/>
      <c r="BW62" s="24"/>
      <c r="BX62" s="24"/>
      <c r="BY62" s="24"/>
      <c r="BZ62" s="24"/>
      <c r="CA62" s="24"/>
      <c r="CB62" s="24"/>
      <c r="CC62" s="24"/>
      <c r="CD62" s="24"/>
      <c r="CE62" s="24"/>
      <c r="CF62" s="24"/>
      <c r="CG62" s="24"/>
      <c r="CH62" s="24"/>
      <c r="CI62" s="24"/>
      <c r="CJ62" s="24"/>
    </row>
    <row r="63" spans="1:88" ht="14.25" customHeight="1" x14ac:dyDescent="0.25">
      <c r="A63" s="42" t="s">
        <v>82</v>
      </c>
      <c r="B63" s="44">
        <v>10.6</v>
      </c>
      <c r="C63" s="44">
        <v>10.6</v>
      </c>
      <c r="D63" s="44">
        <v>10.6</v>
      </c>
      <c r="E63" s="44">
        <v>10.6</v>
      </c>
      <c r="F63" s="44">
        <v>10.6</v>
      </c>
      <c r="G63" s="44">
        <v>10.6</v>
      </c>
      <c r="H63" s="44">
        <v>10.6</v>
      </c>
      <c r="I63" s="44">
        <v>10.6</v>
      </c>
      <c r="J63" s="44">
        <v>10.6</v>
      </c>
      <c r="K63" s="44">
        <v>10.6</v>
      </c>
      <c r="L63" s="44">
        <v>10.6</v>
      </c>
      <c r="M63" s="44">
        <v>10.6</v>
      </c>
      <c r="N63" s="44">
        <v>10.6</v>
      </c>
      <c r="O63" s="44">
        <v>10.6</v>
      </c>
      <c r="P63" s="44">
        <v>5.6</v>
      </c>
      <c r="Q63" s="44"/>
      <c r="R63" s="44"/>
      <c r="S63" s="44"/>
      <c r="T63" s="44"/>
      <c r="U63" s="44"/>
      <c r="V63" s="44"/>
      <c r="W63" s="44"/>
      <c r="X63" s="44"/>
      <c r="Y63" s="44"/>
      <c r="Z63" s="44"/>
      <c r="AA63" s="44"/>
      <c r="AB63" s="44"/>
      <c r="AC63" s="44"/>
      <c r="AD63" s="44"/>
      <c r="AE63" s="44"/>
      <c r="AF63" s="44"/>
      <c r="AG63" s="48">
        <v>11</v>
      </c>
      <c r="AH63" s="46">
        <f t="shared" si="2"/>
        <v>10.6</v>
      </c>
      <c r="AI63" s="47">
        <f t="shared" si="3"/>
        <v>5.6</v>
      </c>
      <c r="AK63" s="49"/>
      <c r="AL63" s="28"/>
      <c r="AM63" s="24"/>
      <c r="AN63" s="24"/>
      <c r="AO63" s="24"/>
      <c r="AP63" s="24"/>
      <c r="AQ63" s="15"/>
      <c r="AR63" s="21"/>
      <c r="AS63" s="24"/>
      <c r="AT63" s="24"/>
      <c r="AU63" s="24"/>
      <c r="AV63" s="24"/>
      <c r="AW63" s="24"/>
      <c r="AX63" s="24"/>
      <c r="AY63" s="24"/>
      <c r="AZ63" s="24"/>
      <c r="BA63" s="24"/>
      <c r="BB63" s="24"/>
      <c r="BC63" s="24"/>
      <c r="BD63" s="24"/>
      <c r="BE63" s="24"/>
      <c r="BF63" s="24"/>
      <c r="BG63" s="24"/>
      <c r="BH63" s="24"/>
      <c r="BI63" s="24"/>
      <c r="BJ63" s="24"/>
      <c r="BK63" s="24"/>
      <c r="BL63" s="24"/>
      <c r="BM63" s="24"/>
      <c r="BN63" s="24"/>
      <c r="BO63" s="24"/>
      <c r="BP63" s="24"/>
      <c r="BQ63" s="24"/>
      <c r="BR63" s="24"/>
      <c r="BS63" s="24"/>
      <c r="BT63" s="24"/>
      <c r="BU63" s="24"/>
      <c r="BV63" s="24"/>
      <c r="BW63" s="24"/>
      <c r="BX63" s="24"/>
      <c r="BY63" s="24"/>
      <c r="BZ63" s="24"/>
      <c r="CA63" s="24"/>
      <c r="CB63" s="24"/>
      <c r="CC63" s="24"/>
      <c r="CD63" s="24"/>
      <c r="CE63" s="24"/>
      <c r="CF63" s="24"/>
      <c r="CG63" s="24"/>
      <c r="CH63" s="24"/>
      <c r="CI63" s="24"/>
      <c r="CJ63" s="24"/>
    </row>
    <row r="64" spans="1:88" ht="14.25" customHeight="1" x14ac:dyDescent="0.25">
      <c r="A64" s="42" t="s">
        <v>83</v>
      </c>
      <c r="B64" s="44">
        <v>10</v>
      </c>
      <c r="C64" s="44">
        <v>10</v>
      </c>
      <c r="D64" s="44">
        <v>10</v>
      </c>
      <c r="E64" s="44">
        <v>10</v>
      </c>
      <c r="F64" s="44">
        <v>10</v>
      </c>
      <c r="G64" s="44">
        <v>10</v>
      </c>
      <c r="H64" s="44">
        <v>10</v>
      </c>
      <c r="I64" s="44">
        <v>10</v>
      </c>
      <c r="J64" s="44">
        <v>10</v>
      </c>
      <c r="K64" s="44">
        <v>10</v>
      </c>
      <c r="L64" s="44">
        <v>10</v>
      </c>
      <c r="M64" s="44">
        <v>10</v>
      </c>
      <c r="N64" s="44">
        <v>10</v>
      </c>
      <c r="O64" s="44">
        <v>10</v>
      </c>
      <c r="P64" s="44">
        <v>10</v>
      </c>
      <c r="Q64" s="44"/>
      <c r="R64" s="44"/>
      <c r="S64" s="44"/>
      <c r="T64" s="44"/>
      <c r="U64" s="44"/>
      <c r="V64" s="44"/>
      <c r="W64" s="44"/>
      <c r="X64" s="44"/>
      <c r="Y64" s="44"/>
      <c r="Z64" s="44"/>
      <c r="AA64" s="44"/>
      <c r="AB64" s="44"/>
      <c r="AC64" s="44"/>
      <c r="AD64" s="44"/>
      <c r="AE64" s="44"/>
      <c r="AF64" s="44"/>
      <c r="AG64" s="48">
        <v>11</v>
      </c>
      <c r="AH64" s="46">
        <f>MAX(B64:AF64)</f>
        <v>10</v>
      </c>
      <c r="AI64" s="47">
        <f>MIN(B64:AF64)</f>
        <v>10</v>
      </c>
      <c r="AK64" s="49"/>
      <c r="AL64" s="28"/>
      <c r="AM64" s="24"/>
      <c r="AN64" s="24"/>
      <c r="AO64" s="24"/>
      <c r="AP64" s="24"/>
      <c r="AQ64" s="15"/>
      <c r="AR64" s="21"/>
      <c r="AS64" s="24"/>
      <c r="AT64" s="24"/>
      <c r="AU64" s="24"/>
      <c r="AV64" s="24"/>
      <c r="AW64" s="24"/>
      <c r="AX64" s="24"/>
      <c r="AY64" s="24"/>
      <c r="AZ64" s="24"/>
      <c r="BA64" s="24"/>
      <c r="BB64" s="24"/>
      <c r="BC64" s="24"/>
      <c r="BD64" s="24"/>
      <c r="BE64" s="24"/>
      <c r="BF64" s="24"/>
      <c r="BG64" s="24"/>
      <c r="BH64" s="24"/>
      <c r="BI64" s="24"/>
      <c r="BJ64" s="24"/>
      <c r="BK64" s="24"/>
      <c r="BL64" s="24"/>
      <c r="BM64" s="24"/>
      <c r="BN64" s="24"/>
      <c r="BO64" s="24"/>
      <c r="BP64" s="24"/>
      <c r="BQ64" s="24"/>
      <c r="BR64" s="24"/>
      <c r="BS64" s="24"/>
      <c r="BT64" s="24"/>
      <c r="BU64" s="24"/>
      <c r="BV64" s="24"/>
      <c r="BW64" s="24"/>
      <c r="BX64" s="24"/>
      <c r="BY64" s="24"/>
      <c r="BZ64" s="24"/>
      <c r="CA64" s="24"/>
      <c r="CB64" s="24"/>
      <c r="CC64" s="24"/>
      <c r="CD64" s="24"/>
      <c r="CE64" s="24"/>
      <c r="CF64" s="24"/>
      <c r="CG64" s="24"/>
      <c r="CH64" s="24"/>
      <c r="CI64" s="24"/>
      <c r="CJ64" s="24"/>
    </row>
    <row r="65" spans="1:88" ht="14.25" customHeight="1" x14ac:dyDescent="0.25">
      <c r="A65" s="42" t="s">
        <v>84</v>
      </c>
      <c r="B65" s="44">
        <v>11.6</v>
      </c>
      <c r="C65" s="44">
        <v>11.6</v>
      </c>
      <c r="D65" s="44">
        <v>11.6</v>
      </c>
      <c r="E65" s="44">
        <v>11.6</v>
      </c>
      <c r="F65" s="44">
        <v>11.6</v>
      </c>
      <c r="G65" s="44">
        <v>11.6</v>
      </c>
      <c r="H65" s="44">
        <v>11.6</v>
      </c>
      <c r="I65" s="44">
        <v>11.6</v>
      </c>
      <c r="J65" s="44">
        <v>11.6</v>
      </c>
      <c r="K65" s="44">
        <v>11.6</v>
      </c>
      <c r="L65" s="44">
        <v>11.6</v>
      </c>
      <c r="M65" s="44">
        <v>11.6</v>
      </c>
      <c r="N65" s="44">
        <v>11.6</v>
      </c>
      <c r="O65" s="44">
        <v>11.6</v>
      </c>
      <c r="P65" s="44">
        <v>11.6</v>
      </c>
      <c r="Q65" s="44"/>
      <c r="R65" s="44"/>
      <c r="S65" s="44"/>
      <c r="T65" s="44"/>
      <c r="U65" s="44"/>
      <c r="V65" s="44"/>
      <c r="W65" s="44"/>
      <c r="X65" s="44"/>
      <c r="Y65" s="44"/>
      <c r="Z65" s="44"/>
      <c r="AA65" s="44"/>
      <c r="AB65" s="44"/>
      <c r="AC65" s="44"/>
      <c r="AD65" s="44"/>
      <c r="AE65" s="44"/>
      <c r="AF65" s="44"/>
      <c r="AG65" s="48">
        <v>10.7</v>
      </c>
      <c r="AH65" s="46">
        <f t="shared" si="2"/>
        <v>11.6</v>
      </c>
      <c r="AI65" s="47">
        <f t="shared" si="3"/>
        <v>11.6</v>
      </c>
      <c r="AK65" s="49"/>
      <c r="AL65" s="28"/>
      <c r="AM65" s="24"/>
      <c r="AN65" s="24"/>
      <c r="AO65" s="24"/>
      <c r="AP65" s="24"/>
      <c r="AQ65" s="15"/>
      <c r="AR65" s="21"/>
      <c r="AS65" s="24"/>
      <c r="AT65" s="24"/>
      <c r="AU65" s="24"/>
      <c r="AV65" s="24"/>
      <c r="AW65" s="24"/>
      <c r="AX65" s="24"/>
      <c r="AY65" s="24"/>
      <c r="AZ65" s="24"/>
      <c r="BA65" s="24"/>
      <c r="BB65" s="24"/>
      <c r="BC65" s="24"/>
      <c r="BD65" s="24"/>
      <c r="BE65" s="24"/>
      <c r="BF65" s="24"/>
      <c r="BG65" s="24"/>
      <c r="BH65" s="24"/>
      <c r="BI65" s="24"/>
      <c r="BJ65" s="24"/>
      <c r="BK65" s="24"/>
      <c r="BL65" s="24"/>
      <c r="BM65" s="24"/>
      <c r="BN65" s="24"/>
      <c r="BO65" s="24"/>
      <c r="BP65" s="24"/>
      <c r="BQ65" s="24"/>
      <c r="BR65" s="24"/>
      <c r="BS65" s="24"/>
      <c r="BT65" s="24"/>
      <c r="BU65" s="24"/>
      <c r="BV65" s="24"/>
      <c r="BW65" s="24"/>
      <c r="BX65" s="24"/>
      <c r="BY65" s="24"/>
      <c r="BZ65" s="24"/>
      <c r="CA65" s="24"/>
      <c r="CB65" s="24"/>
      <c r="CC65" s="24"/>
      <c r="CD65" s="24"/>
      <c r="CE65" s="24"/>
      <c r="CF65" s="24"/>
      <c r="CG65" s="24"/>
      <c r="CH65" s="24"/>
      <c r="CI65" s="24"/>
      <c r="CJ65" s="24"/>
    </row>
    <row r="66" spans="1:88" ht="14.25" customHeight="1" x14ac:dyDescent="0.25">
      <c r="A66" s="42" t="s">
        <v>85</v>
      </c>
      <c r="B66" s="44">
        <v>4.3</v>
      </c>
      <c r="C66" s="44">
        <v>4.3</v>
      </c>
      <c r="D66" s="44">
        <v>4.3</v>
      </c>
      <c r="E66" s="44">
        <v>4.3</v>
      </c>
      <c r="F66" s="44">
        <v>4.3</v>
      </c>
      <c r="G66" s="44">
        <v>4.3</v>
      </c>
      <c r="H66" s="44">
        <v>4.3</v>
      </c>
      <c r="I66" s="44">
        <v>4.3</v>
      </c>
      <c r="J66" s="44">
        <v>4.3</v>
      </c>
      <c r="K66" s="44">
        <v>4.3</v>
      </c>
      <c r="L66" s="44">
        <v>4.3</v>
      </c>
      <c r="M66" s="44">
        <v>4.3</v>
      </c>
      <c r="N66" s="44">
        <v>4.3</v>
      </c>
      <c r="O66" s="44">
        <v>4.3</v>
      </c>
      <c r="P66" s="44">
        <v>4.3</v>
      </c>
      <c r="Q66" s="44"/>
      <c r="R66" s="44"/>
      <c r="S66" s="44"/>
      <c r="T66" s="44"/>
      <c r="U66" s="44"/>
      <c r="V66" s="44"/>
      <c r="W66" s="44"/>
      <c r="X66" s="44"/>
      <c r="Y66" s="44"/>
      <c r="Z66" s="44"/>
      <c r="AA66" s="44"/>
      <c r="AB66" s="44"/>
      <c r="AC66" s="44"/>
      <c r="AD66" s="44"/>
      <c r="AE66" s="44"/>
      <c r="AF66" s="44"/>
      <c r="AG66" s="62">
        <v>10.3</v>
      </c>
      <c r="AH66" s="46">
        <f t="shared" si="2"/>
        <v>4.3</v>
      </c>
      <c r="AI66" s="47">
        <f t="shared" si="3"/>
        <v>4.3</v>
      </c>
      <c r="AK66" s="49"/>
      <c r="AL66" s="28"/>
      <c r="AM66" s="24"/>
      <c r="AN66" s="24"/>
      <c r="AO66" s="24"/>
      <c r="AP66" s="24"/>
      <c r="AQ66" s="15"/>
      <c r="AR66" s="21"/>
      <c r="AS66" s="24"/>
      <c r="AT66" s="24"/>
      <c r="AU66" s="24"/>
      <c r="AV66" s="24"/>
      <c r="AW66" s="24"/>
      <c r="AX66" s="24"/>
      <c r="AY66" s="24"/>
      <c r="AZ66" s="24"/>
      <c r="BA66" s="24"/>
      <c r="BB66" s="24"/>
      <c r="BC66" s="24"/>
      <c r="BD66" s="24"/>
      <c r="BE66" s="24"/>
      <c r="BF66" s="24"/>
      <c r="BG66" s="24"/>
      <c r="BH66" s="24"/>
      <c r="BI66" s="24"/>
      <c r="BJ66" s="24"/>
      <c r="BK66" s="24"/>
      <c r="BL66" s="24"/>
      <c r="BM66" s="24"/>
      <c r="BN66" s="24"/>
      <c r="BO66" s="24"/>
      <c r="BP66" s="24"/>
      <c r="BQ66" s="24"/>
      <c r="BR66" s="24"/>
      <c r="BS66" s="24"/>
      <c r="BT66" s="24"/>
      <c r="BU66" s="24"/>
      <c r="BV66" s="24"/>
      <c r="BW66" s="24"/>
      <c r="BX66" s="24"/>
      <c r="BY66" s="24"/>
      <c r="BZ66" s="24"/>
      <c r="CA66" s="24"/>
      <c r="CB66" s="24"/>
      <c r="CC66" s="24"/>
      <c r="CD66" s="24"/>
      <c r="CE66" s="24"/>
      <c r="CF66" s="24"/>
      <c r="CG66" s="24"/>
      <c r="CH66" s="24"/>
      <c r="CI66" s="24"/>
      <c r="CJ66" s="24"/>
    </row>
    <row r="67" spans="1:88" x14ac:dyDescent="0.25">
      <c r="A67" s="42" t="s">
        <v>86</v>
      </c>
      <c r="B67" s="44">
        <v>4.8</v>
      </c>
      <c r="C67" s="44">
        <v>4.8</v>
      </c>
      <c r="D67" s="44">
        <v>4.8</v>
      </c>
      <c r="E67" s="44">
        <v>4.8</v>
      </c>
      <c r="F67" s="44">
        <v>4.8</v>
      </c>
      <c r="G67" s="44">
        <v>4.8</v>
      </c>
      <c r="H67" s="44">
        <v>4.8</v>
      </c>
      <c r="I67" s="44">
        <v>4.8</v>
      </c>
      <c r="J67" s="44">
        <v>4.8</v>
      </c>
      <c r="K67" s="44">
        <v>4.8</v>
      </c>
      <c r="L67" s="44">
        <v>4.8</v>
      </c>
      <c r="M67" s="44">
        <v>4.8</v>
      </c>
      <c r="N67" s="44">
        <v>4.8</v>
      </c>
      <c r="O67" s="44">
        <v>4.8</v>
      </c>
      <c r="P67" s="44">
        <v>4.8</v>
      </c>
      <c r="Q67" s="44"/>
      <c r="R67" s="44"/>
      <c r="S67" s="44"/>
      <c r="T67" s="44"/>
      <c r="U67" s="44"/>
      <c r="V67" s="44"/>
      <c r="W67" s="44"/>
      <c r="X67" s="44"/>
      <c r="Y67" s="44"/>
      <c r="Z67" s="44"/>
      <c r="AA67" s="44"/>
      <c r="AB67" s="44"/>
      <c r="AC67" s="44"/>
      <c r="AD67" s="44"/>
      <c r="AE67" s="44"/>
      <c r="AF67" s="44"/>
      <c r="AG67" s="61">
        <v>10</v>
      </c>
      <c r="AH67" s="46">
        <f t="shared" si="2"/>
        <v>4.8</v>
      </c>
      <c r="AI67" s="47">
        <f t="shared" si="3"/>
        <v>4.8</v>
      </c>
      <c r="AK67" s="49"/>
      <c r="AL67" s="28"/>
      <c r="AO67" s="24"/>
      <c r="AP67" s="24"/>
      <c r="AQ67" s="15"/>
      <c r="AR67" s="21"/>
      <c r="AS67" s="24"/>
      <c r="AT67" s="24"/>
      <c r="AU67" s="24"/>
      <c r="AV67" s="24"/>
      <c r="AW67" s="24"/>
      <c r="AX67" s="24"/>
      <c r="AY67" s="24"/>
      <c r="AZ67" s="24"/>
      <c r="BA67" s="24"/>
      <c r="BB67" s="24"/>
      <c r="BC67" s="24"/>
      <c r="BD67" s="24"/>
      <c r="BE67" s="24"/>
      <c r="BF67" s="24"/>
      <c r="BG67" s="24"/>
      <c r="BH67" s="24"/>
      <c r="BI67" s="24"/>
      <c r="BJ67" s="24"/>
      <c r="BK67" s="24"/>
      <c r="BL67" s="24"/>
      <c r="BM67" s="24"/>
      <c r="BN67" s="24"/>
      <c r="BO67" s="24"/>
      <c r="BP67" s="24"/>
      <c r="BQ67" s="24"/>
      <c r="BR67" s="24"/>
      <c r="BS67" s="24"/>
      <c r="BT67" s="24"/>
      <c r="BU67" s="24"/>
      <c r="BV67" s="24"/>
      <c r="BW67" s="24"/>
      <c r="BX67" s="24"/>
      <c r="BY67" s="24"/>
      <c r="BZ67" s="24"/>
      <c r="CA67" s="24"/>
      <c r="CB67" s="24"/>
      <c r="CC67" s="24"/>
      <c r="CD67" s="24"/>
      <c r="CE67" s="24"/>
      <c r="CF67" s="24"/>
      <c r="CG67" s="24"/>
      <c r="CH67" s="24"/>
      <c r="CI67" s="24"/>
      <c r="CJ67" s="24"/>
    </row>
    <row r="68" spans="1:88" x14ac:dyDescent="0.25">
      <c r="A68" s="63" t="s">
        <v>87</v>
      </c>
      <c r="B68" s="44">
        <v>10</v>
      </c>
      <c r="C68" s="44">
        <v>10</v>
      </c>
      <c r="D68" s="44">
        <v>10</v>
      </c>
      <c r="E68" s="44">
        <v>10</v>
      </c>
      <c r="F68" s="44">
        <v>10</v>
      </c>
      <c r="G68" s="44">
        <v>10</v>
      </c>
      <c r="H68" s="44">
        <v>10</v>
      </c>
      <c r="I68" s="44">
        <v>10</v>
      </c>
      <c r="J68" s="44">
        <v>10</v>
      </c>
      <c r="K68" s="44">
        <v>10</v>
      </c>
      <c r="L68" s="44">
        <v>10</v>
      </c>
      <c r="M68" s="44">
        <v>10</v>
      </c>
      <c r="N68" s="44">
        <v>10</v>
      </c>
      <c r="O68" s="44">
        <v>10</v>
      </c>
      <c r="P68" s="44">
        <v>10</v>
      </c>
      <c r="Q68" s="44"/>
      <c r="R68" s="44"/>
      <c r="S68" s="44"/>
      <c r="T68" s="44"/>
      <c r="U68" s="44"/>
      <c r="V68" s="44"/>
      <c r="W68" s="44"/>
      <c r="X68" s="44"/>
      <c r="Y68" s="44"/>
      <c r="Z68" s="44"/>
      <c r="AA68" s="44"/>
      <c r="AB68" s="44"/>
      <c r="AC68" s="44"/>
      <c r="AD68" s="44"/>
      <c r="AE68" s="44"/>
      <c r="AF68" s="44"/>
      <c r="AG68" s="64">
        <v>10</v>
      </c>
      <c r="AH68" s="46">
        <f t="shared" si="2"/>
        <v>10</v>
      </c>
      <c r="AI68" s="47">
        <f t="shared" si="3"/>
        <v>10</v>
      </c>
      <c r="AK68" s="49"/>
      <c r="AL68" s="28"/>
      <c r="AO68" s="24"/>
      <c r="AP68" s="24"/>
      <c r="AQ68" s="15"/>
      <c r="AR68" s="21"/>
      <c r="AS68" s="24"/>
      <c r="AT68" s="24"/>
      <c r="AU68" s="24"/>
      <c r="AV68" s="24"/>
      <c r="AW68" s="24"/>
      <c r="AX68" s="24"/>
      <c r="AY68" s="24"/>
      <c r="AZ68" s="24"/>
      <c r="BA68" s="24"/>
      <c r="BB68" s="24"/>
      <c r="BC68" s="24"/>
      <c r="BD68" s="24"/>
      <c r="BE68" s="24"/>
      <c r="BF68" s="24"/>
      <c r="BG68" s="24"/>
      <c r="BH68" s="24"/>
      <c r="BI68" s="24"/>
      <c r="BJ68" s="24"/>
      <c r="BK68" s="24"/>
      <c r="BL68" s="24"/>
      <c r="BM68" s="24"/>
      <c r="BN68" s="24"/>
      <c r="BO68" s="24"/>
      <c r="BP68" s="24"/>
      <c r="BQ68" s="24"/>
      <c r="BR68" s="24"/>
      <c r="BS68" s="24"/>
      <c r="BT68" s="24"/>
      <c r="BU68" s="24"/>
      <c r="BV68" s="24"/>
      <c r="BW68" s="24"/>
      <c r="BX68" s="24"/>
      <c r="BY68" s="24"/>
      <c r="BZ68" s="24"/>
      <c r="CA68" s="24"/>
      <c r="CB68" s="24"/>
      <c r="CC68" s="24"/>
      <c r="CD68" s="24"/>
      <c r="CE68" s="24"/>
      <c r="CF68" s="24"/>
      <c r="CG68" s="24"/>
      <c r="CH68" s="24"/>
      <c r="CI68" s="24"/>
      <c r="CJ68" s="24"/>
    </row>
    <row r="69" spans="1:88" x14ac:dyDescent="0.25">
      <c r="A69" s="65" t="s">
        <v>88</v>
      </c>
      <c r="B69" s="66">
        <v>350</v>
      </c>
      <c r="C69" s="66">
        <v>350</v>
      </c>
      <c r="D69" s="66">
        <v>350</v>
      </c>
      <c r="E69" s="66">
        <v>350</v>
      </c>
      <c r="F69" s="66">
        <v>350</v>
      </c>
      <c r="G69" s="66">
        <v>250</v>
      </c>
      <c r="H69" s="66">
        <v>250</v>
      </c>
      <c r="I69" s="66">
        <v>250</v>
      </c>
      <c r="J69" s="66">
        <v>250</v>
      </c>
      <c r="K69" s="66">
        <v>250</v>
      </c>
      <c r="L69" s="66">
        <v>250</v>
      </c>
      <c r="M69" s="66">
        <v>250</v>
      </c>
      <c r="N69" s="66">
        <v>250</v>
      </c>
      <c r="O69" s="66">
        <v>250</v>
      </c>
      <c r="P69" s="66">
        <v>250</v>
      </c>
      <c r="Q69" s="66">
        <v>250</v>
      </c>
      <c r="R69" s="66">
        <v>250</v>
      </c>
      <c r="S69" s="66">
        <v>250</v>
      </c>
      <c r="T69" s="66">
        <v>250</v>
      </c>
      <c r="U69" s="66">
        <v>250</v>
      </c>
      <c r="V69" s="66">
        <v>250</v>
      </c>
      <c r="W69" s="66">
        <v>250</v>
      </c>
      <c r="X69" s="66">
        <v>250</v>
      </c>
      <c r="Y69" s="66">
        <v>250</v>
      </c>
      <c r="Z69" s="66">
        <v>250</v>
      </c>
      <c r="AA69" s="66">
        <v>250</v>
      </c>
      <c r="AB69" s="66">
        <v>250</v>
      </c>
      <c r="AC69" s="66">
        <v>250</v>
      </c>
      <c r="AD69" s="66">
        <v>250</v>
      </c>
      <c r="AE69" s="66">
        <v>250</v>
      </c>
      <c r="AF69" s="66">
        <v>250</v>
      </c>
      <c r="AG69" s="64">
        <v>85</v>
      </c>
      <c r="AH69" s="46">
        <f t="shared" si="2"/>
        <v>350</v>
      </c>
      <c r="AI69" s="47">
        <f t="shared" si="3"/>
        <v>250</v>
      </c>
      <c r="AK69" s="49"/>
    </row>
    <row r="70" spans="1:88" ht="15.75" thickBot="1" x14ac:dyDescent="0.3">
      <c r="A70" s="67" t="s">
        <v>89</v>
      </c>
      <c r="B70" s="66">
        <f>93.6+91.6</f>
        <v>185.2</v>
      </c>
      <c r="C70" s="66">
        <f t="shared" ref="C70" si="20">93.6+91.6</f>
        <v>185.2</v>
      </c>
      <c r="D70" s="66">
        <v>179</v>
      </c>
      <c r="E70" s="66">
        <v>179</v>
      </c>
      <c r="F70" s="66">
        <v>179</v>
      </c>
      <c r="G70" s="66">
        <f>63.1+95.8</f>
        <v>158.9</v>
      </c>
      <c r="H70" s="66">
        <f>93.1+87.9</f>
        <v>181</v>
      </c>
      <c r="I70" s="66">
        <f>92.8+86.9</f>
        <v>179.7</v>
      </c>
      <c r="J70" s="66">
        <f>93.2+86.9</f>
        <v>180.10000000000002</v>
      </c>
      <c r="K70" s="66">
        <f>93.2+86.9</f>
        <v>180.10000000000002</v>
      </c>
      <c r="L70" s="66">
        <f>93.2+86.9</f>
        <v>180.10000000000002</v>
      </c>
      <c r="M70" s="66">
        <f t="shared" ref="M70:O70" si="21">93.2+86.9</f>
        <v>180.10000000000002</v>
      </c>
      <c r="N70" s="66">
        <f t="shared" si="21"/>
        <v>180.10000000000002</v>
      </c>
      <c r="O70" s="66">
        <f t="shared" si="21"/>
        <v>180.10000000000002</v>
      </c>
      <c r="P70" s="66">
        <f>97.4+86.9</f>
        <v>184.3</v>
      </c>
      <c r="Q70" s="223"/>
      <c r="R70" s="223"/>
      <c r="S70" s="223"/>
      <c r="T70" s="223"/>
      <c r="U70" s="223"/>
      <c r="V70" s="223"/>
      <c r="W70" s="223"/>
      <c r="X70" s="223"/>
      <c r="Y70" s="223"/>
      <c r="Z70" s="66"/>
      <c r="AA70" s="66"/>
      <c r="AB70" s="66"/>
      <c r="AC70" s="66"/>
      <c r="AD70" s="66"/>
      <c r="AE70" s="66"/>
      <c r="AF70" s="66"/>
      <c r="AG70" s="64">
        <v>240</v>
      </c>
      <c r="AH70" s="46">
        <f t="shared" si="2"/>
        <v>185.2</v>
      </c>
      <c r="AI70" s="47">
        <f t="shared" si="3"/>
        <v>158.9</v>
      </c>
      <c r="AK70" s="49"/>
    </row>
    <row r="71" spans="1:88" ht="15.75" thickBot="1" x14ac:dyDescent="0.3">
      <c r="A71" s="68" t="s">
        <v>90</v>
      </c>
      <c r="B71" s="69">
        <f t="shared" ref="B71:D71" si="22">SUM(B11:B69)</f>
        <v>1534.1999999999998</v>
      </c>
      <c r="C71" s="69">
        <f t="shared" si="22"/>
        <v>1534.1999999999998</v>
      </c>
      <c r="D71" s="69">
        <f t="shared" si="22"/>
        <v>1343.3999999999999</v>
      </c>
      <c r="E71" s="69">
        <f t="shared" ref="E71:F71" si="23">SUM(E11:E69)</f>
        <v>1343.3999999999999</v>
      </c>
      <c r="F71" s="69">
        <f t="shared" si="23"/>
        <v>1389.8999999999999</v>
      </c>
      <c r="G71" s="69">
        <f t="shared" ref="G71:AG71" si="24">SUM(G11:G69)</f>
        <v>1275.2999999999997</v>
      </c>
      <c r="H71" s="69">
        <f t="shared" si="24"/>
        <v>1283.2999999999997</v>
      </c>
      <c r="I71" s="69">
        <f t="shared" si="24"/>
        <v>1283.2999999999997</v>
      </c>
      <c r="J71" s="69">
        <f t="shared" si="24"/>
        <v>1283.2999999999997</v>
      </c>
      <c r="K71" s="69">
        <f t="shared" si="24"/>
        <v>1283.2999999999997</v>
      </c>
      <c r="L71" s="69">
        <f t="shared" si="24"/>
        <v>1283.2999999999997</v>
      </c>
      <c r="M71" s="69">
        <f t="shared" si="24"/>
        <v>1348.7999999999997</v>
      </c>
      <c r="N71" s="69">
        <f t="shared" si="24"/>
        <v>1348.7999999999997</v>
      </c>
      <c r="O71" s="69">
        <f t="shared" si="24"/>
        <v>1348.7999999999997</v>
      </c>
      <c r="P71" s="69">
        <f t="shared" si="24"/>
        <v>1407.4999999999998</v>
      </c>
      <c r="Q71" s="69">
        <f t="shared" si="24"/>
        <v>250</v>
      </c>
      <c r="R71" s="69">
        <f t="shared" si="24"/>
        <v>250</v>
      </c>
      <c r="S71" s="69">
        <f t="shared" si="24"/>
        <v>250</v>
      </c>
      <c r="T71" s="69">
        <f t="shared" si="24"/>
        <v>250</v>
      </c>
      <c r="U71" s="69">
        <f t="shared" si="24"/>
        <v>250</v>
      </c>
      <c r="V71" s="69">
        <f t="shared" si="24"/>
        <v>250</v>
      </c>
      <c r="W71" s="69">
        <f t="shared" si="24"/>
        <v>250</v>
      </c>
      <c r="X71" s="69">
        <f t="shared" si="24"/>
        <v>250</v>
      </c>
      <c r="Y71" s="69">
        <f t="shared" si="24"/>
        <v>250</v>
      </c>
      <c r="Z71" s="69">
        <f t="shared" si="24"/>
        <v>250</v>
      </c>
      <c r="AA71" s="69">
        <f t="shared" si="24"/>
        <v>250</v>
      </c>
      <c r="AB71" s="69">
        <f>SUM(AB11:AB69)</f>
        <v>250</v>
      </c>
      <c r="AC71" s="69">
        <f t="shared" si="24"/>
        <v>250</v>
      </c>
      <c r="AD71" s="69">
        <f t="shared" si="24"/>
        <v>250</v>
      </c>
      <c r="AE71" s="69">
        <f t="shared" si="24"/>
        <v>250</v>
      </c>
      <c r="AF71" s="69">
        <f t="shared" si="24"/>
        <v>250</v>
      </c>
      <c r="AG71" s="69">
        <f t="shared" si="24"/>
        <v>1812.2049999999999</v>
      </c>
      <c r="AH71" s="46">
        <f t="shared" si="2"/>
        <v>1534.1999999999998</v>
      </c>
      <c r="AI71" s="47">
        <f t="shared" si="3"/>
        <v>250</v>
      </c>
      <c r="AK71" s="49"/>
    </row>
    <row r="72" spans="1:88" x14ac:dyDescent="0.25">
      <c r="A72" s="70" t="s">
        <v>91</v>
      </c>
      <c r="B72" s="44">
        <v>457</v>
      </c>
      <c r="C72" s="44">
        <v>457</v>
      </c>
      <c r="D72" s="44">
        <v>259</v>
      </c>
      <c r="E72" s="44">
        <v>283</v>
      </c>
      <c r="F72" s="44">
        <v>283</v>
      </c>
      <c r="G72" s="44">
        <v>283</v>
      </c>
      <c r="H72" s="44">
        <v>277.5</v>
      </c>
      <c r="I72" s="44">
        <v>277.5</v>
      </c>
      <c r="J72" s="44">
        <v>271.8</v>
      </c>
      <c r="K72" s="44">
        <v>289.5</v>
      </c>
      <c r="L72" s="44">
        <v>300</v>
      </c>
      <c r="M72" s="44">
        <v>321</v>
      </c>
      <c r="N72" s="44">
        <v>321</v>
      </c>
      <c r="O72" s="44">
        <v>321</v>
      </c>
      <c r="P72" s="44">
        <v>321</v>
      </c>
      <c r="Q72" s="44"/>
      <c r="R72" s="44"/>
      <c r="S72" s="44"/>
      <c r="T72" s="44"/>
      <c r="U72" s="44"/>
      <c r="V72" s="44"/>
      <c r="W72" s="44"/>
      <c r="X72" s="44"/>
      <c r="Y72" s="44"/>
      <c r="Z72" s="44"/>
      <c r="AA72" s="44"/>
      <c r="AB72" s="44"/>
      <c r="AC72" s="44"/>
      <c r="AD72" s="44"/>
      <c r="AE72" s="44"/>
      <c r="AF72" s="44"/>
      <c r="AG72" s="61">
        <v>456</v>
      </c>
      <c r="AH72" s="46">
        <f t="shared" si="2"/>
        <v>457</v>
      </c>
      <c r="AI72" s="47">
        <f t="shared" si="3"/>
        <v>259</v>
      </c>
      <c r="AK72" s="49"/>
    </row>
    <row r="73" spans="1:88" x14ac:dyDescent="0.25">
      <c r="A73" s="71" t="s">
        <v>92</v>
      </c>
      <c r="B73" s="43">
        <v>0</v>
      </c>
      <c r="C73" s="43">
        <v>0</v>
      </c>
      <c r="D73" s="43">
        <v>0</v>
      </c>
      <c r="E73" s="43">
        <v>0</v>
      </c>
      <c r="F73" s="43">
        <v>0</v>
      </c>
      <c r="G73" s="43">
        <v>0</v>
      </c>
      <c r="H73" s="43">
        <v>0</v>
      </c>
      <c r="I73" s="43">
        <v>0</v>
      </c>
      <c r="J73" s="43">
        <v>0</v>
      </c>
      <c r="K73" s="43">
        <v>0</v>
      </c>
      <c r="L73" s="43">
        <v>0</v>
      </c>
      <c r="M73" s="43">
        <v>0</v>
      </c>
      <c r="N73" s="43">
        <v>0</v>
      </c>
      <c r="O73" s="43">
        <v>0</v>
      </c>
      <c r="P73" s="43">
        <v>0</v>
      </c>
      <c r="Q73" s="43"/>
      <c r="R73" s="43"/>
      <c r="S73" s="43"/>
      <c r="T73" s="43"/>
      <c r="U73" s="43"/>
      <c r="V73" s="43"/>
      <c r="W73" s="43"/>
      <c r="X73" s="43"/>
      <c r="Y73" s="43"/>
      <c r="Z73" s="43"/>
      <c r="AA73" s="43"/>
      <c r="AB73" s="43"/>
      <c r="AC73" s="43"/>
      <c r="AD73" s="43"/>
      <c r="AE73" s="43"/>
      <c r="AF73" s="43"/>
      <c r="AG73" s="64">
        <v>111</v>
      </c>
      <c r="AH73" s="46">
        <f t="shared" si="2"/>
        <v>0</v>
      </c>
      <c r="AI73" s="47">
        <f t="shared" si="3"/>
        <v>0</v>
      </c>
      <c r="AK73" s="49"/>
    </row>
    <row r="74" spans="1:88" x14ac:dyDescent="0.25">
      <c r="A74" s="72" t="s">
        <v>93</v>
      </c>
      <c r="B74" s="43">
        <v>61.1</v>
      </c>
      <c r="C74" s="43">
        <v>61.1</v>
      </c>
      <c r="D74" s="43">
        <v>31</v>
      </c>
      <c r="E74" s="43">
        <v>31</v>
      </c>
      <c r="F74" s="43">
        <v>31</v>
      </c>
      <c r="G74" s="43">
        <v>32</v>
      </c>
      <c r="H74" s="43">
        <v>32</v>
      </c>
      <c r="I74" s="43">
        <v>32</v>
      </c>
      <c r="J74" s="43">
        <v>32</v>
      </c>
      <c r="K74" s="43">
        <v>32</v>
      </c>
      <c r="L74" s="43">
        <v>32</v>
      </c>
      <c r="M74" s="43">
        <v>38</v>
      </c>
      <c r="N74" s="43">
        <v>38</v>
      </c>
      <c r="O74" s="43">
        <v>38</v>
      </c>
      <c r="P74" s="43">
        <v>38</v>
      </c>
      <c r="Q74" s="43"/>
      <c r="R74" s="43"/>
      <c r="S74" s="43"/>
      <c r="T74" s="43"/>
      <c r="U74" s="43"/>
      <c r="V74" s="43"/>
      <c r="W74" s="43"/>
      <c r="X74" s="43"/>
      <c r="Y74" s="43"/>
      <c r="Z74" s="43"/>
      <c r="AA74" s="43"/>
      <c r="AB74" s="43"/>
      <c r="AC74" s="43"/>
      <c r="AD74" s="43"/>
      <c r="AE74" s="43"/>
      <c r="AF74" s="43"/>
      <c r="AG74" s="64">
        <v>60</v>
      </c>
      <c r="AH74" s="46">
        <f t="shared" si="2"/>
        <v>61.1</v>
      </c>
      <c r="AI74" s="47">
        <f t="shared" si="3"/>
        <v>31</v>
      </c>
      <c r="AK74" s="49"/>
    </row>
    <row r="75" spans="1:88" x14ac:dyDescent="0.25">
      <c r="A75" s="73" t="s">
        <v>94</v>
      </c>
      <c r="B75" s="43">
        <v>38.6</v>
      </c>
      <c r="C75" s="43">
        <v>38.6</v>
      </c>
      <c r="D75" s="43">
        <v>38.6</v>
      </c>
      <c r="E75" s="43">
        <v>38.6</v>
      </c>
      <c r="F75" s="43">
        <v>38.6</v>
      </c>
      <c r="G75" s="43">
        <v>29.7</v>
      </c>
      <c r="H75" s="43">
        <v>29.7</v>
      </c>
      <c r="I75" s="43">
        <v>29.7</v>
      </c>
      <c r="J75" s="43">
        <v>43.1</v>
      </c>
      <c r="K75" s="43">
        <v>43.1</v>
      </c>
      <c r="L75" s="43">
        <v>43.1</v>
      </c>
      <c r="M75" s="43">
        <v>40.1</v>
      </c>
      <c r="N75" s="43">
        <v>40.1</v>
      </c>
      <c r="O75" s="43">
        <v>40.1</v>
      </c>
      <c r="P75" s="43">
        <v>40.1</v>
      </c>
      <c r="Q75" s="43"/>
      <c r="R75" s="43"/>
      <c r="S75" s="43"/>
      <c r="T75" s="43"/>
      <c r="U75" s="43"/>
      <c r="V75" s="43"/>
      <c r="W75" s="43"/>
      <c r="X75" s="43"/>
      <c r="Y75" s="43"/>
      <c r="Z75" s="43"/>
      <c r="AA75" s="43"/>
      <c r="AB75" s="43"/>
      <c r="AC75" s="43"/>
      <c r="AD75" s="43"/>
      <c r="AE75" s="43"/>
      <c r="AF75" s="43"/>
      <c r="AG75" s="74">
        <v>42.5</v>
      </c>
      <c r="AH75" s="46">
        <f t="shared" ref="AH75:AH138" si="25">MAX(B75:AF75)</f>
        <v>43.1</v>
      </c>
      <c r="AI75" s="47">
        <f t="shared" ref="AI75:AI138" si="26">MIN(B75:AF75)</f>
        <v>29.7</v>
      </c>
      <c r="AK75" s="49"/>
    </row>
    <row r="76" spans="1:88" x14ac:dyDescent="0.25">
      <c r="A76" s="73" t="s">
        <v>95</v>
      </c>
      <c r="B76" s="43">
        <v>11.1</v>
      </c>
      <c r="C76" s="43">
        <v>11.1</v>
      </c>
      <c r="D76" s="43">
        <v>11.1</v>
      </c>
      <c r="E76" s="43">
        <v>11.1</v>
      </c>
      <c r="F76" s="43">
        <v>11.1</v>
      </c>
      <c r="G76" s="43">
        <v>11.1</v>
      </c>
      <c r="H76" s="43">
        <v>11.1</v>
      </c>
      <c r="I76" s="43">
        <v>11.1</v>
      </c>
      <c r="J76" s="43">
        <v>11.1</v>
      </c>
      <c r="K76" s="43">
        <v>11.1</v>
      </c>
      <c r="L76" s="43">
        <v>11.1</v>
      </c>
      <c r="M76" s="43">
        <v>11.1</v>
      </c>
      <c r="N76" s="43">
        <v>11.1</v>
      </c>
      <c r="O76" s="43">
        <v>11.1</v>
      </c>
      <c r="P76" s="43">
        <v>11.1</v>
      </c>
      <c r="Q76" s="43"/>
      <c r="R76" s="43"/>
      <c r="S76" s="43"/>
      <c r="T76" s="43"/>
      <c r="U76" s="43"/>
      <c r="V76" s="43"/>
      <c r="W76" s="43"/>
      <c r="X76" s="43"/>
      <c r="Y76" s="43"/>
      <c r="Z76" s="43"/>
      <c r="AA76" s="43"/>
      <c r="AB76" s="43"/>
      <c r="AC76" s="43"/>
      <c r="AD76" s="43"/>
      <c r="AE76" s="43"/>
      <c r="AF76" s="43"/>
      <c r="AG76" s="74">
        <v>22.1</v>
      </c>
      <c r="AH76" s="46">
        <f t="shared" si="25"/>
        <v>11.1</v>
      </c>
      <c r="AI76" s="47">
        <f t="shared" si="26"/>
        <v>11.1</v>
      </c>
      <c r="AK76" s="49"/>
    </row>
    <row r="77" spans="1:88" ht="15.75" thickBot="1" x14ac:dyDescent="0.3">
      <c r="A77" s="75" t="s">
        <v>96</v>
      </c>
      <c r="B77" s="76">
        <v>13.5</v>
      </c>
      <c r="C77" s="76">
        <v>13.5</v>
      </c>
      <c r="D77" s="76">
        <v>13.5</v>
      </c>
      <c r="E77" s="76">
        <v>13.5</v>
      </c>
      <c r="F77" s="76">
        <v>13.5</v>
      </c>
      <c r="G77" s="76">
        <v>10.199999999999999</v>
      </c>
      <c r="H77" s="76">
        <v>10.199999999999999</v>
      </c>
      <c r="I77" s="76">
        <v>10.199999999999999</v>
      </c>
      <c r="J77" s="76">
        <v>14.9</v>
      </c>
      <c r="K77" s="76">
        <v>14.9</v>
      </c>
      <c r="L77" s="76">
        <v>14.9</v>
      </c>
      <c r="M77" s="76">
        <v>14.9</v>
      </c>
      <c r="N77" s="76">
        <v>14.9</v>
      </c>
      <c r="O77" s="76">
        <v>14.9</v>
      </c>
      <c r="P77" s="76">
        <v>14.9</v>
      </c>
      <c r="Q77" s="76"/>
      <c r="R77" s="76"/>
      <c r="S77" s="76"/>
      <c r="T77" s="76"/>
      <c r="U77" s="76"/>
      <c r="V77" s="76"/>
      <c r="W77" s="76"/>
      <c r="X77" s="76"/>
      <c r="Y77" s="76"/>
      <c r="Z77" s="76"/>
      <c r="AA77" s="76"/>
      <c r="AB77" s="76"/>
      <c r="AC77" s="76"/>
      <c r="AD77" s="76"/>
      <c r="AE77" s="76"/>
      <c r="AF77" s="76"/>
      <c r="AG77" s="77">
        <v>14.8</v>
      </c>
      <c r="AH77" s="46">
        <f t="shared" si="25"/>
        <v>14.9</v>
      </c>
      <c r="AI77" s="47">
        <f t="shared" si="26"/>
        <v>10.199999999999999</v>
      </c>
      <c r="AK77" s="49"/>
    </row>
    <row r="78" spans="1:88" ht="15.75" thickBot="1" x14ac:dyDescent="0.3">
      <c r="A78" s="78" t="s">
        <v>97</v>
      </c>
      <c r="B78" s="69">
        <f t="shared" ref="B78:D78" si="27">SUM(B72:B77)</f>
        <v>581.30000000000007</v>
      </c>
      <c r="C78" s="69">
        <f t="shared" si="27"/>
        <v>581.30000000000007</v>
      </c>
      <c r="D78" s="69">
        <f t="shared" si="27"/>
        <v>353.20000000000005</v>
      </c>
      <c r="E78" s="69">
        <f t="shared" ref="E78:F78" si="28">SUM(E72:E77)</f>
        <v>377.20000000000005</v>
      </c>
      <c r="F78" s="69">
        <f t="shared" si="28"/>
        <v>377.20000000000005</v>
      </c>
      <c r="G78" s="69">
        <f t="shared" ref="G78:AG78" si="29">SUM(G72:G77)</f>
        <v>366</v>
      </c>
      <c r="H78" s="69">
        <f t="shared" si="29"/>
        <v>360.5</v>
      </c>
      <c r="I78" s="69">
        <f t="shared" si="29"/>
        <v>360.5</v>
      </c>
      <c r="J78" s="69">
        <f t="shared" si="29"/>
        <v>372.90000000000003</v>
      </c>
      <c r="K78" s="69">
        <f t="shared" si="29"/>
        <v>390.6</v>
      </c>
      <c r="L78" s="69">
        <f t="shared" si="29"/>
        <v>401.1</v>
      </c>
      <c r="M78" s="69">
        <f t="shared" ref="M78:P78" si="30">SUM(M72:M77)</f>
        <v>425.1</v>
      </c>
      <c r="N78" s="69">
        <f t="shared" si="30"/>
        <v>425.1</v>
      </c>
      <c r="O78" s="69">
        <f t="shared" si="30"/>
        <v>425.1</v>
      </c>
      <c r="P78" s="69">
        <f t="shared" si="30"/>
        <v>425.1</v>
      </c>
      <c r="Q78" s="69">
        <f t="shared" si="29"/>
        <v>0</v>
      </c>
      <c r="R78" s="69">
        <f t="shared" si="29"/>
        <v>0</v>
      </c>
      <c r="S78" s="69">
        <f t="shared" si="29"/>
        <v>0</v>
      </c>
      <c r="T78" s="69">
        <f t="shared" si="29"/>
        <v>0</v>
      </c>
      <c r="U78" s="69">
        <f t="shared" si="29"/>
        <v>0</v>
      </c>
      <c r="V78" s="69">
        <f t="shared" si="29"/>
        <v>0</v>
      </c>
      <c r="W78" s="69">
        <f t="shared" si="29"/>
        <v>0</v>
      </c>
      <c r="X78" s="69">
        <f t="shared" si="29"/>
        <v>0</v>
      </c>
      <c r="Y78" s="69">
        <f t="shared" si="29"/>
        <v>0</v>
      </c>
      <c r="Z78" s="69">
        <f t="shared" si="29"/>
        <v>0</v>
      </c>
      <c r="AA78" s="69">
        <f t="shared" si="29"/>
        <v>0</v>
      </c>
      <c r="AB78" s="69">
        <f t="shared" si="29"/>
        <v>0</v>
      </c>
      <c r="AC78" s="69">
        <f t="shared" si="29"/>
        <v>0</v>
      </c>
      <c r="AD78" s="69">
        <f t="shared" si="29"/>
        <v>0</v>
      </c>
      <c r="AE78" s="69">
        <f t="shared" si="29"/>
        <v>0</v>
      </c>
      <c r="AF78" s="69">
        <f t="shared" si="29"/>
        <v>0</v>
      </c>
      <c r="AG78" s="79">
        <f t="shared" si="29"/>
        <v>706.4</v>
      </c>
      <c r="AH78" s="46">
        <f t="shared" si="25"/>
        <v>581.30000000000007</v>
      </c>
      <c r="AI78" s="47">
        <f t="shared" si="26"/>
        <v>0</v>
      </c>
      <c r="AK78" s="49"/>
      <c r="AZ78" s="80">
        <v>1</v>
      </c>
      <c r="BA78" s="80">
        <v>2</v>
      </c>
      <c r="BB78" s="80">
        <v>3</v>
      </c>
      <c r="BC78" s="80">
        <v>4</v>
      </c>
      <c r="BD78" s="80">
        <v>5</v>
      </c>
      <c r="BE78" s="80">
        <v>6</v>
      </c>
      <c r="BF78" s="80">
        <v>7</v>
      </c>
      <c r="BG78" s="80">
        <v>8</v>
      </c>
      <c r="BH78" s="80">
        <v>9</v>
      </c>
      <c r="BI78" s="80">
        <v>10</v>
      </c>
      <c r="BJ78" s="80">
        <v>11</v>
      </c>
      <c r="BK78" s="80">
        <v>12</v>
      </c>
      <c r="BL78" s="80">
        <v>13</v>
      </c>
      <c r="BM78" s="80">
        <v>14</v>
      </c>
      <c r="BN78" s="80">
        <v>15</v>
      </c>
      <c r="BO78" s="80">
        <v>16</v>
      </c>
      <c r="BP78" s="80">
        <v>17</v>
      </c>
      <c r="BQ78" s="80">
        <v>18</v>
      </c>
      <c r="BR78" s="80">
        <v>19</v>
      </c>
      <c r="BS78" s="80">
        <v>20</v>
      </c>
      <c r="BT78" s="80">
        <v>21</v>
      </c>
      <c r="BU78" s="80">
        <v>22</v>
      </c>
      <c r="BV78" s="80">
        <v>23</v>
      </c>
      <c r="BW78" s="80">
        <v>24</v>
      </c>
    </row>
    <row r="79" spans="1:88" x14ac:dyDescent="0.25">
      <c r="A79" s="42" t="s">
        <v>98</v>
      </c>
      <c r="B79" s="44">
        <v>141.5</v>
      </c>
      <c r="C79" s="44">
        <v>141.5</v>
      </c>
      <c r="D79" s="44">
        <v>141.5</v>
      </c>
      <c r="E79" s="44">
        <v>141.5</v>
      </c>
      <c r="F79" s="44">
        <v>141.5</v>
      </c>
      <c r="G79" s="44">
        <v>141.5</v>
      </c>
      <c r="H79" s="44">
        <v>141.5</v>
      </c>
      <c r="I79" s="44">
        <v>141.5</v>
      </c>
      <c r="J79" s="44">
        <v>141.5</v>
      </c>
      <c r="K79" s="44">
        <v>141.5</v>
      </c>
      <c r="L79" s="44">
        <v>141.5</v>
      </c>
      <c r="M79" s="44">
        <v>141.5</v>
      </c>
      <c r="N79" s="44">
        <v>141.5</v>
      </c>
      <c r="O79" s="44">
        <v>141.5</v>
      </c>
      <c r="P79" s="44">
        <v>138.9</v>
      </c>
      <c r="Q79" s="44"/>
      <c r="R79" s="44"/>
      <c r="S79" s="44"/>
      <c r="T79" s="44"/>
      <c r="U79" s="44"/>
      <c r="V79" s="44"/>
      <c r="W79" s="44"/>
      <c r="X79" s="44"/>
      <c r="Y79" s="44"/>
      <c r="Z79" s="44"/>
      <c r="AA79" s="44"/>
      <c r="AB79" s="44"/>
      <c r="AC79" s="44"/>
      <c r="AD79" s="44"/>
      <c r="AE79" s="44"/>
      <c r="AF79" s="44"/>
      <c r="AG79" s="61">
        <v>144</v>
      </c>
      <c r="AH79" s="46">
        <f t="shared" si="25"/>
        <v>141.5</v>
      </c>
      <c r="AI79" s="47">
        <f t="shared" si="26"/>
        <v>138.9</v>
      </c>
      <c r="AK79" s="49"/>
      <c r="AY79" s="1" t="s">
        <v>99</v>
      </c>
      <c r="AZ79" s="81">
        <f>ROUND(C97,0)</f>
        <v>-433</v>
      </c>
      <c r="BA79" s="80">
        <f t="shared" ref="BA79:BD83" si="31">D97</f>
        <v>-213</v>
      </c>
      <c r="BB79" s="80">
        <f t="shared" si="31"/>
        <v>-265</v>
      </c>
      <c r="BC79" s="80">
        <f t="shared" si="31"/>
        <v>-256</v>
      </c>
      <c r="BD79" s="80">
        <f t="shared" si="31"/>
        <v>-296.8</v>
      </c>
      <c r="BE79" s="81">
        <f>I97</f>
        <v>-320</v>
      </c>
      <c r="BF79" s="81">
        <f>K97</f>
        <v>-361.8</v>
      </c>
      <c r="BG79" s="81">
        <f t="shared" ref="BG79:BP83" si="32">M97</f>
        <v>-330</v>
      </c>
      <c r="BH79" s="81">
        <f t="shared" si="32"/>
        <v>-350</v>
      </c>
      <c r="BI79" s="81">
        <f t="shared" si="32"/>
        <v>-339</v>
      </c>
      <c r="BJ79" s="81">
        <f t="shared" si="32"/>
        <v>-330.9</v>
      </c>
      <c r="BK79" s="81">
        <f t="shared" si="32"/>
        <v>0</v>
      </c>
      <c r="BL79" s="81">
        <f t="shared" si="32"/>
        <v>0</v>
      </c>
      <c r="BM79" s="81">
        <f t="shared" si="32"/>
        <v>0</v>
      </c>
      <c r="BN79" s="81">
        <f t="shared" si="32"/>
        <v>0</v>
      </c>
      <c r="BO79" s="81">
        <f t="shared" si="32"/>
        <v>0</v>
      </c>
      <c r="BP79" s="81">
        <f t="shared" si="32"/>
        <v>0</v>
      </c>
      <c r="BQ79" s="81">
        <f>X97</f>
        <v>0</v>
      </c>
      <c r="BR79" s="81">
        <f>Z97</f>
        <v>0</v>
      </c>
      <c r="BS79" s="80">
        <f>AB97</f>
        <v>0</v>
      </c>
      <c r="BT79" s="80">
        <f t="shared" ref="BT79:BV83" si="33">AD97</f>
        <v>0</v>
      </c>
      <c r="BU79" s="80">
        <f t="shared" si="33"/>
        <v>0</v>
      </c>
      <c r="BV79" s="80">
        <f t="shared" si="33"/>
        <v>0</v>
      </c>
      <c r="BW79" s="80">
        <f>B97</f>
        <v>-432.6</v>
      </c>
    </row>
    <row r="80" spans="1:88" x14ac:dyDescent="0.25">
      <c r="A80" s="63" t="s">
        <v>100</v>
      </c>
      <c r="B80" s="43">
        <v>68.900000000000006</v>
      </c>
      <c r="C80" s="43">
        <v>68.900000000000006</v>
      </c>
      <c r="D80" s="43">
        <v>68.900000000000006</v>
      </c>
      <c r="E80" s="43">
        <v>68.900000000000006</v>
      </c>
      <c r="F80" s="43">
        <v>68.900000000000006</v>
      </c>
      <c r="G80" s="43">
        <v>68.900000000000006</v>
      </c>
      <c r="H80" s="43">
        <v>68.900000000000006</v>
      </c>
      <c r="I80" s="43">
        <v>68.900000000000006</v>
      </c>
      <c r="J80" s="43">
        <v>68.900000000000006</v>
      </c>
      <c r="K80" s="43">
        <v>68.900000000000006</v>
      </c>
      <c r="L80" s="43">
        <v>68.900000000000006</v>
      </c>
      <c r="M80" s="43">
        <v>68.900000000000006</v>
      </c>
      <c r="N80" s="43">
        <v>68.900000000000006</v>
      </c>
      <c r="O80" s="43">
        <v>68.900000000000006</v>
      </c>
      <c r="P80" s="43">
        <v>68.900000000000006</v>
      </c>
      <c r="Q80" s="43"/>
      <c r="R80" s="43"/>
      <c r="S80" s="43"/>
      <c r="T80" s="43"/>
      <c r="U80" s="43"/>
      <c r="V80" s="43"/>
      <c r="W80" s="43"/>
      <c r="X80" s="43"/>
      <c r="Y80" s="43"/>
      <c r="Z80" s="43"/>
      <c r="AA80" s="43"/>
      <c r="AB80" s="44"/>
      <c r="AC80" s="44"/>
      <c r="AD80" s="44"/>
      <c r="AE80" s="44"/>
      <c r="AF80" s="44"/>
      <c r="AG80" s="64">
        <v>70</v>
      </c>
      <c r="AH80" s="46">
        <f t="shared" si="25"/>
        <v>68.900000000000006</v>
      </c>
      <c r="AI80" s="47">
        <f t="shared" si="26"/>
        <v>68.900000000000006</v>
      </c>
      <c r="AK80" s="49"/>
      <c r="AY80" s="1" t="s">
        <v>101</v>
      </c>
      <c r="AZ80" s="81">
        <f>ROUND(C98,0)</f>
        <v>-189</v>
      </c>
      <c r="BA80" s="80">
        <f t="shared" si="31"/>
        <v>-148.80000000000001</v>
      </c>
      <c r="BB80" s="80">
        <f t="shared" si="31"/>
        <v>-140</v>
      </c>
      <c r="BC80" s="80">
        <f t="shared" si="31"/>
        <v>-139</v>
      </c>
      <c r="BD80" s="80">
        <f t="shared" si="31"/>
        <v>-139.4</v>
      </c>
      <c r="BE80" s="81">
        <f>I98</f>
        <v>-159.4</v>
      </c>
      <c r="BF80" s="81">
        <f>K98</f>
        <v>-167.4</v>
      </c>
      <c r="BG80" s="81">
        <f t="shared" si="32"/>
        <v>-157</v>
      </c>
      <c r="BH80" s="81">
        <f t="shared" si="32"/>
        <v>-160</v>
      </c>
      <c r="BI80" s="81">
        <f t="shared" si="32"/>
        <v>-181</v>
      </c>
      <c r="BJ80" s="81">
        <f t="shared" si="32"/>
        <v>-183.5</v>
      </c>
      <c r="BK80" s="81">
        <f t="shared" si="32"/>
        <v>0</v>
      </c>
      <c r="BL80" s="81">
        <f t="shared" si="32"/>
        <v>0</v>
      </c>
      <c r="BM80" s="81">
        <f t="shared" si="32"/>
        <v>0</v>
      </c>
      <c r="BN80" s="81">
        <f t="shared" si="32"/>
        <v>0</v>
      </c>
      <c r="BO80" s="81">
        <f t="shared" si="32"/>
        <v>0</v>
      </c>
      <c r="BP80" s="81">
        <f t="shared" si="32"/>
        <v>0</v>
      </c>
      <c r="BQ80" s="81">
        <f>X98</f>
        <v>0</v>
      </c>
      <c r="BR80" s="81">
        <f>Z98</f>
        <v>0</v>
      </c>
      <c r="BS80" s="80">
        <f>AB98</f>
        <v>0</v>
      </c>
      <c r="BT80" s="80">
        <f t="shared" si="33"/>
        <v>0</v>
      </c>
      <c r="BU80" s="80">
        <f t="shared" si="33"/>
        <v>0</v>
      </c>
      <c r="BV80" s="80">
        <f t="shared" si="33"/>
        <v>0</v>
      </c>
      <c r="BW80" s="80">
        <f>B98</f>
        <v>-188.6</v>
      </c>
    </row>
    <row r="81" spans="1:75" x14ac:dyDescent="0.25">
      <c r="A81" s="63" t="s">
        <v>102</v>
      </c>
      <c r="B81" s="43">
        <v>67</v>
      </c>
      <c r="C81" s="43">
        <v>67</v>
      </c>
      <c r="D81" s="43">
        <v>67</v>
      </c>
      <c r="E81" s="43">
        <v>67</v>
      </c>
      <c r="F81" s="43">
        <v>67</v>
      </c>
      <c r="G81" s="43">
        <v>67</v>
      </c>
      <c r="H81" s="43">
        <v>67</v>
      </c>
      <c r="I81" s="43">
        <v>67</v>
      </c>
      <c r="J81" s="43">
        <v>67</v>
      </c>
      <c r="K81" s="43">
        <v>67</v>
      </c>
      <c r="L81" s="43">
        <v>67</v>
      </c>
      <c r="M81" s="43">
        <v>67</v>
      </c>
      <c r="N81" s="43">
        <v>67</v>
      </c>
      <c r="O81" s="43">
        <v>67</v>
      </c>
      <c r="P81" s="43">
        <v>67</v>
      </c>
      <c r="Q81" s="43"/>
      <c r="R81" s="43"/>
      <c r="S81" s="43"/>
      <c r="T81" s="43"/>
      <c r="U81" s="43"/>
      <c r="V81" s="43"/>
      <c r="W81" s="43"/>
      <c r="X81" s="43"/>
      <c r="Y81" s="43"/>
      <c r="Z81" s="43"/>
      <c r="AA81" s="43"/>
      <c r="AB81" s="44"/>
      <c r="AC81" s="44"/>
      <c r="AD81" s="44"/>
      <c r="AE81" s="44"/>
      <c r="AF81" s="44"/>
      <c r="AG81" s="64">
        <v>69</v>
      </c>
      <c r="AH81" s="46">
        <f t="shared" si="25"/>
        <v>67</v>
      </c>
      <c r="AI81" s="47">
        <f t="shared" si="26"/>
        <v>67</v>
      </c>
      <c r="AK81" s="49"/>
      <c r="AL81" s="82"/>
      <c r="AO81" s="82"/>
      <c r="AY81" s="1" t="s">
        <v>103</v>
      </c>
      <c r="AZ81" s="81">
        <f>ROUND(C99,0)</f>
        <v>0</v>
      </c>
      <c r="BA81" s="80">
        <f t="shared" si="31"/>
        <v>0</v>
      </c>
      <c r="BB81" s="80">
        <f t="shared" si="31"/>
        <v>0</v>
      </c>
      <c r="BC81" s="80">
        <f t="shared" si="31"/>
        <v>0</v>
      </c>
      <c r="BD81" s="80">
        <f t="shared" si="31"/>
        <v>0</v>
      </c>
      <c r="BE81" s="81">
        <f>I99</f>
        <v>0</v>
      </c>
      <c r="BF81" s="81">
        <f>K99</f>
        <v>0</v>
      </c>
      <c r="BG81" s="81">
        <f t="shared" si="32"/>
        <v>0</v>
      </c>
      <c r="BH81" s="81">
        <f t="shared" si="32"/>
        <v>0</v>
      </c>
      <c r="BI81" s="81">
        <f t="shared" si="32"/>
        <v>0</v>
      </c>
      <c r="BJ81" s="81">
        <f t="shared" si="32"/>
        <v>0</v>
      </c>
      <c r="BK81" s="81">
        <f t="shared" si="32"/>
        <v>0</v>
      </c>
      <c r="BL81" s="81">
        <f t="shared" si="32"/>
        <v>0</v>
      </c>
      <c r="BM81" s="81">
        <f t="shared" si="32"/>
        <v>0</v>
      </c>
      <c r="BN81" s="81">
        <f t="shared" si="32"/>
        <v>0</v>
      </c>
      <c r="BO81" s="81">
        <f t="shared" si="32"/>
        <v>0</v>
      </c>
      <c r="BP81" s="81">
        <f t="shared" si="32"/>
        <v>0</v>
      </c>
      <c r="BQ81" s="81">
        <f>X99</f>
        <v>0</v>
      </c>
      <c r="BR81" s="81">
        <f>Z99</f>
        <v>0</v>
      </c>
      <c r="BS81" s="80">
        <f>AB99</f>
        <v>0</v>
      </c>
      <c r="BT81" s="80">
        <f t="shared" si="33"/>
        <v>0</v>
      </c>
      <c r="BU81" s="80">
        <f t="shared" si="33"/>
        <v>0</v>
      </c>
      <c r="BV81" s="80">
        <f t="shared" si="33"/>
        <v>0</v>
      </c>
      <c r="BW81" s="80">
        <f>B99</f>
        <v>0</v>
      </c>
    </row>
    <row r="82" spans="1:75" s="82" customFormat="1" x14ac:dyDescent="0.25">
      <c r="A82" s="63" t="s">
        <v>104</v>
      </c>
      <c r="B82" s="43">
        <v>58.1</v>
      </c>
      <c r="C82" s="43">
        <v>58.1</v>
      </c>
      <c r="D82" s="43">
        <v>58.1</v>
      </c>
      <c r="E82" s="43">
        <v>58.1</v>
      </c>
      <c r="F82" s="43">
        <v>58.1</v>
      </c>
      <c r="G82" s="43">
        <v>58.1</v>
      </c>
      <c r="H82" s="43">
        <v>58.1</v>
      </c>
      <c r="I82" s="43">
        <v>58.1</v>
      </c>
      <c r="J82" s="43">
        <v>58.1</v>
      </c>
      <c r="K82" s="43">
        <v>58.1</v>
      </c>
      <c r="L82" s="43">
        <v>58.1</v>
      </c>
      <c r="M82" s="43">
        <v>58.1</v>
      </c>
      <c r="N82" s="43">
        <v>58.1</v>
      </c>
      <c r="O82" s="43">
        <v>58.1</v>
      </c>
      <c r="P82" s="43">
        <v>58.1</v>
      </c>
      <c r="Q82" s="43"/>
      <c r="R82" s="43"/>
      <c r="S82" s="43"/>
      <c r="T82" s="43"/>
      <c r="U82" s="43"/>
      <c r="V82" s="43"/>
      <c r="W82" s="43"/>
      <c r="X82" s="43"/>
      <c r="Y82" s="43"/>
      <c r="Z82" s="43"/>
      <c r="AA82" s="43"/>
      <c r="AB82" s="44"/>
      <c r="AC82" s="44"/>
      <c r="AD82" s="44"/>
      <c r="AE82" s="44"/>
      <c r="AF82" s="44"/>
      <c r="AG82" s="64">
        <v>60</v>
      </c>
      <c r="AH82" s="46">
        <f t="shared" si="25"/>
        <v>58.1</v>
      </c>
      <c r="AI82" s="47">
        <f t="shared" si="26"/>
        <v>58.1</v>
      </c>
      <c r="AJ82" s="1"/>
      <c r="AK82" s="49"/>
      <c r="AL82" s="1"/>
      <c r="AM82" s="1"/>
      <c r="AN82" s="1"/>
      <c r="AO82" s="1"/>
      <c r="AY82" s="82" t="s">
        <v>105</v>
      </c>
      <c r="AZ82" s="81">
        <f>ROUND(C100,0)</f>
        <v>0</v>
      </c>
      <c r="BA82" s="80">
        <f t="shared" si="31"/>
        <v>0</v>
      </c>
      <c r="BB82" s="80">
        <f t="shared" si="31"/>
        <v>0</v>
      </c>
      <c r="BC82" s="80">
        <f t="shared" si="31"/>
        <v>0</v>
      </c>
      <c r="BD82" s="80">
        <f t="shared" si="31"/>
        <v>0</v>
      </c>
      <c r="BE82" s="81">
        <f>I100</f>
        <v>0</v>
      </c>
      <c r="BF82" s="81">
        <f>K100</f>
        <v>0</v>
      </c>
      <c r="BG82" s="81">
        <f t="shared" si="32"/>
        <v>0</v>
      </c>
      <c r="BH82" s="81">
        <f t="shared" si="32"/>
        <v>0</v>
      </c>
      <c r="BI82" s="81">
        <f t="shared" si="32"/>
        <v>0</v>
      </c>
      <c r="BJ82" s="81">
        <f t="shared" si="32"/>
        <v>0</v>
      </c>
      <c r="BK82" s="81">
        <f t="shared" si="32"/>
        <v>0</v>
      </c>
      <c r="BL82" s="81">
        <f t="shared" si="32"/>
        <v>0</v>
      </c>
      <c r="BM82" s="81">
        <f t="shared" si="32"/>
        <v>0</v>
      </c>
      <c r="BN82" s="81">
        <f t="shared" si="32"/>
        <v>0</v>
      </c>
      <c r="BO82" s="81">
        <f t="shared" si="32"/>
        <v>0</v>
      </c>
      <c r="BP82" s="81">
        <f t="shared" si="32"/>
        <v>0</v>
      </c>
      <c r="BQ82" s="81">
        <f>X100</f>
        <v>0</v>
      </c>
      <c r="BR82" s="81">
        <f>Z100</f>
        <v>0</v>
      </c>
      <c r="BS82" s="80">
        <f>AB100</f>
        <v>0</v>
      </c>
      <c r="BT82" s="80">
        <f t="shared" si="33"/>
        <v>0</v>
      </c>
      <c r="BU82" s="80">
        <f t="shared" si="33"/>
        <v>0</v>
      </c>
      <c r="BV82" s="80">
        <f t="shared" si="33"/>
        <v>0</v>
      </c>
      <c r="BW82" s="80">
        <f>B100</f>
        <v>0</v>
      </c>
    </row>
    <row r="83" spans="1:75" x14ac:dyDescent="0.25">
      <c r="A83" s="63" t="s">
        <v>106</v>
      </c>
      <c r="B83" s="44">
        <v>22.9</v>
      </c>
      <c r="C83" s="44">
        <v>22.9</v>
      </c>
      <c r="D83" s="44">
        <v>24.8</v>
      </c>
      <c r="E83" s="44">
        <v>24.8</v>
      </c>
      <c r="F83" s="44">
        <v>24.8</v>
      </c>
      <c r="G83" s="44">
        <v>24.8</v>
      </c>
      <c r="H83" s="44">
        <v>24.8</v>
      </c>
      <c r="I83" s="44">
        <v>24.8</v>
      </c>
      <c r="J83" s="44">
        <v>24.8</v>
      </c>
      <c r="K83" s="44">
        <v>24.8</v>
      </c>
      <c r="L83" s="44">
        <v>24.8</v>
      </c>
      <c r="M83" s="44">
        <v>24.8</v>
      </c>
      <c r="N83" s="44">
        <v>24.8</v>
      </c>
      <c r="O83" s="44">
        <v>24.8</v>
      </c>
      <c r="P83" s="44">
        <v>24.8</v>
      </c>
      <c r="Q83" s="43"/>
      <c r="R83" s="43"/>
      <c r="S83" s="43"/>
      <c r="T83" s="43"/>
      <c r="U83" s="43"/>
      <c r="V83" s="43"/>
      <c r="W83" s="43"/>
      <c r="X83" s="43"/>
      <c r="Y83" s="43"/>
      <c r="Z83" s="43"/>
      <c r="AA83" s="43"/>
      <c r="AB83" s="44"/>
      <c r="AC83" s="44"/>
      <c r="AD83" s="44"/>
      <c r="AE83" s="44"/>
      <c r="AF83" s="44"/>
      <c r="AG83" s="64">
        <v>30</v>
      </c>
      <c r="AH83" s="46">
        <f t="shared" si="25"/>
        <v>24.8</v>
      </c>
      <c r="AI83" s="47">
        <f t="shared" si="26"/>
        <v>22.9</v>
      </c>
      <c r="AK83" s="49"/>
      <c r="AY83" s="1" t="s">
        <v>107</v>
      </c>
      <c r="AZ83" s="81">
        <f>ROUND(C101,0)</f>
        <v>0</v>
      </c>
      <c r="BA83" s="80">
        <f t="shared" si="31"/>
        <v>0</v>
      </c>
      <c r="BB83" s="80">
        <f t="shared" si="31"/>
        <v>0</v>
      </c>
      <c r="BC83" s="80">
        <f t="shared" si="31"/>
        <v>0</v>
      </c>
      <c r="BD83" s="80">
        <f t="shared" si="31"/>
        <v>0</v>
      </c>
      <c r="BE83" s="81">
        <f>I101</f>
        <v>0</v>
      </c>
      <c r="BF83" s="81">
        <f>K101</f>
        <v>0</v>
      </c>
      <c r="BG83" s="81">
        <f t="shared" si="32"/>
        <v>0</v>
      </c>
      <c r="BH83" s="81">
        <f t="shared" si="32"/>
        <v>0</v>
      </c>
      <c r="BI83" s="81">
        <f t="shared" si="32"/>
        <v>0</v>
      </c>
      <c r="BJ83" s="81">
        <f t="shared" si="32"/>
        <v>0</v>
      </c>
      <c r="BK83" s="81">
        <f t="shared" si="32"/>
        <v>0</v>
      </c>
      <c r="BL83" s="81">
        <f t="shared" si="32"/>
        <v>0</v>
      </c>
      <c r="BM83" s="81">
        <f t="shared" si="32"/>
        <v>0</v>
      </c>
      <c r="BN83" s="81">
        <f t="shared" si="32"/>
        <v>0</v>
      </c>
      <c r="BO83" s="81">
        <f t="shared" si="32"/>
        <v>0</v>
      </c>
      <c r="BP83" s="81">
        <f t="shared" si="32"/>
        <v>0</v>
      </c>
      <c r="BQ83" s="81">
        <f>X101</f>
        <v>0</v>
      </c>
      <c r="BR83" s="81">
        <f>Z101</f>
        <v>0</v>
      </c>
      <c r="BS83" s="80">
        <f>AB101</f>
        <v>0</v>
      </c>
      <c r="BT83" s="80">
        <f t="shared" si="33"/>
        <v>0</v>
      </c>
      <c r="BU83" s="80">
        <f t="shared" si="33"/>
        <v>0</v>
      </c>
      <c r="BV83" s="80">
        <f t="shared" si="33"/>
        <v>0</v>
      </c>
      <c r="BW83" s="80">
        <f>B101</f>
        <v>0</v>
      </c>
    </row>
    <row r="84" spans="1:75" x14ac:dyDescent="0.25">
      <c r="A84" s="63" t="s">
        <v>108</v>
      </c>
      <c r="B84" s="44">
        <v>0</v>
      </c>
      <c r="C84" s="44">
        <v>0</v>
      </c>
      <c r="D84" s="44">
        <v>0</v>
      </c>
      <c r="E84" s="44">
        <v>0</v>
      </c>
      <c r="F84" s="44">
        <v>0</v>
      </c>
      <c r="G84" s="44">
        <v>0</v>
      </c>
      <c r="H84" s="44">
        <v>0</v>
      </c>
      <c r="I84" s="44">
        <v>0</v>
      </c>
      <c r="J84" s="44">
        <v>0.6</v>
      </c>
      <c r="K84" s="44">
        <v>0.6</v>
      </c>
      <c r="L84" s="44">
        <v>0.9</v>
      </c>
      <c r="M84" s="44">
        <v>0.9</v>
      </c>
      <c r="N84" s="44">
        <v>1.3</v>
      </c>
      <c r="O84" s="44">
        <v>5</v>
      </c>
      <c r="P84" s="44">
        <v>8.8000000000000007</v>
      </c>
      <c r="Q84" s="43"/>
      <c r="R84" s="43"/>
      <c r="S84" s="43"/>
      <c r="T84" s="43"/>
      <c r="U84" s="43"/>
      <c r="V84" s="43"/>
      <c r="W84" s="43"/>
      <c r="X84" s="43"/>
      <c r="Y84" s="43"/>
      <c r="Z84" s="43"/>
      <c r="AA84" s="43"/>
      <c r="AB84" s="43"/>
      <c r="AC84" s="43"/>
      <c r="AD84" s="43"/>
      <c r="AE84" s="43"/>
      <c r="AF84" s="43"/>
      <c r="AG84" s="64">
        <v>25</v>
      </c>
      <c r="AH84" s="46">
        <f t="shared" si="25"/>
        <v>8.8000000000000007</v>
      </c>
      <c r="AI84" s="47">
        <f t="shared" si="26"/>
        <v>0</v>
      </c>
      <c r="AK84" s="49"/>
      <c r="AY84" s="1" t="s">
        <v>109</v>
      </c>
      <c r="AZ84" s="81">
        <f>ROUND(C107,0)</f>
        <v>0</v>
      </c>
      <c r="BA84" s="81">
        <f>D107</f>
        <v>0</v>
      </c>
      <c r="BB84" s="81">
        <f>E107</f>
        <v>0</v>
      </c>
      <c r="BC84" s="81">
        <f>F107</f>
        <v>0</v>
      </c>
      <c r="BD84" s="81">
        <f>G107</f>
        <v>0</v>
      </c>
      <c r="BE84" s="81">
        <f>I107</f>
        <v>0</v>
      </c>
      <c r="BF84" s="81">
        <f>K107</f>
        <v>0</v>
      </c>
      <c r="BG84" s="81">
        <f t="shared" ref="BG84:BP84" si="34">M107</f>
        <v>0</v>
      </c>
      <c r="BH84" s="81">
        <f t="shared" si="34"/>
        <v>0</v>
      </c>
      <c r="BI84" s="81">
        <f t="shared" si="34"/>
        <v>0</v>
      </c>
      <c r="BJ84" s="81">
        <f t="shared" si="34"/>
        <v>0</v>
      </c>
      <c r="BK84" s="81">
        <f t="shared" si="34"/>
        <v>0</v>
      </c>
      <c r="BL84" s="81">
        <f t="shared" si="34"/>
        <v>0</v>
      </c>
      <c r="BM84" s="81">
        <f t="shared" si="34"/>
        <v>0</v>
      </c>
      <c r="BN84" s="81">
        <f t="shared" si="34"/>
        <v>0</v>
      </c>
      <c r="BO84" s="81">
        <f t="shared" si="34"/>
        <v>0</v>
      </c>
      <c r="BP84" s="81">
        <f t="shared" si="34"/>
        <v>0</v>
      </c>
      <c r="BQ84" s="81">
        <f>X107</f>
        <v>0</v>
      </c>
      <c r="BR84" s="81">
        <f>Z107</f>
        <v>0</v>
      </c>
      <c r="BS84" s="81">
        <f>AB107</f>
        <v>0</v>
      </c>
      <c r="BT84" s="81">
        <f>AD107</f>
        <v>0</v>
      </c>
      <c r="BU84" s="81">
        <f>AE107</f>
        <v>0</v>
      </c>
      <c r="BV84" s="81">
        <f>AF107</f>
        <v>0</v>
      </c>
      <c r="BW84" s="81">
        <f>B107</f>
        <v>0</v>
      </c>
    </row>
    <row r="85" spans="1:75" x14ac:dyDescent="0.25">
      <c r="A85" s="63" t="s">
        <v>110</v>
      </c>
      <c r="B85" s="43">
        <v>8.1</v>
      </c>
      <c r="C85" s="43">
        <v>8.1</v>
      </c>
      <c r="D85" s="43">
        <v>8.1</v>
      </c>
      <c r="E85" s="43">
        <v>8.1</v>
      </c>
      <c r="F85" s="43">
        <v>8.1</v>
      </c>
      <c r="G85" s="43">
        <v>8.1</v>
      </c>
      <c r="H85" s="43">
        <v>8.1</v>
      </c>
      <c r="I85" s="43">
        <v>8.1</v>
      </c>
      <c r="J85" s="43">
        <v>8.1</v>
      </c>
      <c r="K85" s="43">
        <v>8.1</v>
      </c>
      <c r="L85" s="43">
        <v>8.1</v>
      </c>
      <c r="M85" s="43">
        <v>8.1</v>
      </c>
      <c r="N85" s="43">
        <v>8.1</v>
      </c>
      <c r="O85" s="43">
        <v>8.1</v>
      </c>
      <c r="P85" s="43">
        <v>8.1</v>
      </c>
      <c r="Q85" s="43"/>
      <c r="R85" s="43"/>
      <c r="S85" s="43"/>
      <c r="T85" s="43"/>
      <c r="U85" s="43"/>
      <c r="V85" s="43"/>
      <c r="W85" s="43"/>
      <c r="X85" s="43"/>
      <c r="Y85" s="43"/>
      <c r="Z85" s="43"/>
      <c r="AA85" s="43"/>
      <c r="AB85" s="43"/>
      <c r="AC85" s="43"/>
      <c r="AD85" s="43"/>
      <c r="AE85" s="43"/>
      <c r="AF85" s="43"/>
      <c r="AG85" s="64">
        <v>24</v>
      </c>
      <c r="AH85" s="46">
        <f t="shared" si="25"/>
        <v>8.1</v>
      </c>
      <c r="AI85" s="47">
        <f t="shared" si="26"/>
        <v>8.1</v>
      </c>
      <c r="AK85" s="49"/>
      <c r="AZ85" s="81"/>
      <c r="BA85" s="80"/>
      <c r="BB85" s="80"/>
      <c r="BC85" s="80"/>
      <c r="BD85" s="80"/>
      <c r="BE85" s="81"/>
      <c r="BF85" s="81"/>
      <c r="BG85" s="81"/>
      <c r="BH85" s="81"/>
      <c r="BI85" s="81"/>
      <c r="BJ85" s="81"/>
      <c r="BK85" s="81"/>
      <c r="BL85" s="81"/>
      <c r="BM85" s="81"/>
      <c r="BN85" s="81"/>
      <c r="BO85" s="81"/>
      <c r="BP85" s="81"/>
      <c r="BQ85" s="81"/>
      <c r="BR85" s="81"/>
      <c r="BS85" s="80"/>
      <c r="BT85" s="80"/>
      <c r="BU85" s="80"/>
      <c r="BV85" s="80"/>
      <c r="BW85" s="80"/>
    </row>
    <row r="86" spans="1:75" x14ac:dyDescent="0.25">
      <c r="A86" s="63" t="s">
        <v>111</v>
      </c>
      <c r="B86" s="43">
        <v>2.6</v>
      </c>
      <c r="C86" s="43">
        <v>2.6</v>
      </c>
      <c r="D86" s="43">
        <v>2.6</v>
      </c>
      <c r="E86" s="43">
        <v>2.6</v>
      </c>
      <c r="F86" s="43">
        <v>2.6</v>
      </c>
      <c r="G86" s="43">
        <v>2.6</v>
      </c>
      <c r="H86" s="43">
        <v>2.6</v>
      </c>
      <c r="I86" s="43">
        <v>2.6</v>
      </c>
      <c r="J86" s="43">
        <v>2.6</v>
      </c>
      <c r="K86" s="43">
        <v>2.6</v>
      </c>
      <c r="L86" s="43">
        <v>2.6</v>
      </c>
      <c r="M86" s="43">
        <v>2.6</v>
      </c>
      <c r="N86" s="43">
        <v>2.6</v>
      </c>
      <c r="O86" s="43">
        <v>2.6</v>
      </c>
      <c r="P86" s="43">
        <v>2.6</v>
      </c>
      <c r="Q86" s="43"/>
      <c r="R86" s="43"/>
      <c r="S86" s="43"/>
      <c r="T86" s="43"/>
      <c r="U86" s="43"/>
      <c r="V86" s="43"/>
      <c r="W86" s="43"/>
      <c r="X86" s="43"/>
      <c r="Y86" s="43"/>
      <c r="Z86" s="43"/>
      <c r="AA86" s="43"/>
      <c r="AB86" s="43"/>
      <c r="AC86" s="43"/>
      <c r="AD86" s="43"/>
      <c r="AE86" s="43"/>
      <c r="AF86" s="43"/>
      <c r="AG86" s="64">
        <v>15</v>
      </c>
      <c r="AH86" s="46">
        <f t="shared" si="25"/>
        <v>2.6</v>
      </c>
      <c r="AI86" s="47">
        <f t="shared" si="26"/>
        <v>2.6</v>
      </c>
      <c r="AK86" s="49"/>
      <c r="AZ86" s="81">
        <f t="shared" ref="AZ86:BW91" si="35">VALUE(AZ79)</f>
        <v>-433</v>
      </c>
      <c r="BA86" s="81">
        <f t="shared" si="35"/>
        <v>-213</v>
      </c>
      <c r="BB86" s="81">
        <f t="shared" si="35"/>
        <v>-265</v>
      </c>
      <c r="BC86" s="81">
        <f t="shared" si="35"/>
        <v>-256</v>
      </c>
      <c r="BD86" s="81">
        <f t="shared" si="35"/>
        <v>-296.8</v>
      </c>
      <c r="BE86" s="81">
        <f t="shared" si="35"/>
        <v>-320</v>
      </c>
      <c r="BF86" s="81">
        <f t="shared" si="35"/>
        <v>-361.8</v>
      </c>
      <c r="BG86" s="81">
        <f t="shared" si="35"/>
        <v>-330</v>
      </c>
      <c r="BH86" s="81">
        <f t="shared" si="35"/>
        <v>-350</v>
      </c>
      <c r="BI86" s="81">
        <f t="shared" si="35"/>
        <v>-339</v>
      </c>
      <c r="BJ86" s="81">
        <f t="shared" si="35"/>
        <v>-330.9</v>
      </c>
      <c r="BK86" s="81">
        <f t="shared" si="35"/>
        <v>0</v>
      </c>
      <c r="BL86" s="81">
        <f t="shared" si="35"/>
        <v>0</v>
      </c>
      <c r="BM86" s="81">
        <f t="shared" si="35"/>
        <v>0</v>
      </c>
      <c r="BN86" s="81">
        <f t="shared" si="35"/>
        <v>0</v>
      </c>
      <c r="BO86" s="81">
        <f t="shared" si="35"/>
        <v>0</v>
      </c>
      <c r="BP86" s="81">
        <f t="shared" si="35"/>
        <v>0</v>
      </c>
      <c r="BQ86" s="81">
        <f t="shared" si="35"/>
        <v>0</v>
      </c>
      <c r="BR86" s="81">
        <f t="shared" si="35"/>
        <v>0</v>
      </c>
      <c r="BS86" s="81">
        <f t="shared" si="35"/>
        <v>0</v>
      </c>
      <c r="BT86" s="81">
        <f t="shared" si="35"/>
        <v>0</v>
      </c>
      <c r="BU86" s="81">
        <f t="shared" si="35"/>
        <v>0</v>
      </c>
      <c r="BV86" s="81">
        <f t="shared" si="35"/>
        <v>0</v>
      </c>
      <c r="BW86" s="81">
        <f t="shared" si="35"/>
        <v>-432.6</v>
      </c>
    </row>
    <row r="87" spans="1:75" x14ac:dyDescent="0.25">
      <c r="A87" s="63" t="s">
        <v>112</v>
      </c>
      <c r="B87" s="43">
        <v>3.8</v>
      </c>
      <c r="C87" s="43">
        <v>3.8</v>
      </c>
      <c r="D87" s="43">
        <v>3.8</v>
      </c>
      <c r="E87" s="43">
        <v>3.8</v>
      </c>
      <c r="F87" s="43">
        <v>3.8</v>
      </c>
      <c r="G87" s="43">
        <v>3.8</v>
      </c>
      <c r="H87" s="43">
        <v>3.8</v>
      </c>
      <c r="I87" s="43">
        <v>3.8</v>
      </c>
      <c r="J87" s="43">
        <v>3.8</v>
      </c>
      <c r="K87" s="43">
        <v>3.8</v>
      </c>
      <c r="L87" s="43">
        <v>3.8</v>
      </c>
      <c r="M87" s="43">
        <v>3.8</v>
      </c>
      <c r="N87" s="43">
        <v>3.8</v>
      </c>
      <c r="O87" s="43">
        <v>3.8</v>
      </c>
      <c r="P87" s="43">
        <v>3.8</v>
      </c>
      <c r="Q87" s="43"/>
      <c r="R87" s="43"/>
      <c r="S87" s="43"/>
      <c r="T87" s="43"/>
      <c r="U87" s="43"/>
      <c r="V87" s="43"/>
      <c r="W87" s="43"/>
      <c r="X87" s="43"/>
      <c r="Y87" s="43"/>
      <c r="Z87" s="43"/>
      <c r="AA87" s="43"/>
      <c r="AB87" s="43"/>
      <c r="AC87" s="43"/>
      <c r="AD87" s="43"/>
      <c r="AE87" s="43"/>
      <c r="AF87" s="43"/>
      <c r="AG87" s="64">
        <v>14.1</v>
      </c>
      <c r="AH87" s="46">
        <f t="shared" si="25"/>
        <v>3.8</v>
      </c>
      <c r="AI87" s="47">
        <f t="shared" si="26"/>
        <v>3.8</v>
      </c>
      <c r="AK87" s="49"/>
      <c r="AZ87" s="81">
        <f t="shared" si="35"/>
        <v>-189</v>
      </c>
      <c r="BA87" s="81">
        <f t="shared" si="35"/>
        <v>-148.80000000000001</v>
      </c>
      <c r="BB87" s="81">
        <f t="shared" si="35"/>
        <v>-140</v>
      </c>
      <c r="BC87" s="81">
        <f t="shared" si="35"/>
        <v>-139</v>
      </c>
      <c r="BD87" s="81">
        <f t="shared" si="35"/>
        <v>-139.4</v>
      </c>
      <c r="BE87" s="81">
        <f t="shared" si="35"/>
        <v>-159.4</v>
      </c>
      <c r="BF87" s="81">
        <f t="shared" si="35"/>
        <v>-167.4</v>
      </c>
      <c r="BG87" s="81">
        <f t="shared" si="35"/>
        <v>-157</v>
      </c>
      <c r="BH87" s="81">
        <f t="shared" si="35"/>
        <v>-160</v>
      </c>
      <c r="BI87" s="81">
        <f t="shared" si="35"/>
        <v>-181</v>
      </c>
      <c r="BJ87" s="81">
        <f t="shared" si="35"/>
        <v>-183.5</v>
      </c>
      <c r="BK87" s="81">
        <f t="shared" si="35"/>
        <v>0</v>
      </c>
      <c r="BL87" s="81">
        <f t="shared" si="35"/>
        <v>0</v>
      </c>
      <c r="BM87" s="81">
        <f t="shared" si="35"/>
        <v>0</v>
      </c>
      <c r="BN87" s="81">
        <f t="shared" si="35"/>
        <v>0</v>
      </c>
      <c r="BO87" s="81">
        <f t="shared" si="35"/>
        <v>0</v>
      </c>
      <c r="BP87" s="81">
        <f t="shared" si="35"/>
        <v>0</v>
      </c>
      <c r="BQ87" s="81">
        <f t="shared" si="35"/>
        <v>0</v>
      </c>
      <c r="BR87" s="81">
        <f t="shared" si="35"/>
        <v>0</v>
      </c>
      <c r="BS87" s="81">
        <f t="shared" si="35"/>
        <v>0</v>
      </c>
      <c r="BT87" s="81">
        <f t="shared" si="35"/>
        <v>0</v>
      </c>
      <c r="BU87" s="81">
        <f t="shared" si="35"/>
        <v>0</v>
      </c>
      <c r="BV87" s="81">
        <f t="shared" si="35"/>
        <v>0</v>
      </c>
      <c r="BW87" s="81">
        <f t="shared" si="35"/>
        <v>-188.6</v>
      </c>
    </row>
    <row r="88" spans="1:75" x14ac:dyDescent="0.25">
      <c r="A88" s="83" t="s">
        <v>113</v>
      </c>
      <c r="B88" s="43">
        <v>6.6</v>
      </c>
      <c r="C88" s="43">
        <v>6.6</v>
      </c>
      <c r="D88" s="43">
        <v>6.6</v>
      </c>
      <c r="E88" s="43">
        <v>6.6</v>
      </c>
      <c r="F88" s="43">
        <v>6.6</v>
      </c>
      <c r="G88" s="43">
        <v>6.6</v>
      </c>
      <c r="H88" s="43">
        <v>6.6</v>
      </c>
      <c r="I88" s="43">
        <v>6.6</v>
      </c>
      <c r="J88" s="43">
        <v>6.6</v>
      </c>
      <c r="K88" s="43">
        <v>6.6</v>
      </c>
      <c r="L88" s="43">
        <v>6.6</v>
      </c>
      <c r="M88" s="43">
        <v>6.6</v>
      </c>
      <c r="N88" s="43">
        <v>6.6</v>
      </c>
      <c r="O88" s="43">
        <v>6.6</v>
      </c>
      <c r="P88" s="43">
        <v>6.6</v>
      </c>
      <c r="Q88" s="43"/>
      <c r="R88" s="43"/>
      <c r="S88" s="43"/>
      <c r="T88" s="43"/>
      <c r="U88" s="43"/>
      <c r="V88" s="43"/>
      <c r="W88" s="43"/>
      <c r="X88" s="43"/>
      <c r="Y88" s="43"/>
      <c r="Z88" s="43"/>
      <c r="AA88" s="43"/>
      <c r="AB88" s="43"/>
      <c r="AC88" s="43"/>
      <c r="AD88" s="43"/>
      <c r="AE88" s="43"/>
      <c r="AF88" s="43"/>
      <c r="AG88" s="64">
        <v>14</v>
      </c>
      <c r="AH88" s="46">
        <f t="shared" si="25"/>
        <v>6.6</v>
      </c>
      <c r="AI88" s="47">
        <f t="shared" si="26"/>
        <v>6.6</v>
      </c>
      <c r="AK88" s="49"/>
      <c r="AZ88" s="81">
        <f t="shared" si="35"/>
        <v>0</v>
      </c>
      <c r="BA88" s="81">
        <f t="shared" si="35"/>
        <v>0</v>
      </c>
      <c r="BB88" s="81">
        <f t="shared" si="35"/>
        <v>0</v>
      </c>
      <c r="BC88" s="81">
        <f t="shared" si="35"/>
        <v>0</v>
      </c>
      <c r="BD88" s="81">
        <f t="shared" si="35"/>
        <v>0</v>
      </c>
      <c r="BE88" s="81">
        <f t="shared" si="35"/>
        <v>0</v>
      </c>
      <c r="BF88" s="81">
        <f t="shared" si="35"/>
        <v>0</v>
      </c>
      <c r="BG88" s="81">
        <f t="shared" si="35"/>
        <v>0</v>
      </c>
      <c r="BH88" s="81">
        <f t="shared" si="35"/>
        <v>0</v>
      </c>
      <c r="BI88" s="81">
        <f t="shared" si="35"/>
        <v>0</v>
      </c>
      <c r="BJ88" s="81">
        <f t="shared" si="35"/>
        <v>0</v>
      </c>
      <c r="BK88" s="81">
        <f t="shared" si="35"/>
        <v>0</v>
      </c>
      <c r="BL88" s="81">
        <f t="shared" si="35"/>
        <v>0</v>
      </c>
      <c r="BM88" s="81">
        <f t="shared" si="35"/>
        <v>0</v>
      </c>
      <c r="BN88" s="81">
        <f t="shared" si="35"/>
        <v>0</v>
      </c>
      <c r="BO88" s="81">
        <f t="shared" si="35"/>
        <v>0</v>
      </c>
      <c r="BP88" s="81">
        <f t="shared" si="35"/>
        <v>0</v>
      </c>
      <c r="BQ88" s="81">
        <f t="shared" si="35"/>
        <v>0</v>
      </c>
      <c r="BR88" s="81">
        <f t="shared" si="35"/>
        <v>0</v>
      </c>
      <c r="BS88" s="81">
        <f t="shared" si="35"/>
        <v>0</v>
      </c>
      <c r="BT88" s="81">
        <f t="shared" si="35"/>
        <v>0</v>
      </c>
      <c r="BU88" s="81">
        <f t="shared" si="35"/>
        <v>0</v>
      </c>
      <c r="BV88" s="81">
        <f t="shared" si="35"/>
        <v>0</v>
      </c>
      <c r="BW88" s="81">
        <f t="shared" si="35"/>
        <v>0</v>
      </c>
    </row>
    <row r="89" spans="1:75" x14ac:dyDescent="0.25">
      <c r="A89" s="63" t="s">
        <v>114</v>
      </c>
      <c r="B89" s="43">
        <v>8.8000000000000007</v>
      </c>
      <c r="C89" s="43">
        <v>8.8000000000000007</v>
      </c>
      <c r="D89" s="43">
        <v>8.8000000000000007</v>
      </c>
      <c r="E89" s="43">
        <v>8.8000000000000007</v>
      </c>
      <c r="F89" s="43">
        <v>8.8000000000000007</v>
      </c>
      <c r="G89" s="43">
        <v>8.8000000000000007</v>
      </c>
      <c r="H89" s="43">
        <v>8.8000000000000007</v>
      </c>
      <c r="I89" s="43">
        <v>8.8000000000000007</v>
      </c>
      <c r="J89" s="43">
        <v>8.8000000000000007</v>
      </c>
      <c r="K89" s="43">
        <v>8.8000000000000007</v>
      </c>
      <c r="L89" s="43">
        <v>8.8000000000000007</v>
      </c>
      <c r="M89" s="43">
        <v>8.8000000000000007</v>
      </c>
      <c r="N89" s="43">
        <v>8.8000000000000007</v>
      </c>
      <c r="O89" s="43">
        <v>8.8000000000000007</v>
      </c>
      <c r="P89" s="43">
        <v>8.8000000000000007</v>
      </c>
      <c r="Q89" s="43"/>
      <c r="R89" s="43"/>
      <c r="S89" s="43"/>
      <c r="T89" s="43"/>
      <c r="U89" s="43"/>
      <c r="V89" s="43"/>
      <c r="W89" s="43"/>
      <c r="X89" s="43"/>
      <c r="Y89" s="43"/>
      <c r="Z89" s="43"/>
      <c r="AA89" s="43"/>
      <c r="AB89" s="43"/>
      <c r="AC89" s="43"/>
      <c r="AD89" s="43"/>
      <c r="AE89" s="43"/>
      <c r="AF89" s="43"/>
      <c r="AG89" s="64">
        <v>10.050000000000001</v>
      </c>
      <c r="AH89" s="46">
        <f t="shared" si="25"/>
        <v>8.8000000000000007</v>
      </c>
      <c r="AI89" s="47">
        <f t="shared" si="26"/>
        <v>8.8000000000000007</v>
      </c>
      <c r="AK89" s="49"/>
      <c r="AZ89" s="81">
        <f t="shared" si="35"/>
        <v>0</v>
      </c>
      <c r="BA89" s="81">
        <f t="shared" si="35"/>
        <v>0</v>
      </c>
      <c r="BB89" s="81">
        <f t="shared" si="35"/>
        <v>0</v>
      </c>
      <c r="BC89" s="81">
        <f t="shared" si="35"/>
        <v>0</v>
      </c>
      <c r="BD89" s="81">
        <f t="shared" si="35"/>
        <v>0</v>
      </c>
      <c r="BE89" s="81">
        <f t="shared" si="35"/>
        <v>0</v>
      </c>
      <c r="BF89" s="81">
        <f t="shared" si="35"/>
        <v>0</v>
      </c>
      <c r="BG89" s="81">
        <f t="shared" si="35"/>
        <v>0</v>
      </c>
      <c r="BH89" s="81">
        <f t="shared" si="35"/>
        <v>0</v>
      </c>
      <c r="BI89" s="81">
        <f t="shared" si="35"/>
        <v>0</v>
      </c>
      <c r="BJ89" s="81">
        <f t="shared" si="35"/>
        <v>0</v>
      </c>
      <c r="BK89" s="81">
        <f t="shared" si="35"/>
        <v>0</v>
      </c>
      <c r="BL89" s="81">
        <f t="shared" si="35"/>
        <v>0</v>
      </c>
      <c r="BM89" s="81">
        <f t="shared" si="35"/>
        <v>0</v>
      </c>
      <c r="BN89" s="81">
        <f t="shared" si="35"/>
        <v>0</v>
      </c>
      <c r="BO89" s="81">
        <f t="shared" si="35"/>
        <v>0</v>
      </c>
      <c r="BP89" s="81">
        <f t="shared" si="35"/>
        <v>0</v>
      </c>
      <c r="BQ89" s="81">
        <f t="shared" si="35"/>
        <v>0</v>
      </c>
      <c r="BR89" s="81">
        <f t="shared" si="35"/>
        <v>0</v>
      </c>
      <c r="BS89" s="81">
        <f t="shared" si="35"/>
        <v>0</v>
      </c>
      <c r="BT89" s="81">
        <f t="shared" si="35"/>
        <v>0</v>
      </c>
      <c r="BU89" s="81">
        <f t="shared" si="35"/>
        <v>0</v>
      </c>
      <c r="BV89" s="81">
        <f t="shared" si="35"/>
        <v>0</v>
      </c>
      <c r="BW89" s="81">
        <f t="shared" si="35"/>
        <v>0</v>
      </c>
    </row>
    <row r="90" spans="1:75" x14ac:dyDescent="0.25">
      <c r="A90" s="63" t="s">
        <v>115</v>
      </c>
      <c r="B90" s="43">
        <v>6.2</v>
      </c>
      <c r="C90" s="43">
        <v>6.2</v>
      </c>
      <c r="D90" s="43">
        <v>6.2</v>
      </c>
      <c r="E90" s="43">
        <v>6.2</v>
      </c>
      <c r="F90" s="43">
        <v>6.2</v>
      </c>
      <c r="G90" s="43">
        <v>6.2</v>
      </c>
      <c r="H90" s="43">
        <v>6.2</v>
      </c>
      <c r="I90" s="43">
        <v>6.2</v>
      </c>
      <c r="J90" s="43">
        <v>6.2</v>
      </c>
      <c r="K90" s="43">
        <v>6.2</v>
      </c>
      <c r="L90" s="43">
        <v>6.2</v>
      </c>
      <c r="M90" s="43">
        <v>6.2</v>
      </c>
      <c r="N90" s="43">
        <v>6.2</v>
      </c>
      <c r="O90" s="43">
        <v>6.2</v>
      </c>
      <c r="P90" s="43">
        <v>6.2</v>
      </c>
      <c r="Q90" s="43"/>
      <c r="R90" s="43"/>
      <c r="S90" s="43"/>
      <c r="T90" s="43"/>
      <c r="U90" s="43"/>
      <c r="V90" s="43"/>
      <c r="W90" s="43"/>
      <c r="X90" s="43"/>
      <c r="Y90" s="43"/>
      <c r="Z90" s="43"/>
      <c r="AA90" s="43"/>
      <c r="AB90" s="43"/>
      <c r="AC90" s="43"/>
      <c r="AD90" s="43"/>
      <c r="AE90" s="43"/>
      <c r="AF90" s="43"/>
      <c r="AG90" s="64">
        <v>6.2</v>
      </c>
      <c r="AH90" s="46">
        <f t="shared" si="25"/>
        <v>6.2</v>
      </c>
      <c r="AI90" s="47">
        <f t="shared" si="26"/>
        <v>6.2</v>
      </c>
      <c r="AK90" s="49"/>
      <c r="AZ90" s="81">
        <f t="shared" si="35"/>
        <v>0</v>
      </c>
      <c r="BA90" s="81">
        <f t="shared" si="35"/>
        <v>0</v>
      </c>
      <c r="BB90" s="81">
        <f t="shared" si="35"/>
        <v>0</v>
      </c>
      <c r="BC90" s="81">
        <f t="shared" si="35"/>
        <v>0</v>
      </c>
      <c r="BD90" s="81">
        <f t="shared" si="35"/>
        <v>0</v>
      </c>
      <c r="BE90" s="81">
        <f t="shared" si="35"/>
        <v>0</v>
      </c>
      <c r="BF90" s="81">
        <f t="shared" si="35"/>
        <v>0</v>
      </c>
      <c r="BG90" s="81">
        <f t="shared" si="35"/>
        <v>0</v>
      </c>
      <c r="BH90" s="81">
        <f t="shared" si="35"/>
        <v>0</v>
      </c>
      <c r="BI90" s="81">
        <f t="shared" si="35"/>
        <v>0</v>
      </c>
      <c r="BJ90" s="81">
        <f t="shared" si="35"/>
        <v>0</v>
      </c>
      <c r="BK90" s="81">
        <f t="shared" si="35"/>
        <v>0</v>
      </c>
      <c r="BL90" s="81">
        <f t="shared" si="35"/>
        <v>0</v>
      </c>
      <c r="BM90" s="81">
        <f t="shared" si="35"/>
        <v>0</v>
      </c>
      <c r="BN90" s="81">
        <f t="shared" si="35"/>
        <v>0</v>
      </c>
      <c r="BO90" s="81">
        <f t="shared" si="35"/>
        <v>0</v>
      </c>
      <c r="BP90" s="81">
        <f t="shared" si="35"/>
        <v>0</v>
      </c>
      <c r="BQ90" s="81">
        <f t="shared" si="35"/>
        <v>0</v>
      </c>
      <c r="BR90" s="81">
        <f t="shared" si="35"/>
        <v>0</v>
      </c>
      <c r="BS90" s="81">
        <f t="shared" si="35"/>
        <v>0</v>
      </c>
      <c r="BT90" s="81">
        <f t="shared" si="35"/>
        <v>0</v>
      </c>
      <c r="BU90" s="81">
        <f t="shared" si="35"/>
        <v>0</v>
      </c>
      <c r="BV90" s="81">
        <f t="shared" si="35"/>
        <v>0</v>
      </c>
      <c r="BW90" s="81">
        <f t="shared" si="35"/>
        <v>0</v>
      </c>
    </row>
    <row r="91" spans="1:75" ht="15.75" thickBot="1" x14ac:dyDescent="0.3">
      <c r="A91" s="65" t="s">
        <v>116</v>
      </c>
      <c r="B91" s="84">
        <v>2</v>
      </c>
      <c r="C91" s="84">
        <v>2</v>
      </c>
      <c r="D91" s="84">
        <v>2</v>
      </c>
      <c r="E91" s="84">
        <v>2</v>
      </c>
      <c r="F91" s="84">
        <v>2</v>
      </c>
      <c r="G91" s="84">
        <v>2</v>
      </c>
      <c r="H91" s="84">
        <v>2</v>
      </c>
      <c r="I91" s="84">
        <v>2</v>
      </c>
      <c r="J91" s="84">
        <v>2</v>
      </c>
      <c r="K91" s="84">
        <v>2</v>
      </c>
      <c r="L91" s="84">
        <v>2</v>
      </c>
      <c r="M91" s="84">
        <v>2</v>
      </c>
      <c r="N91" s="84">
        <v>2</v>
      </c>
      <c r="O91" s="84">
        <v>2</v>
      </c>
      <c r="P91" s="84">
        <v>2</v>
      </c>
      <c r="Q91" s="84">
        <v>2</v>
      </c>
      <c r="R91" s="84">
        <v>2</v>
      </c>
      <c r="S91" s="84">
        <v>2</v>
      </c>
      <c r="T91" s="84">
        <v>2</v>
      </c>
      <c r="U91" s="84">
        <v>2</v>
      </c>
      <c r="V91" s="84">
        <v>2</v>
      </c>
      <c r="W91" s="84">
        <v>2</v>
      </c>
      <c r="X91" s="84">
        <v>2</v>
      </c>
      <c r="Y91" s="84">
        <v>2</v>
      </c>
      <c r="Z91" s="84">
        <v>2</v>
      </c>
      <c r="AA91" s="84">
        <v>2</v>
      </c>
      <c r="AB91" s="84">
        <v>2</v>
      </c>
      <c r="AC91" s="84">
        <v>2</v>
      </c>
      <c r="AD91" s="84">
        <v>2</v>
      </c>
      <c r="AE91" s="84">
        <v>2</v>
      </c>
      <c r="AF91" s="84">
        <v>2</v>
      </c>
      <c r="AG91" s="85">
        <f>AG168</f>
        <v>8.56</v>
      </c>
      <c r="AH91" s="46">
        <f t="shared" si="25"/>
        <v>2</v>
      </c>
      <c r="AI91" s="47">
        <f t="shared" si="26"/>
        <v>2</v>
      </c>
      <c r="AK91" s="49"/>
      <c r="AZ91" s="81">
        <f t="shared" si="35"/>
        <v>0</v>
      </c>
      <c r="BA91" s="81">
        <f t="shared" si="35"/>
        <v>0</v>
      </c>
      <c r="BB91" s="81">
        <f t="shared" si="35"/>
        <v>0</v>
      </c>
      <c r="BC91" s="81">
        <f t="shared" si="35"/>
        <v>0</v>
      </c>
      <c r="BD91" s="81">
        <f t="shared" si="35"/>
        <v>0</v>
      </c>
      <c r="BE91" s="81">
        <f t="shared" si="35"/>
        <v>0</v>
      </c>
      <c r="BF91" s="81">
        <f t="shared" si="35"/>
        <v>0</v>
      </c>
      <c r="BG91" s="81">
        <f t="shared" si="35"/>
        <v>0</v>
      </c>
      <c r="BH91" s="81">
        <f t="shared" si="35"/>
        <v>0</v>
      </c>
      <c r="BI91" s="81">
        <f t="shared" si="35"/>
        <v>0</v>
      </c>
      <c r="BJ91" s="81">
        <f t="shared" si="35"/>
        <v>0</v>
      </c>
      <c r="BK91" s="81">
        <f t="shared" si="35"/>
        <v>0</v>
      </c>
      <c r="BL91" s="81">
        <f t="shared" si="35"/>
        <v>0</v>
      </c>
      <c r="BM91" s="81">
        <f t="shared" si="35"/>
        <v>0</v>
      </c>
      <c r="BN91" s="81">
        <f t="shared" si="35"/>
        <v>0</v>
      </c>
      <c r="BO91" s="81">
        <f t="shared" si="35"/>
        <v>0</v>
      </c>
      <c r="BP91" s="81">
        <f t="shared" si="35"/>
        <v>0</v>
      </c>
      <c r="BQ91" s="81">
        <f t="shared" si="35"/>
        <v>0</v>
      </c>
      <c r="BR91" s="81">
        <f t="shared" si="35"/>
        <v>0</v>
      </c>
      <c r="BS91" s="81">
        <f t="shared" si="35"/>
        <v>0</v>
      </c>
      <c r="BT91" s="81">
        <f t="shared" si="35"/>
        <v>0</v>
      </c>
      <c r="BU91" s="81">
        <f t="shared" si="35"/>
        <v>0</v>
      </c>
      <c r="BV91" s="81">
        <f t="shared" si="35"/>
        <v>0</v>
      </c>
      <c r="BW91" s="81">
        <f t="shared" si="35"/>
        <v>0</v>
      </c>
    </row>
    <row r="92" spans="1:75" ht="15.75" thickBot="1" x14ac:dyDescent="0.3">
      <c r="A92" s="86" t="s">
        <v>117</v>
      </c>
      <c r="B92" s="69">
        <f t="shared" ref="B92:D92" si="36">SUM(B79:B91)</f>
        <v>396.50000000000006</v>
      </c>
      <c r="C92" s="69">
        <f t="shared" si="36"/>
        <v>396.50000000000006</v>
      </c>
      <c r="D92" s="69">
        <f t="shared" si="36"/>
        <v>398.40000000000009</v>
      </c>
      <c r="E92" s="69">
        <f t="shared" ref="E92:F92" si="37">SUM(E79:E91)</f>
        <v>398.40000000000009</v>
      </c>
      <c r="F92" s="69">
        <f t="shared" si="37"/>
        <v>398.40000000000009</v>
      </c>
      <c r="G92" s="69">
        <f t="shared" ref="G92:AG92" si="38">SUM(G79:G91)</f>
        <v>398.40000000000009</v>
      </c>
      <c r="H92" s="69">
        <f t="shared" si="38"/>
        <v>398.40000000000009</v>
      </c>
      <c r="I92" s="69">
        <f t="shared" si="38"/>
        <v>398.40000000000009</v>
      </c>
      <c r="J92" s="69">
        <f t="shared" si="38"/>
        <v>399.00000000000011</v>
      </c>
      <c r="K92" s="69">
        <f t="shared" si="38"/>
        <v>399.00000000000011</v>
      </c>
      <c r="L92" s="69">
        <f t="shared" si="38"/>
        <v>399.30000000000007</v>
      </c>
      <c r="M92" s="69">
        <f t="shared" si="38"/>
        <v>399.30000000000007</v>
      </c>
      <c r="N92" s="69">
        <f t="shared" si="38"/>
        <v>399.7000000000001</v>
      </c>
      <c r="O92" s="69">
        <f t="shared" si="38"/>
        <v>403.40000000000009</v>
      </c>
      <c r="P92" s="69">
        <f t="shared" si="38"/>
        <v>404.60000000000014</v>
      </c>
      <c r="Q92" s="69">
        <f t="shared" si="38"/>
        <v>2</v>
      </c>
      <c r="R92" s="69">
        <f t="shared" si="38"/>
        <v>2</v>
      </c>
      <c r="S92" s="69">
        <f t="shared" si="38"/>
        <v>2</v>
      </c>
      <c r="T92" s="69">
        <f t="shared" si="38"/>
        <v>2</v>
      </c>
      <c r="U92" s="69">
        <f t="shared" si="38"/>
        <v>2</v>
      </c>
      <c r="V92" s="69">
        <f t="shared" si="38"/>
        <v>2</v>
      </c>
      <c r="W92" s="69">
        <f t="shared" si="38"/>
        <v>2</v>
      </c>
      <c r="X92" s="69">
        <f t="shared" si="38"/>
        <v>2</v>
      </c>
      <c r="Y92" s="69">
        <f t="shared" si="38"/>
        <v>2</v>
      </c>
      <c r="Z92" s="69">
        <f t="shared" si="38"/>
        <v>2</v>
      </c>
      <c r="AA92" s="69">
        <f t="shared" si="38"/>
        <v>2</v>
      </c>
      <c r="AB92" s="69">
        <f t="shared" si="38"/>
        <v>2</v>
      </c>
      <c r="AC92" s="69">
        <f t="shared" si="38"/>
        <v>2</v>
      </c>
      <c r="AD92" s="69">
        <f t="shared" si="38"/>
        <v>2</v>
      </c>
      <c r="AE92" s="69">
        <f t="shared" si="38"/>
        <v>2</v>
      </c>
      <c r="AF92" s="69">
        <f t="shared" si="38"/>
        <v>2</v>
      </c>
      <c r="AG92" s="79">
        <f t="shared" si="38"/>
        <v>489.91</v>
      </c>
      <c r="AH92" s="46">
        <f t="shared" si="25"/>
        <v>404.60000000000014</v>
      </c>
      <c r="AI92" s="47">
        <f t="shared" si="26"/>
        <v>2</v>
      </c>
      <c r="AK92" s="49"/>
      <c r="AY92" s="81"/>
    </row>
    <row r="93" spans="1:75" x14ac:dyDescent="0.25">
      <c r="A93" s="42" t="s">
        <v>118</v>
      </c>
      <c r="B93" s="44"/>
      <c r="C93" s="44"/>
      <c r="D93" s="44"/>
      <c r="E93" s="44"/>
      <c r="F93" s="44"/>
      <c r="G93" s="44"/>
      <c r="H93" s="44"/>
      <c r="I93" s="44"/>
      <c r="J93" s="44"/>
      <c r="K93" s="44"/>
      <c r="L93" s="44"/>
      <c r="M93" s="4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  <c r="AC93" s="44"/>
      <c r="AD93" s="44"/>
      <c r="AE93" s="44"/>
      <c r="AF93" s="44"/>
      <c r="AG93" s="61">
        <v>60</v>
      </c>
      <c r="AH93" s="46">
        <f t="shared" si="25"/>
        <v>0</v>
      </c>
      <c r="AI93" s="47">
        <f t="shared" si="26"/>
        <v>0</v>
      </c>
      <c r="AK93" s="49"/>
      <c r="AY93" s="81"/>
      <c r="BF93" s="81"/>
      <c r="BG93" s="81"/>
      <c r="BH93" s="81"/>
      <c r="BI93" s="81"/>
      <c r="BJ93" s="81"/>
      <c r="BK93" s="81"/>
    </row>
    <row r="94" spans="1:75" x14ac:dyDescent="0.25">
      <c r="A94" s="63" t="s">
        <v>119</v>
      </c>
      <c r="B94" s="43"/>
      <c r="C94" s="43"/>
      <c r="D94" s="43"/>
      <c r="E94" s="43"/>
      <c r="F94" s="43"/>
      <c r="G94" s="43"/>
      <c r="H94" s="43"/>
      <c r="I94" s="43"/>
      <c r="J94" s="43"/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  <c r="Y94" s="43"/>
      <c r="Z94" s="43"/>
      <c r="AA94" s="43"/>
      <c r="AB94" s="43"/>
      <c r="AC94" s="43"/>
      <c r="AD94" s="43"/>
      <c r="AE94" s="43"/>
      <c r="AF94" s="43"/>
      <c r="AG94" s="64">
        <v>32</v>
      </c>
      <c r="AH94" s="46">
        <f t="shared" si="25"/>
        <v>0</v>
      </c>
      <c r="AI94" s="47">
        <f t="shared" si="26"/>
        <v>0</v>
      </c>
      <c r="AK94" s="49"/>
      <c r="AY94" s="81"/>
      <c r="BF94" s="80"/>
      <c r="BG94" s="80"/>
      <c r="BH94" s="80"/>
      <c r="BI94" s="80"/>
      <c r="BJ94" s="80"/>
      <c r="BK94" s="81"/>
    </row>
    <row r="95" spans="1:75" ht="15.75" thickBot="1" x14ac:dyDescent="0.3">
      <c r="A95" s="83" t="s">
        <v>120</v>
      </c>
      <c r="B95" s="76"/>
      <c r="C95" s="76"/>
      <c r="D95" s="76"/>
      <c r="E95" s="76"/>
      <c r="F95" s="76"/>
      <c r="G95" s="76"/>
      <c r="H95" s="76"/>
      <c r="I95" s="76"/>
      <c r="J95" s="76"/>
      <c r="K95" s="76"/>
      <c r="L95" s="76"/>
      <c r="M95" s="76"/>
      <c r="N95" s="76"/>
      <c r="O95" s="76"/>
      <c r="P95" s="76"/>
      <c r="Q95" s="76"/>
      <c r="R95" s="76"/>
      <c r="S95" s="76"/>
      <c r="T95" s="76"/>
      <c r="U95" s="76"/>
      <c r="V95" s="76"/>
      <c r="W95" s="76"/>
      <c r="X95" s="76"/>
      <c r="Y95" s="76"/>
      <c r="Z95" s="76"/>
      <c r="AA95" s="76"/>
      <c r="AB95" s="76"/>
      <c r="AC95" s="76"/>
      <c r="AD95" s="76"/>
      <c r="AE95" s="76"/>
      <c r="AF95" s="76"/>
      <c r="AG95" s="77">
        <v>14</v>
      </c>
      <c r="AH95" s="46">
        <f t="shared" si="25"/>
        <v>0</v>
      </c>
      <c r="AI95" s="47">
        <f t="shared" si="26"/>
        <v>0</v>
      </c>
      <c r="AK95" s="49"/>
      <c r="AY95" s="81"/>
      <c r="BF95" s="80"/>
      <c r="BG95" s="81">
        <f t="array" ref="BG95:BL118">TRANSPOSE(AZ79:BW84)</f>
        <v>-433</v>
      </c>
      <c r="BH95" s="81">
        <v>-189</v>
      </c>
      <c r="BI95" s="81">
        <v>0</v>
      </c>
      <c r="BJ95" s="81">
        <v>0</v>
      </c>
      <c r="BK95" s="81">
        <v>0</v>
      </c>
      <c r="BL95" s="81">
        <v>0</v>
      </c>
    </row>
    <row r="96" spans="1:75" ht="15.75" thickBot="1" x14ac:dyDescent="0.3">
      <c r="A96" s="86" t="s">
        <v>121</v>
      </c>
      <c r="B96" s="69">
        <f t="shared" ref="B96:D96" si="39">B93+B94+B95</f>
        <v>0</v>
      </c>
      <c r="C96" s="69">
        <f t="shared" si="39"/>
        <v>0</v>
      </c>
      <c r="D96" s="69">
        <f t="shared" si="39"/>
        <v>0</v>
      </c>
      <c r="E96" s="69">
        <f t="shared" ref="E96:F96" si="40">E93+E94+E95</f>
        <v>0</v>
      </c>
      <c r="F96" s="69">
        <f t="shared" si="40"/>
        <v>0</v>
      </c>
      <c r="G96" s="69">
        <f t="shared" ref="G96:AF96" si="41">G93+G94+G95</f>
        <v>0</v>
      </c>
      <c r="H96" s="69">
        <f t="shared" si="41"/>
        <v>0</v>
      </c>
      <c r="I96" s="69">
        <f t="shared" si="41"/>
        <v>0</v>
      </c>
      <c r="J96" s="69">
        <f t="shared" si="41"/>
        <v>0</v>
      </c>
      <c r="K96" s="69">
        <f t="shared" si="41"/>
        <v>0</v>
      </c>
      <c r="L96" s="69">
        <f t="shared" si="41"/>
        <v>0</v>
      </c>
      <c r="M96" s="69">
        <f t="shared" si="41"/>
        <v>0</v>
      </c>
      <c r="N96" s="69">
        <f t="shared" si="41"/>
        <v>0</v>
      </c>
      <c r="O96" s="69">
        <f t="shared" si="41"/>
        <v>0</v>
      </c>
      <c r="P96" s="69">
        <f t="shared" si="41"/>
        <v>0</v>
      </c>
      <c r="Q96" s="69">
        <f t="shared" si="41"/>
        <v>0</v>
      </c>
      <c r="R96" s="69">
        <f t="shared" si="41"/>
        <v>0</v>
      </c>
      <c r="S96" s="69">
        <f t="shared" si="41"/>
        <v>0</v>
      </c>
      <c r="T96" s="69">
        <f t="shared" si="41"/>
        <v>0</v>
      </c>
      <c r="U96" s="69">
        <f t="shared" si="41"/>
        <v>0</v>
      </c>
      <c r="V96" s="69">
        <f t="shared" si="41"/>
        <v>0</v>
      </c>
      <c r="W96" s="69">
        <f t="shared" si="41"/>
        <v>0</v>
      </c>
      <c r="X96" s="69">
        <f t="shared" si="41"/>
        <v>0</v>
      </c>
      <c r="Y96" s="69">
        <f t="shared" si="41"/>
        <v>0</v>
      </c>
      <c r="Z96" s="69">
        <f t="shared" si="41"/>
        <v>0</v>
      </c>
      <c r="AA96" s="69">
        <f t="shared" si="41"/>
        <v>0</v>
      </c>
      <c r="AB96" s="69">
        <f t="shared" si="41"/>
        <v>0</v>
      </c>
      <c r="AC96" s="69">
        <f t="shared" si="41"/>
        <v>0</v>
      </c>
      <c r="AD96" s="69">
        <f t="shared" si="41"/>
        <v>0</v>
      </c>
      <c r="AE96" s="69">
        <f t="shared" si="41"/>
        <v>0</v>
      </c>
      <c r="AF96" s="69">
        <f t="shared" si="41"/>
        <v>0</v>
      </c>
      <c r="AG96" s="79">
        <f>SUM(AG93:AG95)</f>
        <v>106</v>
      </c>
      <c r="AH96" s="46">
        <f t="shared" si="25"/>
        <v>0</v>
      </c>
      <c r="AI96" s="47">
        <f t="shared" si="26"/>
        <v>0</v>
      </c>
      <c r="AK96" s="49"/>
      <c r="AY96" s="81"/>
      <c r="BF96" s="80"/>
      <c r="BG96" s="81">
        <v>-213</v>
      </c>
      <c r="BH96" s="81">
        <v>-148.80000000000001</v>
      </c>
      <c r="BI96" s="81">
        <v>0</v>
      </c>
      <c r="BJ96" s="81">
        <v>0</v>
      </c>
      <c r="BK96" s="81">
        <v>0</v>
      </c>
      <c r="BL96" s="81">
        <v>0</v>
      </c>
    </row>
    <row r="97" spans="1:64" x14ac:dyDescent="0.25">
      <c r="A97" s="42" t="s">
        <v>122</v>
      </c>
      <c r="B97" s="44">
        <v>-432.6</v>
      </c>
      <c r="C97" s="44">
        <v>-432.6</v>
      </c>
      <c r="D97" s="44">
        <v>-213</v>
      </c>
      <c r="E97" s="44">
        <v>-265</v>
      </c>
      <c r="F97" s="44">
        <v>-256</v>
      </c>
      <c r="G97" s="44">
        <v>-296.8</v>
      </c>
      <c r="H97" s="44">
        <v>-372.3</v>
      </c>
      <c r="I97" s="44">
        <v>-320</v>
      </c>
      <c r="J97" s="44">
        <v>-325.89999999999998</v>
      </c>
      <c r="K97" s="44">
        <v>-361.8</v>
      </c>
      <c r="L97" s="44">
        <v>-310</v>
      </c>
      <c r="M97" s="44">
        <v>-330</v>
      </c>
      <c r="N97" s="44">
        <v>-350</v>
      </c>
      <c r="O97" s="44">
        <v>-339</v>
      </c>
      <c r="P97" s="44">
        <v>-330.9</v>
      </c>
      <c r="Q97" s="44"/>
      <c r="R97" s="44"/>
      <c r="S97" s="44"/>
      <c r="T97" s="44"/>
      <c r="U97" s="44"/>
      <c r="V97" s="44"/>
      <c r="W97" s="44"/>
      <c r="X97" s="44"/>
      <c r="Y97" s="44"/>
      <c r="Z97" s="44"/>
      <c r="AA97" s="44"/>
      <c r="AB97" s="44"/>
      <c r="AC97" s="44"/>
      <c r="AD97" s="44"/>
      <c r="AE97" s="44"/>
      <c r="AF97" s="44"/>
      <c r="AG97" s="61"/>
      <c r="AH97" s="46">
        <f t="shared" si="25"/>
        <v>-213</v>
      </c>
      <c r="AI97" s="47">
        <f t="shared" si="26"/>
        <v>-432.6</v>
      </c>
      <c r="AK97" s="49"/>
      <c r="AY97" s="81"/>
      <c r="BF97" s="80"/>
      <c r="BG97" s="81">
        <v>-265</v>
      </c>
      <c r="BH97" s="81">
        <v>-140</v>
      </c>
      <c r="BI97" s="81">
        <v>0</v>
      </c>
      <c r="BJ97" s="81">
        <v>0</v>
      </c>
      <c r="BK97" s="81">
        <v>0</v>
      </c>
      <c r="BL97" s="81">
        <v>0</v>
      </c>
    </row>
    <row r="98" spans="1:64" ht="15.75" thickBot="1" x14ac:dyDescent="0.3">
      <c r="A98" s="63" t="s">
        <v>123</v>
      </c>
      <c r="B98" s="43">
        <v>-188.6</v>
      </c>
      <c r="C98" s="43">
        <v>-188.6</v>
      </c>
      <c r="D98" s="43">
        <v>-148.80000000000001</v>
      </c>
      <c r="E98" s="43">
        <v>-140</v>
      </c>
      <c r="F98" s="43">
        <v>-139</v>
      </c>
      <c r="G98" s="43">
        <v>-139.4</v>
      </c>
      <c r="H98" s="43">
        <v>-132.5</v>
      </c>
      <c r="I98" s="43">
        <v>-159.4</v>
      </c>
      <c r="J98" s="43">
        <v>-162.19999999999999</v>
      </c>
      <c r="K98" s="43">
        <v>-167.4</v>
      </c>
      <c r="L98" s="43">
        <v>-157.19999999999999</v>
      </c>
      <c r="M98" s="43">
        <v>-157</v>
      </c>
      <c r="N98" s="43">
        <v>-160</v>
      </c>
      <c r="O98" s="43">
        <v>-181</v>
      </c>
      <c r="P98" s="43">
        <v>-183.5</v>
      </c>
      <c r="Q98" s="43"/>
      <c r="R98" s="43"/>
      <c r="S98" s="43"/>
      <c r="T98" s="43"/>
      <c r="U98" s="43"/>
      <c r="V98" s="43"/>
      <c r="W98" s="43"/>
      <c r="X98" s="43"/>
      <c r="Y98" s="43"/>
      <c r="Z98" s="43"/>
      <c r="AA98" s="43"/>
      <c r="AB98" s="43"/>
      <c r="AC98" s="43"/>
      <c r="AD98" s="43"/>
      <c r="AE98" s="43"/>
      <c r="AF98" s="43"/>
      <c r="AG98" s="64"/>
      <c r="AH98" s="46">
        <f t="shared" si="25"/>
        <v>-132.5</v>
      </c>
      <c r="AI98" s="47">
        <f t="shared" si="26"/>
        <v>-188.6</v>
      </c>
      <c r="AK98" s="49"/>
      <c r="AL98" s="87" t="s">
        <v>124</v>
      </c>
      <c r="AM98" s="87"/>
      <c r="AY98" s="81"/>
      <c r="BF98" s="81"/>
      <c r="BG98" s="81">
        <v>-256</v>
      </c>
      <c r="BH98" s="81">
        <v>-139</v>
      </c>
      <c r="BI98" s="81">
        <v>0</v>
      </c>
      <c r="BJ98" s="81">
        <v>0</v>
      </c>
      <c r="BK98" s="81">
        <v>0</v>
      </c>
      <c r="BL98" s="81">
        <v>0</v>
      </c>
    </row>
    <row r="99" spans="1:64" x14ac:dyDescent="0.25">
      <c r="A99" s="63" t="s">
        <v>125</v>
      </c>
      <c r="B99" s="43"/>
      <c r="C99" s="43"/>
      <c r="D99" s="43"/>
      <c r="E99" s="43"/>
      <c r="F99" s="43"/>
      <c r="G99" s="43"/>
      <c r="H99" s="43"/>
      <c r="I99" s="43"/>
      <c r="J99" s="43"/>
      <c r="K99" s="43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  <c r="Y99" s="43"/>
      <c r="Z99" s="43"/>
      <c r="AA99" s="43"/>
      <c r="AB99" s="43"/>
      <c r="AC99" s="43"/>
      <c r="AD99" s="43"/>
      <c r="AE99" s="43"/>
      <c r="AF99" s="43"/>
      <c r="AG99" s="88"/>
      <c r="AH99" s="46">
        <f t="shared" si="25"/>
        <v>0</v>
      </c>
      <c r="AI99" s="47">
        <f t="shared" si="26"/>
        <v>0</v>
      </c>
      <c r="AK99" s="89"/>
      <c r="AL99" s="90"/>
      <c r="AM99" s="90"/>
      <c r="AN99" s="91"/>
      <c r="AY99" s="81"/>
      <c r="BF99" s="81"/>
      <c r="BG99" s="81">
        <v>-296.8</v>
      </c>
      <c r="BH99" s="81">
        <v>-139.4</v>
      </c>
      <c r="BI99" s="81">
        <v>0</v>
      </c>
      <c r="BJ99" s="81">
        <v>0</v>
      </c>
      <c r="BK99" s="81">
        <v>0</v>
      </c>
      <c r="BL99" s="81">
        <v>0</v>
      </c>
    </row>
    <row r="100" spans="1:64" x14ac:dyDescent="0.25">
      <c r="A100" s="63" t="s">
        <v>126</v>
      </c>
      <c r="B100" s="43"/>
      <c r="C100" s="43"/>
      <c r="D100" s="43"/>
      <c r="E100" s="43"/>
      <c r="F100" s="43"/>
      <c r="G100" s="92"/>
      <c r="H100" s="92"/>
      <c r="I100" s="92"/>
      <c r="J100" s="92"/>
      <c r="K100" s="92"/>
      <c r="L100" s="92"/>
      <c r="M100" s="92"/>
      <c r="N100" s="92"/>
      <c r="O100" s="92"/>
      <c r="P100" s="92"/>
      <c r="Q100" s="92"/>
      <c r="R100" s="92"/>
      <c r="S100" s="92"/>
      <c r="T100" s="92"/>
      <c r="U100" s="92"/>
      <c r="V100" s="92"/>
      <c r="W100" s="92"/>
      <c r="X100" s="92"/>
      <c r="Y100" s="92"/>
      <c r="Z100" s="92"/>
      <c r="AA100" s="92"/>
      <c r="AB100" s="92"/>
      <c r="AC100" s="92"/>
      <c r="AD100" s="92"/>
      <c r="AE100" s="92"/>
      <c r="AF100" s="92"/>
      <c r="AG100" s="88"/>
      <c r="AH100" s="46">
        <f t="shared" si="25"/>
        <v>0</v>
      </c>
      <c r="AI100" s="47">
        <f t="shared" si="26"/>
        <v>0</v>
      </c>
      <c r="AK100" s="93" t="s">
        <v>127</v>
      </c>
      <c r="AL100" s="43"/>
      <c r="AM100" s="92"/>
      <c r="AN100" s="94"/>
      <c r="AY100" s="81"/>
      <c r="BF100" s="81"/>
      <c r="BG100" s="81">
        <v>-320</v>
      </c>
      <c r="BH100" s="81">
        <v>-159.4</v>
      </c>
      <c r="BI100" s="81">
        <v>0</v>
      </c>
      <c r="BJ100" s="81">
        <v>0</v>
      </c>
      <c r="BK100" s="81">
        <v>0</v>
      </c>
      <c r="BL100" s="81">
        <v>0</v>
      </c>
    </row>
    <row r="101" spans="1:64" x14ac:dyDescent="0.25">
      <c r="A101" s="95" t="s">
        <v>128</v>
      </c>
      <c r="B101" s="44"/>
      <c r="C101" s="44"/>
      <c r="D101" s="44"/>
      <c r="E101" s="44"/>
      <c r="F101" s="44"/>
      <c r="G101" s="44"/>
      <c r="H101" s="44"/>
      <c r="I101" s="44"/>
      <c r="J101" s="44"/>
      <c r="K101" s="44"/>
      <c r="L101" s="44"/>
      <c r="M101" s="44"/>
      <c r="N101" s="44"/>
      <c r="O101" s="44"/>
      <c r="P101" s="44"/>
      <c r="Q101" s="44"/>
      <c r="R101" s="44"/>
      <c r="S101" s="44"/>
      <c r="T101" s="44"/>
      <c r="U101" s="44"/>
      <c r="V101" s="44"/>
      <c r="W101" s="44"/>
      <c r="X101" s="44"/>
      <c r="Y101" s="44"/>
      <c r="Z101" s="44"/>
      <c r="AA101" s="44"/>
      <c r="AB101" s="44"/>
      <c r="AC101" s="44"/>
      <c r="AD101" s="44"/>
      <c r="AE101" s="44"/>
      <c r="AF101" s="44"/>
      <c r="AG101" s="88"/>
      <c r="AH101" s="46">
        <f t="shared" si="25"/>
        <v>0</v>
      </c>
      <c r="AI101" s="47">
        <f t="shared" si="26"/>
        <v>0</v>
      </c>
      <c r="AK101" s="93" t="s">
        <v>129</v>
      </c>
      <c r="AL101" s="92"/>
      <c r="AM101" s="92"/>
      <c r="AN101" s="94"/>
      <c r="AY101" s="81"/>
      <c r="BF101" s="81"/>
      <c r="BG101" s="81">
        <v>-361.8</v>
      </c>
      <c r="BH101" s="81">
        <v>-167.4</v>
      </c>
      <c r="BI101" s="81">
        <v>0</v>
      </c>
      <c r="BJ101" s="81">
        <v>0</v>
      </c>
      <c r="BK101" s="81">
        <v>0</v>
      </c>
      <c r="BL101" s="81">
        <v>0</v>
      </c>
    </row>
    <row r="102" spans="1:64" ht="15.75" thickBot="1" x14ac:dyDescent="0.3">
      <c r="A102" s="95" t="s">
        <v>130</v>
      </c>
      <c r="B102" s="96">
        <v>3.6</v>
      </c>
      <c r="C102" s="96">
        <v>3.6</v>
      </c>
      <c r="D102" s="96">
        <v>24</v>
      </c>
      <c r="E102" s="96">
        <v>2</v>
      </c>
      <c r="F102" s="96">
        <v>-10</v>
      </c>
      <c r="G102" s="96">
        <v>-44.8</v>
      </c>
      <c r="H102" s="96">
        <v>-37.4</v>
      </c>
      <c r="I102" s="96">
        <v>-45.9</v>
      </c>
      <c r="J102" s="96">
        <v>-54.2</v>
      </c>
      <c r="K102" s="96">
        <v>-65.900000000000006</v>
      </c>
      <c r="L102" s="96">
        <v>-60.2</v>
      </c>
      <c r="M102" s="96">
        <v>-65</v>
      </c>
      <c r="N102" s="96">
        <v>-55</v>
      </c>
      <c r="O102" s="96">
        <v>-30</v>
      </c>
      <c r="P102" s="96">
        <v>-29.6</v>
      </c>
      <c r="Q102" s="96"/>
      <c r="R102" s="96"/>
      <c r="S102" s="96"/>
      <c r="T102" s="96"/>
      <c r="U102" s="96"/>
      <c r="V102" s="96"/>
      <c r="W102" s="96"/>
      <c r="X102" s="96"/>
      <c r="Y102" s="96"/>
      <c r="Z102" s="96"/>
      <c r="AA102" s="96"/>
      <c r="AB102" s="96"/>
      <c r="AC102" s="96"/>
      <c r="AD102" s="96"/>
      <c r="AE102" s="96"/>
      <c r="AF102" s="96"/>
      <c r="AG102" s="88"/>
      <c r="AH102" s="46">
        <f t="shared" si="25"/>
        <v>24</v>
      </c>
      <c r="AI102" s="47">
        <f t="shared" si="26"/>
        <v>-65.900000000000006</v>
      </c>
      <c r="AK102" s="93"/>
      <c r="AL102" s="44"/>
      <c r="AM102" s="44"/>
      <c r="AN102" s="97"/>
      <c r="AY102" s="81"/>
      <c r="BF102" s="81"/>
      <c r="BG102" s="81">
        <v>-330</v>
      </c>
      <c r="BH102" s="81">
        <v>-157</v>
      </c>
      <c r="BI102" s="81">
        <v>0</v>
      </c>
      <c r="BJ102" s="81">
        <v>0</v>
      </c>
      <c r="BK102" s="81">
        <v>0</v>
      </c>
      <c r="BL102" s="81">
        <v>0</v>
      </c>
    </row>
    <row r="103" spans="1:64" x14ac:dyDescent="0.25">
      <c r="A103" s="63" t="s">
        <v>131</v>
      </c>
      <c r="B103" s="96"/>
      <c r="C103" s="96"/>
      <c r="D103" s="96"/>
      <c r="E103" s="96"/>
      <c r="F103" s="96"/>
      <c r="G103" s="96"/>
      <c r="H103" s="96"/>
      <c r="I103" s="96"/>
      <c r="J103" s="96"/>
      <c r="K103" s="96"/>
      <c r="L103" s="96"/>
      <c r="M103" s="96"/>
      <c r="N103" s="96"/>
      <c r="O103" s="96"/>
      <c r="P103" s="96"/>
      <c r="Q103" s="96"/>
      <c r="R103" s="96"/>
      <c r="S103" s="96"/>
      <c r="T103" s="96"/>
      <c r="U103" s="96"/>
      <c r="V103" s="96"/>
      <c r="W103" s="96"/>
      <c r="X103" s="96"/>
      <c r="Y103" s="96"/>
      <c r="Z103" s="96"/>
      <c r="AA103" s="96"/>
      <c r="AB103" s="96"/>
      <c r="AC103" s="96"/>
      <c r="AD103" s="96"/>
      <c r="AE103" s="96"/>
      <c r="AF103" s="96"/>
      <c r="AG103" s="88"/>
      <c r="AH103" s="46">
        <f t="shared" si="25"/>
        <v>0</v>
      </c>
      <c r="AI103" s="47">
        <f t="shared" si="26"/>
        <v>0</v>
      </c>
      <c r="AK103" s="93"/>
      <c r="AL103" s="96"/>
      <c r="AM103" s="98"/>
      <c r="AN103" s="228"/>
      <c r="AY103" s="81"/>
      <c r="BF103" s="81"/>
      <c r="BG103" s="81">
        <v>-350</v>
      </c>
      <c r="BH103" s="81">
        <v>-160</v>
      </c>
      <c r="BI103" s="81">
        <v>0</v>
      </c>
      <c r="BJ103" s="81">
        <v>0</v>
      </c>
      <c r="BK103" s="81">
        <v>0</v>
      </c>
      <c r="BL103" s="81">
        <v>0</v>
      </c>
    </row>
    <row r="104" spans="1:64" x14ac:dyDescent="0.25">
      <c r="A104" s="63" t="s">
        <v>132</v>
      </c>
      <c r="B104" s="96"/>
      <c r="C104" s="96"/>
      <c r="D104" s="96"/>
      <c r="E104" s="96"/>
      <c r="F104" s="96"/>
      <c r="G104" s="96"/>
      <c r="H104" s="96"/>
      <c r="I104" s="96"/>
      <c r="J104" s="96"/>
      <c r="K104" s="96"/>
      <c r="L104" s="96"/>
      <c r="M104" s="96"/>
      <c r="N104" s="96"/>
      <c r="O104" s="96"/>
      <c r="P104" s="96"/>
      <c r="Q104" s="96"/>
      <c r="R104" s="96"/>
      <c r="S104" s="96"/>
      <c r="T104" s="96"/>
      <c r="U104" s="96"/>
      <c r="V104" s="96"/>
      <c r="W104" s="96"/>
      <c r="X104" s="96"/>
      <c r="Y104" s="96"/>
      <c r="Z104" s="96"/>
      <c r="AA104" s="96"/>
      <c r="AB104" s="96"/>
      <c r="AC104" s="96"/>
      <c r="AD104" s="96"/>
      <c r="AE104" s="96"/>
      <c r="AF104" s="96"/>
      <c r="AG104" s="88"/>
      <c r="AH104" s="46">
        <f t="shared" si="25"/>
        <v>0</v>
      </c>
      <c r="AI104" s="47">
        <f t="shared" si="26"/>
        <v>0</v>
      </c>
      <c r="AK104" s="93"/>
      <c r="AL104" s="96"/>
      <c r="AM104" s="96"/>
      <c r="AN104" s="229"/>
      <c r="BF104" s="81"/>
      <c r="BG104" s="81">
        <v>-339</v>
      </c>
      <c r="BH104" s="81">
        <v>-181</v>
      </c>
      <c r="BI104" s="81">
        <v>0</v>
      </c>
      <c r="BJ104" s="81">
        <v>0</v>
      </c>
      <c r="BK104" s="81">
        <v>0</v>
      </c>
      <c r="BL104" s="81">
        <v>0</v>
      </c>
    </row>
    <row r="105" spans="1:64" ht="15.75" thickBot="1" x14ac:dyDescent="0.3">
      <c r="A105" s="63" t="s">
        <v>133</v>
      </c>
      <c r="B105" s="96"/>
      <c r="C105" s="96"/>
      <c r="D105" s="96"/>
      <c r="E105" s="96"/>
      <c r="F105" s="96"/>
      <c r="G105" s="96"/>
      <c r="H105" s="96"/>
      <c r="I105" s="96"/>
      <c r="J105" s="96"/>
      <c r="K105" s="96"/>
      <c r="L105" s="96"/>
      <c r="M105" s="96"/>
      <c r="N105" s="96"/>
      <c r="O105" s="96"/>
      <c r="P105" s="96"/>
      <c r="Q105" s="96"/>
      <c r="R105" s="96"/>
      <c r="S105" s="96"/>
      <c r="T105" s="96"/>
      <c r="U105" s="96"/>
      <c r="V105" s="96"/>
      <c r="W105" s="96"/>
      <c r="X105" s="96"/>
      <c r="Y105" s="96"/>
      <c r="Z105" s="96"/>
      <c r="AA105" s="96"/>
      <c r="AB105" s="96"/>
      <c r="AC105" s="96"/>
      <c r="AD105" s="96"/>
      <c r="AE105" s="96"/>
      <c r="AF105" s="96"/>
      <c r="AG105" s="88"/>
      <c r="AH105" s="46">
        <f t="shared" si="25"/>
        <v>0</v>
      </c>
      <c r="AI105" s="47">
        <f t="shared" si="26"/>
        <v>0</v>
      </c>
      <c r="AK105" s="99"/>
      <c r="AL105" s="100"/>
      <c r="AM105" s="100"/>
      <c r="AN105" s="101"/>
      <c r="BF105" s="81"/>
      <c r="BG105" s="81">
        <v>-330.9</v>
      </c>
      <c r="BH105" s="81">
        <v>-183.5</v>
      </c>
      <c r="BI105" s="81">
        <v>0</v>
      </c>
      <c r="BJ105" s="81">
        <v>0</v>
      </c>
      <c r="BK105" s="81">
        <v>0</v>
      </c>
      <c r="BL105" s="81">
        <v>0</v>
      </c>
    </row>
    <row r="106" spans="1:64" x14ac:dyDescent="0.25">
      <c r="A106" s="63" t="s">
        <v>134</v>
      </c>
      <c r="B106" s="96"/>
      <c r="C106" s="96"/>
      <c r="D106" s="96"/>
      <c r="E106" s="96"/>
      <c r="F106" s="96"/>
      <c r="G106" s="96"/>
      <c r="H106" s="96"/>
      <c r="I106" s="96"/>
      <c r="J106" s="96"/>
      <c r="K106" s="96"/>
      <c r="L106" s="96"/>
      <c r="M106" s="96"/>
      <c r="N106" s="96"/>
      <c r="O106" s="96"/>
      <c r="P106" s="96"/>
      <c r="Q106" s="96"/>
      <c r="R106" s="96"/>
      <c r="S106" s="96"/>
      <c r="T106" s="96"/>
      <c r="U106" s="96"/>
      <c r="V106" s="96"/>
      <c r="W106" s="96"/>
      <c r="X106" s="96"/>
      <c r="Y106" s="96"/>
      <c r="Z106" s="96"/>
      <c r="AA106" s="96"/>
      <c r="AB106" s="96"/>
      <c r="AC106" s="96"/>
      <c r="AD106" s="96"/>
      <c r="AE106" s="96"/>
      <c r="AF106" s="96"/>
      <c r="AG106" s="102"/>
      <c r="AH106" s="46">
        <f t="shared" si="25"/>
        <v>0</v>
      </c>
      <c r="AI106" s="47">
        <f t="shared" si="26"/>
        <v>0</v>
      </c>
      <c r="BF106" s="81"/>
      <c r="BG106" s="81">
        <v>0</v>
      </c>
      <c r="BH106" s="81">
        <v>0</v>
      </c>
      <c r="BI106" s="81">
        <v>0</v>
      </c>
      <c r="BJ106" s="81">
        <v>0</v>
      </c>
      <c r="BK106" s="81">
        <v>0</v>
      </c>
      <c r="BL106" s="81">
        <v>0</v>
      </c>
    </row>
    <row r="107" spans="1:64" ht="15.75" thickBot="1" x14ac:dyDescent="0.3">
      <c r="A107" s="95" t="s">
        <v>135</v>
      </c>
      <c r="B107" s="96"/>
      <c r="C107" s="96"/>
      <c r="D107" s="96"/>
      <c r="E107" s="96"/>
      <c r="F107" s="96"/>
      <c r="G107" s="96"/>
      <c r="H107" s="96"/>
      <c r="I107" s="96"/>
      <c r="J107" s="96"/>
      <c r="K107" s="96"/>
      <c r="L107" s="96"/>
      <c r="M107" s="96"/>
      <c r="N107" s="96"/>
      <c r="O107" s="96"/>
      <c r="P107" s="96"/>
      <c r="Q107" s="96"/>
      <c r="R107" s="96"/>
      <c r="S107" s="96"/>
      <c r="T107" s="96"/>
      <c r="U107" s="96"/>
      <c r="V107" s="96"/>
      <c r="W107" s="96"/>
      <c r="X107" s="96"/>
      <c r="Y107" s="96"/>
      <c r="Z107" s="96"/>
      <c r="AA107" s="96"/>
      <c r="AB107" s="96"/>
      <c r="AC107" s="96"/>
      <c r="AD107" s="96"/>
      <c r="AE107" s="96"/>
      <c r="AF107" s="96"/>
      <c r="AG107" s="102"/>
      <c r="AH107" s="46">
        <f t="shared" si="25"/>
        <v>0</v>
      </c>
      <c r="AI107" s="47">
        <f t="shared" si="26"/>
        <v>0</v>
      </c>
      <c r="BF107" s="81"/>
      <c r="BG107" s="81">
        <v>0</v>
      </c>
      <c r="BH107" s="81">
        <v>0</v>
      </c>
      <c r="BI107" s="81">
        <v>0</v>
      </c>
      <c r="BJ107" s="81">
        <v>0</v>
      </c>
      <c r="BK107" s="81">
        <v>0</v>
      </c>
      <c r="BL107" s="81">
        <v>0</v>
      </c>
    </row>
    <row r="108" spans="1:64" ht="15.75" thickBot="1" x14ac:dyDescent="0.3">
      <c r="A108" s="86" t="s">
        <v>136</v>
      </c>
      <c r="B108" s="69">
        <f t="shared" ref="B108:D108" si="42">SUMIF(B97:B107,"&gt;0")</f>
        <v>3.6</v>
      </c>
      <c r="C108" s="69">
        <f t="shared" si="42"/>
        <v>3.6</v>
      </c>
      <c r="D108" s="69">
        <f t="shared" si="42"/>
        <v>24</v>
      </c>
      <c r="E108" s="69">
        <f t="shared" ref="E108:F108" si="43">SUMIF(E97:E107,"&gt;0")</f>
        <v>2</v>
      </c>
      <c r="F108" s="69">
        <f t="shared" si="43"/>
        <v>0</v>
      </c>
      <c r="G108" s="69">
        <f t="shared" ref="G108:AF108" si="44">SUMIF(G97:G107,"&gt;0")</f>
        <v>0</v>
      </c>
      <c r="H108" s="69">
        <f t="shared" si="44"/>
        <v>0</v>
      </c>
      <c r="I108" s="69">
        <f t="shared" si="44"/>
        <v>0</v>
      </c>
      <c r="J108" s="69">
        <f t="shared" si="44"/>
        <v>0</v>
      </c>
      <c r="K108" s="69">
        <f t="shared" si="44"/>
        <v>0</v>
      </c>
      <c r="L108" s="69">
        <f t="shared" si="44"/>
        <v>0</v>
      </c>
      <c r="M108" s="69">
        <f t="shared" si="44"/>
        <v>0</v>
      </c>
      <c r="N108" s="69">
        <f t="shared" si="44"/>
        <v>0</v>
      </c>
      <c r="O108" s="69">
        <f t="shared" si="44"/>
        <v>0</v>
      </c>
      <c r="P108" s="69">
        <f t="shared" si="44"/>
        <v>0</v>
      </c>
      <c r="Q108" s="69">
        <f t="shared" si="44"/>
        <v>0</v>
      </c>
      <c r="R108" s="69">
        <f t="shared" si="44"/>
        <v>0</v>
      </c>
      <c r="S108" s="69">
        <f t="shared" si="44"/>
        <v>0</v>
      </c>
      <c r="T108" s="69">
        <f t="shared" si="44"/>
        <v>0</v>
      </c>
      <c r="U108" s="69">
        <f t="shared" si="44"/>
        <v>0</v>
      </c>
      <c r="V108" s="69">
        <f t="shared" si="44"/>
        <v>0</v>
      </c>
      <c r="W108" s="69">
        <f t="shared" si="44"/>
        <v>0</v>
      </c>
      <c r="X108" s="69">
        <f t="shared" si="44"/>
        <v>0</v>
      </c>
      <c r="Y108" s="69">
        <f t="shared" si="44"/>
        <v>0</v>
      </c>
      <c r="Z108" s="69">
        <f t="shared" si="44"/>
        <v>0</v>
      </c>
      <c r="AA108" s="69">
        <f t="shared" si="44"/>
        <v>0</v>
      </c>
      <c r="AB108" s="69">
        <f t="shared" si="44"/>
        <v>0</v>
      </c>
      <c r="AC108" s="69">
        <f t="shared" si="44"/>
        <v>0</v>
      </c>
      <c r="AD108" s="69">
        <f t="shared" si="44"/>
        <v>0</v>
      </c>
      <c r="AE108" s="69">
        <f t="shared" si="44"/>
        <v>0</v>
      </c>
      <c r="AF108" s="69">
        <f t="shared" si="44"/>
        <v>0</v>
      </c>
      <c r="AG108" s="103">
        <f>SUM(AG97:AG107)</f>
        <v>0</v>
      </c>
      <c r="AH108" s="46">
        <f t="shared" si="25"/>
        <v>24</v>
      </c>
      <c r="AI108" s="47">
        <f t="shared" si="26"/>
        <v>0</v>
      </c>
      <c r="AJ108" s="104">
        <f t="array" ref="AJ108">MIN(IF(B108:AF108&lt;&gt;0,B108:AF108))</f>
        <v>2</v>
      </c>
      <c r="BF108" s="81"/>
      <c r="BG108" s="81">
        <v>0</v>
      </c>
      <c r="BH108" s="81">
        <v>0</v>
      </c>
      <c r="BI108" s="81">
        <v>0</v>
      </c>
      <c r="BJ108" s="81">
        <v>0</v>
      </c>
      <c r="BK108" s="81">
        <v>0</v>
      </c>
      <c r="BL108" s="81">
        <v>0</v>
      </c>
    </row>
    <row r="109" spans="1:64" x14ac:dyDescent="0.25">
      <c r="A109" s="42" t="s">
        <v>137</v>
      </c>
      <c r="B109" s="92">
        <v>0</v>
      </c>
      <c r="C109" s="92">
        <v>0</v>
      </c>
      <c r="D109" s="92">
        <v>0</v>
      </c>
      <c r="E109" s="92">
        <v>0</v>
      </c>
      <c r="F109" s="92">
        <v>0</v>
      </c>
      <c r="G109" s="92">
        <v>0</v>
      </c>
      <c r="H109" s="92">
        <v>0</v>
      </c>
      <c r="I109" s="92">
        <v>0</v>
      </c>
      <c r="J109" s="92">
        <v>0</v>
      </c>
      <c r="K109" s="92">
        <v>0</v>
      </c>
      <c r="L109" s="92">
        <v>0</v>
      </c>
      <c r="M109" s="92">
        <v>0</v>
      </c>
      <c r="N109" s="92">
        <v>0</v>
      </c>
      <c r="O109" s="92">
        <v>0</v>
      </c>
      <c r="P109" s="92">
        <v>0</v>
      </c>
      <c r="Q109" s="92">
        <v>0</v>
      </c>
      <c r="R109" s="92">
        <v>0</v>
      </c>
      <c r="S109" s="92">
        <v>0</v>
      </c>
      <c r="T109" s="92">
        <v>0</v>
      </c>
      <c r="U109" s="92">
        <v>0</v>
      </c>
      <c r="V109" s="92">
        <v>0</v>
      </c>
      <c r="W109" s="92">
        <v>0</v>
      </c>
      <c r="X109" s="92">
        <v>0</v>
      </c>
      <c r="Y109" s="92">
        <v>0</v>
      </c>
      <c r="Z109" s="92">
        <v>0</v>
      </c>
      <c r="AA109" s="92">
        <v>0</v>
      </c>
      <c r="AB109" s="92">
        <v>0</v>
      </c>
      <c r="AC109" s="92">
        <v>0</v>
      </c>
      <c r="AD109" s="92">
        <v>0</v>
      </c>
      <c r="AE109" s="92">
        <v>0</v>
      </c>
      <c r="AF109" s="92">
        <v>0</v>
      </c>
      <c r="AG109" s="105">
        <v>39</v>
      </c>
      <c r="AH109" s="46">
        <f t="shared" si="25"/>
        <v>0</v>
      </c>
      <c r="AI109" s="47">
        <f t="shared" si="26"/>
        <v>0</v>
      </c>
      <c r="BF109" s="81"/>
      <c r="BG109" s="81">
        <v>0</v>
      </c>
      <c r="BH109" s="81">
        <v>0</v>
      </c>
      <c r="BI109" s="81">
        <v>0</v>
      </c>
      <c r="BJ109" s="81">
        <v>0</v>
      </c>
      <c r="BK109" s="81">
        <v>0</v>
      </c>
      <c r="BL109" s="81">
        <v>0</v>
      </c>
    </row>
    <row r="110" spans="1:64" x14ac:dyDescent="0.25">
      <c r="A110" s="63" t="s">
        <v>138</v>
      </c>
      <c r="B110" s="96">
        <v>0</v>
      </c>
      <c r="C110" s="96">
        <v>0</v>
      </c>
      <c r="D110" s="96">
        <v>0</v>
      </c>
      <c r="E110" s="96">
        <v>0</v>
      </c>
      <c r="F110" s="96">
        <v>0</v>
      </c>
      <c r="G110" s="96">
        <v>0</v>
      </c>
      <c r="H110" s="96">
        <v>0</v>
      </c>
      <c r="I110" s="96">
        <v>0</v>
      </c>
      <c r="J110" s="96">
        <v>0</v>
      </c>
      <c r="K110" s="96">
        <v>0</v>
      </c>
      <c r="L110" s="96">
        <v>0</v>
      </c>
      <c r="M110" s="96">
        <v>0</v>
      </c>
      <c r="N110" s="96">
        <v>0</v>
      </c>
      <c r="O110" s="96">
        <v>0</v>
      </c>
      <c r="P110" s="96">
        <v>0</v>
      </c>
      <c r="Q110" s="96">
        <v>0</v>
      </c>
      <c r="R110" s="96">
        <v>0</v>
      </c>
      <c r="S110" s="96">
        <v>0</v>
      </c>
      <c r="T110" s="96">
        <v>0</v>
      </c>
      <c r="U110" s="96">
        <v>0</v>
      </c>
      <c r="V110" s="96">
        <v>0</v>
      </c>
      <c r="W110" s="96">
        <v>0</v>
      </c>
      <c r="X110" s="96">
        <v>0</v>
      </c>
      <c r="Y110" s="96">
        <v>0</v>
      </c>
      <c r="Z110" s="96">
        <v>0</v>
      </c>
      <c r="AA110" s="96">
        <v>0</v>
      </c>
      <c r="AB110" s="96">
        <v>0</v>
      </c>
      <c r="AC110" s="96">
        <v>0</v>
      </c>
      <c r="AD110" s="96">
        <v>0</v>
      </c>
      <c r="AE110" s="96">
        <v>0</v>
      </c>
      <c r="AF110" s="96">
        <v>0</v>
      </c>
      <c r="AG110" s="88">
        <v>14.4</v>
      </c>
      <c r="AH110" s="46">
        <f t="shared" si="25"/>
        <v>0</v>
      </c>
      <c r="AI110" s="47">
        <f t="shared" si="26"/>
        <v>0</v>
      </c>
      <c r="BF110" s="81"/>
      <c r="BG110" s="81">
        <v>0</v>
      </c>
      <c r="BH110" s="81">
        <v>0</v>
      </c>
      <c r="BI110" s="81">
        <v>0</v>
      </c>
      <c r="BJ110" s="81">
        <v>0</v>
      </c>
      <c r="BK110" s="81">
        <v>0</v>
      </c>
      <c r="BL110" s="81">
        <v>0</v>
      </c>
    </row>
    <row r="111" spans="1:64" ht="15.75" thickBot="1" x14ac:dyDescent="0.3">
      <c r="A111" s="95" t="s">
        <v>139</v>
      </c>
      <c r="B111" s="106">
        <v>0</v>
      </c>
      <c r="C111" s="106">
        <v>0</v>
      </c>
      <c r="D111" s="106">
        <v>0</v>
      </c>
      <c r="E111" s="106">
        <v>0</v>
      </c>
      <c r="F111" s="106">
        <v>0</v>
      </c>
      <c r="G111" s="106">
        <v>0</v>
      </c>
      <c r="H111" s="106">
        <v>0</v>
      </c>
      <c r="I111" s="106">
        <v>0</v>
      </c>
      <c r="J111" s="106">
        <v>0</v>
      </c>
      <c r="K111" s="106">
        <v>0</v>
      </c>
      <c r="L111" s="106">
        <v>0</v>
      </c>
      <c r="M111" s="106">
        <v>0</v>
      </c>
      <c r="N111" s="106">
        <v>0</v>
      </c>
      <c r="O111" s="106">
        <v>0</v>
      </c>
      <c r="P111" s="106">
        <v>0</v>
      </c>
      <c r="Q111" s="106">
        <v>0</v>
      </c>
      <c r="R111" s="106">
        <v>0</v>
      </c>
      <c r="S111" s="106">
        <v>0</v>
      </c>
      <c r="T111" s="106">
        <v>0</v>
      </c>
      <c r="U111" s="106">
        <v>0</v>
      </c>
      <c r="V111" s="106">
        <v>0</v>
      </c>
      <c r="W111" s="106">
        <v>0</v>
      </c>
      <c r="X111" s="106">
        <v>0</v>
      </c>
      <c r="Y111" s="106">
        <v>0</v>
      </c>
      <c r="Z111" s="106">
        <v>0</v>
      </c>
      <c r="AA111" s="106">
        <v>0</v>
      </c>
      <c r="AB111" s="106">
        <v>0</v>
      </c>
      <c r="AC111" s="106">
        <v>0</v>
      </c>
      <c r="AD111" s="106">
        <v>0</v>
      </c>
      <c r="AE111" s="106">
        <v>0</v>
      </c>
      <c r="AF111" s="106">
        <v>0</v>
      </c>
      <c r="AG111" s="102">
        <v>2</v>
      </c>
      <c r="AH111" s="46">
        <f t="shared" si="25"/>
        <v>0</v>
      </c>
      <c r="AI111" s="47">
        <f t="shared" si="26"/>
        <v>0</v>
      </c>
      <c r="BF111" s="81"/>
      <c r="BG111" s="81">
        <v>0</v>
      </c>
      <c r="BH111" s="81">
        <v>0</v>
      </c>
      <c r="BI111" s="81">
        <v>0</v>
      </c>
      <c r="BJ111" s="81">
        <v>0</v>
      </c>
      <c r="BK111" s="81">
        <v>0</v>
      </c>
      <c r="BL111" s="81">
        <v>0</v>
      </c>
    </row>
    <row r="112" spans="1:64" ht="15.75" thickBot="1" x14ac:dyDescent="0.3">
      <c r="A112" s="86" t="s">
        <v>140</v>
      </c>
      <c r="B112" s="69"/>
      <c r="C112" s="69"/>
      <c r="D112" s="69"/>
      <c r="E112" s="69"/>
      <c r="F112" s="69"/>
      <c r="G112" s="69"/>
      <c r="H112" s="69"/>
      <c r="I112" s="69"/>
      <c r="J112" s="69"/>
      <c r="K112" s="69"/>
      <c r="L112" s="69"/>
      <c r="M112" s="69"/>
      <c r="N112" s="69"/>
      <c r="O112" s="69"/>
      <c r="P112" s="69"/>
      <c r="Q112" s="69"/>
      <c r="R112" s="69"/>
      <c r="S112" s="69"/>
      <c r="T112" s="69"/>
      <c r="U112" s="69"/>
      <c r="V112" s="69"/>
      <c r="W112" s="69"/>
      <c r="X112" s="69">
        <v>0</v>
      </c>
      <c r="Y112" s="69"/>
      <c r="Z112" s="69"/>
      <c r="AA112" s="69"/>
      <c r="AB112" s="69"/>
      <c r="AC112" s="69"/>
      <c r="AD112" s="69"/>
      <c r="AE112" s="69"/>
      <c r="AF112" s="69"/>
      <c r="AG112" s="103">
        <f>SUM(AG109:AG111)</f>
        <v>55.4</v>
      </c>
      <c r="AH112" s="46">
        <f t="shared" si="25"/>
        <v>0</v>
      </c>
      <c r="AI112" s="47">
        <f t="shared" si="26"/>
        <v>0</v>
      </c>
      <c r="BF112" s="80"/>
      <c r="BG112" s="81">
        <v>0</v>
      </c>
      <c r="BH112" s="81">
        <v>0</v>
      </c>
      <c r="BI112" s="81">
        <v>0</v>
      </c>
      <c r="BJ112" s="81">
        <v>0</v>
      </c>
      <c r="BK112" s="81">
        <v>0</v>
      </c>
      <c r="BL112" s="81">
        <v>0</v>
      </c>
    </row>
    <row r="113" spans="1:64" ht="15.75" thickBot="1" x14ac:dyDescent="0.3">
      <c r="A113" s="86" t="s">
        <v>141</v>
      </c>
      <c r="B113" s="107">
        <f t="shared" ref="B113:D113" si="45">B71+B78+B96+B92+B108+B112</f>
        <v>2515.6</v>
      </c>
      <c r="C113" s="107">
        <f t="shared" si="45"/>
        <v>2515.6</v>
      </c>
      <c r="D113" s="107">
        <f t="shared" si="45"/>
        <v>2119</v>
      </c>
      <c r="E113" s="107">
        <f t="shared" ref="E113:F113" si="46">E71+E78+E96+E92+E108+E112</f>
        <v>2121</v>
      </c>
      <c r="F113" s="107">
        <f t="shared" si="46"/>
        <v>2165.5</v>
      </c>
      <c r="G113" s="107">
        <f t="shared" ref="G113:AG113" si="47">G71+G78+G96+G92+G108+G112</f>
        <v>2039.6999999999998</v>
      </c>
      <c r="H113" s="107">
        <f t="shared" si="47"/>
        <v>2042.1999999999998</v>
      </c>
      <c r="I113" s="107">
        <f t="shared" si="47"/>
        <v>2042.1999999999998</v>
      </c>
      <c r="J113" s="107">
        <f t="shared" si="47"/>
        <v>2055.1999999999998</v>
      </c>
      <c r="K113" s="107">
        <f t="shared" si="47"/>
        <v>2072.8999999999996</v>
      </c>
      <c r="L113" s="107">
        <f t="shared" si="47"/>
        <v>2083.6999999999998</v>
      </c>
      <c r="M113" s="107">
        <f t="shared" si="47"/>
        <v>2173.1999999999998</v>
      </c>
      <c r="N113" s="107">
        <f t="shared" si="47"/>
        <v>2173.6</v>
      </c>
      <c r="O113" s="107">
        <f t="shared" si="47"/>
        <v>2177.2999999999997</v>
      </c>
      <c r="P113" s="107">
        <f t="shared" si="47"/>
        <v>2237.1999999999998</v>
      </c>
      <c r="Q113" s="107">
        <f t="shared" si="47"/>
        <v>252</v>
      </c>
      <c r="R113" s="107">
        <f t="shared" si="47"/>
        <v>252</v>
      </c>
      <c r="S113" s="107">
        <f t="shared" si="47"/>
        <v>252</v>
      </c>
      <c r="T113" s="107">
        <f t="shared" si="47"/>
        <v>252</v>
      </c>
      <c r="U113" s="107">
        <f t="shared" si="47"/>
        <v>252</v>
      </c>
      <c r="V113" s="107">
        <f t="shared" si="47"/>
        <v>252</v>
      </c>
      <c r="W113" s="107">
        <f t="shared" si="47"/>
        <v>252</v>
      </c>
      <c r="X113" s="107">
        <f t="shared" si="47"/>
        <v>252</v>
      </c>
      <c r="Y113" s="107">
        <f t="shared" si="47"/>
        <v>252</v>
      </c>
      <c r="Z113" s="107">
        <f t="shared" si="47"/>
        <v>252</v>
      </c>
      <c r="AA113" s="107">
        <f t="shared" si="47"/>
        <v>252</v>
      </c>
      <c r="AB113" s="107">
        <f t="shared" si="47"/>
        <v>252</v>
      </c>
      <c r="AC113" s="107">
        <f t="shared" si="47"/>
        <v>252</v>
      </c>
      <c r="AD113" s="107">
        <f t="shared" si="47"/>
        <v>252</v>
      </c>
      <c r="AE113" s="107">
        <f t="shared" si="47"/>
        <v>252</v>
      </c>
      <c r="AF113" s="107">
        <f t="shared" si="47"/>
        <v>252</v>
      </c>
      <c r="AG113" s="79">
        <f t="shared" si="47"/>
        <v>3169.915</v>
      </c>
      <c r="AH113" s="46">
        <f t="shared" si="25"/>
        <v>2515.6</v>
      </c>
      <c r="AI113" s="47">
        <f t="shared" si="26"/>
        <v>252</v>
      </c>
      <c r="BF113" s="80"/>
      <c r="BG113" s="81">
        <v>0</v>
      </c>
      <c r="BH113" s="81">
        <v>0</v>
      </c>
      <c r="BI113" s="81">
        <v>0</v>
      </c>
      <c r="BJ113" s="81">
        <v>0</v>
      </c>
      <c r="BK113" s="81">
        <v>0</v>
      </c>
      <c r="BL113" s="81">
        <v>0</v>
      </c>
    </row>
    <row r="114" spans="1:64" ht="15.75" thickBot="1" x14ac:dyDescent="0.3">
      <c r="A114" s="108" t="s">
        <v>142</v>
      </c>
      <c r="B114" s="109"/>
      <c r="C114" s="109"/>
      <c r="D114" s="109"/>
      <c r="E114" s="109"/>
      <c r="F114" s="109"/>
      <c r="G114" s="109"/>
      <c r="H114" s="109"/>
      <c r="I114" s="109"/>
      <c r="J114" s="109"/>
      <c r="K114" s="109"/>
      <c r="L114" s="109"/>
      <c r="M114" s="109"/>
      <c r="N114" s="109"/>
      <c r="O114" s="109"/>
      <c r="P114" s="109"/>
      <c r="Q114" s="109"/>
      <c r="R114" s="109"/>
      <c r="S114" s="109"/>
      <c r="T114" s="109"/>
      <c r="U114" s="109"/>
      <c r="V114" s="109"/>
      <c r="W114" s="109"/>
      <c r="X114" s="109"/>
      <c r="Y114" s="109"/>
      <c r="Z114" s="109"/>
      <c r="AA114" s="109"/>
      <c r="AB114" s="109"/>
      <c r="AC114" s="109"/>
      <c r="AD114" s="109"/>
      <c r="AE114" s="109"/>
      <c r="AF114" s="109"/>
      <c r="AG114" s="103"/>
      <c r="AH114" s="46">
        <f t="shared" si="25"/>
        <v>0</v>
      </c>
      <c r="AI114" s="47">
        <f t="shared" si="26"/>
        <v>0</v>
      </c>
      <c r="BF114" s="80"/>
      <c r="BG114" s="81">
        <v>0</v>
      </c>
      <c r="BH114" s="81">
        <v>0</v>
      </c>
      <c r="BI114" s="81">
        <v>0</v>
      </c>
      <c r="BJ114" s="81">
        <v>0</v>
      </c>
      <c r="BK114" s="81">
        <v>0</v>
      </c>
      <c r="BL114" s="81">
        <v>0</v>
      </c>
    </row>
    <row r="115" spans="1:64" ht="15.75" thickBot="1" x14ac:dyDescent="0.3">
      <c r="A115" s="86" t="s">
        <v>143</v>
      </c>
      <c r="B115" s="107">
        <f t="shared" ref="B115:D115" si="48">B113+B114</f>
        <v>2515.6</v>
      </c>
      <c r="C115" s="107">
        <f t="shared" si="48"/>
        <v>2515.6</v>
      </c>
      <c r="D115" s="107">
        <f t="shared" si="48"/>
        <v>2119</v>
      </c>
      <c r="E115" s="107">
        <f t="shared" ref="E115:F115" si="49">E113+E114</f>
        <v>2121</v>
      </c>
      <c r="F115" s="107">
        <f t="shared" si="49"/>
        <v>2165.5</v>
      </c>
      <c r="G115" s="107">
        <f t="shared" ref="G115:AF115" si="50">G113+G114</f>
        <v>2039.6999999999998</v>
      </c>
      <c r="H115" s="107">
        <f t="shared" si="50"/>
        <v>2042.1999999999998</v>
      </c>
      <c r="I115" s="107">
        <f t="shared" si="50"/>
        <v>2042.1999999999998</v>
      </c>
      <c r="J115" s="107">
        <f t="shared" si="50"/>
        <v>2055.1999999999998</v>
      </c>
      <c r="K115" s="107">
        <f t="shared" si="50"/>
        <v>2072.8999999999996</v>
      </c>
      <c r="L115" s="107">
        <f t="shared" si="50"/>
        <v>2083.6999999999998</v>
      </c>
      <c r="M115" s="107">
        <f t="shared" si="50"/>
        <v>2173.1999999999998</v>
      </c>
      <c r="N115" s="107">
        <f t="shared" si="50"/>
        <v>2173.6</v>
      </c>
      <c r="O115" s="107">
        <f t="shared" si="50"/>
        <v>2177.2999999999997</v>
      </c>
      <c r="P115" s="107">
        <f t="shared" si="50"/>
        <v>2237.1999999999998</v>
      </c>
      <c r="Q115" s="107">
        <f t="shared" si="50"/>
        <v>252</v>
      </c>
      <c r="R115" s="107">
        <f t="shared" si="50"/>
        <v>252</v>
      </c>
      <c r="S115" s="107">
        <f t="shared" si="50"/>
        <v>252</v>
      </c>
      <c r="T115" s="107">
        <f t="shared" si="50"/>
        <v>252</v>
      </c>
      <c r="U115" s="107">
        <f t="shared" si="50"/>
        <v>252</v>
      </c>
      <c r="V115" s="107">
        <f t="shared" si="50"/>
        <v>252</v>
      </c>
      <c r="W115" s="107">
        <f t="shared" si="50"/>
        <v>252</v>
      </c>
      <c r="X115" s="107">
        <f t="shared" si="50"/>
        <v>252</v>
      </c>
      <c r="Y115" s="107">
        <f t="shared" si="50"/>
        <v>252</v>
      </c>
      <c r="Z115" s="107">
        <f t="shared" si="50"/>
        <v>252</v>
      </c>
      <c r="AA115" s="107">
        <f t="shared" si="50"/>
        <v>252</v>
      </c>
      <c r="AB115" s="107">
        <f t="shared" si="50"/>
        <v>252</v>
      </c>
      <c r="AC115" s="107">
        <f t="shared" si="50"/>
        <v>252</v>
      </c>
      <c r="AD115" s="107">
        <f t="shared" si="50"/>
        <v>252</v>
      </c>
      <c r="AE115" s="107">
        <f t="shared" si="50"/>
        <v>252</v>
      </c>
      <c r="AF115" s="107">
        <f t="shared" si="50"/>
        <v>252</v>
      </c>
      <c r="AG115" s="103">
        <f>AG112+AG108+AG96+AG92+AG71+AG114</f>
        <v>2463.5149999999999</v>
      </c>
      <c r="AH115" s="46">
        <f t="shared" si="25"/>
        <v>2515.6</v>
      </c>
      <c r="AI115" s="47">
        <f t="shared" si="26"/>
        <v>252</v>
      </c>
      <c r="BF115" s="80"/>
      <c r="BG115" s="81">
        <v>0</v>
      </c>
      <c r="BH115" s="81">
        <v>0</v>
      </c>
      <c r="BI115" s="81">
        <v>0</v>
      </c>
      <c r="BJ115" s="81">
        <v>0</v>
      </c>
      <c r="BK115" s="81">
        <v>0</v>
      </c>
      <c r="BL115" s="81">
        <v>0</v>
      </c>
    </row>
    <row r="116" spans="1:64" ht="15.75" thickBot="1" x14ac:dyDescent="0.3">
      <c r="A116" s="86" t="s">
        <v>144</v>
      </c>
      <c r="B116" s="107">
        <f t="shared" ref="B116:D116" si="51">B115-(B123)</f>
        <v>1894.3999999999999</v>
      </c>
      <c r="C116" s="107">
        <f t="shared" si="51"/>
        <v>1894.3999999999999</v>
      </c>
      <c r="D116" s="107">
        <f t="shared" si="51"/>
        <v>1757.2</v>
      </c>
      <c r="E116" s="107">
        <f t="shared" ref="E116:F116" si="52">E115-(E123)</f>
        <v>1716</v>
      </c>
      <c r="F116" s="107">
        <f t="shared" si="52"/>
        <v>1760.5</v>
      </c>
      <c r="G116" s="107">
        <f t="shared" ref="G116:AF116" si="53">G115-(G123)</f>
        <v>1558.6999999999998</v>
      </c>
      <c r="H116" s="107">
        <f t="shared" si="53"/>
        <v>1499.9999999999998</v>
      </c>
      <c r="I116" s="107">
        <f t="shared" si="53"/>
        <v>1516.8999999999999</v>
      </c>
      <c r="J116" s="107">
        <f t="shared" si="53"/>
        <v>1512.8999999999999</v>
      </c>
      <c r="K116" s="107">
        <f t="shared" si="53"/>
        <v>1477.7999999999997</v>
      </c>
      <c r="L116" s="107">
        <f t="shared" si="53"/>
        <v>1556.2999999999997</v>
      </c>
      <c r="M116" s="107">
        <f t="shared" si="53"/>
        <v>1621.1999999999998</v>
      </c>
      <c r="N116" s="107">
        <f t="shared" si="53"/>
        <v>1608.6</v>
      </c>
      <c r="O116" s="107">
        <f t="shared" si="53"/>
        <v>1627.2999999999997</v>
      </c>
      <c r="P116" s="107">
        <f t="shared" si="53"/>
        <v>1693.1999999999998</v>
      </c>
      <c r="Q116" s="107">
        <f t="shared" si="53"/>
        <v>252</v>
      </c>
      <c r="R116" s="107">
        <f t="shared" si="53"/>
        <v>252</v>
      </c>
      <c r="S116" s="107">
        <f t="shared" si="53"/>
        <v>252</v>
      </c>
      <c r="T116" s="107">
        <f t="shared" si="53"/>
        <v>252</v>
      </c>
      <c r="U116" s="107">
        <f t="shared" si="53"/>
        <v>252</v>
      </c>
      <c r="V116" s="107">
        <f t="shared" si="53"/>
        <v>252</v>
      </c>
      <c r="W116" s="107">
        <f t="shared" si="53"/>
        <v>252</v>
      </c>
      <c r="X116" s="107">
        <f t="shared" si="53"/>
        <v>252</v>
      </c>
      <c r="Y116" s="107">
        <f t="shared" si="53"/>
        <v>252</v>
      </c>
      <c r="Z116" s="107">
        <f t="shared" si="53"/>
        <v>252</v>
      </c>
      <c r="AA116" s="107">
        <f t="shared" si="53"/>
        <v>252</v>
      </c>
      <c r="AB116" s="107">
        <f t="shared" si="53"/>
        <v>252</v>
      </c>
      <c r="AC116" s="107">
        <f t="shared" si="53"/>
        <v>252</v>
      </c>
      <c r="AD116" s="107">
        <f t="shared" si="53"/>
        <v>252</v>
      </c>
      <c r="AE116" s="107">
        <f t="shared" si="53"/>
        <v>252</v>
      </c>
      <c r="AF116" s="107">
        <f t="shared" si="53"/>
        <v>252</v>
      </c>
      <c r="AG116" s="103"/>
      <c r="AH116" s="46">
        <f t="shared" si="25"/>
        <v>1894.3999999999999</v>
      </c>
      <c r="AI116" s="47">
        <f t="shared" si="26"/>
        <v>252</v>
      </c>
      <c r="BF116" s="80"/>
      <c r="BG116" s="81">
        <v>0</v>
      </c>
      <c r="BH116" s="81">
        <v>0</v>
      </c>
      <c r="BI116" s="81">
        <v>0</v>
      </c>
      <c r="BJ116" s="81">
        <v>0</v>
      </c>
      <c r="BK116" s="81">
        <v>0</v>
      </c>
      <c r="BL116" s="81">
        <v>0</v>
      </c>
    </row>
    <row r="117" spans="1:64" x14ac:dyDescent="0.25">
      <c r="A117" s="42" t="s">
        <v>122</v>
      </c>
      <c r="B117" s="92">
        <f t="shared" ref="B117:D122" si="54">IF(B97&lt;0,B97*-1,0)</f>
        <v>432.6</v>
      </c>
      <c r="C117" s="92">
        <f t="shared" si="54"/>
        <v>432.6</v>
      </c>
      <c r="D117" s="92">
        <f t="shared" si="54"/>
        <v>213</v>
      </c>
      <c r="E117" s="92">
        <f t="shared" ref="E117:F117" si="55">IF(E97&lt;0,E97*-1,0)</f>
        <v>265</v>
      </c>
      <c r="F117" s="92">
        <f t="shared" si="55"/>
        <v>256</v>
      </c>
      <c r="G117" s="92">
        <f t="shared" ref="G117:AF122" si="56">IF(G97&lt;0,G97*-1,0)</f>
        <v>296.8</v>
      </c>
      <c r="H117" s="92">
        <f t="shared" si="56"/>
        <v>372.3</v>
      </c>
      <c r="I117" s="92">
        <f t="shared" si="56"/>
        <v>320</v>
      </c>
      <c r="J117" s="92">
        <f t="shared" si="56"/>
        <v>325.89999999999998</v>
      </c>
      <c r="K117" s="92">
        <f t="shared" si="56"/>
        <v>361.8</v>
      </c>
      <c r="L117" s="92">
        <f t="shared" si="56"/>
        <v>310</v>
      </c>
      <c r="M117" s="92">
        <f t="shared" si="56"/>
        <v>330</v>
      </c>
      <c r="N117" s="92">
        <f t="shared" si="56"/>
        <v>350</v>
      </c>
      <c r="O117" s="92">
        <f t="shared" si="56"/>
        <v>339</v>
      </c>
      <c r="P117" s="92">
        <f t="shared" si="56"/>
        <v>330.9</v>
      </c>
      <c r="Q117" s="92">
        <f t="shared" si="56"/>
        <v>0</v>
      </c>
      <c r="R117" s="92">
        <f t="shared" si="56"/>
        <v>0</v>
      </c>
      <c r="S117" s="92">
        <f t="shared" si="56"/>
        <v>0</v>
      </c>
      <c r="T117" s="92">
        <f t="shared" si="56"/>
        <v>0</v>
      </c>
      <c r="U117" s="92">
        <f t="shared" si="56"/>
        <v>0</v>
      </c>
      <c r="V117" s="92">
        <f t="shared" si="56"/>
        <v>0</v>
      </c>
      <c r="W117" s="92">
        <f t="shared" si="56"/>
        <v>0</v>
      </c>
      <c r="X117" s="92">
        <f t="shared" si="56"/>
        <v>0</v>
      </c>
      <c r="Y117" s="92">
        <f t="shared" si="56"/>
        <v>0</v>
      </c>
      <c r="Z117" s="92">
        <f t="shared" si="56"/>
        <v>0</v>
      </c>
      <c r="AA117" s="92">
        <f t="shared" si="56"/>
        <v>0</v>
      </c>
      <c r="AB117" s="92">
        <f t="shared" si="56"/>
        <v>0</v>
      </c>
      <c r="AC117" s="92">
        <f t="shared" si="56"/>
        <v>0</v>
      </c>
      <c r="AD117" s="92">
        <f t="shared" si="56"/>
        <v>0</v>
      </c>
      <c r="AE117" s="92">
        <f t="shared" si="56"/>
        <v>0</v>
      </c>
      <c r="AF117" s="92">
        <f t="shared" si="56"/>
        <v>0</v>
      </c>
      <c r="AG117" s="61"/>
      <c r="AH117" s="46">
        <f t="shared" si="25"/>
        <v>432.6</v>
      </c>
      <c r="AI117" s="47">
        <f t="shared" si="26"/>
        <v>0</v>
      </c>
      <c r="BG117" s="81">
        <v>0</v>
      </c>
      <c r="BH117" s="81">
        <v>0</v>
      </c>
      <c r="BI117" s="81">
        <v>0</v>
      </c>
      <c r="BJ117" s="81">
        <v>0</v>
      </c>
      <c r="BK117" s="81">
        <v>0</v>
      </c>
      <c r="BL117" s="81">
        <v>0</v>
      </c>
    </row>
    <row r="118" spans="1:64" x14ac:dyDescent="0.25">
      <c r="A118" s="63" t="s">
        <v>123</v>
      </c>
      <c r="B118" s="92">
        <f t="shared" si="54"/>
        <v>188.6</v>
      </c>
      <c r="C118" s="92">
        <f t="shared" si="54"/>
        <v>188.6</v>
      </c>
      <c r="D118" s="92">
        <f t="shared" si="54"/>
        <v>148.80000000000001</v>
      </c>
      <c r="E118" s="92">
        <f t="shared" ref="E118:F118" si="57">IF(E98&lt;0,E98*-1,0)</f>
        <v>140</v>
      </c>
      <c r="F118" s="92">
        <f t="shared" si="57"/>
        <v>139</v>
      </c>
      <c r="G118" s="92">
        <f t="shared" si="56"/>
        <v>139.4</v>
      </c>
      <c r="H118" s="92">
        <f t="shared" si="56"/>
        <v>132.5</v>
      </c>
      <c r="I118" s="92">
        <f t="shared" si="56"/>
        <v>159.4</v>
      </c>
      <c r="J118" s="92">
        <f t="shared" si="56"/>
        <v>162.19999999999999</v>
      </c>
      <c r="K118" s="92">
        <f t="shared" si="56"/>
        <v>167.4</v>
      </c>
      <c r="L118" s="92">
        <f t="shared" si="56"/>
        <v>157.19999999999999</v>
      </c>
      <c r="M118" s="92">
        <f t="shared" si="56"/>
        <v>157</v>
      </c>
      <c r="N118" s="92">
        <f t="shared" si="56"/>
        <v>160</v>
      </c>
      <c r="O118" s="92">
        <f t="shared" si="56"/>
        <v>181</v>
      </c>
      <c r="P118" s="92">
        <f t="shared" si="56"/>
        <v>183.5</v>
      </c>
      <c r="Q118" s="92">
        <f t="shared" si="56"/>
        <v>0</v>
      </c>
      <c r="R118" s="92">
        <f t="shared" si="56"/>
        <v>0</v>
      </c>
      <c r="S118" s="92">
        <f t="shared" si="56"/>
        <v>0</v>
      </c>
      <c r="T118" s="92">
        <f t="shared" si="56"/>
        <v>0</v>
      </c>
      <c r="U118" s="92">
        <f t="shared" si="56"/>
        <v>0</v>
      </c>
      <c r="V118" s="92">
        <f t="shared" si="56"/>
        <v>0</v>
      </c>
      <c r="W118" s="92">
        <f t="shared" si="56"/>
        <v>0</v>
      </c>
      <c r="X118" s="92">
        <f t="shared" si="56"/>
        <v>0</v>
      </c>
      <c r="Y118" s="92">
        <f t="shared" si="56"/>
        <v>0</v>
      </c>
      <c r="Z118" s="92">
        <f t="shared" si="56"/>
        <v>0</v>
      </c>
      <c r="AA118" s="92">
        <f t="shared" si="56"/>
        <v>0</v>
      </c>
      <c r="AB118" s="92">
        <f t="shared" si="56"/>
        <v>0</v>
      </c>
      <c r="AC118" s="92">
        <f t="shared" si="56"/>
        <v>0</v>
      </c>
      <c r="AD118" s="92">
        <f t="shared" si="56"/>
        <v>0</v>
      </c>
      <c r="AE118" s="92">
        <f t="shared" si="56"/>
        <v>0</v>
      </c>
      <c r="AF118" s="92">
        <f t="shared" si="56"/>
        <v>0</v>
      </c>
      <c r="AG118" s="64"/>
      <c r="AH118" s="46">
        <f t="shared" si="25"/>
        <v>188.6</v>
      </c>
      <c r="AI118" s="47">
        <f t="shared" si="26"/>
        <v>0</v>
      </c>
      <c r="AK118" s="49"/>
      <c r="BG118" s="81">
        <v>-432.6</v>
      </c>
      <c r="BH118" s="81">
        <v>-188.6</v>
      </c>
      <c r="BI118" s="81">
        <v>0</v>
      </c>
      <c r="BJ118" s="81">
        <v>0</v>
      </c>
      <c r="BK118" s="81">
        <v>0</v>
      </c>
      <c r="BL118" s="81">
        <v>0</v>
      </c>
    </row>
    <row r="119" spans="1:64" x14ac:dyDescent="0.25">
      <c r="A119" s="95" t="s">
        <v>125</v>
      </c>
      <c r="B119" s="92">
        <f t="shared" si="54"/>
        <v>0</v>
      </c>
      <c r="C119" s="92">
        <f t="shared" si="54"/>
        <v>0</v>
      </c>
      <c r="D119" s="92">
        <f t="shared" si="54"/>
        <v>0</v>
      </c>
      <c r="E119" s="92">
        <f t="shared" ref="E119:F119" si="58">IF(E99&lt;0,E99*-1,0)</f>
        <v>0</v>
      </c>
      <c r="F119" s="92">
        <f t="shared" si="58"/>
        <v>0</v>
      </c>
      <c r="G119" s="92">
        <f t="shared" si="56"/>
        <v>0</v>
      </c>
      <c r="H119" s="92">
        <f t="shared" si="56"/>
        <v>0</v>
      </c>
      <c r="I119" s="92">
        <f t="shared" si="56"/>
        <v>0</v>
      </c>
      <c r="J119" s="92">
        <f t="shared" si="56"/>
        <v>0</v>
      </c>
      <c r="K119" s="92">
        <f t="shared" si="56"/>
        <v>0</v>
      </c>
      <c r="L119" s="92">
        <f t="shared" si="56"/>
        <v>0</v>
      </c>
      <c r="M119" s="92">
        <f t="shared" si="56"/>
        <v>0</v>
      </c>
      <c r="N119" s="92">
        <f t="shared" si="56"/>
        <v>0</v>
      </c>
      <c r="O119" s="92">
        <f t="shared" si="56"/>
        <v>0</v>
      </c>
      <c r="P119" s="92">
        <f t="shared" si="56"/>
        <v>0</v>
      </c>
      <c r="Q119" s="92">
        <f t="shared" si="56"/>
        <v>0</v>
      </c>
      <c r="R119" s="92">
        <f t="shared" si="56"/>
        <v>0</v>
      </c>
      <c r="S119" s="92">
        <f t="shared" si="56"/>
        <v>0</v>
      </c>
      <c r="T119" s="92">
        <f t="shared" si="56"/>
        <v>0</v>
      </c>
      <c r="U119" s="92">
        <f t="shared" si="56"/>
        <v>0</v>
      </c>
      <c r="V119" s="92">
        <f t="shared" si="56"/>
        <v>0</v>
      </c>
      <c r="W119" s="92">
        <f t="shared" si="56"/>
        <v>0</v>
      </c>
      <c r="X119" s="92">
        <f t="shared" si="56"/>
        <v>0</v>
      </c>
      <c r="Y119" s="92">
        <f t="shared" si="56"/>
        <v>0</v>
      </c>
      <c r="Z119" s="92">
        <f t="shared" si="56"/>
        <v>0</v>
      </c>
      <c r="AA119" s="92">
        <f t="shared" si="56"/>
        <v>0</v>
      </c>
      <c r="AB119" s="92">
        <f t="shared" si="56"/>
        <v>0</v>
      </c>
      <c r="AC119" s="92">
        <f t="shared" si="56"/>
        <v>0</v>
      </c>
      <c r="AD119" s="92">
        <f t="shared" si="56"/>
        <v>0</v>
      </c>
      <c r="AE119" s="92">
        <f t="shared" si="56"/>
        <v>0</v>
      </c>
      <c r="AF119" s="92">
        <f t="shared" si="56"/>
        <v>0</v>
      </c>
      <c r="AG119" s="110"/>
      <c r="AH119" s="46">
        <f t="shared" si="25"/>
        <v>0</v>
      </c>
      <c r="AI119" s="47">
        <f t="shared" si="26"/>
        <v>0</v>
      </c>
    </row>
    <row r="120" spans="1:64" x14ac:dyDescent="0.25">
      <c r="A120" s="95" t="s">
        <v>126</v>
      </c>
      <c r="B120" s="92">
        <f t="shared" si="54"/>
        <v>0</v>
      </c>
      <c r="C120" s="92">
        <f t="shared" si="54"/>
        <v>0</v>
      </c>
      <c r="D120" s="92">
        <f t="shared" si="54"/>
        <v>0</v>
      </c>
      <c r="E120" s="92">
        <f t="shared" ref="E120:F120" si="59">IF(E100&lt;0,E100*-1,0)</f>
        <v>0</v>
      </c>
      <c r="F120" s="92">
        <f t="shared" si="59"/>
        <v>0</v>
      </c>
      <c r="G120" s="92">
        <f t="shared" si="56"/>
        <v>0</v>
      </c>
      <c r="H120" s="92">
        <f t="shared" si="56"/>
        <v>0</v>
      </c>
      <c r="I120" s="92">
        <f t="shared" si="56"/>
        <v>0</v>
      </c>
      <c r="J120" s="92">
        <f t="shared" si="56"/>
        <v>0</v>
      </c>
      <c r="K120" s="92">
        <f t="shared" si="56"/>
        <v>0</v>
      </c>
      <c r="L120" s="92">
        <f t="shared" si="56"/>
        <v>0</v>
      </c>
      <c r="M120" s="92">
        <f t="shared" si="56"/>
        <v>0</v>
      </c>
      <c r="N120" s="92">
        <f t="shared" si="56"/>
        <v>0</v>
      </c>
      <c r="O120" s="92">
        <f t="shared" si="56"/>
        <v>0</v>
      </c>
      <c r="P120" s="92">
        <f t="shared" si="56"/>
        <v>0</v>
      </c>
      <c r="Q120" s="92">
        <f t="shared" si="56"/>
        <v>0</v>
      </c>
      <c r="R120" s="92">
        <f t="shared" si="56"/>
        <v>0</v>
      </c>
      <c r="S120" s="92">
        <f t="shared" si="56"/>
        <v>0</v>
      </c>
      <c r="T120" s="92">
        <f t="shared" si="56"/>
        <v>0</v>
      </c>
      <c r="U120" s="92">
        <f t="shared" si="56"/>
        <v>0</v>
      </c>
      <c r="V120" s="92">
        <f t="shared" si="56"/>
        <v>0</v>
      </c>
      <c r="W120" s="92">
        <f t="shared" si="56"/>
        <v>0</v>
      </c>
      <c r="X120" s="92">
        <f t="shared" si="56"/>
        <v>0</v>
      </c>
      <c r="Y120" s="92">
        <f t="shared" si="56"/>
        <v>0</v>
      </c>
      <c r="Z120" s="92">
        <f t="shared" si="56"/>
        <v>0</v>
      </c>
      <c r="AA120" s="92">
        <f t="shared" si="56"/>
        <v>0</v>
      </c>
      <c r="AB120" s="92">
        <f t="shared" si="56"/>
        <v>0</v>
      </c>
      <c r="AC120" s="92">
        <f t="shared" si="56"/>
        <v>0</v>
      </c>
      <c r="AD120" s="92">
        <f t="shared" si="56"/>
        <v>0</v>
      </c>
      <c r="AE120" s="92">
        <f t="shared" si="56"/>
        <v>0</v>
      </c>
      <c r="AF120" s="92">
        <f t="shared" si="56"/>
        <v>0</v>
      </c>
      <c r="AG120" s="110"/>
      <c r="AH120" s="46">
        <f t="shared" si="25"/>
        <v>0</v>
      </c>
      <c r="AI120" s="47">
        <f t="shared" si="26"/>
        <v>0</v>
      </c>
    </row>
    <row r="121" spans="1:64" x14ac:dyDescent="0.25">
      <c r="A121" s="95" t="s">
        <v>128</v>
      </c>
      <c r="B121" s="92">
        <f t="shared" si="54"/>
        <v>0</v>
      </c>
      <c r="C121" s="92">
        <f t="shared" si="54"/>
        <v>0</v>
      </c>
      <c r="D121" s="92">
        <f t="shared" si="54"/>
        <v>0</v>
      </c>
      <c r="E121" s="92">
        <f t="shared" ref="E121:F121" si="60">IF(E101&lt;0,E101*-1,0)</f>
        <v>0</v>
      </c>
      <c r="F121" s="92">
        <f t="shared" si="60"/>
        <v>0</v>
      </c>
      <c r="G121" s="92">
        <f t="shared" si="56"/>
        <v>0</v>
      </c>
      <c r="H121" s="92">
        <f t="shared" si="56"/>
        <v>0</v>
      </c>
      <c r="I121" s="92">
        <f t="shared" si="56"/>
        <v>0</v>
      </c>
      <c r="J121" s="92">
        <f t="shared" si="56"/>
        <v>0</v>
      </c>
      <c r="K121" s="92">
        <f t="shared" si="56"/>
        <v>0</v>
      </c>
      <c r="L121" s="92">
        <f t="shared" si="56"/>
        <v>0</v>
      </c>
      <c r="M121" s="92">
        <f t="shared" si="56"/>
        <v>0</v>
      </c>
      <c r="N121" s="92">
        <f t="shared" si="56"/>
        <v>0</v>
      </c>
      <c r="O121" s="92">
        <f t="shared" si="56"/>
        <v>0</v>
      </c>
      <c r="P121" s="92">
        <f t="shared" si="56"/>
        <v>0</v>
      </c>
      <c r="Q121" s="92">
        <f t="shared" si="56"/>
        <v>0</v>
      </c>
      <c r="R121" s="92">
        <f t="shared" si="56"/>
        <v>0</v>
      </c>
      <c r="S121" s="92">
        <f t="shared" si="56"/>
        <v>0</v>
      </c>
      <c r="T121" s="92">
        <f t="shared" si="56"/>
        <v>0</v>
      </c>
      <c r="U121" s="92">
        <f t="shared" si="56"/>
        <v>0</v>
      </c>
      <c r="V121" s="92">
        <f t="shared" si="56"/>
        <v>0</v>
      </c>
      <c r="W121" s="92">
        <f t="shared" si="56"/>
        <v>0</v>
      </c>
      <c r="X121" s="92">
        <f t="shared" si="56"/>
        <v>0</v>
      </c>
      <c r="Y121" s="92">
        <f t="shared" si="56"/>
        <v>0</v>
      </c>
      <c r="Z121" s="92">
        <f t="shared" si="56"/>
        <v>0</v>
      </c>
      <c r="AA121" s="92">
        <f t="shared" si="56"/>
        <v>0</v>
      </c>
      <c r="AB121" s="92">
        <f t="shared" si="56"/>
        <v>0</v>
      </c>
      <c r="AC121" s="92">
        <f t="shared" si="56"/>
        <v>0</v>
      </c>
      <c r="AD121" s="92">
        <f t="shared" si="56"/>
        <v>0</v>
      </c>
      <c r="AE121" s="92">
        <f t="shared" si="56"/>
        <v>0</v>
      </c>
      <c r="AF121" s="92">
        <f t="shared" si="56"/>
        <v>0</v>
      </c>
      <c r="AG121" s="110"/>
      <c r="AH121" s="46">
        <f t="shared" si="25"/>
        <v>0</v>
      </c>
      <c r="AI121" s="47">
        <f t="shared" si="26"/>
        <v>0</v>
      </c>
    </row>
    <row r="122" spans="1:64" ht="15.75" thickBot="1" x14ac:dyDescent="0.3">
      <c r="A122" s="95" t="s">
        <v>130</v>
      </c>
      <c r="B122" s="92">
        <f t="shared" si="54"/>
        <v>0</v>
      </c>
      <c r="C122" s="92">
        <f t="shared" si="54"/>
        <v>0</v>
      </c>
      <c r="D122" s="92">
        <f t="shared" si="54"/>
        <v>0</v>
      </c>
      <c r="E122" s="92">
        <f t="shared" ref="E122:F122" si="61">IF(E102&lt;0,E102*-1,0)</f>
        <v>0</v>
      </c>
      <c r="F122" s="92">
        <f t="shared" si="61"/>
        <v>10</v>
      </c>
      <c r="G122" s="92">
        <f t="shared" si="56"/>
        <v>44.8</v>
      </c>
      <c r="H122" s="92">
        <f t="shared" si="56"/>
        <v>37.4</v>
      </c>
      <c r="I122" s="92">
        <f t="shared" si="56"/>
        <v>45.9</v>
      </c>
      <c r="J122" s="92">
        <f t="shared" si="56"/>
        <v>54.2</v>
      </c>
      <c r="K122" s="92">
        <f t="shared" si="56"/>
        <v>65.900000000000006</v>
      </c>
      <c r="L122" s="92">
        <f t="shared" si="56"/>
        <v>60.2</v>
      </c>
      <c r="M122" s="92">
        <f t="shared" si="56"/>
        <v>65</v>
      </c>
      <c r="N122" s="92">
        <f t="shared" si="56"/>
        <v>55</v>
      </c>
      <c r="O122" s="92">
        <f t="shared" si="56"/>
        <v>30</v>
      </c>
      <c r="P122" s="92">
        <f t="shared" si="56"/>
        <v>29.6</v>
      </c>
      <c r="Q122" s="92">
        <f t="shared" si="56"/>
        <v>0</v>
      </c>
      <c r="R122" s="92">
        <f t="shared" si="56"/>
        <v>0</v>
      </c>
      <c r="S122" s="92">
        <f t="shared" si="56"/>
        <v>0</v>
      </c>
      <c r="T122" s="92">
        <f t="shared" si="56"/>
        <v>0</v>
      </c>
      <c r="U122" s="92">
        <f t="shared" si="56"/>
        <v>0</v>
      </c>
      <c r="V122" s="92">
        <f t="shared" si="56"/>
        <v>0</v>
      </c>
      <c r="W122" s="92">
        <f t="shared" si="56"/>
        <v>0</v>
      </c>
      <c r="X122" s="92">
        <f t="shared" si="56"/>
        <v>0</v>
      </c>
      <c r="Y122" s="92">
        <f t="shared" si="56"/>
        <v>0</v>
      </c>
      <c r="Z122" s="92">
        <f t="shared" si="56"/>
        <v>0</v>
      </c>
      <c r="AA122" s="92">
        <f t="shared" si="56"/>
        <v>0</v>
      </c>
      <c r="AB122" s="92">
        <f t="shared" si="56"/>
        <v>0</v>
      </c>
      <c r="AC122" s="92">
        <f t="shared" si="56"/>
        <v>0</v>
      </c>
      <c r="AD122" s="92">
        <f t="shared" si="56"/>
        <v>0</v>
      </c>
      <c r="AE122" s="92">
        <f t="shared" si="56"/>
        <v>0</v>
      </c>
      <c r="AF122" s="92">
        <f t="shared" si="56"/>
        <v>0</v>
      </c>
      <c r="AG122" s="102"/>
      <c r="AH122" s="46">
        <f t="shared" si="25"/>
        <v>65.900000000000006</v>
      </c>
      <c r="AI122" s="47">
        <f t="shared" si="26"/>
        <v>0</v>
      </c>
    </row>
    <row r="123" spans="1:64" ht="15.75" thickBot="1" x14ac:dyDescent="0.3">
      <c r="A123" s="111" t="s">
        <v>145</v>
      </c>
      <c r="B123" s="69">
        <f t="shared" ref="B123:D123" si="62">SUM(B117:B122)</f>
        <v>621.20000000000005</v>
      </c>
      <c r="C123" s="69">
        <f t="shared" si="62"/>
        <v>621.20000000000005</v>
      </c>
      <c r="D123" s="69">
        <f t="shared" si="62"/>
        <v>361.8</v>
      </c>
      <c r="E123" s="69">
        <f t="shared" ref="E123:F123" si="63">SUM(E117:E122)</f>
        <v>405</v>
      </c>
      <c r="F123" s="69">
        <f t="shared" si="63"/>
        <v>405</v>
      </c>
      <c r="G123" s="69">
        <f t="shared" ref="G123:AF123" si="64">SUM(G117:G122)</f>
        <v>481.00000000000006</v>
      </c>
      <c r="H123" s="69">
        <f t="shared" si="64"/>
        <v>542.20000000000005</v>
      </c>
      <c r="I123" s="69">
        <f t="shared" si="64"/>
        <v>525.29999999999995</v>
      </c>
      <c r="J123" s="69">
        <f t="shared" si="64"/>
        <v>542.29999999999995</v>
      </c>
      <c r="K123" s="69">
        <f t="shared" si="64"/>
        <v>595.1</v>
      </c>
      <c r="L123" s="69">
        <f t="shared" si="64"/>
        <v>527.4</v>
      </c>
      <c r="M123" s="69">
        <f t="shared" si="64"/>
        <v>552</v>
      </c>
      <c r="N123" s="69">
        <f t="shared" si="64"/>
        <v>565</v>
      </c>
      <c r="O123" s="69">
        <f t="shared" si="64"/>
        <v>550</v>
      </c>
      <c r="P123" s="69">
        <f t="shared" si="64"/>
        <v>544</v>
      </c>
      <c r="Q123" s="69">
        <f t="shared" si="64"/>
        <v>0</v>
      </c>
      <c r="R123" s="69">
        <f t="shared" si="64"/>
        <v>0</v>
      </c>
      <c r="S123" s="69">
        <f t="shared" si="64"/>
        <v>0</v>
      </c>
      <c r="T123" s="69">
        <f t="shared" si="64"/>
        <v>0</v>
      </c>
      <c r="U123" s="69">
        <f t="shared" si="64"/>
        <v>0</v>
      </c>
      <c r="V123" s="69">
        <f t="shared" si="64"/>
        <v>0</v>
      </c>
      <c r="W123" s="69">
        <f t="shared" si="64"/>
        <v>0</v>
      </c>
      <c r="X123" s="69">
        <f t="shared" si="64"/>
        <v>0</v>
      </c>
      <c r="Y123" s="69">
        <f t="shared" si="64"/>
        <v>0</v>
      </c>
      <c r="Z123" s="69">
        <f t="shared" si="64"/>
        <v>0</v>
      </c>
      <c r="AA123" s="69">
        <f t="shared" si="64"/>
        <v>0</v>
      </c>
      <c r="AB123" s="69">
        <f t="shared" si="64"/>
        <v>0</v>
      </c>
      <c r="AC123" s="69">
        <f t="shared" si="64"/>
        <v>0</v>
      </c>
      <c r="AD123" s="69">
        <f t="shared" si="64"/>
        <v>0</v>
      </c>
      <c r="AE123" s="69">
        <f t="shared" si="64"/>
        <v>0</v>
      </c>
      <c r="AF123" s="69">
        <f t="shared" si="64"/>
        <v>0</v>
      </c>
      <c r="AG123" s="103"/>
      <c r="AH123" s="46">
        <f t="shared" si="25"/>
        <v>621.20000000000005</v>
      </c>
      <c r="AI123" s="47">
        <f t="shared" si="26"/>
        <v>0</v>
      </c>
      <c r="AJ123" s="104">
        <f t="array" ref="AJ123">MIN(IF(B123:AF123&lt;&gt;0,B123:AF123))</f>
        <v>361.8</v>
      </c>
    </row>
    <row r="124" spans="1:64" ht="15.75" thickBot="1" x14ac:dyDescent="0.3">
      <c r="A124" s="86" t="s">
        <v>146</v>
      </c>
      <c r="B124" s="69">
        <f t="shared" ref="B124:D124" si="65">B108-B123</f>
        <v>-617.6</v>
      </c>
      <c r="C124" s="69">
        <f t="shared" si="65"/>
        <v>-617.6</v>
      </c>
      <c r="D124" s="69">
        <f t="shared" si="65"/>
        <v>-337.8</v>
      </c>
      <c r="E124" s="69">
        <f t="shared" ref="E124:F124" si="66">E108-E123</f>
        <v>-403</v>
      </c>
      <c r="F124" s="69">
        <f t="shared" si="66"/>
        <v>-405</v>
      </c>
      <c r="G124" s="69">
        <f t="shared" ref="G124:AF124" si="67">G108-G123</f>
        <v>-481.00000000000006</v>
      </c>
      <c r="H124" s="69">
        <f t="shared" si="67"/>
        <v>-542.20000000000005</v>
      </c>
      <c r="I124" s="69">
        <f t="shared" si="67"/>
        <v>-525.29999999999995</v>
      </c>
      <c r="J124" s="69">
        <f t="shared" si="67"/>
        <v>-542.29999999999995</v>
      </c>
      <c r="K124" s="69">
        <f t="shared" si="67"/>
        <v>-595.1</v>
      </c>
      <c r="L124" s="69">
        <f t="shared" si="67"/>
        <v>-527.4</v>
      </c>
      <c r="M124" s="69">
        <f t="shared" si="67"/>
        <v>-552</v>
      </c>
      <c r="N124" s="69">
        <f t="shared" si="67"/>
        <v>-565</v>
      </c>
      <c r="O124" s="69">
        <f t="shared" si="67"/>
        <v>-550</v>
      </c>
      <c r="P124" s="69">
        <f t="shared" si="67"/>
        <v>-544</v>
      </c>
      <c r="Q124" s="69">
        <f t="shared" si="67"/>
        <v>0</v>
      </c>
      <c r="R124" s="69">
        <f t="shared" si="67"/>
        <v>0</v>
      </c>
      <c r="S124" s="69">
        <f t="shared" si="67"/>
        <v>0</v>
      </c>
      <c r="T124" s="69">
        <f t="shared" si="67"/>
        <v>0</v>
      </c>
      <c r="U124" s="69">
        <f t="shared" si="67"/>
        <v>0</v>
      </c>
      <c r="V124" s="69">
        <f t="shared" si="67"/>
        <v>0</v>
      </c>
      <c r="W124" s="69">
        <f t="shared" si="67"/>
        <v>0</v>
      </c>
      <c r="X124" s="69">
        <f t="shared" si="67"/>
        <v>0</v>
      </c>
      <c r="Y124" s="69">
        <f t="shared" si="67"/>
        <v>0</v>
      </c>
      <c r="Z124" s="69">
        <f t="shared" si="67"/>
        <v>0</v>
      </c>
      <c r="AA124" s="69">
        <f t="shared" si="67"/>
        <v>0</v>
      </c>
      <c r="AB124" s="69">
        <f t="shared" si="67"/>
        <v>0</v>
      </c>
      <c r="AC124" s="69">
        <f t="shared" si="67"/>
        <v>0</v>
      </c>
      <c r="AD124" s="69">
        <f t="shared" si="67"/>
        <v>0</v>
      </c>
      <c r="AE124" s="69">
        <f t="shared" si="67"/>
        <v>0</v>
      </c>
      <c r="AF124" s="69">
        <f t="shared" si="67"/>
        <v>0</v>
      </c>
      <c r="AG124" s="103"/>
      <c r="AH124" s="46">
        <f t="shared" si="25"/>
        <v>0</v>
      </c>
      <c r="AI124" s="47">
        <f t="shared" si="26"/>
        <v>-617.6</v>
      </c>
    </row>
    <row r="125" spans="1:64" ht="15.75" thickBot="1" x14ac:dyDescent="0.3">
      <c r="A125" s="112" t="s">
        <v>147</v>
      </c>
      <c r="B125" s="113"/>
      <c r="C125" s="113"/>
      <c r="D125" s="113"/>
      <c r="E125" s="113"/>
      <c r="F125" s="113"/>
      <c r="G125" s="113"/>
      <c r="H125" s="113"/>
      <c r="I125" s="113"/>
      <c r="J125" s="113"/>
      <c r="K125" s="113"/>
      <c r="L125" s="113"/>
      <c r="M125" s="113"/>
      <c r="N125" s="113"/>
      <c r="O125" s="113"/>
      <c r="P125" s="113"/>
      <c r="Q125" s="113"/>
      <c r="R125" s="113"/>
      <c r="S125" s="113"/>
      <c r="T125" s="113"/>
      <c r="U125" s="113"/>
      <c r="V125" s="113"/>
      <c r="W125" s="113"/>
      <c r="X125" s="113"/>
      <c r="Y125" s="113"/>
      <c r="Z125" s="113"/>
      <c r="AA125" s="113"/>
      <c r="AB125" s="113"/>
      <c r="AC125" s="113"/>
      <c r="AD125" s="113"/>
      <c r="AE125" s="113"/>
      <c r="AF125" s="113"/>
      <c r="AG125" s="114"/>
      <c r="AH125" s="46">
        <f t="shared" si="25"/>
        <v>0</v>
      </c>
      <c r="AI125" s="47">
        <f t="shared" si="26"/>
        <v>0</v>
      </c>
    </row>
    <row r="126" spans="1:64" x14ac:dyDescent="0.25">
      <c r="A126" s="115" t="s">
        <v>148</v>
      </c>
      <c r="B126" s="116">
        <v>50.015000000000001</v>
      </c>
      <c r="C126" s="116">
        <v>50.015000000000001</v>
      </c>
      <c r="D126" s="116">
        <v>50.06</v>
      </c>
      <c r="E126" s="116">
        <v>49.904000000000003</v>
      </c>
      <c r="F126" s="116">
        <v>49.976999999999997</v>
      </c>
      <c r="G126" s="116">
        <v>49.86</v>
      </c>
      <c r="H126" s="116">
        <v>49.86</v>
      </c>
      <c r="I126" s="116">
        <v>49.904000000000003</v>
      </c>
      <c r="J126" s="116">
        <v>49.878999999999998</v>
      </c>
      <c r="K126" s="116">
        <v>50.018000000000001</v>
      </c>
      <c r="L126" s="116">
        <v>50.018000000000001</v>
      </c>
      <c r="M126" s="116">
        <v>50.018000000000001</v>
      </c>
      <c r="N126" s="116">
        <v>50.018000000000001</v>
      </c>
      <c r="O126" s="116">
        <v>50.018000000000001</v>
      </c>
      <c r="P126" s="116">
        <v>49.972999999999999</v>
      </c>
      <c r="Q126" s="116"/>
      <c r="R126" s="116"/>
      <c r="S126" s="116"/>
      <c r="T126" s="116"/>
      <c r="U126" s="116"/>
      <c r="V126" s="116"/>
      <c r="W126" s="116"/>
      <c r="X126" s="116"/>
      <c r="Y126" s="116"/>
      <c r="Z126" s="116"/>
      <c r="AA126" s="116"/>
      <c r="AB126" s="116"/>
      <c r="AC126" s="116"/>
      <c r="AD126" s="116"/>
      <c r="AE126" s="116"/>
      <c r="AF126" s="116"/>
      <c r="AG126" s="117"/>
      <c r="AH126" s="46">
        <f t="shared" si="25"/>
        <v>50.06</v>
      </c>
      <c r="AI126" s="47">
        <f t="shared" si="26"/>
        <v>49.86</v>
      </c>
    </row>
    <row r="127" spans="1:64" x14ac:dyDescent="0.25">
      <c r="A127" s="118" t="s">
        <v>149</v>
      </c>
      <c r="B127" s="43">
        <v>135.6</v>
      </c>
      <c r="C127" s="43">
        <v>135.6</v>
      </c>
      <c r="D127" s="43">
        <v>132.80000000000001</v>
      </c>
      <c r="E127" s="43">
        <v>132.80000000000001</v>
      </c>
      <c r="F127" s="43">
        <v>132.80000000000001</v>
      </c>
      <c r="G127" s="43">
        <v>132.6</v>
      </c>
      <c r="H127" s="43">
        <v>132.6</v>
      </c>
      <c r="I127" s="43">
        <v>132.6</v>
      </c>
      <c r="J127" s="43">
        <v>130.69999999999999</v>
      </c>
      <c r="K127" s="43">
        <v>128.5</v>
      </c>
      <c r="L127" s="43">
        <v>128.5</v>
      </c>
      <c r="M127" s="43">
        <v>128.5</v>
      </c>
      <c r="N127" s="43">
        <v>128.5</v>
      </c>
      <c r="O127" s="43">
        <v>128.5</v>
      </c>
      <c r="P127" s="43">
        <v>130.9</v>
      </c>
      <c r="Q127" s="43"/>
      <c r="R127" s="43"/>
      <c r="S127" s="43"/>
      <c r="T127" s="43"/>
      <c r="U127" s="43"/>
      <c r="V127" s="43"/>
      <c r="W127" s="43"/>
      <c r="X127" s="43"/>
      <c r="Y127" s="43"/>
      <c r="Z127" s="43"/>
      <c r="AA127" s="43"/>
      <c r="AB127" s="43"/>
      <c r="AC127" s="43"/>
      <c r="AD127" s="43"/>
      <c r="AE127" s="43"/>
      <c r="AF127" s="43"/>
      <c r="AG127" s="119"/>
      <c r="AH127" s="46">
        <f t="shared" si="25"/>
        <v>135.6</v>
      </c>
      <c r="AI127" s="47">
        <f t="shared" si="26"/>
        <v>128.5</v>
      </c>
    </row>
    <row r="128" spans="1:64" x14ac:dyDescent="0.25">
      <c r="A128" s="118" t="s">
        <v>150</v>
      </c>
      <c r="B128" s="43">
        <v>129.6</v>
      </c>
      <c r="C128" s="43">
        <v>129.6</v>
      </c>
      <c r="D128" s="43">
        <v>130.6</v>
      </c>
      <c r="E128" s="43">
        <v>130.6</v>
      </c>
      <c r="F128" s="43">
        <v>130.6</v>
      </c>
      <c r="G128" s="43">
        <v>130.69999999999999</v>
      </c>
      <c r="H128" s="43">
        <v>130.69999999999999</v>
      </c>
      <c r="I128" s="43">
        <v>130.69999999999999</v>
      </c>
      <c r="J128" s="43">
        <v>129.9</v>
      </c>
      <c r="K128" s="43">
        <v>129.9</v>
      </c>
      <c r="L128" s="43">
        <v>129.9</v>
      </c>
      <c r="M128" s="43">
        <v>129.9</v>
      </c>
      <c r="N128" s="43">
        <v>129.9</v>
      </c>
      <c r="O128" s="43">
        <v>129.9</v>
      </c>
      <c r="P128" s="43">
        <v>128.9</v>
      </c>
      <c r="Q128" s="43"/>
      <c r="R128" s="43"/>
      <c r="S128" s="43"/>
      <c r="T128" s="43"/>
      <c r="U128" s="43"/>
      <c r="V128" s="43"/>
      <c r="W128" s="43"/>
      <c r="X128" s="43"/>
      <c r="Y128" s="43"/>
      <c r="Z128" s="43"/>
      <c r="AA128" s="43"/>
      <c r="AB128" s="43"/>
      <c r="AC128" s="43"/>
      <c r="AD128" s="43"/>
      <c r="AE128" s="43"/>
      <c r="AF128" s="43"/>
      <c r="AG128" s="119"/>
      <c r="AH128" s="46">
        <f t="shared" si="25"/>
        <v>130.69999999999999</v>
      </c>
      <c r="AI128" s="47">
        <f t="shared" si="26"/>
        <v>128.9</v>
      </c>
    </row>
    <row r="129" spans="1:41" x14ac:dyDescent="0.25">
      <c r="A129" s="118" t="s">
        <v>151</v>
      </c>
      <c r="B129" s="43"/>
      <c r="C129" s="43"/>
      <c r="D129" s="43"/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  <c r="AA129" s="43"/>
      <c r="AB129" s="43"/>
      <c r="AC129" s="43"/>
      <c r="AD129" s="43"/>
      <c r="AE129" s="43"/>
      <c r="AF129" s="43"/>
      <c r="AG129" s="119"/>
      <c r="AH129" s="46">
        <f t="shared" si="25"/>
        <v>0</v>
      </c>
      <c r="AI129" s="47">
        <f t="shared" si="26"/>
        <v>0</v>
      </c>
    </row>
    <row r="130" spans="1:41" x14ac:dyDescent="0.25">
      <c r="A130" s="118" t="s">
        <v>152</v>
      </c>
      <c r="B130" s="43">
        <v>135.6</v>
      </c>
      <c r="C130" s="43">
        <v>135.6</v>
      </c>
      <c r="D130" s="43">
        <v>137</v>
      </c>
      <c r="E130" s="43">
        <v>137</v>
      </c>
      <c r="F130" s="43">
        <v>137</v>
      </c>
      <c r="G130" s="43">
        <v>136.69999999999999</v>
      </c>
      <c r="H130" s="43">
        <v>136.69999999999999</v>
      </c>
      <c r="I130" s="43">
        <v>136.69999999999999</v>
      </c>
      <c r="J130" s="43">
        <v>136.69999999999999</v>
      </c>
      <c r="K130" s="43">
        <v>136.69999999999999</v>
      </c>
      <c r="L130" s="43">
        <v>136.69999999999999</v>
      </c>
      <c r="M130" s="43">
        <v>136.69999999999999</v>
      </c>
      <c r="N130" s="43">
        <v>136.69999999999999</v>
      </c>
      <c r="O130" s="43">
        <v>136.69999999999999</v>
      </c>
      <c r="P130" s="43">
        <v>132.9</v>
      </c>
      <c r="Q130" s="43"/>
      <c r="R130" s="43"/>
      <c r="S130" s="43"/>
      <c r="T130" s="43"/>
      <c r="U130" s="43"/>
      <c r="V130" s="43"/>
      <c r="W130" s="43"/>
      <c r="X130" s="43"/>
      <c r="Y130" s="43"/>
      <c r="Z130" s="43"/>
      <c r="AA130" s="43"/>
      <c r="AB130" s="43"/>
      <c r="AC130" s="43"/>
      <c r="AD130" s="43"/>
      <c r="AE130" s="43"/>
      <c r="AF130" s="43"/>
      <c r="AG130" s="119"/>
      <c r="AH130" s="46">
        <f t="shared" si="25"/>
        <v>137</v>
      </c>
      <c r="AI130" s="47">
        <f t="shared" si="26"/>
        <v>132.9</v>
      </c>
    </row>
    <row r="131" spans="1:41" x14ac:dyDescent="0.25">
      <c r="A131" s="120" t="s">
        <v>153</v>
      </c>
      <c r="B131" s="121">
        <v>133.30000000000001</v>
      </c>
      <c r="C131" s="121">
        <v>133.30000000000001</v>
      </c>
      <c r="D131" s="121">
        <v>134.6</v>
      </c>
      <c r="E131" s="121">
        <v>134.6</v>
      </c>
      <c r="F131" s="121">
        <v>134.6</v>
      </c>
      <c r="G131" s="121">
        <v>133.1</v>
      </c>
      <c r="H131" s="121">
        <v>133.1</v>
      </c>
      <c r="I131" s="121">
        <v>133.1</v>
      </c>
      <c r="J131" s="121">
        <v>133.1</v>
      </c>
      <c r="K131" s="121">
        <v>133.1</v>
      </c>
      <c r="L131" s="121">
        <v>133.1</v>
      </c>
      <c r="M131" s="121">
        <v>133.1</v>
      </c>
      <c r="N131" s="121">
        <v>133.1</v>
      </c>
      <c r="O131" s="121">
        <v>133.1</v>
      </c>
      <c r="P131" s="121">
        <v>133</v>
      </c>
      <c r="Q131" s="121"/>
      <c r="R131" s="121"/>
      <c r="S131" s="121"/>
      <c r="T131" s="121"/>
      <c r="U131" s="121"/>
      <c r="V131" s="121"/>
      <c r="W131" s="121"/>
      <c r="X131" s="121"/>
      <c r="Y131" s="121"/>
      <c r="Z131" s="121"/>
      <c r="AA131" s="121"/>
      <c r="AB131" s="121"/>
      <c r="AC131" s="121"/>
      <c r="AD131" s="121"/>
      <c r="AE131" s="121"/>
      <c r="AF131" s="121"/>
      <c r="AG131" s="122"/>
      <c r="AH131" s="46">
        <f t="shared" si="25"/>
        <v>134.6</v>
      </c>
      <c r="AI131" s="47">
        <f t="shared" si="26"/>
        <v>133</v>
      </c>
    </row>
    <row r="132" spans="1:41" x14ac:dyDescent="0.25">
      <c r="A132" s="118" t="s">
        <v>154</v>
      </c>
      <c r="B132" s="43">
        <v>123.3</v>
      </c>
      <c r="C132" s="43">
        <v>123.3</v>
      </c>
      <c r="D132" s="43">
        <v>131.9</v>
      </c>
      <c r="E132" s="43">
        <v>131.9</v>
      </c>
      <c r="F132" s="43">
        <v>131.9</v>
      </c>
      <c r="G132" s="43">
        <v>123.1</v>
      </c>
      <c r="H132" s="43">
        <v>123.1</v>
      </c>
      <c r="I132" s="43">
        <v>123.1</v>
      </c>
      <c r="J132" s="43">
        <v>123.1</v>
      </c>
      <c r="K132" s="43">
        <v>123.1</v>
      </c>
      <c r="L132" s="43">
        <v>123.1</v>
      </c>
      <c r="M132" s="43">
        <v>123.1</v>
      </c>
      <c r="N132" s="43">
        <v>123.1</v>
      </c>
      <c r="O132" s="43">
        <v>123.1</v>
      </c>
      <c r="P132" s="43">
        <v>130.69999999999999</v>
      </c>
      <c r="Q132" s="43"/>
      <c r="R132" s="43"/>
      <c r="S132" s="43"/>
      <c r="T132" s="43"/>
      <c r="U132" s="43"/>
      <c r="V132" s="43"/>
      <c r="W132" s="43"/>
      <c r="X132" s="43"/>
      <c r="Y132" s="43"/>
      <c r="Z132" s="43"/>
      <c r="AA132" s="43"/>
      <c r="AB132" s="43"/>
      <c r="AC132" s="43"/>
      <c r="AD132" s="43"/>
      <c r="AE132" s="43"/>
      <c r="AF132" s="43"/>
      <c r="AG132" s="119"/>
      <c r="AH132" s="46">
        <f t="shared" si="25"/>
        <v>131.9</v>
      </c>
      <c r="AI132" s="47">
        <f t="shared" si="26"/>
        <v>123.1</v>
      </c>
    </row>
    <row r="133" spans="1:41" ht="15.75" thickBot="1" x14ac:dyDescent="0.3">
      <c r="A133" s="118" t="s">
        <v>155</v>
      </c>
      <c r="B133" s="100">
        <v>66.3</v>
      </c>
      <c r="C133" s="100">
        <v>66.3</v>
      </c>
      <c r="D133" s="100">
        <v>68.099999999999994</v>
      </c>
      <c r="E133" s="100">
        <v>68.099999999999994</v>
      </c>
      <c r="F133" s="100">
        <v>68.099999999999994</v>
      </c>
      <c r="G133" s="100">
        <v>68.099999999999994</v>
      </c>
      <c r="H133" s="100">
        <v>67</v>
      </c>
      <c r="I133" s="100">
        <v>67</v>
      </c>
      <c r="J133" s="100">
        <v>66.5</v>
      </c>
      <c r="K133" s="100">
        <v>66.5</v>
      </c>
      <c r="L133" s="100">
        <v>66.5</v>
      </c>
      <c r="M133" s="100">
        <v>66.5</v>
      </c>
      <c r="N133" s="100">
        <v>66.5</v>
      </c>
      <c r="O133" s="100">
        <v>66.5</v>
      </c>
      <c r="P133" s="100">
        <v>66.5</v>
      </c>
      <c r="Q133" s="100"/>
      <c r="R133" s="100"/>
      <c r="S133" s="100"/>
      <c r="T133" s="100"/>
      <c r="U133" s="100"/>
      <c r="V133" s="100"/>
      <c r="W133" s="100"/>
      <c r="X133" s="100"/>
      <c r="Y133" s="100"/>
      <c r="Z133" s="100"/>
      <c r="AA133" s="100"/>
      <c r="AB133" s="100"/>
      <c r="AC133" s="100"/>
      <c r="AD133" s="100"/>
      <c r="AE133" s="100"/>
      <c r="AF133" s="100"/>
      <c r="AG133" s="123"/>
      <c r="AH133" s="46">
        <f t="shared" si="25"/>
        <v>68.099999999999994</v>
      </c>
      <c r="AI133" s="47">
        <f t="shared" si="26"/>
        <v>66.3</v>
      </c>
    </row>
    <row r="134" spans="1:41" ht="15.75" thickBot="1" x14ac:dyDescent="0.3">
      <c r="A134" s="124"/>
      <c r="B134" s="100"/>
      <c r="C134" s="100"/>
      <c r="D134" s="100"/>
      <c r="E134" s="100"/>
      <c r="F134" s="100"/>
      <c r="G134" s="100"/>
      <c r="H134" s="100"/>
      <c r="I134" s="100"/>
      <c r="J134" s="100"/>
      <c r="K134" s="100"/>
      <c r="L134" s="100"/>
      <c r="M134" s="100"/>
      <c r="N134" s="100"/>
      <c r="O134" s="100"/>
      <c r="P134" s="100"/>
      <c r="Q134" s="100"/>
      <c r="R134" s="100"/>
      <c r="S134" s="100"/>
      <c r="T134" s="100"/>
      <c r="U134" s="100"/>
      <c r="V134" s="100"/>
      <c r="W134" s="100"/>
      <c r="X134" s="100" t="s">
        <v>327</v>
      </c>
      <c r="Y134" s="100"/>
      <c r="Z134" s="100"/>
      <c r="AA134" s="100"/>
      <c r="AB134" s="100"/>
      <c r="AC134" s="100"/>
      <c r="AD134" s="100"/>
      <c r="AE134" s="100"/>
      <c r="AF134" s="100"/>
      <c r="AG134" s="123"/>
      <c r="AH134" s="46">
        <f t="shared" si="25"/>
        <v>0</v>
      </c>
      <c r="AI134" s="47">
        <f t="shared" si="26"/>
        <v>0</v>
      </c>
      <c r="AL134" s="125" t="s">
        <v>156</v>
      </c>
      <c r="AM134" s="126" t="s">
        <v>157</v>
      </c>
      <c r="AN134" s="127">
        <v>0.8</v>
      </c>
      <c r="AO134" s="128" t="s">
        <v>158</v>
      </c>
    </row>
    <row r="135" spans="1:41" ht="15.75" thickBot="1" x14ac:dyDescent="0.3">
      <c r="A135" s="129" t="s">
        <v>159</v>
      </c>
      <c r="B135" s="113">
        <f t="shared" ref="B135:D135" si="68">SUM(B26,B32,B45:B46,B82,B84:B85,B87,B89,B137:B142,B178,B184,B190,B199,B201,B213,B220,B223:B224,B231,B233,B235,B239:B241,B243:B245,B250,B256:B257,B259:B261,B162,B167)</f>
        <v>68.54000000000002</v>
      </c>
      <c r="C135" s="113">
        <f t="shared" si="68"/>
        <v>68.54000000000002</v>
      </c>
      <c r="D135" s="113">
        <f t="shared" si="68"/>
        <v>36.740000000000009</v>
      </c>
      <c r="E135" s="113">
        <f t="shared" ref="E135:F135" si="69">SUM(E26,E32,E45:E46,E82,E84:E85,E87,E89,E137:E142,E178,E184,E190,E199,E201,E213,E220,E223:E224,E231,E233,E235,E239:E241,E243:E245,E250,E256:E257,E259:E261,E162,E167)</f>
        <v>36.740000000000009</v>
      </c>
      <c r="F135" s="113">
        <f t="shared" si="69"/>
        <v>36.740000000000009</v>
      </c>
      <c r="G135" s="113">
        <f t="shared" ref="G135:O135" si="70">SUM(G26,G32,G45:G46,G82,G84:G85,G87,G89,G137:G142,G178,G184,G190,G199,G201,G213,G220,G223:G224,G231,G233,G235,G239:G241,G243:G245,G250,G256:G257,G259:G261,G162,G167)</f>
        <v>51.040000000000006</v>
      </c>
      <c r="H135" s="113">
        <f t="shared" si="70"/>
        <v>51.040000000000006</v>
      </c>
      <c r="I135" s="113">
        <f t="shared" si="70"/>
        <v>76.839999999999989</v>
      </c>
      <c r="J135" s="113">
        <f t="shared" si="70"/>
        <v>98.639999999999986</v>
      </c>
      <c r="K135" s="113">
        <f t="shared" si="70"/>
        <v>103.94</v>
      </c>
      <c r="L135" s="113">
        <f t="shared" si="70"/>
        <v>200.24</v>
      </c>
      <c r="M135" s="113">
        <f t="shared" si="70"/>
        <v>204.64000000000001</v>
      </c>
      <c r="N135" s="113">
        <f t="shared" si="70"/>
        <v>205.04000000000002</v>
      </c>
      <c r="O135" s="113">
        <f t="shared" si="70"/>
        <v>208.74</v>
      </c>
      <c r="P135" s="113">
        <v>42</v>
      </c>
      <c r="Q135" s="113">
        <f t="shared" ref="Q135:X135" si="71">SUM(Q26,Q32,Q45:Q46,Q82,Q84:Q85,Q87,Q89,Q137:Q142,Q178,Q184,Q190,Q199,Q201,Q213,Q220,Q223:Q224,Q231,Q233,Q235,Q239:Q241,Q243:Q245,Q250,Q256:Q257,Q259:Q261,Q162,Q167)</f>
        <v>0.94</v>
      </c>
      <c r="R135" s="113">
        <f t="shared" si="71"/>
        <v>0.94</v>
      </c>
      <c r="S135" s="113">
        <f t="shared" si="71"/>
        <v>0.94</v>
      </c>
      <c r="T135" s="113">
        <f t="shared" si="71"/>
        <v>0.94</v>
      </c>
      <c r="U135" s="113">
        <f t="shared" si="71"/>
        <v>0.94</v>
      </c>
      <c r="V135" s="113">
        <f t="shared" si="71"/>
        <v>0.94</v>
      </c>
      <c r="W135" s="113">
        <f t="shared" si="71"/>
        <v>0.94</v>
      </c>
      <c r="X135" s="113">
        <f t="shared" si="71"/>
        <v>0.94</v>
      </c>
      <c r="Y135" s="113">
        <f>SUM(Y23,Y30,Y51:Y52,Y82,Y84:Y85,Y87,Y89,Y137:Y142,Y171,Y177,Y183,Y192,Y194,Y206,Y213,Y216:Y217,Y224,Y226,Y228,Y232:Y234,Y236:Y238,Y243,Y249:Y250,Y252:Y254,Y262,Y267)</f>
        <v>0</v>
      </c>
      <c r="Z135" s="113">
        <f>SUM(Z23,Z30,Z51:Z52,Z82,Z84:Z85,Z87,Z89,Z137:Z142,Z171,Z177,Z183,Z192,Z194,Z206,Z213,Z216:Z217,Z224,Z226,Z228,Z232:Z234,Z236:Z238,Z243,Z249:Z250,Z252:Z254,Z262,Z267)</f>
        <v>0</v>
      </c>
      <c r="AA135" s="113">
        <f t="shared" ref="AA135:AF135" si="72">SUM(AA26,AA32,AA45:AA46,AA82,AA84:AA85,AA87,AA89,AA137:AA142,AA178,AA184,AA190,AA199,AA201,AA213,AA220,AA223:AA224,AA231,AA233,AA235,AA239:AA241,AA243:AA245,AA250,AA256:AA257,AA259:AA261,AA162,AA167)</f>
        <v>0.94</v>
      </c>
      <c r="AB135" s="113">
        <f t="shared" si="72"/>
        <v>0.94</v>
      </c>
      <c r="AC135" s="113">
        <f t="shared" si="72"/>
        <v>0.94</v>
      </c>
      <c r="AD135" s="113">
        <f t="shared" si="72"/>
        <v>0.94</v>
      </c>
      <c r="AE135" s="113">
        <f t="shared" si="72"/>
        <v>0.94</v>
      </c>
      <c r="AF135" s="113">
        <f t="shared" si="72"/>
        <v>0.94</v>
      </c>
      <c r="AG135" s="130"/>
      <c r="AH135" s="46">
        <f t="shared" si="25"/>
        <v>208.74</v>
      </c>
      <c r="AI135" s="47">
        <f t="shared" si="26"/>
        <v>0</v>
      </c>
      <c r="AL135" s="131" t="s">
        <v>160</v>
      </c>
      <c r="AM135" s="132">
        <v>22.5</v>
      </c>
      <c r="AN135" s="133">
        <f>AM135*AN$134</f>
        <v>18</v>
      </c>
      <c r="AO135" s="134">
        <f>AM135-AN135</f>
        <v>4.5</v>
      </c>
    </row>
    <row r="136" spans="1:41" ht="15.75" thickBot="1" x14ac:dyDescent="0.3">
      <c r="A136" s="135" t="s">
        <v>161</v>
      </c>
      <c r="B136" s="136"/>
      <c r="C136" s="136"/>
      <c r="D136" s="136"/>
      <c r="E136" s="136"/>
      <c r="F136" s="136"/>
      <c r="G136" s="137"/>
      <c r="H136" s="137"/>
      <c r="I136" s="137"/>
      <c r="J136" s="137"/>
      <c r="K136" s="137"/>
      <c r="L136" s="137"/>
      <c r="M136" s="137"/>
      <c r="N136" s="137"/>
      <c r="O136" s="137"/>
      <c r="P136" s="137"/>
      <c r="Q136" s="137"/>
      <c r="R136" s="137"/>
      <c r="S136" s="137"/>
      <c r="T136" s="137"/>
      <c r="U136" s="137"/>
      <c r="V136" s="137"/>
      <c r="W136" s="137"/>
      <c r="X136" s="137"/>
      <c r="Y136" s="137"/>
      <c r="Z136" s="137"/>
      <c r="AA136" s="137"/>
      <c r="AB136" s="137"/>
      <c r="AC136" s="137"/>
      <c r="AD136" s="137"/>
      <c r="AE136" s="137"/>
      <c r="AF136" s="137"/>
      <c r="AG136" s="130"/>
      <c r="AH136" s="46">
        <f t="shared" si="25"/>
        <v>0</v>
      </c>
      <c r="AI136" s="47">
        <f t="shared" si="26"/>
        <v>0</v>
      </c>
      <c r="AL136" s="138" t="s">
        <v>162</v>
      </c>
      <c r="AM136" s="139">
        <v>21.3</v>
      </c>
      <c r="AN136" s="140">
        <f>AM136*AN$134</f>
        <v>17.040000000000003</v>
      </c>
      <c r="AO136" s="141">
        <f>AM136-AN136</f>
        <v>4.259999999999998</v>
      </c>
    </row>
    <row r="137" spans="1:41" x14ac:dyDescent="0.25">
      <c r="A137" s="142" t="s">
        <v>163</v>
      </c>
      <c r="B137" s="143">
        <v>45.6</v>
      </c>
      <c r="C137" s="143">
        <v>45.6</v>
      </c>
      <c r="D137" s="143">
        <v>39.799999999999997</v>
      </c>
      <c r="E137" s="143">
        <v>39.799999999999997</v>
      </c>
      <c r="F137" s="143">
        <v>39.799999999999997</v>
      </c>
      <c r="G137" s="144">
        <v>39.799999999999997</v>
      </c>
      <c r="H137" s="144">
        <v>39.799999999999997</v>
      </c>
      <c r="I137" s="144">
        <v>47.5</v>
      </c>
      <c r="J137" s="144">
        <v>52.8</v>
      </c>
      <c r="K137" s="144">
        <v>58.1</v>
      </c>
      <c r="L137" s="144">
        <v>58.1</v>
      </c>
      <c r="M137" s="144">
        <v>58.1</v>
      </c>
      <c r="N137" s="144">
        <v>58.1</v>
      </c>
      <c r="O137" s="144">
        <v>58.1</v>
      </c>
      <c r="P137" s="144">
        <v>58.1</v>
      </c>
      <c r="Q137" s="144"/>
      <c r="R137" s="144"/>
      <c r="S137" s="144"/>
      <c r="T137" s="144"/>
      <c r="U137" s="144"/>
      <c r="V137" s="144"/>
      <c r="W137" s="144"/>
      <c r="X137" s="144"/>
      <c r="Y137" s="144"/>
      <c r="Z137" s="144"/>
      <c r="AA137" s="144"/>
      <c r="AB137" s="144"/>
      <c r="AC137" s="144"/>
      <c r="AD137" s="144"/>
      <c r="AE137" s="144"/>
      <c r="AF137" s="144"/>
      <c r="AG137" s="145">
        <v>75</v>
      </c>
      <c r="AH137" s="46">
        <f t="shared" si="25"/>
        <v>58.1</v>
      </c>
      <c r="AI137" s="47">
        <f t="shared" si="26"/>
        <v>39.799999999999997</v>
      </c>
      <c r="AL137" s="138" t="s">
        <v>164</v>
      </c>
      <c r="AM137" s="139">
        <v>35.5</v>
      </c>
      <c r="AN137" s="140">
        <f>AM137*AN$134</f>
        <v>28.400000000000002</v>
      </c>
      <c r="AO137" s="141">
        <f>AM137-AN137</f>
        <v>7.0999999999999979</v>
      </c>
    </row>
    <row r="138" spans="1:41" x14ac:dyDescent="0.25">
      <c r="A138" s="146" t="s">
        <v>165</v>
      </c>
      <c r="B138" s="143">
        <v>-10.3</v>
      </c>
      <c r="C138" s="143">
        <v>-10.3</v>
      </c>
      <c r="D138" s="143">
        <v>-14.6</v>
      </c>
      <c r="E138" s="143">
        <v>-14.6</v>
      </c>
      <c r="F138" s="143">
        <v>-14.6</v>
      </c>
      <c r="G138" s="147">
        <v>-11.2</v>
      </c>
      <c r="H138" s="147">
        <v>-11.2</v>
      </c>
      <c r="I138" s="147">
        <v>-9.6</v>
      </c>
      <c r="J138" s="147">
        <v>-10.199999999999999</v>
      </c>
      <c r="K138" s="147">
        <v>-10.199999999999999</v>
      </c>
      <c r="L138" s="147">
        <v>-10.199999999999999</v>
      </c>
      <c r="M138" s="147">
        <v>-10.199999999999999</v>
      </c>
      <c r="N138" s="147">
        <v>-10.199999999999999</v>
      </c>
      <c r="O138" s="147">
        <v>-10.199999999999999</v>
      </c>
      <c r="P138" s="147">
        <v>-10.199999999999999</v>
      </c>
      <c r="Q138" s="147"/>
      <c r="R138" s="147"/>
      <c r="S138" s="147"/>
      <c r="T138" s="147"/>
      <c r="U138" s="147"/>
      <c r="V138" s="147"/>
      <c r="W138" s="147"/>
      <c r="X138" s="147"/>
      <c r="Y138" s="147"/>
      <c r="Z138" s="147"/>
      <c r="AA138" s="147"/>
      <c r="AB138" s="147"/>
      <c r="AC138" s="147"/>
      <c r="AD138" s="147"/>
      <c r="AE138" s="147"/>
      <c r="AF138" s="147"/>
      <c r="AG138" s="145">
        <v>240</v>
      </c>
      <c r="AH138" s="46">
        <f t="shared" si="25"/>
        <v>-9.6</v>
      </c>
      <c r="AI138" s="47">
        <f t="shared" si="26"/>
        <v>-14.6</v>
      </c>
      <c r="AL138" s="138" t="s">
        <v>166</v>
      </c>
      <c r="AM138" s="139">
        <v>48.5</v>
      </c>
      <c r="AN138" s="140">
        <f>AM138*AN$134</f>
        <v>38.800000000000004</v>
      </c>
      <c r="AO138" s="141">
        <f>AM138-AN138</f>
        <v>9.6999999999999957</v>
      </c>
    </row>
    <row r="139" spans="1:41" ht="15.75" thickBot="1" x14ac:dyDescent="0.3">
      <c r="A139" s="146" t="s">
        <v>167</v>
      </c>
      <c r="B139" s="143">
        <v>-36.299999999999997</v>
      </c>
      <c r="C139" s="143">
        <v>-36.299999999999997</v>
      </c>
      <c r="D139" s="143">
        <v>-39.200000000000003</v>
      </c>
      <c r="E139" s="143">
        <v>-39.200000000000003</v>
      </c>
      <c r="F139" s="143">
        <v>-39.200000000000003</v>
      </c>
      <c r="G139" s="147">
        <v>-26.5</v>
      </c>
      <c r="H139" s="147">
        <v>-26.5</v>
      </c>
      <c r="I139" s="147">
        <v>-26.5</v>
      </c>
      <c r="J139" s="147">
        <v>-18.600000000000001</v>
      </c>
      <c r="K139" s="147">
        <v>-18.600000000000001</v>
      </c>
      <c r="L139" s="147">
        <v>-18.600000000000001</v>
      </c>
      <c r="M139" s="147">
        <v>-18.600000000000001</v>
      </c>
      <c r="N139" s="147">
        <v>-18.600000000000001</v>
      </c>
      <c r="O139" s="147">
        <v>-18.600000000000001</v>
      </c>
      <c r="P139" s="147">
        <v>-18.600000000000001</v>
      </c>
      <c r="Q139" s="147"/>
      <c r="R139" s="147"/>
      <c r="S139" s="147"/>
      <c r="T139" s="147"/>
      <c r="U139" s="147"/>
      <c r="V139" s="147"/>
      <c r="W139" s="147"/>
      <c r="X139" s="147"/>
      <c r="Y139" s="147"/>
      <c r="Z139" s="147"/>
      <c r="AA139" s="147"/>
      <c r="AB139" s="147"/>
      <c r="AC139" s="147"/>
      <c r="AD139" s="147"/>
      <c r="AE139" s="147"/>
      <c r="AF139" s="147"/>
      <c r="AG139" s="145">
        <v>240</v>
      </c>
      <c r="AH139" s="46">
        <f t="shared" ref="AH139:AH145" si="73">MAX(B139:AF139)</f>
        <v>-18.600000000000001</v>
      </c>
      <c r="AI139" s="47">
        <f t="shared" ref="AI139:AI145" si="74">MIN(B139:AF139)</f>
        <v>-39.200000000000003</v>
      </c>
      <c r="AL139" s="148" t="s">
        <v>168</v>
      </c>
      <c r="AM139" s="149">
        <f>SUM(AM135:AM138)</f>
        <v>127.8</v>
      </c>
      <c r="AN139" s="149">
        <f>SUM(AN134:AN138)</f>
        <v>103.04000000000002</v>
      </c>
      <c r="AO139" s="150">
        <f>AM139-AN139</f>
        <v>24.759999999999977</v>
      </c>
    </row>
    <row r="140" spans="1:41" x14ac:dyDescent="0.25">
      <c r="A140" s="146" t="s">
        <v>169</v>
      </c>
      <c r="B140" s="143">
        <v>34.6</v>
      </c>
      <c r="C140" s="143">
        <v>34.6</v>
      </c>
      <c r="D140" s="143">
        <v>22.1</v>
      </c>
      <c r="E140" s="143">
        <v>22.1</v>
      </c>
      <c r="F140" s="143">
        <v>22.1</v>
      </c>
      <c r="G140" s="151">
        <v>14.9</v>
      </c>
      <c r="H140" s="151">
        <v>14.9</v>
      </c>
      <c r="I140" s="151">
        <v>14.9</v>
      </c>
      <c r="J140" s="151">
        <v>9.9</v>
      </c>
      <c r="K140" s="151">
        <v>9.9</v>
      </c>
      <c r="L140" s="151">
        <v>9.9</v>
      </c>
      <c r="M140" s="151">
        <v>9.9</v>
      </c>
      <c r="N140" s="151">
        <v>9.9</v>
      </c>
      <c r="O140" s="151">
        <v>9.9</v>
      </c>
      <c r="P140" s="151">
        <v>9.9</v>
      </c>
      <c r="Q140" s="151"/>
      <c r="R140" s="151"/>
      <c r="S140" s="151"/>
      <c r="T140" s="151"/>
      <c r="U140" s="151"/>
      <c r="V140" s="151"/>
      <c r="W140" s="151"/>
      <c r="X140" s="151"/>
      <c r="Y140" s="151"/>
      <c r="Z140" s="151"/>
      <c r="AA140" s="151"/>
      <c r="AB140" s="151"/>
      <c r="AC140" s="151"/>
      <c r="AD140" s="151"/>
      <c r="AE140" s="151"/>
      <c r="AF140" s="151"/>
      <c r="AG140" s="145"/>
      <c r="AH140" s="46">
        <f t="shared" si="73"/>
        <v>34.6</v>
      </c>
      <c r="AI140" s="47">
        <f t="shared" si="74"/>
        <v>9.9</v>
      </c>
      <c r="AL140" s="152"/>
      <c r="AM140" s="153"/>
      <c r="AN140" s="153"/>
      <c r="AO140" s="153"/>
    </row>
    <row r="141" spans="1:41" ht="15.75" thickBot="1" x14ac:dyDescent="0.3">
      <c r="A141" s="146" t="s">
        <v>170</v>
      </c>
      <c r="B141" s="143">
        <v>10.3</v>
      </c>
      <c r="C141" s="143">
        <v>10.3</v>
      </c>
      <c r="D141" s="143">
        <v>7</v>
      </c>
      <c r="E141" s="143">
        <v>7</v>
      </c>
      <c r="F141" s="143">
        <v>7</v>
      </c>
      <c r="G141" s="147">
        <v>6.7</v>
      </c>
      <c r="H141" s="147">
        <v>6.7</v>
      </c>
      <c r="I141" s="147">
        <v>6.7</v>
      </c>
      <c r="J141" s="147">
        <v>14</v>
      </c>
      <c r="K141" s="147">
        <v>14</v>
      </c>
      <c r="L141" s="147">
        <v>14</v>
      </c>
      <c r="M141" s="147">
        <v>14</v>
      </c>
      <c r="N141" s="147">
        <v>14</v>
      </c>
      <c r="O141" s="147">
        <v>14</v>
      </c>
      <c r="P141" s="147">
        <v>14</v>
      </c>
      <c r="Q141" s="147"/>
      <c r="R141" s="147"/>
      <c r="S141" s="147"/>
      <c r="T141" s="147"/>
      <c r="U141" s="147"/>
      <c r="V141" s="147"/>
      <c r="W141" s="147"/>
      <c r="X141" s="147"/>
      <c r="Y141" s="147"/>
      <c r="Z141" s="147"/>
      <c r="AA141" s="147"/>
      <c r="AB141" s="147"/>
      <c r="AC141" s="147"/>
      <c r="AD141" s="147"/>
      <c r="AE141" s="147"/>
      <c r="AF141" s="147"/>
      <c r="AG141" s="145">
        <v>60</v>
      </c>
      <c r="AH141" s="46">
        <f t="shared" si="73"/>
        <v>14</v>
      </c>
      <c r="AI141" s="47">
        <f t="shared" si="74"/>
        <v>6.7</v>
      </c>
      <c r="AL141" s="154"/>
      <c r="AM141" s="155"/>
      <c r="AN141" s="155"/>
      <c r="AO141" s="155"/>
    </row>
    <row r="142" spans="1:41" ht="15.75" thickBot="1" x14ac:dyDescent="0.3">
      <c r="A142" s="146" t="s">
        <v>171</v>
      </c>
      <c r="B142" s="143">
        <v>-126.6</v>
      </c>
      <c r="C142" s="143">
        <v>-126.6</v>
      </c>
      <c r="D142" s="143">
        <v>-104</v>
      </c>
      <c r="E142" s="143">
        <v>-104</v>
      </c>
      <c r="F142" s="143">
        <v>-104</v>
      </c>
      <c r="G142" s="151">
        <v>-98.3</v>
      </c>
      <c r="H142" s="151">
        <v>-98.3</v>
      </c>
      <c r="I142" s="151">
        <v>-81.8</v>
      </c>
      <c r="J142" s="151">
        <v>-75.5</v>
      </c>
      <c r="K142" s="151">
        <v>-75.5</v>
      </c>
      <c r="L142" s="151">
        <v>20.5</v>
      </c>
      <c r="M142" s="151">
        <v>20.5</v>
      </c>
      <c r="N142" s="151">
        <v>20.5</v>
      </c>
      <c r="O142" s="151">
        <v>20.5</v>
      </c>
      <c r="P142" s="151">
        <v>20.5</v>
      </c>
      <c r="Q142" s="151"/>
      <c r="R142" s="151"/>
      <c r="S142" s="151"/>
      <c r="T142" s="151"/>
      <c r="U142" s="151"/>
      <c r="V142" s="151"/>
      <c r="W142" s="151"/>
      <c r="X142" s="151"/>
      <c r="Y142" s="151"/>
      <c r="Z142" s="151"/>
      <c r="AA142" s="151"/>
      <c r="AB142" s="151"/>
      <c r="AC142" s="151"/>
      <c r="AD142" s="151"/>
      <c r="AE142" s="151"/>
      <c r="AF142" s="151"/>
      <c r="AG142" s="156">
        <v>120</v>
      </c>
      <c r="AH142" s="46">
        <f t="shared" si="73"/>
        <v>20.5</v>
      </c>
      <c r="AI142" s="47">
        <f t="shared" si="74"/>
        <v>-126.6</v>
      </c>
      <c r="AL142" s="125" t="s">
        <v>172</v>
      </c>
      <c r="AM142" s="126" t="s">
        <v>157</v>
      </c>
      <c r="AN142" s="127">
        <v>0.5</v>
      </c>
      <c r="AO142" s="128" t="s">
        <v>158</v>
      </c>
    </row>
    <row r="143" spans="1:41" x14ac:dyDescent="0.25">
      <c r="A143" s="146" t="s">
        <v>173</v>
      </c>
      <c r="B143" s="143">
        <v>15.3</v>
      </c>
      <c r="C143" s="143">
        <v>15.3</v>
      </c>
      <c r="D143" s="143">
        <v>12.4</v>
      </c>
      <c r="E143" s="143">
        <v>12.4</v>
      </c>
      <c r="F143" s="143">
        <v>12.4</v>
      </c>
      <c r="G143" s="151">
        <v>17.100000000000001</v>
      </c>
      <c r="H143" s="151">
        <v>17.100000000000001</v>
      </c>
      <c r="I143" s="151">
        <v>17.100000000000001</v>
      </c>
      <c r="J143" s="151">
        <v>29.6</v>
      </c>
      <c r="K143" s="151">
        <v>29.6</v>
      </c>
      <c r="L143" s="151">
        <v>74.900000000000006</v>
      </c>
      <c r="M143" s="151">
        <v>74.900000000000006</v>
      </c>
      <c r="N143" s="151">
        <v>74.900000000000006</v>
      </c>
      <c r="O143" s="151">
        <v>74.900000000000006</v>
      </c>
      <c r="P143" s="151">
        <v>74.900000000000006</v>
      </c>
      <c r="Q143" s="151"/>
      <c r="R143" s="151"/>
      <c r="S143" s="151"/>
      <c r="T143" s="151"/>
      <c r="U143" s="151"/>
      <c r="V143" s="151"/>
      <c r="W143" s="151"/>
      <c r="X143" s="151"/>
      <c r="Y143" s="151"/>
      <c r="Z143" s="151"/>
      <c r="AA143" s="151"/>
      <c r="AB143" s="151"/>
      <c r="AC143" s="151"/>
      <c r="AD143" s="151"/>
      <c r="AE143" s="151"/>
      <c r="AF143" s="151"/>
      <c r="AG143" s="156"/>
      <c r="AH143" s="46">
        <f t="shared" si="73"/>
        <v>74.900000000000006</v>
      </c>
      <c r="AI143" s="47">
        <f t="shared" si="74"/>
        <v>12.4</v>
      </c>
      <c r="AL143" s="131" t="s">
        <v>174</v>
      </c>
      <c r="AM143" s="132">
        <v>54</v>
      </c>
      <c r="AN143" s="133">
        <f>AM143*AN$142</f>
        <v>27</v>
      </c>
      <c r="AO143" s="134">
        <f>AM143-AN143</f>
        <v>27</v>
      </c>
    </row>
    <row r="144" spans="1:41" x14ac:dyDescent="0.25">
      <c r="A144" s="146" t="s">
        <v>175</v>
      </c>
      <c r="B144" s="143">
        <v>-56.3</v>
      </c>
      <c r="C144" s="143">
        <v>-56.3</v>
      </c>
      <c r="D144" s="143">
        <v>-40.799999999999997</v>
      </c>
      <c r="E144" s="143">
        <v>-40.799999999999997</v>
      </c>
      <c r="F144" s="143">
        <v>-40.799999999999997</v>
      </c>
      <c r="G144" s="151">
        <v>5</v>
      </c>
      <c r="H144" s="151">
        <v>5</v>
      </c>
      <c r="I144" s="151">
        <v>5</v>
      </c>
      <c r="J144" s="151">
        <v>-1.5</v>
      </c>
      <c r="K144" s="151">
        <v>-1.5</v>
      </c>
      <c r="L144" s="151">
        <v>-1.5</v>
      </c>
      <c r="M144" s="151">
        <v>-1.5</v>
      </c>
      <c r="N144" s="151">
        <v>-1.5</v>
      </c>
      <c r="O144" s="151">
        <v>-1.5</v>
      </c>
      <c r="P144" s="151">
        <v>-1.5</v>
      </c>
      <c r="Q144" s="151"/>
      <c r="R144" s="151"/>
      <c r="S144" s="151"/>
      <c r="T144" s="151"/>
      <c r="U144" s="151"/>
      <c r="V144" s="151"/>
      <c r="W144" s="151"/>
      <c r="X144" s="151"/>
      <c r="Y144" s="151"/>
      <c r="Z144" s="151"/>
      <c r="AA144" s="151"/>
      <c r="AB144" s="151"/>
      <c r="AC144" s="151"/>
      <c r="AD144" s="151"/>
      <c r="AE144" s="151"/>
      <c r="AF144" s="151"/>
      <c r="AG144" s="156"/>
      <c r="AH144" s="46">
        <f t="shared" si="73"/>
        <v>5</v>
      </c>
      <c r="AI144" s="47">
        <f t="shared" si="74"/>
        <v>-56.3</v>
      </c>
      <c r="AL144" s="138" t="s">
        <v>176</v>
      </c>
      <c r="AM144" s="139">
        <v>25</v>
      </c>
      <c r="AN144" s="140">
        <f>AM144*AN$142</f>
        <v>12.5</v>
      </c>
      <c r="AO144" s="141">
        <f>AM144-AN144</f>
        <v>12.5</v>
      </c>
    </row>
    <row r="145" spans="1:41" x14ac:dyDescent="0.25">
      <c r="A145" s="146" t="s">
        <v>177</v>
      </c>
      <c r="B145" s="143">
        <v>-22.3</v>
      </c>
      <c r="C145" s="143">
        <v>-22.3</v>
      </c>
      <c r="D145" s="143">
        <v>-16.2</v>
      </c>
      <c r="E145" s="143">
        <v>-16.2</v>
      </c>
      <c r="F145" s="143">
        <v>-16.2</v>
      </c>
      <c r="G145" s="151">
        <v>-39.299999999999997</v>
      </c>
      <c r="H145" s="151">
        <v>-39.299999999999997</v>
      </c>
      <c r="I145" s="151">
        <v>-39.299999999999997</v>
      </c>
      <c r="J145" s="151">
        <v>30.8</v>
      </c>
      <c r="K145" s="151">
        <v>30.8</v>
      </c>
      <c r="L145" s="151">
        <v>30.8</v>
      </c>
      <c r="M145" s="151">
        <v>30.8</v>
      </c>
      <c r="N145" s="151">
        <v>30.8</v>
      </c>
      <c r="O145" s="151">
        <v>30.8</v>
      </c>
      <c r="P145" s="151">
        <v>30.8</v>
      </c>
      <c r="Q145" s="151"/>
      <c r="R145" s="151"/>
      <c r="S145" s="151"/>
      <c r="T145" s="151"/>
      <c r="U145" s="151"/>
      <c r="V145" s="151"/>
      <c r="W145" s="151"/>
      <c r="X145" s="151"/>
      <c r="Y145" s="151"/>
      <c r="Z145" s="151"/>
      <c r="AA145" s="151"/>
      <c r="AB145" s="151"/>
      <c r="AC145" s="151"/>
      <c r="AD145" s="151"/>
      <c r="AE145" s="151"/>
      <c r="AF145" s="151"/>
      <c r="AG145" s="156"/>
      <c r="AH145" s="46">
        <f t="shared" si="73"/>
        <v>30.8</v>
      </c>
      <c r="AI145" s="47">
        <f t="shared" si="74"/>
        <v>-39.299999999999997</v>
      </c>
      <c r="AL145" s="138" t="s">
        <v>178</v>
      </c>
      <c r="AM145" s="139">
        <v>27</v>
      </c>
      <c r="AN145" s="140">
        <f>AM145*AN$142</f>
        <v>13.5</v>
      </c>
      <c r="AO145" s="141">
        <f>AM145-AN145</f>
        <v>13.5</v>
      </c>
    </row>
    <row r="146" spans="1:41" x14ac:dyDescent="0.25">
      <c r="A146" s="146" t="s">
        <v>179</v>
      </c>
      <c r="B146" s="143">
        <v>-364.6</v>
      </c>
      <c r="C146" s="143">
        <v>-364.6</v>
      </c>
      <c r="D146" s="143">
        <v>-445</v>
      </c>
      <c r="E146" s="143">
        <v>-445</v>
      </c>
      <c r="F146" s="143">
        <v>-445</v>
      </c>
      <c r="G146" s="151">
        <v>-472.4</v>
      </c>
      <c r="H146" s="151">
        <v>-472.4</v>
      </c>
      <c r="I146" s="151">
        <v>-456</v>
      </c>
      <c r="J146" s="151">
        <v>-464.5</v>
      </c>
      <c r="K146" s="151">
        <v>-464.5</v>
      </c>
      <c r="L146" s="151">
        <v>-436.5</v>
      </c>
      <c r="M146" s="151">
        <v>-436.5</v>
      </c>
      <c r="N146" s="151">
        <v>-436.5</v>
      </c>
      <c r="O146" s="151">
        <v>-436.5</v>
      </c>
      <c r="P146" s="151">
        <v>-436.5</v>
      </c>
      <c r="Q146" s="151"/>
      <c r="R146" s="151"/>
      <c r="S146" s="151"/>
      <c r="T146" s="151"/>
      <c r="U146" s="151"/>
      <c r="V146" s="151"/>
      <c r="W146" s="151"/>
      <c r="X146" s="151"/>
      <c r="Y146" s="151"/>
      <c r="Z146" s="151"/>
      <c r="AA146" s="151"/>
      <c r="AB146" s="151"/>
      <c r="AC146" s="151"/>
      <c r="AD146" s="151"/>
      <c r="AE146" s="151"/>
      <c r="AF146" s="151"/>
      <c r="AG146" s="156"/>
      <c r="AH146" s="46">
        <f t="shared" ref="AH146:AH158" si="75">MAX(B146:AF146)</f>
        <v>-364.6</v>
      </c>
      <c r="AI146" s="47">
        <f t="shared" ref="AI146:AI158" si="76">MIN(B146:AF146)</f>
        <v>-472.4</v>
      </c>
      <c r="AL146" s="138" t="s">
        <v>180</v>
      </c>
      <c r="AM146" s="139">
        <v>12</v>
      </c>
      <c r="AN146" s="140">
        <f>AM146*AN$142</f>
        <v>6</v>
      </c>
      <c r="AO146" s="141">
        <f>AM146-AN146</f>
        <v>6</v>
      </c>
    </row>
    <row r="147" spans="1:41" ht="15.75" thickBot="1" x14ac:dyDescent="0.3">
      <c r="A147" s="146" t="s">
        <v>181</v>
      </c>
      <c r="B147" s="143">
        <v>64.3</v>
      </c>
      <c r="C147" s="143">
        <v>64.3</v>
      </c>
      <c r="D147" s="143">
        <v>87.3</v>
      </c>
      <c r="E147" s="143">
        <v>87.3</v>
      </c>
      <c r="F147" s="143">
        <v>87.3</v>
      </c>
      <c r="G147" s="151">
        <v>101.5</v>
      </c>
      <c r="H147" s="151">
        <v>101.5</v>
      </c>
      <c r="I147" s="151">
        <v>101.5</v>
      </c>
      <c r="J147" s="151">
        <v>94.1</v>
      </c>
      <c r="K147" s="151">
        <v>94.1</v>
      </c>
      <c r="L147" s="151">
        <v>94.1</v>
      </c>
      <c r="M147" s="151">
        <v>94.1</v>
      </c>
      <c r="N147" s="151">
        <v>94.1</v>
      </c>
      <c r="O147" s="151">
        <v>94.1</v>
      </c>
      <c r="P147" s="151">
        <v>94.1</v>
      </c>
      <c r="Q147" s="151"/>
      <c r="R147" s="151"/>
      <c r="S147" s="151"/>
      <c r="T147" s="151"/>
      <c r="U147" s="151"/>
      <c r="V147" s="151"/>
      <c r="W147" s="151"/>
      <c r="X147" s="151"/>
      <c r="Y147" s="151"/>
      <c r="Z147" s="151"/>
      <c r="AA147" s="151"/>
      <c r="AB147" s="151"/>
      <c r="AC147" s="151"/>
      <c r="AD147" s="151"/>
      <c r="AE147" s="151"/>
      <c r="AF147" s="151"/>
      <c r="AG147" s="156"/>
      <c r="AH147" s="46">
        <f t="shared" si="75"/>
        <v>101.5</v>
      </c>
      <c r="AI147" s="47">
        <f t="shared" si="76"/>
        <v>64.3</v>
      </c>
      <c r="AL147" s="148" t="s">
        <v>168</v>
      </c>
      <c r="AM147" s="149">
        <f>SUM(AM142:AM146)</f>
        <v>118</v>
      </c>
      <c r="AN147" s="149">
        <f>SUM(AN142:AN146)</f>
        <v>59.5</v>
      </c>
      <c r="AO147" s="150">
        <f>AM147-AN147</f>
        <v>58.5</v>
      </c>
    </row>
    <row r="148" spans="1:41" x14ac:dyDescent="0.25">
      <c r="A148" s="146" t="s">
        <v>182</v>
      </c>
      <c r="B148" s="143">
        <v>-18.899999999999999</v>
      </c>
      <c r="C148" s="143">
        <v>-18.899999999999999</v>
      </c>
      <c r="D148" s="143">
        <v>-34.799999999999997</v>
      </c>
      <c r="E148" s="143">
        <v>-34.799999999999997</v>
      </c>
      <c r="F148" s="143">
        <v>-34.799999999999997</v>
      </c>
      <c r="G148" s="151">
        <v>-37.6</v>
      </c>
      <c r="H148" s="151">
        <v>-37.6</v>
      </c>
      <c r="I148" s="151">
        <v>-37.6</v>
      </c>
      <c r="J148" s="151">
        <v>-62.11</v>
      </c>
      <c r="K148" s="151">
        <v>-62.11</v>
      </c>
      <c r="L148" s="151">
        <v>-62.11</v>
      </c>
      <c r="M148" s="151">
        <v>-62.11</v>
      </c>
      <c r="N148" s="151">
        <v>-62.11</v>
      </c>
      <c r="O148" s="151">
        <v>-62.11</v>
      </c>
      <c r="P148" s="151">
        <v>-62.11</v>
      </c>
      <c r="Q148" s="151"/>
      <c r="R148" s="151"/>
      <c r="S148" s="151"/>
      <c r="T148" s="151"/>
      <c r="U148" s="151"/>
      <c r="V148" s="151"/>
      <c r="W148" s="151"/>
      <c r="X148" s="151"/>
      <c r="Y148" s="151"/>
      <c r="Z148" s="151"/>
      <c r="AA148" s="151"/>
      <c r="AB148" s="151"/>
      <c r="AC148" s="151"/>
      <c r="AD148" s="151"/>
      <c r="AE148" s="151"/>
      <c r="AF148" s="151"/>
      <c r="AG148" s="145"/>
      <c r="AH148" s="46">
        <f t="shared" si="75"/>
        <v>-18.899999999999999</v>
      </c>
      <c r="AI148" s="47">
        <f t="shared" si="76"/>
        <v>-62.11</v>
      </c>
      <c r="AL148" s="157"/>
      <c r="AM148" s="158"/>
      <c r="AN148" s="159"/>
      <c r="AO148" s="158"/>
    </row>
    <row r="149" spans="1:41" ht="15.75" thickBot="1" x14ac:dyDescent="0.3">
      <c r="A149" s="146" t="s">
        <v>183</v>
      </c>
      <c r="B149" s="143">
        <v>117.6</v>
      </c>
      <c r="C149" s="143">
        <v>117.6</v>
      </c>
      <c r="D149" s="143">
        <v>98</v>
      </c>
      <c r="E149" s="143">
        <v>98</v>
      </c>
      <c r="F149" s="143">
        <v>98</v>
      </c>
      <c r="G149" s="121">
        <v>90.1</v>
      </c>
      <c r="H149" s="121">
        <v>90.1</v>
      </c>
      <c r="I149" s="121">
        <v>90.1</v>
      </c>
      <c r="J149" s="121">
        <v>116.9</v>
      </c>
      <c r="K149" s="121">
        <v>116.9</v>
      </c>
      <c r="L149" s="121">
        <v>116.9</v>
      </c>
      <c r="M149" s="121">
        <v>116.9</v>
      </c>
      <c r="N149" s="121">
        <v>116.9</v>
      </c>
      <c r="O149" s="121">
        <v>116.9</v>
      </c>
      <c r="P149" s="121">
        <v>116.9</v>
      </c>
      <c r="Q149" s="121"/>
      <c r="R149" s="121"/>
      <c r="S149" s="121"/>
      <c r="T149" s="121"/>
      <c r="U149" s="121"/>
      <c r="V149" s="121"/>
      <c r="W149" s="121"/>
      <c r="X149" s="121"/>
      <c r="Y149" s="121"/>
      <c r="Z149" s="121"/>
      <c r="AA149" s="121"/>
      <c r="AB149" s="121"/>
      <c r="AC149" s="121"/>
      <c r="AD149" s="121"/>
      <c r="AE149" s="121"/>
      <c r="AF149" s="121"/>
      <c r="AG149" s="145"/>
      <c r="AH149" s="46">
        <f t="shared" si="75"/>
        <v>117.6</v>
      </c>
      <c r="AI149" s="47">
        <f t="shared" si="76"/>
        <v>90.1</v>
      </c>
      <c r="AL149" s="157"/>
      <c r="AM149" s="158"/>
      <c r="AN149" s="159"/>
      <c r="AO149" s="159"/>
    </row>
    <row r="150" spans="1:41" ht="15.75" thickBot="1" x14ac:dyDescent="0.3">
      <c r="A150" s="146" t="s">
        <v>184</v>
      </c>
      <c r="B150" s="143">
        <v>8.6</v>
      </c>
      <c r="C150" s="143">
        <v>8.6</v>
      </c>
      <c r="D150" s="143">
        <v>9.9</v>
      </c>
      <c r="E150" s="143">
        <v>9.9</v>
      </c>
      <c r="F150" s="143">
        <v>9.9</v>
      </c>
      <c r="G150" s="121">
        <v>19.7</v>
      </c>
      <c r="H150" s="121">
        <v>19.7</v>
      </c>
      <c r="I150" s="121">
        <v>19.7</v>
      </c>
      <c r="J150" s="121">
        <v>17.3</v>
      </c>
      <c r="K150" s="121">
        <v>17.3</v>
      </c>
      <c r="L150" s="121">
        <v>17.3</v>
      </c>
      <c r="M150" s="121">
        <v>17.3</v>
      </c>
      <c r="N150" s="121">
        <v>17.3</v>
      </c>
      <c r="O150" s="121">
        <v>17.3</v>
      </c>
      <c r="P150" s="121">
        <v>17.3</v>
      </c>
      <c r="Q150" s="121"/>
      <c r="R150" s="121"/>
      <c r="S150" s="121"/>
      <c r="T150" s="121"/>
      <c r="U150" s="121"/>
      <c r="V150" s="121"/>
      <c r="W150" s="121"/>
      <c r="X150" s="121"/>
      <c r="Y150" s="121"/>
      <c r="Z150" s="121"/>
      <c r="AA150" s="121"/>
      <c r="AB150" s="121"/>
      <c r="AC150" s="121"/>
      <c r="AD150" s="121"/>
      <c r="AE150" s="121"/>
      <c r="AF150" s="121"/>
      <c r="AG150" s="145"/>
      <c r="AH150" s="46">
        <f t="shared" si="75"/>
        <v>19.7</v>
      </c>
      <c r="AI150" s="47">
        <f t="shared" si="76"/>
        <v>8.6</v>
      </c>
      <c r="AL150" s="125" t="s">
        <v>185</v>
      </c>
      <c r="AM150" s="126" t="s">
        <v>157</v>
      </c>
      <c r="AN150" s="127">
        <v>1</v>
      </c>
      <c r="AO150" s="128" t="s">
        <v>158</v>
      </c>
    </row>
    <row r="151" spans="1:41" ht="15.75" thickBot="1" x14ac:dyDescent="0.3">
      <c r="A151" s="160" t="s">
        <v>186</v>
      </c>
      <c r="B151" s="143">
        <v>2.6</v>
      </c>
      <c r="C151" s="143">
        <v>2.6</v>
      </c>
      <c r="D151" s="143">
        <v>11.9</v>
      </c>
      <c r="E151" s="143">
        <v>11.9</v>
      </c>
      <c r="F151" s="143">
        <v>11.9</v>
      </c>
      <c r="G151" s="121">
        <v>11.4</v>
      </c>
      <c r="H151" s="121">
        <v>11.4</v>
      </c>
      <c r="I151" s="121">
        <v>11.4</v>
      </c>
      <c r="J151" s="121">
        <v>3.9</v>
      </c>
      <c r="K151" s="121">
        <v>3.9</v>
      </c>
      <c r="L151" s="121">
        <v>3.9</v>
      </c>
      <c r="M151" s="121">
        <v>3.9</v>
      </c>
      <c r="N151" s="121">
        <v>3.9</v>
      </c>
      <c r="O151" s="121">
        <v>3.9</v>
      </c>
      <c r="P151" s="121">
        <v>3.9</v>
      </c>
      <c r="Q151" s="121"/>
      <c r="R151" s="121"/>
      <c r="S151" s="121"/>
      <c r="T151" s="121"/>
      <c r="U151" s="121"/>
      <c r="V151" s="121"/>
      <c r="W151" s="121"/>
      <c r="X151" s="121"/>
      <c r="Y151" s="121"/>
      <c r="Z151" s="121"/>
      <c r="AA151" s="121"/>
      <c r="AB151" s="121"/>
      <c r="AC151" s="121"/>
      <c r="AD151" s="121"/>
      <c r="AE151" s="121"/>
      <c r="AF151" s="121"/>
      <c r="AG151" s="145"/>
      <c r="AH151" s="46">
        <f t="shared" si="75"/>
        <v>11.9</v>
      </c>
      <c r="AI151" s="47">
        <f t="shared" si="76"/>
        <v>2.6</v>
      </c>
      <c r="AL151" s="131" t="s">
        <v>187</v>
      </c>
      <c r="AM151" s="132">
        <v>38</v>
      </c>
      <c r="AN151" s="161">
        <f>AN$150*AM151</f>
        <v>38</v>
      </c>
      <c r="AO151" s="134">
        <f>AM151-AN151</f>
        <v>0</v>
      </c>
    </row>
    <row r="152" spans="1:41" ht="15.75" thickBot="1" x14ac:dyDescent="0.3">
      <c r="A152" s="162" t="s">
        <v>188</v>
      </c>
      <c r="B152" s="163"/>
      <c r="C152" s="163"/>
      <c r="D152" s="163"/>
      <c r="E152" s="163"/>
      <c r="F152" s="163"/>
      <c r="G152" s="164"/>
      <c r="H152" s="164"/>
      <c r="I152" s="164"/>
      <c r="J152" s="164"/>
      <c r="K152" s="164"/>
      <c r="L152" s="164"/>
      <c r="M152" s="164"/>
      <c r="N152" s="164"/>
      <c r="O152" s="164"/>
      <c r="P152" s="164"/>
      <c r="Q152" s="164"/>
      <c r="R152" s="164"/>
      <c r="S152" s="164"/>
      <c r="T152" s="164"/>
      <c r="U152" s="164"/>
      <c r="V152" s="164"/>
      <c r="W152" s="164"/>
      <c r="X152" s="164"/>
      <c r="Y152" s="164"/>
      <c r="Z152" s="164"/>
      <c r="AA152" s="164"/>
      <c r="AB152" s="164"/>
      <c r="AC152" s="164"/>
      <c r="AD152" s="164"/>
      <c r="AE152" s="164"/>
      <c r="AF152" s="165"/>
      <c r="AG152" s="51"/>
      <c r="AH152" s="46">
        <f t="shared" si="75"/>
        <v>0</v>
      </c>
      <c r="AI152" s="47">
        <f t="shared" si="76"/>
        <v>0</v>
      </c>
      <c r="AL152" s="138" t="s">
        <v>189</v>
      </c>
      <c r="AM152" s="139">
        <v>71</v>
      </c>
      <c r="AN152" s="166">
        <f>AN$150*AM152</f>
        <v>71</v>
      </c>
      <c r="AO152" s="141">
        <f>AM152-AN152</f>
        <v>0</v>
      </c>
    </row>
    <row r="153" spans="1:41" ht="24.75" customHeight="1" x14ac:dyDescent="0.25">
      <c r="A153" s="167" t="str">
        <f t="array" aca="1" ref="A153" ca="1">"UTK (1986.6, 1982.5, "&amp;$AK$153&amp;" m3/s"&amp;IF(INDEX(153:153,MATCH(HOUR(NOW()),HOUR(9:9),0))&lt;1900,", Missing Level Data)",IF(((INDEX(72:72,MATCH(HOUR(NOW()),HOUR(9:9),0))/6.96)-$AK$153)&lt;=0,", Fill Time: "&amp;ROUND((818945-(11607*(INDEX(153:153,MATCH(HOUR(NOW()),HOUR(9:9),0))-1982.5)^2+152154*(INDEX(153:153,MATCH(HOUR(NOW()),HOUR(9:9),0))-1982.5)))/(($AK$153-(INDEX(72:72,MATCH(HOUR(NOW()),HOUR(9:9),0))/6.96))*3600),2),", Drain Time: "&amp;ROUND(((11607*(INDEX(153:153,MATCH(HOUR(NOW()),HOUR(9:9),0))-1982.5)^2+152154*(INDEX(153:153,MATCH(HOUR(NOW()),HOUR(9:9),0))-1982.5)))/(((INDEX(72:72,MATCH(HOUR(NOW()),HOUR(9:9),0))/6.96)-$AK$153)*3600),2))&amp;" Hrs)")</f>
        <v>UTK (1986.6, 1982.5,  m3/s, Missing Level Data)</v>
      </c>
      <c r="B153" s="168"/>
      <c r="C153" s="168"/>
      <c r="D153" s="168"/>
      <c r="E153" s="168"/>
      <c r="F153" s="168"/>
      <c r="G153" s="168"/>
      <c r="H153" s="168"/>
      <c r="I153" s="168"/>
      <c r="J153" s="168"/>
      <c r="K153" s="168"/>
      <c r="L153" s="168"/>
      <c r="M153" s="168"/>
      <c r="N153" s="168"/>
      <c r="O153" s="168"/>
      <c r="P153" s="168"/>
      <c r="Q153" s="168"/>
      <c r="R153" s="168"/>
      <c r="S153" s="168"/>
      <c r="T153" s="168"/>
      <c r="U153" s="168"/>
      <c r="V153" s="168"/>
      <c r="W153" s="168"/>
      <c r="X153" s="168"/>
      <c r="Y153" s="168"/>
      <c r="Z153" s="168"/>
      <c r="AA153" s="168"/>
      <c r="AB153" s="168"/>
      <c r="AC153" s="168"/>
      <c r="AD153" s="168"/>
      <c r="AE153" s="168"/>
      <c r="AF153" s="169"/>
      <c r="AG153" s="170"/>
      <c r="AH153" s="46">
        <f t="shared" si="75"/>
        <v>0</v>
      </c>
      <c r="AI153" s="47">
        <f t="shared" si="76"/>
        <v>0</v>
      </c>
      <c r="AK153" s="171"/>
      <c r="AL153" s="138" t="s">
        <v>190</v>
      </c>
      <c r="AM153" s="139">
        <v>42</v>
      </c>
      <c r="AN153" s="166">
        <f>AN$150*AM153</f>
        <v>42</v>
      </c>
      <c r="AO153" s="141">
        <f>AM153-AN153</f>
        <v>0</v>
      </c>
    </row>
    <row r="154" spans="1:41" x14ac:dyDescent="0.25">
      <c r="A154" s="146" t="s">
        <v>191</v>
      </c>
      <c r="B154" s="172"/>
      <c r="C154" s="172"/>
      <c r="D154" s="172"/>
      <c r="E154" s="172"/>
      <c r="F154" s="172"/>
      <c r="G154" s="173"/>
      <c r="H154" s="173"/>
      <c r="I154" s="173"/>
      <c r="J154" s="173"/>
      <c r="K154" s="173"/>
      <c r="L154" s="173"/>
      <c r="M154" s="173"/>
      <c r="N154" s="173"/>
      <c r="O154" s="173"/>
      <c r="P154" s="173"/>
      <c r="Q154" s="173"/>
      <c r="R154" s="173"/>
      <c r="S154" s="173"/>
      <c r="T154" s="173"/>
      <c r="U154" s="173"/>
      <c r="V154" s="173"/>
      <c r="W154" s="173"/>
      <c r="X154" s="173"/>
      <c r="Y154" s="173"/>
      <c r="Z154" s="173"/>
      <c r="AA154" s="173"/>
      <c r="AB154" s="173"/>
      <c r="AC154" s="173"/>
      <c r="AD154" s="173"/>
      <c r="AE154" s="173"/>
      <c r="AF154" s="174"/>
      <c r="AG154" s="170"/>
      <c r="AH154" s="46">
        <f t="shared" si="75"/>
        <v>0</v>
      </c>
      <c r="AI154" s="47">
        <f t="shared" si="76"/>
        <v>0</v>
      </c>
      <c r="AK154" s="171"/>
      <c r="AL154" s="138" t="s">
        <v>192</v>
      </c>
      <c r="AM154" s="139">
        <v>14.8</v>
      </c>
      <c r="AN154" s="166">
        <f>AN$150*AM154</f>
        <v>14.8</v>
      </c>
      <c r="AO154" s="141">
        <f>AM154-AN154</f>
        <v>0</v>
      </c>
    </row>
    <row r="155" spans="1:41" ht="15.75" thickBot="1" x14ac:dyDescent="0.3">
      <c r="A155" s="146" t="s">
        <v>193</v>
      </c>
      <c r="B155" s="172"/>
      <c r="C155" s="172"/>
      <c r="D155" s="172"/>
      <c r="E155" s="172"/>
      <c r="F155" s="172"/>
      <c r="G155" s="173"/>
      <c r="H155" s="173"/>
      <c r="I155" s="173"/>
      <c r="J155" s="173"/>
      <c r="K155" s="173"/>
      <c r="L155" s="173"/>
      <c r="M155" s="173"/>
      <c r="N155" s="173"/>
      <c r="O155" s="173"/>
      <c r="P155" s="173"/>
      <c r="Q155" s="173"/>
      <c r="R155" s="173"/>
      <c r="S155" s="173"/>
      <c r="T155" s="173"/>
      <c r="U155" s="173"/>
      <c r="V155" s="173"/>
      <c r="W155" s="173"/>
      <c r="X155" s="173"/>
      <c r="Y155" s="173"/>
      <c r="Z155" s="173"/>
      <c r="AA155" s="173"/>
      <c r="AB155" s="173"/>
      <c r="AC155" s="173"/>
      <c r="AD155" s="173"/>
      <c r="AE155" s="173"/>
      <c r="AF155" s="174"/>
      <c r="AG155" s="170"/>
      <c r="AH155" s="46">
        <f t="shared" si="75"/>
        <v>0</v>
      </c>
      <c r="AI155" s="47">
        <f t="shared" si="76"/>
        <v>0</v>
      </c>
      <c r="AK155" s="171"/>
      <c r="AL155" s="148" t="s">
        <v>168</v>
      </c>
      <c r="AM155" s="149">
        <f>SUM(AM150:AM154)</f>
        <v>165.8</v>
      </c>
      <c r="AN155" s="175">
        <f>AN154*AM155</f>
        <v>2453.84</v>
      </c>
      <c r="AO155" s="150">
        <f>SUM(AO151:AO154)</f>
        <v>0</v>
      </c>
    </row>
    <row r="156" spans="1:41" x14ac:dyDescent="0.25">
      <c r="A156" s="146" t="s">
        <v>194</v>
      </c>
      <c r="B156" s="172"/>
      <c r="C156" s="172"/>
      <c r="D156" s="172"/>
      <c r="E156" s="172"/>
      <c r="F156" s="172"/>
      <c r="G156" s="173"/>
      <c r="H156" s="173"/>
      <c r="I156" s="173"/>
      <c r="J156" s="173"/>
      <c r="K156" s="173"/>
      <c r="L156" s="173"/>
      <c r="M156" s="173"/>
      <c r="N156" s="173"/>
      <c r="O156" s="173"/>
      <c r="P156" s="173"/>
      <c r="Q156" s="173"/>
      <c r="R156" s="173"/>
      <c r="S156" s="173"/>
      <c r="T156" s="173"/>
      <c r="U156" s="173"/>
      <c r="V156" s="173"/>
      <c r="W156" s="173"/>
      <c r="X156" s="173"/>
      <c r="Y156" s="173"/>
      <c r="Z156" s="173"/>
      <c r="AA156" s="173"/>
      <c r="AB156" s="173"/>
      <c r="AC156" s="173"/>
      <c r="AD156" s="173"/>
      <c r="AE156" s="173"/>
      <c r="AF156" s="174"/>
      <c r="AG156" s="170"/>
      <c r="AH156" s="46">
        <f t="shared" si="75"/>
        <v>0</v>
      </c>
      <c r="AI156" s="47">
        <f t="shared" si="76"/>
        <v>0</v>
      </c>
      <c r="AK156" s="171"/>
      <c r="AM156" s="51"/>
      <c r="AN156" s="51"/>
      <c r="AO156" s="176"/>
    </row>
    <row r="157" spans="1:41" ht="15.75" thickBot="1" x14ac:dyDescent="0.3">
      <c r="A157" s="146" t="s">
        <v>195</v>
      </c>
      <c r="B157" s="172"/>
      <c r="C157" s="172"/>
      <c r="D157" s="172"/>
      <c r="E157" s="172"/>
      <c r="F157" s="172"/>
      <c r="G157" s="173"/>
      <c r="H157" s="173"/>
      <c r="I157" s="173"/>
      <c r="J157" s="173"/>
      <c r="K157" s="173"/>
      <c r="L157" s="173"/>
      <c r="M157" s="173"/>
      <c r="N157" s="173"/>
      <c r="O157" s="173"/>
      <c r="P157" s="173"/>
      <c r="Q157" s="173"/>
      <c r="R157" s="173"/>
      <c r="S157" s="173"/>
      <c r="T157" s="173"/>
      <c r="U157" s="173"/>
      <c r="V157" s="173"/>
      <c r="W157" s="173"/>
      <c r="X157" s="173"/>
      <c r="Y157" s="173"/>
      <c r="Z157" s="173"/>
      <c r="AA157" s="173"/>
      <c r="AB157" s="173"/>
      <c r="AC157" s="173"/>
      <c r="AD157" s="173"/>
      <c r="AE157" s="173"/>
      <c r="AF157" s="174"/>
      <c r="AG157" s="170"/>
      <c r="AH157" s="46">
        <f t="shared" si="75"/>
        <v>0</v>
      </c>
      <c r="AI157" s="47">
        <f t="shared" si="76"/>
        <v>0</v>
      </c>
      <c r="AK157" s="171"/>
      <c r="AL157" s="177"/>
      <c r="AM157" s="51"/>
      <c r="AN157" s="51"/>
      <c r="AO157" s="51"/>
    </row>
    <row r="158" spans="1:41" ht="15.75" thickBot="1" x14ac:dyDescent="0.3">
      <c r="A158" s="178" t="str">
        <f t="array" aca="1" ref="A158" ca="1">"KL-1 (1530, 1484, "&amp;$AK$158&amp;" m3/s"&amp;IF(INDEX(158:158,MATCH(HOUR(NOW()),HOUR(9:9),0))&lt;1480,", Missing Level Data)",IF(((INDEX(93:93,MATCH(HOUR(NOW()),HOUR(9:9),0))/4.96)-$AK$158)&lt;=0,", Fill Time: "&amp;ROUND((73140000-(15000*(INDEX(158:158,MATCH(HOUR(NOW()),HOUR(9:9),0))-1484)^2+900000*(INDEX(158:158,MATCH(HOUR(NOW()),HOUR(9:9),0))-1484)))/(($AK$158-(INDEX(93:93,MATCH(HOUR(NOW()),HOUR(9:9),0))/4.96))*3600),2),", Drain Time: "&amp;ROUND(((15000*(INDEX(158:158,MATCH(HOUR(NOW()),HOUR(9:9),0))-1484)^2+900000*(INDEX(158:158,MATCH(HOUR(NOW()),HOUR(9:9),0))-1484)))/(((INDEX(93:93,MATCH(HOUR(NOW()),HOUR(9:9),0))/4.96)-$AK$158)*3600),2))&amp;" Hrs)")</f>
        <v>KL-1 (1530, 1484,  m3/s, Missing Level Data)</v>
      </c>
      <c r="B158" s="179"/>
      <c r="C158" s="179"/>
      <c r="D158" s="179"/>
      <c r="E158" s="179"/>
      <c r="F158" s="179"/>
      <c r="G158" s="180"/>
      <c r="H158" s="180"/>
      <c r="I158" s="180"/>
      <c r="J158" s="180"/>
      <c r="K158" s="180"/>
      <c r="L158" s="180"/>
      <c r="M158" s="180"/>
      <c r="N158" s="180"/>
      <c r="O158" s="180"/>
      <c r="P158" s="180"/>
      <c r="Q158" s="180"/>
      <c r="R158" s="180"/>
      <c r="S158" s="180"/>
      <c r="T158" s="180"/>
      <c r="U158" s="180"/>
      <c r="V158" s="180"/>
      <c r="W158" s="180"/>
      <c r="X158" s="180"/>
      <c r="Y158" s="180"/>
      <c r="Z158" s="180"/>
      <c r="AA158" s="180"/>
      <c r="AB158" s="180"/>
      <c r="AC158" s="180"/>
      <c r="AD158" s="180"/>
      <c r="AE158" s="180"/>
      <c r="AF158" s="181"/>
      <c r="AG158" s="182"/>
      <c r="AH158" s="46">
        <f t="shared" si="75"/>
        <v>0</v>
      </c>
      <c r="AI158" s="47">
        <f t="shared" si="76"/>
        <v>0</v>
      </c>
      <c r="AK158" s="171"/>
      <c r="AL158" s="125" t="s">
        <v>196</v>
      </c>
      <c r="AM158" s="126" t="s">
        <v>157</v>
      </c>
      <c r="AN158" s="183">
        <v>1</v>
      </c>
      <c r="AO158" s="128" t="s">
        <v>158</v>
      </c>
    </row>
    <row r="159" spans="1:41" x14ac:dyDescent="0.25">
      <c r="A159" s="184" t="s">
        <v>197</v>
      </c>
      <c r="B159" s="179">
        <f>(SUMPRODUCT((B11:B68&lt;&gt;0)*(B11:B68&lt;$AG$11:$AG$68)*($AG$11:$AG$68-B11:B68)))*0.8</f>
        <v>233.39199999999997</v>
      </c>
      <c r="C159" s="179">
        <f t="shared" ref="C159:D159" si="77">(SUMPRODUCT((C11:C68&lt;&gt;0)*(C11:C68&lt;$AG$11:$AG$68)*($AG$11:$AG$68-C11:C68)))*0.8</f>
        <v>233.39199999999997</v>
      </c>
      <c r="D159" s="179">
        <f t="shared" si="77"/>
        <v>261.63199999999995</v>
      </c>
      <c r="E159" s="179">
        <f t="shared" ref="E159:F159" si="78">(SUMPRODUCT((E11:E68&lt;&gt;0)*(E11:E68&lt;$AG$11:$AG$68)*($AG$11:$AG$68-E11:E68)))*0.8</f>
        <v>261.63199999999995</v>
      </c>
      <c r="F159" s="179">
        <f t="shared" si="78"/>
        <v>319.66399999999999</v>
      </c>
      <c r="G159" s="179">
        <f t="shared" ref="G159:AF159" si="79">(SUMPRODUCT((G11:G68&lt;&gt;0)*(G11:G68&lt;$AG$11:$AG$68)*($AG$11:$AG$68-G11:G68)))*0.8</f>
        <v>331.34400000000005</v>
      </c>
      <c r="H159" s="179">
        <f t="shared" si="79"/>
        <v>353.34399999999994</v>
      </c>
      <c r="I159" s="179">
        <f t="shared" si="79"/>
        <v>353.34399999999994</v>
      </c>
      <c r="J159" s="179">
        <f t="shared" si="79"/>
        <v>353.34399999999994</v>
      </c>
      <c r="K159" s="179">
        <f t="shared" si="79"/>
        <v>353.34399999999994</v>
      </c>
      <c r="L159" s="179">
        <f t="shared" si="79"/>
        <v>353.34399999999994</v>
      </c>
      <c r="M159" s="179">
        <f t="shared" si="79"/>
        <v>391.9559999999999</v>
      </c>
      <c r="N159" s="179">
        <f t="shared" si="79"/>
        <v>391.9559999999999</v>
      </c>
      <c r="O159" s="179">
        <f t="shared" si="79"/>
        <v>391.9559999999999</v>
      </c>
      <c r="P159" s="179">
        <f t="shared" si="79"/>
        <v>327.45199999999994</v>
      </c>
      <c r="Q159" s="179">
        <f t="shared" si="79"/>
        <v>0</v>
      </c>
      <c r="R159" s="179">
        <f t="shared" si="79"/>
        <v>0</v>
      </c>
      <c r="S159" s="179">
        <f t="shared" si="79"/>
        <v>0</v>
      </c>
      <c r="T159" s="179">
        <f t="shared" si="79"/>
        <v>0</v>
      </c>
      <c r="U159" s="179">
        <f t="shared" si="79"/>
        <v>0</v>
      </c>
      <c r="V159" s="179">
        <f t="shared" si="79"/>
        <v>0</v>
      </c>
      <c r="W159" s="179">
        <f t="shared" si="79"/>
        <v>0</v>
      </c>
      <c r="X159" s="179">
        <f t="shared" si="79"/>
        <v>0</v>
      </c>
      <c r="Y159" s="179">
        <f t="shared" si="79"/>
        <v>0</v>
      </c>
      <c r="Z159" s="179">
        <f t="shared" si="79"/>
        <v>0</v>
      </c>
      <c r="AA159" s="179">
        <f t="shared" si="79"/>
        <v>0</v>
      </c>
      <c r="AB159" s="179">
        <f t="shared" si="79"/>
        <v>0</v>
      </c>
      <c r="AC159" s="179">
        <f t="shared" si="79"/>
        <v>0</v>
      </c>
      <c r="AD159" s="179">
        <f t="shared" si="79"/>
        <v>0</v>
      </c>
      <c r="AE159" s="179">
        <f t="shared" si="79"/>
        <v>0</v>
      </c>
      <c r="AF159" s="179">
        <f t="shared" si="79"/>
        <v>0</v>
      </c>
      <c r="AG159" s="182"/>
      <c r="AH159" s="46"/>
      <c r="AI159" s="47"/>
      <c r="AK159" s="171"/>
      <c r="AL159" s="131" t="s">
        <v>198</v>
      </c>
      <c r="AM159" s="132">
        <v>77</v>
      </c>
      <c r="AN159" s="132">
        <f>AN$158*AM159</f>
        <v>77</v>
      </c>
      <c r="AO159" s="134">
        <f t="shared" ref="AO159:AO167" si="80">AM159-AN159</f>
        <v>0</v>
      </c>
    </row>
    <row r="160" spans="1:41" x14ac:dyDescent="0.25">
      <c r="A160" s="185" t="s">
        <v>199</v>
      </c>
      <c r="B160" s="173">
        <f t="array" ref="B160">SUM(IF(($A$11:$A$68&lt;&gt;"")*(B11:B68&lt;&gt;""),IF(IFERROR(VALUE(TRIM(RIGHT(SUBSTITUTE(SUBSTITUTE($A$11:$A$68,")",""),"(",REPT(" ",100)),100))),0)-IFERROR(B11:B68,0)&gt;0,IFERROR(VALUE(TRIM(RIGHT(SUBSTITUTE(SUBSTITUTE($A$11:$A$68,")",""),"(",REPT(" ",100)),100))),0)-IFERROR(B11:B68,0),0),0))+SUM(IF(($A$72:$A$77&lt;&gt;"")*(B72:B77&lt;&gt;""),IF(IFERROR(VALUE(TRIM(RIGHT(SUBSTITUTE(SUBSTITUTE($A$72:$A$77,")",""),"(",REPT(" ",100)),100))),0)-IFERROR(B72:B77,0)&gt;0,IFERROR(VALUE(TRIM(RIGHT(SUBSTITUTE(SUBSTITUTE($A$72:$A$77,")",""),"(",REPT(" ",100)),100))),0)-IFERROR(B72:B77,0),0),0))+SUM(IF(($A$79:$A$90&lt;&gt;"")*(B79:B90&lt;&gt;""),IF(IFERROR(VALUE(TRIM(RIGHT(SUBSTITUTE(SUBSTITUTE($A$79:$A$90,")",""),"(",REPT(" ",100)),100))),0)-IFERROR(B79:B90,0)&gt;0,IFERROR(VALUE(TRIM(RIGHT(SUBSTITUTE(SUBSTITUTE($A$79:$A$90,")",""),"(",REPT(" ",100)),100))),0)-IFERROR(B79:B90,0),0),0))+SUM(IF(($A$93:$A$95&lt;&gt;"")*(B93:B95&lt;&gt;""),IF(IFERROR(VALUE(TRIM(RIGHT(SUBSTITUTE(SUBSTITUTE($A$93:$A$95,")",""),"(",REPT(" ",100)),100))),0)-IFERROR(B93:B95,0)&gt;0,IFERROR(VALUE(TRIM(RIGHT(SUBSTITUTE(SUBSTITUTE($A$93:$A$95,")",""),"(",REPT(" ",100)),100))),0)-IFERROR(B93:B95,0),0),0))</f>
        <v>782.79500000000007</v>
      </c>
      <c r="C160" s="173">
        <f t="array" ref="C160">SUM(IF(($A$11:$A$68&lt;&gt;"")*(C11:C68&lt;&gt;""),IF(IFERROR(VALUE(TRIM(RIGHT(SUBSTITUTE(SUBSTITUTE($A$11:$A$68,")",""),"(",REPT(" ",100)),100))),0)-IFERROR(C11:C68,0)&gt;0,IFERROR(VALUE(TRIM(RIGHT(SUBSTITUTE(SUBSTITUTE($A$11:$A$68,")",""),"(",REPT(" ",100)),100))),0)-IFERROR(C11:C68,0),0),0))+SUM(IF(($A$72:$A$77&lt;&gt;"")*(C72:C77&lt;&gt;""),IF(IFERROR(VALUE(TRIM(RIGHT(SUBSTITUTE(SUBSTITUTE($A$72:$A$77,")",""),"(",REPT(" ",100)),100))),0)-IFERROR(C72:C77,0)&gt;0,IFERROR(VALUE(TRIM(RIGHT(SUBSTITUTE(SUBSTITUTE($A$72:$A$77,")",""),"(",REPT(" ",100)),100))),0)-IFERROR(C72:C77,0),0),0))+SUM(IF(($A$79:$A$90&lt;&gt;"")*(C79:C90&lt;&gt;""),IF(IFERROR(VALUE(TRIM(RIGHT(SUBSTITUTE(SUBSTITUTE($A$79:$A$90,")",""),"(",REPT(" ",100)),100))),0)-IFERROR(C79:C90,0)&gt;0,IFERROR(VALUE(TRIM(RIGHT(SUBSTITUTE(SUBSTITUTE($A$79:$A$90,")",""),"(",REPT(" ",100)),100))),0)-IFERROR(C79:C90,0),0),0))+SUM(IF(($A$93:$A$95&lt;&gt;"")*(C93:C95&lt;&gt;""),IF(IFERROR(VALUE(TRIM(RIGHT(SUBSTITUTE(SUBSTITUTE($A$93:$A$95,")",""),"(",REPT(" ",100)),100))),0)-IFERROR(C93:C95,0)&gt;0,IFERROR(VALUE(TRIM(RIGHT(SUBSTITUTE(SUBSTITUTE($A$93:$A$95,")",""),"(",REPT(" ",100)),100))),0)-IFERROR(C93:C95,0),0),0))</f>
        <v>782.79500000000007</v>
      </c>
      <c r="D160" s="173">
        <f t="array" ref="D160">SUM(IF(($A$11:$A$68&lt;&gt;"")*(D11:D68&lt;&gt;""),IF(IFERROR(VALUE(TRIM(RIGHT(SUBSTITUTE(SUBSTITUTE($A$11:$A$68,")",""),"(",REPT(" ",100)),100))),0)-IFERROR(D11:D68,0)&gt;0,IFERROR(VALUE(TRIM(RIGHT(SUBSTITUTE(SUBSTITUTE($A$11:$A$68,")",""),"(",REPT(" ",100)),100))),0)-IFERROR(D11:D68,0),0),0))+SUM(IF(($A$72:$A$77&lt;&gt;"")*(D72:D77&lt;&gt;""),IF(IFERROR(VALUE(TRIM(RIGHT(SUBSTITUTE(SUBSTITUTE($A$72:$A$77,")",""),"(",REPT(" ",100)),100))),0)-IFERROR(D72:D77,0)&gt;0,IFERROR(VALUE(TRIM(RIGHT(SUBSTITUTE(SUBSTITUTE($A$72:$A$77,")",""),"(",REPT(" ",100)),100))),0)-IFERROR(D72:D77,0),0),0))+SUM(IF(($A$79:$A$90&lt;&gt;"")*(D79:D90&lt;&gt;""),IF(IFERROR(VALUE(TRIM(RIGHT(SUBSTITUTE(SUBSTITUTE($A$79:$A$90,")",""),"(",REPT(" ",100)),100))),0)-IFERROR(D79:D90,0)&gt;0,IFERROR(VALUE(TRIM(RIGHT(SUBSTITUTE(SUBSTITUTE($A$79:$A$90,")",""),"(",REPT(" ",100)),100))),0)-IFERROR(D79:D90,0),0),0))+SUM(IF(($A$93:$A$95&lt;&gt;"")*(D93:D95&lt;&gt;""),IF(IFERROR(VALUE(TRIM(RIGHT(SUBSTITUTE(SUBSTITUTE($A$93:$A$95,")",""),"(",REPT(" ",100)),100))),0)-IFERROR(D93:D95,0)&gt;0,IFERROR(VALUE(TRIM(RIGHT(SUBSTITUTE(SUBSTITUTE($A$93:$A$95,")",""),"(",REPT(" ",100)),100))),0)-IFERROR(D93:D95,0),0),0))</f>
        <v>1193.4950000000001</v>
      </c>
      <c r="E160" s="173">
        <f t="array" ref="E160">SUM(IF(($A$11:$A$68&lt;&gt;"")*(E11:E68&lt;&gt;""),IF(IFERROR(VALUE(TRIM(RIGHT(SUBSTITUTE(SUBSTITUTE($A$11:$A$68,")",""),"(",REPT(" ",100)),100))),0)-IFERROR(E11:E68,0)&gt;0,IFERROR(VALUE(TRIM(RIGHT(SUBSTITUTE(SUBSTITUTE($A$11:$A$68,")",""),"(",REPT(" ",100)),100))),0)-IFERROR(E11:E68,0),0),0))+SUM(IF(($A$72:$A$77&lt;&gt;"")*(E72:E77&lt;&gt;""),IF(IFERROR(VALUE(TRIM(RIGHT(SUBSTITUTE(SUBSTITUTE($A$72:$A$77,")",""),"(",REPT(" ",100)),100))),0)-IFERROR(E72:E77,0)&gt;0,IFERROR(VALUE(TRIM(RIGHT(SUBSTITUTE(SUBSTITUTE($A$72:$A$77,")",""),"(",REPT(" ",100)),100))),0)-IFERROR(E72:E77,0),0),0))+SUM(IF(($A$79:$A$90&lt;&gt;"")*(E79:E90&lt;&gt;""),IF(IFERROR(VALUE(TRIM(RIGHT(SUBSTITUTE(SUBSTITUTE($A$79:$A$90,")",""),"(",REPT(" ",100)),100))),0)-IFERROR(E79:E90,0)&gt;0,IFERROR(VALUE(TRIM(RIGHT(SUBSTITUTE(SUBSTITUTE($A$79:$A$90,")",""),"(",REPT(" ",100)),100))),0)-IFERROR(E79:E90,0),0),0))+SUM(IF(($A$93:$A$95&lt;&gt;"")*(E93:E95&lt;&gt;""),IF(IFERROR(VALUE(TRIM(RIGHT(SUBSTITUTE(SUBSTITUTE($A$93:$A$95,")",""),"(",REPT(" ",100)),100))),0)-IFERROR(E93:E95,0)&gt;0,IFERROR(VALUE(TRIM(RIGHT(SUBSTITUTE(SUBSTITUTE($A$93:$A$95,")",""),"(",REPT(" ",100)),100))),0)-IFERROR(E93:E95,0),0),0))</f>
        <v>1169.4950000000001</v>
      </c>
      <c r="F160" s="173">
        <f t="array" ref="F160">SUM(IF(($A$11:$A$68&lt;&gt;"")*(F11:F68&lt;&gt;""),IF(IFERROR(VALUE(TRIM(RIGHT(SUBSTITUTE(SUBSTITUTE($A$11:$A$68,")",""),"(",REPT(" ",100)),100))),0)-IFERROR(F11:F68,0)&gt;0,IFERROR(VALUE(TRIM(RIGHT(SUBSTITUTE(SUBSTITUTE($A$11:$A$68,")",""),"(",REPT(" ",100)),100))),0)-IFERROR(F11:F68,0),0),0))+SUM(IF(($A$72:$A$77&lt;&gt;"")*(F72:F77&lt;&gt;""),IF(IFERROR(VALUE(TRIM(RIGHT(SUBSTITUTE(SUBSTITUTE($A$72:$A$77,")",""),"(",REPT(" ",100)),100))),0)-IFERROR(F72:F77,0)&gt;0,IFERROR(VALUE(TRIM(RIGHT(SUBSTITUTE(SUBSTITUTE($A$72:$A$77,")",""),"(",REPT(" ",100)),100))),0)-IFERROR(F72:F77,0),0),0))+SUM(IF(($A$79:$A$90&lt;&gt;"")*(F79:F90&lt;&gt;""),IF(IFERROR(VALUE(TRIM(RIGHT(SUBSTITUTE(SUBSTITUTE($A$79:$A$90,")",""),"(",REPT(" ",100)),100))),0)-IFERROR(F79:F90,0)&gt;0,IFERROR(VALUE(TRIM(RIGHT(SUBSTITUTE(SUBSTITUTE($A$79:$A$90,")",""),"(",REPT(" ",100)),100))),0)-IFERROR(F79:F90,0),0),0))+SUM(IF(($A$93:$A$95&lt;&gt;"")*(F93:F95&lt;&gt;""),IF(IFERROR(VALUE(TRIM(RIGHT(SUBSTITUTE(SUBSTITUTE($A$93:$A$95,")",""),"(",REPT(" ",100)),100))),0)-IFERROR(F93:F95,0)&gt;0,IFERROR(VALUE(TRIM(RIGHT(SUBSTITUTE(SUBSTITUTE($A$93:$A$95,")",""),"(",REPT(" ",100)),100))),0)-IFERROR(F93:F95,0),0),0))</f>
        <v>1122.9950000000003</v>
      </c>
      <c r="G160" s="173">
        <f t="array" ref="G160">SUM(IF(($A$11:$A$68&lt;&gt;"")*(G11:G68&lt;&gt;""),IF(IFERROR(VALUE(TRIM(RIGHT(SUBSTITUTE(SUBSTITUTE($A$11:$A$68,")",""),"(",REPT(" ",100)),100))),0)-IFERROR(G11:G68,0)&gt;0,IFERROR(VALUE(TRIM(RIGHT(SUBSTITUTE(SUBSTITUTE($A$11:$A$68,")",""),"(",REPT(" ",100)),100))),0)-IFERROR(G11:G68,0),0),0))+SUM(IF(($A$72:$A$77&lt;&gt;"")*(G72:G77&lt;&gt;""),IF(IFERROR(VALUE(TRIM(RIGHT(SUBSTITUTE(SUBSTITUTE($A$72:$A$77,")",""),"(",REPT(" ",100)),100))),0)-IFERROR(G72:G77,0)&gt;0,IFERROR(VALUE(TRIM(RIGHT(SUBSTITUTE(SUBSTITUTE($A$72:$A$77,")",""),"(",REPT(" ",100)),100))),0)-IFERROR(G72:G77,0),0),0))+SUM(IF(($A$79:$A$90&lt;&gt;"")*(G79:G90&lt;&gt;""),IF(IFERROR(VALUE(TRIM(RIGHT(SUBSTITUTE(SUBSTITUTE($A$79:$A$90,")",""),"(",REPT(" ",100)),100))),0)-IFERROR(G79:G90,0)&gt;0,IFERROR(VALUE(TRIM(RIGHT(SUBSTITUTE(SUBSTITUTE($A$79:$A$90,")",""),"(",REPT(" ",100)),100))),0)-IFERROR(G79:G90,0),0),0))+SUM(IF(($A$93:$A$95&lt;&gt;"")*(G93:G95&lt;&gt;""),IF(IFERROR(VALUE(TRIM(RIGHT(SUBSTITUTE(SUBSTITUTE($A$93:$A$95,")",""),"(",REPT(" ",100)),100))),0)-IFERROR(G93:G95,0)&gt;0,IFERROR(VALUE(TRIM(RIGHT(SUBSTITUTE(SUBSTITUTE($A$93:$A$95,")",""),"(",REPT(" ",100)),100))),0)-IFERROR(G93:G95,0),0),0))</f>
        <v>1148.7950000000003</v>
      </c>
      <c r="H160" s="173">
        <f t="array" ref="H160">SUM(IF(($A$11:$A$68&lt;&gt;"")*(H11:H68&lt;&gt;""),IF(IFERROR(VALUE(TRIM(RIGHT(SUBSTITUTE(SUBSTITUTE($A$11:$A$68,")",""),"(",REPT(" ",100)),100))),0)-IFERROR(H11:H68,0)&gt;0,IFERROR(VALUE(TRIM(RIGHT(SUBSTITUTE(SUBSTITUTE($A$11:$A$68,")",""),"(",REPT(" ",100)),100))),0)-IFERROR(H11:H68,0),0),0))+SUM(IF(($A$72:$A$77&lt;&gt;"")*(H72:H77&lt;&gt;""),IF(IFERROR(VALUE(TRIM(RIGHT(SUBSTITUTE(SUBSTITUTE($A$72:$A$77,")",""),"(",REPT(" ",100)),100))),0)-IFERROR(H72:H77,0)&gt;0,IFERROR(VALUE(TRIM(RIGHT(SUBSTITUTE(SUBSTITUTE($A$72:$A$77,")",""),"(",REPT(" ",100)),100))),0)-IFERROR(H72:H77,0),0),0))+SUM(IF(($A$79:$A$90&lt;&gt;"")*(H79:H90&lt;&gt;""),IF(IFERROR(VALUE(TRIM(RIGHT(SUBSTITUTE(SUBSTITUTE($A$79:$A$90,")",""),"(",REPT(" ",100)),100))),0)-IFERROR(H79:H90,0)&gt;0,IFERROR(VALUE(TRIM(RIGHT(SUBSTITUTE(SUBSTITUTE($A$79:$A$90,")",""),"(",REPT(" ",100)),100))),0)-IFERROR(H79:H90,0),0),0))+SUM(IF(($A$93:$A$95&lt;&gt;"")*(H93:H95&lt;&gt;""),IF(IFERROR(VALUE(TRIM(RIGHT(SUBSTITUTE(SUBSTITUTE($A$93:$A$95,")",""),"(",REPT(" ",100)),100))),0)-IFERROR(H93:H95,0)&gt;0,IFERROR(VALUE(TRIM(RIGHT(SUBSTITUTE(SUBSTITUTE($A$93:$A$95,")",""),"(",REPT(" ",100)),100))),0)-IFERROR(H93:H95,0),0),0))</f>
        <v>1146.2950000000003</v>
      </c>
      <c r="I160" s="173">
        <f t="array" ref="I160">SUM(IF(($A$11:$A$68&lt;&gt;"")*(I11:I68&lt;&gt;""),IF(IFERROR(VALUE(TRIM(RIGHT(SUBSTITUTE(SUBSTITUTE($A$11:$A$68,")",""),"(",REPT(" ",100)),100))),0)-IFERROR(I11:I68,0)&gt;0,IFERROR(VALUE(TRIM(RIGHT(SUBSTITUTE(SUBSTITUTE($A$11:$A$68,")",""),"(",REPT(" ",100)),100))),0)-IFERROR(I11:I68,0),0),0))+SUM(IF(($A$72:$A$77&lt;&gt;"")*(I72:I77&lt;&gt;""),IF(IFERROR(VALUE(TRIM(RIGHT(SUBSTITUTE(SUBSTITUTE($A$72:$A$77,")",""),"(",REPT(" ",100)),100))),0)-IFERROR(I72:I77,0)&gt;0,IFERROR(VALUE(TRIM(RIGHT(SUBSTITUTE(SUBSTITUTE($A$72:$A$77,")",""),"(",REPT(" ",100)),100))),0)-IFERROR(I72:I77,0),0),0))+SUM(IF(($A$79:$A$90&lt;&gt;"")*(I79:I90&lt;&gt;""),IF(IFERROR(VALUE(TRIM(RIGHT(SUBSTITUTE(SUBSTITUTE($A$79:$A$90,")",""),"(",REPT(" ",100)),100))),0)-IFERROR(I79:I90,0)&gt;0,IFERROR(VALUE(TRIM(RIGHT(SUBSTITUTE(SUBSTITUTE($A$79:$A$90,")",""),"(",REPT(" ",100)),100))),0)-IFERROR(I79:I90,0),0),0))+SUM(IF(($A$93:$A$95&lt;&gt;"")*(I93:I95&lt;&gt;""),IF(IFERROR(VALUE(TRIM(RIGHT(SUBSTITUTE(SUBSTITUTE($A$93:$A$95,")",""),"(",REPT(" ",100)),100))),0)-IFERROR(I93:I95,0)&gt;0,IFERROR(VALUE(TRIM(RIGHT(SUBSTITUTE(SUBSTITUTE($A$93:$A$95,")",""),"(",REPT(" ",100)),100))),0)-IFERROR(I93:I95,0),0),0))</f>
        <v>1146.2950000000003</v>
      </c>
      <c r="J160" s="173">
        <f t="array" ref="J160">SUM(IF(($A$11:$A$68&lt;&gt;"")*(J11:J68&lt;&gt;""),IF(IFERROR(VALUE(TRIM(RIGHT(SUBSTITUTE(SUBSTITUTE($A$11:$A$68,")",""),"(",REPT(" ",100)),100))),0)-IFERROR(J11:J68,0)&gt;0,IFERROR(VALUE(TRIM(RIGHT(SUBSTITUTE(SUBSTITUTE($A$11:$A$68,")",""),"(",REPT(" ",100)),100))),0)-IFERROR(J11:J68,0),0),0))+SUM(IF(($A$72:$A$77&lt;&gt;"")*(J72:J77&lt;&gt;""),IF(IFERROR(VALUE(TRIM(RIGHT(SUBSTITUTE(SUBSTITUTE($A$72:$A$77,")",""),"(",REPT(" ",100)),100))),0)-IFERROR(J72:J77,0)&gt;0,IFERROR(VALUE(TRIM(RIGHT(SUBSTITUTE(SUBSTITUTE($A$72:$A$77,")",""),"(",REPT(" ",100)),100))),0)-IFERROR(J72:J77,0),0),0))+SUM(IF(($A$79:$A$90&lt;&gt;"")*(J79:J90&lt;&gt;""),IF(IFERROR(VALUE(TRIM(RIGHT(SUBSTITUTE(SUBSTITUTE($A$79:$A$90,")",""),"(",REPT(" ",100)),100))),0)-IFERROR(J79:J90,0)&gt;0,IFERROR(VALUE(TRIM(RIGHT(SUBSTITUTE(SUBSTITUTE($A$79:$A$90,")",""),"(",REPT(" ",100)),100))),0)-IFERROR(J79:J90,0),0),0))+SUM(IF(($A$93:$A$95&lt;&gt;"")*(J93:J95&lt;&gt;""),IF(IFERROR(VALUE(TRIM(RIGHT(SUBSTITUTE(SUBSTITUTE($A$93:$A$95,")",""),"(",REPT(" ",100)),100))),0)-IFERROR(J93:J95,0)&gt;0,IFERROR(VALUE(TRIM(RIGHT(SUBSTITUTE(SUBSTITUTE($A$93:$A$95,")",""),"(",REPT(" ",100)),100))),0)-IFERROR(J93:J95,0),0),0))</f>
        <v>1133.9950000000001</v>
      </c>
      <c r="K160" s="173">
        <f t="array" ref="K160">SUM(IF(($A$11:$A$68&lt;&gt;"")*(K11:K68&lt;&gt;""),IF(IFERROR(VALUE(TRIM(RIGHT(SUBSTITUTE(SUBSTITUTE($A$11:$A$68,")",""),"(",REPT(" ",100)),100))),0)-IFERROR(K11:K68,0)&gt;0,IFERROR(VALUE(TRIM(RIGHT(SUBSTITUTE(SUBSTITUTE($A$11:$A$68,")",""),"(",REPT(" ",100)),100))),0)-IFERROR(K11:K68,0),0),0))+SUM(IF(($A$72:$A$77&lt;&gt;"")*(K72:K77&lt;&gt;""),IF(IFERROR(VALUE(TRIM(RIGHT(SUBSTITUTE(SUBSTITUTE($A$72:$A$77,")",""),"(",REPT(" ",100)),100))),0)-IFERROR(K72:K77,0)&gt;0,IFERROR(VALUE(TRIM(RIGHT(SUBSTITUTE(SUBSTITUTE($A$72:$A$77,")",""),"(",REPT(" ",100)),100))),0)-IFERROR(K72:K77,0),0),0))+SUM(IF(($A$79:$A$90&lt;&gt;"")*(K79:K90&lt;&gt;""),IF(IFERROR(VALUE(TRIM(RIGHT(SUBSTITUTE(SUBSTITUTE($A$79:$A$90,")",""),"(",REPT(" ",100)),100))),0)-IFERROR(K79:K90,0)&gt;0,IFERROR(VALUE(TRIM(RIGHT(SUBSTITUTE(SUBSTITUTE($A$79:$A$90,")",""),"(",REPT(" ",100)),100))),0)-IFERROR(K79:K90,0),0),0))+SUM(IF(($A$93:$A$95&lt;&gt;"")*(K93:K95&lt;&gt;""),IF(IFERROR(VALUE(TRIM(RIGHT(SUBSTITUTE(SUBSTITUTE($A$93:$A$95,")",""),"(",REPT(" ",100)),100))),0)-IFERROR(K93:K95,0)&gt;0,IFERROR(VALUE(TRIM(RIGHT(SUBSTITUTE(SUBSTITUTE($A$93:$A$95,")",""),"(",REPT(" ",100)),100))),0)-IFERROR(K93:K95,0),0),0))</f>
        <v>1116.2950000000001</v>
      </c>
      <c r="L160" s="173">
        <f t="array" ref="L160">SUM(IF(($A$11:$A$68&lt;&gt;"")*(L11:L68&lt;&gt;""),IF(IFERROR(VALUE(TRIM(RIGHT(SUBSTITUTE(SUBSTITUTE($A$11:$A$68,")",""),"(",REPT(" ",100)),100))),0)-IFERROR(L11:L68,0)&gt;0,IFERROR(VALUE(TRIM(RIGHT(SUBSTITUTE(SUBSTITUTE($A$11:$A$68,")",""),"(",REPT(" ",100)),100))),0)-IFERROR(L11:L68,0),0),0))+SUM(IF(($A$72:$A$77&lt;&gt;"")*(L72:L77&lt;&gt;""),IF(IFERROR(VALUE(TRIM(RIGHT(SUBSTITUTE(SUBSTITUTE($A$72:$A$77,")",""),"(",REPT(" ",100)),100))),0)-IFERROR(L72:L77,0)&gt;0,IFERROR(VALUE(TRIM(RIGHT(SUBSTITUTE(SUBSTITUTE($A$72:$A$77,")",""),"(",REPT(" ",100)),100))),0)-IFERROR(L72:L77,0),0),0))+SUM(IF(($A$79:$A$90&lt;&gt;"")*(L79:L90&lt;&gt;""),IF(IFERROR(VALUE(TRIM(RIGHT(SUBSTITUTE(SUBSTITUTE($A$79:$A$90,")",""),"(",REPT(" ",100)),100))),0)-IFERROR(L79:L90,0)&gt;0,IFERROR(VALUE(TRIM(RIGHT(SUBSTITUTE(SUBSTITUTE($A$79:$A$90,")",""),"(",REPT(" ",100)),100))),0)-IFERROR(L79:L90,0),0),0))+SUM(IF(($A$93:$A$95&lt;&gt;"")*(L93:L95&lt;&gt;""),IF(IFERROR(VALUE(TRIM(RIGHT(SUBSTITUTE(SUBSTITUTE($A$93:$A$95,")",""),"(",REPT(" ",100)),100))),0)-IFERROR(L93:L95,0)&gt;0,IFERROR(VALUE(TRIM(RIGHT(SUBSTITUTE(SUBSTITUTE($A$93:$A$95,")",""),"(",REPT(" ",100)),100))),0)-IFERROR(L93:L95,0),0),0))</f>
        <v>1105.4950000000003</v>
      </c>
      <c r="M160" s="173">
        <f t="array" ref="M160">SUM(IF(($A$11:$A$68&lt;&gt;"")*(M11:M68&lt;&gt;""),IF(IFERROR(VALUE(TRIM(RIGHT(SUBSTITUTE(SUBSTITUTE($A$11:$A$68,")",""),"(",REPT(" ",100)),100))),0)-IFERROR(M11:M68,0)&gt;0,IFERROR(VALUE(TRIM(RIGHT(SUBSTITUTE(SUBSTITUTE($A$11:$A$68,")",""),"(",REPT(" ",100)),100))),0)-IFERROR(M11:M68,0),0),0))+SUM(IF(($A$72:$A$77&lt;&gt;"")*(M72:M77&lt;&gt;""),IF(IFERROR(VALUE(TRIM(RIGHT(SUBSTITUTE(SUBSTITUTE($A$72:$A$77,")",""),"(",REPT(" ",100)),100))),0)-IFERROR(M72:M77,0)&gt;0,IFERROR(VALUE(TRIM(RIGHT(SUBSTITUTE(SUBSTITUTE($A$72:$A$77,")",""),"(",REPT(" ",100)),100))),0)-IFERROR(M72:M77,0),0),0))+SUM(IF(($A$79:$A$90&lt;&gt;"")*(M79:M90&lt;&gt;""),IF(IFERROR(VALUE(TRIM(RIGHT(SUBSTITUTE(SUBSTITUTE($A$79:$A$90,")",""),"(",REPT(" ",100)),100))),0)-IFERROR(M79:M90,0)&gt;0,IFERROR(VALUE(TRIM(RIGHT(SUBSTITUTE(SUBSTITUTE($A$79:$A$90,")",""),"(",REPT(" ",100)),100))),0)-IFERROR(M79:M90,0),0),0))+SUM(IF(($A$93:$A$95&lt;&gt;"")*(M93:M95&lt;&gt;""),IF(IFERROR(VALUE(TRIM(RIGHT(SUBSTITUTE(SUBSTITUTE($A$93:$A$95,")",""),"(",REPT(" ",100)),100))),0)-IFERROR(M93:M95,0)&gt;0,IFERROR(VALUE(TRIM(RIGHT(SUBSTITUTE(SUBSTITUTE($A$93:$A$95,")",""),"(",REPT(" ",100)),100))),0)-IFERROR(M93:M95,0),0),0))</f>
        <v>1015.395</v>
      </c>
      <c r="N160" s="173">
        <f t="array" ref="N160">SUM(IF(($A$11:$A$68&lt;&gt;"")*(N11:N68&lt;&gt;""),IF(IFERROR(VALUE(TRIM(RIGHT(SUBSTITUTE(SUBSTITUTE($A$11:$A$68,")",""),"(",REPT(" ",100)),100))),0)-IFERROR(N11:N68,0)&gt;0,IFERROR(VALUE(TRIM(RIGHT(SUBSTITUTE(SUBSTITUTE($A$11:$A$68,")",""),"(",REPT(" ",100)),100))),0)-IFERROR(N11:N68,0),0),0))+SUM(IF(($A$72:$A$77&lt;&gt;"")*(N72:N77&lt;&gt;""),IF(IFERROR(VALUE(TRIM(RIGHT(SUBSTITUTE(SUBSTITUTE($A$72:$A$77,")",""),"(",REPT(" ",100)),100))),0)-IFERROR(N72:N77,0)&gt;0,IFERROR(VALUE(TRIM(RIGHT(SUBSTITUTE(SUBSTITUTE($A$72:$A$77,")",""),"(",REPT(" ",100)),100))),0)-IFERROR(N72:N77,0),0),0))+SUM(IF(($A$79:$A$90&lt;&gt;"")*(N79:N90&lt;&gt;""),IF(IFERROR(VALUE(TRIM(RIGHT(SUBSTITUTE(SUBSTITUTE($A$79:$A$90,")",""),"(",REPT(" ",100)),100))),0)-IFERROR(N79:N90,0)&gt;0,IFERROR(VALUE(TRIM(RIGHT(SUBSTITUTE(SUBSTITUTE($A$79:$A$90,")",""),"(",REPT(" ",100)),100))),0)-IFERROR(N79:N90,0),0),0))+SUM(IF(($A$93:$A$95&lt;&gt;"")*(N93:N95&lt;&gt;""),IF(IFERROR(VALUE(TRIM(RIGHT(SUBSTITUTE(SUBSTITUTE($A$93:$A$95,")",""),"(",REPT(" ",100)),100))),0)-IFERROR(N93:N95,0)&gt;0,IFERROR(VALUE(TRIM(RIGHT(SUBSTITUTE(SUBSTITUTE($A$93:$A$95,")",""),"(",REPT(" ",100)),100))),0)-IFERROR(N93:N95,0),0),0))</f>
        <v>1014.995</v>
      </c>
      <c r="O160" s="173">
        <f t="array" ref="O160">SUM(IF(($A$11:$A$68&lt;&gt;"")*(O11:O68&lt;&gt;""),IF(IFERROR(VALUE(TRIM(RIGHT(SUBSTITUTE(SUBSTITUTE($A$11:$A$68,")",""),"(",REPT(" ",100)),100))),0)-IFERROR(O11:O68,0)&gt;0,IFERROR(VALUE(TRIM(RIGHT(SUBSTITUTE(SUBSTITUTE($A$11:$A$68,")",""),"(",REPT(" ",100)),100))),0)-IFERROR(O11:O68,0),0),0))+SUM(IF(($A$72:$A$77&lt;&gt;"")*(O72:O77&lt;&gt;""),IF(IFERROR(VALUE(TRIM(RIGHT(SUBSTITUTE(SUBSTITUTE($A$72:$A$77,")",""),"(",REPT(" ",100)),100))),0)-IFERROR(O72:O77,0)&gt;0,IFERROR(VALUE(TRIM(RIGHT(SUBSTITUTE(SUBSTITUTE($A$72:$A$77,")",""),"(",REPT(" ",100)),100))),0)-IFERROR(O72:O77,0),0),0))+SUM(IF(($A$79:$A$90&lt;&gt;"")*(O79:O90&lt;&gt;""),IF(IFERROR(VALUE(TRIM(RIGHT(SUBSTITUTE(SUBSTITUTE($A$79:$A$90,")",""),"(",REPT(" ",100)),100))),0)-IFERROR(O79:O90,0)&gt;0,IFERROR(VALUE(TRIM(RIGHT(SUBSTITUTE(SUBSTITUTE($A$79:$A$90,")",""),"(",REPT(" ",100)),100))),0)-IFERROR(O79:O90,0),0),0))+SUM(IF(($A$93:$A$95&lt;&gt;"")*(O93:O95&lt;&gt;""),IF(IFERROR(VALUE(TRIM(RIGHT(SUBSTITUTE(SUBSTITUTE($A$93:$A$95,")",""),"(",REPT(" ",100)),100))),0)-IFERROR(O93:O95,0)&gt;0,IFERROR(VALUE(TRIM(RIGHT(SUBSTITUTE(SUBSTITUTE($A$93:$A$95,")",""),"(",REPT(" ",100)),100))),0)-IFERROR(O93:O95,0),0),0))</f>
        <v>1011.2950000000001</v>
      </c>
      <c r="P160" s="173">
        <f t="array" ref="P160">SUM(IF(($A$11:$A$68&lt;&gt;"")*(P11:P68&lt;&gt;""),IF(IFERROR(VALUE(TRIM(RIGHT(SUBSTITUTE(SUBSTITUTE($A$11:$A$68,")",""),"(",REPT(" ",100)),100))),0)-IFERROR(P11:P68,0)&gt;0,IFERROR(VALUE(TRIM(RIGHT(SUBSTITUTE(SUBSTITUTE($A$11:$A$68,")",""),"(",REPT(" ",100)),100))),0)-IFERROR(P11:P68,0),0),0))+SUM(IF(($A$72:$A$77&lt;&gt;"")*(P72:P77&lt;&gt;""),IF(IFERROR(VALUE(TRIM(RIGHT(SUBSTITUTE(SUBSTITUTE($A$72:$A$77,")",""),"(",REPT(" ",100)),100))),0)-IFERROR(P72:P77,0)&gt;0,IFERROR(VALUE(TRIM(RIGHT(SUBSTITUTE(SUBSTITUTE($A$72:$A$77,")",""),"(",REPT(" ",100)),100))),0)-IFERROR(P72:P77,0),0),0))+SUM(IF(($A$79:$A$90&lt;&gt;"")*(P79:P90&lt;&gt;""),IF(IFERROR(VALUE(TRIM(RIGHT(SUBSTITUTE(SUBSTITUTE($A$79:$A$90,")",""),"(",REPT(" ",100)),100))),0)-IFERROR(P79:P90,0)&gt;0,IFERROR(VALUE(TRIM(RIGHT(SUBSTITUTE(SUBSTITUTE($A$79:$A$90,")",""),"(",REPT(" ",100)),100))),0)-IFERROR(P79:P90,0),0),0))+SUM(IF(($A$93:$A$95&lt;&gt;"")*(P93:P95&lt;&gt;""),IF(IFERROR(VALUE(TRIM(RIGHT(SUBSTITUTE(SUBSTITUTE($A$93:$A$95,")",""),"(",REPT(" ",100)),100))),0)-IFERROR(P93:P95,0)&gt;0,IFERROR(VALUE(TRIM(RIGHT(SUBSTITUTE(SUBSTITUTE($A$93:$A$95,")",""),"(",REPT(" ",100)),100))),0)-IFERROR(P93:P95,0),0),0))</f>
        <v>929.46499999999992</v>
      </c>
      <c r="Q160" s="173">
        <f t="array" ref="Q160">SUM(IF(($A$11:$A$68&lt;&gt;"")*(Q11:Q68&lt;&gt;""),IF(IFERROR(VALUE(TRIM(RIGHT(SUBSTITUTE(SUBSTITUTE($A$11:$A$68,")",""),"(",REPT(" ",100)),100))),0)-IFERROR(Q11:Q68,0)&gt;0,IFERROR(VALUE(TRIM(RIGHT(SUBSTITUTE(SUBSTITUTE($A$11:$A$68,")",""),"(",REPT(" ",100)),100))),0)-IFERROR(Q11:Q68,0),0),0))+SUM(IF(($A$72:$A$77&lt;&gt;"")*(Q72:Q77&lt;&gt;""),IF(IFERROR(VALUE(TRIM(RIGHT(SUBSTITUTE(SUBSTITUTE($A$72:$A$77,")",""),"(",REPT(" ",100)),100))),0)-IFERROR(Q72:Q77,0)&gt;0,IFERROR(VALUE(TRIM(RIGHT(SUBSTITUTE(SUBSTITUTE($A$72:$A$77,")",""),"(",REPT(" ",100)),100))),0)-IFERROR(Q72:Q77,0),0),0))+SUM(IF(($A$79:$A$90&lt;&gt;"")*(Q79:Q90&lt;&gt;""),IF(IFERROR(VALUE(TRIM(RIGHT(SUBSTITUTE(SUBSTITUTE($A$79:$A$90,")",""),"(",REPT(" ",100)),100))),0)-IFERROR(Q79:Q90,0)&gt;0,IFERROR(VALUE(TRIM(RIGHT(SUBSTITUTE(SUBSTITUTE($A$79:$A$90,")",""),"(",REPT(" ",100)),100))),0)-IFERROR(Q79:Q90,0),0),0))+SUM(IF(($A$93:$A$95&lt;&gt;"")*(Q93:Q95&lt;&gt;""),IF(IFERROR(VALUE(TRIM(RIGHT(SUBSTITUTE(SUBSTITUTE($A$93:$A$95,")",""),"(",REPT(" ",100)),100))),0)-IFERROR(Q93:Q95,0)&gt;0,IFERROR(VALUE(TRIM(RIGHT(SUBSTITUTE(SUBSTITUTE($A$93:$A$95,")",""),"(",REPT(" ",100)),100))),0)-IFERROR(Q93:Q95,0),0),0))</f>
        <v>0</v>
      </c>
      <c r="R160" s="173">
        <f t="array" ref="R160">SUM(IF(($A$11:$A$68&lt;&gt;"")*(R11:R68&lt;&gt;""),IF(IFERROR(VALUE(TRIM(RIGHT(SUBSTITUTE(SUBSTITUTE($A$11:$A$68,")",""),"(",REPT(" ",100)),100))),0)-IFERROR(R11:R68,0)&gt;0,IFERROR(VALUE(TRIM(RIGHT(SUBSTITUTE(SUBSTITUTE($A$11:$A$68,")",""),"(",REPT(" ",100)),100))),0)-IFERROR(R11:R68,0),0),0))+SUM(IF(($A$72:$A$77&lt;&gt;"")*(R72:R77&lt;&gt;""),IF(IFERROR(VALUE(TRIM(RIGHT(SUBSTITUTE(SUBSTITUTE($A$72:$A$77,")",""),"(",REPT(" ",100)),100))),0)-IFERROR(R72:R77,0)&gt;0,IFERROR(VALUE(TRIM(RIGHT(SUBSTITUTE(SUBSTITUTE($A$72:$A$77,")",""),"(",REPT(" ",100)),100))),0)-IFERROR(R72:R77,0),0),0))+SUM(IF(($A$79:$A$90&lt;&gt;"")*(R79:R90&lt;&gt;""),IF(IFERROR(VALUE(TRIM(RIGHT(SUBSTITUTE(SUBSTITUTE($A$79:$A$90,")",""),"(",REPT(" ",100)),100))),0)-IFERROR(R79:R90,0)&gt;0,IFERROR(VALUE(TRIM(RIGHT(SUBSTITUTE(SUBSTITUTE($A$79:$A$90,")",""),"(",REPT(" ",100)),100))),0)-IFERROR(R79:R90,0),0),0))+SUM(IF(($A$93:$A$95&lt;&gt;"")*(R93:R95&lt;&gt;""),IF(IFERROR(VALUE(TRIM(RIGHT(SUBSTITUTE(SUBSTITUTE($A$93:$A$95,")",""),"(",REPT(" ",100)),100))),0)-IFERROR(R93:R95,0)&gt;0,IFERROR(VALUE(TRIM(RIGHT(SUBSTITUTE(SUBSTITUTE($A$93:$A$95,")",""),"(",REPT(" ",100)),100))),0)-IFERROR(R93:R95,0),0),0))</f>
        <v>0</v>
      </c>
      <c r="S160" s="173">
        <f t="array" ref="S160">SUM(IF(($A$11:$A$68&lt;&gt;"")*(S11:S68&lt;&gt;""),IF(IFERROR(VALUE(TRIM(RIGHT(SUBSTITUTE(SUBSTITUTE($A$11:$A$68,")",""),"(",REPT(" ",100)),100))),0)-IFERROR(S11:S68,0)&gt;0,IFERROR(VALUE(TRIM(RIGHT(SUBSTITUTE(SUBSTITUTE($A$11:$A$68,")",""),"(",REPT(" ",100)),100))),0)-IFERROR(S11:S68,0),0),0))+SUM(IF(($A$72:$A$77&lt;&gt;"")*(S72:S77&lt;&gt;""),IF(IFERROR(VALUE(TRIM(RIGHT(SUBSTITUTE(SUBSTITUTE($A$72:$A$77,")",""),"(",REPT(" ",100)),100))),0)-IFERROR(S72:S77,0)&gt;0,IFERROR(VALUE(TRIM(RIGHT(SUBSTITUTE(SUBSTITUTE($A$72:$A$77,")",""),"(",REPT(" ",100)),100))),0)-IFERROR(S72:S77,0),0),0))+SUM(IF(($A$79:$A$90&lt;&gt;"")*(S79:S90&lt;&gt;""),IF(IFERROR(VALUE(TRIM(RIGHT(SUBSTITUTE(SUBSTITUTE($A$79:$A$90,")",""),"(",REPT(" ",100)),100))),0)-IFERROR(S79:S90,0)&gt;0,IFERROR(VALUE(TRIM(RIGHT(SUBSTITUTE(SUBSTITUTE($A$79:$A$90,")",""),"(",REPT(" ",100)),100))),0)-IFERROR(S79:S90,0),0),0))+SUM(IF(($A$93:$A$95&lt;&gt;"")*(S93:S95&lt;&gt;""),IF(IFERROR(VALUE(TRIM(RIGHT(SUBSTITUTE(SUBSTITUTE($A$93:$A$95,")",""),"(",REPT(" ",100)),100))),0)-IFERROR(S93:S95,0)&gt;0,IFERROR(VALUE(TRIM(RIGHT(SUBSTITUTE(SUBSTITUTE($A$93:$A$95,")",""),"(",REPT(" ",100)),100))),0)-IFERROR(S93:S95,0),0),0))</f>
        <v>0</v>
      </c>
      <c r="T160" s="173">
        <f t="array" ref="T160">SUM(IF(($A$11:$A$68&lt;&gt;"")*(T11:T68&lt;&gt;""),IF(IFERROR(VALUE(TRIM(RIGHT(SUBSTITUTE(SUBSTITUTE($A$11:$A$68,")",""),"(",REPT(" ",100)),100))),0)-IFERROR(T11:T68,0)&gt;0,IFERROR(VALUE(TRIM(RIGHT(SUBSTITUTE(SUBSTITUTE($A$11:$A$68,")",""),"(",REPT(" ",100)),100))),0)-IFERROR(T11:T68,0),0),0))+SUM(IF(($A$72:$A$77&lt;&gt;"")*(T72:T77&lt;&gt;""),IF(IFERROR(VALUE(TRIM(RIGHT(SUBSTITUTE(SUBSTITUTE($A$72:$A$77,")",""),"(",REPT(" ",100)),100))),0)-IFERROR(T72:T77,0)&gt;0,IFERROR(VALUE(TRIM(RIGHT(SUBSTITUTE(SUBSTITUTE($A$72:$A$77,")",""),"(",REPT(" ",100)),100))),0)-IFERROR(T72:T77,0),0),0))+SUM(IF(($A$79:$A$90&lt;&gt;"")*(T79:T90&lt;&gt;""),IF(IFERROR(VALUE(TRIM(RIGHT(SUBSTITUTE(SUBSTITUTE($A$79:$A$90,")",""),"(",REPT(" ",100)),100))),0)-IFERROR(T79:T90,0)&gt;0,IFERROR(VALUE(TRIM(RIGHT(SUBSTITUTE(SUBSTITUTE($A$79:$A$90,")",""),"(",REPT(" ",100)),100))),0)-IFERROR(T79:T90,0),0),0))+SUM(IF(($A$93:$A$95&lt;&gt;"")*(T93:T95&lt;&gt;""),IF(IFERROR(VALUE(TRIM(RIGHT(SUBSTITUTE(SUBSTITUTE($A$93:$A$95,")",""),"(",REPT(" ",100)),100))),0)-IFERROR(T93:T95,0)&gt;0,IFERROR(VALUE(TRIM(RIGHT(SUBSTITUTE(SUBSTITUTE($A$93:$A$95,")",""),"(",REPT(" ",100)),100))),0)-IFERROR(T93:T95,0),0),0))</f>
        <v>0</v>
      </c>
      <c r="U160" s="173">
        <f t="array" ref="U160">SUM(IF(($A$11:$A$68&lt;&gt;"")*(U11:U68&lt;&gt;""),IF(IFERROR(VALUE(TRIM(RIGHT(SUBSTITUTE(SUBSTITUTE($A$11:$A$68,")",""),"(",REPT(" ",100)),100))),0)-IFERROR(U11:U68,0)&gt;0,IFERROR(VALUE(TRIM(RIGHT(SUBSTITUTE(SUBSTITUTE($A$11:$A$68,")",""),"(",REPT(" ",100)),100))),0)-IFERROR(U11:U68,0),0),0))+SUM(IF(($A$72:$A$77&lt;&gt;"")*(U72:U77&lt;&gt;""),IF(IFERROR(VALUE(TRIM(RIGHT(SUBSTITUTE(SUBSTITUTE($A$72:$A$77,")",""),"(",REPT(" ",100)),100))),0)-IFERROR(U72:U77,0)&gt;0,IFERROR(VALUE(TRIM(RIGHT(SUBSTITUTE(SUBSTITUTE($A$72:$A$77,")",""),"(",REPT(" ",100)),100))),0)-IFERROR(U72:U77,0),0),0))+SUM(IF(($A$79:$A$90&lt;&gt;"")*(U79:U90&lt;&gt;""),IF(IFERROR(VALUE(TRIM(RIGHT(SUBSTITUTE(SUBSTITUTE($A$79:$A$90,")",""),"(",REPT(" ",100)),100))),0)-IFERROR(U79:U90,0)&gt;0,IFERROR(VALUE(TRIM(RIGHT(SUBSTITUTE(SUBSTITUTE($A$79:$A$90,")",""),"(",REPT(" ",100)),100))),0)-IFERROR(U79:U90,0),0),0))+SUM(IF(($A$93:$A$95&lt;&gt;"")*(U93:U95&lt;&gt;""),IF(IFERROR(VALUE(TRIM(RIGHT(SUBSTITUTE(SUBSTITUTE($A$93:$A$95,")",""),"(",REPT(" ",100)),100))),0)-IFERROR(U93:U95,0)&gt;0,IFERROR(VALUE(TRIM(RIGHT(SUBSTITUTE(SUBSTITUTE($A$93:$A$95,")",""),"(",REPT(" ",100)),100))),0)-IFERROR(U93:U95,0),0),0))</f>
        <v>0</v>
      </c>
      <c r="V160" s="173">
        <f t="array" ref="V160">SUM(IF(($A$11:$A$68&lt;&gt;"")*(V11:V68&lt;&gt;""),IF(IFERROR(VALUE(TRIM(RIGHT(SUBSTITUTE(SUBSTITUTE($A$11:$A$68,")",""),"(",REPT(" ",100)),100))),0)-IFERROR(V11:V68,0)&gt;0,IFERROR(VALUE(TRIM(RIGHT(SUBSTITUTE(SUBSTITUTE($A$11:$A$68,")",""),"(",REPT(" ",100)),100))),0)-IFERROR(V11:V68,0),0),0))+SUM(IF(($A$72:$A$77&lt;&gt;"")*(V72:V77&lt;&gt;""),IF(IFERROR(VALUE(TRIM(RIGHT(SUBSTITUTE(SUBSTITUTE($A$72:$A$77,")",""),"(",REPT(" ",100)),100))),0)-IFERROR(V72:V77,0)&gt;0,IFERROR(VALUE(TRIM(RIGHT(SUBSTITUTE(SUBSTITUTE($A$72:$A$77,")",""),"(",REPT(" ",100)),100))),0)-IFERROR(V72:V77,0),0),0))+SUM(IF(($A$79:$A$90&lt;&gt;"")*(V79:V90&lt;&gt;""),IF(IFERROR(VALUE(TRIM(RIGHT(SUBSTITUTE(SUBSTITUTE($A$79:$A$90,")",""),"(",REPT(" ",100)),100))),0)-IFERROR(V79:V90,0)&gt;0,IFERROR(VALUE(TRIM(RIGHT(SUBSTITUTE(SUBSTITUTE($A$79:$A$90,")",""),"(",REPT(" ",100)),100))),0)-IFERROR(V79:V90,0),0),0))+SUM(IF(($A$93:$A$95&lt;&gt;"")*(V93:V95&lt;&gt;""),IF(IFERROR(VALUE(TRIM(RIGHT(SUBSTITUTE(SUBSTITUTE($A$93:$A$95,")",""),"(",REPT(" ",100)),100))),0)-IFERROR(V93:V95,0)&gt;0,IFERROR(VALUE(TRIM(RIGHT(SUBSTITUTE(SUBSTITUTE($A$93:$A$95,")",""),"(",REPT(" ",100)),100))),0)-IFERROR(V93:V95,0),0),0))</f>
        <v>0</v>
      </c>
      <c r="W160" s="173">
        <f t="array" ref="W160">SUM(IF(($A$11:$A$68&lt;&gt;"")*(W11:W68&lt;&gt;""),IF(IFERROR(VALUE(TRIM(RIGHT(SUBSTITUTE(SUBSTITUTE($A$11:$A$68,")",""),"(",REPT(" ",100)),100))),0)-IFERROR(W11:W68,0)&gt;0,IFERROR(VALUE(TRIM(RIGHT(SUBSTITUTE(SUBSTITUTE($A$11:$A$68,")",""),"(",REPT(" ",100)),100))),0)-IFERROR(W11:W68,0),0),0))+SUM(IF(($A$72:$A$77&lt;&gt;"")*(W72:W77&lt;&gt;""),IF(IFERROR(VALUE(TRIM(RIGHT(SUBSTITUTE(SUBSTITUTE($A$72:$A$77,")",""),"(",REPT(" ",100)),100))),0)-IFERROR(W72:W77,0)&gt;0,IFERROR(VALUE(TRIM(RIGHT(SUBSTITUTE(SUBSTITUTE($A$72:$A$77,")",""),"(",REPT(" ",100)),100))),0)-IFERROR(W72:W77,0),0),0))+SUM(IF(($A$79:$A$90&lt;&gt;"")*(W79:W90&lt;&gt;""),IF(IFERROR(VALUE(TRIM(RIGHT(SUBSTITUTE(SUBSTITUTE($A$79:$A$90,")",""),"(",REPT(" ",100)),100))),0)-IFERROR(W79:W90,0)&gt;0,IFERROR(VALUE(TRIM(RIGHT(SUBSTITUTE(SUBSTITUTE($A$79:$A$90,")",""),"(",REPT(" ",100)),100))),0)-IFERROR(W79:W90,0),0),0))+SUM(IF(($A$93:$A$95&lt;&gt;"")*(W93:W95&lt;&gt;""),IF(IFERROR(VALUE(TRIM(RIGHT(SUBSTITUTE(SUBSTITUTE($A$93:$A$95,")",""),"(",REPT(" ",100)),100))),0)-IFERROR(W93:W95,0)&gt;0,IFERROR(VALUE(TRIM(RIGHT(SUBSTITUTE(SUBSTITUTE($A$93:$A$95,")",""),"(",REPT(" ",100)),100))),0)-IFERROR(W93:W95,0),0),0))</f>
        <v>0</v>
      </c>
      <c r="X160" s="173">
        <f t="array" ref="X160">SUM(IF(($A$11:$A$68&lt;&gt;"")*(X11:X68&lt;&gt;""),IF(IFERROR(VALUE(TRIM(RIGHT(SUBSTITUTE(SUBSTITUTE($A$11:$A$68,")",""),"(",REPT(" ",100)),100))),0)-IFERROR(X11:X68,0)&gt;0,IFERROR(VALUE(TRIM(RIGHT(SUBSTITUTE(SUBSTITUTE($A$11:$A$68,")",""),"(",REPT(" ",100)),100))),0)-IFERROR(X11:X68,0),0),0))+SUM(IF(($A$72:$A$77&lt;&gt;"")*(X72:X77&lt;&gt;""),IF(IFERROR(VALUE(TRIM(RIGHT(SUBSTITUTE(SUBSTITUTE($A$72:$A$77,")",""),"(",REPT(" ",100)),100))),0)-IFERROR(X72:X77,0)&gt;0,IFERROR(VALUE(TRIM(RIGHT(SUBSTITUTE(SUBSTITUTE($A$72:$A$77,")",""),"(",REPT(" ",100)),100))),0)-IFERROR(X72:X77,0),0),0))+SUM(IF(($A$79:$A$90&lt;&gt;"")*(X79:X90&lt;&gt;""),IF(IFERROR(VALUE(TRIM(RIGHT(SUBSTITUTE(SUBSTITUTE($A$79:$A$90,")",""),"(",REPT(" ",100)),100))),0)-IFERROR(X79:X90,0)&gt;0,IFERROR(VALUE(TRIM(RIGHT(SUBSTITUTE(SUBSTITUTE($A$79:$A$90,")",""),"(",REPT(" ",100)),100))),0)-IFERROR(X79:X90,0),0),0))+SUM(IF(($A$93:$A$95&lt;&gt;"")*(X93:X95&lt;&gt;""),IF(IFERROR(VALUE(TRIM(RIGHT(SUBSTITUTE(SUBSTITUTE($A$93:$A$95,")",""),"(",REPT(" ",100)),100))),0)-IFERROR(X93:X95,0)&gt;0,IFERROR(VALUE(TRIM(RIGHT(SUBSTITUTE(SUBSTITUTE($A$93:$A$95,")",""),"(",REPT(" ",100)),100))),0)-IFERROR(X93:X95,0),0),0))</f>
        <v>0</v>
      </c>
      <c r="Y160" s="173">
        <f t="array" ref="Y160">SUM(IF(($A$11:$A$68&lt;&gt;"")*(Y11:Y68&lt;&gt;""),IF(IFERROR(VALUE(TRIM(RIGHT(SUBSTITUTE(SUBSTITUTE($A$11:$A$68,")",""),"(",REPT(" ",100)),100))),0)-IFERROR(Y11:Y68,0)&gt;0,IFERROR(VALUE(TRIM(RIGHT(SUBSTITUTE(SUBSTITUTE($A$11:$A$68,")",""),"(",REPT(" ",100)),100))),0)-IFERROR(Y11:Y68,0),0),0))+SUM(IF(($A$72:$A$77&lt;&gt;"")*(Y72:Y77&lt;&gt;""),IF(IFERROR(VALUE(TRIM(RIGHT(SUBSTITUTE(SUBSTITUTE($A$72:$A$77,")",""),"(",REPT(" ",100)),100))),0)-IFERROR(Y72:Y77,0)&gt;0,IFERROR(VALUE(TRIM(RIGHT(SUBSTITUTE(SUBSTITUTE($A$72:$A$77,")",""),"(",REPT(" ",100)),100))),0)-IFERROR(Y72:Y77,0),0),0))+SUM(IF(($A$79:$A$90&lt;&gt;"")*(Y79:Y90&lt;&gt;""),IF(IFERROR(VALUE(TRIM(RIGHT(SUBSTITUTE(SUBSTITUTE($A$79:$A$90,")",""),"(",REPT(" ",100)),100))),0)-IFERROR(Y79:Y90,0)&gt;0,IFERROR(VALUE(TRIM(RIGHT(SUBSTITUTE(SUBSTITUTE($A$79:$A$90,")",""),"(",REPT(" ",100)),100))),0)-IFERROR(Y79:Y90,0),0),0))+SUM(IF(($A$93:$A$95&lt;&gt;"")*(Y93:Y95&lt;&gt;""),IF(IFERROR(VALUE(TRIM(RIGHT(SUBSTITUTE(SUBSTITUTE($A$93:$A$95,")",""),"(",REPT(" ",100)),100))),0)-IFERROR(Y93:Y95,0)&gt;0,IFERROR(VALUE(TRIM(RIGHT(SUBSTITUTE(SUBSTITUTE($A$93:$A$95,")",""),"(",REPT(" ",100)),100))),0)-IFERROR(Y93:Y95,0),0),0))</f>
        <v>0</v>
      </c>
      <c r="Z160" s="173">
        <f t="array" ref="Z160">SUM(IF(($A$11:$A$68&lt;&gt;"")*(Z11:Z68&lt;&gt;""),IF(IFERROR(VALUE(TRIM(RIGHT(SUBSTITUTE(SUBSTITUTE($A$11:$A$68,")",""),"(",REPT(" ",100)),100))),0)-IFERROR(Z11:Z68,0)&gt;0,IFERROR(VALUE(TRIM(RIGHT(SUBSTITUTE(SUBSTITUTE($A$11:$A$68,")",""),"(",REPT(" ",100)),100))),0)-IFERROR(Z11:Z68,0),0),0))+SUM(IF(($A$72:$A$77&lt;&gt;"")*(Z72:Z77&lt;&gt;""),IF(IFERROR(VALUE(TRIM(RIGHT(SUBSTITUTE(SUBSTITUTE($A$72:$A$77,")",""),"(",REPT(" ",100)),100))),0)-IFERROR(Z72:Z77,0)&gt;0,IFERROR(VALUE(TRIM(RIGHT(SUBSTITUTE(SUBSTITUTE($A$72:$A$77,")",""),"(",REPT(" ",100)),100))),0)-IFERROR(Z72:Z77,0),0),0))+SUM(IF(($A$79:$A$90&lt;&gt;"")*(Z79:Z90&lt;&gt;""),IF(IFERROR(VALUE(TRIM(RIGHT(SUBSTITUTE(SUBSTITUTE($A$79:$A$90,")",""),"(",REPT(" ",100)),100))),0)-IFERROR(Z79:Z90,0)&gt;0,IFERROR(VALUE(TRIM(RIGHT(SUBSTITUTE(SUBSTITUTE($A$79:$A$90,")",""),"(",REPT(" ",100)),100))),0)-IFERROR(Z79:Z90,0),0),0))+SUM(IF(($A$93:$A$95&lt;&gt;"")*(Z93:Z95&lt;&gt;""),IF(IFERROR(VALUE(TRIM(RIGHT(SUBSTITUTE(SUBSTITUTE($A$93:$A$95,")",""),"(",REPT(" ",100)),100))),0)-IFERROR(Z93:Z95,0)&gt;0,IFERROR(VALUE(TRIM(RIGHT(SUBSTITUTE(SUBSTITUTE($A$93:$A$95,")",""),"(",REPT(" ",100)),100))),0)-IFERROR(Z93:Z95,0),0),0))</f>
        <v>0</v>
      </c>
      <c r="AA160" s="173">
        <f t="array" ref="AA160">SUM(IF(($A$11:$A$68&lt;&gt;"")*(AA11:AA68&lt;&gt;""),IF(IFERROR(VALUE(TRIM(RIGHT(SUBSTITUTE(SUBSTITUTE($A$11:$A$68,")",""),"(",REPT(" ",100)),100))),0)-IFERROR(AA11:AA68,0)&gt;0,IFERROR(VALUE(TRIM(RIGHT(SUBSTITUTE(SUBSTITUTE($A$11:$A$68,")",""),"(",REPT(" ",100)),100))),0)-IFERROR(AA11:AA68,0),0),0))+SUM(IF(($A$72:$A$77&lt;&gt;"")*(AA72:AA77&lt;&gt;""),IF(IFERROR(VALUE(TRIM(RIGHT(SUBSTITUTE(SUBSTITUTE($A$72:$A$77,")",""),"(",REPT(" ",100)),100))),0)-IFERROR(AA72:AA77,0)&gt;0,IFERROR(VALUE(TRIM(RIGHT(SUBSTITUTE(SUBSTITUTE($A$72:$A$77,")",""),"(",REPT(" ",100)),100))),0)-IFERROR(AA72:AA77,0),0),0))+SUM(IF(($A$79:$A$90&lt;&gt;"")*(AA79:AA90&lt;&gt;""),IF(IFERROR(VALUE(TRIM(RIGHT(SUBSTITUTE(SUBSTITUTE($A$79:$A$90,")",""),"(",REPT(" ",100)),100))),0)-IFERROR(AA79:AA90,0)&gt;0,IFERROR(VALUE(TRIM(RIGHT(SUBSTITUTE(SUBSTITUTE($A$79:$A$90,")",""),"(",REPT(" ",100)),100))),0)-IFERROR(AA79:AA90,0),0),0))+SUM(IF(($A$93:$A$95&lt;&gt;"")*(AA93:AA95&lt;&gt;""),IF(IFERROR(VALUE(TRIM(RIGHT(SUBSTITUTE(SUBSTITUTE($A$93:$A$95,")",""),"(",REPT(" ",100)),100))),0)-IFERROR(AA93:AA95,0)&gt;0,IFERROR(VALUE(TRIM(RIGHT(SUBSTITUTE(SUBSTITUTE($A$93:$A$95,")",""),"(",REPT(" ",100)),100))),0)-IFERROR(AA93:AA95,0),0),0))</f>
        <v>0</v>
      </c>
      <c r="AB160" s="173">
        <f t="array" ref="AB160">SUM(IF(($A$11:$A$68&lt;&gt;"")*(AB11:AB68&lt;&gt;""),IF(IFERROR(VALUE(TRIM(RIGHT(SUBSTITUTE(SUBSTITUTE($A$11:$A$68,")",""),"(",REPT(" ",100)),100))),0)-IFERROR(AB11:AB68,0)&gt;0,IFERROR(VALUE(TRIM(RIGHT(SUBSTITUTE(SUBSTITUTE($A$11:$A$68,")",""),"(",REPT(" ",100)),100))),0)-IFERROR(AB11:AB68,0),0),0))+SUM(IF(($A$72:$A$77&lt;&gt;"")*(AB72:AB77&lt;&gt;""),IF(IFERROR(VALUE(TRIM(RIGHT(SUBSTITUTE(SUBSTITUTE($A$72:$A$77,")",""),"(",REPT(" ",100)),100))),0)-IFERROR(AB72:AB77,0)&gt;0,IFERROR(VALUE(TRIM(RIGHT(SUBSTITUTE(SUBSTITUTE($A$72:$A$77,")",""),"(",REPT(" ",100)),100))),0)-IFERROR(AB72:AB77,0),0),0))+SUM(IF(($A$79:$A$90&lt;&gt;"")*(AB79:AB90&lt;&gt;""),IF(IFERROR(VALUE(TRIM(RIGHT(SUBSTITUTE(SUBSTITUTE($A$79:$A$90,")",""),"(",REPT(" ",100)),100))),0)-IFERROR(AB79:AB90,0)&gt;0,IFERROR(VALUE(TRIM(RIGHT(SUBSTITUTE(SUBSTITUTE($A$79:$A$90,")",""),"(",REPT(" ",100)),100))),0)-IFERROR(AB79:AB90,0),0),0))+SUM(IF(($A$93:$A$95&lt;&gt;"")*(AB93:AB95&lt;&gt;""),IF(IFERROR(VALUE(TRIM(RIGHT(SUBSTITUTE(SUBSTITUTE($A$93:$A$95,")",""),"(",REPT(" ",100)),100))),0)-IFERROR(AB93:AB95,0)&gt;0,IFERROR(VALUE(TRIM(RIGHT(SUBSTITUTE(SUBSTITUTE($A$93:$A$95,")",""),"(",REPT(" ",100)),100))),0)-IFERROR(AB93:AB95,0),0),0))</f>
        <v>0</v>
      </c>
      <c r="AC160" s="173">
        <f t="array" ref="AC160">SUM(IF(($A$11:$A$68&lt;&gt;"")*(AC11:AC68&lt;&gt;""),IF(IFERROR(VALUE(TRIM(RIGHT(SUBSTITUTE(SUBSTITUTE($A$11:$A$68,")",""),"(",REPT(" ",100)),100))),0)-IFERROR(AC11:AC68,0)&gt;0,IFERROR(VALUE(TRIM(RIGHT(SUBSTITUTE(SUBSTITUTE($A$11:$A$68,")",""),"(",REPT(" ",100)),100))),0)-IFERROR(AC11:AC68,0),0),0))+SUM(IF(($A$72:$A$77&lt;&gt;"")*(AC72:AC77&lt;&gt;""),IF(IFERROR(VALUE(TRIM(RIGHT(SUBSTITUTE(SUBSTITUTE($A$72:$A$77,")",""),"(",REPT(" ",100)),100))),0)-IFERROR(AC72:AC77,0)&gt;0,IFERROR(VALUE(TRIM(RIGHT(SUBSTITUTE(SUBSTITUTE($A$72:$A$77,")",""),"(",REPT(" ",100)),100))),0)-IFERROR(AC72:AC77,0),0),0))+SUM(IF(($A$79:$A$90&lt;&gt;"")*(AC79:AC90&lt;&gt;""),IF(IFERROR(VALUE(TRIM(RIGHT(SUBSTITUTE(SUBSTITUTE($A$79:$A$90,")",""),"(",REPT(" ",100)),100))),0)-IFERROR(AC79:AC90,0)&gt;0,IFERROR(VALUE(TRIM(RIGHT(SUBSTITUTE(SUBSTITUTE($A$79:$A$90,")",""),"(",REPT(" ",100)),100))),0)-IFERROR(AC79:AC90,0),0),0))+SUM(IF(($A$93:$A$95&lt;&gt;"")*(AC93:AC95&lt;&gt;""),IF(IFERROR(VALUE(TRIM(RIGHT(SUBSTITUTE(SUBSTITUTE($A$93:$A$95,")",""),"(",REPT(" ",100)),100))),0)-IFERROR(AC93:AC95,0)&gt;0,IFERROR(VALUE(TRIM(RIGHT(SUBSTITUTE(SUBSTITUTE($A$93:$A$95,")",""),"(",REPT(" ",100)),100))),0)-IFERROR(AC93:AC95,0),0),0))</f>
        <v>0</v>
      </c>
      <c r="AD160" s="173">
        <f t="array" ref="AD160">SUM(IF(($A$11:$A$68&lt;&gt;"")*(AD11:AD68&lt;&gt;""),IF(IFERROR(VALUE(TRIM(RIGHT(SUBSTITUTE(SUBSTITUTE($A$11:$A$68,")",""),"(",REPT(" ",100)),100))),0)-IFERROR(AD11:AD68,0)&gt;0,IFERROR(VALUE(TRIM(RIGHT(SUBSTITUTE(SUBSTITUTE($A$11:$A$68,")",""),"(",REPT(" ",100)),100))),0)-IFERROR(AD11:AD68,0),0),0))+SUM(IF(($A$72:$A$77&lt;&gt;"")*(AD72:AD77&lt;&gt;""),IF(IFERROR(VALUE(TRIM(RIGHT(SUBSTITUTE(SUBSTITUTE($A$72:$A$77,")",""),"(",REPT(" ",100)),100))),0)-IFERROR(AD72:AD77,0)&gt;0,IFERROR(VALUE(TRIM(RIGHT(SUBSTITUTE(SUBSTITUTE($A$72:$A$77,")",""),"(",REPT(" ",100)),100))),0)-IFERROR(AD72:AD77,0),0),0))+SUM(IF(($A$79:$A$90&lt;&gt;"")*(AD79:AD90&lt;&gt;""),IF(IFERROR(VALUE(TRIM(RIGHT(SUBSTITUTE(SUBSTITUTE($A$79:$A$90,")",""),"(",REPT(" ",100)),100))),0)-IFERROR(AD79:AD90,0)&gt;0,IFERROR(VALUE(TRIM(RIGHT(SUBSTITUTE(SUBSTITUTE($A$79:$A$90,")",""),"(",REPT(" ",100)),100))),0)-IFERROR(AD79:AD90,0),0),0))+SUM(IF(($A$93:$A$95&lt;&gt;"")*(AD93:AD95&lt;&gt;""),IF(IFERROR(VALUE(TRIM(RIGHT(SUBSTITUTE(SUBSTITUTE($A$93:$A$95,")",""),"(",REPT(" ",100)),100))),0)-IFERROR(AD93:AD95,0)&gt;0,IFERROR(VALUE(TRIM(RIGHT(SUBSTITUTE(SUBSTITUTE($A$93:$A$95,")",""),"(",REPT(" ",100)),100))),0)-IFERROR(AD93:AD95,0),0),0))</f>
        <v>0</v>
      </c>
      <c r="AE160" s="173">
        <f t="array" ref="AE160">SUM(IF(($A$11:$A$68&lt;&gt;"")*(AE11:AE68&lt;&gt;""),IF(IFERROR(VALUE(TRIM(RIGHT(SUBSTITUTE(SUBSTITUTE($A$11:$A$68,")",""),"(",REPT(" ",100)),100))),0)-IFERROR(AE11:AE68,0)&gt;0,IFERROR(VALUE(TRIM(RIGHT(SUBSTITUTE(SUBSTITUTE($A$11:$A$68,")",""),"(",REPT(" ",100)),100))),0)-IFERROR(AE11:AE68,0),0),0))+SUM(IF(($A$72:$A$77&lt;&gt;"")*(AE72:AE77&lt;&gt;""),IF(IFERROR(VALUE(TRIM(RIGHT(SUBSTITUTE(SUBSTITUTE($A$72:$A$77,")",""),"(",REPT(" ",100)),100))),0)-IFERROR(AE72:AE77,0)&gt;0,IFERROR(VALUE(TRIM(RIGHT(SUBSTITUTE(SUBSTITUTE($A$72:$A$77,")",""),"(",REPT(" ",100)),100))),0)-IFERROR(AE72:AE77,0),0),0))+SUM(IF(($A$79:$A$90&lt;&gt;"")*(AE79:AE90&lt;&gt;""),IF(IFERROR(VALUE(TRIM(RIGHT(SUBSTITUTE(SUBSTITUTE($A$79:$A$90,")",""),"(",REPT(" ",100)),100))),0)-IFERROR(AE79:AE90,0)&gt;0,IFERROR(VALUE(TRIM(RIGHT(SUBSTITUTE(SUBSTITUTE($A$79:$A$90,")",""),"(",REPT(" ",100)),100))),0)-IFERROR(AE79:AE90,0),0),0))+SUM(IF(($A$93:$A$95&lt;&gt;"")*(AE93:AE95&lt;&gt;""),IF(IFERROR(VALUE(TRIM(RIGHT(SUBSTITUTE(SUBSTITUTE($A$93:$A$95,")",""),"(",REPT(" ",100)),100))),0)-IFERROR(AE93:AE95,0)&gt;0,IFERROR(VALUE(TRIM(RIGHT(SUBSTITUTE(SUBSTITUTE($A$93:$A$95,")",""),"(",REPT(" ",100)),100))),0)-IFERROR(AE93:AE95,0),0),0))</f>
        <v>0</v>
      </c>
      <c r="AF160" s="173">
        <f t="array" ref="AF160">SUM(IF(($A$11:$A$68&lt;&gt;"")*(AF11:AF68&lt;&gt;""),IF(IFERROR(VALUE(TRIM(RIGHT(SUBSTITUTE(SUBSTITUTE($A$11:$A$68,")",""),"(",REPT(" ",100)),100))),0)-IFERROR(AF11:AF68,0)&gt;0,IFERROR(VALUE(TRIM(RIGHT(SUBSTITUTE(SUBSTITUTE($A$11:$A$68,")",""),"(",REPT(" ",100)),100))),0)-IFERROR(AF11:AF68,0),0),0))+SUM(IF(($A$72:$A$77&lt;&gt;"")*(AF72:AF77&lt;&gt;""),IF(IFERROR(VALUE(TRIM(RIGHT(SUBSTITUTE(SUBSTITUTE($A$72:$A$77,")",""),"(",REPT(" ",100)),100))),0)-IFERROR(AF72:AF77,0)&gt;0,IFERROR(VALUE(TRIM(RIGHT(SUBSTITUTE(SUBSTITUTE($A$72:$A$77,")",""),"(",REPT(" ",100)),100))),0)-IFERROR(AF72:AF77,0),0),0))+SUM(IF(($A$79:$A$90&lt;&gt;"")*(AF79:AF90&lt;&gt;""),IF(IFERROR(VALUE(TRIM(RIGHT(SUBSTITUTE(SUBSTITUTE($A$79:$A$90,")",""),"(",REPT(" ",100)),100))),0)-IFERROR(AF79:AF90,0)&gt;0,IFERROR(VALUE(TRIM(RIGHT(SUBSTITUTE(SUBSTITUTE($A$79:$A$90,")",""),"(",REPT(" ",100)),100))),0)-IFERROR(AF79:AF90,0),0),0))+SUM(IF(($A$93:$A$95&lt;&gt;"")*(AF93:AF95&lt;&gt;""),IF(IFERROR(VALUE(TRIM(RIGHT(SUBSTITUTE(SUBSTITUTE($A$93:$A$95,")",""),"(",REPT(" ",100)),100))),0)-IFERROR(AF93:AF95,0)&gt;0,IFERROR(VALUE(TRIM(RIGHT(SUBSTITUTE(SUBSTITUTE($A$93:$A$95,")",""),"(",REPT(" ",100)),100))),0)-IFERROR(AF93:AF95,0),0),0))</f>
        <v>0</v>
      </c>
      <c r="AG160" s="186"/>
      <c r="AH160" s="46"/>
      <c r="AI160" s="47"/>
      <c r="AK160" s="49"/>
      <c r="AL160" s="138" t="s">
        <v>200</v>
      </c>
      <c r="AM160" s="139">
        <v>55</v>
      </c>
      <c r="AN160" s="139">
        <f>AN$158*AM160</f>
        <v>55</v>
      </c>
      <c r="AO160" s="141">
        <f t="shared" si="80"/>
        <v>0</v>
      </c>
    </row>
    <row r="161" spans="1:41" ht="15.75" thickBot="1" x14ac:dyDescent="0.3">
      <c r="A161" s="26" t="s">
        <v>116</v>
      </c>
      <c r="B161" s="176"/>
      <c r="C161" s="176"/>
      <c r="D161" s="176"/>
      <c r="E161" s="176"/>
      <c r="F161" s="176"/>
      <c r="G161" s="176"/>
      <c r="H161" s="176"/>
      <c r="I161" s="176"/>
      <c r="J161" s="176"/>
      <c r="K161" s="176"/>
      <c r="L161" s="176"/>
      <c r="M161" s="176"/>
      <c r="N161" s="176"/>
      <c r="O161" s="176"/>
      <c r="P161" s="176"/>
      <c r="Q161" s="176"/>
      <c r="R161" s="176"/>
      <c r="S161" s="176"/>
      <c r="T161" s="176"/>
      <c r="U161" s="176"/>
      <c r="V161" s="176"/>
      <c r="W161" s="176"/>
      <c r="X161" s="176"/>
      <c r="Y161" s="176"/>
      <c r="Z161" s="176"/>
      <c r="AA161" s="176"/>
      <c r="AB161" s="176"/>
      <c r="AC161" s="176"/>
      <c r="AD161" s="176"/>
      <c r="AE161" s="176"/>
      <c r="AF161" s="176"/>
      <c r="AG161" s="187"/>
      <c r="AH161" s="46"/>
      <c r="AI161" s="47"/>
      <c r="AK161" s="49"/>
      <c r="AL161" s="188" t="s">
        <v>201</v>
      </c>
      <c r="AM161" s="139">
        <v>29</v>
      </c>
      <c r="AN161" s="139">
        <f>AN$158*AM161</f>
        <v>29</v>
      </c>
      <c r="AO161" s="139">
        <f t="shared" si="80"/>
        <v>0</v>
      </c>
    </row>
    <row r="162" spans="1:41" x14ac:dyDescent="0.25">
      <c r="A162" s="115" t="s">
        <v>202</v>
      </c>
      <c r="B162" s="189">
        <v>0.3</v>
      </c>
      <c r="C162" s="189">
        <f t="shared" ref="C162:R167" si="81">B162</f>
        <v>0.3</v>
      </c>
      <c r="D162" s="189">
        <f t="shared" si="81"/>
        <v>0.3</v>
      </c>
      <c r="E162" s="189">
        <f t="shared" si="81"/>
        <v>0.3</v>
      </c>
      <c r="F162" s="189">
        <f t="shared" si="81"/>
        <v>0.3</v>
      </c>
      <c r="G162" s="189">
        <f t="shared" si="81"/>
        <v>0.3</v>
      </c>
      <c r="H162" s="189">
        <f t="shared" si="81"/>
        <v>0.3</v>
      </c>
      <c r="I162" s="189">
        <f t="shared" si="81"/>
        <v>0.3</v>
      </c>
      <c r="J162" s="189">
        <f t="shared" si="81"/>
        <v>0.3</v>
      </c>
      <c r="K162" s="189">
        <f t="shared" si="81"/>
        <v>0.3</v>
      </c>
      <c r="L162" s="189">
        <f t="shared" si="81"/>
        <v>0.3</v>
      </c>
      <c r="M162" s="189">
        <f t="shared" si="81"/>
        <v>0.3</v>
      </c>
      <c r="N162" s="189">
        <f t="shared" si="81"/>
        <v>0.3</v>
      </c>
      <c r="O162" s="189">
        <f t="shared" si="81"/>
        <v>0.3</v>
      </c>
      <c r="P162" s="189">
        <f t="shared" si="81"/>
        <v>0.3</v>
      </c>
      <c r="Q162" s="189">
        <f t="shared" si="81"/>
        <v>0.3</v>
      </c>
      <c r="R162" s="189">
        <f t="shared" si="81"/>
        <v>0.3</v>
      </c>
      <c r="S162" s="189">
        <f t="shared" ref="S162:AF167" si="82">R162</f>
        <v>0.3</v>
      </c>
      <c r="T162" s="189">
        <f t="shared" si="82"/>
        <v>0.3</v>
      </c>
      <c r="U162" s="189">
        <f t="shared" si="82"/>
        <v>0.3</v>
      </c>
      <c r="V162" s="189">
        <f t="shared" si="82"/>
        <v>0.3</v>
      </c>
      <c r="W162" s="189">
        <f t="shared" si="82"/>
        <v>0.3</v>
      </c>
      <c r="X162" s="189">
        <f t="shared" si="82"/>
        <v>0.3</v>
      </c>
      <c r="Y162" s="189">
        <f t="shared" si="82"/>
        <v>0.3</v>
      </c>
      <c r="Z162" s="189">
        <f t="shared" si="82"/>
        <v>0.3</v>
      </c>
      <c r="AA162" s="189">
        <f t="shared" si="82"/>
        <v>0.3</v>
      </c>
      <c r="AB162" s="189">
        <f t="shared" si="82"/>
        <v>0.3</v>
      </c>
      <c r="AC162" s="189">
        <f t="shared" si="82"/>
        <v>0.3</v>
      </c>
      <c r="AD162" s="189">
        <f t="shared" si="82"/>
        <v>0.3</v>
      </c>
      <c r="AE162" s="189">
        <f t="shared" si="82"/>
        <v>0.3</v>
      </c>
      <c r="AF162" s="189">
        <f t="shared" si="82"/>
        <v>0.3</v>
      </c>
      <c r="AG162" s="190">
        <v>2.4</v>
      </c>
      <c r="AH162" s="46"/>
      <c r="AI162" s="47"/>
      <c r="AK162" s="49"/>
      <c r="AL162" s="188" t="s">
        <v>203</v>
      </c>
      <c r="AM162" s="139">
        <v>28</v>
      </c>
      <c r="AN162" s="139">
        <f t="shared" ref="AN162:AN167" si="83">AN$158*AM162</f>
        <v>28</v>
      </c>
      <c r="AO162" s="139">
        <f t="shared" si="80"/>
        <v>0</v>
      </c>
    </row>
    <row r="163" spans="1:41" x14ac:dyDescent="0.25">
      <c r="A163" s="118" t="s">
        <v>204</v>
      </c>
      <c r="B163" s="191">
        <v>0.4</v>
      </c>
      <c r="C163" s="191">
        <f t="shared" si="81"/>
        <v>0.4</v>
      </c>
      <c r="D163" s="191">
        <f t="shared" si="81"/>
        <v>0.4</v>
      </c>
      <c r="E163" s="191">
        <f t="shared" si="81"/>
        <v>0.4</v>
      </c>
      <c r="F163" s="191">
        <f t="shared" si="81"/>
        <v>0.4</v>
      </c>
      <c r="G163" s="191">
        <f t="shared" si="81"/>
        <v>0.4</v>
      </c>
      <c r="H163" s="191">
        <f t="shared" si="81"/>
        <v>0.4</v>
      </c>
      <c r="I163" s="191">
        <f t="shared" si="81"/>
        <v>0.4</v>
      </c>
      <c r="J163" s="191">
        <f t="shared" si="81"/>
        <v>0.4</v>
      </c>
      <c r="K163" s="191">
        <f t="shared" si="81"/>
        <v>0.4</v>
      </c>
      <c r="L163" s="191">
        <f t="shared" si="81"/>
        <v>0.4</v>
      </c>
      <c r="M163" s="191">
        <f t="shared" si="81"/>
        <v>0.4</v>
      </c>
      <c r="N163" s="191">
        <f t="shared" si="81"/>
        <v>0.4</v>
      </c>
      <c r="O163" s="191">
        <f t="shared" si="81"/>
        <v>0.4</v>
      </c>
      <c r="P163" s="191">
        <f t="shared" si="81"/>
        <v>0.4</v>
      </c>
      <c r="Q163" s="191">
        <f t="shared" si="81"/>
        <v>0.4</v>
      </c>
      <c r="R163" s="191">
        <f t="shared" si="81"/>
        <v>0.4</v>
      </c>
      <c r="S163" s="191">
        <f t="shared" si="82"/>
        <v>0.4</v>
      </c>
      <c r="T163" s="191">
        <f t="shared" si="82"/>
        <v>0.4</v>
      </c>
      <c r="U163" s="191">
        <f t="shared" si="82"/>
        <v>0.4</v>
      </c>
      <c r="V163" s="191">
        <f t="shared" si="82"/>
        <v>0.4</v>
      </c>
      <c r="W163" s="191">
        <f t="shared" si="82"/>
        <v>0.4</v>
      </c>
      <c r="X163" s="191">
        <f t="shared" si="82"/>
        <v>0.4</v>
      </c>
      <c r="Y163" s="191">
        <f t="shared" si="82"/>
        <v>0.4</v>
      </c>
      <c r="Z163" s="191">
        <f t="shared" si="82"/>
        <v>0.4</v>
      </c>
      <c r="AA163" s="191">
        <f t="shared" si="82"/>
        <v>0.4</v>
      </c>
      <c r="AB163" s="191">
        <f t="shared" si="82"/>
        <v>0.4</v>
      </c>
      <c r="AC163" s="191">
        <f t="shared" si="82"/>
        <v>0.4</v>
      </c>
      <c r="AD163" s="191">
        <f t="shared" si="82"/>
        <v>0.4</v>
      </c>
      <c r="AE163" s="191">
        <f t="shared" si="82"/>
        <v>0.4</v>
      </c>
      <c r="AF163" s="191">
        <f t="shared" si="82"/>
        <v>0.4</v>
      </c>
      <c r="AG163" s="192">
        <v>2</v>
      </c>
      <c r="AH163" s="46"/>
      <c r="AI163" s="47"/>
      <c r="AK163" s="49"/>
      <c r="AL163" s="138" t="s">
        <v>205</v>
      </c>
      <c r="AM163" s="139">
        <v>60</v>
      </c>
      <c r="AN163" s="139">
        <f t="shared" si="83"/>
        <v>60</v>
      </c>
      <c r="AO163" s="141">
        <f t="shared" si="80"/>
        <v>0</v>
      </c>
    </row>
    <row r="164" spans="1:41" x14ac:dyDescent="0.25">
      <c r="A164" s="118" t="s">
        <v>206</v>
      </c>
      <c r="B164" s="191">
        <v>1.5</v>
      </c>
      <c r="C164" s="191">
        <f t="shared" si="81"/>
        <v>1.5</v>
      </c>
      <c r="D164" s="191">
        <f t="shared" si="81"/>
        <v>1.5</v>
      </c>
      <c r="E164" s="191">
        <f t="shared" si="81"/>
        <v>1.5</v>
      </c>
      <c r="F164" s="191">
        <f t="shared" si="81"/>
        <v>1.5</v>
      </c>
      <c r="G164" s="191">
        <f t="shared" si="81"/>
        <v>1.5</v>
      </c>
      <c r="H164" s="191">
        <f t="shared" si="81"/>
        <v>1.5</v>
      </c>
      <c r="I164" s="191">
        <f t="shared" si="81"/>
        <v>1.5</v>
      </c>
      <c r="J164" s="191">
        <f t="shared" si="81"/>
        <v>1.5</v>
      </c>
      <c r="K164" s="191">
        <f t="shared" si="81"/>
        <v>1.5</v>
      </c>
      <c r="L164" s="191">
        <f t="shared" si="81"/>
        <v>1.5</v>
      </c>
      <c r="M164" s="191">
        <f t="shared" si="81"/>
        <v>1.5</v>
      </c>
      <c r="N164" s="191">
        <f t="shared" si="81"/>
        <v>1.5</v>
      </c>
      <c r="O164" s="191">
        <f t="shared" si="81"/>
        <v>1.5</v>
      </c>
      <c r="P164" s="191">
        <f t="shared" si="81"/>
        <v>1.5</v>
      </c>
      <c r="Q164" s="191">
        <f t="shared" si="81"/>
        <v>1.5</v>
      </c>
      <c r="R164" s="191">
        <f t="shared" si="81"/>
        <v>1.5</v>
      </c>
      <c r="S164" s="191">
        <f t="shared" si="82"/>
        <v>1.5</v>
      </c>
      <c r="T164" s="191">
        <f t="shared" si="82"/>
        <v>1.5</v>
      </c>
      <c r="U164" s="191">
        <f t="shared" si="82"/>
        <v>1.5</v>
      </c>
      <c r="V164" s="191">
        <f t="shared" si="82"/>
        <v>1.5</v>
      </c>
      <c r="W164" s="191">
        <f t="shared" si="82"/>
        <v>1.5</v>
      </c>
      <c r="X164" s="191">
        <f t="shared" si="82"/>
        <v>1.5</v>
      </c>
      <c r="Y164" s="191">
        <f t="shared" si="82"/>
        <v>1.5</v>
      </c>
      <c r="Z164" s="191">
        <f t="shared" si="82"/>
        <v>1.5</v>
      </c>
      <c r="AA164" s="191">
        <f t="shared" si="82"/>
        <v>1.5</v>
      </c>
      <c r="AB164" s="191">
        <f t="shared" si="82"/>
        <v>1.5</v>
      </c>
      <c r="AC164" s="191">
        <f t="shared" si="82"/>
        <v>1.5</v>
      </c>
      <c r="AD164" s="191">
        <f t="shared" si="82"/>
        <v>1.5</v>
      </c>
      <c r="AE164" s="191">
        <f t="shared" si="82"/>
        <v>1.5</v>
      </c>
      <c r="AF164" s="191">
        <f t="shared" si="82"/>
        <v>1.5</v>
      </c>
      <c r="AG164" s="192">
        <v>1.5</v>
      </c>
      <c r="AH164" s="46"/>
      <c r="AI164" s="47"/>
      <c r="AK164" s="49"/>
      <c r="AL164" s="138" t="s">
        <v>207</v>
      </c>
      <c r="AM164" s="139">
        <v>12</v>
      </c>
      <c r="AN164" s="139">
        <f t="shared" si="83"/>
        <v>12</v>
      </c>
      <c r="AO164" s="141">
        <f t="shared" si="80"/>
        <v>0</v>
      </c>
    </row>
    <row r="165" spans="1:41" x14ac:dyDescent="0.25">
      <c r="A165" s="118" t="s">
        <v>208</v>
      </c>
      <c r="B165" s="191">
        <v>0.3</v>
      </c>
      <c r="C165" s="191">
        <f t="shared" si="81"/>
        <v>0.3</v>
      </c>
      <c r="D165" s="191">
        <f t="shared" si="81"/>
        <v>0.3</v>
      </c>
      <c r="E165" s="191">
        <f t="shared" si="81"/>
        <v>0.3</v>
      </c>
      <c r="F165" s="191">
        <f t="shared" si="81"/>
        <v>0.3</v>
      </c>
      <c r="G165" s="191">
        <f t="shared" si="81"/>
        <v>0.3</v>
      </c>
      <c r="H165" s="191">
        <f t="shared" si="81"/>
        <v>0.3</v>
      </c>
      <c r="I165" s="191">
        <f t="shared" si="81"/>
        <v>0.3</v>
      </c>
      <c r="J165" s="191">
        <f t="shared" si="81"/>
        <v>0.3</v>
      </c>
      <c r="K165" s="191">
        <f t="shared" si="81"/>
        <v>0.3</v>
      </c>
      <c r="L165" s="191">
        <f t="shared" si="81"/>
        <v>0.3</v>
      </c>
      <c r="M165" s="191">
        <f t="shared" si="81"/>
        <v>0.3</v>
      </c>
      <c r="N165" s="191">
        <f t="shared" si="81"/>
        <v>0.3</v>
      </c>
      <c r="O165" s="191">
        <f t="shared" si="81"/>
        <v>0.3</v>
      </c>
      <c r="P165" s="191">
        <f t="shared" si="81"/>
        <v>0.3</v>
      </c>
      <c r="Q165" s="191">
        <f t="shared" si="81"/>
        <v>0.3</v>
      </c>
      <c r="R165" s="191">
        <f t="shared" si="81"/>
        <v>0.3</v>
      </c>
      <c r="S165" s="191">
        <f t="shared" si="82"/>
        <v>0.3</v>
      </c>
      <c r="T165" s="191">
        <f t="shared" si="82"/>
        <v>0.3</v>
      </c>
      <c r="U165" s="191">
        <f t="shared" si="82"/>
        <v>0.3</v>
      </c>
      <c r="V165" s="191">
        <f t="shared" si="82"/>
        <v>0.3</v>
      </c>
      <c r="W165" s="191">
        <f t="shared" si="82"/>
        <v>0.3</v>
      </c>
      <c r="X165" s="191">
        <f t="shared" si="82"/>
        <v>0.3</v>
      </c>
      <c r="Y165" s="191">
        <f t="shared" si="82"/>
        <v>0.3</v>
      </c>
      <c r="Z165" s="191">
        <f t="shared" si="82"/>
        <v>0.3</v>
      </c>
      <c r="AA165" s="191">
        <f t="shared" si="82"/>
        <v>0.3</v>
      </c>
      <c r="AB165" s="191">
        <f t="shared" si="82"/>
        <v>0.3</v>
      </c>
      <c r="AC165" s="191">
        <f t="shared" si="82"/>
        <v>0.3</v>
      </c>
      <c r="AD165" s="191">
        <f t="shared" si="82"/>
        <v>0.3</v>
      </c>
      <c r="AE165" s="191">
        <f t="shared" si="82"/>
        <v>0.3</v>
      </c>
      <c r="AF165" s="191">
        <f t="shared" si="82"/>
        <v>0.3</v>
      </c>
      <c r="AG165" s="192">
        <v>1</v>
      </c>
      <c r="AH165" s="46"/>
      <c r="AI165" s="47"/>
      <c r="AK165" s="49"/>
      <c r="AL165" s="138" t="s">
        <v>209</v>
      </c>
      <c r="AM165" s="139">
        <v>11</v>
      </c>
      <c r="AN165" s="139">
        <f t="shared" si="83"/>
        <v>11</v>
      </c>
      <c r="AO165" s="141">
        <f t="shared" si="80"/>
        <v>0</v>
      </c>
    </row>
    <row r="166" spans="1:41" x14ac:dyDescent="0.25">
      <c r="A166" s="118" t="s">
        <v>210</v>
      </c>
      <c r="B166" s="191">
        <v>0.4</v>
      </c>
      <c r="C166" s="191">
        <f t="shared" si="81"/>
        <v>0.4</v>
      </c>
      <c r="D166" s="191">
        <f t="shared" si="81"/>
        <v>0.4</v>
      </c>
      <c r="E166" s="191">
        <f t="shared" si="81"/>
        <v>0.4</v>
      </c>
      <c r="F166" s="191">
        <f t="shared" si="81"/>
        <v>0.4</v>
      </c>
      <c r="G166" s="191">
        <f t="shared" si="81"/>
        <v>0.4</v>
      </c>
      <c r="H166" s="191">
        <f t="shared" si="81"/>
        <v>0.4</v>
      </c>
      <c r="I166" s="191">
        <f t="shared" si="81"/>
        <v>0.4</v>
      </c>
      <c r="J166" s="191">
        <f t="shared" si="81"/>
        <v>0.4</v>
      </c>
      <c r="K166" s="191">
        <f t="shared" si="81"/>
        <v>0.4</v>
      </c>
      <c r="L166" s="191">
        <f t="shared" si="81"/>
        <v>0.4</v>
      </c>
      <c r="M166" s="191">
        <f t="shared" si="81"/>
        <v>0.4</v>
      </c>
      <c r="N166" s="191">
        <f t="shared" si="81"/>
        <v>0.4</v>
      </c>
      <c r="O166" s="191">
        <f t="shared" si="81"/>
        <v>0.4</v>
      </c>
      <c r="P166" s="191">
        <f t="shared" si="81"/>
        <v>0.4</v>
      </c>
      <c r="Q166" s="191">
        <f t="shared" si="81"/>
        <v>0.4</v>
      </c>
      <c r="R166" s="191">
        <f t="shared" si="81"/>
        <v>0.4</v>
      </c>
      <c r="S166" s="191">
        <f t="shared" si="82"/>
        <v>0.4</v>
      </c>
      <c r="T166" s="191">
        <f t="shared" si="82"/>
        <v>0.4</v>
      </c>
      <c r="U166" s="191">
        <f t="shared" si="82"/>
        <v>0.4</v>
      </c>
      <c r="V166" s="191">
        <f t="shared" si="82"/>
        <v>0.4</v>
      </c>
      <c r="W166" s="191">
        <f t="shared" si="82"/>
        <v>0.4</v>
      </c>
      <c r="X166" s="191">
        <f t="shared" si="82"/>
        <v>0.4</v>
      </c>
      <c r="Y166" s="191">
        <f t="shared" si="82"/>
        <v>0.4</v>
      </c>
      <c r="Z166" s="191">
        <f t="shared" si="82"/>
        <v>0.4</v>
      </c>
      <c r="AA166" s="191">
        <f t="shared" si="82"/>
        <v>0.4</v>
      </c>
      <c r="AB166" s="191">
        <f t="shared" si="82"/>
        <v>0.4</v>
      </c>
      <c r="AC166" s="191">
        <f t="shared" si="82"/>
        <v>0.4</v>
      </c>
      <c r="AD166" s="191">
        <f t="shared" si="82"/>
        <v>0.4</v>
      </c>
      <c r="AE166" s="191">
        <f t="shared" si="82"/>
        <v>0.4</v>
      </c>
      <c r="AF166" s="191">
        <f t="shared" si="82"/>
        <v>0.4</v>
      </c>
      <c r="AG166" s="192">
        <v>1</v>
      </c>
      <c r="AH166" s="46"/>
      <c r="AI166" s="47"/>
      <c r="AK166" s="49"/>
      <c r="AL166" s="138" t="s">
        <v>211</v>
      </c>
      <c r="AM166" s="139">
        <v>36</v>
      </c>
      <c r="AN166" s="139">
        <f t="shared" si="83"/>
        <v>36</v>
      </c>
      <c r="AO166" s="141">
        <f t="shared" si="80"/>
        <v>0</v>
      </c>
    </row>
    <row r="167" spans="1:41" ht="15.75" thickBot="1" x14ac:dyDescent="0.3">
      <c r="A167" s="193" t="s">
        <v>212</v>
      </c>
      <c r="B167" s="194">
        <v>0.64</v>
      </c>
      <c r="C167" s="194">
        <f t="shared" si="81"/>
        <v>0.64</v>
      </c>
      <c r="D167" s="194">
        <f t="shared" si="81"/>
        <v>0.64</v>
      </c>
      <c r="E167" s="194">
        <f t="shared" si="81"/>
        <v>0.64</v>
      </c>
      <c r="F167" s="194">
        <f t="shared" si="81"/>
        <v>0.64</v>
      </c>
      <c r="G167" s="194">
        <f t="shared" si="81"/>
        <v>0.64</v>
      </c>
      <c r="H167" s="194">
        <f t="shared" si="81"/>
        <v>0.64</v>
      </c>
      <c r="I167" s="194">
        <f t="shared" si="81"/>
        <v>0.64</v>
      </c>
      <c r="J167" s="194">
        <f t="shared" si="81"/>
        <v>0.64</v>
      </c>
      <c r="K167" s="194">
        <f t="shared" si="81"/>
        <v>0.64</v>
      </c>
      <c r="L167" s="194">
        <f t="shared" si="81"/>
        <v>0.64</v>
      </c>
      <c r="M167" s="194">
        <f t="shared" si="81"/>
        <v>0.64</v>
      </c>
      <c r="N167" s="194">
        <f t="shared" si="81"/>
        <v>0.64</v>
      </c>
      <c r="O167" s="194">
        <f t="shared" si="81"/>
        <v>0.64</v>
      </c>
      <c r="P167" s="194">
        <f t="shared" si="81"/>
        <v>0.64</v>
      </c>
      <c r="Q167" s="194">
        <f t="shared" si="81"/>
        <v>0.64</v>
      </c>
      <c r="R167" s="194">
        <f t="shared" si="81"/>
        <v>0.64</v>
      </c>
      <c r="S167" s="194">
        <f t="shared" si="82"/>
        <v>0.64</v>
      </c>
      <c r="T167" s="194">
        <f t="shared" si="82"/>
        <v>0.64</v>
      </c>
      <c r="U167" s="194">
        <f t="shared" si="82"/>
        <v>0.64</v>
      </c>
      <c r="V167" s="194">
        <f t="shared" si="82"/>
        <v>0.64</v>
      </c>
      <c r="W167" s="194">
        <f t="shared" si="82"/>
        <v>0.64</v>
      </c>
      <c r="X167" s="194">
        <f t="shared" si="82"/>
        <v>0.64</v>
      </c>
      <c r="Y167" s="194">
        <f t="shared" si="82"/>
        <v>0.64</v>
      </c>
      <c r="Z167" s="194">
        <f t="shared" si="82"/>
        <v>0.64</v>
      </c>
      <c r="AA167" s="194">
        <f t="shared" si="82"/>
        <v>0.64</v>
      </c>
      <c r="AB167" s="194">
        <f t="shared" si="82"/>
        <v>0.64</v>
      </c>
      <c r="AC167" s="194">
        <f t="shared" si="82"/>
        <v>0.64</v>
      </c>
      <c r="AD167" s="194">
        <f t="shared" si="82"/>
        <v>0.64</v>
      </c>
      <c r="AE167" s="194">
        <f t="shared" si="82"/>
        <v>0.64</v>
      </c>
      <c r="AF167" s="194">
        <f t="shared" si="82"/>
        <v>0.64</v>
      </c>
      <c r="AG167" s="195">
        <v>0.66</v>
      </c>
      <c r="AH167" s="46"/>
      <c r="AI167" s="47"/>
      <c r="AK167" s="49"/>
      <c r="AL167" s="138" t="s">
        <v>213</v>
      </c>
      <c r="AM167" s="139">
        <v>45</v>
      </c>
      <c r="AN167" s="139">
        <f t="shared" si="83"/>
        <v>45</v>
      </c>
      <c r="AO167" s="141">
        <f t="shared" si="80"/>
        <v>0</v>
      </c>
    </row>
    <row r="168" spans="1:41" ht="15.75" thickBot="1" x14ac:dyDescent="0.3">
      <c r="A168" s="196" t="s">
        <v>116</v>
      </c>
      <c r="B168" s="197">
        <v>3.54</v>
      </c>
      <c r="C168" s="197">
        <f t="shared" ref="C168:AG168" si="84">SUM(C162:C167)</f>
        <v>3.54</v>
      </c>
      <c r="D168" s="197">
        <f t="shared" si="84"/>
        <v>3.54</v>
      </c>
      <c r="E168" s="197">
        <f t="shared" si="84"/>
        <v>3.54</v>
      </c>
      <c r="F168" s="197">
        <f t="shared" si="84"/>
        <v>3.54</v>
      </c>
      <c r="G168" s="197">
        <f t="shared" si="84"/>
        <v>3.54</v>
      </c>
      <c r="H168" s="197">
        <f t="shared" si="84"/>
        <v>3.54</v>
      </c>
      <c r="I168" s="197">
        <f t="shared" si="84"/>
        <v>3.54</v>
      </c>
      <c r="J168" s="197">
        <f t="shared" si="84"/>
        <v>3.54</v>
      </c>
      <c r="K168" s="197">
        <f t="shared" si="84"/>
        <v>3.54</v>
      </c>
      <c r="L168" s="197">
        <f t="shared" si="84"/>
        <v>3.54</v>
      </c>
      <c r="M168" s="197">
        <f t="shared" si="84"/>
        <v>3.54</v>
      </c>
      <c r="N168" s="197">
        <f t="shared" si="84"/>
        <v>3.54</v>
      </c>
      <c r="O168" s="197">
        <f t="shared" si="84"/>
        <v>3.54</v>
      </c>
      <c r="P168" s="197">
        <f t="shared" si="84"/>
        <v>3.54</v>
      </c>
      <c r="Q168" s="197">
        <f t="shared" si="84"/>
        <v>3.54</v>
      </c>
      <c r="R168" s="197">
        <f t="shared" si="84"/>
        <v>3.54</v>
      </c>
      <c r="S168" s="197">
        <f t="shared" si="84"/>
        <v>3.54</v>
      </c>
      <c r="T168" s="197">
        <f t="shared" si="84"/>
        <v>3.54</v>
      </c>
      <c r="U168" s="197">
        <f t="shared" si="84"/>
        <v>3.54</v>
      </c>
      <c r="V168" s="197">
        <f t="shared" si="84"/>
        <v>3.54</v>
      </c>
      <c r="W168" s="197">
        <f t="shared" si="84"/>
        <v>3.54</v>
      </c>
      <c r="X168" s="197">
        <f t="shared" si="84"/>
        <v>3.54</v>
      </c>
      <c r="Y168" s="197">
        <f t="shared" si="84"/>
        <v>3.54</v>
      </c>
      <c r="Z168" s="197">
        <f t="shared" si="84"/>
        <v>3.54</v>
      </c>
      <c r="AA168" s="197">
        <f t="shared" si="84"/>
        <v>3.54</v>
      </c>
      <c r="AB168" s="197">
        <f t="shared" si="84"/>
        <v>3.54</v>
      </c>
      <c r="AC168" s="197">
        <f t="shared" si="84"/>
        <v>3.54</v>
      </c>
      <c r="AD168" s="197">
        <f t="shared" si="84"/>
        <v>3.54</v>
      </c>
      <c r="AE168" s="197">
        <f t="shared" si="84"/>
        <v>3.54</v>
      </c>
      <c r="AF168" s="197">
        <f t="shared" si="84"/>
        <v>3.54</v>
      </c>
      <c r="AG168" s="198">
        <f t="shared" si="84"/>
        <v>8.56</v>
      </c>
      <c r="AH168" s="46"/>
      <c r="AI168" s="47"/>
      <c r="AK168" s="49"/>
      <c r="AL168" s="148" t="s">
        <v>168</v>
      </c>
      <c r="AM168" s="149">
        <f>SUM(AM159:AM167)</f>
        <v>353</v>
      </c>
      <c r="AN168" s="149">
        <f>SUM(AN159:AN167)</f>
        <v>353</v>
      </c>
      <c r="AO168" s="150">
        <f>SUM(AO159:AO167)</f>
        <v>0</v>
      </c>
    </row>
    <row r="169" spans="1:41" ht="15.75" thickBot="1" x14ac:dyDescent="0.3">
      <c r="A169" s="199" t="s">
        <v>214</v>
      </c>
      <c r="B169" s="51"/>
      <c r="C169" s="51"/>
      <c r="D169" s="51"/>
      <c r="E169" s="51"/>
      <c r="F169" s="51" t="s">
        <v>215</v>
      </c>
      <c r="G169" s="51"/>
      <c r="H169" s="51"/>
      <c r="I169" s="51"/>
      <c r="J169" s="51"/>
      <c r="K169" s="51"/>
      <c r="L169" s="51"/>
      <c r="M169" s="51"/>
      <c r="N169" s="51"/>
      <c r="O169" s="51"/>
      <c r="P169" s="51"/>
      <c r="Q169" s="51"/>
      <c r="R169" s="51"/>
      <c r="S169" s="51"/>
      <c r="T169" s="51"/>
      <c r="U169" s="51"/>
      <c r="V169" s="51"/>
      <c r="W169" s="51"/>
      <c r="X169" s="51"/>
      <c r="Y169" s="51"/>
      <c r="Z169" s="51"/>
      <c r="AA169" s="51"/>
      <c r="AB169" s="51"/>
      <c r="AC169" s="51"/>
      <c r="AD169" s="51"/>
      <c r="AE169" s="51"/>
      <c r="AF169" s="51"/>
      <c r="AG169" s="200"/>
      <c r="AH169" s="46"/>
      <c r="AI169" s="47"/>
      <c r="AK169" s="49"/>
    </row>
    <row r="170" spans="1:41" ht="15.75" thickBot="1" x14ac:dyDescent="0.3">
      <c r="A170" s="201" t="s">
        <v>216</v>
      </c>
      <c r="B170" s="189">
        <v>0</v>
      </c>
      <c r="C170" s="189">
        <f t="shared" ref="C170:R185" si="85">B170</f>
        <v>0</v>
      </c>
      <c r="D170" s="189">
        <f t="shared" si="85"/>
        <v>0</v>
      </c>
      <c r="E170" s="189">
        <f t="shared" si="85"/>
        <v>0</v>
      </c>
      <c r="F170" s="189">
        <f t="shared" si="85"/>
        <v>0</v>
      </c>
      <c r="G170" s="189">
        <f t="shared" si="85"/>
        <v>0</v>
      </c>
      <c r="H170" s="189">
        <f t="shared" si="85"/>
        <v>0</v>
      </c>
      <c r="I170" s="189">
        <f t="shared" si="85"/>
        <v>0</v>
      </c>
      <c r="J170" s="189">
        <f t="shared" si="85"/>
        <v>0</v>
      </c>
      <c r="K170" s="189">
        <f t="shared" si="85"/>
        <v>0</v>
      </c>
      <c r="L170" s="189">
        <f t="shared" si="85"/>
        <v>0</v>
      </c>
      <c r="M170" s="189">
        <f t="shared" si="85"/>
        <v>0</v>
      </c>
      <c r="N170" s="189">
        <f t="shared" si="85"/>
        <v>0</v>
      </c>
      <c r="O170" s="189">
        <f t="shared" si="85"/>
        <v>0</v>
      </c>
      <c r="P170" s="189">
        <f t="shared" si="85"/>
        <v>0</v>
      </c>
      <c r="Q170" s="189">
        <f t="shared" si="85"/>
        <v>0</v>
      </c>
      <c r="R170" s="189">
        <f t="shared" si="85"/>
        <v>0</v>
      </c>
      <c r="S170" s="189">
        <f t="shared" ref="S170:AF185" si="86">R170</f>
        <v>0</v>
      </c>
      <c r="T170" s="189">
        <f t="shared" si="86"/>
        <v>0</v>
      </c>
      <c r="U170" s="189">
        <f t="shared" si="86"/>
        <v>0</v>
      </c>
      <c r="V170" s="189">
        <f t="shared" si="86"/>
        <v>0</v>
      </c>
      <c r="W170" s="189">
        <f t="shared" si="86"/>
        <v>0</v>
      </c>
      <c r="X170" s="189">
        <f t="shared" si="86"/>
        <v>0</v>
      </c>
      <c r="Y170" s="189">
        <f t="shared" si="86"/>
        <v>0</v>
      </c>
      <c r="Z170" s="189">
        <f t="shared" si="86"/>
        <v>0</v>
      </c>
      <c r="AA170" s="189">
        <f t="shared" si="86"/>
        <v>0</v>
      </c>
      <c r="AB170" s="189">
        <f t="shared" si="86"/>
        <v>0</v>
      </c>
      <c r="AC170" s="189">
        <f t="shared" si="86"/>
        <v>0</v>
      </c>
      <c r="AD170" s="189">
        <f t="shared" si="86"/>
        <v>0</v>
      </c>
      <c r="AE170" s="189">
        <f t="shared" si="86"/>
        <v>0</v>
      </c>
      <c r="AF170" s="202">
        <f t="shared" si="86"/>
        <v>0</v>
      </c>
      <c r="AG170" s="203">
        <v>9.94</v>
      </c>
      <c r="AH170" s="46"/>
      <c r="AI170" s="47"/>
      <c r="AK170" s="49"/>
    </row>
    <row r="171" spans="1:41" ht="15.75" thickBot="1" x14ac:dyDescent="0.3">
      <c r="A171" s="120" t="s">
        <v>217</v>
      </c>
      <c r="B171" s="191">
        <v>0</v>
      </c>
      <c r="C171" s="191">
        <f t="shared" si="85"/>
        <v>0</v>
      </c>
      <c r="D171" s="191">
        <f t="shared" si="85"/>
        <v>0</v>
      </c>
      <c r="E171" s="191">
        <f t="shared" si="85"/>
        <v>0</v>
      </c>
      <c r="F171" s="191">
        <f t="shared" si="85"/>
        <v>0</v>
      </c>
      <c r="G171" s="191">
        <f t="shared" si="85"/>
        <v>0</v>
      </c>
      <c r="H171" s="191">
        <f t="shared" si="85"/>
        <v>0</v>
      </c>
      <c r="I171" s="191">
        <f t="shared" si="85"/>
        <v>0</v>
      </c>
      <c r="J171" s="191">
        <f t="shared" si="85"/>
        <v>0</v>
      </c>
      <c r="K171" s="191">
        <f t="shared" si="85"/>
        <v>0</v>
      </c>
      <c r="L171" s="191">
        <f t="shared" si="85"/>
        <v>0</v>
      </c>
      <c r="M171" s="191">
        <f t="shared" si="85"/>
        <v>0</v>
      </c>
      <c r="N171" s="191">
        <f t="shared" si="85"/>
        <v>0</v>
      </c>
      <c r="O171" s="191">
        <f t="shared" si="85"/>
        <v>0</v>
      </c>
      <c r="P171" s="191">
        <f t="shared" si="85"/>
        <v>0</v>
      </c>
      <c r="Q171" s="191">
        <f t="shared" si="85"/>
        <v>0</v>
      </c>
      <c r="R171" s="191">
        <f t="shared" si="85"/>
        <v>0</v>
      </c>
      <c r="S171" s="191">
        <f t="shared" si="86"/>
        <v>0</v>
      </c>
      <c r="T171" s="191">
        <f t="shared" si="86"/>
        <v>0</v>
      </c>
      <c r="U171" s="191">
        <f t="shared" si="86"/>
        <v>0</v>
      </c>
      <c r="V171" s="191">
        <f t="shared" si="86"/>
        <v>0</v>
      </c>
      <c r="W171" s="191">
        <f t="shared" si="86"/>
        <v>0</v>
      </c>
      <c r="X171" s="191">
        <f t="shared" si="86"/>
        <v>0</v>
      </c>
      <c r="Y171" s="191">
        <f t="shared" si="86"/>
        <v>0</v>
      </c>
      <c r="Z171" s="191">
        <f t="shared" si="86"/>
        <v>0</v>
      </c>
      <c r="AA171" s="191">
        <f t="shared" si="86"/>
        <v>0</v>
      </c>
      <c r="AB171" s="191">
        <f t="shared" si="86"/>
        <v>0</v>
      </c>
      <c r="AC171" s="191">
        <f t="shared" si="86"/>
        <v>0</v>
      </c>
      <c r="AD171" s="191">
        <f t="shared" si="86"/>
        <v>0</v>
      </c>
      <c r="AE171" s="191">
        <f t="shared" si="86"/>
        <v>0</v>
      </c>
      <c r="AF171" s="204">
        <f t="shared" si="86"/>
        <v>0</v>
      </c>
      <c r="AG171" s="203"/>
      <c r="AH171" s="46"/>
      <c r="AI171" s="47"/>
      <c r="AK171" s="49"/>
      <c r="AL171" s="125"/>
      <c r="AM171" s="126" t="s">
        <v>157</v>
      </c>
      <c r="AN171" s="205" t="s">
        <v>218</v>
      </c>
      <c r="AO171" s="128" t="s">
        <v>158</v>
      </c>
    </row>
    <row r="172" spans="1:41" x14ac:dyDescent="0.25">
      <c r="A172" s="120" t="s">
        <v>219</v>
      </c>
      <c r="B172" s="191">
        <v>0</v>
      </c>
      <c r="C172" s="191">
        <f t="shared" si="85"/>
        <v>0</v>
      </c>
      <c r="D172" s="191">
        <f t="shared" si="85"/>
        <v>0</v>
      </c>
      <c r="E172" s="191">
        <f t="shared" si="85"/>
        <v>0</v>
      </c>
      <c r="F172" s="191">
        <f t="shared" si="85"/>
        <v>0</v>
      </c>
      <c r="G172" s="191">
        <f t="shared" si="85"/>
        <v>0</v>
      </c>
      <c r="H172" s="191">
        <f t="shared" si="85"/>
        <v>0</v>
      </c>
      <c r="I172" s="191">
        <f t="shared" si="85"/>
        <v>0</v>
      </c>
      <c r="J172" s="191">
        <f t="shared" si="85"/>
        <v>0</v>
      </c>
      <c r="K172" s="191">
        <f t="shared" si="85"/>
        <v>0</v>
      </c>
      <c r="L172" s="191">
        <f t="shared" si="85"/>
        <v>0</v>
      </c>
      <c r="M172" s="191">
        <f t="shared" si="85"/>
        <v>0</v>
      </c>
      <c r="N172" s="191">
        <f t="shared" si="85"/>
        <v>0</v>
      </c>
      <c r="O172" s="191">
        <f t="shared" si="85"/>
        <v>0</v>
      </c>
      <c r="P172" s="191">
        <f t="shared" si="85"/>
        <v>0</v>
      </c>
      <c r="Q172" s="191">
        <f t="shared" si="85"/>
        <v>0</v>
      </c>
      <c r="R172" s="191">
        <f t="shared" si="85"/>
        <v>0</v>
      </c>
      <c r="S172" s="191">
        <f t="shared" si="86"/>
        <v>0</v>
      </c>
      <c r="T172" s="191">
        <f t="shared" si="86"/>
        <v>0</v>
      </c>
      <c r="U172" s="191">
        <f t="shared" si="86"/>
        <v>0</v>
      </c>
      <c r="V172" s="191">
        <f t="shared" si="86"/>
        <v>0</v>
      </c>
      <c r="W172" s="191">
        <f t="shared" si="86"/>
        <v>0</v>
      </c>
      <c r="X172" s="191">
        <f t="shared" si="86"/>
        <v>0</v>
      </c>
      <c r="Y172" s="191">
        <f t="shared" si="86"/>
        <v>0</v>
      </c>
      <c r="Z172" s="191">
        <f t="shared" si="86"/>
        <v>0</v>
      </c>
      <c r="AA172" s="191">
        <f t="shared" si="86"/>
        <v>0</v>
      </c>
      <c r="AB172" s="191">
        <f t="shared" si="86"/>
        <v>0</v>
      </c>
      <c r="AC172" s="191">
        <f t="shared" si="86"/>
        <v>0</v>
      </c>
      <c r="AD172" s="191">
        <f t="shared" si="86"/>
        <v>0</v>
      </c>
      <c r="AE172" s="191">
        <f t="shared" si="86"/>
        <v>0</v>
      </c>
      <c r="AF172" s="204">
        <f t="shared" si="86"/>
        <v>0</v>
      </c>
      <c r="AG172" s="203"/>
      <c r="AH172" s="46"/>
      <c r="AI172" s="47"/>
      <c r="AK172" s="49"/>
      <c r="AL172" s="131" t="s">
        <v>220</v>
      </c>
      <c r="AM172" s="206">
        <v>78</v>
      </c>
      <c r="AN172" s="206"/>
      <c r="AO172" s="207">
        <f>AM172*AN172</f>
        <v>0</v>
      </c>
    </row>
    <row r="173" spans="1:41" x14ac:dyDescent="0.25">
      <c r="A173" s="120" t="s">
        <v>221</v>
      </c>
      <c r="B173" s="191">
        <v>0</v>
      </c>
      <c r="C173" s="191">
        <f t="shared" si="85"/>
        <v>0</v>
      </c>
      <c r="D173" s="191">
        <f t="shared" si="85"/>
        <v>0</v>
      </c>
      <c r="E173" s="191">
        <f t="shared" si="85"/>
        <v>0</v>
      </c>
      <c r="F173" s="191">
        <f t="shared" si="85"/>
        <v>0</v>
      </c>
      <c r="G173" s="191">
        <f t="shared" si="85"/>
        <v>0</v>
      </c>
      <c r="H173" s="191">
        <f t="shared" si="85"/>
        <v>0</v>
      </c>
      <c r="I173" s="191">
        <f t="shared" si="85"/>
        <v>0</v>
      </c>
      <c r="J173" s="191">
        <f t="shared" si="85"/>
        <v>0</v>
      </c>
      <c r="K173" s="191">
        <f t="shared" si="85"/>
        <v>0</v>
      </c>
      <c r="L173" s="191">
        <f t="shared" si="85"/>
        <v>0</v>
      </c>
      <c r="M173" s="191">
        <f t="shared" si="85"/>
        <v>0</v>
      </c>
      <c r="N173" s="191">
        <f t="shared" si="85"/>
        <v>0</v>
      </c>
      <c r="O173" s="191">
        <f t="shared" si="85"/>
        <v>0</v>
      </c>
      <c r="P173" s="191">
        <f t="shared" si="85"/>
        <v>0</v>
      </c>
      <c r="Q173" s="191">
        <f t="shared" si="85"/>
        <v>0</v>
      </c>
      <c r="R173" s="191">
        <f t="shared" si="85"/>
        <v>0</v>
      </c>
      <c r="S173" s="191">
        <f t="shared" si="86"/>
        <v>0</v>
      </c>
      <c r="T173" s="191">
        <f t="shared" si="86"/>
        <v>0</v>
      </c>
      <c r="U173" s="191">
        <f t="shared" si="86"/>
        <v>0</v>
      </c>
      <c r="V173" s="191">
        <f t="shared" si="86"/>
        <v>0</v>
      </c>
      <c r="W173" s="191">
        <f t="shared" si="86"/>
        <v>0</v>
      </c>
      <c r="X173" s="191">
        <f t="shared" si="86"/>
        <v>0</v>
      </c>
      <c r="Y173" s="191">
        <f t="shared" si="86"/>
        <v>0</v>
      </c>
      <c r="Z173" s="191">
        <f t="shared" si="86"/>
        <v>0</v>
      </c>
      <c r="AA173" s="191">
        <f t="shared" si="86"/>
        <v>0</v>
      </c>
      <c r="AB173" s="191">
        <f t="shared" si="86"/>
        <v>0</v>
      </c>
      <c r="AC173" s="191">
        <f t="shared" si="86"/>
        <v>0</v>
      </c>
      <c r="AD173" s="191">
        <f t="shared" si="86"/>
        <v>0</v>
      </c>
      <c r="AE173" s="191">
        <f t="shared" si="86"/>
        <v>0</v>
      </c>
      <c r="AF173" s="204">
        <f t="shared" si="86"/>
        <v>0</v>
      </c>
      <c r="AG173" s="203"/>
      <c r="AH173" s="46"/>
      <c r="AI173" s="47"/>
      <c r="AK173" s="49"/>
      <c r="AL173" s="138" t="s">
        <v>222</v>
      </c>
      <c r="AM173" s="208">
        <v>73</v>
      </c>
      <c r="AN173" s="208"/>
      <c r="AO173" s="209">
        <f>AM173*AN173</f>
        <v>0</v>
      </c>
    </row>
    <row r="174" spans="1:41" x14ac:dyDescent="0.25">
      <c r="A174" s="120" t="s">
        <v>223</v>
      </c>
      <c r="B174" s="191">
        <v>0</v>
      </c>
      <c r="C174" s="191">
        <f t="shared" si="85"/>
        <v>0</v>
      </c>
      <c r="D174" s="191">
        <f t="shared" si="85"/>
        <v>0</v>
      </c>
      <c r="E174" s="191">
        <f t="shared" si="85"/>
        <v>0</v>
      </c>
      <c r="F174" s="191">
        <f t="shared" si="85"/>
        <v>0</v>
      </c>
      <c r="G174" s="191">
        <f t="shared" si="85"/>
        <v>0</v>
      </c>
      <c r="H174" s="191">
        <f t="shared" si="85"/>
        <v>0</v>
      </c>
      <c r="I174" s="191">
        <f t="shared" si="85"/>
        <v>0</v>
      </c>
      <c r="J174" s="191">
        <f t="shared" si="85"/>
        <v>0</v>
      </c>
      <c r="K174" s="191">
        <f t="shared" si="85"/>
        <v>0</v>
      </c>
      <c r="L174" s="191">
        <f t="shared" si="85"/>
        <v>0</v>
      </c>
      <c r="M174" s="191">
        <f t="shared" si="85"/>
        <v>0</v>
      </c>
      <c r="N174" s="191">
        <f t="shared" si="85"/>
        <v>0</v>
      </c>
      <c r="O174" s="191">
        <f t="shared" si="85"/>
        <v>0</v>
      </c>
      <c r="P174" s="191">
        <f t="shared" si="85"/>
        <v>0</v>
      </c>
      <c r="Q174" s="191">
        <f t="shared" si="85"/>
        <v>0</v>
      </c>
      <c r="R174" s="191">
        <f t="shared" si="85"/>
        <v>0</v>
      </c>
      <c r="S174" s="191">
        <f t="shared" si="86"/>
        <v>0</v>
      </c>
      <c r="T174" s="191">
        <f t="shared" si="86"/>
        <v>0</v>
      </c>
      <c r="U174" s="191">
        <f t="shared" si="86"/>
        <v>0</v>
      </c>
      <c r="V174" s="191">
        <f t="shared" si="86"/>
        <v>0</v>
      </c>
      <c r="W174" s="191">
        <f t="shared" si="86"/>
        <v>0</v>
      </c>
      <c r="X174" s="191">
        <f t="shared" si="86"/>
        <v>0</v>
      </c>
      <c r="Y174" s="191">
        <f t="shared" si="86"/>
        <v>0</v>
      </c>
      <c r="Z174" s="191">
        <f t="shared" si="86"/>
        <v>0</v>
      </c>
      <c r="AA174" s="191">
        <f t="shared" si="86"/>
        <v>0</v>
      </c>
      <c r="AB174" s="191">
        <f t="shared" si="86"/>
        <v>0</v>
      </c>
      <c r="AC174" s="191">
        <f t="shared" si="86"/>
        <v>0</v>
      </c>
      <c r="AD174" s="191">
        <f t="shared" si="86"/>
        <v>0</v>
      </c>
      <c r="AE174" s="191">
        <f t="shared" si="86"/>
        <v>0</v>
      </c>
      <c r="AF174" s="204">
        <f t="shared" si="86"/>
        <v>0</v>
      </c>
      <c r="AG174" s="203"/>
      <c r="AH174" s="46"/>
      <c r="AI174" s="47"/>
      <c r="AK174" s="49"/>
      <c r="AL174" s="138" t="s">
        <v>224</v>
      </c>
      <c r="AM174" s="208">
        <v>25</v>
      </c>
      <c r="AN174" s="210"/>
      <c r="AO174" s="209">
        <f>AM174*AN174</f>
        <v>0</v>
      </c>
    </row>
    <row r="175" spans="1:41" x14ac:dyDescent="0.25">
      <c r="A175" s="120" t="s">
        <v>225</v>
      </c>
      <c r="B175" s="191">
        <v>0</v>
      </c>
      <c r="C175" s="191">
        <f t="shared" si="85"/>
        <v>0</v>
      </c>
      <c r="D175" s="191">
        <f t="shared" si="85"/>
        <v>0</v>
      </c>
      <c r="E175" s="191">
        <f t="shared" si="85"/>
        <v>0</v>
      </c>
      <c r="F175" s="191">
        <f t="shared" si="85"/>
        <v>0</v>
      </c>
      <c r="G175" s="191">
        <f t="shared" si="85"/>
        <v>0</v>
      </c>
      <c r="H175" s="191">
        <f t="shared" si="85"/>
        <v>0</v>
      </c>
      <c r="I175" s="191">
        <f t="shared" si="85"/>
        <v>0</v>
      </c>
      <c r="J175" s="191">
        <f t="shared" si="85"/>
        <v>0</v>
      </c>
      <c r="K175" s="191">
        <f t="shared" si="85"/>
        <v>0</v>
      </c>
      <c r="L175" s="191">
        <f t="shared" si="85"/>
        <v>0</v>
      </c>
      <c r="M175" s="191">
        <f t="shared" si="85"/>
        <v>0</v>
      </c>
      <c r="N175" s="191">
        <f t="shared" si="85"/>
        <v>0</v>
      </c>
      <c r="O175" s="191">
        <f t="shared" si="85"/>
        <v>0</v>
      </c>
      <c r="P175" s="191">
        <f t="shared" si="85"/>
        <v>0</v>
      </c>
      <c r="Q175" s="191">
        <f t="shared" si="85"/>
        <v>0</v>
      </c>
      <c r="R175" s="191">
        <f t="shared" si="85"/>
        <v>0</v>
      </c>
      <c r="S175" s="191">
        <f t="shared" si="86"/>
        <v>0</v>
      </c>
      <c r="T175" s="191">
        <f t="shared" si="86"/>
        <v>0</v>
      </c>
      <c r="U175" s="191">
        <f t="shared" si="86"/>
        <v>0</v>
      </c>
      <c r="V175" s="191">
        <f t="shared" si="86"/>
        <v>0</v>
      </c>
      <c r="W175" s="191">
        <f t="shared" si="86"/>
        <v>0</v>
      </c>
      <c r="X175" s="191">
        <f t="shared" si="86"/>
        <v>0</v>
      </c>
      <c r="Y175" s="191">
        <f t="shared" si="86"/>
        <v>0</v>
      </c>
      <c r="Z175" s="191">
        <f t="shared" si="86"/>
        <v>0</v>
      </c>
      <c r="AA175" s="191">
        <f t="shared" si="86"/>
        <v>0</v>
      </c>
      <c r="AB175" s="191">
        <f t="shared" si="86"/>
        <v>0</v>
      </c>
      <c r="AC175" s="191">
        <f t="shared" si="86"/>
        <v>0</v>
      </c>
      <c r="AD175" s="191">
        <f t="shared" si="86"/>
        <v>0</v>
      </c>
      <c r="AE175" s="191">
        <f t="shared" si="86"/>
        <v>0</v>
      </c>
      <c r="AF175" s="204">
        <f t="shared" si="86"/>
        <v>0</v>
      </c>
      <c r="AG175" s="203"/>
      <c r="AH175" s="46"/>
      <c r="AI175" s="47"/>
      <c r="AK175" s="49"/>
      <c r="AL175" s="211"/>
      <c r="AM175" s="208">
        <f>SUM(AM172:AM174)</f>
        <v>176</v>
      </c>
      <c r="AN175" s="208">
        <f>SUM(AN172:AN174)</f>
        <v>0</v>
      </c>
      <c r="AO175" s="209">
        <f>SUM(AO172:AO174)</f>
        <v>0</v>
      </c>
    </row>
    <row r="176" spans="1:41" ht="15.75" thickBot="1" x14ac:dyDescent="0.3">
      <c r="A176" s="120" t="s">
        <v>226</v>
      </c>
      <c r="B176" s="191">
        <v>0</v>
      </c>
      <c r="C176" s="191">
        <f t="shared" si="85"/>
        <v>0</v>
      </c>
      <c r="D176" s="191">
        <f t="shared" si="85"/>
        <v>0</v>
      </c>
      <c r="E176" s="191">
        <f t="shared" si="85"/>
        <v>0</v>
      </c>
      <c r="F176" s="191">
        <f t="shared" si="85"/>
        <v>0</v>
      </c>
      <c r="G176" s="191">
        <f t="shared" si="85"/>
        <v>0</v>
      </c>
      <c r="H176" s="191">
        <f t="shared" si="85"/>
        <v>0</v>
      </c>
      <c r="I176" s="191">
        <f t="shared" si="85"/>
        <v>0</v>
      </c>
      <c r="J176" s="191">
        <f t="shared" si="85"/>
        <v>0</v>
      </c>
      <c r="K176" s="191">
        <f t="shared" si="85"/>
        <v>0</v>
      </c>
      <c r="L176" s="191">
        <f t="shared" si="85"/>
        <v>0</v>
      </c>
      <c r="M176" s="191">
        <f t="shared" si="85"/>
        <v>0</v>
      </c>
      <c r="N176" s="191">
        <f t="shared" si="85"/>
        <v>0</v>
      </c>
      <c r="O176" s="191">
        <f t="shared" si="85"/>
        <v>0</v>
      </c>
      <c r="P176" s="191">
        <f t="shared" si="85"/>
        <v>0</v>
      </c>
      <c r="Q176" s="191">
        <f t="shared" si="85"/>
        <v>0</v>
      </c>
      <c r="R176" s="191">
        <f t="shared" si="85"/>
        <v>0</v>
      </c>
      <c r="S176" s="191">
        <f t="shared" si="86"/>
        <v>0</v>
      </c>
      <c r="T176" s="191">
        <f t="shared" si="86"/>
        <v>0</v>
      </c>
      <c r="U176" s="191">
        <f t="shared" si="86"/>
        <v>0</v>
      </c>
      <c r="V176" s="191">
        <f t="shared" si="86"/>
        <v>0</v>
      </c>
      <c r="W176" s="191">
        <f t="shared" si="86"/>
        <v>0</v>
      </c>
      <c r="X176" s="191">
        <f t="shared" si="86"/>
        <v>0</v>
      </c>
      <c r="Y176" s="191">
        <f t="shared" si="86"/>
        <v>0</v>
      </c>
      <c r="Z176" s="191">
        <f t="shared" si="86"/>
        <v>0</v>
      </c>
      <c r="AA176" s="191">
        <f t="shared" si="86"/>
        <v>0</v>
      </c>
      <c r="AB176" s="191">
        <f t="shared" si="86"/>
        <v>0</v>
      </c>
      <c r="AC176" s="191">
        <f t="shared" si="86"/>
        <v>0</v>
      </c>
      <c r="AD176" s="191">
        <f t="shared" si="86"/>
        <v>0</v>
      </c>
      <c r="AE176" s="191">
        <f t="shared" si="86"/>
        <v>0</v>
      </c>
      <c r="AF176" s="204">
        <f t="shared" si="86"/>
        <v>0</v>
      </c>
      <c r="AG176" s="203"/>
      <c r="AH176" s="46"/>
      <c r="AI176" s="47"/>
      <c r="AK176" s="49"/>
      <c r="AL176" s="212" t="s">
        <v>227</v>
      </c>
      <c r="AM176" s="213"/>
      <c r="AN176" s="213"/>
      <c r="AO176" s="214">
        <f>AO166+AO155+AO147+AO139+AO175</f>
        <v>83.259999999999977</v>
      </c>
    </row>
    <row r="177" spans="1:37" x14ac:dyDescent="0.25">
      <c r="A177" s="120" t="s">
        <v>228</v>
      </c>
      <c r="B177" s="191">
        <v>0</v>
      </c>
      <c r="C177" s="191">
        <f t="shared" si="85"/>
        <v>0</v>
      </c>
      <c r="D177" s="191">
        <f t="shared" si="85"/>
        <v>0</v>
      </c>
      <c r="E177" s="191">
        <f t="shared" si="85"/>
        <v>0</v>
      </c>
      <c r="F177" s="191">
        <f t="shared" si="85"/>
        <v>0</v>
      </c>
      <c r="G177" s="191">
        <f t="shared" si="85"/>
        <v>0</v>
      </c>
      <c r="H177" s="191">
        <f t="shared" si="85"/>
        <v>0</v>
      </c>
      <c r="I177" s="191">
        <f t="shared" si="85"/>
        <v>0</v>
      </c>
      <c r="J177" s="191">
        <f t="shared" si="85"/>
        <v>0</v>
      </c>
      <c r="K177" s="191">
        <f t="shared" si="85"/>
        <v>0</v>
      </c>
      <c r="L177" s="191">
        <f t="shared" si="85"/>
        <v>0</v>
      </c>
      <c r="M177" s="191">
        <f t="shared" si="85"/>
        <v>0</v>
      </c>
      <c r="N177" s="191">
        <f t="shared" si="85"/>
        <v>0</v>
      </c>
      <c r="O177" s="191">
        <f t="shared" si="85"/>
        <v>0</v>
      </c>
      <c r="P177" s="191">
        <f t="shared" si="85"/>
        <v>0</v>
      </c>
      <c r="Q177" s="191">
        <f t="shared" si="85"/>
        <v>0</v>
      </c>
      <c r="R177" s="191">
        <f t="shared" si="85"/>
        <v>0</v>
      </c>
      <c r="S177" s="191">
        <f t="shared" si="86"/>
        <v>0</v>
      </c>
      <c r="T177" s="191">
        <f t="shared" si="86"/>
        <v>0</v>
      </c>
      <c r="U177" s="191">
        <f t="shared" si="86"/>
        <v>0</v>
      </c>
      <c r="V177" s="191">
        <f t="shared" si="86"/>
        <v>0</v>
      </c>
      <c r="W177" s="191">
        <f t="shared" si="86"/>
        <v>0</v>
      </c>
      <c r="X177" s="191">
        <f t="shared" si="86"/>
        <v>0</v>
      </c>
      <c r="Y177" s="191">
        <f t="shared" si="86"/>
        <v>0</v>
      </c>
      <c r="Z177" s="191">
        <f t="shared" si="86"/>
        <v>0</v>
      </c>
      <c r="AA177" s="191">
        <f t="shared" si="86"/>
        <v>0</v>
      </c>
      <c r="AB177" s="191">
        <f t="shared" si="86"/>
        <v>0</v>
      </c>
      <c r="AC177" s="191">
        <f t="shared" si="86"/>
        <v>0</v>
      </c>
      <c r="AD177" s="191">
        <f t="shared" si="86"/>
        <v>0</v>
      </c>
      <c r="AE177" s="191">
        <f t="shared" si="86"/>
        <v>0</v>
      </c>
      <c r="AF177" s="204">
        <f t="shared" si="86"/>
        <v>0</v>
      </c>
      <c r="AG177" s="203"/>
      <c r="AH177" s="46"/>
      <c r="AI177" s="47"/>
      <c r="AK177" s="49"/>
    </row>
    <row r="178" spans="1:37" x14ac:dyDescent="0.25">
      <c r="A178" s="120" t="s">
        <v>229</v>
      </c>
      <c r="B178" s="191">
        <v>0</v>
      </c>
      <c r="C178" s="191">
        <f t="shared" si="85"/>
        <v>0</v>
      </c>
      <c r="D178" s="191">
        <f t="shared" si="85"/>
        <v>0</v>
      </c>
      <c r="E178" s="191">
        <f t="shared" si="85"/>
        <v>0</v>
      </c>
      <c r="F178" s="191">
        <f t="shared" si="85"/>
        <v>0</v>
      </c>
      <c r="G178" s="191">
        <f t="shared" si="85"/>
        <v>0</v>
      </c>
      <c r="H178" s="191">
        <f t="shared" si="85"/>
        <v>0</v>
      </c>
      <c r="I178" s="191">
        <f t="shared" si="85"/>
        <v>0</v>
      </c>
      <c r="J178" s="191">
        <f t="shared" si="85"/>
        <v>0</v>
      </c>
      <c r="K178" s="191">
        <f t="shared" si="85"/>
        <v>0</v>
      </c>
      <c r="L178" s="191">
        <f t="shared" si="85"/>
        <v>0</v>
      </c>
      <c r="M178" s="191">
        <f t="shared" si="85"/>
        <v>0</v>
      </c>
      <c r="N178" s="191">
        <f t="shared" si="85"/>
        <v>0</v>
      </c>
      <c r="O178" s="191">
        <f t="shared" si="85"/>
        <v>0</v>
      </c>
      <c r="P178" s="191">
        <f t="shared" si="85"/>
        <v>0</v>
      </c>
      <c r="Q178" s="191">
        <f t="shared" si="85"/>
        <v>0</v>
      </c>
      <c r="R178" s="191">
        <f t="shared" si="85"/>
        <v>0</v>
      </c>
      <c r="S178" s="191">
        <f t="shared" si="86"/>
        <v>0</v>
      </c>
      <c r="T178" s="191">
        <f t="shared" si="86"/>
        <v>0</v>
      </c>
      <c r="U178" s="191">
        <f t="shared" si="86"/>
        <v>0</v>
      </c>
      <c r="V178" s="191">
        <f t="shared" si="86"/>
        <v>0</v>
      </c>
      <c r="W178" s="191">
        <f t="shared" si="86"/>
        <v>0</v>
      </c>
      <c r="X178" s="191">
        <f t="shared" si="86"/>
        <v>0</v>
      </c>
      <c r="Y178" s="191">
        <f t="shared" si="86"/>
        <v>0</v>
      </c>
      <c r="Z178" s="191">
        <f t="shared" si="86"/>
        <v>0</v>
      </c>
      <c r="AA178" s="191">
        <f t="shared" si="86"/>
        <v>0</v>
      </c>
      <c r="AB178" s="191">
        <f t="shared" si="86"/>
        <v>0</v>
      </c>
      <c r="AC178" s="191">
        <f t="shared" si="86"/>
        <v>0</v>
      </c>
      <c r="AD178" s="191">
        <f t="shared" si="86"/>
        <v>0</v>
      </c>
      <c r="AE178" s="191">
        <f t="shared" si="86"/>
        <v>0</v>
      </c>
      <c r="AF178" s="204">
        <f t="shared" si="86"/>
        <v>0</v>
      </c>
      <c r="AG178" s="203"/>
      <c r="AH178" s="46"/>
      <c r="AI178" s="47"/>
      <c r="AK178" s="49"/>
    </row>
    <row r="179" spans="1:37" x14ac:dyDescent="0.25">
      <c r="A179" s="120" t="s">
        <v>230</v>
      </c>
      <c r="B179" s="191">
        <v>0</v>
      </c>
      <c r="C179" s="191">
        <f t="shared" si="85"/>
        <v>0</v>
      </c>
      <c r="D179" s="191">
        <f t="shared" si="85"/>
        <v>0</v>
      </c>
      <c r="E179" s="191">
        <f t="shared" si="85"/>
        <v>0</v>
      </c>
      <c r="F179" s="191">
        <f t="shared" si="85"/>
        <v>0</v>
      </c>
      <c r="G179" s="191">
        <f t="shared" si="85"/>
        <v>0</v>
      </c>
      <c r="H179" s="191">
        <f t="shared" si="85"/>
        <v>0</v>
      </c>
      <c r="I179" s="191">
        <f t="shared" si="85"/>
        <v>0</v>
      </c>
      <c r="J179" s="191">
        <f t="shared" si="85"/>
        <v>0</v>
      </c>
      <c r="K179" s="191">
        <f t="shared" si="85"/>
        <v>0</v>
      </c>
      <c r="L179" s="191">
        <f t="shared" si="85"/>
        <v>0</v>
      </c>
      <c r="M179" s="191">
        <f t="shared" si="85"/>
        <v>0</v>
      </c>
      <c r="N179" s="191">
        <f t="shared" si="85"/>
        <v>0</v>
      </c>
      <c r="O179" s="191">
        <f t="shared" si="85"/>
        <v>0</v>
      </c>
      <c r="P179" s="191">
        <f t="shared" si="85"/>
        <v>0</v>
      </c>
      <c r="Q179" s="191">
        <f t="shared" si="85"/>
        <v>0</v>
      </c>
      <c r="R179" s="191">
        <f t="shared" si="85"/>
        <v>0</v>
      </c>
      <c r="S179" s="191">
        <f t="shared" si="86"/>
        <v>0</v>
      </c>
      <c r="T179" s="191">
        <f t="shared" si="86"/>
        <v>0</v>
      </c>
      <c r="U179" s="191">
        <f t="shared" si="86"/>
        <v>0</v>
      </c>
      <c r="V179" s="191">
        <f t="shared" si="86"/>
        <v>0</v>
      </c>
      <c r="W179" s="191">
        <f t="shared" si="86"/>
        <v>0</v>
      </c>
      <c r="X179" s="191">
        <f t="shared" si="86"/>
        <v>0</v>
      </c>
      <c r="Y179" s="191">
        <f t="shared" si="86"/>
        <v>0</v>
      </c>
      <c r="Z179" s="191">
        <f t="shared" si="86"/>
        <v>0</v>
      </c>
      <c r="AA179" s="191">
        <f t="shared" si="86"/>
        <v>0</v>
      </c>
      <c r="AB179" s="191">
        <f t="shared" si="86"/>
        <v>0</v>
      </c>
      <c r="AC179" s="191">
        <f t="shared" si="86"/>
        <v>0</v>
      </c>
      <c r="AD179" s="191">
        <f t="shared" si="86"/>
        <v>0</v>
      </c>
      <c r="AE179" s="191">
        <f t="shared" si="86"/>
        <v>0</v>
      </c>
      <c r="AF179" s="204">
        <f t="shared" si="86"/>
        <v>0</v>
      </c>
      <c r="AG179" s="203"/>
      <c r="AH179" s="46"/>
      <c r="AI179" s="47"/>
      <c r="AK179" s="49"/>
    </row>
    <row r="180" spans="1:37" x14ac:dyDescent="0.25">
      <c r="A180" s="120" t="s">
        <v>231</v>
      </c>
      <c r="B180" s="191">
        <v>0</v>
      </c>
      <c r="C180" s="191">
        <f t="shared" si="85"/>
        <v>0</v>
      </c>
      <c r="D180" s="191">
        <f t="shared" si="85"/>
        <v>0</v>
      </c>
      <c r="E180" s="191">
        <f t="shared" si="85"/>
        <v>0</v>
      </c>
      <c r="F180" s="191">
        <f t="shared" si="85"/>
        <v>0</v>
      </c>
      <c r="G180" s="191">
        <f t="shared" si="85"/>
        <v>0</v>
      </c>
      <c r="H180" s="191">
        <f t="shared" si="85"/>
        <v>0</v>
      </c>
      <c r="I180" s="191">
        <f t="shared" si="85"/>
        <v>0</v>
      </c>
      <c r="J180" s="191">
        <f t="shared" si="85"/>
        <v>0</v>
      </c>
      <c r="K180" s="191">
        <f t="shared" si="85"/>
        <v>0</v>
      </c>
      <c r="L180" s="191">
        <f t="shared" si="85"/>
        <v>0</v>
      </c>
      <c r="M180" s="191">
        <f t="shared" si="85"/>
        <v>0</v>
      </c>
      <c r="N180" s="191">
        <f t="shared" si="85"/>
        <v>0</v>
      </c>
      <c r="O180" s="191">
        <f t="shared" si="85"/>
        <v>0</v>
      </c>
      <c r="P180" s="191">
        <f t="shared" si="85"/>
        <v>0</v>
      </c>
      <c r="Q180" s="191">
        <f t="shared" si="85"/>
        <v>0</v>
      </c>
      <c r="R180" s="191">
        <f t="shared" si="85"/>
        <v>0</v>
      </c>
      <c r="S180" s="191">
        <f t="shared" si="86"/>
        <v>0</v>
      </c>
      <c r="T180" s="191">
        <f t="shared" si="86"/>
        <v>0</v>
      </c>
      <c r="U180" s="191">
        <f t="shared" si="86"/>
        <v>0</v>
      </c>
      <c r="V180" s="191">
        <f t="shared" si="86"/>
        <v>0</v>
      </c>
      <c r="W180" s="191">
        <f t="shared" si="86"/>
        <v>0</v>
      </c>
      <c r="X180" s="191">
        <f t="shared" si="86"/>
        <v>0</v>
      </c>
      <c r="Y180" s="191">
        <f t="shared" si="86"/>
        <v>0</v>
      </c>
      <c r="Z180" s="191">
        <f t="shared" si="86"/>
        <v>0</v>
      </c>
      <c r="AA180" s="191">
        <f t="shared" si="86"/>
        <v>0</v>
      </c>
      <c r="AB180" s="191">
        <f t="shared" si="86"/>
        <v>0</v>
      </c>
      <c r="AC180" s="191">
        <f t="shared" si="86"/>
        <v>0</v>
      </c>
      <c r="AD180" s="191">
        <f t="shared" si="86"/>
        <v>0</v>
      </c>
      <c r="AE180" s="191">
        <f t="shared" si="86"/>
        <v>0</v>
      </c>
      <c r="AF180" s="204">
        <f t="shared" si="86"/>
        <v>0</v>
      </c>
      <c r="AG180" s="203"/>
      <c r="AH180" s="46"/>
      <c r="AI180" s="47"/>
      <c r="AK180" s="49"/>
    </row>
    <row r="181" spans="1:37" x14ac:dyDescent="0.25">
      <c r="A181" s="120" t="s">
        <v>232</v>
      </c>
      <c r="B181" s="191">
        <v>0</v>
      </c>
      <c r="C181" s="191">
        <f t="shared" si="85"/>
        <v>0</v>
      </c>
      <c r="D181" s="191">
        <f t="shared" si="85"/>
        <v>0</v>
      </c>
      <c r="E181" s="191">
        <f t="shared" si="85"/>
        <v>0</v>
      </c>
      <c r="F181" s="191">
        <f t="shared" si="85"/>
        <v>0</v>
      </c>
      <c r="G181" s="191">
        <f t="shared" si="85"/>
        <v>0</v>
      </c>
      <c r="H181" s="191">
        <f t="shared" si="85"/>
        <v>0</v>
      </c>
      <c r="I181" s="191">
        <f t="shared" si="85"/>
        <v>0</v>
      </c>
      <c r="J181" s="191">
        <f t="shared" si="85"/>
        <v>0</v>
      </c>
      <c r="K181" s="191">
        <f t="shared" si="85"/>
        <v>0</v>
      </c>
      <c r="L181" s="191">
        <f t="shared" si="85"/>
        <v>0</v>
      </c>
      <c r="M181" s="191">
        <f t="shared" si="85"/>
        <v>0</v>
      </c>
      <c r="N181" s="191">
        <f t="shared" si="85"/>
        <v>0</v>
      </c>
      <c r="O181" s="191">
        <f t="shared" si="85"/>
        <v>0</v>
      </c>
      <c r="P181" s="191">
        <f t="shared" si="85"/>
        <v>0</v>
      </c>
      <c r="Q181" s="191">
        <f t="shared" si="85"/>
        <v>0</v>
      </c>
      <c r="R181" s="191">
        <f t="shared" si="85"/>
        <v>0</v>
      </c>
      <c r="S181" s="191">
        <f t="shared" si="86"/>
        <v>0</v>
      </c>
      <c r="T181" s="191">
        <f t="shared" si="86"/>
        <v>0</v>
      </c>
      <c r="U181" s="191">
        <f t="shared" si="86"/>
        <v>0</v>
      </c>
      <c r="V181" s="191">
        <f t="shared" si="86"/>
        <v>0</v>
      </c>
      <c r="W181" s="191">
        <f t="shared" si="86"/>
        <v>0</v>
      </c>
      <c r="X181" s="191">
        <f t="shared" si="86"/>
        <v>0</v>
      </c>
      <c r="Y181" s="191">
        <f t="shared" si="86"/>
        <v>0</v>
      </c>
      <c r="Z181" s="191">
        <f t="shared" si="86"/>
        <v>0</v>
      </c>
      <c r="AA181" s="191">
        <f t="shared" si="86"/>
        <v>0</v>
      </c>
      <c r="AB181" s="191">
        <f t="shared" si="86"/>
        <v>0</v>
      </c>
      <c r="AC181" s="191">
        <f t="shared" si="86"/>
        <v>0</v>
      </c>
      <c r="AD181" s="191">
        <f t="shared" si="86"/>
        <v>0</v>
      </c>
      <c r="AE181" s="191">
        <f t="shared" si="86"/>
        <v>0</v>
      </c>
      <c r="AF181" s="204">
        <f t="shared" si="86"/>
        <v>0</v>
      </c>
      <c r="AG181" s="203"/>
      <c r="AH181" s="46"/>
      <c r="AI181" s="47"/>
      <c r="AK181" s="49"/>
    </row>
    <row r="182" spans="1:37" ht="13.5" customHeight="1" x14ac:dyDescent="0.25">
      <c r="A182" s="120" t="s">
        <v>233</v>
      </c>
      <c r="B182" s="191">
        <v>0</v>
      </c>
      <c r="C182" s="191">
        <f t="shared" si="85"/>
        <v>0</v>
      </c>
      <c r="D182" s="191">
        <f t="shared" si="85"/>
        <v>0</v>
      </c>
      <c r="E182" s="191">
        <f t="shared" si="85"/>
        <v>0</v>
      </c>
      <c r="F182" s="191">
        <f t="shared" si="85"/>
        <v>0</v>
      </c>
      <c r="G182" s="191">
        <f t="shared" si="85"/>
        <v>0</v>
      </c>
      <c r="H182" s="191">
        <f t="shared" si="85"/>
        <v>0</v>
      </c>
      <c r="I182" s="191">
        <f t="shared" si="85"/>
        <v>0</v>
      </c>
      <c r="J182" s="191">
        <f t="shared" si="85"/>
        <v>0</v>
      </c>
      <c r="K182" s="191">
        <f t="shared" si="85"/>
        <v>0</v>
      </c>
      <c r="L182" s="191">
        <f t="shared" si="85"/>
        <v>0</v>
      </c>
      <c r="M182" s="191">
        <f t="shared" si="85"/>
        <v>0</v>
      </c>
      <c r="N182" s="191">
        <f t="shared" si="85"/>
        <v>0</v>
      </c>
      <c r="O182" s="191">
        <f t="shared" si="85"/>
        <v>0</v>
      </c>
      <c r="P182" s="191">
        <f t="shared" si="85"/>
        <v>0</v>
      </c>
      <c r="Q182" s="191">
        <f t="shared" si="85"/>
        <v>0</v>
      </c>
      <c r="R182" s="191">
        <f t="shared" si="85"/>
        <v>0</v>
      </c>
      <c r="S182" s="191">
        <f t="shared" si="86"/>
        <v>0</v>
      </c>
      <c r="T182" s="191">
        <f t="shared" si="86"/>
        <v>0</v>
      </c>
      <c r="U182" s="191">
        <f t="shared" si="86"/>
        <v>0</v>
      </c>
      <c r="V182" s="191">
        <f t="shared" si="86"/>
        <v>0</v>
      </c>
      <c r="W182" s="191">
        <f t="shared" si="86"/>
        <v>0</v>
      </c>
      <c r="X182" s="191">
        <f t="shared" si="86"/>
        <v>0</v>
      </c>
      <c r="Y182" s="191">
        <f t="shared" si="86"/>
        <v>0</v>
      </c>
      <c r="Z182" s="191">
        <f t="shared" si="86"/>
        <v>0</v>
      </c>
      <c r="AA182" s="191">
        <f t="shared" si="86"/>
        <v>0</v>
      </c>
      <c r="AB182" s="191">
        <f t="shared" si="86"/>
        <v>0</v>
      </c>
      <c r="AC182" s="191">
        <f t="shared" si="86"/>
        <v>0</v>
      </c>
      <c r="AD182" s="191">
        <f t="shared" si="86"/>
        <v>0</v>
      </c>
      <c r="AE182" s="191">
        <f t="shared" si="86"/>
        <v>0</v>
      </c>
      <c r="AF182" s="204">
        <f t="shared" si="86"/>
        <v>0</v>
      </c>
      <c r="AG182" s="203"/>
      <c r="AH182" s="46"/>
      <c r="AI182" s="47"/>
      <c r="AK182" s="49"/>
    </row>
    <row r="183" spans="1:37" x14ac:dyDescent="0.25">
      <c r="A183" s="120" t="s">
        <v>234</v>
      </c>
      <c r="B183" s="191">
        <v>0</v>
      </c>
      <c r="C183" s="191">
        <f t="shared" si="85"/>
        <v>0</v>
      </c>
      <c r="D183" s="191">
        <f t="shared" si="85"/>
        <v>0</v>
      </c>
      <c r="E183" s="191">
        <f t="shared" si="85"/>
        <v>0</v>
      </c>
      <c r="F183" s="191">
        <f t="shared" si="85"/>
        <v>0</v>
      </c>
      <c r="G183" s="191">
        <f t="shared" si="85"/>
        <v>0</v>
      </c>
      <c r="H183" s="191">
        <f t="shared" si="85"/>
        <v>0</v>
      </c>
      <c r="I183" s="191">
        <f t="shared" si="85"/>
        <v>0</v>
      </c>
      <c r="J183" s="191">
        <f t="shared" si="85"/>
        <v>0</v>
      </c>
      <c r="K183" s="191">
        <f t="shared" si="85"/>
        <v>0</v>
      </c>
      <c r="L183" s="191">
        <f t="shared" si="85"/>
        <v>0</v>
      </c>
      <c r="M183" s="191">
        <f t="shared" si="85"/>
        <v>0</v>
      </c>
      <c r="N183" s="191">
        <f t="shared" si="85"/>
        <v>0</v>
      </c>
      <c r="O183" s="191">
        <f t="shared" si="85"/>
        <v>0</v>
      </c>
      <c r="P183" s="191">
        <f t="shared" si="85"/>
        <v>0</v>
      </c>
      <c r="Q183" s="191">
        <f t="shared" si="85"/>
        <v>0</v>
      </c>
      <c r="R183" s="191">
        <f t="shared" si="85"/>
        <v>0</v>
      </c>
      <c r="S183" s="191">
        <f t="shared" si="86"/>
        <v>0</v>
      </c>
      <c r="T183" s="191">
        <f t="shared" si="86"/>
        <v>0</v>
      </c>
      <c r="U183" s="191">
        <f t="shared" si="86"/>
        <v>0</v>
      </c>
      <c r="V183" s="191">
        <f t="shared" si="86"/>
        <v>0</v>
      </c>
      <c r="W183" s="191">
        <f t="shared" si="86"/>
        <v>0</v>
      </c>
      <c r="X183" s="191">
        <f t="shared" si="86"/>
        <v>0</v>
      </c>
      <c r="Y183" s="191">
        <f t="shared" si="86"/>
        <v>0</v>
      </c>
      <c r="Z183" s="191">
        <f t="shared" si="86"/>
        <v>0</v>
      </c>
      <c r="AA183" s="191">
        <f t="shared" si="86"/>
        <v>0</v>
      </c>
      <c r="AB183" s="191">
        <f t="shared" si="86"/>
        <v>0</v>
      </c>
      <c r="AC183" s="191">
        <f t="shared" si="86"/>
        <v>0</v>
      </c>
      <c r="AD183" s="191">
        <f t="shared" si="86"/>
        <v>0</v>
      </c>
      <c r="AE183" s="191">
        <f t="shared" si="86"/>
        <v>0</v>
      </c>
      <c r="AF183" s="204">
        <f t="shared" si="86"/>
        <v>0</v>
      </c>
      <c r="AG183" s="203"/>
      <c r="AH183" s="46"/>
      <c r="AI183" s="47"/>
      <c r="AK183" s="49"/>
    </row>
    <row r="184" spans="1:37" x14ac:dyDescent="0.25">
      <c r="A184" s="120" t="s">
        <v>235</v>
      </c>
      <c r="B184" s="191">
        <v>0</v>
      </c>
      <c r="C184" s="191">
        <f t="shared" si="85"/>
        <v>0</v>
      </c>
      <c r="D184" s="191">
        <f t="shared" si="85"/>
        <v>0</v>
      </c>
      <c r="E184" s="191">
        <f t="shared" si="85"/>
        <v>0</v>
      </c>
      <c r="F184" s="191">
        <f t="shared" si="85"/>
        <v>0</v>
      </c>
      <c r="G184" s="191">
        <f t="shared" si="85"/>
        <v>0</v>
      </c>
      <c r="H184" s="191">
        <f t="shared" si="85"/>
        <v>0</v>
      </c>
      <c r="I184" s="191">
        <f t="shared" si="85"/>
        <v>0</v>
      </c>
      <c r="J184" s="191">
        <f t="shared" si="85"/>
        <v>0</v>
      </c>
      <c r="K184" s="191">
        <f t="shared" si="85"/>
        <v>0</v>
      </c>
      <c r="L184" s="191">
        <f t="shared" si="85"/>
        <v>0</v>
      </c>
      <c r="M184" s="191">
        <f t="shared" si="85"/>
        <v>0</v>
      </c>
      <c r="N184" s="191">
        <f t="shared" si="85"/>
        <v>0</v>
      </c>
      <c r="O184" s="191">
        <f t="shared" si="85"/>
        <v>0</v>
      </c>
      <c r="P184" s="191">
        <f t="shared" si="85"/>
        <v>0</v>
      </c>
      <c r="Q184" s="191">
        <f t="shared" si="85"/>
        <v>0</v>
      </c>
      <c r="R184" s="191">
        <f t="shared" si="85"/>
        <v>0</v>
      </c>
      <c r="S184" s="191">
        <f t="shared" si="86"/>
        <v>0</v>
      </c>
      <c r="T184" s="191">
        <f t="shared" si="86"/>
        <v>0</v>
      </c>
      <c r="U184" s="191">
        <f t="shared" si="86"/>
        <v>0</v>
      </c>
      <c r="V184" s="191">
        <f t="shared" si="86"/>
        <v>0</v>
      </c>
      <c r="W184" s="191">
        <f t="shared" si="86"/>
        <v>0</v>
      </c>
      <c r="X184" s="191">
        <f t="shared" si="86"/>
        <v>0</v>
      </c>
      <c r="Y184" s="191">
        <f t="shared" si="86"/>
        <v>0</v>
      </c>
      <c r="Z184" s="191">
        <f t="shared" si="86"/>
        <v>0</v>
      </c>
      <c r="AA184" s="191">
        <f t="shared" si="86"/>
        <v>0</v>
      </c>
      <c r="AB184" s="191">
        <f t="shared" si="86"/>
        <v>0</v>
      </c>
      <c r="AC184" s="191">
        <f t="shared" si="86"/>
        <v>0</v>
      </c>
      <c r="AD184" s="191">
        <f t="shared" si="86"/>
        <v>0</v>
      </c>
      <c r="AE184" s="191">
        <f t="shared" si="86"/>
        <v>0</v>
      </c>
      <c r="AF184" s="204">
        <f t="shared" si="86"/>
        <v>0</v>
      </c>
      <c r="AG184" s="203"/>
      <c r="AH184" s="46"/>
      <c r="AI184" s="47"/>
      <c r="AK184" s="49"/>
    </row>
    <row r="185" spans="1:37" x14ac:dyDescent="0.25">
      <c r="A185" s="120" t="s">
        <v>236</v>
      </c>
      <c r="B185" s="191">
        <v>0</v>
      </c>
      <c r="C185" s="191">
        <f t="shared" si="85"/>
        <v>0</v>
      </c>
      <c r="D185" s="191">
        <f t="shared" si="85"/>
        <v>0</v>
      </c>
      <c r="E185" s="191">
        <f t="shared" si="85"/>
        <v>0</v>
      </c>
      <c r="F185" s="191">
        <f t="shared" si="85"/>
        <v>0</v>
      </c>
      <c r="G185" s="191">
        <f t="shared" si="85"/>
        <v>0</v>
      </c>
      <c r="H185" s="191">
        <f t="shared" si="85"/>
        <v>0</v>
      </c>
      <c r="I185" s="191">
        <f t="shared" si="85"/>
        <v>0</v>
      </c>
      <c r="J185" s="191">
        <f t="shared" si="85"/>
        <v>0</v>
      </c>
      <c r="K185" s="191">
        <f t="shared" si="85"/>
        <v>0</v>
      </c>
      <c r="L185" s="191">
        <f t="shared" si="85"/>
        <v>0</v>
      </c>
      <c r="M185" s="191">
        <f t="shared" si="85"/>
        <v>0</v>
      </c>
      <c r="N185" s="191">
        <f t="shared" si="85"/>
        <v>0</v>
      </c>
      <c r="O185" s="191">
        <f t="shared" si="85"/>
        <v>0</v>
      </c>
      <c r="P185" s="191">
        <f t="shared" si="85"/>
        <v>0</v>
      </c>
      <c r="Q185" s="191">
        <f t="shared" si="85"/>
        <v>0</v>
      </c>
      <c r="R185" s="191">
        <f t="shared" ref="R185:AF200" si="87">Q185</f>
        <v>0</v>
      </c>
      <c r="S185" s="191">
        <f t="shared" si="87"/>
        <v>0</v>
      </c>
      <c r="T185" s="191">
        <f t="shared" si="87"/>
        <v>0</v>
      </c>
      <c r="U185" s="191">
        <f t="shared" si="87"/>
        <v>0</v>
      </c>
      <c r="V185" s="191">
        <f t="shared" si="87"/>
        <v>0</v>
      </c>
      <c r="W185" s="191">
        <f t="shared" si="87"/>
        <v>0</v>
      </c>
      <c r="X185" s="191">
        <f t="shared" si="87"/>
        <v>0</v>
      </c>
      <c r="Y185" s="191">
        <f t="shared" si="87"/>
        <v>0</v>
      </c>
      <c r="Z185" s="191">
        <f t="shared" si="87"/>
        <v>0</v>
      </c>
      <c r="AA185" s="191">
        <f t="shared" si="87"/>
        <v>0</v>
      </c>
      <c r="AB185" s="191">
        <f t="shared" si="86"/>
        <v>0</v>
      </c>
      <c r="AC185" s="191">
        <f t="shared" si="86"/>
        <v>0</v>
      </c>
      <c r="AD185" s="191">
        <f t="shared" si="87"/>
        <v>0</v>
      </c>
      <c r="AE185" s="191">
        <f t="shared" si="87"/>
        <v>0</v>
      </c>
      <c r="AF185" s="204">
        <f t="shared" si="87"/>
        <v>0</v>
      </c>
      <c r="AG185" s="203"/>
      <c r="AH185" s="46"/>
      <c r="AI185" s="47"/>
      <c r="AK185" s="49"/>
    </row>
    <row r="186" spans="1:37" x14ac:dyDescent="0.25">
      <c r="A186" s="120" t="s">
        <v>237</v>
      </c>
      <c r="B186" s="191">
        <v>0</v>
      </c>
      <c r="C186" s="191">
        <f t="shared" ref="C186:R201" si="88">B186</f>
        <v>0</v>
      </c>
      <c r="D186" s="191">
        <f t="shared" si="88"/>
        <v>0</v>
      </c>
      <c r="E186" s="191">
        <f t="shared" si="88"/>
        <v>0</v>
      </c>
      <c r="F186" s="191">
        <f t="shared" si="88"/>
        <v>0</v>
      </c>
      <c r="G186" s="191">
        <f t="shared" si="88"/>
        <v>0</v>
      </c>
      <c r="H186" s="191">
        <f t="shared" si="88"/>
        <v>0</v>
      </c>
      <c r="I186" s="191">
        <f t="shared" si="88"/>
        <v>0</v>
      </c>
      <c r="J186" s="191">
        <f t="shared" si="88"/>
        <v>0</v>
      </c>
      <c r="K186" s="191">
        <f t="shared" si="88"/>
        <v>0</v>
      </c>
      <c r="L186" s="191">
        <f t="shared" si="88"/>
        <v>0</v>
      </c>
      <c r="M186" s="191">
        <f t="shared" si="88"/>
        <v>0</v>
      </c>
      <c r="N186" s="191">
        <f t="shared" si="88"/>
        <v>0</v>
      </c>
      <c r="O186" s="191">
        <f t="shared" si="88"/>
        <v>0</v>
      </c>
      <c r="P186" s="191">
        <f t="shared" si="88"/>
        <v>0</v>
      </c>
      <c r="Q186" s="191">
        <f t="shared" si="88"/>
        <v>0</v>
      </c>
      <c r="R186" s="191">
        <f t="shared" si="88"/>
        <v>0</v>
      </c>
      <c r="S186" s="191">
        <f t="shared" si="87"/>
        <v>0</v>
      </c>
      <c r="T186" s="191">
        <f t="shared" si="87"/>
        <v>0</v>
      </c>
      <c r="U186" s="191">
        <f t="shared" si="87"/>
        <v>0</v>
      </c>
      <c r="V186" s="191">
        <f t="shared" si="87"/>
        <v>0</v>
      </c>
      <c r="W186" s="191">
        <f t="shared" si="87"/>
        <v>0</v>
      </c>
      <c r="X186" s="191">
        <f t="shared" si="87"/>
        <v>0</v>
      </c>
      <c r="Y186" s="191">
        <f t="shared" si="87"/>
        <v>0</v>
      </c>
      <c r="Z186" s="191">
        <f t="shared" si="87"/>
        <v>0</v>
      </c>
      <c r="AA186" s="191">
        <f t="shared" si="87"/>
        <v>0</v>
      </c>
      <c r="AB186" s="191">
        <f t="shared" si="87"/>
        <v>0</v>
      </c>
      <c r="AC186" s="191">
        <f t="shared" si="87"/>
        <v>0</v>
      </c>
      <c r="AD186" s="191">
        <f t="shared" si="87"/>
        <v>0</v>
      </c>
      <c r="AE186" s="191">
        <f t="shared" si="87"/>
        <v>0</v>
      </c>
      <c r="AF186" s="204">
        <f t="shared" si="87"/>
        <v>0</v>
      </c>
      <c r="AG186" s="215">
        <v>9.9</v>
      </c>
      <c r="AH186" s="46"/>
      <c r="AI186" s="47"/>
      <c r="AK186" s="49"/>
    </row>
    <row r="187" spans="1:37" x14ac:dyDescent="0.25">
      <c r="A187" s="73" t="s">
        <v>238</v>
      </c>
      <c r="B187" s="191">
        <v>0</v>
      </c>
      <c r="C187" s="191">
        <f t="shared" si="88"/>
        <v>0</v>
      </c>
      <c r="D187" s="191">
        <f t="shared" si="88"/>
        <v>0</v>
      </c>
      <c r="E187" s="191">
        <f t="shared" si="88"/>
        <v>0</v>
      </c>
      <c r="F187" s="191">
        <f t="shared" si="88"/>
        <v>0</v>
      </c>
      <c r="G187" s="191">
        <f t="shared" si="88"/>
        <v>0</v>
      </c>
      <c r="H187" s="191">
        <f t="shared" si="88"/>
        <v>0</v>
      </c>
      <c r="I187" s="191">
        <f t="shared" si="88"/>
        <v>0</v>
      </c>
      <c r="J187" s="191">
        <f t="shared" si="88"/>
        <v>0</v>
      </c>
      <c r="K187" s="191">
        <f t="shared" si="88"/>
        <v>0</v>
      </c>
      <c r="L187" s="191">
        <f t="shared" si="88"/>
        <v>0</v>
      </c>
      <c r="M187" s="191">
        <f t="shared" si="88"/>
        <v>0</v>
      </c>
      <c r="N187" s="191">
        <f t="shared" si="88"/>
        <v>0</v>
      </c>
      <c r="O187" s="191">
        <f t="shared" si="88"/>
        <v>0</v>
      </c>
      <c r="P187" s="191">
        <f t="shared" si="88"/>
        <v>0</v>
      </c>
      <c r="Q187" s="191">
        <f t="shared" si="88"/>
        <v>0</v>
      </c>
      <c r="R187" s="191">
        <f t="shared" si="88"/>
        <v>0</v>
      </c>
      <c r="S187" s="191">
        <f t="shared" si="87"/>
        <v>0</v>
      </c>
      <c r="T187" s="191">
        <f t="shared" si="87"/>
        <v>0</v>
      </c>
      <c r="U187" s="191">
        <f t="shared" si="87"/>
        <v>0</v>
      </c>
      <c r="V187" s="191">
        <f t="shared" si="87"/>
        <v>0</v>
      </c>
      <c r="W187" s="191">
        <f t="shared" si="87"/>
        <v>0</v>
      </c>
      <c r="X187" s="191">
        <f t="shared" si="87"/>
        <v>0</v>
      </c>
      <c r="Y187" s="191">
        <f t="shared" si="87"/>
        <v>0</v>
      </c>
      <c r="Z187" s="191">
        <f t="shared" si="87"/>
        <v>0</v>
      </c>
      <c r="AA187" s="191">
        <f t="shared" si="87"/>
        <v>0</v>
      </c>
      <c r="AB187" s="191">
        <f t="shared" si="87"/>
        <v>0</v>
      </c>
      <c r="AC187" s="191">
        <f t="shared" si="87"/>
        <v>0</v>
      </c>
      <c r="AD187" s="191">
        <f t="shared" si="87"/>
        <v>0</v>
      </c>
      <c r="AE187" s="191">
        <f t="shared" si="87"/>
        <v>0</v>
      </c>
      <c r="AF187" s="204">
        <f t="shared" si="87"/>
        <v>0</v>
      </c>
      <c r="AG187" s="216">
        <v>9.6579999999999995</v>
      </c>
      <c r="AH187" s="46"/>
      <c r="AI187" s="47"/>
      <c r="AK187" s="49"/>
    </row>
    <row r="188" spans="1:37" x14ac:dyDescent="0.25">
      <c r="A188" s="73" t="s">
        <v>239</v>
      </c>
      <c r="B188" s="191">
        <v>0</v>
      </c>
      <c r="C188" s="191">
        <f t="shared" si="88"/>
        <v>0</v>
      </c>
      <c r="D188" s="191">
        <f t="shared" si="88"/>
        <v>0</v>
      </c>
      <c r="E188" s="191">
        <f t="shared" si="88"/>
        <v>0</v>
      </c>
      <c r="F188" s="191">
        <f t="shared" si="88"/>
        <v>0</v>
      </c>
      <c r="G188" s="191">
        <f t="shared" si="88"/>
        <v>0</v>
      </c>
      <c r="H188" s="191">
        <f t="shared" si="88"/>
        <v>0</v>
      </c>
      <c r="I188" s="191">
        <f t="shared" si="88"/>
        <v>0</v>
      </c>
      <c r="J188" s="191">
        <f t="shared" si="88"/>
        <v>0</v>
      </c>
      <c r="K188" s="191">
        <f t="shared" si="88"/>
        <v>0</v>
      </c>
      <c r="L188" s="191">
        <f t="shared" si="88"/>
        <v>0</v>
      </c>
      <c r="M188" s="191">
        <f t="shared" si="88"/>
        <v>0</v>
      </c>
      <c r="N188" s="191">
        <f t="shared" si="88"/>
        <v>0</v>
      </c>
      <c r="O188" s="191">
        <f t="shared" si="88"/>
        <v>0</v>
      </c>
      <c r="P188" s="191">
        <f t="shared" si="88"/>
        <v>0</v>
      </c>
      <c r="Q188" s="191">
        <f t="shared" si="88"/>
        <v>0</v>
      </c>
      <c r="R188" s="191">
        <f t="shared" si="88"/>
        <v>0</v>
      </c>
      <c r="S188" s="191">
        <f t="shared" si="87"/>
        <v>0</v>
      </c>
      <c r="T188" s="191">
        <f t="shared" si="87"/>
        <v>0</v>
      </c>
      <c r="U188" s="191">
        <f t="shared" si="87"/>
        <v>0</v>
      </c>
      <c r="V188" s="191">
        <f t="shared" si="87"/>
        <v>0</v>
      </c>
      <c r="W188" s="191">
        <f t="shared" si="87"/>
        <v>0</v>
      </c>
      <c r="X188" s="191">
        <f t="shared" si="87"/>
        <v>0</v>
      </c>
      <c r="Y188" s="191">
        <f t="shared" si="87"/>
        <v>0</v>
      </c>
      <c r="Z188" s="191">
        <f t="shared" si="87"/>
        <v>0</v>
      </c>
      <c r="AA188" s="191">
        <f t="shared" si="87"/>
        <v>0</v>
      </c>
      <c r="AB188" s="191">
        <f t="shared" si="87"/>
        <v>0</v>
      </c>
      <c r="AC188" s="191">
        <f t="shared" si="87"/>
        <v>0</v>
      </c>
      <c r="AD188" s="191">
        <f t="shared" si="87"/>
        <v>0</v>
      </c>
      <c r="AE188" s="191">
        <f t="shared" si="87"/>
        <v>0</v>
      </c>
      <c r="AF188" s="204">
        <f t="shared" si="87"/>
        <v>0</v>
      </c>
      <c r="AG188" s="216">
        <v>9.6</v>
      </c>
      <c r="AH188" s="46"/>
      <c r="AI188" s="47"/>
      <c r="AK188" s="49"/>
    </row>
    <row r="189" spans="1:37" x14ac:dyDescent="0.25">
      <c r="A189" s="73" t="s">
        <v>240</v>
      </c>
      <c r="B189" s="191">
        <v>0</v>
      </c>
      <c r="C189" s="191">
        <f t="shared" si="88"/>
        <v>0</v>
      </c>
      <c r="D189" s="191">
        <f t="shared" si="88"/>
        <v>0</v>
      </c>
      <c r="E189" s="191">
        <f t="shared" si="88"/>
        <v>0</v>
      </c>
      <c r="F189" s="191">
        <f t="shared" si="88"/>
        <v>0</v>
      </c>
      <c r="G189" s="191">
        <f t="shared" si="88"/>
        <v>0</v>
      </c>
      <c r="H189" s="191">
        <f t="shared" si="88"/>
        <v>0</v>
      </c>
      <c r="I189" s="191">
        <f t="shared" si="88"/>
        <v>0</v>
      </c>
      <c r="J189" s="191">
        <f t="shared" si="88"/>
        <v>0</v>
      </c>
      <c r="K189" s="191">
        <f t="shared" si="88"/>
        <v>0</v>
      </c>
      <c r="L189" s="191">
        <f t="shared" si="88"/>
        <v>0</v>
      </c>
      <c r="M189" s="191">
        <f t="shared" si="88"/>
        <v>0</v>
      </c>
      <c r="N189" s="191">
        <f t="shared" si="88"/>
        <v>0</v>
      </c>
      <c r="O189" s="191">
        <f t="shared" si="88"/>
        <v>0</v>
      </c>
      <c r="P189" s="191">
        <f t="shared" si="88"/>
        <v>0</v>
      </c>
      <c r="Q189" s="191">
        <f t="shared" si="88"/>
        <v>0</v>
      </c>
      <c r="R189" s="191">
        <f t="shared" si="88"/>
        <v>0</v>
      </c>
      <c r="S189" s="191">
        <f t="shared" si="87"/>
        <v>0</v>
      </c>
      <c r="T189" s="191">
        <f t="shared" si="87"/>
        <v>0</v>
      </c>
      <c r="U189" s="191">
        <f t="shared" si="87"/>
        <v>0</v>
      </c>
      <c r="V189" s="191">
        <f t="shared" si="87"/>
        <v>0</v>
      </c>
      <c r="W189" s="191">
        <f t="shared" si="87"/>
        <v>0</v>
      </c>
      <c r="X189" s="191">
        <f t="shared" si="87"/>
        <v>0</v>
      </c>
      <c r="Y189" s="191">
        <f t="shared" si="87"/>
        <v>0</v>
      </c>
      <c r="Z189" s="191">
        <f t="shared" si="87"/>
        <v>0</v>
      </c>
      <c r="AA189" s="191">
        <f t="shared" si="87"/>
        <v>0</v>
      </c>
      <c r="AB189" s="191">
        <f t="shared" si="87"/>
        <v>0</v>
      </c>
      <c r="AC189" s="191">
        <f t="shared" si="87"/>
        <v>0</v>
      </c>
      <c r="AD189" s="191">
        <f t="shared" si="87"/>
        <v>0</v>
      </c>
      <c r="AE189" s="191">
        <f t="shared" si="87"/>
        <v>0</v>
      </c>
      <c r="AF189" s="204">
        <f t="shared" si="87"/>
        <v>0</v>
      </c>
      <c r="AG189" s="216">
        <v>9.51</v>
      </c>
      <c r="AH189" s="46"/>
      <c r="AI189" s="47"/>
      <c r="AK189" s="49"/>
    </row>
    <row r="190" spans="1:37" x14ac:dyDescent="0.25">
      <c r="A190" s="73" t="s">
        <v>241</v>
      </c>
      <c r="B190" s="191">
        <v>0</v>
      </c>
      <c r="C190" s="191">
        <f t="shared" si="88"/>
        <v>0</v>
      </c>
      <c r="D190" s="191">
        <f t="shared" si="88"/>
        <v>0</v>
      </c>
      <c r="E190" s="191">
        <f t="shared" si="88"/>
        <v>0</v>
      </c>
      <c r="F190" s="191">
        <f t="shared" si="88"/>
        <v>0</v>
      </c>
      <c r="G190" s="191">
        <f t="shared" si="88"/>
        <v>0</v>
      </c>
      <c r="H190" s="191">
        <f t="shared" si="88"/>
        <v>0</v>
      </c>
      <c r="I190" s="191">
        <f t="shared" si="88"/>
        <v>0</v>
      </c>
      <c r="J190" s="191">
        <f t="shared" si="88"/>
        <v>0</v>
      </c>
      <c r="K190" s="191">
        <f t="shared" si="88"/>
        <v>0</v>
      </c>
      <c r="L190" s="191">
        <f t="shared" si="88"/>
        <v>0</v>
      </c>
      <c r="M190" s="191">
        <f t="shared" si="88"/>
        <v>0</v>
      </c>
      <c r="N190" s="191">
        <f t="shared" si="88"/>
        <v>0</v>
      </c>
      <c r="O190" s="191">
        <f t="shared" si="88"/>
        <v>0</v>
      </c>
      <c r="P190" s="191">
        <f t="shared" si="88"/>
        <v>0</v>
      </c>
      <c r="Q190" s="191">
        <f t="shared" si="88"/>
        <v>0</v>
      </c>
      <c r="R190" s="191">
        <f t="shared" si="88"/>
        <v>0</v>
      </c>
      <c r="S190" s="191">
        <f t="shared" si="87"/>
        <v>0</v>
      </c>
      <c r="T190" s="191">
        <f t="shared" si="87"/>
        <v>0</v>
      </c>
      <c r="U190" s="191">
        <f t="shared" si="87"/>
        <v>0</v>
      </c>
      <c r="V190" s="191">
        <f t="shared" si="87"/>
        <v>0</v>
      </c>
      <c r="W190" s="191">
        <f t="shared" si="87"/>
        <v>0</v>
      </c>
      <c r="X190" s="191">
        <f t="shared" si="87"/>
        <v>0</v>
      </c>
      <c r="Y190" s="191">
        <f t="shared" si="87"/>
        <v>0</v>
      </c>
      <c r="Z190" s="191">
        <f t="shared" si="87"/>
        <v>0</v>
      </c>
      <c r="AA190" s="191">
        <f t="shared" si="87"/>
        <v>0</v>
      </c>
      <c r="AB190" s="191">
        <f t="shared" si="87"/>
        <v>0</v>
      </c>
      <c r="AC190" s="191">
        <f t="shared" si="87"/>
        <v>0</v>
      </c>
      <c r="AD190" s="191">
        <f t="shared" si="87"/>
        <v>0</v>
      </c>
      <c r="AE190" s="191">
        <f t="shared" si="87"/>
        <v>0</v>
      </c>
      <c r="AF190" s="204">
        <f t="shared" si="87"/>
        <v>0</v>
      </c>
      <c r="AG190" s="216">
        <v>9.4</v>
      </c>
      <c r="AH190" s="46"/>
      <c r="AI190" s="47"/>
      <c r="AK190" s="49"/>
    </row>
    <row r="191" spans="1:37" x14ac:dyDescent="0.25">
      <c r="A191" s="73" t="s">
        <v>242</v>
      </c>
      <c r="B191" s="191">
        <v>0</v>
      </c>
      <c r="C191" s="191">
        <f t="shared" si="88"/>
        <v>0</v>
      </c>
      <c r="D191" s="191">
        <f t="shared" si="88"/>
        <v>0</v>
      </c>
      <c r="E191" s="191">
        <f t="shared" si="88"/>
        <v>0</v>
      </c>
      <c r="F191" s="191">
        <f t="shared" si="88"/>
        <v>0</v>
      </c>
      <c r="G191" s="191">
        <f t="shared" si="88"/>
        <v>0</v>
      </c>
      <c r="H191" s="191">
        <f t="shared" si="88"/>
        <v>0</v>
      </c>
      <c r="I191" s="191">
        <f t="shared" si="88"/>
        <v>0</v>
      </c>
      <c r="J191" s="191">
        <f t="shared" si="88"/>
        <v>0</v>
      </c>
      <c r="K191" s="191">
        <f t="shared" si="88"/>
        <v>0</v>
      </c>
      <c r="L191" s="191">
        <f t="shared" si="88"/>
        <v>0</v>
      </c>
      <c r="M191" s="191">
        <f t="shared" si="88"/>
        <v>0</v>
      </c>
      <c r="N191" s="191">
        <f t="shared" si="88"/>
        <v>0</v>
      </c>
      <c r="O191" s="191">
        <f t="shared" si="88"/>
        <v>0</v>
      </c>
      <c r="P191" s="191">
        <f t="shared" si="88"/>
        <v>0</v>
      </c>
      <c r="Q191" s="191">
        <f t="shared" si="88"/>
        <v>0</v>
      </c>
      <c r="R191" s="191">
        <f t="shared" si="88"/>
        <v>0</v>
      </c>
      <c r="S191" s="191">
        <f t="shared" si="87"/>
        <v>0</v>
      </c>
      <c r="T191" s="191">
        <f t="shared" si="87"/>
        <v>0</v>
      </c>
      <c r="U191" s="191">
        <f t="shared" si="87"/>
        <v>0</v>
      </c>
      <c r="V191" s="191">
        <f t="shared" si="87"/>
        <v>0</v>
      </c>
      <c r="W191" s="191">
        <f t="shared" si="87"/>
        <v>0</v>
      </c>
      <c r="X191" s="191">
        <f t="shared" si="87"/>
        <v>0</v>
      </c>
      <c r="Y191" s="191">
        <f t="shared" si="87"/>
        <v>0</v>
      </c>
      <c r="Z191" s="191">
        <f t="shared" si="87"/>
        <v>0</v>
      </c>
      <c r="AA191" s="191">
        <f t="shared" si="87"/>
        <v>0</v>
      </c>
      <c r="AB191" s="191">
        <f t="shared" si="87"/>
        <v>0</v>
      </c>
      <c r="AC191" s="191">
        <f t="shared" si="87"/>
        <v>0</v>
      </c>
      <c r="AD191" s="191">
        <f t="shared" si="87"/>
        <v>0</v>
      </c>
      <c r="AE191" s="191">
        <f t="shared" si="87"/>
        <v>0</v>
      </c>
      <c r="AF191" s="204">
        <f t="shared" si="87"/>
        <v>0</v>
      </c>
      <c r="AG191" s="216">
        <v>8.8000000000000007</v>
      </c>
      <c r="AH191" s="46"/>
      <c r="AI191" s="47"/>
      <c r="AK191" s="49"/>
    </row>
    <row r="192" spans="1:37" x14ac:dyDescent="0.25">
      <c r="A192" s="73" t="s">
        <v>243</v>
      </c>
      <c r="B192" s="191">
        <v>0</v>
      </c>
      <c r="C192" s="191">
        <f t="shared" si="88"/>
        <v>0</v>
      </c>
      <c r="D192" s="191">
        <f t="shared" si="88"/>
        <v>0</v>
      </c>
      <c r="E192" s="191">
        <f t="shared" si="88"/>
        <v>0</v>
      </c>
      <c r="F192" s="191">
        <f t="shared" si="88"/>
        <v>0</v>
      </c>
      <c r="G192" s="191">
        <f t="shared" si="88"/>
        <v>0</v>
      </c>
      <c r="H192" s="191">
        <f t="shared" si="88"/>
        <v>0</v>
      </c>
      <c r="I192" s="191">
        <f t="shared" si="88"/>
        <v>0</v>
      </c>
      <c r="J192" s="191">
        <f t="shared" si="88"/>
        <v>0</v>
      </c>
      <c r="K192" s="191">
        <f t="shared" si="88"/>
        <v>0</v>
      </c>
      <c r="L192" s="191">
        <f t="shared" si="88"/>
        <v>0</v>
      </c>
      <c r="M192" s="191">
        <f t="shared" si="88"/>
        <v>0</v>
      </c>
      <c r="N192" s="191">
        <f t="shared" si="88"/>
        <v>0</v>
      </c>
      <c r="O192" s="191">
        <f t="shared" si="88"/>
        <v>0</v>
      </c>
      <c r="P192" s="191">
        <f t="shared" si="88"/>
        <v>0</v>
      </c>
      <c r="Q192" s="191">
        <f t="shared" si="88"/>
        <v>0</v>
      </c>
      <c r="R192" s="191">
        <f t="shared" si="88"/>
        <v>0</v>
      </c>
      <c r="S192" s="191">
        <f t="shared" si="87"/>
        <v>0</v>
      </c>
      <c r="T192" s="191">
        <f t="shared" si="87"/>
        <v>0</v>
      </c>
      <c r="U192" s="191">
        <f t="shared" si="87"/>
        <v>0</v>
      </c>
      <c r="V192" s="191">
        <f t="shared" si="87"/>
        <v>0</v>
      </c>
      <c r="W192" s="191">
        <f t="shared" si="87"/>
        <v>0</v>
      </c>
      <c r="X192" s="191">
        <f t="shared" si="87"/>
        <v>0</v>
      </c>
      <c r="Y192" s="191">
        <f t="shared" si="87"/>
        <v>0</v>
      </c>
      <c r="Z192" s="191">
        <f t="shared" si="87"/>
        <v>0</v>
      </c>
      <c r="AA192" s="191">
        <f t="shared" si="87"/>
        <v>0</v>
      </c>
      <c r="AB192" s="191">
        <f t="shared" si="87"/>
        <v>0</v>
      </c>
      <c r="AC192" s="191">
        <f t="shared" si="87"/>
        <v>0</v>
      </c>
      <c r="AD192" s="191">
        <f t="shared" si="87"/>
        <v>0</v>
      </c>
      <c r="AE192" s="191">
        <f t="shared" si="87"/>
        <v>0</v>
      </c>
      <c r="AF192" s="204">
        <f t="shared" si="87"/>
        <v>0</v>
      </c>
      <c r="AG192" s="216">
        <v>8.5</v>
      </c>
      <c r="AH192" s="46"/>
      <c r="AI192" s="47"/>
      <c r="AK192" s="49"/>
    </row>
    <row r="193" spans="1:37" x14ac:dyDescent="0.25">
      <c r="A193" s="73" t="s">
        <v>244</v>
      </c>
      <c r="B193" s="191">
        <v>0</v>
      </c>
      <c r="C193" s="191">
        <f t="shared" si="88"/>
        <v>0</v>
      </c>
      <c r="D193" s="191">
        <f t="shared" si="88"/>
        <v>0</v>
      </c>
      <c r="E193" s="191">
        <f t="shared" si="88"/>
        <v>0</v>
      </c>
      <c r="F193" s="191">
        <f t="shared" si="88"/>
        <v>0</v>
      </c>
      <c r="G193" s="191">
        <f t="shared" si="88"/>
        <v>0</v>
      </c>
      <c r="H193" s="191">
        <f t="shared" si="88"/>
        <v>0</v>
      </c>
      <c r="I193" s="191">
        <f t="shared" si="88"/>
        <v>0</v>
      </c>
      <c r="J193" s="191">
        <f t="shared" si="88"/>
        <v>0</v>
      </c>
      <c r="K193" s="191">
        <f t="shared" si="88"/>
        <v>0</v>
      </c>
      <c r="L193" s="191">
        <f t="shared" si="88"/>
        <v>0</v>
      </c>
      <c r="M193" s="191">
        <f t="shared" si="88"/>
        <v>0</v>
      </c>
      <c r="N193" s="191">
        <f t="shared" si="88"/>
        <v>0</v>
      </c>
      <c r="O193" s="191">
        <f t="shared" si="88"/>
        <v>0</v>
      </c>
      <c r="P193" s="191">
        <f t="shared" si="88"/>
        <v>0</v>
      </c>
      <c r="Q193" s="191">
        <f t="shared" si="88"/>
        <v>0</v>
      </c>
      <c r="R193" s="191">
        <f t="shared" si="88"/>
        <v>0</v>
      </c>
      <c r="S193" s="191">
        <f t="shared" si="87"/>
        <v>0</v>
      </c>
      <c r="T193" s="191">
        <f t="shared" si="87"/>
        <v>0</v>
      </c>
      <c r="U193" s="191">
        <f t="shared" si="87"/>
        <v>0</v>
      </c>
      <c r="V193" s="191">
        <f t="shared" si="87"/>
        <v>0</v>
      </c>
      <c r="W193" s="191">
        <f t="shared" si="87"/>
        <v>0</v>
      </c>
      <c r="X193" s="191">
        <f t="shared" si="87"/>
        <v>0</v>
      </c>
      <c r="Y193" s="191">
        <f t="shared" si="87"/>
        <v>0</v>
      </c>
      <c r="Z193" s="191">
        <f t="shared" si="87"/>
        <v>0</v>
      </c>
      <c r="AA193" s="191">
        <f t="shared" si="87"/>
        <v>0</v>
      </c>
      <c r="AB193" s="191">
        <f t="shared" si="87"/>
        <v>0</v>
      </c>
      <c r="AC193" s="191">
        <f t="shared" si="87"/>
        <v>0</v>
      </c>
      <c r="AD193" s="191">
        <f t="shared" si="87"/>
        <v>0</v>
      </c>
      <c r="AE193" s="191">
        <f t="shared" si="87"/>
        <v>0</v>
      </c>
      <c r="AF193" s="204">
        <f t="shared" si="87"/>
        <v>0</v>
      </c>
      <c r="AG193" s="216">
        <v>8.5</v>
      </c>
      <c r="AH193" s="46"/>
      <c r="AI193" s="47"/>
      <c r="AK193" s="49"/>
    </row>
    <row r="194" spans="1:37" x14ac:dyDescent="0.25">
      <c r="A194" s="73" t="s">
        <v>245</v>
      </c>
      <c r="B194" s="191">
        <v>0</v>
      </c>
      <c r="C194" s="191">
        <f t="shared" si="88"/>
        <v>0</v>
      </c>
      <c r="D194" s="191">
        <f t="shared" si="88"/>
        <v>0</v>
      </c>
      <c r="E194" s="191">
        <f t="shared" si="88"/>
        <v>0</v>
      </c>
      <c r="F194" s="191">
        <f t="shared" si="88"/>
        <v>0</v>
      </c>
      <c r="G194" s="191">
        <f t="shared" si="88"/>
        <v>0</v>
      </c>
      <c r="H194" s="191">
        <f t="shared" si="88"/>
        <v>0</v>
      </c>
      <c r="I194" s="191">
        <f t="shared" si="88"/>
        <v>0</v>
      </c>
      <c r="J194" s="191">
        <f t="shared" si="88"/>
        <v>0</v>
      </c>
      <c r="K194" s="191">
        <f t="shared" si="88"/>
        <v>0</v>
      </c>
      <c r="L194" s="191">
        <f t="shared" si="88"/>
        <v>0</v>
      </c>
      <c r="M194" s="191">
        <f t="shared" si="88"/>
        <v>0</v>
      </c>
      <c r="N194" s="191">
        <f t="shared" si="88"/>
        <v>0</v>
      </c>
      <c r="O194" s="191">
        <f t="shared" si="88"/>
        <v>0</v>
      </c>
      <c r="P194" s="191">
        <f t="shared" si="88"/>
        <v>0</v>
      </c>
      <c r="Q194" s="191">
        <f t="shared" si="88"/>
        <v>0</v>
      </c>
      <c r="R194" s="191">
        <f t="shared" si="88"/>
        <v>0</v>
      </c>
      <c r="S194" s="191">
        <f t="shared" si="87"/>
        <v>0</v>
      </c>
      <c r="T194" s="191">
        <f t="shared" si="87"/>
        <v>0</v>
      </c>
      <c r="U194" s="191">
        <f t="shared" si="87"/>
        <v>0</v>
      </c>
      <c r="V194" s="191">
        <f t="shared" si="87"/>
        <v>0</v>
      </c>
      <c r="W194" s="191">
        <f t="shared" si="87"/>
        <v>0</v>
      </c>
      <c r="X194" s="191">
        <f t="shared" si="87"/>
        <v>0</v>
      </c>
      <c r="Y194" s="191">
        <f t="shared" si="87"/>
        <v>0</v>
      </c>
      <c r="Z194" s="191">
        <f t="shared" si="87"/>
        <v>0</v>
      </c>
      <c r="AA194" s="191">
        <f t="shared" si="87"/>
        <v>0</v>
      </c>
      <c r="AB194" s="191">
        <f t="shared" si="87"/>
        <v>0</v>
      </c>
      <c r="AC194" s="191">
        <f t="shared" si="87"/>
        <v>0</v>
      </c>
      <c r="AD194" s="191">
        <f t="shared" si="87"/>
        <v>0</v>
      </c>
      <c r="AE194" s="191">
        <f t="shared" si="87"/>
        <v>0</v>
      </c>
      <c r="AF194" s="204">
        <f t="shared" si="87"/>
        <v>0</v>
      </c>
      <c r="AG194" s="216">
        <v>8.4</v>
      </c>
      <c r="AH194" s="46"/>
      <c r="AI194" s="47"/>
      <c r="AK194" s="49"/>
    </row>
    <row r="195" spans="1:37" x14ac:dyDescent="0.25">
      <c r="A195" s="73" t="s">
        <v>246</v>
      </c>
      <c r="B195" s="191">
        <v>0</v>
      </c>
      <c r="C195" s="191">
        <f t="shared" si="88"/>
        <v>0</v>
      </c>
      <c r="D195" s="191">
        <f t="shared" si="88"/>
        <v>0</v>
      </c>
      <c r="E195" s="191">
        <f t="shared" si="88"/>
        <v>0</v>
      </c>
      <c r="F195" s="191">
        <f t="shared" si="88"/>
        <v>0</v>
      </c>
      <c r="G195" s="191">
        <f t="shared" si="88"/>
        <v>0</v>
      </c>
      <c r="H195" s="191">
        <f t="shared" si="88"/>
        <v>0</v>
      </c>
      <c r="I195" s="191">
        <f t="shared" si="88"/>
        <v>0</v>
      </c>
      <c r="J195" s="191">
        <f t="shared" si="88"/>
        <v>0</v>
      </c>
      <c r="K195" s="191">
        <f t="shared" si="88"/>
        <v>0</v>
      </c>
      <c r="L195" s="191">
        <f t="shared" si="88"/>
        <v>0</v>
      </c>
      <c r="M195" s="191">
        <f t="shared" si="88"/>
        <v>0</v>
      </c>
      <c r="N195" s="191">
        <f t="shared" si="88"/>
        <v>0</v>
      </c>
      <c r="O195" s="191">
        <f t="shared" si="88"/>
        <v>0</v>
      </c>
      <c r="P195" s="191">
        <f t="shared" si="88"/>
        <v>0</v>
      </c>
      <c r="Q195" s="191">
        <f t="shared" si="88"/>
        <v>0</v>
      </c>
      <c r="R195" s="191">
        <f t="shared" si="88"/>
        <v>0</v>
      </c>
      <c r="S195" s="191">
        <f t="shared" si="87"/>
        <v>0</v>
      </c>
      <c r="T195" s="191">
        <f t="shared" si="87"/>
        <v>0</v>
      </c>
      <c r="U195" s="191">
        <f t="shared" si="87"/>
        <v>0</v>
      </c>
      <c r="V195" s="191">
        <f t="shared" si="87"/>
        <v>0</v>
      </c>
      <c r="W195" s="191">
        <f t="shared" si="87"/>
        <v>0</v>
      </c>
      <c r="X195" s="191">
        <f t="shared" si="87"/>
        <v>0</v>
      </c>
      <c r="Y195" s="191">
        <f t="shared" si="87"/>
        <v>0</v>
      </c>
      <c r="Z195" s="191">
        <f t="shared" si="87"/>
        <v>0</v>
      </c>
      <c r="AA195" s="191">
        <f t="shared" si="87"/>
        <v>0</v>
      </c>
      <c r="AB195" s="191">
        <f t="shared" si="87"/>
        <v>0</v>
      </c>
      <c r="AC195" s="191">
        <f t="shared" si="87"/>
        <v>0</v>
      </c>
      <c r="AD195" s="191">
        <f t="shared" si="87"/>
        <v>0</v>
      </c>
      <c r="AE195" s="191">
        <f t="shared" si="87"/>
        <v>0</v>
      </c>
      <c r="AF195" s="204">
        <f t="shared" si="87"/>
        <v>0</v>
      </c>
      <c r="AG195" s="216">
        <v>8</v>
      </c>
      <c r="AH195" s="46"/>
      <c r="AI195" s="47"/>
      <c r="AK195" s="49"/>
    </row>
    <row r="196" spans="1:37" x14ac:dyDescent="0.25">
      <c r="A196" s="73" t="s">
        <v>247</v>
      </c>
      <c r="B196" s="191">
        <v>0</v>
      </c>
      <c r="C196" s="191">
        <f t="shared" si="88"/>
        <v>0</v>
      </c>
      <c r="D196" s="191">
        <f t="shared" si="88"/>
        <v>0</v>
      </c>
      <c r="E196" s="191">
        <f t="shared" si="88"/>
        <v>0</v>
      </c>
      <c r="F196" s="191">
        <f t="shared" si="88"/>
        <v>0</v>
      </c>
      <c r="G196" s="191">
        <f t="shared" si="88"/>
        <v>0</v>
      </c>
      <c r="H196" s="191">
        <f t="shared" si="88"/>
        <v>0</v>
      </c>
      <c r="I196" s="191">
        <f t="shared" si="88"/>
        <v>0</v>
      </c>
      <c r="J196" s="191">
        <f t="shared" si="88"/>
        <v>0</v>
      </c>
      <c r="K196" s="191">
        <f t="shared" si="88"/>
        <v>0</v>
      </c>
      <c r="L196" s="191">
        <f t="shared" si="88"/>
        <v>0</v>
      </c>
      <c r="M196" s="191">
        <f t="shared" si="88"/>
        <v>0</v>
      </c>
      <c r="N196" s="191">
        <f t="shared" si="88"/>
        <v>0</v>
      </c>
      <c r="O196" s="191">
        <f t="shared" si="88"/>
        <v>0</v>
      </c>
      <c r="P196" s="191">
        <f t="shared" si="88"/>
        <v>0</v>
      </c>
      <c r="Q196" s="191">
        <f t="shared" si="88"/>
        <v>0</v>
      </c>
      <c r="R196" s="191">
        <f t="shared" si="88"/>
        <v>0</v>
      </c>
      <c r="S196" s="191">
        <f t="shared" si="87"/>
        <v>0</v>
      </c>
      <c r="T196" s="191">
        <f t="shared" si="87"/>
        <v>0</v>
      </c>
      <c r="U196" s="191">
        <f t="shared" si="87"/>
        <v>0</v>
      </c>
      <c r="V196" s="191">
        <f t="shared" si="87"/>
        <v>0</v>
      </c>
      <c r="W196" s="191">
        <f t="shared" si="87"/>
        <v>0</v>
      </c>
      <c r="X196" s="191">
        <f t="shared" si="87"/>
        <v>0</v>
      </c>
      <c r="Y196" s="191">
        <f t="shared" si="87"/>
        <v>0</v>
      </c>
      <c r="Z196" s="191">
        <f t="shared" si="87"/>
        <v>0</v>
      </c>
      <c r="AA196" s="191">
        <f t="shared" si="87"/>
        <v>0</v>
      </c>
      <c r="AB196" s="191">
        <f t="shared" si="87"/>
        <v>0</v>
      </c>
      <c r="AC196" s="191">
        <f t="shared" si="87"/>
        <v>0</v>
      </c>
      <c r="AD196" s="191">
        <f t="shared" si="87"/>
        <v>0</v>
      </c>
      <c r="AE196" s="191">
        <f t="shared" si="87"/>
        <v>0</v>
      </c>
      <c r="AF196" s="204">
        <f t="shared" si="87"/>
        <v>0</v>
      </c>
      <c r="AG196" s="216">
        <v>8</v>
      </c>
      <c r="AH196" s="46"/>
      <c r="AI196" s="47"/>
      <c r="AK196" s="49"/>
    </row>
    <row r="197" spans="1:37" x14ac:dyDescent="0.25">
      <c r="A197" s="73" t="s">
        <v>248</v>
      </c>
      <c r="B197" s="191">
        <v>0</v>
      </c>
      <c r="C197" s="191">
        <f t="shared" si="88"/>
        <v>0</v>
      </c>
      <c r="D197" s="191">
        <f t="shared" si="88"/>
        <v>0</v>
      </c>
      <c r="E197" s="191">
        <f t="shared" si="88"/>
        <v>0</v>
      </c>
      <c r="F197" s="191">
        <f t="shared" si="88"/>
        <v>0</v>
      </c>
      <c r="G197" s="191">
        <f t="shared" si="88"/>
        <v>0</v>
      </c>
      <c r="H197" s="191">
        <f t="shared" si="88"/>
        <v>0</v>
      </c>
      <c r="I197" s="191">
        <f t="shared" si="88"/>
        <v>0</v>
      </c>
      <c r="J197" s="191">
        <f t="shared" si="88"/>
        <v>0</v>
      </c>
      <c r="K197" s="191">
        <f t="shared" si="88"/>
        <v>0</v>
      </c>
      <c r="L197" s="191">
        <f t="shared" si="88"/>
        <v>0</v>
      </c>
      <c r="M197" s="191">
        <f t="shared" si="88"/>
        <v>0</v>
      </c>
      <c r="N197" s="191">
        <f t="shared" si="88"/>
        <v>0</v>
      </c>
      <c r="O197" s="191">
        <f t="shared" si="88"/>
        <v>0</v>
      </c>
      <c r="P197" s="191">
        <f t="shared" si="88"/>
        <v>0</v>
      </c>
      <c r="Q197" s="191">
        <f t="shared" si="88"/>
        <v>0</v>
      </c>
      <c r="R197" s="191">
        <f t="shared" si="88"/>
        <v>0</v>
      </c>
      <c r="S197" s="191">
        <f t="shared" si="87"/>
        <v>0</v>
      </c>
      <c r="T197" s="191">
        <f t="shared" si="87"/>
        <v>0</v>
      </c>
      <c r="U197" s="191">
        <f t="shared" si="87"/>
        <v>0</v>
      </c>
      <c r="V197" s="191">
        <f t="shared" si="87"/>
        <v>0</v>
      </c>
      <c r="W197" s="191">
        <f t="shared" si="87"/>
        <v>0</v>
      </c>
      <c r="X197" s="191">
        <f t="shared" si="87"/>
        <v>0</v>
      </c>
      <c r="Y197" s="191">
        <f t="shared" si="87"/>
        <v>0</v>
      </c>
      <c r="Z197" s="191">
        <f t="shared" si="87"/>
        <v>0</v>
      </c>
      <c r="AA197" s="191">
        <f t="shared" si="87"/>
        <v>0</v>
      </c>
      <c r="AB197" s="191">
        <f t="shared" si="87"/>
        <v>0</v>
      </c>
      <c r="AC197" s="191">
        <f t="shared" si="87"/>
        <v>0</v>
      </c>
      <c r="AD197" s="191">
        <f t="shared" si="87"/>
        <v>0</v>
      </c>
      <c r="AE197" s="191">
        <f t="shared" si="87"/>
        <v>0</v>
      </c>
      <c r="AF197" s="204">
        <f t="shared" si="87"/>
        <v>0</v>
      </c>
      <c r="AG197" s="216">
        <v>8</v>
      </c>
      <c r="AH197" s="46"/>
      <c r="AI197" s="47"/>
      <c r="AK197" s="49"/>
    </row>
    <row r="198" spans="1:37" x14ac:dyDescent="0.25">
      <c r="A198" s="73" t="s">
        <v>249</v>
      </c>
      <c r="B198" s="191">
        <v>0</v>
      </c>
      <c r="C198" s="191">
        <f t="shared" si="88"/>
        <v>0</v>
      </c>
      <c r="D198" s="191">
        <f t="shared" si="88"/>
        <v>0</v>
      </c>
      <c r="E198" s="191">
        <f t="shared" si="88"/>
        <v>0</v>
      </c>
      <c r="F198" s="191">
        <f t="shared" si="88"/>
        <v>0</v>
      </c>
      <c r="G198" s="191">
        <f t="shared" si="88"/>
        <v>0</v>
      </c>
      <c r="H198" s="191">
        <f t="shared" si="88"/>
        <v>0</v>
      </c>
      <c r="I198" s="191">
        <f t="shared" si="88"/>
        <v>0</v>
      </c>
      <c r="J198" s="191">
        <f t="shared" si="88"/>
        <v>0</v>
      </c>
      <c r="K198" s="191">
        <f t="shared" si="88"/>
        <v>0</v>
      </c>
      <c r="L198" s="191">
        <f t="shared" si="88"/>
        <v>0</v>
      </c>
      <c r="M198" s="191">
        <f t="shared" si="88"/>
        <v>0</v>
      </c>
      <c r="N198" s="191">
        <f t="shared" si="88"/>
        <v>0</v>
      </c>
      <c r="O198" s="191">
        <f t="shared" si="88"/>
        <v>0</v>
      </c>
      <c r="P198" s="191">
        <f t="shared" si="88"/>
        <v>0</v>
      </c>
      <c r="Q198" s="191">
        <f t="shared" si="88"/>
        <v>0</v>
      </c>
      <c r="R198" s="191">
        <f t="shared" si="88"/>
        <v>0</v>
      </c>
      <c r="S198" s="191">
        <f t="shared" si="87"/>
        <v>0</v>
      </c>
      <c r="T198" s="191">
        <f t="shared" si="87"/>
        <v>0</v>
      </c>
      <c r="U198" s="191">
        <f t="shared" si="87"/>
        <v>0</v>
      </c>
      <c r="V198" s="191">
        <f t="shared" si="87"/>
        <v>0</v>
      </c>
      <c r="W198" s="191">
        <f t="shared" si="87"/>
        <v>0</v>
      </c>
      <c r="X198" s="191">
        <f t="shared" si="87"/>
        <v>0</v>
      </c>
      <c r="Y198" s="191">
        <f t="shared" si="87"/>
        <v>0</v>
      </c>
      <c r="Z198" s="191">
        <f t="shared" si="87"/>
        <v>0</v>
      </c>
      <c r="AA198" s="191">
        <f t="shared" si="87"/>
        <v>0</v>
      </c>
      <c r="AB198" s="191">
        <f t="shared" si="87"/>
        <v>0</v>
      </c>
      <c r="AC198" s="191">
        <f t="shared" si="87"/>
        <v>0</v>
      </c>
      <c r="AD198" s="191">
        <f t="shared" si="87"/>
        <v>0</v>
      </c>
      <c r="AE198" s="191">
        <f t="shared" si="87"/>
        <v>0</v>
      </c>
      <c r="AF198" s="204">
        <f t="shared" si="87"/>
        <v>0</v>
      </c>
      <c r="AG198" s="216">
        <v>7.8</v>
      </c>
      <c r="AH198" s="46"/>
      <c r="AI198" s="47"/>
      <c r="AK198" s="49"/>
    </row>
    <row r="199" spans="1:37" x14ac:dyDescent="0.25">
      <c r="A199" s="73" t="s">
        <v>250</v>
      </c>
      <c r="B199" s="191">
        <v>0</v>
      </c>
      <c r="C199" s="191">
        <f t="shared" si="88"/>
        <v>0</v>
      </c>
      <c r="D199" s="191">
        <f t="shared" si="88"/>
        <v>0</v>
      </c>
      <c r="E199" s="191">
        <f t="shared" si="88"/>
        <v>0</v>
      </c>
      <c r="F199" s="191">
        <f t="shared" si="88"/>
        <v>0</v>
      </c>
      <c r="G199" s="191">
        <f t="shared" si="88"/>
        <v>0</v>
      </c>
      <c r="H199" s="191">
        <f t="shared" si="88"/>
        <v>0</v>
      </c>
      <c r="I199" s="191">
        <f t="shared" si="88"/>
        <v>0</v>
      </c>
      <c r="J199" s="191">
        <f t="shared" si="88"/>
        <v>0</v>
      </c>
      <c r="K199" s="191">
        <f t="shared" si="88"/>
        <v>0</v>
      </c>
      <c r="L199" s="191">
        <f t="shared" si="88"/>
        <v>0</v>
      </c>
      <c r="M199" s="191">
        <f t="shared" si="88"/>
        <v>0</v>
      </c>
      <c r="N199" s="191">
        <f t="shared" si="88"/>
        <v>0</v>
      </c>
      <c r="O199" s="191">
        <f t="shared" si="88"/>
        <v>0</v>
      </c>
      <c r="P199" s="191">
        <f t="shared" si="88"/>
        <v>0</v>
      </c>
      <c r="Q199" s="191">
        <f t="shared" si="88"/>
        <v>0</v>
      </c>
      <c r="R199" s="191">
        <f t="shared" si="88"/>
        <v>0</v>
      </c>
      <c r="S199" s="191">
        <f t="shared" si="87"/>
        <v>0</v>
      </c>
      <c r="T199" s="191">
        <f t="shared" si="87"/>
        <v>0</v>
      </c>
      <c r="U199" s="191">
        <f t="shared" si="87"/>
        <v>0</v>
      </c>
      <c r="V199" s="191">
        <f t="shared" si="87"/>
        <v>0</v>
      </c>
      <c r="W199" s="191">
        <f t="shared" si="87"/>
        <v>0</v>
      </c>
      <c r="X199" s="191">
        <f t="shared" si="87"/>
        <v>0</v>
      </c>
      <c r="Y199" s="191">
        <f t="shared" si="87"/>
        <v>0</v>
      </c>
      <c r="Z199" s="191">
        <f t="shared" si="87"/>
        <v>0</v>
      </c>
      <c r="AA199" s="191">
        <f t="shared" si="87"/>
        <v>0</v>
      </c>
      <c r="AB199" s="191">
        <f t="shared" si="87"/>
        <v>0</v>
      </c>
      <c r="AC199" s="191">
        <f t="shared" si="87"/>
        <v>0</v>
      </c>
      <c r="AD199" s="191">
        <f t="shared" si="87"/>
        <v>0</v>
      </c>
      <c r="AE199" s="191">
        <f t="shared" si="87"/>
        <v>0</v>
      </c>
      <c r="AF199" s="204">
        <f t="shared" si="87"/>
        <v>0</v>
      </c>
      <c r="AG199" s="216">
        <v>7.6</v>
      </c>
      <c r="AH199" s="46"/>
      <c r="AI199" s="47"/>
      <c r="AK199" s="49"/>
    </row>
    <row r="200" spans="1:37" x14ac:dyDescent="0.25">
      <c r="A200" s="73" t="s">
        <v>251</v>
      </c>
      <c r="B200" s="191">
        <v>0</v>
      </c>
      <c r="C200" s="191">
        <f t="shared" si="88"/>
        <v>0</v>
      </c>
      <c r="D200" s="191">
        <f t="shared" si="88"/>
        <v>0</v>
      </c>
      <c r="E200" s="191">
        <f t="shared" si="88"/>
        <v>0</v>
      </c>
      <c r="F200" s="191">
        <f t="shared" si="88"/>
        <v>0</v>
      </c>
      <c r="G200" s="191">
        <f t="shared" si="88"/>
        <v>0</v>
      </c>
      <c r="H200" s="191">
        <f t="shared" si="88"/>
        <v>0</v>
      </c>
      <c r="I200" s="191">
        <f t="shared" si="88"/>
        <v>0</v>
      </c>
      <c r="J200" s="191">
        <f t="shared" si="88"/>
        <v>0</v>
      </c>
      <c r="K200" s="191">
        <f t="shared" si="88"/>
        <v>0</v>
      </c>
      <c r="L200" s="191">
        <f t="shared" si="88"/>
        <v>0</v>
      </c>
      <c r="M200" s="191">
        <f t="shared" si="88"/>
        <v>0</v>
      </c>
      <c r="N200" s="191">
        <f t="shared" si="88"/>
        <v>0</v>
      </c>
      <c r="O200" s="191">
        <f t="shared" si="88"/>
        <v>0</v>
      </c>
      <c r="P200" s="191">
        <f t="shared" si="88"/>
        <v>0</v>
      </c>
      <c r="Q200" s="191">
        <f t="shared" si="88"/>
        <v>0</v>
      </c>
      <c r="R200" s="191">
        <f t="shared" si="88"/>
        <v>0</v>
      </c>
      <c r="S200" s="191">
        <f t="shared" si="87"/>
        <v>0</v>
      </c>
      <c r="T200" s="191">
        <f t="shared" si="87"/>
        <v>0</v>
      </c>
      <c r="U200" s="191">
        <f t="shared" si="87"/>
        <v>0</v>
      </c>
      <c r="V200" s="191">
        <f t="shared" si="87"/>
        <v>0</v>
      </c>
      <c r="W200" s="191">
        <f t="shared" si="87"/>
        <v>0</v>
      </c>
      <c r="X200" s="191">
        <f t="shared" si="87"/>
        <v>0</v>
      </c>
      <c r="Y200" s="191">
        <f t="shared" si="87"/>
        <v>0</v>
      </c>
      <c r="Z200" s="191">
        <f t="shared" si="87"/>
        <v>0</v>
      </c>
      <c r="AA200" s="191">
        <f t="shared" si="87"/>
        <v>0</v>
      </c>
      <c r="AB200" s="191">
        <f t="shared" si="87"/>
        <v>0</v>
      </c>
      <c r="AC200" s="191">
        <f t="shared" si="87"/>
        <v>0</v>
      </c>
      <c r="AD200" s="191">
        <f t="shared" si="87"/>
        <v>0</v>
      </c>
      <c r="AE200" s="191">
        <f t="shared" si="87"/>
        <v>0</v>
      </c>
      <c r="AF200" s="204">
        <f t="shared" si="87"/>
        <v>0</v>
      </c>
      <c r="AG200" s="216">
        <v>7.5</v>
      </c>
      <c r="AH200" s="46"/>
      <c r="AI200" s="47"/>
      <c r="AK200" s="49"/>
    </row>
    <row r="201" spans="1:37" x14ac:dyDescent="0.25">
      <c r="A201" s="73" t="s">
        <v>252</v>
      </c>
      <c r="B201" s="191">
        <v>0</v>
      </c>
      <c r="C201" s="191">
        <f t="shared" si="88"/>
        <v>0</v>
      </c>
      <c r="D201" s="191">
        <f t="shared" si="88"/>
        <v>0</v>
      </c>
      <c r="E201" s="191">
        <f t="shared" si="88"/>
        <v>0</v>
      </c>
      <c r="F201" s="191">
        <f t="shared" si="88"/>
        <v>0</v>
      </c>
      <c r="G201" s="191">
        <f t="shared" si="88"/>
        <v>0</v>
      </c>
      <c r="H201" s="191">
        <f t="shared" si="88"/>
        <v>0</v>
      </c>
      <c r="I201" s="191">
        <f t="shared" si="88"/>
        <v>0</v>
      </c>
      <c r="J201" s="191">
        <f t="shared" si="88"/>
        <v>0</v>
      </c>
      <c r="K201" s="191">
        <f t="shared" si="88"/>
        <v>0</v>
      </c>
      <c r="L201" s="191">
        <f t="shared" si="88"/>
        <v>0</v>
      </c>
      <c r="M201" s="191">
        <f t="shared" si="88"/>
        <v>0</v>
      </c>
      <c r="N201" s="191">
        <f t="shared" si="88"/>
        <v>0</v>
      </c>
      <c r="O201" s="191">
        <f t="shared" si="88"/>
        <v>0</v>
      </c>
      <c r="P201" s="191">
        <f t="shared" si="88"/>
        <v>0</v>
      </c>
      <c r="Q201" s="191">
        <f t="shared" si="88"/>
        <v>0</v>
      </c>
      <c r="R201" s="191">
        <f t="shared" ref="R201:AF216" si="89">Q201</f>
        <v>0</v>
      </c>
      <c r="S201" s="191">
        <f t="shared" si="89"/>
        <v>0</v>
      </c>
      <c r="T201" s="191">
        <f t="shared" si="89"/>
        <v>0</v>
      </c>
      <c r="U201" s="191">
        <f t="shared" si="89"/>
        <v>0</v>
      </c>
      <c r="V201" s="191">
        <f t="shared" si="89"/>
        <v>0</v>
      </c>
      <c r="W201" s="191">
        <f t="shared" si="89"/>
        <v>0</v>
      </c>
      <c r="X201" s="191">
        <f t="shared" si="89"/>
        <v>0</v>
      </c>
      <c r="Y201" s="191">
        <f t="shared" si="89"/>
        <v>0</v>
      </c>
      <c r="Z201" s="191">
        <f t="shared" si="89"/>
        <v>0</v>
      </c>
      <c r="AA201" s="191">
        <f t="shared" si="89"/>
        <v>0</v>
      </c>
      <c r="AB201" s="191">
        <f t="shared" si="89"/>
        <v>0</v>
      </c>
      <c r="AC201" s="191">
        <f t="shared" si="89"/>
        <v>0</v>
      </c>
      <c r="AD201" s="191">
        <f t="shared" si="89"/>
        <v>0</v>
      </c>
      <c r="AE201" s="191">
        <f t="shared" si="89"/>
        <v>0</v>
      </c>
      <c r="AF201" s="204">
        <f t="shared" si="89"/>
        <v>0</v>
      </c>
      <c r="AG201" s="216">
        <v>7.5</v>
      </c>
      <c r="AH201" s="46"/>
      <c r="AI201" s="47"/>
      <c r="AK201" s="49"/>
    </row>
    <row r="202" spans="1:37" x14ac:dyDescent="0.25">
      <c r="A202" s="73" t="s">
        <v>253</v>
      </c>
      <c r="B202" s="191">
        <v>0</v>
      </c>
      <c r="C202" s="191">
        <f t="shared" ref="C202:R217" si="90">B202</f>
        <v>0</v>
      </c>
      <c r="D202" s="191">
        <f t="shared" si="90"/>
        <v>0</v>
      </c>
      <c r="E202" s="191">
        <f t="shared" si="90"/>
        <v>0</v>
      </c>
      <c r="F202" s="191">
        <f t="shared" si="90"/>
        <v>0</v>
      </c>
      <c r="G202" s="191">
        <f t="shared" si="90"/>
        <v>0</v>
      </c>
      <c r="H202" s="191">
        <f t="shared" si="90"/>
        <v>0</v>
      </c>
      <c r="I202" s="191">
        <f t="shared" si="90"/>
        <v>0</v>
      </c>
      <c r="J202" s="191">
        <f t="shared" si="90"/>
        <v>0</v>
      </c>
      <c r="K202" s="191">
        <f t="shared" si="90"/>
        <v>0</v>
      </c>
      <c r="L202" s="191">
        <f t="shared" si="90"/>
        <v>0</v>
      </c>
      <c r="M202" s="191">
        <f t="shared" si="90"/>
        <v>0</v>
      </c>
      <c r="N202" s="191">
        <f t="shared" si="90"/>
        <v>0</v>
      </c>
      <c r="O202" s="191">
        <f t="shared" si="90"/>
        <v>0</v>
      </c>
      <c r="P202" s="191">
        <f t="shared" si="90"/>
        <v>0</v>
      </c>
      <c r="Q202" s="191">
        <f t="shared" si="90"/>
        <v>0</v>
      </c>
      <c r="R202" s="191">
        <f t="shared" si="90"/>
        <v>0</v>
      </c>
      <c r="S202" s="191">
        <f t="shared" si="89"/>
        <v>0</v>
      </c>
      <c r="T202" s="191">
        <f t="shared" si="89"/>
        <v>0</v>
      </c>
      <c r="U202" s="191">
        <f t="shared" si="89"/>
        <v>0</v>
      </c>
      <c r="V202" s="191">
        <f t="shared" si="89"/>
        <v>0</v>
      </c>
      <c r="W202" s="191">
        <f t="shared" si="89"/>
        <v>0</v>
      </c>
      <c r="X202" s="191">
        <f t="shared" si="89"/>
        <v>0</v>
      </c>
      <c r="Y202" s="191">
        <f t="shared" si="89"/>
        <v>0</v>
      </c>
      <c r="Z202" s="191">
        <f t="shared" si="89"/>
        <v>0</v>
      </c>
      <c r="AA202" s="191">
        <f t="shared" si="89"/>
        <v>0</v>
      </c>
      <c r="AB202" s="191">
        <f t="shared" si="89"/>
        <v>0</v>
      </c>
      <c r="AC202" s="191">
        <f t="shared" si="89"/>
        <v>0</v>
      </c>
      <c r="AD202" s="191">
        <f t="shared" si="89"/>
        <v>0</v>
      </c>
      <c r="AE202" s="191">
        <f t="shared" si="89"/>
        <v>0</v>
      </c>
      <c r="AF202" s="204">
        <f t="shared" si="89"/>
        <v>0</v>
      </c>
      <c r="AG202" s="216">
        <v>7</v>
      </c>
      <c r="AH202" s="46"/>
      <c r="AI202" s="47"/>
      <c r="AK202" s="49"/>
    </row>
    <row r="203" spans="1:37" x14ac:dyDescent="0.25">
      <c r="A203" s="73" t="s">
        <v>254</v>
      </c>
      <c r="B203" s="191">
        <v>0</v>
      </c>
      <c r="C203" s="191">
        <f t="shared" si="90"/>
        <v>0</v>
      </c>
      <c r="D203" s="191">
        <f t="shared" si="90"/>
        <v>0</v>
      </c>
      <c r="E203" s="191">
        <f t="shared" si="90"/>
        <v>0</v>
      </c>
      <c r="F203" s="191">
        <f t="shared" si="90"/>
        <v>0</v>
      </c>
      <c r="G203" s="191">
        <f t="shared" si="90"/>
        <v>0</v>
      </c>
      <c r="H203" s="191">
        <f t="shared" si="90"/>
        <v>0</v>
      </c>
      <c r="I203" s="191">
        <f t="shared" si="90"/>
        <v>0</v>
      </c>
      <c r="J203" s="191">
        <f t="shared" si="90"/>
        <v>0</v>
      </c>
      <c r="K203" s="191">
        <f t="shared" si="90"/>
        <v>0</v>
      </c>
      <c r="L203" s="191">
        <f t="shared" si="90"/>
        <v>0</v>
      </c>
      <c r="M203" s="191">
        <f t="shared" si="90"/>
        <v>0</v>
      </c>
      <c r="N203" s="191">
        <f t="shared" si="90"/>
        <v>0</v>
      </c>
      <c r="O203" s="191">
        <f t="shared" si="90"/>
        <v>0</v>
      </c>
      <c r="P203" s="191">
        <f t="shared" si="90"/>
        <v>0</v>
      </c>
      <c r="Q203" s="191">
        <f t="shared" si="90"/>
        <v>0</v>
      </c>
      <c r="R203" s="191">
        <f t="shared" si="90"/>
        <v>0</v>
      </c>
      <c r="S203" s="191">
        <f t="shared" si="89"/>
        <v>0</v>
      </c>
      <c r="T203" s="191">
        <f t="shared" si="89"/>
        <v>0</v>
      </c>
      <c r="U203" s="191">
        <f t="shared" si="89"/>
        <v>0</v>
      </c>
      <c r="V203" s="191">
        <f t="shared" si="89"/>
        <v>0</v>
      </c>
      <c r="W203" s="191">
        <f t="shared" si="89"/>
        <v>0</v>
      </c>
      <c r="X203" s="191">
        <f t="shared" si="89"/>
        <v>0</v>
      </c>
      <c r="Y203" s="191">
        <f t="shared" si="89"/>
        <v>0</v>
      </c>
      <c r="Z203" s="191">
        <f t="shared" si="89"/>
        <v>0</v>
      </c>
      <c r="AA203" s="191">
        <f t="shared" si="89"/>
        <v>0</v>
      </c>
      <c r="AB203" s="191">
        <f t="shared" si="89"/>
        <v>0</v>
      </c>
      <c r="AC203" s="191">
        <f t="shared" si="89"/>
        <v>0</v>
      </c>
      <c r="AD203" s="191">
        <f t="shared" si="89"/>
        <v>0</v>
      </c>
      <c r="AE203" s="191">
        <f t="shared" si="89"/>
        <v>0</v>
      </c>
      <c r="AF203" s="204">
        <f t="shared" si="89"/>
        <v>0</v>
      </c>
      <c r="AG203" s="216">
        <v>7</v>
      </c>
      <c r="AH203" s="46"/>
      <c r="AI203" s="47"/>
      <c r="AK203" s="49"/>
    </row>
    <row r="204" spans="1:37" x14ac:dyDescent="0.25">
      <c r="A204" s="73" t="s">
        <v>255</v>
      </c>
      <c r="B204" s="191">
        <v>0</v>
      </c>
      <c r="C204" s="191">
        <f t="shared" si="90"/>
        <v>0</v>
      </c>
      <c r="D204" s="191">
        <f t="shared" si="90"/>
        <v>0</v>
      </c>
      <c r="E204" s="191">
        <f t="shared" si="90"/>
        <v>0</v>
      </c>
      <c r="F204" s="191">
        <f t="shared" si="90"/>
        <v>0</v>
      </c>
      <c r="G204" s="191">
        <f t="shared" si="90"/>
        <v>0</v>
      </c>
      <c r="H204" s="191">
        <f t="shared" si="90"/>
        <v>0</v>
      </c>
      <c r="I204" s="191">
        <f t="shared" si="90"/>
        <v>0</v>
      </c>
      <c r="J204" s="191">
        <f t="shared" si="90"/>
        <v>0</v>
      </c>
      <c r="K204" s="191">
        <f t="shared" si="90"/>
        <v>0</v>
      </c>
      <c r="L204" s="191">
        <f t="shared" si="90"/>
        <v>0</v>
      </c>
      <c r="M204" s="191">
        <f t="shared" si="90"/>
        <v>0</v>
      </c>
      <c r="N204" s="191">
        <f t="shared" si="90"/>
        <v>0</v>
      </c>
      <c r="O204" s="191">
        <f t="shared" si="90"/>
        <v>0</v>
      </c>
      <c r="P204" s="191">
        <f t="shared" si="90"/>
        <v>0</v>
      </c>
      <c r="Q204" s="191">
        <f t="shared" si="90"/>
        <v>0</v>
      </c>
      <c r="R204" s="191">
        <f t="shared" si="90"/>
        <v>0</v>
      </c>
      <c r="S204" s="191">
        <f t="shared" si="89"/>
        <v>0</v>
      </c>
      <c r="T204" s="191">
        <f t="shared" si="89"/>
        <v>0</v>
      </c>
      <c r="U204" s="191">
        <f t="shared" si="89"/>
        <v>0</v>
      </c>
      <c r="V204" s="191">
        <f t="shared" si="89"/>
        <v>0</v>
      </c>
      <c r="W204" s="191">
        <f t="shared" si="89"/>
        <v>0</v>
      </c>
      <c r="X204" s="191">
        <f t="shared" si="89"/>
        <v>0</v>
      </c>
      <c r="Y204" s="191">
        <f t="shared" si="89"/>
        <v>0</v>
      </c>
      <c r="Z204" s="191">
        <f t="shared" si="89"/>
        <v>0</v>
      </c>
      <c r="AA204" s="191">
        <f t="shared" si="89"/>
        <v>0</v>
      </c>
      <c r="AB204" s="191">
        <f t="shared" si="89"/>
        <v>0</v>
      </c>
      <c r="AC204" s="191">
        <f t="shared" si="89"/>
        <v>0</v>
      </c>
      <c r="AD204" s="191">
        <f t="shared" si="89"/>
        <v>0</v>
      </c>
      <c r="AE204" s="191">
        <f t="shared" si="89"/>
        <v>0</v>
      </c>
      <c r="AF204" s="204">
        <f t="shared" si="89"/>
        <v>0</v>
      </c>
      <c r="AG204" s="216">
        <v>7</v>
      </c>
      <c r="AH204" s="46"/>
      <c r="AI204" s="47"/>
      <c r="AK204" s="49"/>
    </row>
    <row r="205" spans="1:37" x14ac:dyDescent="0.25">
      <c r="A205" s="73" t="s">
        <v>256</v>
      </c>
      <c r="B205" s="191">
        <v>0</v>
      </c>
      <c r="C205" s="191">
        <f t="shared" si="90"/>
        <v>0</v>
      </c>
      <c r="D205" s="191">
        <f t="shared" si="90"/>
        <v>0</v>
      </c>
      <c r="E205" s="191">
        <f t="shared" si="90"/>
        <v>0</v>
      </c>
      <c r="F205" s="191">
        <f t="shared" si="90"/>
        <v>0</v>
      </c>
      <c r="G205" s="191">
        <f t="shared" si="90"/>
        <v>0</v>
      </c>
      <c r="H205" s="191">
        <f t="shared" si="90"/>
        <v>0</v>
      </c>
      <c r="I205" s="191">
        <f t="shared" si="90"/>
        <v>0</v>
      </c>
      <c r="J205" s="191">
        <f t="shared" si="90"/>
        <v>0</v>
      </c>
      <c r="K205" s="191">
        <f t="shared" si="90"/>
        <v>0</v>
      </c>
      <c r="L205" s="191">
        <f t="shared" si="90"/>
        <v>0</v>
      </c>
      <c r="M205" s="191">
        <f t="shared" si="90"/>
        <v>0</v>
      </c>
      <c r="N205" s="191">
        <f t="shared" si="90"/>
        <v>0</v>
      </c>
      <c r="O205" s="191">
        <f t="shared" si="90"/>
        <v>0</v>
      </c>
      <c r="P205" s="191">
        <f t="shared" si="90"/>
        <v>0</v>
      </c>
      <c r="Q205" s="191">
        <f t="shared" si="90"/>
        <v>0</v>
      </c>
      <c r="R205" s="191">
        <f t="shared" si="90"/>
        <v>0</v>
      </c>
      <c r="S205" s="191">
        <f t="shared" si="89"/>
        <v>0</v>
      </c>
      <c r="T205" s="191">
        <f t="shared" si="89"/>
        <v>0</v>
      </c>
      <c r="U205" s="191">
        <f t="shared" si="89"/>
        <v>0</v>
      </c>
      <c r="V205" s="191">
        <f t="shared" si="89"/>
        <v>0</v>
      </c>
      <c r="W205" s="191">
        <f t="shared" si="89"/>
        <v>0</v>
      </c>
      <c r="X205" s="191">
        <f t="shared" si="89"/>
        <v>0</v>
      </c>
      <c r="Y205" s="191">
        <f t="shared" si="89"/>
        <v>0</v>
      </c>
      <c r="Z205" s="191">
        <f t="shared" si="89"/>
        <v>0</v>
      </c>
      <c r="AA205" s="191">
        <f t="shared" si="89"/>
        <v>0</v>
      </c>
      <c r="AB205" s="191">
        <f t="shared" si="89"/>
        <v>0</v>
      </c>
      <c r="AC205" s="191">
        <f t="shared" si="89"/>
        <v>0</v>
      </c>
      <c r="AD205" s="191">
        <f t="shared" si="89"/>
        <v>0</v>
      </c>
      <c r="AE205" s="191">
        <f t="shared" si="89"/>
        <v>0</v>
      </c>
      <c r="AF205" s="204">
        <f t="shared" si="89"/>
        <v>0</v>
      </c>
      <c r="AG205" s="216">
        <v>7</v>
      </c>
      <c r="AH205" s="46"/>
      <c r="AI205" s="47"/>
      <c r="AK205" s="49"/>
    </row>
    <row r="206" spans="1:37" x14ac:dyDescent="0.25">
      <c r="A206" s="73" t="s">
        <v>257</v>
      </c>
      <c r="B206" s="191">
        <v>0</v>
      </c>
      <c r="C206" s="191">
        <f t="shared" si="90"/>
        <v>0</v>
      </c>
      <c r="D206" s="191">
        <f t="shared" si="90"/>
        <v>0</v>
      </c>
      <c r="E206" s="191">
        <f t="shared" si="90"/>
        <v>0</v>
      </c>
      <c r="F206" s="191">
        <f t="shared" si="90"/>
        <v>0</v>
      </c>
      <c r="G206" s="191">
        <f t="shared" si="90"/>
        <v>0</v>
      </c>
      <c r="H206" s="191">
        <f t="shared" si="90"/>
        <v>0</v>
      </c>
      <c r="I206" s="191">
        <f t="shared" si="90"/>
        <v>0</v>
      </c>
      <c r="J206" s="191">
        <f t="shared" si="90"/>
        <v>0</v>
      </c>
      <c r="K206" s="191">
        <f t="shared" si="90"/>
        <v>0</v>
      </c>
      <c r="L206" s="191">
        <f t="shared" si="90"/>
        <v>0</v>
      </c>
      <c r="M206" s="191">
        <f t="shared" si="90"/>
        <v>0</v>
      </c>
      <c r="N206" s="191">
        <f t="shared" si="90"/>
        <v>0</v>
      </c>
      <c r="O206" s="191">
        <f t="shared" si="90"/>
        <v>0</v>
      </c>
      <c r="P206" s="191">
        <f t="shared" si="90"/>
        <v>0</v>
      </c>
      <c r="Q206" s="191">
        <f t="shared" si="90"/>
        <v>0</v>
      </c>
      <c r="R206" s="191">
        <f t="shared" si="90"/>
        <v>0</v>
      </c>
      <c r="S206" s="191">
        <f t="shared" si="89"/>
        <v>0</v>
      </c>
      <c r="T206" s="191">
        <f t="shared" si="89"/>
        <v>0</v>
      </c>
      <c r="U206" s="191">
        <f t="shared" si="89"/>
        <v>0</v>
      </c>
      <c r="V206" s="191">
        <f t="shared" si="89"/>
        <v>0</v>
      </c>
      <c r="W206" s="191">
        <f t="shared" si="89"/>
        <v>0</v>
      </c>
      <c r="X206" s="191">
        <f t="shared" si="89"/>
        <v>0</v>
      </c>
      <c r="Y206" s="191">
        <f t="shared" si="89"/>
        <v>0</v>
      </c>
      <c r="Z206" s="191">
        <f t="shared" si="89"/>
        <v>0</v>
      </c>
      <c r="AA206" s="191">
        <f t="shared" si="89"/>
        <v>0</v>
      </c>
      <c r="AB206" s="191">
        <f t="shared" si="89"/>
        <v>0</v>
      </c>
      <c r="AC206" s="191">
        <f t="shared" si="89"/>
        <v>0</v>
      </c>
      <c r="AD206" s="191">
        <f t="shared" si="89"/>
        <v>0</v>
      </c>
      <c r="AE206" s="191">
        <f t="shared" si="89"/>
        <v>0</v>
      </c>
      <c r="AF206" s="204">
        <f t="shared" si="89"/>
        <v>0</v>
      </c>
      <c r="AG206" s="216">
        <v>6.6</v>
      </c>
      <c r="AH206" s="46"/>
      <c r="AI206" s="47"/>
      <c r="AK206" s="49"/>
    </row>
    <row r="207" spans="1:37" x14ac:dyDescent="0.25">
      <c r="A207" s="73" t="s">
        <v>258</v>
      </c>
      <c r="B207" s="191">
        <v>0</v>
      </c>
      <c r="C207" s="191">
        <f t="shared" si="90"/>
        <v>0</v>
      </c>
      <c r="D207" s="191">
        <f t="shared" si="90"/>
        <v>0</v>
      </c>
      <c r="E207" s="191">
        <f t="shared" si="90"/>
        <v>0</v>
      </c>
      <c r="F207" s="191">
        <f t="shared" si="90"/>
        <v>0</v>
      </c>
      <c r="G207" s="191">
        <f t="shared" si="90"/>
        <v>0</v>
      </c>
      <c r="H207" s="191">
        <f t="shared" si="90"/>
        <v>0</v>
      </c>
      <c r="I207" s="191">
        <f t="shared" si="90"/>
        <v>0</v>
      </c>
      <c r="J207" s="191">
        <f t="shared" si="90"/>
        <v>0</v>
      </c>
      <c r="K207" s="191">
        <f t="shared" si="90"/>
        <v>0</v>
      </c>
      <c r="L207" s="191">
        <f t="shared" si="90"/>
        <v>0</v>
      </c>
      <c r="M207" s="191">
        <f t="shared" si="90"/>
        <v>0</v>
      </c>
      <c r="N207" s="191">
        <f t="shared" si="90"/>
        <v>0</v>
      </c>
      <c r="O207" s="191">
        <f t="shared" si="90"/>
        <v>0</v>
      </c>
      <c r="P207" s="191">
        <f t="shared" si="90"/>
        <v>0</v>
      </c>
      <c r="Q207" s="191">
        <f t="shared" si="90"/>
        <v>0</v>
      </c>
      <c r="R207" s="191">
        <f t="shared" si="90"/>
        <v>0</v>
      </c>
      <c r="S207" s="191">
        <f t="shared" si="89"/>
        <v>0</v>
      </c>
      <c r="T207" s="191">
        <f t="shared" si="89"/>
        <v>0</v>
      </c>
      <c r="U207" s="191">
        <f t="shared" si="89"/>
        <v>0</v>
      </c>
      <c r="V207" s="191">
        <f t="shared" si="89"/>
        <v>0</v>
      </c>
      <c r="W207" s="191">
        <f t="shared" si="89"/>
        <v>0</v>
      </c>
      <c r="X207" s="191">
        <f t="shared" si="89"/>
        <v>0</v>
      </c>
      <c r="Y207" s="191">
        <f t="shared" si="89"/>
        <v>0</v>
      </c>
      <c r="Z207" s="191">
        <f t="shared" si="89"/>
        <v>0</v>
      </c>
      <c r="AA207" s="191">
        <f t="shared" si="89"/>
        <v>0</v>
      </c>
      <c r="AB207" s="191">
        <f t="shared" si="89"/>
        <v>0</v>
      </c>
      <c r="AC207" s="191">
        <f t="shared" si="89"/>
        <v>0</v>
      </c>
      <c r="AD207" s="191">
        <f t="shared" si="89"/>
        <v>0</v>
      </c>
      <c r="AE207" s="191">
        <f t="shared" si="89"/>
        <v>0</v>
      </c>
      <c r="AF207" s="204">
        <f t="shared" si="89"/>
        <v>0</v>
      </c>
      <c r="AG207" s="216">
        <v>6.6</v>
      </c>
      <c r="AH207" s="46"/>
      <c r="AI207" s="47"/>
      <c r="AK207" s="49"/>
    </row>
    <row r="208" spans="1:37" x14ac:dyDescent="0.25">
      <c r="A208" s="73" t="s">
        <v>259</v>
      </c>
      <c r="B208" s="191">
        <v>0</v>
      </c>
      <c r="C208" s="191">
        <f t="shared" si="90"/>
        <v>0</v>
      </c>
      <c r="D208" s="191">
        <f t="shared" si="90"/>
        <v>0</v>
      </c>
      <c r="E208" s="191">
        <f t="shared" si="90"/>
        <v>0</v>
      </c>
      <c r="F208" s="191">
        <f t="shared" si="90"/>
        <v>0</v>
      </c>
      <c r="G208" s="191">
        <f t="shared" si="90"/>
        <v>0</v>
      </c>
      <c r="H208" s="191">
        <f t="shared" si="90"/>
        <v>0</v>
      </c>
      <c r="I208" s="191">
        <f t="shared" si="90"/>
        <v>0</v>
      </c>
      <c r="J208" s="191">
        <f t="shared" si="90"/>
        <v>0</v>
      </c>
      <c r="K208" s="191">
        <f t="shared" si="90"/>
        <v>0</v>
      </c>
      <c r="L208" s="191">
        <f t="shared" si="90"/>
        <v>0</v>
      </c>
      <c r="M208" s="191">
        <f t="shared" si="90"/>
        <v>0</v>
      </c>
      <c r="N208" s="191">
        <f t="shared" si="90"/>
        <v>0</v>
      </c>
      <c r="O208" s="191">
        <f t="shared" si="90"/>
        <v>0</v>
      </c>
      <c r="P208" s="191">
        <f t="shared" si="90"/>
        <v>0</v>
      </c>
      <c r="Q208" s="191">
        <f t="shared" si="90"/>
        <v>0</v>
      </c>
      <c r="R208" s="191">
        <f t="shared" si="90"/>
        <v>0</v>
      </c>
      <c r="S208" s="191">
        <f t="shared" si="89"/>
        <v>0</v>
      </c>
      <c r="T208" s="191">
        <f t="shared" si="89"/>
        <v>0</v>
      </c>
      <c r="U208" s="191">
        <f t="shared" si="89"/>
        <v>0</v>
      </c>
      <c r="V208" s="191">
        <f t="shared" si="89"/>
        <v>0</v>
      </c>
      <c r="W208" s="191">
        <f t="shared" si="89"/>
        <v>0</v>
      </c>
      <c r="X208" s="191">
        <f t="shared" si="89"/>
        <v>0</v>
      </c>
      <c r="Y208" s="191">
        <f t="shared" si="89"/>
        <v>0</v>
      </c>
      <c r="Z208" s="191">
        <f t="shared" si="89"/>
        <v>0</v>
      </c>
      <c r="AA208" s="191">
        <f t="shared" si="89"/>
        <v>0</v>
      </c>
      <c r="AB208" s="191">
        <f t="shared" si="89"/>
        <v>0</v>
      </c>
      <c r="AC208" s="191">
        <f t="shared" si="89"/>
        <v>0</v>
      </c>
      <c r="AD208" s="191">
        <f t="shared" si="89"/>
        <v>0</v>
      </c>
      <c r="AE208" s="191">
        <f t="shared" si="89"/>
        <v>0</v>
      </c>
      <c r="AF208" s="204">
        <f t="shared" si="89"/>
        <v>0</v>
      </c>
      <c r="AG208" s="216">
        <v>6.4</v>
      </c>
      <c r="AH208" s="46"/>
      <c r="AI208" s="47"/>
      <c r="AK208" s="49"/>
    </row>
    <row r="209" spans="1:37" x14ac:dyDescent="0.25">
      <c r="A209" s="73" t="s">
        <v>260</v>
      </c>
      <c r="B209" s="191">
        <v>0</v>
      </c>
      <c r="C209" s="191">
        <f t="shared" si="90"/>
        <v>0</v>
      </c>
      <c r="D209" s="191">
        <f t="shared" si="90"/>
        <v>0</v>
      </c>
      <c r="E209" s="191">
        <f t="shared" si="90"/>
        <v>0</v>
      </c>
      <c r="F209" s="191">
        <f t="shared" si="90"/>
        <v>0</v>
      </c>
      <c r="G209" s="191">
        <f t="shared" si="90"/>
        <v>0</v>
      </c>
      <c r="H209" s="191">
        <f t="shared" si="90"/>
        <v>0</v>
      </c>
      <c r="I209" s="191">
        <f t="shared" si="90"/>
        <v>0</v>
      </c>
      <c r="J209" s="191">
        <f t="shared" si="90"/>
        <v>0</v>
      </c>
      <c r="K209" s="191">
        <f t="shared" si="90"/>
        <v>0</v>
      </c>
      <c r="L209" s="191">
        <f t="shared" si="90"/>
        <v>0</v>
      </c>
      <c r="M209" s="191">
        <f t="shared" si="90"/>
        <v>0</v>
      </c>
      <c r="N209" s="191">
        <f t="shared" si="90"/>
        <v>0</v>
      </c>
      <c r="O209" s="191">
        <f t="shared" si="90"/>
        <v>0</v>
      </c>
      <c r="P209" s="191">
        <f t="shared" si="90"/>
        <v>0</v>
      </c>
      <c r="Q209" s="191">
        <f t="shared" si="90"/>
        <v>0</v>
      </c>
      <c r="R209" s="191">
        <f t="shared" si="90"/>
        <v>0</v>
      </c>
      <c r="S209" s="191">
        <f t="shared" si="89"/>
        <v>0</v>
      </c>
      <c r="T209" s="191">
        <f t="shared" si="89"/>
        <v>0</v>
      </c>
      <c r="U209" s="191">
        <f t="shared" si="89"/>
        <v>0</v>
      </c>
      <c r="V209" s="191">
        <f t="shared" si="89"/>
        <v>0</v>
      </c>
      <c r="W209" s="191">
        <f t="shared" si="89"/>
        <v>0</v>
      </c>
      <c r="X209" s="191">
        <f t="shared" si="89"/>
        <v>0</v>
      </c>
      <c r="Y209" s="191">
        <f t="shared" si="89"/>
        <v>0</v>
      </c>
      <c r="Z209" s="191">
        <f t="shared" si="89"/>
        <v>0</v>
      </c>
      <c r="AA209" s="191">
        <f t="shared" si="89"/>
        <v>0</v>
      </c>
      <c r="AB209" s="191">
        <f t="shared" si="89"/>
        <v>0</v>
      </c>
      <c r="AC209" s="191">
        <f t="shared" si="89"/>
        <v>0</v>
      </c>
      <c r="AD209" s="191">
        <f t="shared" si="89"/>
        <v>0</v>
      </c>
      <c r="AE209" s="191">
        <f t="shared" si="89"/>
        <v>0</v>
      </c>
      <c r="AF209" s="204">
        <f t="shared" si="89"/>
        <v>0</v>
      </c>
      <c r="AG209" s="216">
        <v>6</v>
      </c>
      <c r="AH209" s="46"/>
      <c r="AI209" s="47"/>
      <c r="AK209" s="49"/>
    </row>
    <row r="210" spans="1:37" x14ac:dyDescent="0.25">
      <c r="A210" s="73" t="s">
        <v>261</v>
      </c>
      <c r="B210" s="191">
        <v>0</v>
      </c>
      <c r="C210" s="191">
        <f t="shared" si="90"/>
        <v>0</v>
      </c>
      <c r="D210" s="191">
        <f t="shared" si="90"/>
        <v>0</v>
      </c>
      <c r="E210" s="191">
        <f t="shared" si="90"/>
        <v>0</v>
      </c>
      <c r="F210" s="191">
        <f t="shared" si="90"/>
        <v>0</v>
      </c>
      <c r="G210" s="191">
        <f t="shared" si="90"/>
        <v>0</v>
      </c>
      <c r="H210" s="191">
        <f t="shared" si="90"/>
        <v>0</v>
      </c>
      <c r="I210" s="191">
        <f t="shared" si="90"/>
        <v>0</v>
      </c>
      <c r="J210" s="191">
        <f t="shared" si="90"/>
        <v>0</v>
      </c>
      <c r="K210" s="191">
        <f t="shared" si="90"/>
        <v>0</v>
      </c>
      <c r="L210" s="191">
        <f t="shared" si="90"/>
        <v>0</v>
      </c>
      <c r="M210" s="191">
        <f t="shared" si="90"/>
        <v>0</v>
      </c>
      <c r="N210" s="191">
        <f t="shared" si="90"/>
        <v>0</v>
      </c>
      <c r="O210" s="191">
        <f t="shared" si="90"/>
        <v>0</v>
      </c>
      <c r="P210" s="191">
        <f t="shared" si="90"/>
        <v>0</v>
      </c>
      <c r="Q210" s="191">
        <f t="shared" si="90"/>
        <v>0</v>
      </c>
      <c r="R210" s="191">
        <f t="shared" si="90"/>
        <v>0</v>
      </c>
      <c r="S210" s="191">
        <f t="shared" si="89"/>
        <v>0</v>
      </c>
      <c r="T210" s="191">
        <f t="shared" si="89"/>
        <v>0</v>
      </c>
      <c r="U210" s="191">
        <f t="shared" si="89"/>
        <v>0</v>
      </c>
      <c r="V210" s="191">
        <f t="shared" si="89"/>
        <v>0</v>
      </c>
      <c r="W210" s="191">
        <f t="shared" si="89"/>
        <v>0</v>
      </c>
      <c r="X210" s="191">
        <f t="shared" si="89"/>
        <v>0</v>
      </c>
      <c r="Y210" s="191">
        <f t="shared" si="89"/>
        <v>0</v>
      </c>
      <c r="Z210" s="191">
        <f t="shared" si="89"/>
        <v>0</v>
      </c>
      <c r="AA210" s="191">
        <f t="shared" si="89"/>
        <v>0</v>
      </c>
      <c r="AB210" s="191">
        <f t="shared" si="89"/>
        <v>0</v>
      </c>
      <c r="AC210" s="191">
        <f t="shared" si="89"/>
        <v>0</v>
      </c>
      <c r="AD210" s="191">
        <f t="shared" si="89"/>
        <v>0</v>
      </c>
      <c r="AE210" s="191">
        <f t="shared" si="89"/>
        <v>0</v>
      </c>
      <c r="AF210" s="204">
        <f t="shared" si="89"/>
        <v>0</v>
      </c>
      <c r="AG210" s="216">
        <v>5.0999999999999996</v>
      </c>
      <c r="AH210" s="46"/>
      <c r="AI210" s="47"/>
      <c r="AK210" s="49"/>
    </row>
    <row r="211" spans="1:37" x14ac:dyDescent="0.25">
      <c r="A211" s="73" t="s">
        <v>262</v>
      </c>
      <c r="B211" s="191">
        <v>0</v>
      </c>
      <c r="C211" s="191">
        <f t="shared" si="90"/>
        <v>0</v>
      </c>
      <c r="D211" s="191">
        <f t="shared" si="90"/>
        <v>0</v>
      </c>
      <c r="E211" s="191">
        <f t="shared" si="90"/>
        <v>0</v>
      </c>
      <c r="F211" s="191">
        <f t="shared" si="90"/>
        <v>0</v>
      </c>
      <c r="G211" s="191">
        <f t="shared" si="90"/>
        <v>0</v>
      </c>
      <c r="H211" s="191">
        <f t="shared" si="90"/>
        <v>0</v>
      </c>
      <c r="I211" s="191">
        <f t="shared" si="90"/>
        <v>0</v>
      </c>
      <c r="J211" s="191">
        <f t="shared" si="90"/>
        <v>0</v>
      </c>
      <c r="K211" s="191">
        <f t="shared" si="90"/>
        <v>0</v>
      </c>
      <c r="L211" s="191">
        <f t="shared" si="90"/>
        <v>0</v>
      </c>
      <c r="M211" s="191">
        <f t="shared" si="90"/>
        <v>0</v>
      </c>
      <c r="N211" s="191">
        <f t="shared" si="90"/>
        <v>0</v>
      </c>
      <c r="O211" s="191">
        <f t="shared" si="90"/>
        <v>0</v>
      </c>
      <c r="P211" s="191">
        <f t="shared" si="90"/>
        <v>0</v>
      </c>
      <c r="Q211" s="191">
        <f t="shared" si="90"/>
        <v>0</v>
      </c>
      <c r="R211" s="191">
        <f t="shared" si="90"/>
        <v>0</v>
      </c>
      <c r="S211" s="191">
        <f t="shared" si="89"/>
        <v>0</v>
      </c>
      <c r="T211" s="191">
        <f t="shared" si="89"/>
        <v>0</v>
      </c>
      <c r="U211" s="191">
        <f t="shared" si="89"/>
        <v>0</v>
      </c>
      <c r="V211" s="191">
        <f t="shared" si="89"/>
        <v>0</v>
      </c>
      <c r="W211" s="191">
        <f t="shared" si="89"/>
        <v>0</v>
      </c>
      <c r="X211" s="191">
        <f t="shared" si="89"/>
        <v>0</v>
      </c>
      <c r="Y211" s="191">
        <f t="shared" si="89"/>
        <v>0</v>
      </c>
      <c r="Z211" s="191">
        <f t="shared" si="89"/>
        <v>0</v>
      </c>
      <c r="AA211" s="191">
        <f t="shared" si="89"/>
        <v>0</v>
      </c>
      <c r="AB211" s="191">
        <f t="shared" si="89"/>
        <v>0</v>
      </c>
      <c r="AC211" s="191">
        <f t="shared" si="89"/>
        <v>0</v>
      </c>
      <c r="AD211" s="191">
        <f t="shared" si="89"/>
        <v>0</v>
      </c>
      <c r="AE211" s="191">
        <f t="shared" si="89"/>
        <v>0</v>
      </c>
      <c r="AF211" s="204">
        <f t="shared" si="89"/>
        <v>0</v>
      </c>
      <c r="AG211" s="216">
        <v>5</v>
      </c>
      <c r="AH211" s="46"/>
      <c r="AI211" s="47"/>
      <c r="AK211" s="49"/>
    </row>
    <row r="212" spans="1:37" x14ac:dyDescent="0.25">
      <c r="A212" s="120" t="s">
        <v>263</v>
      </c>
      <c r="B212" s="191">
        <v>0</v>
      </c>
      <c r="C212" s="191">
        <f t="shared" si="90"/>
        <v>0</v>
      </c>
      <c r="D212" s="191">
        <f t="shared" si="90"/>
        <v>0</v>
      </c>
      <c r="E212" s="191">
        <f t="shared" si="90"/>
        <v>0</v>
      </c>
      <c r="F212" s="191">
        <f t="shared" si="90"/>
        <v>0</v>
      </c>
      <c r="G212" s="191">
        <f t="shared" si="90"/>
        <v>0</v>
      </c>
      <c r="H212" s="191">
        <f t="shared" si="90"/>
        <v>0</v>
      </c>
      <c r="I212" s="191">
        <f t="shared" si="90"/>
        <v>0</v>
      </c>
      <c r="J212" s="191">
        <f t="shared" si="90"/>
        <v>0</v>
      </c>
      <c r="K212" s="191">
        <f t="shared" si="90"/>
        <v>0</v>
      </c>
      <c r="L212" s="191">
        <f t="shared" si="90"/>
        <v>0</v>
      </c>
      <c r="M212" s="191">
        <f t="shared" si="90"/>
        <v>0</v>
      </c>
      <c r="N212" s="191">
        <f t="shared" si="90"/>
        <v>0</v>
      </c>
      <c r="O212" s="191">
        <f t="shared" si="90"/>
        <v>0</v>
      </c>
      <c r="P212" s="191">
        <f t="shared" si="90"/>
        <v>0</v>
      </c>
      <c r="Q212" s="191">
        <f t="shared" si="90"/>
        <v>0</v>
      </c>
      <c r="R212" s="191">
        <f t="shared" si="90"/>
        <v>0</v>
      </c>
      <c r="S212" s="191">
        <f t="shared" si="89"/>
        <v>0</v>
      </c>
      <c r="T212" s="191">
        <f t="shared" si="89"/>
        <v>0</v>
      </c>
      <c r="U212" s="191">
        <f t="shared" si="89"/>
        <v>0</v>
      </c>
      <c r="V212" s="191">
        <f t="shared" si="89"/>
        <v>0</v>
      </c>
      <c r="W212" s="191">
        <f t="shared" si="89"/>
        <v>0</v>
      </c>
      <c r="X212" s="191">
        <f t="shared" si="89"/>
        <v>0</v>
      </c>
      <c r="Y212" s="191">
        <f t="shared" si="89"/>
        <v>0</v>
      </c>
      <c r="Z212" s="191">
        <f t="shared" si="89"/>
        <v>0</v>
      </c>
      <c r="AA212" s="191">
        <f t="shared" si="89"/>
        <v>0</v>
      </c>
      <c r="AB212" s="191">
        <f t="shared" si="89"/>
        <v>0</v>
      </c>
      <c r="AC212" s="191">
        <f t="shared" si="89"/>
        <v>0</v>
      </c>
      <c r="AD212" s="191">
        <f t="shared" si="89"/>
        <v>0</v>
      </c>
      <c r="AE212" s="191">
        <f t="shared" si="89"/>
        <v>0</v>
      </c>
      <c r="AF212" s="204">
        <f t="shared" si="89"/>
        <v>0</v>
      </c>
      <c r="AG212" s="215">
        <v>5</v>
      </c>
      <c r="AH212" s="46"/>
      <c r="AI212" s="47"/>
      <c r="AK212" s="49"/>
    </row>
    <row r="213" spans="1:37" x14ac:dyDescent="0.25">
      <c r="A213" s="73" t="s">
        <v>264</v>
      </c>
      <c r="B213" s="191">
        <v>0</v>
      </c>
      <c r="C213" s="191">
        <f t="shared" si="90"/>
        <v>0</v>
      </c>
      <c r="D213" s="191">
        <f t="shared" si="90"/>
        <v>0</v>
      </c>
      <c r="E213" s="191">
        <f t="shared" si="90"/>
        <v>0</v>
      </c>
      <c r="F213" s="191">
        <f t="shared" si="90"/>
        <v>0</v>
      </c>
      <c r="G213" s="191">
        <f t="shared" si="90"/>
        <v>0</v>
      </c>
      <c r="H213" s="191">
        <f t="shared" si="90"/>
        <v>0</v>
      </c>
      <c r="I213" s="191">
        <f t="shared" si="90"/>
        <v>0</v>
      </c>
      <c r="J213" s="191">
        <f t="shared" si="90"/>
        <v>0</v>
      </c>
      <c r="K213" s="191">
        <f t="shared" si="90"/>
        <v>0</v>
      </c>
      <c r="L213" s="191">
        <f t="shared" si="90"/>
        <v>0</v>
      </c>
      <c r="M213" s="191">
        <f t="shared" si="90"/>
        <v>0</v>
      </c>
      <c r="N213" s="191">
        <f t="shared" si="90"/>
        <v>0</v>
      </c>
      <c r="O213" s="191">
        <f t="shared" si="90"/>
        <v>0</v>
      </c>
      <c r="P213" s="191">
        <f t="shared" si="90"/>
        <v>0</v>
      </c>
      <c r="Q213" s="191">
        <f t="shared" si="90"/>
        <v>0</v>
      </c>
      <c r="R213" s="191">
        <f t="shared" si="90"/>
        <v>0</v>
      </c>
      <c r="S213" s="191">
        <f t="shared" si="89"/>
        <v>0</v>
      </c>
      <c r="T213" s="191">
        <f t="shared" si="89"/>
        <v>0</v>
      </c>
      <c r="U213" s="191">
        <f t="shared" si="89"/>
        <v>0</v>
      </c>
      <c r="V213" s="191">
        <f t="shared" si="89"/>
        <v>0</v>
      </c>
      <c r="W213" s="191">
        <f t="shared" si="89"/>
        <v>0</v>
      </c>
      <c r="X213" s="191">
        <f t="shared" si="89"/>
        <v>0</v>
      </c>
      <c r="Y213" s="191">
        <f t="shared" si="89"/>
        <v>0</v>
      </c>
      <c r="Z213" s="191">
        <f t="shared" si="89"/>
        <v>0</v>
      </c>
      <c r="AA213" s="191">
        <f t="shared" si="89"/>
        <v>0</v>
      </c>
      <c r="AB213" s="191">
        <f t="shared" si="89"/>
        <v>0</v>
      </c>
      <c r="AC213" s="191">
        <f t="shared" si="89"/>
        <v>0</v>
      </c>
      <c r="AD213" s="191">
        <f t="shared" si="89"/>
        <v>0</v>
      </c>
      <c r="AE213" s="191">
        <f t="shared" si="89"/>
        <v>0</v>
      </c>
      <c r="AF213" s="204">
        <f t="shared" si="89"/>
        <v>0</v>
      </c>
      <c r="AG213" s="216">
        <v>5</v>
      </c>
      <c r="AH213" s="46"/>
      <c r="AI213" s="47"/>
      <c r="AK213" s="49"/>
    </row>
    <row r="214" spans="1:37" x14ac:dyDescent="0.25">
      <c r="A214" s="73" t="s">
        <v>265</v>
      </c>
      <c r="B214" s="191">
        <v>0</v>
      </c>
      <c r="C214" s="191">
        <f t="shared" si="90"/>
        <v>0</v>
      </c>
      <c r="D214" s="191">
        <f t="shared" si="90"/>
        <v>0</v>
      </c>
      <c r="E214" s="191">
        <f t="shared" si="90"/>
        <v>0</v>
      </c>
      <c r="F214" s="191">
        <f t="shared" si="90"/>
        <v>0</v>
      </c>
      <c r="G214" s="191">
        <f t="shared" si="90"/>
        <v>0</v>
      </c>
      <c r="H214" s="191">
        <f t="shared" si="90"/>
        <v>0</v>
      </c>
      <c r="I214" s="191">
        <f t="shared" si="90"/>
        <v>0</v>
      </c>
      <c r="J214" s="191">
        <f t="shared" si="90"/>
        <v>0</v>
      </c>
      <c r="K214" s="191">
        <f t="shared" si="90"/>
        <v>0</v>
      </c>
      <c r="L214" s="191">
        <f t="shared" si="90"/>
        <v>0</v>
      </c>
      <c r="M214" s="191">
        <f t="shared" si="90"/>
        <v>0</v>
      </c>
      <c r="N214" s="191">
        <f t="shared" si="90"/>
        <v>0</v>
      </c>
      <c r="O214" s="191">
        <f t="shared" si="90"/>
        <v>0</v>
      </c>
      <c r="P214" s="191">
        <f t="shared" si="90"/>
        <v>0</v>
      </c>
      <c r="Q214" s="191">
        <f t="shared" si="90"/>
        <v>0</v>
      </c>
      <c r="R214" s="191">
        <f t="shared" si="90"/>
        <v>0</v>
      </c>
      <c r="S214" s="191">
        <f t="shared" si="89"/>
        <v>0</v>
      </c>
      <c r="T214" s="191">
        <f t="shared" si="89"/>
        <v>0</v>
      </c>
      <c r="U214" s="191">
        <f t="shared" si="89"/>
        <v>0</v>
      </c>
      <c r="V214" s="191">
        <f t="shared" si="89"/>
        <v>0</v>
      </c>
      <c r="W214" s="191">
        <f t="shared" si="89"/>
        <v>0</v>
      </c>
      <c r="X214" s="191">
        <f t="shared" si="89"/>
        <v>0</v>
      </c>
      <c r="Y214" s="191">
        <f t="shared" si="89"/>
        <v>0</v>
      </c>
      <c r="Z214" s="191">
        <f t="shared" si="89"/>
        <v>0</v>
      </c>
      <c r="AA214" s="191">
        <f t="shared" si="89"/>
        <v>0</v>
      </c>
      <c r="AB214" s="191">
        <f t="shared" si="89"/>
        <v>0</v>
      </c>
      <c r="AC214" s="191">
        <f t="shared" si="89"/>
        <v>0</v>
      </c>
      <c r="AD214" s="191">
        <f t="shared" si="89"/>
        <v>0</v>
      </c>
      <c r="AE214" s="191">
        <f t="shared" si="89"/>
        <v>0</v>
      </c>
      <c r="AF214" s="204">
        <f t="shared" si="89"/>
        <v>0</v>
      </c>
      <c r="AG214" s="216">
        <v>5</v>
      </c>
      <c r="AH214" s="46"/>
      <c r="AI214" s="47"/>
      <c r="AK214" s="49"/>
    </row>
    <row r="215" spans="1:37" x14ac:dyDescent="0.25">
      <c r="A215" s="73" t="s">
        <v>266</v>
      </c>
      <c r="B215" s="191">
        <v>0</v>
      </c>
      <c r="C215" s="191">
        <f t="shared" si="90"/>
        <v>0</v>
      </c>
      <c r="D215" s="191">
        <f t="shared" si="90"/>
        <v>0</v>
      </c>
      <c r="E215" s="191">
        <f t="shared" si="90"/>
        <v>0</v>
      </c>
      <c r="F215" s="191">
        <f t="shared" si="90"/>
        <v>0</v>
      </c>
      <c r="G215" s="191">
        <f t="shared" si="90"/>
        <v>0</v>
      </c>
      <c r="H215" s="191">
        <f t="shared" si="90"/>
        <v>0</v>
      </c>
      <c r="I215" s="191">
        <f t="shared" si="90"/>
        <v>0</v>
      </c>
      <c r="J215" s="191">
        <f t="shared" si="90"/>
        <v>0</v>
      </c>
      <c r="K215" s="191">
        <f t="shared" si="90"/>
        <v>0</v>
      </c>
      <c r="L215" s="191">
        <f t="shared" si="90"/>
        <v>0</v>
      </c>
      <c r="M215" s="191">
        <f t="shared" si="90"/>
        <v>0</v>
      </c>
      <c r="N215" s="191">
        <f t="shared" si="90"/>
        <v>0</v>
      </c>
      <c r="O215" s="191">
        <f t="shared" si="90"/>
        <v>0</v>
      </c>
      <c r="P215" s="191">
        <f t="shared" si="90"/>
        <v>0</v>
      </c>
      <c r="Q215" s="191">
        <f t="shared" si="90"/>
        <v>0</v>
      </c>
      <c r="R215" s="191">
        <f t="shared" si="90"/>
        <v>0</v>
      </c>
      <c r="S215" s="191">
        <f t="shared" si="89"/>
        <v>0</v>
      </c>
      <c r="T215" s="191">
        <f t="shared" si="89"/>
        <v>0</v>
      </c>
      <c r="U215" s="191">
        <f t="shared" si="89"/>
        <v>0</v>
      </c>
      <c r="V215" s="191">
        <f t="shared" si="89"/>
        <v>0</v>
      </c>
      <c r="W215" s="191">
        <f t="shared" si="89"/>
        <v>0</v>
      </c>
      <c r="X215" s="191">
        <f t="shared" si="89"/>
        <v>0</v>
      </c>
      <c r="Y215" s="191">
        <f t="shared" si="89"/>
        <v>0</v>
      </c>
      <c r="Z215" s="191">
        <f t="shared" si="89"/>
        <v>0</v>
      </c>
      <c r="AA215" s="191">
        <f t="shared" si="89"/>
        <v>0</v>
      </c>
      <c r="AB215" s="191">
        <f t="shared" si="89"/>
        <v>0</v>
      </c>
      <c r="AC215" s="191">
        <f t="shared" si="89"/>
        <v>0</v>
      </c>
      <c r="AD215" s="191">
        <f t="shared" si="89"/>
        <v>0</v>
      </c>
      <c r="AE215" s="191">
        <f t="shared" si="89"/>
        <v>0</v>
      </c>
      <c r="AF215" s="204">
        <f t="shared" si="89"/>
        <v>0</v>
      </c>
      <c r="AG215" s="216">
        <v>5</v>
      </c>
      <c r="AH215" s="46"/>
      <c r="AI215" s="47"/>
      <c r="AK215" s="49"/>
    </row>
    <row r="216" spans="1:37" x14ac:dyDescent="0.25">
      <c r="A216" s="73" t="s">
        <v>267</v>
      </c>
      <c r="B216" s="191">
        <v>0</v>
      </c>
      <c r="C216" s="191">
        <f t="shared" si="90"/>
        <v>0</v>
      </c>
      <c r="D216" s="191">
        <f t="shared" si="90"/>
        <v>0</v>
      </c>
      <c r="E216" s="191">
        <f t="shared" si="90"/>
        <v>0</v>
      </c>
      <c r="F216" s="191">
        <f t="shared" si="90"/>
        <v>0</v>
      </c>
      <c r="G216" s="191">
        <f t="shared" si="90"/>
        <v>0</v>
      </c>
      <c r="H216" s="191">
        <f t="shared" si="90"/>
        <v>0</v>
      </c>
      <c r="I216" s="191">
        <f t="shared" si="90"/>
        <v>0</v>
      </c>
      <c r="J216" s="191">
        <f t="shared" si="90"/>
        <v>0</v>
      </c>
      <c r="K216" s="191">
        <f t="shared" si="90"/>
        <v>0</v>
      </c>
      <c r="L216" s="191">
        <f t="shared" si="90"/>
        <v>0</v>
      </c>
      <c r="M216" s="191">
        <f t="shared" si="90"/>
        <v>0</v>
      </c>
      <c r="N216" s="191">
        <f t="shared" si="90"/>
        <v>0</v>
      </c>
      <c r="O216" s="191">
        <f t="shared" si="90"/>
        <v>0</v>
      </c>
      <c r="P216" s="191">
        <f t="shared" si="90"/>
        <v>0</v>
      </c>
      <c r="Q216" s="191">
        <f t="shared" si="90"/>
        <v>0</v>
      </c>
      <c r="R216" s="191">
        <f t="shared" si="90"/>
        <v>0</v>
      </c>
      <c r="S216" s="191">
        <f t="shared" si="89"/>
        <v>0</v>
      </c>
      <c r="T216" s="191">
        <f t="shared" si="89"/>
        <v>0</v>
      </c>
      <c r="U216" s="191">
        <f t="shared" si="89"/>
        <v>0</v>
      </c>
      <c r="V216" s="191">
        <f t="shared" si="89"/>
        <v>0</v>
      </c>
      <c r="W216" s="191">
        <f t="shared" si="89"/>
        <v>0</v>
      </c>
      <c r="X216" s="191">
        <f t="shared" si="89"/>
        <v>0</v>
      </c>
      <c r="Y216" s="191">
        <f t="shared" si="89"/>
        <v>0</v>
      </c>
      <c r="Z216" s="191">
        <f t="shared" si="89"/>
        <v>0</v>
      </c>
      <c r="AA216" s="191">
        <f t="shared" si="89"/>
        <v>0</v>
      </c>
      <c r="AB216" s="191">
        <f t="shared" si="89"/>
        <v>0</v>
      </c>
      <c r="AC216" s="191">
        <f t="shared" si="89"/>
        <v>0</v>
      </c>
      <c r="AD216" s="191">
        <f t="shared" si="89"/>
        <v>0</v>
      </c>
      <c r="AE216" s="191">
        <f t="shared" si="89"/>
        <v>0</v>
      </c>
      <c r="AF216" s="204">
        <f t="shared" si="89"/>
        <v>0</v>
      </c>
      <c r="AG216" s="216">
        <v>5</v>
      </c>
      <c r="AH216" s="46"/>
      <c r="AI216" s="47"/>
      <c r="AK216" s="49"/>
    </row>
    <row r="217" spans="1:37" x14ac:dyDescent="0.25">
      <c r="A217" s="73" t="s">
        <v>268</v>
      </c>
      <c r="B217" s="191">
        <v>0</v>
      </c>
      <c r="C217" s="191">
        <f t="shared" si="90"/>
        <v>0</v>
      </c>
      <c r="D217" s="191">
        <f t="shared" si="90"/>
        <v>0</v>
      </c>
      <c r="E217" s="191">
        <f t="shared" si="90"/>
        <v>0</v>
      </c>
      <c r="F217" s="191">
        <f t="shared" si="90"/>
        <v>0</v>
      </c>
      <c r="G217" s="191">
        <f t="shared" si="90"/>
        <v>0</v>
      </c>
      <c r="H217" s="191">
        <f t="shared" si="90"/>
        <v>0</v>
      </c>
      <c r="I217" s="191">
        <f t="shared" si="90"/>
        <v>0</v>
      </c>
      <c r="J217" s="191">
        <f t="shared" si="90"/>
        <v>0</v>
      </c>
      <c r="K217" s="191">
        <f t="shared" si="90"/>
        <v>0</v>
      </c>
      <c r="L217" s="191">
        <f t="shared" si="90"/>
        <v>0</v>
      </c>
      <c r="M217" s="191">
        <f t="shared" si="90"/>
        <v>0</v>
      </c>
      <c r="N217" s="191">
        <f t="shared" si="90"/>
        <v>0</v>
      </c>
      <c r="O217" s="191">
        <f t="shared" si="90"/>
        <v>0</v>
      </c>
      <c r="P217" s="191">
        <f t="shared" si="90"/>
        <v>0</v>
      </c>
      <c r="Q217" s="191">
        <f t="shared" si="90"/>
        <v>0</v>
      </c>
      <c r="R217" s="191">
        <f t="shared" ref="R217:AF232" si="91">Q217</f>
        <v>0</v>
      </c>
      <c r="S217" s="191">
        <f t="shared" si="91"/>
        <v>0</v>
      </c>
      <c r="T217" s="191">
        <f t="shared" si="91"/>
        <v>0</v>
      </c>
      <c r="U217" s="191">
        <f t="shared" si="91"/>
        <v>0</v>
      </c>
      <c r="V217" s="191">
        <f t="shared" si="91"/>
        <v>0</v>
      </c>
      <c r="W217" s="191">
        <f t="shared" si="91"/>
        <v>0</v>
      </c>
      <c r="X217" s="191">
        <f t="shared" si="91"/>
        <v>0</v>
      </c>
      <c r="Y217" s="191">
        <f t="shared" si="91"/>
        <v>0</v>
      </c>
      <c r="Z217" s="191">
        <f t="shared" si="91"/>
        <v>0</v>
      </c>
      <c r="AA217" s="191">
        <f t="shared" si="91"/>
        <v>0</v>
      </c>
      <c r="AB217" s="191">
        <f t="shared" si="91"/>
        <v>0</v>
      </c>
      <c r="AC217" s="191">
        <f t="shared" si="91"/>
        <v>0</v>
      </c>
      <c r="AD217" s="191">
        <f t="shared" si="91"/>
        <v>0</v>
      </c>
      <c r="AE217" s="191">
        <f t="shared" si="91"/>
        <v>0</v>
      </c>
      <c r="AF217" s="204">
        <f t="shared" si="91"/>
        <v>0</v>
      </c>
      <c r="AG217" s="216">
        <v>5</v>
      </c>
      <c r="AH217" s="46"/>
      <c r="AI217" s="47"/>
      <c r="AK217" s="49"/>
    </row>
    <row r="218" spans="1:37" x14ac:dyDescent="0.25">
      <c r="A218" s="73" t="s">
        <v>269</v>
      </c>
      <c r="B218" s="191">
        <v>0</v>
      </c>
      <c r="C218" s="191">
        <f t="shared" ref="C218:R233" si="92">B218</f>
        <v>0</v>
      </c>
      <c r="D218" s="191">
        <f t="shared" si="92"/>
        <v>0</v>
      </c>
      <c r="E218" s="191">
        <f t="shared" si="92"/>
        <v>0</v>
      </c>
      <c r="F218" s="191">
        <f t="shared" si="92"/>
        <v>0</v>
      </c>
      <c r="G218" s="191">
        <f t="shared" si="92"/>
        <v>0</v>
      </c>
      <c r="H218" s="191">
        <f t="shared" si="92"/>
        <v>0</v>
      </c>
      <c r="I218" s="191">
        <f t="shared" si="92"/>
        <v>0</v>
      </c>
      <c r="J218" s="191">
        <f t="shared" si="92"/>
        <v>0</v>
      </c>
      <c r="K218" s="191">
        <f t="shared" si="92"/>
        <v>0</v>
      </c>
      <c r="L218" s="191">
        <f t="shared" si="92"/>
        <v>0</v>
      </c>
      <c r="M218" s="191">
        <f t="shared" si="92"/>
        <v>0</v>
      </c>
      <c r="N218" s="191">
        <f t="shared" si="92"/>
        <v>0</v>
      </c>
      <c r="O218" s="191">
        <f t="shared" si="92"/>
        <v>0</v>
      </c>
      <c r="P218" s="191">
        <f t="shared" si="92"/>
        <v>0</v>
      </c>
      <c r="Q218" s="191">
        <f t="shared" si="92"/>
        <v>0</v>
      </c>
      <c r="R218" s="191">
        <f t="shared" si="92"/>
        <v>0</v>
      </c>
      <c r="S218" s="191">
        <f t="shared" si="91"/>
        <v>0</v>
      </c>
      <c r="T218" s="191">
        <f t="shared" si="91"/>
        <v>0</v>
      </c>
      <c r="U218" s="191">
        <f t="shared" si="91"/>
        <v>0</v>
      </c>
      <c r="V218" s="191">
        <f t="shared" si="91"/>
        <v>0</v>
      </c>
      <c r="W218" s="191">
        <f t="shared" si="91"/>
        <v>0</v>
      </c>
      <c r="X218" s="191">
        <f t="shared" si="91"/>
        <v>0</v>
      </c>
      <c r="Y218" s="191">
        <f t="shared" si="91"/>
        <v>0</v>
      </c>
      <c r="Z218" s="191">
        <f t="shared" si="91"/>
        <v>0</v>
      </c>
      <c r="AA218" s="191">
        <f t="shared" si="91"/>
        <v>0</v>
      </c>
      <c r="AB218" s="191">
        <f t="shared" si="91"/>
        <v>0</v>
      </c>
      <c r="AC218" s="191">
        <f t="shared" si="91"/>
        <v>0</v>
      </c>
      <c r="AD218" s="191">
        <f t="shared" si="91"/>
        <v>0</v>
      </c>
      <c r="AE218" s="191">
        <f t="shared" si="91"/>
        <v>0</v>
      </c>
      <c r="AF218" s="204">
        <f t="shared" si="91"/>
        <v>0</v>
      </c>
      <c r="AG218" s="216">
        <v>4.9930000000000003</v>
      </c>
      <c r="AH218" s="46"/>
      <c r="AI218" s="47"/>
      <c r="AK218" s="49"/>
    </row>
    <row r="219" spans="1:37" x14ac:dyDescent="0.25">
      <c r="A219" s="73" t="s">
        <v>270</v>
      </c>
      <c r="B219" s="191">
        <v>0</v>
      </c>
      <c r="C219" s="191">
        <f t="shared" si="92"/>
        <v>0</v>
      </c>
      <c r="D219" s="191">
        <f t="shared" si="92"/>
        <v>0</v>
      </c>
      <c r="E219" s="191">
        <f t="shared" si="92"/>
        <v>0</v>
      </c>
      <c r="F219" s="191">
        <f t="shared" si="92"/>
        <v>0</v>
      </c>
      <c r="G219" s="191">
        <f t="shared" si="92"/>
        <v>0</v>
      </c>
      <c r="H219" s="191">
        <f t="shared" si="92"/>
        <v>0</v>
      </c>
      <c r="I219" s="191">
        <f t="shared" si="92"/>
        <v>0</v>
      </c>
      <c r="J219" s="191">
        <f t="shared" si="92"/>
        <v>0</v>
      </c>
      <c r="K219" s="191">
        <f t="shared" si="92"/>
        <v>0</v>
      </c>
      <c r="L219" s="191">
        <f t="shared" si="92"/>
        <v>0</v>
      </c>
      <c r="M219" s="191">
        <f t="shared" si="92"/>
        <v>0</v>
      </c>
      <c r="N219" s="191">
        <f t="shared" si="92"/>
        <v>0</v>
      </c>
      <c r="O219" s="191">
        <f t="shared" si="92"/>
        <v>0</v>
      </c>
      <c r="P219" s="191">
        <f t="shared" si="92"/>
        <v>0</v>
      </c>
      <c r="Q219" s="191">
        <f t="shared" si="92"/>
        <v>0</v>
      </c>
      <c r="R219" s="191">
        <f t="shared" si="92"/>
        <v>0</v>
      </c>
      <c r="S219" s="191">
        <f t="shared" si="91"/>
        <v>0</v>
      </c>
      <c r="T219" s="191">
        <f t="shared" si="91"/>
        <v>0</v>
      </c>
      <c r="U219" s="191">
        <f t="shared" si="91"/>
        <v>0</v>
      </c>
      <c r="V219" s="191">
        <f t="shared" si="91"/>
        <v>0</v>
      </c>
      <c r="W219" s="191">
        <f t="shared" si="91"/>
        <v>0</v>
      </c>
      <c r="X219" s="191">
        <f t="shared" si="91"/>
        <v>0</v>
      </c>
      <c r="Y219" s="191">
        <f t="shared" si="91"/>
        <v>0</v>
      </c>
      <c r="Z219" s="191">
        <f t="shared" si="91"/>
        <v>0</v>
      </c>
      <c r="AA219" s="191">
        <f t="shared" si="91"/>
        <v>0</v>
      </c>
      <c r="AB219" s="191">
        <f t="shared" si="91"/>
        <v>0</v>
      </c>
      <c r="AC219" s="191">
        <f t="shared" si="91"/>
        <v>0</v>
      </c>
      <c r="AD219" s="191">
        <f t="shared" si="91"/>
        <v>0</v>
      </c>
      <c r="AE219" s="191">
        <f t="shared" si="91"/>
        <v>0</v>
      </c>
      <c r="AF219" s="204">
        <f t="shared" si="91"/>
        <v>0</v>
      </c>
      <c r="AG219" s="216">
        <v>4.9800000000000004</v>
      </c>
      <c r="AH219" s="46"/>
      <c r="AI219" s="47"/>
      <c r="AK219" s="49"/>
    </row>
    <row r="220" spans="1:37" x14ac:dyDescent="0.25">
      <c r="A220" s="73" t="s">
        <v>271</v>
      </c>
      <c r="B220" s="191">
        <v>0</v>
      </c>
      <c r="C220" s="191">
        <f t="shared" si="92"/>
        <v>0</v>
      </c>
      <c r="D220" s="191">
        <f t="shared" si="92"/>
        <v>0</v>
      </c>
      <c r="E220" s="191">
        <f t="shared" si="92"/>
        <v>0</v>
      </c>
      <c r="F220" s="191">
        <f t="shared" si="92"/>
        <v>0</v>
      </c>
      <c r="G220" s="191">
        <f t="shared" si="92"/>
        <v>0</v>
      </c>
      <c r="H220" s="191">
        <f t="shared" si="92"/>
        <v>0</v>
      </c>
      <c r="I220" s="191">
        <f t="shared" si="92"/>
        <v>0</v>
      </c>
      <c r="J220" s="191">
        <f t="shared" si="92"/>
        <v>0</v>
      </c>
      <c r="K220" s="191">
        <f t="shared" si="92"/>
        <v>0</v>
      </c>
      <c r="L220" s="191">
        <f t="shared" si="92"/>
        <v>0</v>
      </c>
      <c r="M220" s="191">
        <f t="shared" si="92"/>
        <v>0</v>
      </c>
      <c r="N220" s="191">
        <f t="shared" si="92"/>
        <v>0</v>
      </c>
      <c r="O220" s="191">
        <f t="shared" si="92"/>
        <v>0</v>
      </c>
      <c r="P220" s="191">
        <f t="shared" si="92"/>
        <v>0</v>
      </c>
      <c r="Q220" s="191">
        <f t="shared" si="92"/>
        <v>0</v>
      </c>
      <c r="R220" s="191">
        <f t="shared" si="92"/>
        <v>0</v>
      </c>
      <c r="S220" s="191">
        <f t="shared" si="91"/>
        <v>0</v>
      </c>
      <c r="T220" s="191">
        <f t="shared" si="91"/>
        <v>0</v>
      </c>
      <c r="U220" s="191">
        <f t="shared" si="91"/>
        <v>0</v>
      </c>
      <c r="V220" s="191">
        <f t="shared" si="91"/>
        <v>0</v>
      </c>
      <c r="W220" s="191">
        <f t="shared" si="91"/>
        <v>0</v>
      </c>
      <c r="X220" s="191">
        <f t="shared" si="91"/>
        <v>0</v>
      </c>
      <c r="Y220" s="191">
        <f t="shared" si="91"/>
        <v>0</v>
      </c>
      <c r="Z220" s="191">
        <f t="shared" si="91"/>
        <v>0</v>
      </c>
      <c r="AA220" s="191">
        <f t="shared" si="91"/>
        <v>0</v>
      </c>
      <c r="AB220" s="191">
        <f t="shared" si="91"/>
        <v>0</v>
      </c>
      <c r="AC220" s="191">
        <f t="shared" si="91"/>
        <v>0</v>
      </c>
      <c r="AD220" s="191">
        <f t="shared" si="91"/>
        <v>0</v>
      </c>
      <c r="AE220" s="191">
        <f t="shared" si="91"/>
        <v>0</v>
      </c>
      <c r="AF220" s="204">
        <f t="shared" si="91"/>
        <v>0</v>
      </c>
      <c r="AG220" s="216">
        <v>4.95</v>
      </c>
      <c r="AH220" s="46"/>
      <c r="AI220" s="47"/>
      <c r="AK220" s="49"/>
    </row>
    <row r="221" spans="1:37" x14ac:dyDescent="0.25">
      <c r="A221" s="73" t="s">
        <v>272</v>
      </c>
      <c r="B221" s="191">
        <v>0</v>
      </c>
      <c r="C221" s="191">
        <f t="shared" si="92"/>
        <v>0</v>
      </c>
      <c r="D221" s="191">
        <f t="shared" si="92"/>
        <v>0</v>
      </c>
      <c r="E221" s="191">
        <f t="shared" si="92"/>
        <v>0</v>
      </c>
      <c r="F221" s="191">
        <f t="shared" si="92"/>
        <v>0</v>
      </c>
      <c r="G221" s="191">
        <f t="shared" si="92"/>
        <v>0</v>
      </c>
      <c r="H221" s="191">
        <f t="shared" si="92"/>
        <v>0</v>
      </c>
      <c r="I221" s="191">
        <f t="shared" si="92"/>
        <v>0</v>
      </c>
      <c r="J221" s="191">
        <f t="shared" si="92"/>
        <v>0</v>
      </c>
      <c r="K221" s="191">
        <f t="shared" si="92"/>
        <v>0</v>
      </c>
      <c r="L221" s="191">
        <f t="shared" si="92"/>
        <v>0</v>
      </c>
      <c r="M221" s="191">
        <f t="shared" si="92"/>
        <v>0</v>
      </c>
      <c r="N221" s="191">
        <f t="shared" si="92"/>
        <v>0</v>
      </c>
      <c r="O221" s="191">
        <f t="shared" si="92"/>
        <v>0</v>
      </c>
      <c r="P221" s="191">
        <f t="shared" si="92"/>
        <v>0</v>
      </c>
      <c r="Q221" s="191">
        <f t="shared" si="92"/>
        <v>0</v>
      </c>
      <c r="R221" s="191">
        <f t="shared" si="92"/>
        <v>0</v>
      </c>
      <c r="S221" s="191">
        <f t="shared" si="91"/>
        <v>0</v>
      </c>
      <c r="T221" s="191">
        <f t="shared" si="91"/>
        <v>0</v>
      </c>
      <c r="U221" s="191">
        <f t="shared" si="91"/>
        <v>0</v>
      </c>
      <c r="V221" s="191">
        <f t="shared" si="91"/>
        <v>0</v>
      </c>
      <c r="W221" s="191">
        <f t="shared" si="91"/>
        <v>0</v>
      </c>
      <c r="X221" s="191">
        <f t="shared" si="91"/>
        <v>0</v>
      </c>
      <c r="Y221" s="191">
        <f t="shared" si="91"/>
        <v>0</v>
      </c>
      <c r="Z221" s="191">
        <f t="shared" si="91"/>
        <v>0</v>
      </c>
      <c r="AA221" s="191">
        <f t="shared" si="91"/>
        <v>0</v>
      </c>
      <c r="AB221" s="191">
        <f t="shared" si="91"/>
        <v>0</v>
      </c>
      <c r="AC221" s="191">
        <f t="shared" si="91"/>
        <v>0</v>
      </c>
      <c r="AD221" s="191">
        <f t="shared" si="91"/>
        <v>0</v>
      </c>
      <c r="AE221" s="191">
        <f t="shared" si="91"/>
        <v>0</v>
      </c>
      <c r="AF221" s="204">
        <f t="shared" si="91"/>
        <v>0</v>
      </c>
      <c r="AG221" s="216">
        <v>4.95</v>
      </c>
      <c r="AH221" s="46"/>
      <c r="AI221" s="47"/>
      <c r="AK221" s="49"/>
    </row>
    <row r="222" spans="1:37" x14ac:dyDescent="0.25">
      <c r="A222" s="73" t="s">
        <v>273</v>
      </c>
      <c r="B222" s="191">
        <v>0</v>
      </c>
      <c r="C222" s="191">
        <f t="shared" si="92"/>
        <v>0</v>
      </c>
      <c r="D222" s="191">
        <f t="shared" si="92"/>
        <v>0</v>
      </c>
      <c r="E222" s="191">
        <f t="shared" si="92"/>
        <v>0</v>
      </c>
      <c r="F222" s="191">
        <f t="shared" si="92"/>
        <v>0</v>
      </c>
      <c r="G222" s="191">
        <f t="shared" si="92"/>
        <v>0</v>
      </c>
      <c r="H222" s="191">
        <f t="shared" si="92"/>
        <v>0</v>
      </c>
      <c r="I222" s="191">
        <f t="shared" si="92"/>
        <v>0</v>
      </c>
      <c r="J222" s="191">
        <f t="shared" si="92"/>
        <v>0</v>
      </c>
      <c r="K222" s="191">
        <f t="shared" si="92"/>
        <v>0</v>
      </c>
      <c r="L222" s="191">
        <f t="shared" si="92"/>
        <v>0</v>
      </c>
      <c r="M222" s="191">
        <f t="shared" si="92"/>
        <v>0</v>
      </c>
      <c r="N222" s="191">
        <f t="shared" si="92"/>
        <v>0</v>
      </c>
      <c r="O222" s="191">
        <f t="shared" si="92"/>
        <v>0</v>
      </c>
      <c r="P222" s="191">
        <f t="shared" si="92"/>
        <v>0</v>
      </c>
      <c r="Q222" s="191">
        <f t="shared" si="92"/>
        <v>0</v>
      </c>
      <c r="R222" s="191">
        <f t="shared" si="92"/>
        <v>0</v>
      </c>
      <c r="S222" s="191">
        <f t="shared" si="91"/>
        <v>0</v>
      </c>
      <c r="T222" s="191">
        <f t="shared" si="91"/>
        <v>0</v>
      </c>
      <c r="U222" s="191">
        <f t="shared" si="91"/>
        <v>0</v>
      </c>
      <c r="V222" s="191">
        <f t="shared" si="91"/>
        <v>0</v>
      </c>
      <c r="W222" s="191">
        <f t="shared" si="91"/>
        <v>0</v>
      </c>
      <c r="X222" s="191">
        <f t="shared" si="91"/>
        <v>0</v>
      </c>
      <c r="Y222" s="191">
        <f t="shared" si="91"/>
        <v>0</v>
      </c>
      <c r="Z222" s="191">
        <f t="shared" si="91"/>
        <v>0</v>
      </c>
      <c r="AA222" s="191">
        <f t="shared" si="91"/>
        <v>0</v>
      </c>
      <c r="AB222" s="191">
        <f t="shared" si="91"/>
        <v>0</v>
      </c>
      <c r="AC222" s="191">
        <f t="shared" si="91"/>
        <v>0</v>
      </c>
      <c r="AD222" s="191">
        <f t="shared" si="91"/>
        <v>0</v>
      </c>
      <c r="AE222" s="191">
        <f t="shared" si="91"/>
        <v>0</v>
      </c>
      <c r="AF222" s="204">
        <f t="shared" si="91"/>
        <v>0</v>
      </c>
      <c r="AG222" s="216">
        <v>4.8</v>
      </c>
      <c r="AH222" s="46"/>
      <c r="AI222" s="47"/>
      <c r="AK222" s="49"/>
    </row>
    <row r="223" spans="1:37" x14ac:dyDescent="0.25">
      <c r="A223" s="73" t="s">
        <v>274</v>
      </c>
      <c r="B223" s="191">
        <v>0</v>
      </c>
      <c r="C223" s="191">
        <f t="shared" si="92"/>
        <v>0</v>
      </c>
      <c r="D223" s="191">
        <f t="shared" si="92"/>
        <v>0</v>
      </c>
      <c r="E223" s="191">
        <f t="shared" si="92"/>
        <v>0</v>
      </c>
      <c r="F223" s="191">
        <f t="shared" si="92"/>
        <v>0</v>
      </c>
      <c r="G223" s="191">
        <f t="shared" si="92"/>
        <v>0</v>
      </c>
      <c r="H223" s="191">
        <f t="shared" si="92"/>
        <v>0</v>
      </c>
      <c r="I223" s="191">
        <f t="shared" si="92"/>
        <v>0</v>
      </c>
      <c r="J223" s="191">
        <f t="shared" si="92"/>
        <v>0</v>
      </c>
      <c r="K223" s="191">
        <f t="shared" si="92"/>
        <v>0</v>
      </c>
      <c r="L223" s="191">
        <f t="shared" si="92"/>
        <v>0</v>
      </c>
      <c r="M223" s="191">
        <f t="shared" si="92"/>
        <v>0</v>
      </c>
      <c r="N223" s="191">
        <f t="shared" si="92"/>
        <v>0</v>
      </c>
      <c r="O223" s="191">
        <f t="shared" si="92"/>
        <v>0</v>
      </c>
      <c r="P223" s="191">
        <f t="shared" si="92"/>
        <v>0</v>
      </c>
      <c r="Q223" s="191">
        <f t="shared" si="92"/>
        <v>0</v>
      </c>
      <c r="R223" s="191">
        <f t="shared" si="92"/>
        <v>0</v>
      </c>
      <c r="S223" s="191">
        <f t="shared" si="91"/>
        <v>0</v>
      </c>
      <c r="T223" s="191">
        <f t="shared" si="91"/>
        <v>0</v>
      </c>
      <c r="U223" s="191">
        <f t="shared" si="91"/>
        <v>0</v>
      </c>
      <c r="V223" s="191">
        <f t="shared" si="91"/>
        <v>0</v>
      </c>
      <c r="W223" s="191">
        <f t="shared" si="91"/>
        <v>0</v>
      </c>
      <c r="X223" s="191">
        <f t="shared" si="91"/>
        <v>0</v>
      </c>
      <c r="Y223" s="191">
        <f t="shared" si="91"/>
        <v>0</v>
      </c>
      <c r="Z223" s="191">
        <f t="shared" si="91"/>
        <v>0</v>
      </c>
      <c r="AA223" s="191">
        <f t="shared" si="91"/>
        <v>0</v>
      </c>
      <c r="AB223" s="191">
        <f t="shared" si="91"/>
        <v>0</v>
      </c>
      <c r="AC223" s="191">
        <f t="shared" si="91"/>
        <v>0</v>
      </c>
      <c r="AD223" s="191">
        <f t="shared" si="91"/>
        <v>0</v>
      </c>
      <c r="AE223" s="191">
        <f t="shared" si="91"/>
        <v>0</v>
      </c>
      <c r="AF223" s="204">
        <f t="shared" si="91"/>
        <v>0</v>
      </c>
      <c r="AG223" s="216">
        <v>4.8</v>
      </c>
      <c r="AH223" s="46"/>
      <c r="AI223" s="47"/>
      <c r="AK223" s="49"/>
    </row>
    <row r="224" spans="1:37" x14ac:dyDescent="0.25">
      <c r="A224" s="73" t="s">
        <v>275</v>
      </c>
      <c r="B224" s="191">
        <v>0</v>
      </c>
      <c r="C224" s="191">
        <f t="shared" si="92"/>
        <v>0</v>
      </c>
      <c r="D224" s="191">
        <f t="shared" si="92"/>
        <v>0</v>
      </c>
      <c r="E224" s="191">
        <f t="shared" si="92"/>
        <v>0</v>
      </c>
      <c r="F224" s="191">
        <f t="shared" si="92"/>
        <v>0</v>
      </c>
      <c r="G224" s="191">
        <f t="shared" si="92"/>
        <v>0</v>
      </c>
      <c r="H224" s="191">
        <f t="shared" si="92"/>
        <v>0</v>
      </c>
      <c r="I224" s="191">
        <f t="shared" si="92"/>
        <v>0</v>
      </c>
      <c r="J224" s="191">
        <f t="shared" si="92"/>
        <v>0</v>
      </c>
      <c r="K224" s="191">
        <f t="shared" si="92"/>
        <v>0</v>
      </c>
      <c r="L224" s="191">
        <f t="shared" si="92"/>
        <v>0</v>
      </c>
      <c r="M224" s="191">
        <f t="shared" si="92"/>
        <v>0</v>
      </c>
      <c r="N224" s="191">
        <f t="shared" si="92"/>
        <v>0</v>
      </c>
      <c r="O224" s="191">
        <f t="shared" si="92"/>
        <v>0</v>
      </c>
      <c r="P224" s="191">
        <f t="shared" si="92"/>
        <v>0</v>
      </c>
      <c r="Q224" s="191">
        <f t="shared" si="92"/>
        <v>0</v>
      </c>
      <c r="R224" s="191">
        <f t="shared" si="92"/>
        <v>0</v>
      </c>
      <c r="S224" s="191">
        <f t="shared" si="91"/>
        <v>0</v>
      </c>
      <c r="T224" s="191">
        <f t="shared" si="91"/>
        <v>0</v>
      </c>
      <c r="U224" s="191">
        <f t="shared" si="91"/>
        <v>0</v>
      </c>
      <c r="V224" s="191">
        <f t="shared" si="91"/>
        <v>0</v>
      </c>
      <c r="W224" s="191">
        <f t="shared" si="91"/>
        <v>0</v>
      </c>
      <c r="X224" s="191">
        <f t="shared" si="91"/>
        <v>0</v>
      </c>
      <c r="Y224" s="191">
        <f t="shared" si="91"/>
        <v>0</v>
      </c>
      <c r="Z224" s="191">
        <f t="shared" si="91"/>
        <v>0</v>
      </c>
      <c r="AA224" s="191">
        <f t="shared" si="91"/>
        <v>0</v>
      </c>
      <c r="AB224" s="191">
        <f t="shared" si="91"/>
        <v>0</v>
      </c>
      <c r="AC224" s="191">
        <f t="shared" si="91"/>
        <v>0</v>
      </c>
      <c r="AD224" s="191">
        <f t="shared" si="91"/>
        <v>0</v>
      </c>
      <c r="AE224" s="191">
        <f t="shared" si="91"/>
        <v>0</v>
      </c>
      <c r="AF224" s="204">
        <f t="shared" si="91"/>
        <v>0</v>
      </c>
      <c r="AG224" s="216">
        <v>4.8</v>
      </c>
      <c r="AH224" s="46"/>
      <c r="AI224" s="47"/>
      <c r="AK224" s="49"/>
    </row>
    <row r="225" spans="1:37" x14ac:dyDescent="0.25">
      <c r="A225" s="73" t="s">
        <v>276</v>
      </c>
      <c r="B225" s="191">
        <v>0</v>
      </c>
      <c r="C225" s="191">
        <f t="shared" si="92"/>
        <v>0</v>
      </c>
      <c r="D225" s="191">
        <f t="shared" si="92"/>
        <v>0</v>
      </c>
      <c r="E225" s="191">
        <f t="shared" si="92"/>
        <v>0</v>
      </c>
      <c r="F225" s="191">
        <f t="shared" si="92"/>
        <v>0</v>
      </c>
      <c r="G225" s="191">
        <f t="shared" si="92"/>
        <v>0</v>
      </c>
      <c r="H225" s="191">
        <f t="shared" si="92"/>
        <v>0</v>
      </c>
      <c r="I225" s="191">
        <f t="shared" si="92"/>
        <v>0</v>
      </c>
      <c r="J225" s="191">
        <f t="shared" si="92"/>
        <v>0</v>
      </c>
      <c r="K225" s="191">
        <f t="shared" si="92"/>
        <v>0</v>
      </c>
      <c r="L225" s="191">
        <f t="shared" si="92"/>
        <v>0</v>
      </c>
      <c r="M225" s="191">
        <f t="shared" si="92"/>
        <v>0</v>
      </c>
      <c r="N225" s="191">
        <f t="shared" si="92"/>
        <v>0</v>
      </c>
      <c r="O225" s="191">
        <f t="shared" si="92"/>
        <v>0</v>
      </c>
      <c r="P225" s="191">
        <f t="shared" si="92"/>
        <v>0</v>
      </c>
      <c r="Q225" s="191">
        <f t="shared" si="92"/>
        <v>0</v>
      </c>
      <c r="R225" s="191">
        <f t="shared" si="92"/>
        <v>0</v>
      </c>
      <c r="S225" s="191">
        <f t="shared" si="91"/>
        <v>0</v>
      </c>
      <c r="T225" s="191">
        <f t="shared" si="91"/>
        <v>0</v>
      </c>
      <c r="U225" s="191">
        <f t="shared" si="91"/>
        <v>0</v>
      </c>
      <c r="V225" s="191">
        <f t="shared" si="91"/>
        <v>0</v>
      </c>
      <c r="W225" s="191">
        <f t="shared" si="91"/>
        <v>0</v>
      </c>
      <c r="X225" s="191">
        <f t="shared" si="91"/>
        <v>0</v>
      </c>
      <c r="Y225" s="191">
        <f t="shared" si="91"/>
        <v>0</v>
      </c>
      <c r="Z225" s="191">
        <f t="shared" si="91"/>
        <v>0</v>
      </c>
      <c r="AA225" s="191">
        <f t="shared" si="91"/>
        <v>0</v>
      </c>
      <c r="AB225" s="191">
        <f t="shared" si="91"/>
        <v>0</v>
      </c>
      <c r="AC225" s="191">
        <f t="shared" si="91"/>
        <v>0</v>
      </c>
      <c r="AD225" s="191">
        <f t="shared" si="91"/>
        <v>0</v>
      </c>
      <c r="AE225" s="191">
        <f t="shared" si="91"/>
        <v>0</v>
      </c>
      <c r="AF225" s="204">
        <f t="shared" si="91"/>
        <v>0</v>
      </c>
      <c r="AG225" s="216">
        <v>4.5</v>
      </c>
      <c r="AH225" s="46"/>
      <c r="AI225" s="47"/>
      <c r="AK225" s="49"/>
    </row>
    <row r="226" spans="1:37" x14ac:dyDescent="0.25">
      <c r="A226" s="73" t="s">
        <v>277</v>
      </c>
      <c r="B226" s="191">
        <v>0</v>
      </c>
      <c r="C226" s="191">
        <f t="shared" si="92"/>
        <v>0</v>
      </c>
      <c r="D226" s="191">
        <f t="shared" si="92"/>
        <v>0</v>
      </c>
      <c r="E226" s="191">
        <f t="shared" si="92"/>
        <v>0</v>
      </c>
      <c r="F226" s="191">
        <f t="shared" si="92"/>
        <v>0</v>
      </c>
      <c r="G226" s="191">
        <f t="shared" si="92"/>
        <v>0</v>
      </c>
      <c r="H226" s="191">
        <f t="shared" si="92"/>
        <v>0</v>
      </c>
      <c r="I226" s="191">
        <f t="shared" si="92"/>
        <v>0</v>
      </c>
      <c r="J226" s="191">
        <f t="shared" si="92"/>
        <v>0</v>
      </c>
      <c r="K226" s="191">
        <f t="shared" si="92"/>
        <v>0</v>
      </c>
      <c r="L226" s="191">
        <f t="shared" si="92"/>
        <v>0</v>
      </c>
      <c r="M226" s="191">
        <f t="shared" si="92"/>
        <v>0</v>
      </c>
      <c r="N226" s="191">
        <f t="shared" si="92"/>
        <v>0</v>
      </c>
      <c r="O226" s="191">
        <f t="shared" si="92"/>
        <v>0</v>
      </c>
      <c r="P226" s="191">
        <f t="shared" si="92"/>
        <v>0</v>
      </c>
      <c r="Q226" s="191">
        <f t="shared" si="92"/>
        <v>0</v>
      </c>
      <c r="R226" s="191">
        <f t="shared" si="92"/>
        <v>0</v>
      </c>
      <c r="S226" s="191">
        <f t="shared" si="91"/>
        <v>0</v>
      </c>
      <c r="T226" s="191">
        <f t="shared" si="91"/>
        <v>0</v>
      </c>
      <c r="U226" s="191">
        <f t="shared" si="91"/>
        <v>0</v>
      </c>
      <c r="V226" s="191">
        <f t="shared" si="91"/>
        <v>0</v>
      </c>
      <c r="W226" s="191">
        <f t="shared" si="91"/>
        <v>0</v>
      </c>
      <c r="X226" s="191">
        <f t="shared" si="91"/>
        <v>0</v>
      </c>
      <c r="Y226" s="191">
        <f t="shared" si="91"/>
        <v>0</v>
      </c>
      <c r="Z226" s="191">
        <f t="shared" si="91"/>
        <v>0</v>
      </c>
      <c r="AA226" s="191">
        <f t="shared" si="91"/>
        <v>0</v>
      </c>
      <c r="AB226" s="191">
        <f t="shared" si="91"/>
        <v>0</v>
      </c>
      <c r="AC226" s="191">
        <f t="shared" si="91"/>
        <v>0</v>
      </c>
      <c r="AD226" s="191">
        <f t="shared" si="91"/>
        <v>0</v>
      </c>
      <c r="AE226" s="191">
        <f t="shared" si="91"/>
        <v>0</v>
      </c>
      <c r="AF226" s="204">
        <f t="shared" si="91"/>
        <v>0</v>
      </c>
      <c r="AG226" s="216">
        <v>4.5</v>
      </c>
      <c r="AH226" s="46"/>
      <c r="AI226" s="47"/>
      <c r="AK226" s="49"/>
    </row>
    <row r="227" spans="1:37" x14ac:dyDescent="0.25">
      <c r="A227" s="73" t="s">
        <v>278</v>
      </c>
      <c r="B227" s="191">
        <v>0</v>
      </c>
      <c r="C227" s="191">
        <f t="shared" si="92"/>
        <v>0</v>
      </c>
      <c r="D227" s="191">
        <f t="shared" si="92"/>
        <v>0</v>
      </c>
      <c r="E227" s="191">
        <f t="shared" si="92"/>
        <v>0</v>
      </c>
      <c r="F227" s="191">
        <f t="shared" si="92"/>
        <v>0</v>
      </c>
      <c r="G227" s="191">
        <f t="shared" si="92"/>
        <v>0</v>
      </c>
      <c r="H227" s="191">
        <f t="shared" si="92"/>
        <v>0</v>
      </c>
      <c r="I227" s="191">
        <f t="shared" si="92"/>
        <v>0</v>
      </c>
      <c r="J227" s="191">
        <f t="shared" si="92"/>
        <v>0</v>
      </c>
      <c r="K227" s="191">
        <f t="shared" si="92"/>
        <v>0</v>
      </c>
      <c r="L227" s="191">
        <f t="shared" si="92"/>
        <v>0</v>
      </c>
      <c r="M227" s="191">
        <f t="shared" si="92"/>
        <v>0</v>
      </c>
      <c r="N227" s="191">
        <f t="shared" si="92"/>
        <v>0</v>
      </c>
      <c r="O227" s="191">
        <f t="shared" si="92"/>
        <v>0</v>
      </c>
      <c r="P227" s="191">
        <f t="shared" si="92"/>
        <v>0</v>
      </c>
      <c r="Q227" s="191">
        <f t="shared" si="92"/>
        <v>0</v>
      </c>
      <c r="R227" s="191">
        <f t="shared" si="92"/>
        <v>0</v>
      </c>
      <c r="S227" s="191">
        <f t="shared" si="91"/>
        <v>0</v>
      </c>
      <c r="T227" s="191">
        <f t="shared" si="91"/>
        <v>0</v>
      </c>
      <c r="U227" s="191">
        <f t="shared" si="91"/>
        <v>0</v>
      </c>
      <c r="V227" s="191">
        <f t="shared" si="91"/>
        <v>0</v>
      </c>
      <c r="W227" s="191">
        <f t="shared" si="91"/>
        <v>0</v>
      </c>
      <c r="X227" s="191">
        <f t="shared" si="91"/>
        <v>0</v>
      </c>
      <c r="Y227" s="191">
        <f t="shared" si="91"/>
        <v>0</v>
      </c>
      <c r="Z227" s="191">
        <f t="shared" si="91"/>
        <v>0</v>
      </c>
      <c r="AA227" s="191">
        <f t="shared" si="91"/>
        <v>0</v>
      </c>
      <c r="AB227" s="191">
        <f t="shared" si="91"/>
        <v>0</v>
      </c>
      <c r="AC227" s="191">
        <f t="shared" si="91"/>
        <v>0</v>
      </c>
      <c r="AD227" s="191">
        <f t="shared" si="91"/>
        <v>0</v>
      </c>
      <c r="AE227" s="191">
        <f t="shared" si="91"/>
        <v>0</v>
      </c>
      <c r="AF227" s="204">
        <f t="shared" si="91"/>
        <v>0</v>
      </c>
      <c r="AG227" s="216">
        <v>4.4550000000000001</v>
      </c>
      <c r="AH227" s="46"/>
      <c r="AI227" s="47"/>
      <c r="AK227" s="49"/>
    </row>
    <row r="228" spans="1:37" x14ac:dyDescent="0.25">
      <c r="A228" s="73" t="s">
        <v>279</v>
      </c>
      <c r="B228" s="191">
        <v>0</v>
      </c>
      <c r="C228" s="191">
        <f t="shared" si="92"/>
        <v>0</v>
      </c>
      <c r="D228" s="191">
        <f t="shared" si="92"/>
        <v>0</v>
      </c>
      <c r="E228" s="191">
        <f t="shared" si="92"/>
        <v>0</v>
      </c>
      <c r="F228" s="191">
        <f t="shared" si="92"/>
        <v>0</v>
      </c>
      <c r="G228" s="191">
        <f t="shared" si="92"/>
        <v>0</v>
      </c>
      <c r="H228" s="191">
        <f t="shared" si="92"/>
        <v>0</v>
      </c>
      <c r="I228" s="191">
        <f t="shared" si="92"/>
        <v>0</v>
      </c>
      <c r="J228" s="191">
        <f t="shared" si="92"/>
        <v>0</v>
      </c>
      <c r="K228" s="191">
        <f t="shared" si="92"/>
        <v>0</v>
      </c>
      <c r="L228" s="191">
        <f t="shared" si="92"/>
        <v>0</v>
      </c>
      <c r="M228" s="191">
        <f t="shared" si="92"/>
        <v>0</v>
      </c>
      <c r="N228" s="191">
        <f t="shared" si="92"/>
        <v>0</v>
      </c>
      <c r="O228" s="191">
        <f t="shared" si="92"/>
        <v>0</v>
      </c>
      <c r="P228" s="191">
        <f t="shared" si="92"/>
        <v>0</v>
      </c>
      <c r="Q228" s="191">
        <f t="shared" si="92"/>
        <v>0</v>
      </c>
      <c r="R228" s="191">
        <f t="shared" si="92"/>
        <v>0</v>
      </c>
      <c r="S228" s="191">
        <f t="shared" si="91"/>
        <v>0</v>
      </c>
      <c r="T228" s="191">
        <f t="shared" si="91"/>
        <v>0</v>
      </c>
      <c r="U228" s="191">
        <f t="shared" si="91"/>
        <v>0</v>
      </c>
      <c r="V228" s="191">
        <f t="shared" si="91"/>
        <v>0</v>
      </c>
      <c r="W228" s="191">
        <f t="shared" si="91"/>
        <v>0</v>
      </c>
      <c r="X228" s="191">
        <f t="shared" si="91"/>
        <v>0</v>
      </c>
      <c r="Y228" s="191">
        <f t="shared" si="91"/>
        <v>0</v>
      </c>
      <c r="Z228" s="191">
        <f t="shared" si="91"/>
        <v>0</v>
      </c>
      <c r="AA228" s="191">
        <f t="shared" si="91"/>
        <v>0</v>
      </c>
      <c r="AB228" s="191">
        <f t="shared" si="91"/>
        <v>0</v>
      </c>
      <c r="AC228" s="191">
        <f t="shared" si="91"/>
        <v>0</v>
      </c>
      <c r="AD228" s="191">
        <f t="shared" si="91"/>
        <v>0</v>
      </c>
      <c r="AE228" s="191">
        <f t="shared" si="91"/>
        <v>0</v>
      </c>
      <c r="AF228" s="204">
        <f t="shared" si="91"/>
        <v>0</v>
      </c>
      <c r="AG228" s="216">
        <v>4.41</v>
      </c>
      <c r="AH228" s="46"/>
      <c r="AI228" s="47"/>
      <c r="AK228" s="49"/>
    </row>
    <row r="229" spans="1:37" x14ac:dyDescent="0.25">
      <c r="A229" s="73" t="s">
        <v>280</v>
      </c>
      <c r="B229" s="191">
        <v>0</v>
      </c>
      <c r="C229" s="191">
        <f t="shared" si="92"/>
        <v>0</v>
      </c>
      <c r="D229" s="191">
        <f t="shared" si="92"/>
        <v>0</v>
      </c>
      <c r="E229" s="191">
        <f t="shared" si="92"/>
        <v>0</v>
      </c>
      <c r="F229" s="191">
        <f t="shared" si="92"/>
        <v>0</v>
      </c>
      <c r="G229" s="191">
        <f t="shared" si="92"/>
        <v>0</v>
      </c>
      <c r="H229" s="191">
        <f t="shared" si="92"/>
        <v>0</v>
      </c>
      <c r="I229" s="191">
        <f t="shared" si="92"/>
        <v>0</v>
      </c>
      <c r="J229" s="191">
        <f t="shared" si="92"/>
        <v>0</v>
      </c>
      <c r="K229" s="191">
        <f t="shared" si="92"/>
        <v>0</v>
      </c>
      <c r="L229" s="191">
        <f t="shared" si="92"/>
        <v>0</v>
      </c>
      <c r="M229" s="191">
        <f t="shared" si="92"/>
        <v>0</v>
      </c>
      <c r="N229" s="191">
        <f t="shared" si="92"/>
        <v>0</v>
      </c>
      <c r="O229" s="191">
        <f t="shared" si="92"/>
        <v>0</v>
      </c>
      <c r="P229" s="191">
        <f t="shared" si="92"/>
        <v>0</v>
      </c>
      <c r="Q229" s="191">
        <f t="shared" si="92"/>
        <v>0</v>
      </c>
      <c r="R229" s="191">
        <f t="shared" si="92"/>
        <v>0</v>
      </c>
      <c r="S229" s="191">
        <f t="shared" si="91"/>
        <v>0</v>
      </c>
      <c r="T229" s="191">
        <f t="shared" si="91"/>
        <v>0</v>
      </c>
      <c r="U229" s="191">
        <f t="shared" si="91"/>
        <v>0</v>
      </c>
      <c r="V229" s="191">
        <f t="shared" si="91"/>
        <v>0</v>
      </c>
      <c r="W229" s="191">
        <f t="shared" si="91"/>
        <v>0</v>
      </c>
      <c r="X229" s="191">
        <f t="shared" si="91"/>
        <v>0</v>
      </c>
      <c r="Y229" s="191">
        <f t="shared" si="91"/>
        <v>0</v>
      </c>
      <c r="Z229" s="191">
        <f t="shared" si="91"/>
        <v>0</v>
      </c>
      <c r="AA229" s="191">
        <f t="shared" si="91"/>
        <v>0</v>
      </c>
      <c r="AB229" s="191">
        <f t="shared" si="91"/>
        <v>0</v>
      </c>
      <c r="AC229" s="191">
        <f t="shared" si="91"/>
        <v>0</v>
      </c>
      <c r="AD229" s="191">
        <f t="shared" si="91"/>
        <v>0</v>
      </c>
      <c r="AE229" s="191">
        <f t="shared" si="91"/>
        <v>0</v>
      </c>
      <c r="AF229" s="204">
        <f t="shared" si="91"/>
        <v>0</v>
      </c>
      <c r="AG229" s="216">
        <v>4.4000000000000004</v>
      </c>
      <c r="AH229" s="46"/>
      <c r="AI229" s="47"/>
      <c r="AK229" s="49"/>
    </row>
    <row r="230" spans="1:37" x14ac:dyDescent="0.25">
      <c r="A230" s="73" t="s">
        <v>281</v>
      </c>
      <c r="B230" s="191">
        <v>0</v>
      </c>
      <c r="C230" s="191">
        <f t="shared" si="92"/>
        <v>0</v>
      </c>
      <c r="D230" s="191">
        <f t="shared" si="92"/>
        <v>0</v>
      </c>
      <c r="E230" s="191">
        <f t="shared" si="92"/>
        <v>0</v>
      </c>
      <c r="F230" s="191">
        <f t="shared" si="92"/>
        <v>0</v>
      </c>
      <c r="G230" s="191">
        <f t="shared" si="92"/>
        <v>0</v>
      </c>
      <c r="H230" s="191">
        <f t="shared" si="92"/>
        <v>0</v>
      </c>
      <c r="I230" s="191">
        <f t="shared" si="92"/>
        <v>0</v>
      </c>
      <c r="J230" s="191">
        <f t="shared" si="92"/>
        <v>0</v>
      </c>
      <c r="K230" s="191">
        <f t="shared" si="92"/>
        <v>0</v>
      </c>
      <c r="L230" s="191">
        <f t="shared" si="92"/>
        <v>0</v>
      </c>
      <c r="M230" s="191">
        <f t="shared" si="92"/>
        <v>0</v>
      </c>
      <c r="N230" s="191">
        <f t="shared" si="92"/>
        <v>0</v>
      </c>
      <c r="O230" s="191">
        <f t="shared" si="92"/>
        <v>0</v>
      </c>
      <c r="P230" s="191">
        <f t="shared" si="92"/>
        <v>0</v>
      </c>
      <c r="Q230" s="191">
        <f t="shared" si="92"/>
        <v>0</v>
      </c>
      <c r="R230" s="191">
        <f t="shared" si="92"/>
        <v>0</v>
      </c>
      <c r="S230" s="191">
        <f t="shared" si="91"/>
        <v>0</v>
      </c>
      <c r="T230" s="191">
        <f t="shared" si="91"/>
        <v>0</v>
      </c>
      <c r="U230" s="191">
        <f t="shared" si="91"/>
        <v>0</v>
      </c>
      <c r="V230" s="191">
        <f t="shared" si="91"/>
        <v>0</v>
      </c>
      <c r="W230" s="191">
        <f t="shared" si="91"/>
        <v>0</v>
      </c>
      <c r="X230" s="191">
        <f t="shared" si="91"/>
        <v>0</v>
      </c>
      <c r="Y230" s="191">
        <f t="shared" si="91"/>
        <v>0</v>
      </c>
      <c r="Z230" s="191">
        <f t="shared" si="91"/>
        <v>0</v>
      </c>
      <c r="AA230" s="191">
        <f t="shared" si="91"/>
        <v>0</v>
      </c>
      <c r="AB230" s="191">
        <f t="shared" si="91"/>
        <v>0</v>
      </c>
      <c r="AC230" s="191">
        <f t="shared" si="91"/>
        <v>0</v>
      </c>
      <c r="AD230" s="191">
        <f t="shared" si="91"/>
        <v>0</v>
      </c>
      <c r="AE230" s="191">
        <f t="shared" si="91"/>
        <v>0</v>
      </c>
      <c r="AF230" s="204">
        <f t="shared" si="91"/>
        <v>0</v>
      </c>
      <c r="AG230" s="216">
        <v>4.3600000000000003</v>
      </c>
      <c r="AH230" s="46"/>
      <c r="AI230" s="47"/>
      <c r="AK230" s="49"/>
    </row>
    <row r="231" spans="1:37" x14ac:dyDescent="0.25">
      <c r="A231" s="73" t="s">
        <v>282</v>
      </c>
      <c r="B231" s="191">
        <v>0</v>
      </c>
      <c r="C231" s="191">
        <f t="shared" si="92"/>
        <v>0</v>
      </c>
      <c r="D231" s="191">
        <f t="shared" si="92"/>
        <v>0</v>
      </c>
      <c r="E231" s="191">
        <f t="shared" si="92"/>
        <v>0</v>
      </c>
      <c r="F231" s="191">
        <f t="shared" si="92"/>
        <v>0</v>
      </c>
      <c r="G231" s="191">
        <f t="shared" si="92"/>
        <v>0</v>
      </c>
      <c r="H231" s="191">
        <f t="shared" si="92"/>
        <v>0</v>
      </c>
      <c r="I231" s="191">
        <f t="shared" si="92"/>
        <v>0</v>
      </c>
      <c r="J231" s="191">
        <f t="shared" si="92"/>
        <v>0</v>
      </c>
      <c r="K231" s="191">
        <f t="shared" si="92"/>
        <v>0</v>
      </c>
      <c r="L231" s="191">
        <f t="shared" si="92"/>
        <v>0</v>
      </c>
      <c r="M231" s="191">
        <f t="shared" si="92"/>
        <v>0</v>
      </c>
      <c r="N231" s="191">
        <f t="shared" si="92"/>
        <v>0</v>
      </c>
      <c r="O231" s="191">
        <f t="shared" si="92"/>
        <v>0</v>
      </c>
      <c r="P231" s="191">
        <f t="shared" si="92"/>
        <v>0</v>
      </c>
      <c r="Q231" s="191">
        <f t="shared" si="92"/>
        <v>0</v>
      </c>
      <c r="R231" s="191">
        <f t="shared" si="92"/>
        <v>0</v>
      </c>
      <c r="S231" s="191">
        <f t="shared" si="91"/>
        <v>0</v>
      </c>
      <c r="T231" s="191">
        <f t="shared" si="91"/>
        <v>0</v>
      </c>
      <c r="U231" s="191">
        <f t="shared" si="91"/>
        <v>0</v>
      </c>
      <c r="V231" s="191">
        <f t="shared" si="91"/>
        <v>0</v>
      </c>
      <c r="W231" s="191">
        <f t="shared" si="91"/>
        <v>0</v>
      </c>
      <c r="X231" s="191">
        <f t="shared" si="91"/>
        <v>0</v>
      </c>
      <c r="Y231" s="191">
        <f t="shared" si="91"/>
        <v>0</v>
      </c>
      <c r="Z231" s="191">
        <f t="shared" si="91"/>
        <v>0</v>
      </c>
      <c r="AA231" s="191">
        <f t="shared" si="91"/>
        <v>0</v>
      </c>
      <c r="AB231" s="191">
        <f t="shared" si="91"/>
        <v>0</v>
      </c>
      <c r="AC231" s="191">
        <f t="shared" si="91"/>
        <v>0</v>
      </c>
      <c r="AD231" s="191">
        <f t="shared" si="91"/>
        <v>0</v>
      </c>
      <c r="AE231" s="191">
        <f t="shared" si="91"/>
        <v>0</v>
      </c>
      <c r="AF231" s="204">
        <f t="shared" si="91"/>
        <v>0</v>
      </c>
      <c r="AG231" s="216">
        <v>4.2</v>
      </c>
      <c r="AH231" s="46"/>
      <c r="AI231" s="47"/>
      <c r="AK231" s="49"/>
    </row>
    <row r="232" spans="1:37" x14ac:dyDescent="0.25">
      <c r="A232" s="73" t="s">
        <v>283</v>
      </c>
      <c r="B232" s="191">
        <v>0</v>
      </c>
      <c r="C232" s="191">
        <f t="shared" si="92"/>
        <v>0</v>
      </c>
      <c r="D232" s="191">
        <f t="shared" si="92"/>
        <v>0</v>
      </c>
      <c r="E232" s="191">
        <f t="shared" si="92"/>
        <v>0</v>
      </c>
      <c r="F232" s="191">
        <f t="shared" si="92"/>
        <v>0</v>
      </c>
      <c r="G232" s="191">
        <f t="shared" si="92"/>
        <v>0</v>
      </c>
      <c r="H232" s="191">
        <f t="shared" si="92"/>
        <v>0</v>
      </c>
      <c r="I232" s="191">
        <f t="shared" si="92"/>
        <v>0</v>
      </c>
      <c r="J232" s="191">
        <f t="shared" si="92"/>
        <v>0</v>
      </c>
      <c r="K232" s="191">
        <f t="shared" si="92"/>
        <v>0</v>
      </c>
      <c r="L232" s="191">
        <f t="shared" si="92"/>
        <v>0</v>
      </c>
      <c r="M232" s="191">
        <f t="shared" si="92"/>
        <v>0</v>
      </c>
      <c r="N232" s="191">
        <f t="shared" si="92"/>
        <v>0</v>
      </c>
      <c r="O232" s="191">
        <f t="shared" si="92"/>
        <v>0</v>
      </c>
      <c r="P232" s="191">
        <f t="shared" si="92"/>
        <v>0</v>
      </c>
      <c r="Q232" s="191">
        <f t="shared" si="92"/>
        <v>0</v>
      </c>
      <c r="R232" s="191">
        <f t="shared" si="92"/>
        <v>0</v>
      </c>
      <c r="S232" s="191">
        <f t="shared" si="91"/>
        <v>0</v>
      </c>
      <c r="T232" s="191">
        <f t="shared" si="91"/>
        <v>0</v>
      </c>
      <c r="U232" s="191">
        <f t="shared" si="91"/>
        <v>0</v>
      </c>
      <c r="V232" s="191">
        <f t="shared" si="91"/>
        <v>0</v>
      </c>
      <c r="W232" s="191">
        <f t="shared" si="91"/>
        <v>0</v>
      </c>
      <c r="X232" s="191">
        <f t="shared" si="91"/>
        <v>0</v>
      </c>
      <c r="Y232" s="191">
        <f t="shared" si="91"/>
        <v>0</v>
      </c>
      <c r="Z232" s="191">
        <f t="shared" si="91"/>
        <v>0</v>
      </c>
      <c r="AA232" s="191">
        <f t="shared" si="91"/>
        <v>0</v>
      </c>
      <c r="AB232" s="191">
        <f t="shared" si="91"/>
        <v>0</v>
      </c>
      <c r="AC232" s="191">
        <f t="shared" si="91"/>
        <v>0</v>
      </c>
      <c r="AD232" s="191">
        <f t="shared" si="91"/>
        <v>0</v>
      </c>
      <c r="AE232" s="191">
        <f t="shared" si="91"/>
        <v>0</v>
      </c>
      <c r="AF232" s="204">
        <f t="shared" si="91"/>
        <v>0</v>
      </c>
      <c r="AG232" s="216">
        <v>4</v>
      </c>
      <c r="AH232" s="46"/>
      <c r="AI232" s="47"/>
      <c r="AK232" s="49"/>
    </row>
    <row r="233" spans="1:37" x14ac:dyDescent="0.25">
      <c r="A233" s="73" t="s">
        <v>284</v>
      </c>
      <c r="B233" s="191">
        <v>0</v>
      </c>
      <c r="C233" s="191">
        <f t="shared" si="92"/>
        <v>0</v>
      </c>
      <c r="D233" s="191">
        <f t="shared" si="92"/>
        <v>0</v>
      </c>
      <c r="E233" s="191">
        <f t="shared" si="92"/>
        <v>0</v>
      </c>
      <c r="F233" s="191">
        <f t="shared" si="92"/>
        <v>0</v>
      </c>
      <c r="G233" s="191">
        <f t="shared" si="92"/>
        <v>0</v>
      </c>
      <c r="H233" s="191">
        <f t="shared" si="92"/>
        <v>0</v>
      </c>
      <c r="I233" s="191">
        <f t="shared" si="92"/>
        <v>0</v>
      </c>
      <c r="J233" s="191">
        <f t="shared" si="92"/>
        <v>0</v>
      </c>
      <c r="K233" s="191">
        <f t="shared" si="92"/>
        <v>0</v>
      </c>
      <c r="L233" s="191">
        <f t="shared" si="92"/>
        <v>0</v>
      </c>
      <c r="M233" s="191">
        <f t="shared" si="92"/>
        <v>0</v>
      </c>
      <c r="N233" s="191">
        <f t="shared" si="92"/>
        <v>0</v>
      </c>
      <c r="O233" s="191">
        <f t="shared" si="92"/>
        <v>0</v>
      </c>
      <c r="P233" s="191">
        <f t="shared" si="92"/>
        <v>0</v>
      </c>
      <c r="Q233" s="191">
        <f t="shared" si="92"/>
        <v>0</v>
      </c>
      <c r="R233" s="191">
        <f t="shared" ref="R233:AF248" si="93">Q233</f>
        <v>0</v>
      </c>
      <c r="S233" s="191">
        <f t="shared" si="93"/>
        <v>0</v>
      </c>
      <c r="T233" s="191">
        <f t="shared" si="93"/>
        <v>0</v>
      </c>
      <c r="U233" s="191">
        <f t="shared" si="93"/>
        <v>0</v>
      </c>
      <c r="V233" s="191">
        <f t="shared" si="93"/>
        <v>0</v>
      </c>
      <c r="W233" s="191">
        <f t="shared" si="93"/>
        <v>0</v>
      </c>
      <c r="X233" s="191">
        <f t="shared" si="93"/>
        <v>0</v>
      </c>
      <c r="Y233" s="191">
        <f t="shared" si="93"/>
        <v>0</v>
      </c>
      <c r="Z233" s="191">
        <f t="shared" si="93"/>
        <v>0</v>
      </c>
      <c r="AA233" s="191">
        <f t="shared" si="93"/>
        <v>0</v>
      </c>
      <c r="AB233" s="191">
        <f t="shared" si="93"/>
        <v>0</v>
      </c>
      <c r="AC233" s="191">
        <f t="shared" si="93"/>
        <v>0</v>
      </c>
      <c r="AD233" s="191">
        <f t="shared" si="93"/>
        <v>0</v>
      </c>
      <c r="AE233" s="191">
        <f t="shared" si="93"/>
        <v>0</v>
      </c>
      <c r="AF233" s="204">
        <f t="shared" si="93"/>
        <v>0</v>
      </c>
      <c r="AG233" s="216">
        <v>4</v>
      </c>
      <c r="AH233" s="46"/>
      <c r="AI233" s="47"/>
      <c r="AK233" s="49"/>
    </row>
    <row r="234" spans="1:37" x14ac:dyDescent="0.25">
      <c r="A234" s="73" t="s">
        <v>285</v>
      </c>
      <c r="B234" s="191">
        <v>0</v>
      </c>
      <c r="C234" s="191">
        <f t="shared" ref="C234:R249" si="94">B234</f>
        <v>0</v>
      </c>
      <c r="D234" s="191">
        <f t="shared" si="94"/>
        <v>0</v>
      </c>
      <c r="E234" s="191">
        <f t="shared" si="94"/>
        <v>0</v>
      </c>
      <c r="F234" s="191">
        <f t="shared" si="94"/>
        <v>0</v>
      </c>
      <c r="G234" s="191">
        <f t="shared" si="94"/>
        <v>0</v>
      </c>
      <c r="H234" s="191">
        <f t="shared" si="94"/>
        <v>0</v>
      </c>
      <c r="I234" s="191">
        <f t="shared" si="94"/>
        <v>0</v>
      </c>
      <c r="J234" s="191">
        <f t="shared" si="94"/>
        <v>0</v>
      </c>
      <c r="K234" s="191">
        <f t="shared" si="94"/>
        <v>0</v>
      </c>
      <c r="L234" s="191">
        <f t="shared" si="94"/>
        <v>0</v>
      </c>
      <c r="M234" s="191">
        <f t="shared" si="94"/>
        <v>0</v>
      </c>
      <c r="N234" s="191">
        <f t="shared" si="94"/>
        <v>0</v>
      </c>
      <c r="O234" s="191">
        <f t="shared" si="94"/>
        <v>0</v>
      </c>
      <c r="P234" s="191">
        <f t="shared" si="94"/>
        <v>0</v>
      </c>
      <c r="Q234" s="191">
        <f t="shared" si="94"/>
        <v>0</v>
      </c>
      <c r="R234" s="191">
        <f t="shared" si="94"/>
        <v>0</v>
      </c>
      <c r="S234" s="191">
        <f t="shared" si="93"/>
        <v>0</v>
      </c>
      <c r="T234" s="191">
        <f t="shared" si="93"/>
        <v>0</v>
      </c>
      <c r="U234" s="191">
        <f t="shared" si="93"/>
        <v>0</v>
      </c>
      <c r="V234" s="191">
        <f t="shared" si="93"/>
        <v>0</v>
      </c>
      <c r="W234" s="191">
        <f t="shared" si="93"/>
        <v>0</v>
      </c>
      <c r="X234" s="191">
        <f t="shared" si="93"/>
        <v>0</v>
      </c>
      <c r="Y234" s="191">
        <f t="shared" si="93"/>
        <v>0</v>
      </c>
      <c r="Z234" s="191">
        <f t="shared" si="93"/>
        <v>0</v>
      </c>
      <c r="AA234" s="191">
        <f t="shared" si="93"/>
        <v>0</v>
      </c>
      <c r="AB234" s="191">
        <f t="shared" si="93"/>
        <v>0</v>
      </c>
      <c r="AC234" s="191">
        <f t="shared" si="93"/>
        <v>0</v>
      </c>
      <c r="AD234" s="191">
        <f t="shared" si="93"/>
        <v>0</v>
      </c>
      <c r="AE234" s="191">
        <f t="shared" si="93"/>
        <v>0</v>
      </c>
      <c r="AF234" s="204">
        <f t="shared" si="93"/>
        <v>0</v>
      </c>
      <c r="AG234" s="216">
        <v>4</v>
      </c>
      <c r="AH234" s="46"/>
      <c r="AI234" s="47"/>
      <c r="AK234" s="49"/>
    </row>
    <row r="235" spans="1:37" x14ac:dyDescent="0.25">
      <c r="A235" s="73" t="s">
        <v>286</v>
      </c>
      <c r="B235" s="191">
        <v>0</v>
      </c>
      <c r="C235" s="191">
        <f t="shared" si="94"/>
        <v>0</v>
      </c>
      <c r="D235" s="191">
        <f t="shared" si="94"/>
        <v>0</v>
      </c>
      <c r="E235" s="191">
        <f t="shared" si="94"/>
        <v>0</v>
      </c>
      <c r="F235" s="191">
        <f t="shared" si="94"/>
        <v>0</v>
      </c>
      <c r="G235" s="191">
        <f t="shared" si="94"/>
        <v>0</v>
      </c>
      <c r="H235" s="191">
        <f t="shared" si="94"/>
        <v>0</v>
      </c>
      <c r="I235" s="191">
        <f t="shared" si="94"/>
        <v>0</v>
      </c>
      <c r="J235" s="191">
        <f t="shared" si="94"/>
        <v>0</v>
      </c>
      <c r="K235" s="191">
        <f t="shared" si="94"/>
        <v>0</v>
      </c>
      <c r="L235" s="191">
        <f t="shared" si="94"/>
        <v>0</v>
      </c>
      <c r="M235" s="191">
        <f t="shared" si="94"/>
        <v>0</v>
      </c>
      <c r="N235" s="191">
        <f t="shared" si="94"/>
        <v>0</v>
      </c>
      <c r="O235" s="191">
        <f t="shared" si="94"/>
        <v>0</v>
      </c>
      <c r="P235" s="191">
        <f t="shared" si="94"/>
        <v>0</v>
      </c>
      <c r="Q235" s="191">
        <f t="shared" si="94"/>
        <v>0</v>
      </c>
      <c r="R235" s="191">
        <f t="shared" si="94"/>
        <v>0</v>
      </c>
      <c r="S235" s="191">
        <f t="shared" si="93"/>
        <v>0</v>
      </c>
      <c r="T235" s="191">
        <f t="shared" si="93"/>
        <v>0</v>
      </c>
      <c r="U235" s="191">
        <f t="shared" si="93"/>
        <v>0</v>
      </c>
      <c r="V235" s="191">
        <f t="shared" si="93"/>
        <v>0</v>
      </c>
      <c r="W235" s="191">
        <f t="shared" si="93"/>
        <v>0</v>
      </c>
      <c r="X235" s="191">
        <f t="shared" si="93"/>
        <v>0</v>
      </c>
      <c r="Y235" s="191">
        <f t="shared" si="93"/>
        <v>0</v>
      </c>
      <c r="Z235" s="191">
        <f t="shared" si="93"/>
        <v>0</v>
      </c>
      <c r="AA235" s="191">
        <f t="shared" si="93"/>
        <v>0</v>
      </c>
      <c r="AB235" s="191">
        <f t="shared" si="93"/>
        <v>0</v>
      </c>
      <c r="AC235" s="191">
        <f t="shared" si="93"/>
        <v>0</v>
      </c>
      <c r="AD235" s="191">
        <f t="shared" si="93"/>
        <v>0</v>
      </c>
      <c r="AE235" s="191">
        <f t="shared" si="93"/>
        <v>0</v>
      </c>
      <c r="AF235" s="204">
        <f t="shared" si="93"/>
        <v>0</v>
      </c>
      <c r="AG235" s="216">
        <v>4</v>
      </c>
      <c r="AH235" s="46"/>
      <c r="AI235" s="47"/>
      <c r="AK235" s="49"/>
    </row>
    <row r="236" spans="1:37" x14ac:dyDescent="0.25">
      <c r="A236" s="73" t="s">
        <v>287</v>
      </c>
      <c r="B236" s="191">
        <v>0</v>
      </c>
      <c r="C236" s="191">
        <f t="shared" si="94"/>
        <v>0</v>
      </c>
      <c r="D236" s="191">
        <f t="shared" si="94"/>
        <v>0</v>
      </c>
      <c r="E236" s="191">
        <f t="shared" si="94"/>
        <v>0</v>
      </c>
      <c r="F236" s="191">
        <f t="shared" si="94"/>
        <v>0</v>
      </c>
      <c r="G236" s="191">
        <f t="shared" si="94"/>
        <v>0</v>
      </c>
      <c r="H236" s="191">
        <f t="shared" si="94"/>
        <v>0</v>
      </c>
      <c r="I236" s="191">
        <f t="shared" si="94"/>
        <v>0</v>
      </c>
      <c r="J236" s="191">
        <f t="shared" si="94"/>
        <v>0</v>
      </c>
      <c r="K236" s="191">
        <f t="shared" si="94"/>
        <v>0</v>
      </c>
      <c r="L236" s="191">
        <f t="shared" si="94"/>
        <v>0</v>
      </c>
      <c r="M236" s="191">
        <f t="shared" si="94"/>
        <v>0</v>
      </c>
      <c r="N236" s="191">
        <f t="shared" si="94"/>
        <v>0</v>
      </c>
      <c r="O236" s="191">
        <f t="shared" si="94"/>
        <v>0</v>
      </c>
      <c r="P236" s="191">
        <f t="shared" si="94"/>
        <v>0</v>
      </c>
      <c r="Q236" s="191">
        <f t="shared" si="94"/>
        <v>0</v>
      </c>
      <c r="R236" s="191">
        <f t="shared" si="94"/>
        <v>0</v>
      </c>
      <c r="S236" s="191">
        <f t="shared" si="93"/>
        <v>0</v>
      </c>
      <c r="T236" s="191">
        <f t="shared" si="93"/>
        <v>0</v>
      </c>
      <c r="U236" s="191">
        <f t="shared" si="93"/>
        <v>0</v>
      </c>
      <c r="V236" s="191">
        <f t="shared" si="93"/>
        <v>0</v>
      </c>
      <c r="W236" s="191">
        <f t="shared" si="93"/>
        <v>0</v>
      </c>
      <c r="X236" s="191">
        <f t="shared" si="93"/>
        <v>0</v>
      </c>
      <c r="Y236" s="191">
        <f t="shared" si="93"/>
        <v>0</v>
      </c>
      <c r="Z236" s="191">
        <f t="shared" si="93"/>
        <v>0</v>
      </c>
      <c r="AA236" s="191">
        <f t="shared" si="93"/>
        <v>0</v>
      </c>
      <c r="AB236" s="191">
        <f t="shared" si="93"/>
        <v>0</v>
      </c>
      <c r="AC236" s="191">
        <f t="shared" si="93"/>
        <v>0</v>
      </c>
      <c r="AD236" s="191">
        <f t="shared" si="93"/>
        <v>0</v>
      </c>
      <c r="AE236" s="191">
        <f t="shared" si="93"/>
        <v>0</v>
      </c>
      <c r="AF236" s="204">
        <f t="shared" si="93"/>
        <v>0</v>
      </c>
      <c r="AG236" s="216">
        <v>4</v>
      </c>
      <c r="AH236" s="46"/>
      <c r="AI236" s="47"/>
      <c r="AK236" s="49"/>
    </row>
    <row r="237" spans="1:37" x14ac:dyDescent="0.25">
      <c r="A237" s="73" t="s">
        <v>288</v>
      </c>
      <c r="B237" s="191">
        <v>0</v>
      </c>
      <c r="C237" s="191">
        <f t="shared" si="94"/>
        <v>0</v>
      </c>
      <c r="D237" s="191">
        <f t="shared" si="94"/>
        <v>0</v>
      </c>
      <c r="E237" s="191">
        <f t="shared" si="94"/>
        <v>0</v>
      </c>
      <c r="F237" s="191">
        <f t="shared" si="94"/>
        <v>0</v>
      </c>
      <c r="G237" s="191">
        <f t="shared" si="94"/>
        <v>0</v>
      </c>
      <c r="H237" s="191">
        <f t="shared" si="94"/>
        <v>0</v>
      </c>
      <c r="I237" s="191">
        <f t="shared" si="94"/>
        <v>0</v>
      </c>
      <c r="J237" s="191">
        <f t="shared" si="94"/>
        <v>0</v>
      </c>
      <c r="K237" s="191">
        <f t="shared" si="94"/>
        <v>0</v>
      </c>
      <c r="L237" s="191">
        <f t="shared" si="94"/>
        <v>0</v>
      </c>
      <c r="M237" s="191">
        <f t="shared" si="94"/>
        <v>0</v>
      </c>
      <c r="N237" s="191">
        <f t="shared" si="94"/>
        <v>0</v>
      </c>
      <c r="O237" s="191">
        <f t="shared" si="94"/>
        <v>0</v>
      </c>
      <c r="P237" s="191">
        <f t="shared" si="94"/>
        <v>0</v>
      </c>
      <c r="Q237" s="191">
        <f t="shared" si="94"/>
        <v>0</v>
      </c>
      <c r="R237" s="191">
        <f t="shared" si="94"/>
        <v>0</v>
      </c>
      <c r="S237" s="191">
        <f t="shared" si="93"/>
        <v>0</v>
      </c>
      <c r="T237" s="191">
        <f t="shared" si="93"/>
        <v>0</v>
      </c>
      <c r="U237" s="191">
        <f t="shared" si="93"/>
        <v>0</v>
      </c>
      <c r="V237" s="191">
        <f t="shared" si="93"/>
        <v>0</v>
      </c>
      <c r="W237" s="191">
        <f t="shared" si="93"/>
        <v>0</v>
      </c>
      <c r="X237" s="191">
        <f t="shared" si="93"/>
        <v>0</v>
      </c>
      <c r="Y237" s="191">
        <f t="shared" si="93"/>
        <v>0</v>
      </c>
      <c r="Z237" s="191">
        <f t="shared" si="93"/>
        <v>0</v>
      </c>
      <c r="AA237" s="191">
        <f t="shared" si="93"/>
        <v>0</v>
      </c>
      <c r="AB237" s="191">
        <f t="shared" si="93"/>
        <v>0</v>
      </c>
      <c r="AC237" s="191">
        <f t="shared" si="93"/>
        <v>0</v>
      </c>
      <c r="AD237" s="191">
        <f t="shared" si="93"/>
        <v>0</v>
      </c>
      <c r="AE237" s="191">
        <f t="shared" si="93"/>
        <v>0</v>
      </c>
      <c r="AF237" s="204">
        <f t="shared" si="93"/>
        <v>0</v>
      </c>
      <c r="AG237" s="216">
        <v>4</v>
      </c>
      <c r="AH237" s="46"/>
      <c r="AI237" s="47"/>
      <c r="AK237" s="49"/>
    </row>
    <row r="238" spans="1:37" x14ac:dyDescent="0.25">
      <c r="A238" s="73" t="s">
        <v>289</v>
      </c>
      <c r="B238" s="191">
        <v>0</v>
      </c>
      <c r="C238" s="191">
        <f t="shared" si="94"/>
        <v>0</v>
      </c>
      <c r="D238" s="191">
        <f t="shared" si="94"/>
        <v>0</v>
      </c>
      <c r="E238" s="191">
        <f t="shared" si="94"/>
        <v>0</v>
      </c>
      <c r="F238" s="191">
        <f t="shared" si="94"/>
        <v>0</v>
      </c>
      <c r="G238" s="191">
        <f t="shared" si="94"/>
        <v>0</v>
      </c>
      <c r="H238" s="191">
        <f t="shared" si="94"/>
        <v>0</v>
      </c>
      <c r="I238" s="191">
        <f t="shared" si="94"/>
        <v>0</v>
      </c>
      <c r="J238" s="191">
        <f t="shared" si="94"/>
        <v>0</v>
      </c>
      <c r="K238" s="191">
        <f t="shared" si="94"/>
        <v>0</v>
      </c>
      <c r="L238" s="191">
        <f t="shared" si="94"/>
        <v>0</v>
      </c>
      <c r="M238" s="191">
        <f t="shared" si="94"/>
        <v>0</v>
      </c>
      <c r="N238" s="191">
        <f t="shared" si="94"/>
        <v>0</v>
      </c>
      <c r="O238" s="191">
        <f t="shared" si="94"/>
        <v>0</v>
      </c>
      <c r="P238" s="191">
        <f t="shared" si="94"/>
        <v>0</v>
      </c>
      <c r="Q238" s="191">
        <f t="shared" si="94"/>
        <v>0</v>
      </c>
      <c r="R238" s="191">
        <f t="shared" si="94"/>
        <v>0</v>
      </c>
      <c r="S238" s="191">
        <f t="shared" si="93"/>
        <v>0</v>
      </c>
      <c r="T238" s="191">
        <f t="shared" si="93"/>
        <v>0</v>
      </c>
      <c r="U238" s="191">
        <f t="shared" si="93"/>
        <v>0</v>
      </c>
      <c r="V238" s="191">
        <f t="shared" si="93"/>
        <v>0</v>
      </c>
      <c r="W238" s="191">
        <f t="shared" si="93"/>
        <v>0</v>
      </c>
      <c r="X238" s="191">
        <f t="shared" si="93"/>
        <v>0</v>
      </c>
      <c r="Y238" s="191">
        <f t="shared" si="93"/>
        <v>0</v>
      </c>
      <c r="Z238" s="191">
        <f t="shared" si="93"/>
        <v>0</v>
      </c>
      <c r="AA238" s="191">
        <f t="shared" si="93"/>
        <v>0</v>
      </c>
      <c r="AB238" s="191">
        <f t="shared" si="93"/>
        <v>0</v>
      </c>
      <c r="AC238" s="191">
        <f t="shared" si="93"/>
        <v>0</v>
      </c>
      <c r="AD238" s="191">
        <f t="shared" si="93"/>
        <v>0</v>
      </c>
      <c r="AE238" s="191">
        <f t="shared" si="93"/>
        <v>0</v>
      </c>
      <c r="AF238" s="204">
        <f t="shared" si="93"/>
        <v>0</v>
      </c>
      <c r="AG238" s="216">
        <v>4</v>
      </c>
      <c r="AH238" s="46"/>
      <c r="AI238" s="47"/>
      <c r="AK238" s="49"/>
    </row>
    <row r="239" spans="1:37" x14ac:dyDescent="0.25">
      <c r="A239" s="73" t="s">
        <v>290</v>
      </c>
      <c r="B239" s="191">
        <v>0</v>
      </c>
      <c r="C239" s="191">
        <f t="shared" si="94"/>
        <v>0</v>
      </c>
      <c r="D239" s="191">
        <f t="shared" si="94"/>
        <v>0</v>
      </c>
      <c r="E239" s="191">
        <f t="shared" si="94"/>
        <v>0</v>
      </c>
      <c r="F239" s="191">
        <f t="shared" si="94"/>
        <v>0</v>
      </c>
      <c r="G239" s="191">
        <f t="shared" si="94"/>
        <v>0</v>
      </c>
      <c r="H239" s="191">
        <f t="shared" si="94"/>
        <v>0</v>
      </c>
      <c r="I239" s="191">
        <f t="shared" si="94"/>
        <v>0</v>
      </c>
      <c r="J239" s="191">
        <f t="shared" si="94"/>
        <v>0</v>
      </c>
      <c r="K239" s="191">
        <f t="shared" si="94"/>
        <v>0</v>
      </c>
      <c r="L239" s="191">
        <f t="shared" si="94"/>
        <v>0</v>
      </c>
      <c r="M239" s="191">
        <f t="shared" si="94"/>
        <v>0</v>
      </c>
      <c r="N239" s="191">
        <f t="shared" si="94"/>
        <v>0</v>
      </c>
      <c r="O239" s="191">
        <f t="shared" si="94"/>
        <v>0</v>
      </c>
      <c r="P239" s="191">
        <f t="shared" si="94"/>
        <v>0</v>
      </c>
      <c r="Q239" s="191">
        <f t="shared" si="94"/>
        <v>0</v>
      </c>
      <c r="R239" s="191">
        <f t="shared" si="94"/>
        <v>0</v>
      </c>
      <c r="S239" s="191">
        <f t="shared" si="93"/>
        <v>0</v>
      </c>
      <c r="T239" s="191">
        <f t="shared" si="93"/>
        <v>0</v>
      </c>
      <c r="U239" s="191">
        <f t="shared" si="93"/>
        <v>0</v>
      </c>
      <c r="V239" s="191">
        <f t="shared" si="93"/>
        <v>0</v>
      </c>
      <c r="W239" s="191">
        <f t="shared" si="93"/>
        <v>0</v>
      </c>
      <c r="X239" s="191">
        <f t="shared" si="93"/>
        <v>0</v>
      </c>
      <c r="Y239" s="191">
        <f t="shared" si="93"/>
        <v>0</v>
      </c>
      <c r="Z239" s="191">
        <f t="shared" si="93"/>
        <v>0</v>
      </c>
      <c r="AA239" s="191">
        <f t="shared" si="93"/>
        <v>0</v>
      </c>
      <c r="AB239" s="191">
        <f t="shared" si="93"/>
        <v>0</v>
      </c>
      <c r="AC239" s="191">
        <f t="shared" si="93"/>
        <v>0</v>
      </c>
      <c r="AD239" s="191">
        <f t="shared" si="93"/>
        <v>0</v>
      </c>
      <c r="AE239" s="191">
        <f t="shared" si="93"/>
        <v>0</v>
      </c>
      <c r="AF239" s="204">
        <f t="shared" si="93"/>
        <v>0</v>
      </c>
      <c r="AG239" s="216">
        <v>4</v>
      </c>
      <c r="AH239" s="46"/>
      <c r="AI239" s="47"/>
      <c r="AK239" s="49"/>
    </row>
    <row r="240" spans="1:37" x14ac:dyDescent="0.25">
      <c r="A240" s="73" t="s">
        <v>291</v>
      </c>
      <c r="B240" s="191">
        <v>0</v>
      </c>
      <c r="C240" s="191">
        <f t="shared" si="94"/>
        <v>0</v>
      </c>
      <c r="D240" s="191">
        <f t="shared" si="94"/>
        <v>0</v>
      </c>
      <c r="E240" s="191">
        <f t="shared" si="94"/>
        <v>0</v>
      </c>
      <c r="F240" s="191">
        <f t="shared" si="94"/>
        <v>0</v>
      </c>
      <c r="G240" s="191">
        <f t="shared" si="94"/>
        <v>0</v>
      </c>
      <c r="H240" s="191">
        <f t="shared" si="94"/>
        <v>0</v>
      </c>
      <c r="I240" s="191">
        <f t="shared" si="94"/>
        <v>0</v>
      </c>
      <c r="J240" s="191">
        <f t="shared" si="94"/>
        <v>0</v>
      </c>
      <c r="K240" s="191">
        <f t="shared" si="94"/>
        <v>0</v>
      </c>
      <c r="L240" s="191">
        <f t="shared" si="94"/>
        <v>0</v>
      </c>
      <c r="M240" s="191">
        <f t="shared" si="94"/>
        <v>0</v>
      </c>
      <c r="N240" s="191">
        <f t="shared" si="94"/>
        <v>0</v>
      </c>
      <c r="O240" s="191">
        <f t="shared" si="94"/>
        <v>0</v>
      </c>
      <c r="P240" s="191">
        <f t="shared" si="94"/>
        <v>0</v>
      </c>
      <c r="Q240" s="191">
        <f t="shared" si="94"/>
        <v>0</v>
      </c>
      <c r="R240" s="191">
        <f t="shared" si="94"/>
        <v>0</v>
      </c>
      <c r="S240" s="191">
        <f t="shared" si="93"/>
        <v>0</v>
      </c>
      <c r="T240" s="191">
        <f t="shared" si="93"/>
        <v>0</v>
      </c>
      <c r="U240" s="191">
        <f t="shared" si="93"/>
        <v>0</v>
      </c>
      <c r="V240" s="191">
        <f t="shared" si="93"/>
        <v>0</v>
      </c>
      <c r="W240" s="191">
        <f t="shared" si="93"/>
        <v>0</v>
      </c>
      <c r="X240" s="191">
        <f t="shared" si="93"/>
        <v>0</v>
      </c>
      <c r="Y240" s="191">
        <f t="shared" si="93"/>
        <v>0</v>
      </c>
      <c r="Z240" s="191">
        <f t="shared" si="93"/>
        <v>0</v>
      </c>
      <c r="AA240" s="191">
        <f t="shared" si="93"/>
        <v>0</v>
      </c>
      <c r="AB240" s="191">
        <f t="shared" si="93"/>
        <v>0</v>
      </c>
      <c r="AC240" s="191">
        <f t="shared" si="93"/>
        <v>0</v>
      </c>
      <c r="AD240" s="191">
        <f t="shared" si="93"/>
        <v>0</v>
      </c>
      <c r="AE240" s="191">
        <f t="shared" si="93"/>
        <v>0</v>
      </c>
      <c r="AF240" s="204">
        <f t="shared" si="93"/>
        <v>0</v>
      </c>
      <c r="AG240" s="216">
        <v>3.75</v>
      </c>
      <c r="AH240" s="46"/>
      <c r="AI240" s="47"/>
      <c r="AK240" s="49"/>
    </row>
    <row r="241" spans="1:37" x14ac:dyDescent="0.25">
      <c r="A241" s="73" t="s">
        <v>292</v>
      </c>
      <c r="B241" s="191">
        <v>0</v>
      </c>
      <c r="C241" s="191">
        <f t="shared" si="94"/>
        <v>0</v>
      </c>
      <c r="D241" s="191">
        <f t="shared" si="94"/>
        <v>0</v>
      </c>
      <c r="E241" s="191">
        <f t="shared" si="94"/>
        <v>0</v>
      </c>
      <c r="F241" s="191">
        <f t="shared" si="94"/>
        <v>0</v>
      </c>
      <c r="G241" s="191">
        <f t="shared" si="94"/>
        <v>0</v>
      </c>
      <c r="H241" s="191">
        <f t="shared" si="94"/>
        <v>0</v>
      </c>
      <c r="I241" s="191">
        <f t="shared" si="94"/>
        <v>0</v>
      </c>
      <c r="J241" s="191">
        <f t="shared" si="94"/>
        <v>0</v>
      </c>
      <c r="K241" s="191">
        <f t="shared" si="94"/>
        <v>0</v>
      </c>
      <c r="L241" s="191">
        <f t="shared" si="94"/>
        <v>0</v>
      </c>
      <c r="M241" s="191">
        <f t="shared" si="94"/>
        <v>0</v>
      </c>
      <c r="N241" s="191">
        <f t="shared" si="94"/>
        <v>0</v>
      </c>
      <c r="O241" s="191">
        <f t="shared" si="94"/>
        <v>0</v>
      </c>
      <c r="P241" s="191">
        <f t="shared" si="94"/>
        <v>0</v>
      </c>
      <c r="Q241" s="191">
        <f t="shared" si="94"/>
        <v>0</v>
      </c>
      <c r="R241" s="191">
        <f t="shared" si="94"/>
        <v>0</v>
      </c>
      <c r="S241" s="191">
        <f t="shared" si="93"/>
        <v>0</v>
      </c>
      <c r="T241" s="191">
        <f t="shared" si="93"/>
        <v>0</v>
      </c>
      <c r="U241" s="191">
        <f t="shared" si="93"/>
        <v>0</v>
      </c>
      <c r="V241" s="191">
        <f t="shared" si="93"/>
        <v>0</v>
      </c>
      <c r="W241" s="191">
        <f t="shared" si="93"/>
        <v>0</v>
      </c>
      <c r="X241" s="191">
        <f t="shared" si="93"/>
        <v>0</v>
      </c>
      <c r="Y241" s="191">
        <f t="shared" si="93"/>
        <v>0</v>
      </c>
      <c r="Z241" s="191">
        <f t="shared" si="93"/>
        <v>0</v>
      </c>
      <c r="AA241" s="191">
        <f t="shared" si="93"/>
        <v>0</v>
      </c>
      <c r="AB241" s="191">
        <f t="shared" si="93"/>
        <v>0</v>
      </c>
      <c r="AC241" s="191">
        <f t="shared" si="93"/>
        <v>0</v>
      </c>
      <c r="AD241" s="191">
        <f t="shared" si="93"/>
        <v>0</v>
      </c>
      <c r="AE241" s="191">
        <f t="shared" si="93"/>
        <v>0</v>
      </c>
      <c r="AF241" s="204">
        <f t="shared" si="93"/>
        <v>0</v>
      </c>
      <c r="AG241" s="216">
        <v>3.52</v>
      </c>
      <c r="AH241" s="46"/>
      <c r="AI241" s="47"/>
      <c r="AK241" s="49"/>
    </row>
    <row r="242" spans="1:37" x14ac:dyDescent="0.25">
      <c r="A242" s="73" t="s">
        <v>293</v>
      </c>
      <c r="B242" s="191">
        <v>0</v>
      </c>
      <c r="C242" s="191">
        <f t="shared" si="94"/>
        <v>0</v>
      </c>
      <c r="D242" s="191">
        <f t="shared" si="94"/>
        <v>0</v>
      </c>
      <c r="E242" s="191">
        <f t="shared" si="94"/>
        <v>0</v>
      </c>
      <c r="F242" s="191">
        <f t="shared" si="94"/>
        <v>0</v>
      </c>
      <c r="G242" s="191">
        <f t="shared" si="94"/>
        <v>0</v>
      </c>
      <c r="H242" s="191">
        <f t="shared" si="94"/>
        <v>0</v>
      </c>
      <c r="I242" s="191">
        <f t="shared" si="94"/>
        <v>0</v>
      </c>
      <c r="J242" s="191">
        <f t="shared" si="94"/>
        <v>0</v>
      </c>
      <c r="K242" s="191">
        <f t="shared" si="94"/>
        <v>0</v>
      </c>
      <c r="L242" s="191">
        <f t="shared" si="94"/>
        <v>0</v>
      </c>
      <c r="M242" s="191">
        <f t="shared" si="94"/>
        <v>0</v>
      </c>
      <c r="N242" s="191">
        <f t="shared" si="94"/>
        <v>0</v>
      </c>
      <c r="O242" s="191">
        <f t="shared" si="94"/>
        <v>0</v>
      </c>
      <c r="P242" s="191">
        <f t="shared" si="94"/>
        <v>0</v>
      </c>
      <c r="Q242" s="191">
        <f t="shared" si="94"/>
        <v>0</v>
      </c>
      <c r="R242" s="191">
        <f t="shared" si="94"/>
        <v>0</v>
      </c>
      <c r="S242" s="191">
        <f t="shared" si="93"/>
        <v>0</v>
      </c>
      <c r="T242" s="191">
        <f t="shared" si="93"/>
        <v>0</v>
      </c>
      <c r="U242" s="191">
        <f t="shared" si="93"/>
        <v>0</v>
      </c>
      <c r="V242" s="191">
        <f t="shared" si="93"/>
        <v>0</v>
      </c>
      <c r="W242" s="191">
        <f t="shared" si="93"/>
        <v>0</v>
      </c>
      <c r="X242" s="191">
        <f t="shared" si="93"/>
        <v>0</v>
      </c>
      <c r="Y242" s="191">
        <f t="shared" si="93"/>
        <v>0</v>
      </c>
      <c r="Z242" s="191">
        <f t="shared" si="93"/>
        <v>0</v>
      </c>
      <c r="AA242" s="191">
        <f t="shared" si="93"/>
        <v>0</v>
      </c>
      <c r="AB242" s="191">
        <f t="shared" si="93"/>
        <v>0</v>
      </c>
      <c r="AC242" s="191">
        <f t="shared" si="93"/>
        <v>0</v>
      </c>
      <c r="AD242" s="191">
        <f t="shared" si="93"/>
        <v>0</v>
      </c>
      <c r="AE242" s="191">
        <f t="shared" si="93"/>
        <v>0</v>
      </c>
      <c r="AF242" s="204">
        <f t="shared" si="93"/>
        <v>0</v>
      </c>
      <c r="AG242" s="216">
        <v>3.33</v>
      </c>
      <c r="AH242" s="46"/>
      <c r="AI242" s="47"/>
      <c r="AK242" s="49"/>
    </row>
    <row r="243" spans="1:37" x14ac:dyDescent="0.25">
      <c r="A243" s="73" t="s">
        <v>294</v>
      </c>
      <c r="B243" s="191">
        <v>0</v>
      </c>
      <c r="C243" s="191">
        <f t="shared" si="94"/>
        <v>0</v>
      </c>
      <c r="D243" s="191">
        <f t="shared" si="94"/>
        <v>0</v>
      </c>
      <c r="E243" s="191">
        <f t="shared" si="94"/>
        <v>0</v>
      </c>
      <c r="F243" s="191">
        <f t="shared" si="94"/>
        <v>0</v>
      </c>
      <c r="G243" s="191">
        <f t="shared" si="94"/>
        <v>0</v>
      </c>
      <c r="H243" s="191">
        <f t="shared" si="94"/>
        <v>0</v>
      </c>
      <c r="I243" s="191">
        <f t="shared" si="94"/>
        <v>0</v>
      </c>
      <c r="J243" s="191">
        <f t="shared" si="94"/>
        <v>0</v>
      </c>
      <c r="K243" s="191">
        <f t="shared" si="94"/>
        <v>0</v>
      </c>
      <c r="L243" s="191">
        <f t="shared" si="94"/>
        <v>0</v>
      </c>
      <c r="M243" s="191">
        <f t="shared" si="94"/>
        <v>0</v>
      </c>
      <c r="N243" s="191">
        <f t="shared" si="94"/>
        <v>0</v>
      </c>
      <c r="O243" s="191">
        <f t="shared" si="94"/>
        <v>0</v>
      </c>
      <c r="P243" s="191">
        <f t="shared" si="94"/>
        <v>0</v>
      </c>
      <c r="Q243" s="191">
        <f t="shared" si="94"/>
        <v>0</v>
      </c>
      <c r="R243" s="191">
        <f t="shared" si="94"/>
        <v>0</v>
      </c>
      <c r="S243" s="191">
        <f t="shared" si="93"/>
        <v>0</v>
      </c>
      <c r="T243" s="191">
        <f t="shared" si="93"/>
        <v>0</v>
      </c>
      <c r="U243" s="191">
        <f t="shared" si="93"/>
        <v>0</v>
      </c>
      <c r="V243" s="191">
        <f t="shared" si="93"/>
        <v>0</v>
      </c>
      <c r="W243" s="191">
        <f t="shared" si="93"/>
        <v>0</v>
      </c>
      <c r="X243" s="191">
        <f t="shared" si="93"/>
        <v>0</v>
      </c>
      <c r="Y243" s="191">
        <f t="shared" si="93"/>
        <v>0</v>
      </c>
      <c r="Z243" s="191">
        <f t="shared" si="93"/>
        <v>0</v>
      </c>
      <c r="AA243" s="191">
        <f t="shared" si="93"/>
        <v>0</v>
      </c>
      <c r="AB243" s="191">
        <f t="shared" si="93"/>
        <v>0</v>
      </c>
      <c r="AC243" s="191">
        <f t="shared" si="93"/>
        <v>0</v>
      </c>
      <c r="AD243" s="191">
        <f t="shared" si="93"/>
        <v>0</v>
      </c>
      <c r="AE243" s="191">
        <f t="shared" si="93"/>
        <v>0</v>
      </c>
      <c r="AF243" s="204">
        <f t="shared" si="93"/>
        <v>0</v>
      </c>
      <c r="AG243" s="216">
        <v>3.2</v>
      </c>
      <c r="AH243" s="46"/>
      <c r="AI243" s="47"/>
      <c r="AK243" s="49"/>
    </row>
    <row r="244" spans="1:37" x14ac:dyDescent="0.25">
      <c r="A244" s="73" t="s">
        <v>295</v>
      </c>
      <c r="B244" s="191">
        <v>0</v>
      </c>
      <c r="C244" s="191">
        <f t="shared" si="94"/>
        <v>0</v>
      </c>
      <c r="D244" s="191">
        <f t="shared" si="94"/>
        <v>0</v>
      </c>
      <c r="E244" s="191">
        <f t="shared" si="94"/>
        <v>0</v>
      </c>
      <c r="F244" s="191">
        <f t="shared" si="94"/>
        <v>0</v>
      </c>
      <c r="G244" s="191">
        <f t="shared" si="94"/>
        <v>0</v>
      </c>
      <c r="H244" s="191">
        <f t="shared" si="94"/>
        <v>0</v>
      </c>
      <c r="I244" s="191">
        <f t="shared" si="94"/>
        <v>0</v>
      </c>
      <c r="J244" s="191">
        <f t="shared" si="94"/>
        <v>0</v>
      </c>
      <c r="K244" s="191">
        <f t="shared" si="94"/>
        <v>0</v>
      </c>
      <c r="L244" s="191">
        <f t="shared" si="94"/>
        <v>0</v>
      </c>
      <c r="M244" s="191">
        <f t="shared" si="94"/>
        <v>0</v>
      </c>
      <c r="N244" s="191">
        <f t="shared" si="94"/>
        <v>0</v>
      </c>
      <c r="O244" s="191">
        <f t="shared" si="94"/>
        <v>0</v>
      </c>
      <c r="P244" s="191">
        <f t="shared" si="94"/>
        <v>0</v>
      </c>
      <c r="Q244" s="191">
        <f t="shared" si="94"/>
        <v>0</v>
      </c>
      <c r="R244" s="191">
        <f t="shared" si="94"/>
        <v>0</v>
      </c>
      <c r="S244" s="191">
        <f t="shared" si="93"/>
        <v>0</v>
      </c>
      <c r="T244" s="191">
        <f t="shared" si="93"/>
        <v>0</v>
      </c>
      <c r="U244" s="191">
        <f t="shared" si="93"/>
        <v>0</v>
      </c>
      <c r="V244" s="191">
        <f t="shared" si="93"/>
        <v>0</v>
      </c>
      <c r="W244" s="191">
        <f t="shared" si="93"/>
        <v>0</v>
      </c>
      <c r="X244" s="191">
        <f t="shared" si="93"/>
        <v>0</v>
      </c>
      <c r="Y244" s="191">
        <f t="shared" si="93"/>
        <v>0</v>
      </c>
      <c r="Z244" s="191">
        <f t="shared" si="93"/>
        <v>0</v>
      </c>
      <c r="AA244" s="191">
        <f t="shared" si="93"/>
        <v>0</v>
      </c>
      <c r="AB244" s="191">
        <f t="shared" si="93"/>
        <v>0</v>
      </c>
      <c r="AC244" s="191">
        <f t="shared" si="93"/>
        <v>0</v>
      </c>
      <c r="AD244" s="191">
        <f t="shared" si="93"/>
        <v>0</v>
      </c>
      <c r="AE244" s="191">
        <f t="shared" si="93"/>
        <v>0</v>
      </c>
      <c r="AF244" s="204">
        <f t="shared" si="93"/>
        <v>0</v>
      </c>
      <c r="AG244" s="216">
        <v>3</v>
      </c>
      <c r="AH244" s="46"/>
      <c r="AI244" s="47"/>
      <c r="AK244" s="49"/>
    </row>
    <row r="245" spans="1:37" x14ac:dyDescent="0.25">
      <c r="A245" s="73" t="s">
        <v>296</v>
      </c>
      <c r="B245" s="191">
        <v>0</v>
      </c>
      <c r="C245" s="191">
        <f t="shared" si="94"/>
        <v>0</v>
      </c>
      <c r="D245" s="191">
        <f t="shared" si="94"/>
        <v>0</v>
      </c>
      <c r="E245" s="191">
        <f t="shared" si="94"/>
        <v>0</v>
      </c>
      <c r="F245" s="191">
        <f t="shared" si="94"/>
        <v>0</v>
      </c>
      <c r="G245" s="191">
        <f t="shared" si="94"/>
        <v>0</v>
      </c>
      <c r="H245" s="191">
        <f t="shared" si="94"/>
        <v>0</v>
      </c>
      <c r="I245" s="191">
        <f t="shared" si="94"/>
        <v>0</v>
      </c>
      <c r="J245" s="191">
        <f t="shared" si="94"/>
        <v>0</v>
      </c>
      <c r="K245" s="191">
        <f t="shared" si="94"/>
        <v>0</v>
      </c>
      <c r="L245" s="191">
        <f t="shared" si="94"/>
        <v>0</v>
      </c>
      <c r="M245" s="191">
        <f t="shared" si="94"/>
        <v>0</v>
      </c>
      <c r="N245" s="191">
        <f t="shared" si="94"/>
        <v>0</v>
      </c>
      <c r="O245" s="191">
        <f t="shared" si="94"/>
        <v>0</v>
      </c>
      <c r="P245" s="191">
        <f t="shared" si="94"/>
        <v>0</v>
      </c>
      <c r="Q245" s="191">
        <f t="shared" si="94"/>
        <v>0</v>
      </c>
      <c r="R245" s="191">
        <f t="shared" si="94"/>
        <v>0</v>
      </c>
      <c r="S245" s="191">
        <f t="shared" si="93"/>
        <v>0</v>
      </c>
      <c r="T245" s="191">
        <f t="shared" si="93"/>
        <v>0</v>
      </c>
      <c r="U245" s="191">
        <f t="shared" si="93"/>
        <v>0</v>
      </c>
      <c r="V245" s="191">
        <f t="shared" si="93"/>
        <v>0</v>
      </c>
      <c r="W245" s="191">
        <f t="shared" si="93"/>
        <v>0</v>
      </c>
      <c r="X245" s="191">
        <f t="shared" si="93"/>
        <v>0</v>
      </c>
      <c r="Y245" s="191">
        <f t="shared" si="93"/>
        <v>0</v>
      </c>
      <c r="Z245" s="191">
        <f t="shared" si="93"/>
        <v>0</v>
      </c>
      <c r="AA245" s="191">
        <f t="shared" si="93"/>
        <v>0</v>
      </c>
      <c r="AB245" s="191">
        <f t="shared" si="93"/>
        <v>0</v>
      </c>
      <c r="AC245" s="191">
        <f t="shared" si="93"/>
        <v>0</v>
      </c>
      <c r="AD245" s="191">
        <f t="shared" si="93"/>
        <v>0</v>
      </c>
      <c r="AE245" s="191">
        <f t="shared" si="93"/>
        <v>0</v>
      </c>
      <c r="AF245" s="204">
        <f t="shared" si="93"/>
        <v>0</v>
      </c>
      <c r="AG245" s="216">
        <v>3</v>
      </c>
      <c r="AH245" s="46"/>
      <c r="AI245" s="47"/>
      <c r="AK245" s="49"/>
    </row>
    <row r="246" spans="1:37" x14ac:dyDescent="0.25">
      <c r="A246" s="73" t="s">
        <v>297</v>
      </c>
      <c r="B246" s="191">
        <v>0</v>
      </c>
      <c r="C246" s="191">
        <f t="shared" si="94"/>
        <v>0</v>
      </c>
      <c r="D246" s="191">
        <f t="shared" si="94"/>
        <v>0</v>
      </c>
      <c r="E246" s="191">
        <f t="shared" si="94"/>
        <v>0</v>
      </c>
      <c r="F246" s="191">
        <f t="shared" si="94"/>
        <v>0</v>
      </c>
      <c r="G246" s="191">
        <f t="shared" si="94"/>
        <v>0</v>
      </c>
      <c r="H246" s="191">
        <f t="shared" si="94"/>
        <v>0</v>
      </c>
      <c r="I246" s="191">
        <f t="shared" si="94"/>
        <v>0</v>
      </c>
      <c r="J246" s="191">
        <f t="shared" si="94"/>
        <v>0</v>
      </c>
      <c r="K246" s="191">
        <f t="shared" si="94"/>
        <v>0</v>
      </c>
      <c r="L246" s="191">
        <f t="shared" si="94"/>
        <v>0</v>
      </c>
      <c r="M246" s="191">
        <f t="shared" si="94"/>
        <v>0</v>
      </c>
      <c r="N246" s="191">
        <f t="shared" si="94"/>
        <v>0</v>
      </c>
      <c r="O246" s="191">
        <f t="shared" si="94"/>
        <v>0</v>
      </c>
      <c r="P246" s="191">
        <f t="shared" si="94"/>
        <v>0</v>
      </c>
      <c r="Q246" s="191">
        <f t="shared" si="94"/>
        <v>0</v>
      </c>
      <c r="R246" s="191">
        <f t="shared" si="94"/>
        <v>0</v>
      </c>
      <c r="S246" s="191">
        <f t="shared" si="93"/>
        <v>0</v>
      </c>
      <c r="T246" s="191">
        <f t="shared" si="93"/>
        <v>0</v>
      </c>
      <c r="U246" s="191">
        <f t="shared" si="93"/>
        <v>0</v>
      </c>
      <c r="V246" s="191">
        <f t="shared" si="93"/>
        <v>0</v>
      </c>
      <c r="W246" s="191">
        <f t="shared" si="93"/>
        <v>0</v>
      </c>
      <c r="X246" s="191">
        <f t="shared" si="93"/>
        <v>0</v>
      </c>
      <c r="Y246" s="191">
        <f t="shared" si="93"/>
        <v>0</v>
      </c>
      <c r="Z246" s="191">
        <f t="shared" si="93"/>
        <v>0</v>
      </c>
      <c r="AA246" s="191">
        <f t="shared" si="93"/>
        <v>0</v>
      </c>
      <c r="AB246" s="191">
        <f t="shared" si="93"/>
        <v>0</v>
      </c>
      <c r="AC246" s="191">
        <f t="shared" si="93"/>
        <v>0</v>
      </c>
      <c r="AD246" s="191">
        <f t="shared" si="93"/>
        <v>0</v>
      </c>
      <c r="AE246" s="191">
        <f t="shared" si="93"/>
        <v>0</v>
      </c>
      <c r="AF246" s="204">
        <f t="shared" si="93"/>
        <v>0</v>
      </c>
      <c r="AG246" s="216">
        <v>3</v>
      </c>
      <c r="AH246" s="46"/>
      <c r="AI246" s="47"/>
      <c r="AK246" s="49"/>
    </row>
    <row r="247" spans="1:37" x14ac:dyDescent="0.25">
      <c r="A247" s="73" t="s">
        <v>298</v>
      </c>
      <c r="B247" s="191">
        <v>0</v>
      </c>
      <c r="C247" s="191">
        <f t="shared" si="94"/>
        <v>0</v>
      </c>
      <c r="D247" s="191">
        <f t="shared" si="94"/>
        <v>0</v>
      </c>
      <c r="E247" s="191">
        <f t="shared" si="94"/>
        <v>0</v>
      </c>
      <c r="F247" s="191">
        <f t="shared" si="94"/>
        <v>0</v>
      </c>
      <c r="G247" s="191">
        <f t="shared" si="94"/>
        <v>0</v>
      </c>
      <c r="H247" s="191">
        <f t="shared" si="94"/>
        <v>0</v>
      </c>
      <c r="I247" s="191">
        <f t="shared" si="94"/>
        <v>0</v>
      </c>
      <c r="J247" s="191">
        <f t="shared" si="94"/>
        <v>0</v>
      </c>
      <c r="K247" s="191">
        <f t="shared" si="94"/>
        <v>0</v>
      </c>
      <c r="L247" s="191">
        <f t="shared" si="94"/>
        <v>0</v>
      </c>
      <c r="M247" s="191">
        <f t="shared" si="94"/>
        <v>0</v>
      </c>
      <c r="N247" s="191">
        <f t="shared" si="94"/>
        <v>0</v>
      </c>
      <c r="O247" s="191">
        <f t="shared" si="94"/>
        <v>0</v>
      </c>
      <c r="P247" s="191">
        <f t="shared" si="94"/>
        <v>0</v>
      </c>
      <c r="Q247" s="191">
        <f t="shared" si="94"/>
        <v>0</v>
      </c>
      <c r="R247" s="191">
        <f t="shared" si="94"/>
        <v>0</v>
      </c>
      <c r="S247" s="191">
        <f t="shared" si="93"/>
        <v>0</v>
      </c>
      <c r="T247" s="191">
        <f t="shared" si="93"/>
        <v>0</v>
      </c>
      <c r="U247" s="191">
        <f t="shared" si="93"/>
        <v>0</v>
      </c>
      <c r="V247" s="191">
        <f t="shared" si="93"/>
        <v>0</v>
      </c>
      <c r="W247" s="191">
        <f t="shared" si="93"/>
        <v>0</v>
      </c>
      <c r="X247" s="191">
        <f t="shared" si="93"/>
        <v>0</v>
      </c>
      <c r="Y247" s="191">
        <f t="shared" si="93"/>
        <v>0</v>
      </c>
      <c r="Z247" s="191">
        <f t="shared" si="93"/>
        <v>0</v>
      </c>
      <c r="AA247" s="191">
        <f t="shared" si="93"/>
        <v>0</v>
      </c>
      <c r="AB247" s="191">
        <f t="shared" si="93"/>
        <v>0</v>
      </c>
      <c r="AC247" s="191">
        <f t="shared" si="93"/>
        <v>0</v>
      </c>
      <c r="AD247" s="191">
        <f t="shared" si="93"/>
        <v>0</v>
      </c>
      <c r="AE247" s="191">
        <f t="shared" si="93"/>
        <v>0</v>
      </c>
      <c r="AF247" s="204">
        <f t="shared" si="93"/>
        <v>0</v>
      </c>
      <c r="AG247" s="216">
        <v>3</v>
      </c>
      <c r="AH247" s="46"/>
      <c r="AI247" s="47"/>
      <c r="AK247" s="49"/>
    </row>
    <row r="248" spans="1:37" x14ac:dyDescent="0.25">
      <c r="A248" s="73" t="s">
        <v>299</v>
      </c>
      <c r="B248" s="191">
        <v>0</v>
      </c>
      <c r="C248" s="191">
        <f t="shared" si="94"/>
        <v>0</v>
      </c>
      <c r="D248" s="191">
        <f t="shared" si="94"/>
        <v>0</v>
      </c>
      <c r="E248" s="191">
        <f t="shared" si="94"/>
        <v>0</v>
      </c>
      <c r="F248" s="191">
        <f t="shared" si="94"/>
        <v>0</v>
      </c>
      <c r="G248" s="191">
        <f t="shared" si="94"/>
        <v>0</v>
      </c>
      <c r="H248" s="191">
        <f t="shared" si="94"/>
        <v>0</v>
      </c>
      <c r="I248" s="191">
        <f t="shared" si="94"/>
        <v>0</v>
      </c>
      <c r="J248" s="191">
        <f t="shared" si="94"/>
        <v>0</v>
      </c>
      <c r="K248" s="191">
        <f t="shared" si="94"/>
        <v>0</v>
      </c>
      <c r="L248" s="191">
        <f t="shared" si="94"/>
        <v>0</v>
      </c>
      <c r="M248" s="191">
        <f t="shared" si="94"/>
        <v>0</v>
      </c>
      <c r="N248" s="191">
        <f t="shared" si="94"/>
        <v>0</v>
      </c>
      <c r="O248" s="191">
        <f t="shared" si="94"/>
        <v>0</v>
      </c>
      <c r="P248" s="191">
        <f t="shared" si="94"/>
        <v>0</v>
      </c>
      <c r="Q248" s="191">
        <f t="shared" si="94"/>
        <v>0</v>
      </c>
      <c r="R248" s="191">
        <f t="shared" si="94"/>
        <v>0</v>
      </c>
      <c r="S248" s="191">
        <f t="shared" si="93"/>
        <v>0</v>
      </c>
      <c r="T248" s="191">
        <f t="shared" si="93"/>
        <v>0</v>
      </c>
      <c r="U248" s="191">
        <f t="shared" si="93"/>
        <v>0</v>
      </c>
      <c r="V248" s="191">
        <f t="shared" si="93"/>
        <v>0</v>
      </c>
      <c r="W248" s="191">
        <f t="shared" si="93"/>
        <v>0</v>
      </c>
      <c r="X248" s="191">
        <f t="shared" si="93"/>
        <v>0</v>
      </c>
      <c r="Y248" s="191">
        <f t="shared" si="93"/>
        <v>0</v>
      </c>
      <c r="Z248" s="191">
        <f t="shared" si="93"/>
        <v>0</v>
      </c>
      <c r="AA248" s="191">
        <f t="shared" si="93"/>
        <v>0</v>
      </c>
      <c r="AB248" s="191">
        <f t="shared" si="93"/>
        <v>0</v>
      </c>
      <c r="AC248" s="191">
        <f t="shared" si="93"/>
        <v>0</v>
      </c>
      <c r="AD248" s="191">
        <f t="shared" si="93"/>
        <v>0</v>
      </c>
      <c r="AE248" s="191">
        <f t="shared" si="93"/>
        <v>0</v>
      </c>
      <c r="AF248" s="204">
        <f t="shared" si="93"/>
        <v>0</v>
      </c>
      <c r="AG248" s="216">
        <v>3</v>
      </c>
      <c r="AH248" s="46"/>
      <c r="AI248" s="47"/>
      <c r="AK248" s="49"/>
    </row>
    <row r="249" spans="1:37" x14ac:dyDescent="0.25">
      <c r="A249" s="73" t="s">
        <v>300</v>
      </c>
      <c r="B249" s="191">
        <v>0</v>
      </c>
      <c r="C249" s="191">
        <f t="shared" si="94"/>
        <v>0</v>
      </c>
      <c r="D249" s="191">
        <f t="shared" si="94"/>
        <v>0</v>
      </c>
      <c r="E249" s="191">
        <f t="shared" si="94"/>
        <v>0</v>
      </c>
      <c r="F249" s="191">
        <f t="shared" si="94"/>
        <v>0</v>
      </c>
      <c r="G249" s="191">
        <f t="shared" si="94"/>
        <v>0</v>
      </c>
      <c r="H249" s="191">
        <f t="shared" si="94"/>
        <v>0</v>
      </c>
      <c r="I249" s="191">
        <f t="shared" si="94"/>
        <v>0</v>
      </c>
      <c r="J249" s="191">
        <f t="shared" si="94"/>
        <v>0</v>
      </c>
      <c r="K249" s="191">
        <f t="shared" si="94"/>
        <v>0</v>
      </c>
      <c r="L249" s="191">
        <f t="shared" si="94"/>
        <v>0</v>
      </c>
      <c r="M249" s="191">
        <f t="shared" si="94"/>
        <v>0</v>
      </c>
      <c r="N249" s="191">
        <f t="shared" si="94"/>
        <v>0</v>
      </c>
      <c r="O249" s="191">
        <f t="shared" si="94"/>
        <v>0</v>
      </c>
      <c r="P249" s="191">
        <f t="shared" si="94"/>
        <v>0</v>
      </c>
      <c r="Q249" s="191">
        <f t="shared" si="94"/>
        <v>0</v>
      </c>
      <c r="R249" s="191">
        <f t="shared" ref="R249:AF264" si="95">Q249</f>
        <v>0</v>
      </c>
      <c r="S249" s="191">
        <f t="shared" si="95"/>
        <v>0</v>
      </c>
      <c r="T249" s="191">
        <f t="shared" si="95"/>
        <v>0</v>
      </c>
      <c r="U249" s="191">
        <f t="shared" si="95"/>
        <v>0</v>
      </c>
      <c r="V249" s="191">
        <f t="shared" si="95"/>
        <v>0</v>
      </c>
      <c r="W249" s="191">
        <f t="shared" si="95"/>
        <v>0</v>
      </c>
      <c r="X249" s="191">
        <f t="shared" si="95"/>
        <v>0</v>
      </c>
      <c r="Y249" s="191">
        <f t="shared" si="95"/>
        <v>0</v>
      </c>
      <c r="Z249" s="191">
        <f t="shared" si="95"/>
        <v>0</v>
      </c>
      <c r="AA249" s="191">
        <f t="shared" si="95"/>
        <v>0</v>
      </c>
      <c r="AB249" s="191">
        <f t="shared" si="95"/>
        <v>0</v>
      </c>
      <c r="AC249" s="191">
        <f t="shared" si="95"/>
        <v>0</v>
      </c>
      <c r="AD249" s="191">
        <f t="shared" si="95"/>
        <v>0</v>
      </c>
      <c r="AE249" s="191">
        <f t="shared" si="95"/>
        <v>0</v>
      </c>
      <c r="AF249" s="204">
        <f t="shared" si="95"/>
        <v>0</v>
      </c>
      <c r="AG249" s="216">
        <v>3</v>
      </c>
      <c r="AH249" s="46"/>
      <c r="AI249" s="47"/>
      <c r="AK249" s="49"/>
    </row>
    <row r="250" spans="1:37" x14ac:dyDescent="0.25">
      <c r="A250" s="73" t="s">
        <v>301</v>
      </c>
      <c r="B250" s="191">
        <v>0</v>
      </c>
      <c r="C250" s="191">
        <f t="shared" ref="C250:R265" si="96">B250</f>
        <v>0</v>
      </c>
      <c r="D250" s="191">
        <f t="shared" si="96"/>
        <v>0</v>
      </c>
      <c r="E250" s="191">
        <f t="shared" si="96"/>
        <v>0</v>
      </c>
      <c r="F250" s="191">
        <f t="shared" si="96"/>
        <v>0</v>
      </c>
      <c r="G250" s="191">
        <f t="shared" si="96"/>
        <v>0</v>
      </c>
      <c r="H250" s="191">
        <f t="shared" si="96"/>
        <v>0</v>
      </c>
      <c r="I250" s="191">
        <f t="shared" si="96"/>
        <v>0</v>
      </c>
      <c r="J250" s="191">
        <f t="shared" si="96"/>
        <v>0</v>
      </c>
      <c r="K250" s="191">
        <f t="shared" si="96"/>
        <v>0</v>
      </c>
      <c r="L250" s="191">
        <f t="shared" si="96"/>
        <v>0</v>
      </c>
      <c r="M250" s="191">
        <f t="shared" si="96"/>
        <v>0</v>
      </c>
      <c r="N250" s="191">
        <f t="shared" si="96"/>
        <v>0</v>
      </c>
      <c r="O250" s="191">
        <f t="shared" si="96"/>
        <v>0</v>
      </c>
      <c r="P250" s="191">
        <f t="shared" si="96"/>
        <v>0</v>
      </c>
      <c r="Q250" s="191">
        <f t="shared" si="96"/>
        <v>0</v>
      </c>
      <c r="R250" s="191">
        <f t="shared" si="95"/>
        <v>0</v>
      </c>
      <c r="S250" s="191">
        <f t="shared" si="95"/>
        <v>0</v>
      </c>
      <c r="T250" s="191">
        <f t="shared" si="95"/>
        <v>0</v>
      </c>
      <c r="U250" s="191">
        <f t="shared" si="95"/>
        <v>0</v>
      </c>
      <c r="V250" s="191">
        <f t="shared" si="95"/>
        <v>0</v>
      </c>
      <c r="W250" s="191">
        <f t="shared" si="95"/>
        <v>0</v>
      </c>
      <c r="X250" s="191">
        <f t="shared" si="95"/>
        <v>0</v>
      </c>
      <c r="Y250" s="191">
        <f t="shared" si="95"/>
        <v>0</v>
      </c>
      <c r="Z250" s="191">
        <f t="shared" si="95"/>
        <v>0</v>
      </c>
      <c r="AA250" s="191">
        <f t="shared" si="95"/>
        <v>0</v>
      </c>
      <c r="AB250" s="191">
        <f t="shared" si="95"/>
        <v>0</v>
      </c>
      <c r="AC250" s="191">
        <f t="shared" si="95"/>
        <v>0</v>
      </c>
      <c r="AD250" s="191">
        <f t="shared" si="95"/>
        <v>0</v>
      </c>
      <c r="AE250" s="191">
        <f t="shared" si="95"/>
        <v>0</v>
      </c>
      <c r="AF250" s="204">
        <f t="shared" si="95"/>
        <v>0</v>
      </c>
      <c r="AG250" s="216">
        <v>3</v>
      </c>
      <c r="AH250" s="46"/>
      <c r="AI250" s="47"/>
      <c r="AK250" s="49"/>
    </row>
    <row r="251" spans="1:37" x14ac:dyDescent="0.25">
      <c r="A251" s="73" t="s">
        <v>302</v>
      </c>
      <c r="B251" s="191">
        <v>0</v>
      </c>
      <c r="C251" s="191">
        <f t="shared" si="96"/>
        <v>0</v>
      </c>
      <c r="D251" s="191">
        <f t="shared" si="96"/>
        <v>0</v>
      </c>
      <c r="E251" s="191">
        <f t="shared" si="96"/>
        <v>0</v>
      </c>
      <c r="F251" s="191">
        <f t="shared" si="96"/>
        <v>0</v>
      </c>
      <c r="G251" s="191">
        <f t="shared" si="96"/>
        <v>0</v>
      </c>
      <c r="H251" s="191">
        <f t="shared" si="96"/>
        <v>0</v>
      </c>
      <c r="I251" s="191">
        <f t="shared" si="96"/>
        <v>0</v>
      </c>
      <c r="J251" s="191">
        <f t="shared" si="96"/>
        <v>0</v>
      </c>
      <c r="K251" s="191">
        <f t="shared" si="96"/>
        <v>0</v>
      </c>
      <c r="L251" s="191">
        <f t="shared" si="96"/>
        <v>0</v>
      </c>
      <c r="M251" s="191">
        <f t="shared" si="96"/>
        <v>0</v>
      </c>
      <c r="N251" s="191">
        <f t="shared" si="96"/>
        <v>0</v>
      </c>
      <c r="O251" s="191">
        <f t="shared" si="96"/>
        <v>0</v>
      </c>
      <c r="P251" s="191">
        <f t="shared" si="96"/>
        <v>0</v>
      </c>
      <c r="Q251" s="191">
        <f t="shared" si="96"/>
        <v>0</v>
      </c>
      <c r="R251" s="191">
        <f t="shared" si="96"/>
        <v>0</v>
      </c>
      <c r="S251" s="191">
        <f t="shared" si="95"/>
        <v>0</v>
      </c>
      <c r="T251" s="191">
        <f t="shared" si="95"/>
        <v>0</v>
      </c>
      <c r="U251" s="191">
        <f t="shared" si="95"/>
        <v>0</v>
      </c>
      <c r="V251" s="191">
        <f t="shared" si="95"/>
        <v>0</v>
      </c>
      <c r="W251" s="191">
        <f t="shared" si="95"/>
        <v>0</v>
      </c>
      <c r="X251" s="191">
        <f t="shared" si="95"/>
        <v>0</v>
      </c>
      <c r="Y251" s="191">
        <f t="shared" si="95"/>
        <v>0</v>
      </c>
      <c r="Z251" s="191">
        <f t="shared" si="95"/>
        <v>0</v>
      </c>
      <c r="AA251" s="191">
        <f t="shared" si="95"/>
        <v>0</v>
      </c>
      <c r="AB251" s="191">
        <f t="shared" si="95"/>
        <v>0</v>
      </c>
      <c r="AC251" s="191">
        <f t="shared" si="95"/>
        <v>0</v>
      </c>
      <c r="AD251" s="191">
        <f t="shared" si="95"/>
        <v>0</v>
      </c>
      <c r="AE251" s="191">
        <f t="shared" si="95"/>
        <v>0</v>
      </c>
      <c r="AF251" s="204">
        <f t="shared" si="95"/>
        <v>0</v>
      </c>
      <c r="AG251" s="216">
        <v>3</v>
      </c>
      <c r="AH251" s="46"/>
      <c r="AI251" s="47"/>
      <c r="AK251" s="49"/>
    </row>
    <row r="252" spans="1:37" x14ac:dyDescent="0.25">
      <c r="A252" s="73" t="s">
        <v>303</v>
      </c>
      <c r="B252" s="191">
        <v>0</v>
      </c>
      <c r="C252" s="191">
        <f t="shared" si="96"/>
        <v>0</v>
      </c>
      <c r="D252" s="191">
        <f t="shared" si="96"/>
        <v>0</v>
      </c>
      <c r="E252" s="191">
        <f t="shared" si="96"/>
        <v>0</v>
      </c>
      <c r="F252" s="191">
        <f t="shared" si="96"/>
        <v>0</v>
      </c>
      <c r="G252" s="191">
        <f t="shared" si="96"/>
        <v>0</v>
      </c>
      <c r="H252" s="191">
        <f t="shared" si="96"/>
        <v>0</v>
      </c>
      <c r="I252" s="191">
        <f t="shared" si="96"/>
        <v>0</v>
      </c>
      <c r="J252" s="191">
        <f t="shared" si="96"/>
        <v>0</v>
      </c>
      <c r="K252" s="191">
        <f t="shared" si="96"/>
        <v>0</v>
      </c>
      <c r="L252" s="191">
        <f t="shared" si="96"/>
        <v>0</v>
      </c>
      <c r="M252" s="191">
        <f t="shared" si="96"/>
        <v>0</v>
      </c>
      <c r="N252" s="191">
        <f t="shared" si="96"/>
        <v>0</v>
      </c>
      <c r="O252" s="191">
        <f t="shared" si="96"/>
        <v>0</v>
      </c>
      <c r="P252" s="191">
        <f t="shared" si="96"/>
        <v>0</v>
      </c>
      <c r="Q252" s="191">
        <f t="shared" si="96"/>
        <v>0</v>
      </c>
      <c r="R252" s="191">
        <f t="shared" si="96"/>
        <v>0</v>
      </c>
      <c r="S252" s="191">
        <f t="shared" si="95"/>
        <v>0</v>
      </c>
      <c r="T252" s="191">
        <f t="shared" si="95"/>
        <v>0</v>
      </c>
      <c r="U252" s="191">
        <f t="shared" si="95"/>
        <v>0</v>
      </c>
      <c r="V252" s="191">
        <f t="shared" si="95"/>
        <v>0</v>
      </c>
      <c r="W252" s="191">
        <f t="shared" si="95"/>
        <v>0</v>
      </c>
      <c r="X252" s="191">
        <f t="shared" si="95"/>
        <v>0</v>
      </c>
      <c r="Y252" s="191">
        <f t="shared" si="95"/>
        <v>0</v>
      </c>
      <c r="Z252" s="191">
        <f t="shared" si="95"/>
        <v>0</v>
      </c>
      <c r="AA252" s="191">
        <f t="shared" si="95"/>
        <v>0</v>
      </c>
      <c r="AB252" s="191">
        <f t="shared" si="95"/>
        <v>0</v>
      </c>
      <c r="AC252" s="191">
        <f t="shared" si="95"/>
        <v>0</v>
      </c>
      <c r="AD252" s="191">
        <f t="shared" si="95"/>
        <v>0</v>
      </c>
      <c r="AE252" s="191">
        <f t="shared" si="95"/>
        <v>0</v>
      </c>
      <c r="AF252" s="204">
        <f t="shared" si="95"/>
        <v>0</v>
      </c>
      <c r="AG252" s="216">
        <v>2.83</v>
      </c>
      <c r="AH252" s="46"/>
      <c r="AI252" s="47"/>
      <c r="AK252" s="49"/>
    </row>
    <row r="253" spans="1:37" x14ac:dyDescent="0.25">
      <c r="A253" s="73" t="s">
        <v>304</v>
      </c>
      <c r="B253" s="191">
        <v>0</v>
      </c>
      <c r="C253" s="191">
        <f t="shared" si="96"/>
        <v>0</v>
      </c>
      <c r="D253" s="191">
        <f t="shared" si="96"/>
        <v>0</v>
      </c>
      <c r="E253" s="191">
        <f t="shared" si="96"/>
        <v>0</v>
      </c>
      <c r="F253" s="191">
        <f t="shared" si="96"/>
        <v>0</v>
      </c>
      <c r="G253" s="191">
        <f t="shared" si="96"/>
        <v>0</v>
      </c>
      <c r="H253" s="191">
        <f t="shared" si="96"/>
        <v>0</v>
      </c>
      <c r="I253" s="191">
        <f t="shared" si="96"/>
        <v>0</v>
      </c>
      <c r="J253" s="191">
        <f t="shared" si="96"/>
        <v>0</v>
      </c>
      <c r="K253" s="191">
        <f t="shared" si="96"/>
        <v>0</v>
      </c>
      <c r="L253" s="191">
        <f t="shared" si="96"/>
        <v>0</v>
      </c>
      <c r="M253" s="191">
        <f t="shared" si="96"/>
        <v>0</v>
      </c>
      <c r="N253" s="191">
        <f t="shared" si="96"/>
        <v>0</v>
      </c>
      <c r="O253" s="191">
        <f t="shared" si="96"/>
        <v>0</v>
      </c>
      <c r="P253" s="191">
        <f t="shared" si="96"/>
        <v>0</v>
      </c>
      <c r="Q253" s="191">
        <f t="shared" si="96"/>
        <v>0</v>
      </c>
      <c r="R253" s="191">
        <f t="shared" si="96"/>
        <v>0</v>
      </c>
      <c r="S253" s="191">
        <f t="shared" si="95"/>
        <v>0</v>
      </c>
      <c r="T253" s="191">
        <f t="shared" si="95"/>
        <v>0</v>
      </c>
      <c r="U253" s="191">
        <f t="shared" si="95"/>
        <v>0</v>
      </c>
      <c r="V253" s="191">
        <f t="shared" si="95"/>
        <v>0</v>
      </c>
      <c r="W253" s="191">
        <f t="shared" si="95"/>
        <v>0</v>
      </c>
      <c r="X253" s="191">
        <f t="shared" si="95"/>
        <v>0</v>
      </c>
      <c r="Y253" s="191">
        <f t="shared" si="95"/>
        <v>0</v>
      </c>
      <c r="Z253" s="191">
        <f t="shared" si="95"/>
        <v>0</v>
      </c>
      <c r="AA253" s="191">
        <f t="shared" si="95"/>
        <v>0</v>
      </c>
      <c r="AB253" s="191">
        <f t="shared" si="95"/>
        <v>0</v>
      </c>
      <c r="AC253" s="191">
        <f t="shared" si="95"/>
        <v>0</v>
      </c>
      <c r="AD253" s="191">
        <f t="shared" si="95"/>
        <v>0</v>
      </c>
      <c r="AE253" s="191">
        <f t="shared" si="95"/>
        <v>0</v>
      </c>
      <c r="AF253" s="204">
        <f t="shared" si="95"/>
        <v>0</v>
      </c>
      <c r="AG253" s="216">
        <v>2.5</v>
      </c>
      <c r="AH253" s="46"/>
      <c r="AI253" s="47"/>
      <c r="AK253" s="49"/>
    </row>
    <row r="254" spans="1:37" x14ac:dyDescent="0.25">
      <c r="A254" s="73" t="s">
        <v>305</v>
      </c>
      <c r="B254" s="191">
        <v>0</v>
      </c>
      <c r="C254" s="191">
        <f t="shared" si="96"/>
        <v>0</v>
      </c>
      <c r="D254" s="191">
        <f t="shared" si="96"/>
        <v>0</v>
      </c>
      <c r="E254" s="191">
        <f t="shared" si="96"/>
        <v>0</v>
      </c>
      <c r="F254" s="191">
        <f t="shared" si="96"/>
        <v>0</v>
      </c>
      <c r="G254" s="191">
        <f t="shared" si="96"/>
        <v>0</v>
      </c>
      <c r="H254" s="191">
        <f t="shared" si="96"/>
        <v>0</v>
      </c>
      <c r="I254" s="191">
        <f t="shared" si="96"/>
        <v>0</v>
      </c>
      <c r="J254" s="191">
        <f t="shared" si="96"/>
        <v>0</v>
      </c>
      <c r="K254" s="191">
        <f t="shared" si="96"/>
        <v>0</v>
      </c>
      <c r="L254" s="191">
        <f t="shared" si="96"/>
        <v>0</v>
      </c>
      <c r="M254" s="191">
        <f t="shared" si="96"/>
        <v>0</v>
      </c>
      <c r="N254" s="191">
        <f t="shared" si="96"/>
        <v>0</v>
      </c>
      <c r="O254" s="191">
        <f t="shared" si="96"/>
        <v>0</v>
      </c>
      <c r="P254" s="191">
        <f t="shared" si="96"/>
        <v>0</v>
      </c>
      <c r="Q254" s="191">
        <f t="shared" si="96"/>
        <v>0</v>
      </c>
      <c r="R254" s="191">
        <f t="shared" si="96"/>
        <v>0</v>
      </c>
      <c r="S254" s="191">
        <f t="shared" si="95"/>
        <v>0</v>
      </c>
      <c r="T254" s="191">
        <f t="shared" si="95"/>
        <v>0</v>
      </c>
      <c r="U254" s="191">
        <f t="shared" si="95"/>
        <v>0</v>
      </c>
      <c r="V254" s="191">
        <f t="shared" si="95"/>
        <v>0</v>
      </c>
      <c r="W254" s="191">
        <f t="shared" si="95"/>
        <v>0</v>
      </c>
      <c r="X254" s="191">
        <f t="shared" si="95"/>
        <v>0</v>
      </c>
      <c r="Y254" s="191">
        <f t="shared" si="95"/>
        <v>0</v>
      </c>
      <c r="Z254" s="191">
        <f t="shared" si="95"/>
        <v>0</v>
      </c>
      <c r="AA254" s="191">
        <f t="shared" si="95"/>
        <v>0</v>
      </c>
      <c r="AB254" s="191">
        <f t="shared" si="95"/>
        <v>0</v>
      </c>
      <c r="AC254" s="191">
        <f t="shared" si="95"/>
        <v>0</v>
      </c>
      <c r="AD254" s="191">
        <f t="shared" si="95"/>
        <v>0</v>
      </c>
      <c r="AE254" s="191">
        <f t="shared" si="95"/>
        <v>0</v>
      </c>
      <c r="AF254" s="204">
        <f t="shared" si="95"/>
        <v>0</v>
      </c>
      <c r="AG254" s="216">
        <v>2.5</v>
      </c>
      <c r="AH254" s="46"/>
      <c r="AI254" s="47"/>
      <c r="AK254" s="49"/>
    </row>
    <row r="255" spans="1:37" x14ac:dyDescent="0.25">
      <c r="A255" s="73" t="s">
        <v>306</v>
      </c>
      <c r="B255" s="191">
        <v>0</v>
      </c>
      <c r="C255" s="191">
        <f t="shared" si="96"/>
        <v>0</v>
      </c>
      <c r="D255" s="191">
        <f t="shared" si="96"/>
        <v>0</v>
      </c>
      <c r="E255" s="191">
        <f t="shared" si="96"/>
        <v>0</v>
      </c>
      <c r="F255" s="191">
        <f t="shared" si="96"/>
        <v>0</v>
      </c>
      <c r="G255" s="191">
        <f t="shared" si="96"/>
        <v>0</v>
      </c>
      <c r="H255" s="191">
        <f t="shared" si="96"/>
        <v>0</v>
      </c>
      <c r="I255" s="191">
        <f t="shared" si="96"/>
        <v>0</v>
      </c>
      <c r="J255" s="191">
        <f t="shared" si="96"/>
        <v>0</v>
      </c>
      <c r="K255" s="191">
        <f t="shared" si="96"/>
        <v>0</v>
      </c>
      <c r="L255" s="191">
        <f t="shared" si="96"/>
        <v>0</v>
      </c>
      <c r="M255" s="191">
        <f t="shared" si="96"/>
        <v>0</v>
      </c>
      <c r="N255" s="191">
        <f t="shared" si="96"/>
        <v>0</v>
      </c>
      <c r="O255" s="191">
        <f t="shared" si="96"/>
        <v>0</v>
      </c>
      <c r="P255" s="191">
        <f t="shared" si="96"/>
        <v>0</v>
      </c>
      <c r="Q255" s="191">
        <f t="shared" si="96"/>
        <v>0</v>
      </c>
      <c r="R255" s="191">
        <f t="shared" si="96"/>
        <v>0</v>
      </c>
      <c r="S255" s="191">
        <f t="shared" si="95"/>
        <v>0</v>
      </c>
      <c r="T255" s="191">
        <f t="shared" si="95"/>
        <v>0</v>
      </c>
      <c r="U255" s="191">
        <f t="shared" si="95"/>
        <v>0</v>
      </c>
      <c r="V255" s="191">
        <f t="shared" si="95"/>
        <v>0</v>
      </c>
      <c r="W255" s="191">
        <f t="shared" si="95"/>
        <v>0</v>
      </c>
      <c r="X255" s="191">
        <f t="shared" si="95"/>
        <v>0</v>
      </c>
      <c r="Y255" s="191">
        <f t="shared" si="95"/>
        <v>0</v>
      </c>
      <c r="Z255" s="191">
        <f t="shared" si="95"/>
        <v>0</v>
      </c>
      <c r="AA255" s="191">
        <f t="shared" si="95"/>
        <v>0</v>
      </c>
      <c r="AB255" s="191">
        <f t="shared" si="95"/>
        <v>0</v>
      </c>
      <c r="AC255" s="191">
        <f t="shared" si="95"/>
        <v>0</v>
      </c>
      <c r="AD255" s="191">
        <f t="shared" si="95"/>
        <v>0</v>
      </c>
      <c r="AE255" s="191">
        <f t="shared" si="95"/>
        <v>0</v>
      </c>
      <c r="AF255" s="204">
        <f t="shared" si="95"/>
        <v>0</v>
      </c>
      <c r="AG255" s="216">
        <v>2.4</v>
      </c>
      <c r="AH255" s="46"/>
      <c r="AI255" s="47"/>
      <c r="AK255" s="49"/>
    </row>
    <row r="256" spans="1:37" x14ac:dyDescent="0.25">
      <c r="A256" s="73" t="s">
        <v>307</v>
      </c>
      <c r="B256" s="191">
        <v>0</v>
      </c>
      <c r="C256" s="191">
        <f t="shared" si="96"/>
        <v>0</v>
      </c>
      <c r="D256" s="191">
        <f t="shared" si="96"/>
        <v>0</v>
      </c>
      <c r="E256" s="191">
        <f t="shared" si="96"/>
        <v>0</v>
      </c>
      <c r="F256" s="191">
        <f t="shared" si="96"/>
        <v>0</v>
      </c>
      <c r="G256" s="191">
        <f t="shared" si="96"/>
        <v>0</v>
      </c>
      <c r="H256" s="191">
        <f t="shared" si="96"/>
        <v>0</v>
      </c>
      <c r="I256" s="191">
        <f t="shared" si="96"/>
        <v>0</v>
      </c>
      <c r="J256" s="191">
        <f t="shared" si="96"/>
        <v>0</v>
      </c>
      <c r="K256" s="191">
        <f t="shared" si="96"/>
        <v>0</v>
      </c>
      <c r="L256" s="191">
        <f t="shared" si="96"/>
        <v>0</v>
      </c>
      <c r="M256" s="191">
        <f t="shared" si="96"/>
        <v>0</v>
      </c>
      <c r="N256" s="191">
        <f t="shared" si="96"/>
        <v>0</v>
      </c>
      <c r="O256" s="191">
        <f t="shared" si="96"/>
        <v>0</v>
      </c>
      <c r="P256" s="191">
        <f t="shared" si="96"/>
        <v>0</v>
      </c>
      <c r="Q256" s="191">
        <f t="shared" si="96"/>
        <v>0</v>
      </c>
      <c r="R256" s="191">
        <f t="shared" si="96"/>
        <v>0</v>
      </c>
      <c r="S256" s="191">
        <f t="shared" si="95"/>
        <v>0</v>
      </c>
      <c r="T256" s="191">
        <f t="shared" si="95"/>
        <v>0</v>
      </c>
      <c r="U256" s="191">
        <f t="shared" si="95"/>
        <v>0</v>
      </c>
      <c r="V256" s="191">
        <f t="shared" si="95"/>
        <v>0</v>
      </c>
      <c r="W256" s="191">
        <f t="shared" si="95"/>
        <v>0</v>
      </c>
      <c r="X256" s="191">
        <f t="shared" si="95"/>
        <v>0</v>
      </c>
      <c r="Y256" s="191">
        <f t="shared" si="95"/>
        <v>0</v>
      </c>
      <c r="Z256" s="191">
        <f t="shared" si="95"/>
        <v>0</v>
      </c>
      <c r="AA256" s="191">
        <f t="shared" si="95"/>
        <v>0</v>
      </c>
      <c r="AB256" s="191">
        <f t="shared" si="95"/>
        <v>0</v>
      </c>
      <c r="AC256" s="191">
        <f t="shared" si="95"/>
        <v>0</v>
      </c>
      <c r="AD256" s="191">
        <f t="shared" si="95"/>
        <v>0</v>
      </c>
      <c r="AE256" s="191">
        <f t="shared" si="95"/>
        <v>0</v>
      </c>
      <c r="AF256" s="204">
        <f t="shared" si="95"/>
        <v>0</v>
      </c>
      <c r="AG256" s="216">
        <v>2.4</v>
      </c>
      <c r="AH256" s="46"/>
      <c r="AI256" s="47"/>
      <c r="AK256" s="49"/>
    </row>
    <row r="257" spans="1:37" x14ac:dyDescent="0.25">
      <c r="A257" s="73" t="s">
        <v>308</v>
      </c>
      <c r="B257" s="191">
        <v>0</v>
      </c>
      <c r="C257" s="191">
        <f t="shared" si="96"/>
        <v>0</v>
      </c>
      <c r="D257" s="191">
        <f t="shared" si="96"/>
        <v>0</v>
      </c>
      <c r="E257" s="191">
        <f t="shared" si="96"/>
        <v>0</v>
      </c>
      <c r="F257" s="191">
        <f t="shared" si="96"/>
        <v>0</v>
      </c>
      <c r="G257" s="191">
        <f t="shared" si="96"/>
        <v>0</v>
      </c>
      <c r="H257" s="191">
        <f t="shared" si="96"/>
        <v>0</v>
      </c>
      <c r="I257" s="191">
        <f t="shared" si="96"/>
        <v>0</v>
      </c>
      <c r="J257" s="191">
        <f t="shared" si="96"/>
        <v>0</v>
      </c>
      <c r="K257" s="191">
        <f t="shared" si="96"/>
        <v>0</v>
      </c>
      <c r="L257" s="191">
        <f t="shared" si="96"/>
        <v>0</v>
      </c>
      <c r="M257" s="191">
        <f t="shared" si="96"/>
        <v>0</v>
      </c>
      <c r="N257" s="191">
        <f t="shared" si="96"/>
        <v>0</v>
      </c>
      <c r="O257" s="191">
        <f t="shared" si="96"/>
        <v>0</v>
      </c>
      <c r="P257" s="191">
        <f t="shared" si="96"/>
        <v>0</v>
      </c>
      <c r="Q257" s="191">
        <f t="shared" si="96"/>
        <v>0</v>
      </c>
      <c r="R257" s="191">
        <f t="shared" si="96"/>
        <v>0</v>
      </c>
      <c r="S257" s="191">
        <f t="shared" si="95"/>
        <v>0</v>
      </c>
      <c r="T257" s="191">
        <f t="shared" si="95"/>
        <v>0</v>
      </c>
      <c r="U257" s="191">
        <f t="shared" si="95"/>
        <v>0</v>
      </c>
      <c r="V257" s="191">
        <f t="shared" si="95"/>
        <v>0</v>
      </c>
      <c r="W257" s="191">
        <f t="shared" si="95"/>
        <v>0</v>
      </c>
      <c r="X257" s="191">
        <f t="shared" si="95"/>
        <v>0</v>
      </c>
      <c r="Y257" s="191">
        <f t="shared" si="95"/>
        <v>0</v>
      </c>
      <c r="Z257" s="191">
        <f t="shared" si="95"/>
        <v>0</v>
      </c>
      <c r="AA257" s="191">
        <f t="shared" si="95"/>
        <v>0</v>
      </c>
      <c r="AB257" s="191">
        <f t="shared" si="95"/>
        <v>0</v>
      </c>
      <c r="AC257" s="191">
        <f t="shared" si="95"/>
        <v>0</v>
      </c>
      <c r="AD257" s="191">
        <f t="shared" si="95"/>
        <v>0</v>
      </c>
      <c r="AE257" s="191">
        <f t="shared" si="95"/>
        <v>0</v>
      </c>
      <c r="AF257" s="204">
        <f t="shared" si="95"/>
        <v>0</v>
      </c>
      <c r="AG257" s="216">
        <v>2.2000000000000002</v>
      </c>
      <c r="AH257" s="46"/>
      <c r="AI257" s="47"/>
      <c r="AK257" s="49"/>
    </row>
    <row r="258" spans="1:37" x14ac:dyDescent="0.25">
      <c r="A258" s="73" t="s">
        <v>309</v>
      </c>
      <c r="B258" s="191">
        <v>0</v>
      </c>
      <c r="C258" s="191">
        <f t="shared" si="96"/>
        <v>0</v>
      </c>
      <c r="D258" s="191">
        <f t="shared" si="96"/>
        <v>0</v>
      </c>
      <c r="E258" s="191">
        <f t="shared" si="96"/>
        <v>0</v>
      </c>
      <c r="F258" s="191">
        <f t="shared" si="96"/>
        <v>0</v>
      </c>
      <c r="G258" s="191">
        <f t="shared" si="96"/>
        <v>0</v>
      </c>
      <c r="H258" s="191">
        <f t="shared" si="96"/>
        <v>0</v>
      </c>
      <c r="I258" s="191">
        <f t="shared" si="96"/>
        <v>0</v>
      </c>
      <c r="J258" s="191">
        <f t="shared" si="96"/>
        <v>0</v>
      </c>
      <c r="K258" s="191">
        <f t="shared" si="96"/>
        <v>0</v>
      </c>
      <c r="L258" s="191">
        <f t="shared" si="96"/>
        <v>0</v>
      </c>
      <c r="M258" s="191">
        <f t="shared" si="96"/>
        <v>0</v>
      </c>
      <c r="N258" s="191">
        <f t="shared" si="96"/>
        <v>0</v>
      </c>
      <c r="O258" s="191">
        <f t="shared" si="96"/>
        <v>0</v>
      </c>
      <c r="P258" s="191">
        <f t="shared" si="96"/>
        <v>0</v>
      </c>
      <c r="Q258" s="191">
        <f t="shared" si="96"/>
        <v>0</v>
      </c>
      <c r="R258" s="191">
        <f t="shared" si="96"/>
        <v>0</v>
      </c>
      <c r="S258" s="191">
        <f t="shared" si="95"/>
        <v>0</v>
      </c>
      <c r="T258" s="191">
        <f t="shared" si="95"/>
        <v>0</v>
      </c>
      <c r="U258" s="191">
        <f t="shared" si="95"/>
        <v>0</v>
      </c>
      <c r="V258" s="191">
        <f t="shared" si="95"/>
        <v>0</v>
      </c>
      <c r="W258" s="191">
        <f t="shared" si="95"/>
        <v>0</v>
      </c>
      <c r="X258" s="191">
        <f t="shared" si="95"/>
        <v>0</v>
      </c>
      <c r="Y258" s="191">
        <f t="shared" si="95"/>
        <v>0</v>
      </c>
      <c r="Z258" s="191">
        <f t="shared" si="95"/>
        <v>0</v>
      </c>
      <c r="AA258" s="191">
        <f t="shared" si="95"/>
        <v>0</v>
      </c>
      <c r="AB258" s="191">
        <f t="shared" si="95"/>
        <v>0</v>
      </c>
      <c r="AC258" s="191">
        <f t="shared" si="95"/>
        <v>0</v>
      </c>
      <c r="AD258" s="191">
        <f t="shared" si="95"/>
        <v>0</v>
      </c>
      <c r="AE258" s="191">
        <f t="shared" si="95"/>
        <v>0</v>
      </c>
      <c r="AF258" s="204">
        <f t="shared" si="95"/>
        <v>0</v>
      </c>
      <c r="AG258" s="216">
        <v>2</v>
      </c>
      <c r="AH258" s="46"/>
      <c r="AI258" s="47"/>
      <c r="AK258" s="49"/>
    </row>
    <row r="259" spans="1:37" x14ac:dyDescent="0.25">
      <c r="A259" s="73" t="s">
        <v>310</v>
      </c>
      <c r="B259" s="191">
        <v>0</v>
      </c>
      <c r="C259" s="191">
        <f t="shared" si="96"/>
        <v>0</v>
      </c>
      <c r="D259" s="191">
        <f t="shared" si="96"/>
        <v>0</v>
      </c>
      <c r="E259" s="191">
        <f t="shared" si="96"/>
        <v>0</v>
      </c>
      <c r="F259" s="191">
        <f t="shared" si="96"/>
        <v>0</v>
      </c>
      <c r="G259" s="191">
        <f t="shared" si="96"/>
        <v>0</v>
      </c>
      <c r="H259" s="191">
        <f t="shared" si="96"/>
        <v>0</v>
      </c>
      <c r="I259" s="191">
        <f t="shared" si="96"/>
        <v>0</v>
      </c>
      <c r="J259" s="191">
        <f t="shared" si="96"/>
        <v>0</v>
      </c>
      <c r="K259" s="191">
        <f t="shared" si="96"/>
        <v>0</v>
      </c>
      <c r="L259" s="191">
        <f t="shared" si="96"/>
        <v>0</v>
      </c>
      <c r="M259" s="191">
        <f t="shared" si="96"/>
        <v>0</v>
      </c>
      <c r="N259" s="191">
        <f t="shared" si="96"/>
        <v>0</v>
      </c>
      <c r="O259" s="191">
        <f t="shared" si="96"/>
        <v>0</v>
      </c>
      <c r="P259" s="191">
        <f t="shared" si="96"/>
        <v>0</v>
      </c>
      <c r="Q259" s="191">
        <f t="shared" si="96"/>
        <v>0</v>
      </c>
      <c r="R259" s="191">
        <f t="shared" si="96"/>
        <v>0</v>
      </c>
      <c r="S259" s="191">
        <f t="shared" si="95"/>
        <v>0</v>
      </c>
      <c r="T259" s="191">
        <f t="shared" si="95"/>
        <v>0</v>
      </c>
      <c r="U259" s="191">
        <f t="shared" si="95"/>
        <v>0</v>
      </c>
      <c r="V259" s="191">
        <f t="shared" si="95"/>
        <v>0</v>
      </c>
      <c r="W259" s="191">
        <f t="shared" si="95"/>
        <v>0</v>
      </c>
      <c r="X259" s="191">
        <f t="shared" si="95"/>
        <v>0</v>
      </c>
      <c r="Y259" s="191">
        <f t="shared" si="95"/>
        <v>0</v>
      </c>
      <c r="Z259" s="191">
        <f t="shared" si="95"/>
        <v>0</v>
      </c>
      <c r="AA259" s="191">
        <f t="shared" si="95"/>
        <v>0</v>
      </c>
      <c r="AB259" s="191">
        <f t="shared" si="95"/>
        <v>0</v>
      </c>
      <c r="AC259" s="191">
        <f t="shared" si="95"/>
        <v>0</v>
      </c>
      <c r="AD259" s="191">
        <f t="shared" si="95"/>
        <v>0</v>
      </c>
      <c r="AE259" s="191">
        <f t="shared" si="95"/>
        <v>0</v>
      </c>
      <c r="AF259" s="204">
        <f t="shared" si="95"/>
        <v>0</v>
      </c>
      <c r="AG259" s="216">
        <v>2</v>
      </c>
      <c r="AH259" s="46"/>
      <c r="AI259" s="47"/>
      <c r="AK259" s="49"/>
    </row>
    <row r="260" spans="1:37" x14ac:dyDescent="0.25">
      <c r="A260" s="73" t="s">
        <v>311</v>
      </c>
      <c r="B260" s="191">
        <v>0</v>
      </c>
      <c r="C260" s="191">
        <f t="shared" si="96"/>
        <v>0</v>
      </c>
      <c r="D260" s="191">
        <f t="shared" si="96"/>
        <v>0</v>
      </c>
      <c r="E260" s="191">
        <f t="shared" si="96"/>
        <v>0</v>
      </c>
      <c r="F260" s="191">
        <f t="shared" si="96"/>
        <v>0</v>
      </c>
      <c r="G260" s="191">
        <f t="shared" si="96"/>
        <v>0</v>
      </c>
      <c r="H260" s="191">
        <f t="shared" si="96"/>
        <v>0</v>
      </c>
      <c r="I260" s="191">
        <f t="shared" si="96"/>
        <v>0</v>
      </c>
      <c r="J260" s="191">
        <f t="shared" si="96"/>
        <v>0</v>
      </c>
      <c r="K260" s="191">
        <f t="shared" si="96"/>
        <v>0</v>
      </c>
      <c r="L260" s="191">
        <f t="shared" si="96"/>
        <v>0</v>
      </c>
      <c r="M260" s="191">
        <f t="shared" si="96"/>
        <v>0</v>
      </c>
      <c r="N260" s="191">
        <f t="shared" si="96"/>
        <v>0</v>
      </c>
      <c r="O260" s="191">
        <f t="shared" si="96"/>
        <v>0</v>
      </c>
      <c r="P260" s="191">
        <f t="shared" si="96"/>
        <v>0</v>
      </c>
      <c r="Q260" s="191">
        <f t="shared" si="96"/>
        <v>0</v>
      </c>
      <c r="R260" s="191">
        <f t="shared" si="96"/>
        <v>0</v>
      </c>
      <c r="S260" s="191">
        <f t="shared" si="95"/>
        <v>0</v>
      </c>
      <c r="T260" s="191">
        <f t="shared" si="95"/>
        <v>0</v>
      </c>
      <c r="U260" s="191">
        <f t="shared" si="95"/>
        <v>0</v>
      </c>
      <c r="V260" s="191">
        <f t="shared" si="95"/>
        <v>0</v>
      </c>
      <c r="W260" s="191">
        <f t="shared" si="95"/>
        <v>0</v>
      </c>
      <c r="X260" s="191">
        <f t="shared" si="95"/>
        <v>0</v>
      </c>
      <c r="Y260" s="191">
        <f t="shared" si="95"/>
        <v>0</v>
      </c>
      <c r="Z260" s="191">
        <f t="shared" si="95"/>
        <v>0</v>
      </c>
      <c r="AA260" s="191">
        <f t="shared" si="95"/>
        <v>0</v>
      </c>
      <c r="AB260" s="191">
        <f t="shared" si="95"/>
        <v>0</v>
      </c>
      <c r="AC260" s="191">
        <f t="shared" si="95"/>
        <v>0</v>
      </c>
      <c r="AD260" s="191">
        <f t="shared" si="95"/>
        <v>0</v>
      </c>
      <c r="AE260" s="191">
        <f t="shared" si="95"/>
        <v>0</v>
      </c>
      <c r="AF260" s="204">
        <f t="shared" si="95"/>
        <v>0</v>
      </c>
      <c r="AG260" s="216">
        <v>2</v>
      </c>
      <c r="AH260" s="46"/>
      <c r="AI260" s="47"/>
      <c r="AK260" s="49"/>
    </row>
    <row r="261" spans="1:37" x14ac:dyDescent="0.25">
      <c r="A261" s="73" t="s">
        <v>312</v>
      </c>
      <c r="B261" s="191">
        <v>0</v>
      </c>
      <c r="C261" s="191">
        <f t="shared" si="96"/>
        <v>0</v>
      </c>
      <c r="D261" s="191">
        <f t="shared" si="96"/>
        <v>0</v>
      </c>
      <c r="E261" s="191">
        <f t="shared" si="96"/>
        <v>0</v>
      </c>
      <c r="F261" s="191">
        <f t="shared" si="96"/>
        <v>0</v>
      </c>
      <c r="G261" s="191">
        <f t="shared" si="96"/>
        <v>0</v>
      </c>
      <c r="H261" s="191">
        <f t="shared" si="96"/>
        <v>0</v>
      </c>
      <c r="I261" s="191">
        <f t="shared" si="96"/>
        <v>0</v>
      </c>
      <c r="J261" s="191">
        <f t="shared" si="96"/>
        <v>0</v>
      </c>
      <c r="K261" s="191">
        <f t="shared" si="96"/>
        <v>0</v>
      </c>
      <c r="L261" s="191">
        <f t="shared" si="96"/>
        <v>0</v>
      </c>
      <c r="M261" s="191">
        <f t="shared" si="96"/>
        <v>0</v>
      </c>
      <c r="N261" s="191">
        <f t="shared" si="96"/>
        <v>0</v>
      </c>
      <c r="O261" s="191">
        <f t="shared" si="96"/>
        <v>0</v>
      </c>
      <c r="P261" s="191">
        <f t="shared" si="96"/>
        <v>0</v>
      </c>
      <c r="Q261" s="191">
        <f t="shared" si="96"/>
        <v>0</v>
      </c>
      <c r="R261" s="191">
        <f t="shared" si="96"/>
        <v>0</v>
      </c>
      <c r="S261" s="191">
        <f t="shared" si="95"/>
        <v>0</v>
      </c>
      <c r="T261" s="191">
        <f t="shared" si="95"/>
        <v>0</v>
      </c>
      <c r="U261" s="191">
        <f t="shared" si="95"/>
        <v>0</v>
      </c>
      <c r="V261" s="191">
        <f t="shared" si="95"/>
        <v>0</v>
      </c>
      <c r="W261" s="191">
        <f t="shared" si="95"/>
        <v>0</v>
      </c>
      <c r="X261" s="191">
        <f t="shared" si="95"/>
        <v>0</v>
      </c>
      <c r="Y261" s="191">
        <f t="shared" si="95"/>
        <v>0</v>
      </c>
      <c r="Z261" s="191">
        <f t="shared" si="95"/>
        <v>0</v>
      </c>
      <c r="AA261" s="191">
        <f t="shared" si="95"/>
        <v>0</v>
      </c>
      <c r="AB261" s="191">
        <f t="shared" si="95"/>
        <v>0</v>
      </c>
      <c r="AC261" s="191">
        <f t="shared" si="95"/>
        <v>0</v>
      </c>
      <c r="AD261" s="191">
        <f t="shared" si="95"/>
        <v>0</v>
      </c>
      <c r="AE261" s="191">
        <f t="shared" si="95"/>
        <v>0</v>
      </c>
      <c r="AF261" s="204">
        <f t="shared" si="95"/>
        <v>0</v>
      </c>
      <c r="AG261" s="216">
        <v>1.8</v>
      </c>
      <c r="AH261" s="46"/>
      <c r="AI261" s="47"/>
      <c r="AK261" s="49"/>
    </row>
    <row r="262" spans="1:37" x14ac:dyDescent="0.25">
      <c r="A262" s="73" t="s">
        <v>313</v>
      </c>
      <c r="B262" s="191">
        <v>0</v>
      </c>
      <c r="C262" s="191">
        <f t="shared" si="96"/>
        <v>0</v>
      </c>
      <c r="D262" s="191">
        <f t="shared" si="96"/>
        <v>0</v>
      </c>
      <c r="E262" s="191">
        <f t="shared" si="96"/>
        <v>0</v>
      </c>
      <c r="F262" s="191">
        <f t="shared" si="96"/>
        <v>0</v>
      </c>
      <c r="G262" s="191">
        <f t="shared" si="96"/>
        <v>0</v>
      </c>
      <c r="H262" s="191">
        <f t="shared" si="96"/>
        <v>0</v>
      </c>
      <c r="I262" s="191">
        <f t="shared" si="96"/>
        <v>0</v>
      </c>
      <c r="J262" s="191">
        <f t="shared" si="96"/>
        <v>0</v>
      </c>
      <c r="K262" s="191">
        <f t="shared" si="96"/>
        <v>0</v>
      </c>
      <c r="L262" s="191">
        <f t="shared" si="96"/>
        <v>0</v>
      </c>
      <c r="M262" s="191">
        <f t="shared" si="96"/>
        <v>0</v>
      </c>
      <c r="N262" s="191">
        <f t="shared" si="96"/>
        <v>0</v>
      </c>
      <c r="O262" s="191">
        <f t="shared" si="96"/>
        <v>0</v>
      </c>
      <c r="P262" s="191">
        <f t="shared" si="96"/>
        <v>0</v>
      </c>
      <c r="Q262" s="191">
        <f t="shared" si="96"/>
        <v>0</v>
      </c>
      <c r="R262" s="191">
        <f t="shared" si="96"/>
        <v>0</v>
      </c>
      <c r="S262" s="191">
        <f t="shared" si="95"/>
        <v>0</v>
      </c>
      <c r="T262" s="191">
        <f t="shared" si="95"/>
        <v>0</v>
      </c>
      <c r="U262" s="191">
        <f t="shared" si="95"/>
        <v>0</v>
      </c>
      <c r="V262" s="191">
        <f t="shared" si="95"/>
        <v>0</v>
      </c>
      <c r="W262" s="191">
        <f t="shared" si="95"/>
        <v>0</v>
      </c>
      <c r="X262" s="191">
        <f t="shared" si="95"/>
        <v>0</v>
      </c>
      <c r="Y262" s="191">
        <f t="shared" si="95"/>
        <v>0</v>
      </c>
      <c r="Z262" s="191">
        <f t="shared" si="95"/>
        <v>0</v>
      </c>
      <c r="AA262" s="191">
        <f t="shared" si="95"/>
        <v>0</v>
      </c>
      <c r="AB262" s="191">
        <f t="shared" si="95"/>
        <v>0</v>
      </c>
      <c r="AC262" s="191">
        <f t="shared" si="95"/>
        <v>0</v>
      </c>
      <c r="AD262" s="191">
        <f t="shared" si="95"/>
        <v>0</v>
      </c>
      <c r="AE262" s="191">
        <f t="shared" si="95"/>
        <v>0</v>
      </c>
      <c r="AF262" s="204">
        <f t="shared" si="95"/>
        <v>0</v>
      </c>
      <c r="AG262" s="216">
        <v>1.8</v>
      </c>
      <c r="AH262" s="46"/>
      <c r="AI262" s="47"/>
      <c r="AK262" s="49"/>
    </row>
    <row r="263" spans="1:37" x14ac:dyDescent="0.25">
      <c r="A263" s="73" t="s">
        <v>314</v>
      </c>
      <c r="B263" s="191">
        <v>0</v>
      </c>
      <c r="C263" s="191">
        <f t="shared" si="96"/>
        <v>0</v>
      </c>
      <c r="D263" s="191">
        <f t="shared" si="96"/>
        <v>0</v>
      </c>
      <c r="E263" s="191">
        <f t="shared" si="96"/>
        <v>0</v>
      </c>
      <c r="F263" s="191">
        <f t="shared" si="96"/>
        <v>0</v>
      </c>
      <c r="G263" s="191">
        <f t="shared" si="96"/>
        <v>0</v>
      </c>
      <c r="H263" s="191">
        <f t="shared" si="96"/>
        <v>0</v>
      </c>
      <c r="I263" s="191">
        <f t="shared" si="96"/>
        <v>0</v>
      </c>
      <c r="J263" s="191">
        <f t="shared" si="96"/>
        <v>0</v>
      </c>
      <c r="K263" s="191">
        <f t="shared" si="96"/>
        <v>0</v>
      </c>
      <c r="L263" s="191">
        <f t="shared" si="96"/>
        <v>0</v>
      </c>
      <c r="M263" s="191">
        <f t="shared" si="96"/>
        <v>0</v>
      </c>
      <c r="N263" s="191">
        <f t="shared" si="96"/>
        <v>0</v>
      </c>
      <c r="O263" s="191">
        <f t="shared" si="96"/>
        <v>0</v>
      </c>
      <c r="P263" s="191">
        <f t="shared" si="96"/>
        <v>0</v>
      </c>
      <c r="Q263" s="191">
        <f t="shared" si="96"/>
        <v>0</v>
      </c>
      <c r="R263" s="191">
        <f t="shared" si="96"/>
        <v>0</v>
      </c>
      <c r="S263" s="191">
        <f t="shared" si="95"/>
        <v>0</v>
      </c>
      <c r="T263" s="191">
        <f t="shared" si="95"/>
        <v>0</v>
      </c>
      <c r="U263" s="191">
        <f t="shared" si="95"/>
        <v>0</v>
      </c>
      <c r="V263" s="191">
        <f t="shared" si="95"/>
        <v>0</v>
      </c>
      <c r="W263" s="191">
        <f t="shared" si="95"/>
        <v>0</v>
      </c>
      <c r="X263" s="191">
        <f t="shared" si="95"/>
        <v>0</v>
      </c>
      <c r="Y263" s="191">
        <f t="shared" si="95"/>
        <v>0</v>
      </c>
      <c r="Z263" s="191">
        <f t="shared" si="95"/>
        <v>0</v>
      </c>
      <c r="AA263" s="191">
        <f t="shared" si="95"/>
        <v>0</v>
      </c>
      <c r="AB263" s="191">
        <f t="shared" si="95"/>
        <v>0</v>
      </c>
      <c r="AC263" s="191">
        <f t="shared" si="95"/>
        <v>0</v>
      </c>
      <c r="AD263" s="191">
        <f t="shared" si="95"/>
        <v>0</v>
      </c>
      <c r="AE263" s="191">
        <f t="shared" si="95"/>
        <v>0</v>
      </c>
      <c r="AF263" s="204">
        <f t="shared" si="95"/>
        <v>0</v>
      </c>
      <c r="AG263" s="216">
        <v>1.65</v>
      </c>
      <c r="AH263" s="46"/>
      <c r="AI263" s="47"/>
      <c r="AK263" s="49"/>
    </row>
    <row r="264" spans="1:37" x14ac:dyDescent="0.25">
      <c r="A264" s="73" t="s">
        <v>315</v>
      </c>
      <c r="B264" s="191">
        <v>0</v>
      </c>
      <c r="C264" s="191">
        <f t="shared" si="96"/>
        <v>0</v>
      </c>
      <c r="D264" s="191">
        <f t="shared" si="96"/>
        <v>0</v>
      </c>
      <c r="E264" s="191">
        <f t="shared" si="96"/>
        <v>0</v>
      </c>
      <c r="F264" s="191">
        <f t="shared" si="96"/>
        <v>0</v>
      </c>
      <c r="G264" s="191">
        <f t="shared" si="96"/>
        <v>0</v>
      </c>
      <c r="H264" s="191">
        <f t="shared" si="96"/>
        <v>0</v>
      </c>
      <c r="I264" s="191">
        <f t="shared" si="96"/>
        <v>0</v>
      </c>
      <c r="J264" s="191">
        <f t="shared" si="96"/>
        <v>0</v>
      </c>
      <c r="K264" s="191">
        <f t="shared" si="96"/>
        <v>0</v>
      </c>
      <c r="L264" s="191">
        <f t="shared" si="96"/>
        <v>0</v>
      </c>
      <c r="M264" s="191">
        <f t="shared" si="96"/>
        <v>0</v>
      </c>
      <c r="N264" s="191">
        <f t="shared" si="96"/>
        <v>0</v>
      </c>
      <c r="O264" s="191">
        <f t="shared" si="96"/>
        <v>0</v>
      </c>
      <c r="P264" s="191">
        <f t="shared" si="96"/>
        <v>0</v>
      </c>
      <c r="Q264" s="191">
        <f t="shared" si="96"/>
        <v>0</v>
      </c>
      <c r="R264" s="191">
        <f t="shared" si="96"/>
        <v>0</v>
      </c>
      <c r="S264" s="191">
        <f t="shared" si="95"/>
        <v>0</v>
      </c>
      <c r="T264" s="191">
        <f t="shared" si="95"/>
        <v>0</v>
      </c>
      <c r="U264" s="191">
        <f t="shared" si="95"/>
        <v>0</v>
      </c>
      <c r="V264" s="191">
        <f t="shared" si="95"/>
        <v>0</v>
      </c>
      <c r="W264" s="191">
        <f t="shared" si="95"/>
        <v>0</v>
      </c>
      <c r="X264" s="191">
        <f t="shared" si="95"/>
        <v>0</v>
      </c>
      <c r="Y264" s="191">
        <f t="shared" si="95"/>
        <v>0</v>
      </c>
      <c r="Z264" s="191">
        <f t="shared" si="95"/>
        <v>0</v>
      </c>
      <c r="AA264" s="191">
        <f t="shared" si="95"/>
        <v>0</v>
      </c>
      <c r="AB264" s="191">
        <f t="shared" si="95"/>
        <v>0</v>
      </c>
      <c r="AC264" s="191">
        <f t="shared" si="95"/>
        <v>0</v>
      </c>
      <c r="AD264" s="191">
        <f t="shared" si="95"/>
        <v>0</v>
      </c>
      <c r="AE264" s="191">
        <f t="shared" si="95"/>
        <v>0</v>
      </c>
      <c r="AF264" s="204">
        <f t="shared" si="95"/>
        <v>0</v>
      </c>
      <c r="AG264" s="216">
        <v>1.5</v>
      </c>
      <c r="AH264" s="46"/>
      <c r="AI264" s="47"/>
      <c r="AK264" s="49"/>
    </row>
    <row r="265" spans="1:37" x14ac:dyDescent="0.25">
      <c r="A265" s="73" t="s">
        <v>316</v>
      </c>
      <c r="B265" s="191">
        <v>0</v>
      </c>
      <c r="C265" s="191">
        <f t="shared" si="96"/>
        <v>0</v>
      </c>
      <c r="D265" s="191">
        <f t="shared" si="96"/>
        <v>0</v>
      </c>
      <c r="E265" s="191">
        <f t="shared" si="96"/>
        <v>0</v>
      </c>
      <c r="F265" s="191">
        <f t="shared" si="96"/>
        <v>0</v>
      </c>
      <c r="G265" s="191">
        <f t="shared" si="96"/>
        <v>0</v>
      </c>
      <c r="H265" s="191">
        <f t="shared" si="96"/>
        <v>0</v>
      </c>
      <c r="I265" s="191">
        <f t="shared" si="96"/>
        <v>0</v>
      </c>
      <c r="J265" s="191">
        <f t="shared" si="96"/>
        <v>0</v>
      </c>
      <c r="K265" s="191">
        <f t="shared" si="96"/>
        <v>0</v>
      </c>
      <c r="L265" s="191">
        <f t="shared" si="96"/>
        <v>0</v>
      </c>
      <c r="M265" s="191">
        <f t="shared" si="96"/>
        <v>0</v>
      </c>
      <c r="N265" s="191">
        <f t="shared" si="96"/>
        <v>0</v>
      </c>
      <c r="O265" s="191">
        <f t="shared" si="96"/>
        <v>0</v>
      </c>
      <c r="P265" s="191">
        <f t="shared" si="96"/>
        <v>0</v>
      </c>
      <c r="Q265" s="191">
        <f t="shared" si="96"/>
        <v>0</v>
      </c>
      <c r="R265" s="191">
        <f t="shared" si="96"/>
        <v>0</v>
      </c>
      <c r="S265" s="191">
        <f t="shared" ref="S265:AF274" si="97">R265</f>
        <v>0</v>
      </c>
      <c r="T265" s="191">
        <f t="shared" si="97"/>
        <v>0</v>
      </c>
      <c r="U265" s="191">
        <f t="shared" si="97"/>
        <v>0</v>
      </c>
      <c r="V265" s="191">
        <f t="shared" si="97"/>
        <v>0</v>
      </c>
      <c r="W265" s="191">
        <f t="shared" si="97"/>
        <v>0</v>
      </c>
      <c r="X265" s="191">
        <f t="shared" si="97"/>
        <v>0</v>
      </c>
      <c r="Y265" s="191">
        <f t="shared" si="97"/>
        <v>0</v>
      </c>
      <c r="Z265" s="191">
        <f t="shared" si="97"/>
        <v>0</v>
      </c>
      <c r="AA265" s="191">
        <f t="shared" si="97"/>
        <v>0</v>
      </c>
      <c r="AB265" s="191">
        <f t="shared" si="97"/>
        <v>0</v>
      </c>
      <c r="AC265" s="191">
        <f t="shared" si="97"/>
        <v>0</v>
      </c>
      <c r="AD265" s="191">
        <f t="shared" si="97"/>
        <v>0</v>
      </c>
      <c r="AE265" s="191">
        <f t="shared" si="97"/>
        <v>0</v>
      </c>
      <c r="AF265" s="204">
        <f t="shared" si="97"/>
        <v>0</v>
      </c>
      <c r="AG265" s="216">
        <v>0.998</v>
      </c>
      <c r="AH265" s="46"/>
      <c r="AI265" s="47"/>
      <c r="AK265" s="49"/>
    </row>
    <row r="266" spans="1:37" x14ac:dyDescent="0.25">
      <c r="A266" s="73" t="s">
        <v>317</v>
      </c>
      <c r="B266" s="191">
        <v>0</v>
      </c>
      <c r="C266" s="191">
        <f t="shared" ref="C266:R274" si="98">B266</f>
        <v>0</v>
      </c>
      <c r="D266" s="191">
        <f t="shared" si="98"/>
        <v>0</v>
      </c>
      <c r="E266" s="191">
        <f t="shared" si="98"/>
        <v>0</v>
      </c>
      <c r="F266" s="191">
        <f t="shared" si="98"/>
        <v>0</v>
      </c>
      <c r="G266" s="191">
        <f t="shared" si="98"/>
        <v>0</v>
      </c>
      <c r="H266" s="191">
        <f t="shared" si="98"/>
        <v>0</v>
      </c>
      <c r="I266" s="191">
        <f t="shared" si="98"/>
        <v>0</v>
      </c>
      <c r="J266" s="191">
        <f t="shared" si="98"/>
        <v>0</v>
      </c>
      <c r="K266" s="191">
        <f t="shared" si="98"/>
        <v>0</v>
      </c>
      <c r="L266" s="191">
        <f t="shared" si="98"/>
        <v>0</v>
      </c>
      <c r="M266" s="191">
        <f t="shared" si="98"/>
        <v>0</v>
      </c>
      <c r="N266" s="191">
        <f t="shared" si="98"/>
        <v>0</v>
      </c>
      <c r="O266" s="191">
        <f t="shared" si="98"/>
        <v>0</v>
      </c>
      <c r="P266" s="191">
        <f t="shared" si="98"/>
        <v>0</v>
      </c>
      <c r="Q266" s="191">
        <f t="shared" si="98"/>
        <v>0</v>
      </c>
      <c r="R266" s="191">
        <f t="shared" si="98"/>
        <v>0</v>
      </c>
      <c r="S266" s="191">
        <f t="shared" si="97"/>
        <v>0</v>
      </c>
      <c r="T266" s="191">
        <f t="shared" si="97"/>
        <v>0</v>
      </c>
      <c r="U266" s="191">
        <f t="shared" si="97"/>
        <v>0</v>
      </c>
      <c r="V266" s="191">
        <f t="shared" si="97"/>
        <v>0</v>
      </c>
      <c r="W266" s="191">
        <f t="shared" si="97"/>
        <v>0</v>
      </c>
      <c r="X266" s="191">
        <f t="shared" si="97"/>
        <v>0</v>
      </c>
      <c r="Y266" s="191">
        <f t="shared" si="97"/>
        <v>0</v>
      </c>
      <c r="Z266" s="191">
        <f t="shared" si="97"/>
        <v>0</v>
      </c>
      <c r="AA266" s="191">
        <f t="shared" si="97"/>
        <v>0</v>
      </c>
      <c r="AB266" s="191">
        <f t="shared" si="97"/>
        <v>0</v>
      </c>
      <c r="AC266" s="191">
        <f t="shared" si="97"/>
        <v>0</v>
      </c>
      <c r="AD266" s="191">
        <f t="shared" si="97"/>
        <v>0</v>
      </c>
      <c r="AE266" s="191">
        <f t="shared" si="97"/>
        <v>0</v>
      </c>
      <c r="AF266" s="204">
        <f t="shared" si="97"/>
        <v>0</v>
      </c>
      <c r="AG266" s="216">
        <v>0.997</v>
      </c>
      <c r="AH266" s="46"/>
      <c r="AI266" s="47"/>
      <c r="AK266" s="49"/>
    </row>
    <row r="267" spans="1:37" x14ac:dyDescent="0.25">
      <c r="A267" s="73" t="s">
        <v>318</v>
      </c>
      <c r="B267" s="191">
        <v>0</v>
      </c>
      <c r="C267" s="191">
        <f t="shared" si="98"/>
        <v>0</v>
      </c>
      <c r="D267" s="191">
        <f t="shared" si="98"/>
        <v>0</v>
      </c>
      <c r="E267" s="191">
        <f t="shared" si="98"/>
        <v>0</v>
      </c>
      <c r="F267" s="191">
        <f t="shared" si="98"/>
        <v>0</v>
      </c>
      <c r="G267" s="191">
        <f t="shared" si="98"/>
        <v>0</v>
      </c>
      <c r="H267" s="191">
        <f t="shared" si="98"/>
        <v>0</v>
      </c>
      <c r="I267" s="191">
        <f t="shared" si="98"/>
        <v>0</v>
      </c>
      <c r="J267" s="191">
        <f t="shared" si="98"/>
        <v>0</v>
      </c>
      <c r="K267" s="191">
        <f t="shared" si="98"/>
        <v>0</v>
      </c>
      <c r="L267" s="191">
        <f t="shared" si="98"/>
        <v>0</v>
      </c>
      <c r="M267" s="191">
        <f t="shared" si="98"/>
        <v>0</v>
      </c>
      <c r="N267" s="191">
        <f t="shared" si="98"/>
        <v>0</v>
      </c>
      <c r="O267" s="191">
        <f t="shared" si="98"/>
        <v>0</v>
      </c>
      <c r="P267" s="191">
        <f t="shared" si="98"/>
        <v>0</v>
      </c>
      <c r="Q267" s="191">
        <f t="shared" si="98"/>
        <v>0</v>
      </c>
      <c r="R267" s="191">
        <f t="shared" si="98"/>
        <v>0</v>
      </c>
      <c r="S267" s="191">
        <f t="shared" si="97"/>
        <v>0</v>
      </c>
      <c r="T267" s="191">
        <f t="shared" si="97"/>
        <v>0</v>
      </c>
      <c r="U267" s="191">
        <f t="shared" si="97"/>
        <v>0</v>
      </c>
      <c r="V267" s="191">
        <f t="shared" si="97"/>
        <v>0</v>
      </c>
      <c r="W267" s="191">
        <f t="shared" si="97"/>
        <v>0</v>
      </c>
      <c r="X267" s="191">
        <f t="shared" si="97"/>
        <v>0</v>
      </c>
      <c r="Y267" s="191">
        <f t="shared" si="97"/>
        <v>0</v>
      </c>
      <c r="Z267" s="191">
        <f t="shared" si="97"/>
        <v>0</v>
      </c>
      <c r="AA267" s="191">
        <f t="shared" si="97"/>
        <v>0</v>
      </c>
      <c r="AB267" s="191">
        <f t="shared" si="97"/>
        <v>0</v>
      </c>
      <c r="AC267" s="191">
        <f t="shared" si="97"/>
        <v>0</v>
      </c>
      <c r="AD267" s="191">
        <f t="shared" si="97"/>
        <v>0</v>
      </c>
      <c r="AE267" s="191">
        <f t="shared" si="97"/>
        <v>0</v>
      </c>
      <c r="AF267" s="204">
        <f t="shared" si="97"/>
        <v>0</v>
      </c>
      <c r="AG267" s="216">
        <v>0.997</v>
      </c>
      <c r="AH267" s="46"/>
      <c r="AI267" s="47"/>
      <c r="AK267" s="49"/>
    </row>
    <row r="268" spans="1:37" x14ac:dyDescent="0.25">
      <c r="A268" s="73" t="s">
        <v>319</v>
      </c>
      <c r="B268" s="191">
        <v>0</v>
      </c>
      <c r="C268" s="191">
        <f t="shared" si="98"/>
        <v>0</v>
      </c>
      <c r="D268" s="191">
        <f t="shared" si="98"/>
        <v>0</v>
      </c>
      <c r="E268" s="191">
        <f t="shared" si="98"/>
        <v>0</v>
      </c>
      <c r="F268" s="191">
        <f t="shared" si="98"/>
        <v>0</v>
      </c>
      <c r="G268" s="191">
        <f t="shared" si="98"/>
        <v>0</v>
      </c>
      <c r="H268" s="191">
        <f t="shared" si="98"/>
        <v>0</v>
      </c>
      <c r="I268" s="191">
        <f t="shared" si="98"/>
        <v>0</v>
      </c>
      <c r="J268" s="191">
        <f t="shared" si="98"/>
        <v>0</v>
      </c>
      <c r="K268" s="191">
        <f t="shared" si="98"/>
        <v>0</v>
      </c>
      <c r="L268" s="191">
        <f t="shared" si="98"/>
        <v>0</v>
      </c>
      <c r="M268" s="191">
        <f t="shared" si="98"/>
        <v>0</v>
      </c>
      <c r="N268" s="191">
        <f t="shared" si="98"/>
        <v>0</v>
      </c>
      <c r="O268" s="191">
        <f t="shared" si="98"/>
        <v>0</v>
      </c>
      <c r="P268" s="191">
        <f t="shared" si="98"/>
        <v>0</v>
      </c>
      <c r="Q268" s="191">
        <f t="shared" si="98"/>
        <v>0</v>
      </c>
      <c r="R268" s="191">
        <f t="shared" si="98"/>
        <v>0</v>
      </c>
      <c r="S268" s="191">
        <f t="shared" si="97"/>
        <v>0</v>
      </c>
      <c r="T268" s="191">
        <f t="shared" si="97"/>
        <v>0</v>
      </c>
      <c r="U268" s="191">
        <f t="shared" si="97"/>
        <v>0</v>
      </c>
      <c r="V268" s="191">
        <f t="shared" si="97"/>
        <v>0</v>
      </c>
      <c r="W268" s="191">
        <f t="shared" si="97"/>
        <v>0</v>
      </c>
      <c r="X268" s="191">
        <f t="shared" si="97"/>
        <v>0</v>
      </c>
      <c r="Y268" s="191">
        <f t="shared" si="97"/>
        <v>0</v>
      </c>
      <c r="Z268" s="191">
        <f t="shared" si="97"/>
        <v>0</v>
      </c>
      <c r="AA268" s="191">
        <f t="shared" si="97"/>
        <v>0</v>
      </c>
      <c r="AB268" s="191">
        <f t="shared" si="97"/>
        <v>0</v>
      </c>
      <c r="AC268" s="191">
        <f t="shared" si="97"/>
        <v>0</v>
      </c>
      <c r="AD268" s="191">
        <f t="shared" si="97"/>
        <v>0</v>
      </c>
      <c r="AE268" s="191">
        <f t="shared" si="97"/>
        <v>0</v>
      </c>
      <c r="AF268" s="204">
        <f t="shared" si="97"/>
        <v>0</v>
      </c>
      <c r="AG268" s="216">
        <v>0.996</v>
      </c>
      <c r="AH268" s="46"/>
      <c r="AI268" s="47"/>
      <c r="AK268" s="49"/>
    </row>
    <row r="269" spans="1:37" x14ac:dyDescent="0.25">
      <c r="A269" s="73" t="s">
        <v>320</v>
      </c>
      <c r="B269" s="191">
        <v>0</v>
      </c>
      <c r="C269" s="191">
        <f t="shared" si="98"/>
        <v>0</v>
      </c>
      <c r="D269" s="191">
        <f t="shared" si="98"/>
        <v>0</v>
      </c>
      <c r="E269" s="191">
        <f t="shared" si="98"/>
        <v>0</v>
      </c>
      <c r="F269" s="191">
        <f t="shared" si="98"/>
        <v>0</v>
      </c>
      <c r="G269" s="191">
        <f t="shared" si="98"/>
        <v>0</v>
      </c>
      <c r="H269" s="191">
        <f t="shared" si="98"/>
        <v>0</v>
      </c>
      <c r="I269" s="191">
        <f t="shared" si="98"/>
        <v>0</v>
      </c>
      <c r="J269" s="191">
        <f t="shared" si="98"/>
        <v>0</v>
      </c>
      <c r="K269" s="191">
        <f t="shared" si="98"/>
        <v>0</v>
      </c>
      <c r="L269" s="191">
        <f t="shared" si="98"/>
        <v>0</v>
      </c>
      <c r="M269" s="191">
        <f t="shared" si="98"/>
        <v>0</v>
      </c>
      <c r="N269" s="191">
        <f t="shared" si="98"/>
        <v>0</v>
      </c>
      <c r="O269" s="191">
        <f t="shared" si="98"/>
        <v>0</v>
      </c>
      <c r="P269" s="191">
        <f t="shared" si="98"/>
        <v>0</v>
      </c>
      <c r="Q269" s="191">
        <f t="shared" si="98"/>
        <v>0</v>
      </c>
      <c r="R269" s="191">
        <f t="shared" si="98"/>
        <v>0</v>
      </c>
      <c r="S269" s="191">
        <f t="shared" si="97"/>
        <v>0</v>
      </c>
      <c r="T269" s="191">
        <f t="shared" si="97"/>
        <v>0</v>
      </c>
      <c r="U269" s="191">
        <f t="shared" si="97"/>
        <v>0</v>
      </c>
      <c r="V269" s="191">
        <f t="shared" si="97"/>
        <v>0</v>
      </c>
      <c r="W269" s="191">
        <f t="shared" si="97"/>
        <v>0</v>
      </c>
      <c r="X269" s="191">
        <f t="shared" si="97"/>
        <v>0</v>
      </c>
      <c r="Y269" s="191">
        <f t="shared" si="97"/>
        <v>0</v>
      </c>
      <c r="Z269" s="191">
        <f t="shared" si="97"/>
        <v>0</v>
      </c>
      <c r="AA269" s="191">
        <f t="shared" si="97"/>
        <v>0</v>
      </c>
      <c r="AB269" s="191">
        <f t="shared" si="97"/>
        <v>0</v>
      </c>
      <c r="AC269" s="191">
        <f t="shared" si="97"/>
        <v>0</v>
      </c>
      <c r="AD269" s="191">
        <f t="shared" si="97"/>
        <v>0</v>
      </c>
      <c r="AE269" s="191">
        <f t="shared" si="97"/>
        <v>0</v>
      </c>
      <c r="AF269" s="204">
        <f t="shared" si="97"/>
        <v>0</v>
      </c>
      <c r="AG269" s="216">
        <v>0.996</v>
      </c>
      <c r="AH269" s="46"/>
      <c r="AI269" s="47"/>
    </row>
    <row r="270" spans="1:37" x14ac:dyDescent="0.25">
      <c r="A270" s="73" t="s">
        <v>321</v>
      </c>
      <c r="B270" s="191">
        <v>0</v>
      </c>
      <c r="C270" s="191">
        <f t="shared" si="98"/>
        <v>0</v>
      </c>
      <c r="D270" s="191">
        <f t="shared" si="98"/>
        <v>0</v>
      </c>
      <c r="E270" s="191">
        <f t="shared" si="98"/>
        <v>0</v>
      </c>
      <c r="F270" s="191">
        <f t="shared" si="98"/>
        <v>0</v>
      </c>
      <c r="G270" s="191">
        <f t="shared" si="98"/>
        <v>0</v>
      </c>
      <c r="H270" s="191">
        <f t="shared" si="98"/>
        <v>0</v>
      </c>
      <c r="I270" s="191">
        <f t="shared" si="98"/>
        <v>0</v>
      </c>
      <c r="J270" s="191">
        <f t="shared" si="98"/>
        <v>0</v>
      </c>
      <c r="K270" s="191">
        <f t="shared" si="98"/>
        <v>0</v>
      </c>
      <c r="L270" s="191">
        <f t="shared" si="98"/>
        <v>0</v>
      </c>
      <c r="M270" s="191">
        <f t="shared" si="98"/>
        <v>0</v>
      </c>
      <c r="N270" s="191">
        <f t="shared" si="98"/>
        <v>0</v>
      </c>
      <c r="O270" s="191">
        <f t="shared" si="98"/>
        <v>0</v>
      </c>
      <c r="P270" s="191">
        <f t="shared" si="98"/>
        <v>0</v>
      </c>
      <c r="Q270" s="191">
        <f t="shared" si="98"/>
        <v>0</v>
      </c>
      <c r="R270" s="191">
        <f t="shared" si="98"/>
        <v>0</v>
      </c>
      <c r="S270" s="191">
        <f t="shared" si="97"/>
        <v>0</v>
      </c>
      <c r="T270" s="191">
        <f t="shared" si="97"/>
        <v>0</v>
      </c>
      <c r="U270" s="191">
        <f t="shared" si="97"/>
        <v>0</v>
      </c>
      <c r="V270" s="191">
        <f t="shared" si="97"/>
        <v>0</v>
      </c>
      <c r="W270" s="191">
        <f t="shared" si="97"/>
        <v>0</v>
      </c>
      <c r="X270" s="191">
        <f t="shared" si="97"/>
        <v>0</v>
      </c>
      <c r="Y270" s="191">
        <f t="shared" si="97"/>
        <v>0</v>
      </c>
      <c r="Z270" s="191">
        <f t="shared" si="97"/>
        <v>0</v>
      </c>
      <c r="AA270" s="191">
        <f t="shared" si="97"/>
        <v>0</v>
      </c>
      <c r="AB270" s="191">
        <f t="shared" si="97"/>
        <v>0</v>
      </c>
      <c r="AC270" s="191">
        <f t="shared" si="97"/>
        <v>0</v>
      </c>
      <c r="AD270" s="191">
        <f t="shared" si="97"/>
        <v>0</v>
      </c>
      <c r="AE270" s="191">
        <f t="shared" si="97"/>
        <v>0</v>
      </c>
      <c r="AF270" s="204">
        <f t="shared" si="97"/>
        <v>0</v>
      </c>
      <c r="AG270" s="216">
        <v>0.996</v>
      </c>
      <c r="AH270" s="46"/>
      <c r="AI270" s="47"/>
    </row>
    <row r="271" spans="1:37" x14ac:dyDescent="0.25">
      <c r="A271" s="73" t="s">
        <v>322</v>
      </c>
      <c r="B271" s="191">
        <v>0</v>
      </c>
      <c r="C271" s="191">
        <f t="shared" si="98"/>
        <v>0</v>
      </c>
      <c r="D271" s="191">
        <f t="shared" si="98"/>
        <v>0</v>
      </c>
      <c r="E271" s="191">
        <f t="shared" si="98"/>
        <v>0</v>
      </c>
      <c r="F271" s="191">
        <f t="shared" si="98"/>
        <v>0</v>
      </c>
      <c r="G271" s="191">
        <f t="shared" si="98"/>
        <v>0</v>
      </c>
      <c r="H271" s="191">
        <f t="shared" si="98"/>
        <v>0</v>
      </c>
      <c r="I271" s="191">
        <f t="shared" si="98"/>
        <v>0</v>
      </c>
      <c r="J271" s="191">
        <f t="shared" si="98"/>
        <v>0</v>
      </c>
      <c r="K271" s="191">
        <f t="shared" si="98"/>
        <v>0</v>
      </c>
      <c r="L271" s="191">
        <f t="shared" si="98"/>
        <v>0</v>
      </c>
      <c r="M271" s="191">
        <f t="shared" si="98"/>
        <v>0</v>
      </c>
      <c r="N271" s="191">
        <f t="shared" si="98"/>
        <v>0</v>
      </c>
      <c r="O271" s="191">
        <f t="shared" si="98"/>
        <v>0</v>
      </c>
      <c r="P271" s="191">
        <f t="shared" si="98"/>
        <v>0</v>
      </c>
      <c r="Q271" s="191">
        <f t="shared" si="98"/>
        <v>0</v>
      </c>
      <c r="R271" s="191">
        <f t="shared" si="98"/>
        <v>0</v>
      </c>
      <c r="S271" s="191">
        <f t="shared" si="97"/>
        <v>0</v>
      </c>
      <c r="T271" s="191">
        <f t="shared" si="97"/>
        <v>0</v>
      </c>
      <c r="U271" s="191">
        <f t="shared" si="97"/>
        <v>0</v>
      </c>
      <c r="V271" s="191">
        <f t="shared" si="97"/>
        <v>0</v>
      </c>
      <c r="W271" s="191">
        <f t="shared" si="97"/>
        <v>0</v>
      </c>
      <c r="X271" s="191">
        <f t="shared" si="97"/>
        <v>0</v>
      </c>
      <c r="Y271" s="191">
        <f t="shared" si="97"/>
        <v>0</v>
      </c>
      <c r="Z271" s="191">
        <f t="shared" si="97"/>
        <v>0</v>
      </c>
      <c r="AA271" s="191">
        <f t="shared" si="97"/>
        <v>0</v>
      </c>
      <c r="AB271" s="191">
        <f t="shared" si="97"/>
        <v>0</v>
      </c>
      <c r="AC271" s="191">
        <f t="shared" si="97"/>
        <v>0</v>
      </c>
      <c r="AD271" s="191">
        <f t="shared" si="97"/>
        <v>0</v>
      </c>
      <c r="AE271" s="191">
        <f t="shared" si="97"/>
        <v>0</v>
      </c>
      <c r="AF271" s="204">
        <f t="shared" si="97"/>
        <v>0</v>
      </c>
      <c r="AG271" s="216">
        <v>0.995</v>
      </c>
      <c r="AH271" s="46"/>
      <c r="AI271" s="47"/>
    </row>
    <row r="272" spans="1:37" x14ac:dyDescent="0.25">
      <c r="A272" s="73" t="s">
        <v>323</v>
      </c>
      <c r="B272" s="191">
        <v>0</v>
      </c>
      <c r="C272" s="191">
        <f t="shared" si="98"/>
        <v>0</v>
      </c>
      <c r="D272" s="191">
        <f t="shared" si="98"/>
        <v>0</v>
      </c>
      <c r="E272" s="191">
        <f t="shared" si="98"/>
        <v>0</v>
      </c>
      <c r="F272" s="191">
        <f t="shared" si="98"/>
        <v>0</v>
      </c>
      <c r="G272" s="191">
        <f t="shared" si="98"/>
        <v>0</v>
      </c>
      <c r="H272" s="191">
        <f t="shared" si="98"/>
        <v>0</v>
      </c>
      <c r="I272" s="191">
        <f t="shared" si="98"/>
        <v>0</v>
      </c>
      <c r="J272" s="191">
        <f t="shared" si="98"/>
        <v>0</v>
      </c>
      <c r="K272" s="191">
        <f t="shared" si="98"/>
        <v>0</v>
      </c>
      <c r="L272" s="191">
        <f t="shared" si="98"/>
        <v>0</v>
      </c>
      <c r="M272" s="191">
        <f t="shared" si="98"/>
        <v>0</v>
      </c>
      <c r="N272" s="191">
        <f t="shared" si="98"/>
        <v>0</v>
      </c>
      <c r="O272" s="191">
        <f t="shared" si="98"/>
        <v>0</v>
      </c>
      <c r="P272" s="191">
        <f t="shared" si="98"/>
        <v>0</v>
      </c>
      <c r="Q272" s="191">
        <f t="shared" si="98"/>
        <v>0</v>
      </c>
      <c r="R272" s="191">
        <f t="shared" si="98"/>
        <v>0</v>
      </c>
      <c r="S272" s="191">
        <f t="shared" si="97"/>
        <v>0</v>
      </c>
      <c r="T272" s="191">
        <f t="shared" si="97"/>
        <v>0</v>
      </c>
      <c r="U272" s="191">
        <f t="shared" si="97"/>
        <v>0</v>
      </c>
      <c r="V272" s="191">
        <f t="shared" si="97"/>
        <v>0</v>
      </c>
      <c r="W272" s="191">
        <f t="shared" si="97"/>
        <v>0</v>
      </c>
      <c r="X272" s="191">
        <f t="shared" si="97"/>
        <v>0</v>
      </c>
      <c r="Y272" s="191">
        <f t="shared" si="97"/>
        <v>0</v>
      </c>
      <c r="Z272" s="191">
        <f t="shared" si="97"/>
        <v>0</v>
      </c>
      <c r="AA272" s="191">
        <f t="shared" si="97"/>
        <v>0</v>
      </c>
      <c r="AB272" s="191">
        <f t="shared" si="97"/>
        <v>0</v>
      </c>
      <c r="AC272" s="191">
        <f t="shared" si="97"/>
        <v>0</v>
      </c>
      <c r="AD272" s="191">
        <f t="shared" si="97"/>
        <v>0</v>
      </c>
      <c r="AE272" s="191">
        <f t="shared" si="97"/>
        <v>0</v>
      </c>
      <c r="AF272" s="204">
        <f t="shared" si="97"/>
        <v>0</v>
      </c>
      <c r="AG272" s="216">
        <v>0.99299999999999999</v>
      </c>
      <c r="AH272" s="46"/>
      <c r="AI272" s="47"/>
    </row>
    <row r="273" spans="1:35" x14ac:dyDescent="0.25">
      <c r="A273" s="73" t="s">
        <v>324</v>
      </c>
      <c r="B273" s="191">
        <v>0</v>
      </c>
      <c r="C273" s="191">
        <f t="shared" si="98"/>
        <v>0</v>
      </c>
      <c r="D273" s="191">
        <f t="shared" si="98"/>
        <v>0</v>
      </c>
      <c r="E273" s="191">
        <f t="shared" si="98"/>
        <v>0</v>
      </c>
      <c r="F273" s="191">
        <f t="shared" si="98"/>
        <v>0</v>
      </c>
      <c r="G273" s="191">
        <f t="shared" si="98"/>
        <v>0</v>
      </c>
      <c r="H273" s="191">
        <f t="shared" si="98"/>
        <v>0</v>
      </c>
      <c r="I273" s="191">
        <f t="shared" si="98"/>
        <v>0</v>
      </c>
      <c r="J273" s="191">
        <f t="shared" si="98"/>
        <v>0</v>
      </c>
      <c r="K273" s="191">
        <f t="shared" si="98"/>
        <v>0</v>
      </c>
      <c r="L273" s="191">
        <f t="shared" si="98"/>
        <v>0</v>
      </c>
      <c r="M273" s="191">
        <f t="shared" si="98"/>
        <v>0</v>
      </c>
      <c r="N273" s="191">
        <f t="shared" si="98"/>
        <v>0</v>
      </c>
      <c r="O273" s="191">
        <f t="shared" si="98"/>
        <v>0</v>
      </c>
      <c r="P273" s="191">
        <f t="shared" si="98"/>
        <v>0</v>
      </c>
      <c r="Q273" s="191">
        <f t="shared" si="98"/>
        <v>0</v>
      </c>
      <c r="R273" s="191">
        <f t="shared" si="98"/>
        <v>0</v>
      </c>
      <c r="S273" s="191">
        <f t="shared" si="97"/>
        <v>0</v>
      </c>
      <c r="T273" s="191">
        <f t="shared" si="97"/>
        <v>0</v>
      </c>
      <c r="U273" s="191">
        <f t="shared" si="97"/>
        <v>0</v>
      </c>
      <c r="V273" s="191">
        <f t="shared" si="97"/>
        <v>0</v>
      </c>
      <c r="W273" s="191">
        <f t="shared" si="97"/>
        <v>0</v>
      </c>
      <c r="X273" s="191">
        <f t="shared" si="97"/>
        <v>0</v>
      </c>
      <c r="Y273" s="191">
        <f t="shared" si="97"/>
        <v>0</v>
      </c>
      <c r="Z273" s="191">
        <f t="shared" si="97"/>
        <v>0</v>
      </c>
      <c r="AA273" s="191">
        <f t="shared" si="97"/>
        <v>0</v>
      </c>
      <c r="AB273" s="191">
        <f t="shared" si="97"/>
        <v>0</v>
      </c>
      <c r="AC273" s="191">
        <f t="shared" si="97"/>
        <v>0</v>
      </c>
      <c r="AD273" s="191">
        <f t="shared" si="97"/>
        <v>0</v>
      </c>
      <c r="AE273" s="191">
        <f t="shared" si="97"/>
        <v>0</v>
      </c>
      <c r="AF273" s="204">
        <f t="shared" si="97"/>
        <v>0</v>
      </c>
      <c r="AG273" s="216">
        <v>0.99</v>
      </c>
      <c r="AH273" s="46"/>
      <c r="AI273" s="47"/>
    </row>
    <row r="274" spans="1:35" ht="15.75" thickBot="1" x14ac:dyDescent="0.3">
      <c r="A274" s="73" t="s">
        <v>325</v>
      </c>
      <c r="B274" s="217">
        <v>0</v>
      </c>
      <c r="C274" s="217">
        <f t="shared" si="98"/>
        <v>0</v>
      </c>
      <c r="D274" s="217">
        <f t="shared" si="98"/>
        <v>0</v>
      </c>
      <c r="E274" s="217">
        <f t="shared" si="98"/>
        <v>0</v>
      </c>
      <c r="F274" s="217">
        <f t="shared" si="98"/>
        <v>0</v>
      </c>
      <c r="G274" s="217">
        <f t="shared" si="98"/>
        <v>0</v>
      </c>
      <c r="H274" s="217">
        <f t="shared" si="98"/>
        <v>0</v>
      </c>
      <c r="I274" s="217">
        <f t="shared" si="98"/>
        <v>0</v>
      </c>
      <c r="J274" s="217">
        <f t="shared" si="98"/>
        <v>0</v>
      </c>
      <c r="K274" s="217">
        <f t="shared" si="98"/>
        <v>0</v>
      </c>
      <c r="L274" s="217">
        <f t="shared" si="98"/>
        <v>0</v>
      </c>
      <c r="M274" s="217">
        <f t="shared" si="98"/>
        <v>0</v>
      </c>
      <c r="N274" s="217">
        <f t="shared" si="98"/>
        <v>0</v>
      </c>
      <c r="O274" s="217">
        <f t="shared" si="98"/>
        <v>0</v>
      </c>
      <c r="P274" s="217">
        <f t="shared" si="98"/>
        <v>0</v>
      </c>
      <c r="Q274" s="217">
        <f t="shared" si="98"/>
        <v>0</v>
      </c>
      <c r="R274" s="217">
        <f t="shared" si="98"/>
        <v>0</v>
      </c>
      <c r="S274" s="217">
        <f t="shared" si="97"/>
        <v>0</v>
      </c>
      <c r="T274" s="217">
        <f t="shared" si="97"/>
        <v>0</v>
      </c>
      <c r="U274" s="217">
        <f t="shared" si="97"/>
        <v>0</v>
      </c>
      <c r="V274" s="217">
        <f t="shared" si="97"/>
        <v>0</v>
      </c>
      <c r="W274" s="217">
        <f t="shared" si="97"/>
        <v>0</v>
      </c>
      <c r="X274" s="217">
        <f t="shared" si="97"/>
        <v>0</v>
      </c>
      <c r="Y274" s="217">
        <f t="shared" si="97"/>
        <v>0</v>
      </c>
      <c r="Z274" s="217">
        <f t="shared" si="97"/>
        <v>0</v>
      </c>
      <c r="AA274" s="217">
        <f t="shared" si="97"/>
        <v>0</v>
      </c>
      <c r="AB274" s="217">
        <f t="shared" si="97"/>
        <v>0</v>
      </c>
      <c r="AC274" s="217">
        <f t="shared" si="97"/>
        <v>0</v>
      </c>
      <c r="AD274" s="217">
        <f t="shared" si="97"/>
        <v>0</v>
      </c>
      <c r="AE274" s="217">
        <f t="shared" si="97"/>
        <v>0</v>
      </c>
      <c r="AF274" s="218">
        <f t="shared" si="97"/>
        <v>0</v>
      </c>
      <c r="AG274" s="216">
        <v>0.97899999999999998</v>
      </c>
      <c r="AH274" s="46"/>
      <c r="AI274" s="47"/>
    </row>
    <row r="275" spans="1:35" ht="15.75" thickBot="1" x14ac:dyDescent="0.3">
      <c r="A275" s="219" t="s">
        <v>326</v>
      </c>
      <c r="B275" s="220">
        <f t="shared" ref="B275:AG275" si="99">SUM(B170:B274)</f>
        <v>0</v>
      </c>
      <c r="C275" s="220">
        <f t="shared" si="99"/>
        <v>0</v>
      </c>
      <c r="D275" s="220">
        <f t="shared" si="99"/>
        <v>0</v>
      </c>
      <c r="E275" s="220">
        <f t="shared" si="99"/>
        <v>0</v>
      </c>
      <c r="F275" s="220">
        <f t="shared" si="99"/>
        <v>0</v>
      </c>
      <c r="G275" s="220">
        <f t="shared" si="99"/>
        <v>0</v>
      </c>
      <c r="H275" s="220">
        <f t="shared" si="99"/>
        <v>0</v>
      </c>
      <c r="I275" s="220">
        <f t="shared" si="99"/>
        <v>0</v>
      </c>
      <c r="J275" s="220">
        <f t="shared" si="99"/>
        <v>0</v>
      </c>
      <c r="K275" s="220">
        <f t="shared" si="99"/>
        <v>0</v>
      </c>
      <c r="L275" s="220">
        <f t="shared" si="99"/>
        <v>0</v>
      </c>
      <c r="M275" s="220">
        <f t="shared" si="99"/>
        <v>0</v>
      </c>
      <c r="N275" s="220">
        <f t="shared" si="99"/>
        <v>0</v>
      </c>
      <c r="O275" s="220">
        <f t="shared" si="99"/>
        <v>0</v>
      </c>
      <c r="P275" s="220">
        <f t="shared" si="99"/>
        <v>0</v>
      </c>
      <c r="Q275" s="220">
        <f t="shared" si="99"/>
        <v>0</v>
      </c>
      <c r="R275" s="220">
        <f t="shared" si="99"/>
        <v>0</v>
      </c>
      <c r="S275" s="220">
        <f t="shared" si="99"/>
        <v>0</v>
      </c>
      <c r="T275" s="220">
        <f t="shared" si="99"/>
        <v>0</v>
      </c>
      <c r="U275" s="220">
        <f t="shared" si="99"/>
        <v>0</v>
      </c>
      <c r="V275" s="220">
        <f t="shared" si="99"/>
        <v>0</v>
      </c>
      <c r="W275" s="220">
        <f t="shared" si="99"/>
        <v>0</v>
      </c>
      <c r="X275" s="220">
        <f t="shared" si="99"/>
        <v>0</v>
      </c>
      <c r="Y275" s="220">
        <f t="shared" si="99"/>
        <v>0</v>
      </c>
      <c r="Z275" s="220">
        <f t="shared" si="99"/>
        <v>0</v>
      </c>
      <c r="AA275" s="220">
        <f t="shared" si="99"/>
        <v>0</v>
      </c>
      <c r="AB275" s="220">
        <f t="shared" si="99"/>
        <v>0</v>
      </c>
      <c r="AC275" s="220">
        <f t="shared" si="99"/>
        <v>0</v>
      </c>
      <c r="AD275" s="220">
        <f t="shared" si="99"/>
        <v>0</v>
      </c>
      <c r="AE275" s="220">
        <f t="shared" si="99"/>
        <v>0</v>
      </c>
      <c r="AF275" s="221">
        <f t="shared" si="99"/>
        <v>0</v>
      </c>
      <c r="AG275" s="222">
        <f t="shared" si="99"/>
        <v>412.72299999999984</v>
      </c>
      <c r="AH275" s="46"/>
      <c r="AI275" s="47"/>
    </row>
    <row r="276" spans="1:35" x14ac:dyDescent="0.25">
      <c r="B276" s="51"/>
      <c r="C276" s="51"/>
      <c r="D276" s="51"/>
      <c r="E276" s="51"/>
      <c r="F276" s="51"/>
      <c r="G276" s="51"/>
      <c r="H276" s="51"/>
      <c r="I276" s="51"/>
      <c r="J276" s="51"/>
      <c r="K276" s="51"/>
      <c r="L276" s="51"/>
      <c r="M276" s="51"/>
      <c r="N276" s="51"/>
      <c r="O276" s="51"/>
      <c r="P276" s="51"/>
      <c r="Q276" s="51"/>
      <c r="R276" s="51"/>
      <c r="S276" s="51"/>
      <c r="T276" s="51"/>
      <c r="U276" s="51"/>
      <c r="V276" s="51"/>
      <c r="W276" s="51"/>
      <c r="X276" s="51"/>
      <c r="Y276" s="51"/>
      <c r="Z276" s="51"/>
      <c r="AA276" s="51"/>
      <c r="AB276" s="51"/>
      <c r="AC276" s="51"/>
      <c r="AD276" s="51"/>
      <c r="AE276" s="51"/>
      <c r="AF276" s="51"/>
      <c r="AG276" s="176"/>
      <c r="AH276" s="51"/>
    </row>
    <row r="277" spans="1:35" ht="12.75" customHeight="1" x14ac:dyDescent="0.25">
      <c r="B277" s="51"/>
      <c r="C277" s="51"/>
      <c r="D277" s="51"/>
      <c r="E277" s="51"/>
      <c r="F277" s="51"/>
      <c r="G277" s="51"/>
      <c r="H277" s="51"/>
      <c r="I277" s="51"/>
      <c r="J277" s="51"/>
      <c r="K277" s="51"/>
      <c r="L277" s="51"/>
      <c r="M277" s="51"/>
      <c r="N277" s="51"/>
      <c r="O277" s="51"/>
      <c r="P277" s="51"/>
      <c r="Q277" s="51"/>
      <c r="R277" s="51"/>
      <c r="S277" s="51"/>
      <c r="T277" s="51"/>
      <c r="U277" s="51"/>
      <c r="V277" s="51"/>
      <c r="W277" s="51"/>
      <c r="X277" s="51"/>
      <c r="Y277" s="51"/>
      <c r="Z277" s="51"/>
      <c r="AA277" s="51"/>
      <c r="AB277" s="51"/>
      <c r="AC277" s="51"/>
      <c r="AD277" s="51"/>
      <c r="AE277" s="51"/>
      <c r="AF277" s="51"/>
      <c r="AG277" s="51"/>
      <c r="AH277" s="51"/>
    </row>
    <row r="278" spans="1:35" x14ac:dyDescent="0.25">
      <c r="A278" s="51"/>
      <c r="B278" s="51"/>
      <c r="C278" s="51"/>
      <c r="D278" s="51"/>
      <c r="E278" s="51"/>
      <c r="F278" s="51"/>
      <c r="G278" s="51"/>
      <c r="H278" s="51"/>
      <c r="I278" s="51"/>
      <c r="J278" s="51"/>
      <c r="K278" s="51"/>
      <c r="L278" s="51"/>
      <c r="M278" s="51"/>
      <c r="N278" s="51"/>
      <c r="O278" s="51"/>
      <c r="P278" s="51"/>
      <c r="Q278" s="51"/>
      <c r="R278" s="51"/>
      <c r="S278" s="51"/>
      <c r="T278" s="51"/>
      <c r="U278" s="51"/>
      <c r="V278" s="51"/>
      <c r="W278" s="51"/>
      <c r="X278" s="51"/>
      <c r="Y278" s="51"/>
      <c r="Z278" s="51"/>
      <c r="AA278" s="51"/>
      <c r="AB278" s="51"/>
      <c r="AC278" s="51"/>
      <c r="AD278" s="51"/>
      <c r="AE278" s="51"/>
      <c r="AF278" s="51"/>
      <c r="AG278" s="51"/>
      <c r="AH278" s="51"/>
    </row>
    <row r="279" spans="1:35" x14ac:dyDescent="0.25">
      <c r="B279" s="51"/>
      <c r="C279" s="51"/>
      <c r="D279" s="51"/>
      <c r="E279" s="51"/>
      <c r="F279" s="51"/>
      <c r="G279" s="51"/>
      <c r="H279" s="51"/>
      <c r="I279" s="51"/>
      <c r="J279" s="51"/>
      <c r="K279" s="51"/>
      <c r="L279" s="51"/>
      <c r="M279" s="51"/>
      <c r="N279" s="51"/>
      <c r="O279" s="51"/>
      <c r="P279" s="51"/>
      <c r="Q279" s="51"/>
      <c r="R279" s="51"/>
    </row>
    <row r="280" spans="1:35" x14ac:dyDescent="0.25">
      <c r="B280" s="51"/>
      <c r="C280" s="51"/>
      <c r="D280" s="51"/>
      <c r="E280" s="51"/>
      <c r="F280" s="51"/>
      <c r="G280" s="51"/>
      <c r="H280" s="51"/>
      <c r="I280" s="51"/>
      <c r="J280" s="51"/>
      <c r="K280" s="51"/>
      <c r="L280" s="51"/>
      <c r="M280" s="51"/>
      <c r="N280" s="51"/>
      <c r="O280" s="51"/>
      <c r="P280" s="51"/>
      <c r="Q280" s="51"/>
      <c r="R280" s="51"/>
    </row>
    <row r="281" spans="1:35" x14ac:dyDescent="0.25">
      <c r="B281" s="51"/>
      <c r="C281" s="51"/>
      <c r="D281" s="51"/>
      <c r="E281" s="51"/>
      <c r="F281" s="51"/>
      <c r="G281" s="51"/>
      <c r="H281" s="51"/>
      <c r="I281" s="51"/>
      <c r="J281" s="51"/>
      <c r="K281" s="51"/>
      <c r="L281" s="51"/>
      <c r="M281" s="51"/>
      <c r="N281" s="51"/>
      <c r="O281" s="51"/>
      <c r="P281" s="51"/>
      <c r="Q281" s="51"/>
      <c r="R281" s="51"/>
    </row>
    <row r="282" spans="1:35" x14ac:dyDescent="0.25">
      <c r="B282" s="51"/>
      <c r="C282" s="51"/>
      <c r="D282" s="51"/>
      <c r="E282" s="51"/>
      <c r="F282" s="51"/>
      <c r="G282" s="51"/>
      <c r="H282" s="51"/>
      <c r="I282" s="51"/>
      <c r="J282" s="51"/>
      <c r="K282" s="51"/>
      <c r="L282" s="51"/>
      <c r="M282" s="51"/>
      <c r="N282" s="51"/>
      <c r="O282" s="51"/>
      <c r="P282" s="51"/>
      <c r="Q282" s="51"/>
      <c r="R282" s="51"/>
      <c r="S282" s="51"/>
      <c r="T282" s="51"/>
      <c r="U282" s="51"/>
      <c r="V282" s="51"/>
      <c r="W282" s="51"/>
      <c r="X282" s="51"/>
      <c r="Y282" s="51"/>
      <c r="Z282" s="51"/>
      <c r="AA282" s="51"/>
      <c r="AB282" s="51"/>
      <c r="AC282" s="51"/>
      <c r="AD282" s="51"/>
      <c r="AE282" s="51"/>
      <c r="AF282" s="51"/>
      <c r="AG282" s="51"/>
      <c r="AH282" s="51"/>
    </row>
    <row r="283" spans="1:35" x14ac:dyDescent="0.25">
      <c r="B283" s="51"/>
      <c r="C283" s="51"/>
      <c r="D283" s="51"/>
      <c r="E283" s="51"/>
      <c r="F283" s="51"/>
      <c r="G283" s="51"/>
      <c r="H283" s="51"/>
      <c r="I283" s="51"/>
      <c r="J283" s="51"/>
      <c r="K283" s="51"/>
      <c r="L283" s="51"/>
      <c r="M283" s="51"/>
      <c r="N283" s="51"/>
      <c r="O283" s="51"/>
      <c r="P283" s="51"/>
      <c r="Q283" s="51"/>
      <c r="R283" s="51"/>
      <c r="S283" s="51"/>
      <c r="T283" s="51"/>
      <c r="U283" s="51"/>
      <c r="V283" s="51"/>
      <c r="W283" s="51"/>
      <c r="X283" s="51"/>
      <c r="Y283" s="51"/>
      <c r="Z283" s="51"/>
      <c r="AA283" s="51"/>
      <c r="AB283" s="51"/>
      <c r="AC283" s="51"/>
      <c r="AD283" s="51"/>
      <c r="AE283" s="51"/>
      <c r="AF283" s="51"/>
      <c r="AG283" s="51"/>
      <c r="AH283" s="51"/>
    </row>
    <row r="284" spans="1:35" x14ac:dyDescent="0.25">
      <c r="B284" s="51"/>
      <c r="C284" s="51"/>
      <c r="D284" s="51"/>
      <c r="E284" s="51"/>
      <c r="F284" s="51"/>
      <c r="G284" s="51"/>
      <c r="H284" s="51"/>
      <c r="I284" s="51"/>
      <c r="J284" s="51"/>
      <c r="K284" s="51"/>
      <c r="L284" s="51"/>
      <c r="M284" s="51"/>
      <c r="N284" s="51"/>
      <c r="O284" s="51"/>
      <c r="P284" s="51"/>
      <c r="Q284" s="51"/>
      <c r="R284" s="51"/>
      <c r="S284" s="51"/>
      <c r="T284" s="51"/>
      <c r="U284" s="51"/>
      <c r="V284" s="51"/>
      <c r="W284" s="51"/>
      <c r="X284" s="51"/>
      <c r="Y284" s="51"/>
      <c r="Z284" s="51"/>
      <c r="AA284" s="51"/>
      <c r="AB284" s="51"/>
      <c r="AC284" s="51"/>
      <c r="AD284" s="51"/>
      <c r="AE284" s="51"/>
      <c r="AF284" s="51"/>
      <c r="AG284" s="51"/>
      <c r="AH284" s="51"/>
    </row>
    <row r="285" spans="1:35" x14ac:dyDescent="0.25">
      <c r="B285" s="51"/>
      <c r="C285" s="51"/>
      <c r="D285" s="51"/>
      <c r="E285" s="51"/>
      <c r="F285" s="51"/>
      <c r="G285" s="51"/>
      <c r="H285" s="51"/>
      <c r="I285" s="51"/>
      <c r="J285" s="51"/>
      <c r="K285" s="51"/>
      <c r="L285" s="51"/>
      <c r="M285" s="51"/>
      <c r="N285" s="51"/>
      <c r="O285" s="51"/>
      <c r="P285" s="51"/>
      <c r="Q285" s="51"/>
      <c r="R285" s="51"/>
      <c r="S285" s="51"/>
      <c r="T285" s="51"/>
      <c r="U285" s="51"/>
      <c r="V285" s="51"/>
      <c r="W285" s="51"/>
      <c r="X285" s="51"/>
      <c r="Y285" s="51"/>
      <c r="Z285" s="51"/>
      <c r="AA285" s="51"/>
      <c r="AB285" s="51"/>
      <c r="AC285" s="51"/>
      <c r="AD285" s="51"/>
      <c r="AE285" s="51"/>
      <c r="AF285" s="51"/>
      <c r="AG285" s="51"/>
      <c r="AH285" s="51"/>
    </row>
    <row r="286" spans="1:35" x14ac:dyDescent="0.25">
      <c r="B286" s="51"/>
      <c r="C286" s="51"/>
      <c r="D286" s="51"/>
      <c r="E286" s="51"/>
      <c r="F286" s="51"/>
      <c r="G286" s="51"/>
      <c r="H286" s="51"/>
      <c r="I286" s="51"/>
      <c r="J286" s="51"/>
      <c r="K286" s="51"/>
      <c r="L286" s="51"/>
      <c r="M286" s="51"/>
      <c r="N286" s="51"/>
      <c r="O286" s="51"/>
      <c r="P286" s="51"/>
      <c r="Q286" s="51"/>
      <c r="R286" s="51"/>
      <c r="S286" s="51"/>
      <c r="T286" s="51"/>
      <c r="U286" s="51"/>
      <c r="V286" s="51"/>
      <c r="W286" s="51"/>
      <c r="X286" s="51"/>
      <c r="Y286" s="51"/>
      <c r="Z286" s="51"/>
      <c r="AA286" s="51"/>
      <c r="AB286" s="51"/>
      <c r="AC286" s="51"/>
      <c r="AD286" s="51"/>
      <c r="AE286" s="51"/>
      <c r="AF286" s="51"/>
      <c r="AG286" s="51"/>
      <c r="AH286" s="51"/>
    </row>
    <row r="287" spans="1:35" x14ac:dyDescent="0.25">
      <c r="B287" s="51"/>
      <c r="C287" s="51"/>
      <c r="D287" s="51"/>
      <c r="E287" s="51"/>
      <c r="F287" s="51"/>
      <c r="G287" s="51"/>
      <c r="H287" s="51"/>
      <c r="I287" s="51"/>
      <c r="J287" s="51"/>
      <c r="K287" s="51"/>
      <c r="L287" s="51"/>
      <c r="M287" s="51"/>
      <c r="N287" s="51"/>
      <c r="O287" s="51"/>
      <c r="P287" s="51"/>
      <c r="Q287" s="51"/>
      <c r="R287" s="51"/>
      <c r="S287" s="51"/>
      <c r="T287" s="51"/>
      <c r="U287" s="51"/>
      <c r="V287" s="51"/>
      <c r="W287" s="51"/>
      <c r="X287" s="51"/>
      <c r="Y287" s="51"/>
      <c r="Z287" s="51"/>
      <c r="AA287" s="51"/>
      <c r="AB287" s="51"/>
      <c r="AC287" s="51"/>
      <c r="AD287" s="51"/>
      <c r="AE287" s="51"/>
      <c r="AF287" s="51"/>
      <c r="AG287" s="51"/>
      <c r="AH287" s="51"/>
    </row>
    <row r="288" spans="1:35" x14ac:dyDescent="0.25">
      <c r="B288" s="51"/>
      <c r="C288" s="51"/>
      <c r="D288" s="51"/>
      <c r="E288" s="51"/>
      <c r="F288" s="51"/>
      <c r="G288" s="51"/>
      <c r="H288" s="51"/>
      <c r="I288" s="51"/>
      <c r="J288" s="51"/>
      <c r="K288" s="51"/>
      <c r="L288" s="51"/>
      <c r="M288" s="51"/>
      <c r="N288" s="51"/>
      <c r="O288" s="51"/>
      <c r="P288" s="51"/>
      <c r="Q288" s="51"/>
      <c r="R288" s="51"/>
      <c r="S288" s="51"/>
      <c r="T288" s="51"/>
      <c r="U288" s="51"/>
      <c r="V288" s="51"/>
      <c r="W288" s="51"/>
      <c r="X288" s="51"/>
      <c r="Y288" s="51"/>
      <c r="Z288" s="51"/>
      <c r="AA288" s="51"/>
      <c r="AB288" s="51"/>
      <c r="AC288" s="51"/>
      <c r="AD288" s="51"/>
      <c r="AE288" s="51"/>
      <c r="AF288" s="51"/>
      <c r="AG288" s="51"/>
      <c r="AH288" s="51"/>
    </row>
    <row r="289" spans="2:34" x14ac:dyDescent="0.25">
      <c r="B289" s="51"/>
      <c r="C289" s="51"/>
      <c r="D289" s="51"/>
      <c r="E289" s="51"/>
      <c r="F289" s="51"/>
      <c r="G289" s="51"/>
      <c r="H289" s="51"/>
      <c r="I289" s="51"/>
      <c r="J289" s="51"/>
      <c r="K289" s="51"/>
      <c r="L289" s="51"/>
      <c r="M289" s="51"/>
      <c r="N289" s="51"/>
      <c r="O289" s="51"/>
      <c r="P289" s="51"/>
      <c r="Q289" s="51"/>
      <c r="R289" s="51"/>
      <c r="S289" s="51"/>
      <c r="T289" s="51"/>
      <c r="U289" s="51"/>
      <c r="V289" s="51"/>
      <c r="W289" s="51"/>
      <c r="X289" s="51"/>
      <c r="Y289" s="51"/>
      <c r="Z289" s="51"/>
      <c r="AA289" s="51"/>
      <c r="AB289" s="51"/>
      <c r="AC289" s="51"/>
      <c r="AD289" s="51"/>
      <c r="AE289" s="51"/>
      <c r="AF289" s="51"/>
      <c r="AG289" s="51"/>
      <c r="AH289" s="51"/>
    </row>
    <row r="290" spans="2:34" x14ac:dyDescent="0.25">
      <c r="B290" s="51"/>
      <c r="C290" s="51"/>
      <c r="D290" s="51"/>
      <c r="E290" s="51"/>
      <c r="F290" s="51"/>
      <c r="G290" s="51"/>
      <c r="H290" s="51"/>
      <c r="I290" s="51"/>
      <c r="J290" s="51"/>
      <c r="K290" s="51"/>
      <c r="L290" s="51"/>
      <c r="M290" s="51"/>
      <c r="N290" s="51"/>
      <c r="O290" s="51"/>
      <c r="P290" s="51"/>
      <c r="Q290" s="51"/>
      <c r="R290" s="51"/>
      <c r="S290" s="51"/>
      <c r="T290" s="51"/>
      <c r="U290" s="51"/>
      <c r="V290" s="51"/>
      <c r="W290" s="51"/>
      <c r="X290" s="51"/>
      <c r="Y290" s="51"/>
      <c r="Z290" s="51"/>
      <c r="AA290" s="51"/>
      <c r="AB290" s="51"/>
      <c r="AC290" s="51"/>
      <c r="AD290" s="51"/>
      <c r="AE290" s="51"/>
      <c r="AF290" s="51"/>
      <c r="AG290" s="51"/>
      <c r="AH290" s="51"/>
    </row>
    <row r="291" spans="2:34" x14ac:dyDescent="0.25">
      <c r="B291" s="51"/>
      <c r="C291" s="51"/>
      <c r="D291" s="51"/>
      <c r="E291" s="51"/>
      <c r="F291" s="51"/>
      <c r="G291" s="51"/>
      <c r="H291" s="51"/>
      <c r="I291" s="51"/>
      <c r="J291" s="51"/>
      <c r="K291" s="51"/>
      <c r="L291" s="51"/>
      <c r="M291" s="51"/>
      <c r="N291" s="51"/>
      <c r="O291" s="51"/>
      <c r="P291" s="51"/>
      <c r="Q291" s="51"/>
      <c r="R291" s="51"/>
      <c r="S291" s="51"/>
      <c r="T291" s="51"/>
      <c r="U291" s="51"/>
      <c r="V291" s="51"/>
      <c r="W291" s="51"/>
      <c r="X291" s="51"/>
      <c r="Y291" s="51"/>
      <c r="Z291" s="51"/>
      <c r="AA291" s="51"/>
      <c r="AB291" s="51"/>
      <c r="AC291" s="51"/>
      <c r="AD291" s="51"/>
      <c r="AE291" s="51"/>
      <c r="AF291" s="51"/>
      <c r="AG291" s="51"/>
      <c r="AH291" s="51"/>
    </row>
    <row r="292" spans="2:34" x14ac:dyDescent="0.25">
      <c r="B292" s="51"/>
      <c r="C292" s="51"/>
      <c r="D292" s="51"/>
      <c r="E292" s="51"/>
      <c r="F292" s="51"/>
      <c r="G292" s="51"/>
      <c r="H292" s="51"/>
      <c r="I292" s="51"/>
      <c r="J292" s="51"/>
      <c r="K292" s="51"/>
      <c r="L292" s="51"/>
      <c r="M292" s="51"/>
      <c r="N292" s="51"/>
      <c r="O292" s="51"/>
      <c r="P292" s="51"/>
      <c r="Q292" s="51"/>
      <c r="R292" s="51"/>
      <c r="S292" s="51"/>
      <c r="T292" s="51"/>
      <c r="U292" s="51"/>
      <c r="V292" s="51"/>
      <c r="W292" s="51"/>
      <c r="X292" s="51"/>
      <c r="Y292" s="51"/>
      <c r="Z292" s="51"/>
      <c r="AA292" s="51"/>
      <c r="AB292" s="51"/>
      <c r="AC292" s="51"/>
      <c r="AD292" s="51"/>
      <c r="AE292" s="51"/>
      <c r="AF292" s="51"/>
      <c r="AG292" s="51"/>
      <c r="AH292" s="51"/>
    </row>
    <row r="293" spans="2:34" x14ac:dyDescent="0.25">
      <c r="B293" s="51"/>
      <c r="C293" s="51"/>
      <c r="D293" s="51"/>
      <c r="E293" s="51"/>
      <c r="F293" s="51"/>
      <c r="G293" s="51"/>
      <c r="H293" s="51"/>
      <c r="I293" s="51"/>
      <c r="J293" s="51"/>
      <c r="K293" s="51"/>
      <c r="L293" s="51"/>
      <c r="M293" s="51"/>
      <c r="N293" s="51"/>
      <c r="O293" s="51"/>
      <c r="P293" s="51"/>
      <c r="Q293" s="51"/>
      <c r="R293" s="51"/>
      <c r="S293" s="51"/>
      <c r="T293" s="51"/>
      <c r="U293" s="51"/>
      <c r="V293" s="51"/>
      <c r="W293" s="51"/>
      <c r="X293" s="51"/>
      <c r="Y293" s="51"/>
      <c r="Z293" s="51"/>
      <c r="AA293" s="51"/>
      <c r="AB293" s="51"/>
      <c r="AC293" s="51"/>
      <c r="AD293" s="51"/>
      <c r="AE293" s="51"/>
      <c r="AF293" s="51"/>
      <c r="AG293" s="51"/>
      <c r="AH293" s="51"/>
    </row>
    <row r="294" spans="2:34" x14ac:dyDescent="0.25">
      <c r="B294" s="51"/>
      <c r="C294" s="51"/>
      <c r="D294" s="51"/>
      <c r="E294" s="51"/>
      <c r="F294" s="51"/>
      <c r="G294" s="51"/>
      <c r="H294" s="51"/>
      <c r="I294" s="51"/>
      <c r="J294" s="51"/>
      <c r="K294" s="51"/>
      <c r="L294" s="51"/>
      <c r="M294" s="51"/>
      <c r="N294" s="51"/>
      <c r="O294" s="51"/>
      <c r="P294" s="51"/>
      <c r="Q294" s="51"/>
      <c r="R294" s="51"/>
      <c r="S294" s="51"/>
      <c r="T294" s="51"/>
      <c r="U294" s="51"/>
      <c r="V294" s="51"/>
      <c r="W294" s="51"/>
      <c r="X294" s="51"/>
      <c r="Y294" s="51"/>
      <c r="Z294" s="51"/>
      <c r="AA294" s="51"/>
      <c r="AB294" s="51"/>
      <c r="AC294" s="51"/>
      <c r="AD294" s="51"/>
      <c r="AE294" s="51"/>
      <c r="AF294" s="51"/>
      <c r="AG294" s="51"/>
      <c r="AH294" s="51"/>
    </row>
    <row r="295" spans="2:34" x14ac:dyDescent="0.25">
      <c r="B295" s="51"/>
      <c r="C295" s="51"/>
      <c r="D295" s="51"/>
      <c r="E295" s="51"/>
      <c r="F295" s="51"/>
      <c r="G295" s="51"/>
      <c r="H295" s="51"/>
      <c r="I295" s="51"/>
      <c r="J295" s="51"/>
      <c r="K295" s="51"/>
      <c r="L295" s="51"/>
      <c r="M295" s="51"/>
      <c r="N295" s="51"/>
      <c r="O295" s="51"/>
      <c r="P295" s="51"/>
      <c r="Q295" s="51"/>
      <c r="R295" s="51"/>
      <c r="S295" s="51"/>
      <c r="T295" s="51"/>
      <c r="U295" s="51"/>
      <c r="V295" s="51"/>
      <c r="W295" s="51"/>
      <c r="X295" s="51"/>
      <c r="Y295" s="51"/>
      <c r="Z295" s="51"/>
      <c r="AA295" s="51"/>
      <c r="AB295" s="51"/>
      <c r="AC295" s="51"/>
      <c r="AD295" s="51"/>
      <c r="AE295" s="51"/>
      <c r="AF295" s="51"/>
      <c r="AG295" s="51"/>
      <c r="AH295" s="51"/>
    </row>
    <row r="296" spans="2:34" x14ac:dyDescent="0.25">
      <c r="B296" s="51"/>
      <c r="C296" s="51"/>
      <c r="D296" s="51"/>
      <c r="E296" s="51"/>
      <c r="F296" s="51"/>
      <c r="G296" s="51"/>
      <c r="H296" s="51"/>
      <c r="I296" s="51"/>
      <c r="J296" s="51"/>
      <c r="K296" s="51"/>
      <c r="L296" s="51"/>
      <c r="M296" s="51"/>
      <c r="N296" s="51"/>
      <c r="O296" s="51"/>
      <c r="P296" s="51"/>
      <c r="Q296" s="51"/>
      <c r="R296" s="51"/>
      <c r="S296" s="51"/>
      <c r="T296" s="51"/>
      <c r="U296" s="51"/>
      <c r="V296" s="51"/>
      <c r="W296" s="51"/>
      <c r="X296" s="51"/>
      <c r="Y296" s="51"/>
      <c r="Z296" s="51"/>
      <c r="AA296" s="51"/>
      <c r="AB296" s="51"/>
      <c r="AC296" s="51"/>
      <c r="AD296" s="51"/>
      <c r="AE296" s="51"/>
      <c r="AF296" s="51"/>
      <c r="AG296" s="51"/>
      <c r="AH296" s="51"/>
    </row>
    <row r="297" spans="2:34" x14ac:dyDescent="0.25">
      <c r="B297" s="51"/>
      <c r="C297" s="51"/>
      <c r="D297" s="51"/>
      <c r="E297" s="51"/>
      <c r="F297" s="51"/>
      <c r="G297" s="51"/>
      <c r="H297" s="51"/>
      <c r="I297" s="51"/>
      <c r="J297" s="51"/>
      <c r="K297" s="51"/>
      <c r="L297" s="51"/>
      <c r="M297" s="51"/>
      <c r="N297" s="51"/>
      <c r="O297" s="51"/>
      <c r="P297" s="51"/>
      <c r="Q297" s="51"/>
      <c r="R297" s="51"/>
      <c r="S297" s="51"/>
      <c r="T297" s="51"/>
      <c r="U297" s="51"/>
      <c r="V297" s="51"/>
      <c r="W297" s="51"/>
      <c r="X297" s="51"/>
      <c r="Y297" s="51"/>
      <c r="Z297" s="51"/>
      <c r="AA297" s="51"/>
      <c r="AB297" s="51"/>
      <c r="AC297" s="51"/>
      <c r="AD297" s="51"/>
      <c r="AE297" s="51"/>
      <c r="AF297" s="51"/>
      <c r="AG297" s="51"/>
      <c r="AH297" s="51"/>
    </row>
    <row r="298" spans="2:34" x14ac:dyDescent="0.25">
      <c r="B298" s="51"/>
      <c r="C298" s="51"/>
      <c r="D298" s="51"/>
      <c r="E298" s="51"/>
      <c r="F298" s="51"/>
      <c r="G298" s="51"/>
      <c r="H298" s="51"/>
      <c r="I298" s="51"/>
      <c r="J298" s="51"/>
      <c r="K298" s="51"/>
      <c r="L298" s="51"/>
      <c r="M298" s="51"/>
      <c r="N298" s="51"/>
      <c r="O298" s="51"/>
      <c r="P298" s="51"/>
      <c r="Q298" s="51"/>
      <c r="R298" s="51"/>
      <c r="S298" s="51"/>
      <c r="T298" s="51"/>
      <c r="U298" s="51"/>
      <c r="V298" s="51"/>
      <c r="W298" s="51"/>
      <c r="X298" s="51"/>
      <c r="Y298" s="51"/>
      <c r="Z298" s="51"/>
      <c r="AA298" s="51"/>
      <c r="AB298" s="51"/>
      <c r="AC298" s="51"/>
      <c r="AD298" s="51"/>
      <c r="AE298" s="51"/>
      <c r="AF298" s="51"/>
      <c r="AG298" s="51"/>
      <c r="AH298" s="51"/>
    </row>
    <row r="299" spans="2:34" x14ac:dyDescent="0.25">
      <c r="B299" s="51"/>
      <c r="C299" s="51"/>
      <c r="D299" s="51"/>
      <c r="E299" s="51"/>
      <c r="F299" s="51"/>
      <c r="G299" s="51"/>
      <c r="H299" s="51"/>
      <c r="I299" s="51"/>
      <c r="J299" s="51"/>
      <c r="K299" s="51"/>
      <c r="L299" s="51"/>
      <c r="M299" s="51"/>
      <c r="N299" s="51"/>
      <c r="O299" s="51"/>
      <c r="P299" s="51"/>
      <c r="Q299" s="51"/>
      <c r="R299" s="51"/>
      <c r="S299" s="51"/>
      <c r="T299" s="51"/>
      <c r="U299" s="51"/>
      <c r="V299" s="51"/>
      <c r="W299" s="51"/>
      <c r="X299" s="51"/>
      <c r="Y299" s="51"/>
      <c r="Z299" s="51"/>
      <c r="AA299" s="51"/>
      <c r="AB299" s="51"/>
      <c r="AC299" s="51"/>
      <c r="AD299" s="51"/>
      <c r="AE299" s="51"/>
      <c r="AF299" s="51"/>
      <c r="AG299" s="51"/>
      <c r="AH299" s="51"/>
    </row>
    <row r="300" spans="2:34" x14ac:dyDescent="0.25">
      <c r="B300" s="51"/>
      <c r="C300" s="51"/>
      <c r="D300" s="51"/>
      <c r="E300" s="51"/>
      <c r="F300" s="51"/>
      <c r="G300" s="51"/>
      <c r="H300" s="51"/>
      <c r="I300" s="51"/>
      <c r="J300" s="51"/>
      <c r="K300" s="51"/>
      <c r="L300" s="51"/>
      <c r="M300" s="51"/>
      <c r="N300" s="51"/>
      <c r="O300" s="51"/>
      <c r="P300" s="51"/>
      <c r="Q300" s="51"/>
      <c r="R300" s="51"/>
      <c r="S300" s="51"/>
      <c r="T300" s="51"/>
      <c r="U300" s="51"/>
      <c r="V300" s="51"/>
      <c r="W300" s="51"/>
      <c r="X300" s="51"/>
      <c r="Y300" s="51"/>
      <c r="Z300" s="51"/>
      <c r="AA300" s="51"/>
      <c r="AB300" s="51"/>
      <c r="AC300" s="51"/>
      <c r="AD300" s="51"/>
      <c r="AE300" s="51"/>
      <c r="AF300" s="51"/>
      <c r="AG300" s="51"/>
      <c r="AH300" s="51"/>
    </row>
    <row r="301" spans="2:34" x14ac:dyDescent="0.25">
      <c r="S301" s="51"/>
      <c r="T301" s="51"/>
      <c r="U301" s="51"/>
      <c r="V301" s="51"/>
      <c r="W301" s="51"/>
      <c r="X301" s="51"/>
      <c r="Y301" s="51"/>
      <c r="Z301" s="51"/>
      <c r="AA301" s="51"/>
      <c r="AB301" s="51"/>
      <c r="AC301" s="51"/>
      <c r="AD301" s="51"/>
      <c r="AE301" s="51"/>
      <c r="AF301" s="51"/>
      <c r="AG301" s="51"/>
      <c r="AH301" s="51"/>
    </row>
    <row r="302" spans="2:34" x14ac:dyDescent="0.25">
      <c r="S302" s="51"/>
      <c r="T302" s="51"/>
      <c r="U302" s="51"/>
      <c r="V302" s="51"/>
      <c r="W302" s="51"/>
      <c r="X302" s="51"/>
      <c r="Y302" s="51"/>
      <c r="Z302" s="51"/>
      <c r="AA302" s="51"/>
      <c r="AB302" s="51"/>
      <c r="AC302" s="51"/>
      <c r="AD302" s="51"/>
      <c r="AE302" s="51"/>
      <c r="AF302" s="51"/>
      <c r="AG302" s="51"/>
      <c r="AH302" s="51"/>
    </row>
    <row r="303" spans="2:34" x14ac:dyDescent="0.25">
      <c r="S303" s="51"/>
      <c r="T303" s="51"/>
      <c r="U303" s="51"/>
      <c r="V303" s="51"/>
      <c r="W303" s="51"/>
      <c r="X303" s="51"/>
      <c r="Y303" s="51"/>
      <c r="Z303" s="51"/>
      <c r="AA303" s="51"/>
      <c r="AB303" s="51"/>
      <c r="AC303" s="51"/>
      <c r="AD303" s="51"/>
      <c r="AE303" s="51"/>
      <c r="AF303" s="51"/>
      <c r="AG303" s="51"/>
      <c r="AH303" s="51"/>
    </row>
    <row r="304" spans="2:34" x14ac:dyDescent="0.25">
      <c r="S304" s="51"/>
      <c r="T304" s="51"/>
      <c r="U304" s="51"/>
      <c r="V304" s="51"/>
      <c r="W304" s="51"/>
      <c r="X304" s="51"/>
      <c r="Y304" s="51"/>
      <c r="Z304" s="51"/>
      <c r="AA304" s="51"/>
      <c r="AB304" s="51"/>
      <c r="AC304" s="51"/>
      <c r="AD304" s="51"/>
      <c r="AE304" s="51"/>
      <c r="AF304" s="51"/>
      <c r="AG304" s="51"/>
      <c r="AH304" s="51"/>
    </row>
    <row r="305" spans="19:34" x14ac:dyDescent="0.25">
      <c r="S305" s="51"/>
      <c r="T305" s="51"/>
      <c r="U305" s="51"/>
      <c r="V305" s="51"/>
      <c r="W305" s="51"/>
      <c r="X305" s="51"/>
      <c r="Y305" s="51"/>
      <c r="Z305" s="51"/>
      <c r="AA305" s="51"/>
      <c r="AB305" s="51"/>
      <c r="AC305" s="51"/>
      <c r="AD305" s="51"/>
      <c r="AE305" s="51"/>
      <c r="AF305" s="51"/>
      <c r="AG305" s="51"/>
      <c r="AH305" s="51"/>
    </row>
    <row r="306" spans="19:34" x14ac:dyDescent="0.25">
      <c r="S306" s="51"/>
      <c r="T306" s="51"/>
      <c r="U306" s="51"/>
      <c r="V306" s="51"/>
      <c r="W306" s="51"/>
      <c r="X306" s="51"/>
      <c r="Y306" s="51"/>
      <c r="Z306" s="51"/>
      <c r="AA306" s="51"/>
      <c r="AB306" s="51"/>
      <c r="AC306" s="51"/>
      <c r="AD306" s="51"/>
      <c r="AE306" s="51"/>
      <c r="AF306" s="51"/>
    </row>
  </sheetData>
  <mergeCells count="50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AB8:AF8"/>
    <mergeCell ref="AH8:AH9"/>
    <mergeCell ref="AI8:AI9"/>
    <mergeCell ref="A9:A10"/>
    <mergeCell ref="B9:B10"/>
    <mergeCell ref="C9:C10"/>
    <mergeCell ref="D9:D10"/>
    <mergeCell ref="E9:E10"/>
    <mergeCell ref="F9:F10"/>
    <mergeCell ref="G9:G10"/>
    <mergeCell ref="S8:AA8"/>
    <mergeCell ref="H9:H10"/>
    <mergeCell ref="I9:I10"/>
    <mergeCell ref="J9:J10"/>
    <mergeCell ref="K9:K10"/>
    <mergeCell ref="L9:L10"/>
    <mergeCell ref="Y9:Y10"/>
    <mergeCell ref="N9:N10"/>
    <mergeCell ref="O9:O10"/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M9:M10"/>
    <mergeCell ref="AF9:AF10"/>
    <mergeCell ref="AG9:AG10"/>
    <mergeCell ref="AN103:AN104"/>
    <mergeCell ref="Z9:Z10"/>
    <mergeCell ref="AA9:AA10"/>
    <mergeCell ref="AB9:AB10"/>
    <mergeCell ref="AC9:AC10"/>
    <mergeCell ref="AD9:AD10"/>
    <mergeCell ref="AE9:AE10"/>
  </mergeCells>
  <conditionalFormatting sqref="A11:A72 A108:A159 A74:A102">
    <cfRule type="expression" dxfId="355" priority="21">
      <formula>$AH11=0</formula>
    </cfRule>
  </conditionalFormatting>
  <conditionalFormatting sqref="A101:A102">
    <cfRule type="expression" dxfId="354" priority="189">
      <formula>$AH106=0</formula>
    </cfRule>
  </conditionalFormatting>
  <conditionalFormatting sqref="A103:A107">
    <cfRule type="expression" dxfId="353" priority="137">
      <formula>$AH102=0</formula>
    </cfRule>
  </conditionalFormatting>
  <conditionalFormatting sqref="A161:A168">
    <cfRule type="expression" dxfId="352" priority="190">
      <formula>$AH268=0</formula>
    </cfRule>
  </conditionalFormatting>
  <conditionalFormatting sqref="A169:A276">
    <cfRule type="expression" dxfId="351" priority="60">
      <formula>$AH169=0</formula>
    </cfRule>
  </conditionalFormatting>
  <conditionalFormatting sqref="B8">
    <cfRule type="expression" dxfId="350" priority="185">
      <formula>AND(C$9&gt;=14/24,C$9&lt;20/24)</formula>
    </cfRule>
    <cfRule type="expression" dxfId="349" priority="186">
      <formula>AND(C$9&gt;=8/24,C$9&lt;14/24)</formula>
    </cfRule>
    <cfRule type="expression" dxfId="348" priority="187">
      <formula>C$9&lt;8/24</formula>
    </cfRule>
    <cfRule type="expression" dxfId="347" priority="188">
      <formula>C$9&gt;=20/24</formula>
    </cfRule>
  </conditionalFormatting>
  <conditionalFormatting sqref="Q11:AA13 AB12:AF13 B9:AF10 G93:AF115 B76:F90 B113:F115 B108:F108 B117:F124 B153:F153 B93:F96 G117:AF125 G134:AF134 J133 G126:J132 Q85:AF90 G79:P90 G76:AF77 B72:P72 K126:AF133 G137:AF158">
    <cfRule type="expression" dxfId="346" priority="102">
      <formula>B$9&gt;=20/24</formula>
    </cfRule>
  </conditionalFormatting>
  <conditionalFormatting sqref="B9:AF10 Q11:AA13 AB12:AF13 G93:AF115 B76:F90 B113:F115 B108:F108 B117:F124 B153:F153 B93:F96 G117:AF125 G134:AF134 J133 G126:J132 Q85:AF90 G79:P90 G76:AF77 B72:P72 K126:AF133 G137:AF158">
    <cfRule type="expression" dxfId="345" priority="103">
      <formula>AND(B$9&gt;=14/24,B$9&lt;20/24)</formula>
    </cfRule>
    <cfRule type="expression" dxfId="344" priority="104">
      <formula>AND(B$9&gt;=8/24,B$9&lt;14/24)</formula>
    </cfRule>
    <cfRule type="expression" dxfId="343" priority="105">
      <formula>B$9&lt;8/24</formula>
    </cfRule>
  </conditionalFormatting>
  <conditionalFormatting sqref="Q14:AF53 B29:P53">
    <cfRule type="expression" dxfId="342" priority="45">
      <formula>B14&gt;$AG14*1</formula>
    </cfRule>
    <cfRule type="expression" dxfId="341" priority="46">
      <formula>B$9&gt;=20/24</formula>
    </cfRule>
    <cfRule type="expression" dxfId="340" priority="47">
      <formula>AND(B$9&gt;=14/24,B$9&lt;20/24)</formula>
    </cfRule>
    <cfRule type="expression" dxfId="339" priority="48">
      <formula>AND(B$9&gt;=8/24,B$9&lt;14/24)</formula>
    </cfRule>
    <cfRule type="expression" dxfId="338" priority="49">
      <formula>B$9&lt;8/24</formula>
    </cfRule>
  </conditionalFormatting>
  <conditionalFormatting sqref="B54:AF68">
    <cfRule type="expression" dxfId="337" priority="38">
      <formula>B$9&lt;8/24</formula>
    </cfRule>
  </conditionalFormatting>
  <conditionalFormatting sqref="B54:AF70">
    <cfRule type="expression" dxfId="336" priority="35">
      <formula>B$9&gt;=20/24</formula>
    </cfRule>
    <cfRule type="expression" dxfId="335" priority="36">
      <formula>AND(B$9&gt;=14/24,B$9&lt;20/24)</formula>
    </cfRule>
    <cfRule type="expression" dxfId="334" priority="37">
      <formula>AND(B$9&gt;=8/24,B$9&lt;14/24)</formula>
    </cfRule>
  </conditionalFormatting>
  <conditionalFormatting sqref="B63:AF65">
    <cfRule type="expression" dxfId="333" priority="39">
      <formula>B63&gt;$AG63</formula>
    </cfRule>
  </conditionalFormatting>
  <conditionalFormatting sqref="B69:AF70">
    <cfRule type="expression" dxfId="332" priority="110">
      <formula>B$9&lt;8/24</formula>
    </cfRule>
  </conditionalFormatting>
  <conditionalFormatting sqref="B72:AF75">
    <cfRule type="expression" dxfId="331" priority="26">
      <formula>B72&gt;$AG72*1</formula>
    </cfRule>
  </conditionalFormatting>
  <conditionalFormatting sqref="B73:AF75">
    <cfRule type="expression" dxfId="330" priority="27">
      <formula>B$9&gt;=20/24</formula>
    </cfRule>
    <cfRule type="expression" dxfId="329" priority="28">
      <formula>AND(B$9&gt;=14/24,B$9&lt;20/24)</formula>
    </cfRule>
    <cfRule type="expression" dxfId="328" priority="29">
      <formula>AND(B$9&gt;=8/24,B$9&lt;14/24)</formula>
    </cfRule>
    <cfRule type="expression" dxfId="327" priority="30">
      <formula>B$9&lt;8/24</formula>
    </cfRule>
  </conditionalFormatting>
  <conditionalFormatting sqref="C162:AF168">
    <cfRule type="expression" dxfId="326" priority="61">
      <formula>C$9&gt;=20/24</formula>
    </cfRule>
    <cfRule type="expression" dxfId="325" priority="62">
      <formula>AND(C$9&gt;=14/24,C$9&lt;20/24)</formula>
    </cfRule>
    <cfRule type="expression" dxfId="324" priority="63">
      <formula>AND(C$9&gt;=8/24,C$9&lt;14/24)</formula>
    </cfRule>
    <cfRule type="expression" dxfId="323" priority="64">
      <formula>C$9&lt;8/24</formula>
    </cfRule>
  </conditionalFormatting>
  <conditionalFormatting sqref="C170:AF275">
    <cfRule type="expression" dxfId="322" priority="22">
      <formula>C$9&gt;=20/24</formula>
    </cfRule>
    <cfRule type="expression" dxfId="321" priority="23">
      <formula>AND(C$9&gt;=14/24,C$9&lt;20/24)</formula>
    </cfRule>
    <cfRule type="expression" dxfId="320" priority="24">
      <formula>AND(C$9&gt;=8/24,C$9&lt;14/24)</formula>
    </cfRule>
    <cfRule type="expression" dxfId="319" priority="25">
      <formula>C$9&lt;8/24</formula>
    </cfRule>
  </conditionalFormatting>
  <conditionalFormatting sqref="AD80:AF90 AB69:AF70 AA70 Q11:AA13 AB12:AF13 AF92:AF95 AF96:AG96 G92:AE96 G91:AF91 B71:AG71 B76:F96 Q76:AF77 Q79:AC90 Q78:AG78 G76:P90 B69:AA69">
    <cfRule type="expression" dxfId="318" priority="101">
      <formula>B11&gt;$AG11*1</formula>
    </cfRule>
  </conditionalFormatting>
  <conditionalFormatting sqref="G79:P83">
    <cfRule type="expression" dxfId="317" priority="111">
      <formula>G$9&gt;=20/24</formula>
    </cfRule>
    <cfRule type="expression" dxfId="316" priority="112">
      <formula>AND(G$9&gt;=14/24,G$9&lt;20/24)</formula>
    </cfRule>
    <cfRule type="expression" dxfId="315" priority="113">
      <formula>AND(G$9&gt;=8/24,G$9&lt;14/24)</formula>
    </cfRule>
    <cfRule type="expression" dxfId="314" priority="114">
      <formula>G$9&lt;8/24</formula>
    </cfRule>
  </conditionalFormatting>
  <conditionalFormatting sqref="G84:P84">
    <cfRule type="expression" dxfId="313" priority="106">
      <formula>G$9&gt;=20/24</formula>
    </cfRule>
    <cfRule type="expression" dxfId="312" priority="107">
      <formula>AND(G$9&gt;=14/24,G$9&lt;20/24)</formula>
    </cfRule>
    <cfRule type="expression" dxfId="311" priority="108">
      <formula>AND(G$9&gt;=8/24,G$9&lt;14/24)</formula>
    </cfRule>
    <cfRule type="expression" dxfId="310" priority="109">
      <formula>G$9&lt;8/24</formula>
    </cfRule>
  </conditionalFormatting>
  <conditionalFormatting sqref="Q76:AF78 G78:P78 B72:AF72">
    <cfRule type="expression" dxfId="309" priority="121">
      <formula>B$9&gt;=20/24</formula>
    </cfRule>
    <cfRule type="expression" dxfId="308" priority="122">
      <formula>AND(B$9&gt;=14/24,B$9&lt;20/24)</formula>
    </cfRule>
    <cfRule type="expression" dxfId="307" priority="123">
      <formula>AND(B$9&gt;=8/24,B$9&lt;14/24)</formula>
    </cfRule>
    <cfRule type="expression" dxfId="306" priority="124">
      <formula>B$9&lt;8/24</formula>
    </cfRule>
  </conditionalFormatting>
  <conditionalFormatting sqref="Q73:AF75">
    <cfRule type="expression" dxfId="305" priority="31">
      <formula>Q$9&gt;=20/24</formula>
    </cfRule>
    <cfRule type="expression" dxfId="304" priority="32">
      <formula>AND(Q$9&gt;=14/24,Q$9&lt;20/24)</formula>
    </cfRule>
    <cfRule type="expression" dxfId="303" priority="33">
      <formula>AND(Q$9&gt;=8/24,Q$9&lt;14/24)</formula>
    </cfRule>
    <cfRule type="expression" dxfId="302" priority="34">
      <formula>Q$9&lt;8/24</formula>
    </cfRule>
  </conditionalFormatting>
  <conditionalFormatting sqref="G79:P81">
    <cfRule type="expression" dxfId="301" priority="129">
      <formula>G$9&gt;=20/24</formula>
    </cfRule>
    <cfRule type="expression" dxfId="300" priority="130">
      <formula>AND(G$9&gt;=14/24,G$9&lt;20/24)</formula>
    </cfRule>
    <cfRule type="expression" dxfId="299" priority="131">
      <formula>AND(G$9&gt;=8/24,G$9&lt;14/24)</formula>
    </cfRule>
    <cfRule type="expression" dxfId="298" priority="132">
      <formula>G$9&lt;8/24</formula>
    </cfRule>
  </conditionalFormatting>
  <conditionalFormatting sqref="L84:AF84">
    <cfRule type="expression" dxfId="297" priority="125">
      <formula>L$9&gt;=20/24</formula>
    </cfRule>
    <cfRule type="expression" dxfId="296" priority="126">
      <formula>AND(L$9&gt;=14/24,L$9&lt;20/24)</formula>
    </cfRule>
    <cfRule type="expression" dxfId="295" priority="127">
      <formula>AND(L$9&gt;=8/24,L$9&lt;14/24)</formula>
    </cfRule>
    <cfRule type="expression" dxfId="294" priority="128">
      <formula>L$9&lt;8/24</formula>
    </cfRule>
  </conditionalFormatting>
  <conditionalFormatting sqref="M8 S8 AB8">
    <cfRule type="expression" dxfId="293" priority="178">
      <formula>AND(N$9&gt;=14/24,N$9&lt;20/24)</formula>
    </cfRule>
    <cfRule type="expression" dxfId="292" priority="179">
      <formula>AND(N$9&gt;=8/24,N$9&lt;14/24)</formula>
    </cfRule>
    <cfRule type="expression" dxfId="291" priority="180">
      <formula>N$9&lt;8/24</formula>
    </cfRule>
  </conditionalFormatting>
  <conditionalFormatting sqref="Q79:Y83 Z80:AA83">
    <cfRule type="expression" dxfId="290" priority="133">
      <formula>Q$9&gt;=20/24</formula>
    </cfRule>
    <cfRule type="expression" dxfId="289" priority="134">
      <formula>AND(Q$9&gt;=14/24,Q$9&lt;20/24)</formula>
    </cfRule>
    <cfRule type="expression" dxfId="288" priority="135">
      <formula>AND(Q$9&gt;=8/24,Q$9&lt;14/24)</formula>
    </cfRule>
    <cfRule type="expression" dxfId="287" priority="136">
      <formula>Q$9&lt;8/24</formula>
    </cfRule>
  </conditionalFormatting>
  <conditionalFormatting sqref="O3:P3">
    <cfRule type="iconSet" priority="175">
      <iconSet iconSet="3TrafficLights2" reverse="1">
        <cfvo type="percent" val="0"/>
        <cfvo type="num" val="1"/>
        <cfvo type="num" val="1"/>
      </iconSet>
    </cfRule>
  </conditionalFormatting>
  <conditionalFormatting sqref="S8 AB8 M8">
    <cfRule type="expression" dxfId="286" priority="177">
      <formula>N$9&gt;=20/24</formula>
    </cfRule>
  </conditionalFormatting>
  <conditionalFormatting sqref="S8">
    <cfRule type="expression" dxfId="285" priority="168">
      <formula>U$9&gt;=20/24</formula>
    </cfRule>
    <cfRule type="expression" dxfId="284" priority="169">
      <formula>AND(U$9&gt;=14/24,U$9&lt;20/24)</formula>
    </cfRule>
    <cfRule type="expression" dxfId="283" priority="170">
      <formula>AND(U$9&gt;=8/24,U$9&lt;14/24)</formula>
    </cfRule>
    <cfRule type="expression" dxfId="282" priority="171">
      <formula>U$9&lt;8/24</formula>
    </cfRule>
  </conditionalFormatting>
  <conditionalFormatting sqref="T79:AF84">
    <cfRule type="expression" dxfId="281" priority="55">
      <formula>T$9&gt;=20/24</formula>
    </cfRule>
    <cfRule type="expression" dxfId="280" priority="56">
      <formula>AND(T$9&gt;=14/24,T$9&lt;20/24)</formula>
    </cfRule>
    <cfRule type="expression" dxfId="279" priority="57">
      <formula>AND(T$9&gt;=8/24,T$9&lt;14/24)</formula>
    </cfRule>
    <cfRule type="expression" dxfId="278" priority="58">
      <formula>T$9&lt;8/24</formula>
    </cfRule>
  </conditionalFormatting>
  <conditionalFormatting sqref="V3 AB3">
    <cfRule type="iconSet" priority="176">
      <iconSet iconSet="3TrafficLights2" reverse="1">
        <cfvo type="percent" val="0"/>
        <cfvo type="num" val="1"/>
        <cfvo type="num" val="1"/>
      </iconSet>
    </cfRule>
  </conditionalFormatting>
  <conditionalFormatting sqref="Y65:AF65">
    <cfRule type="expression" dxfId="277" priority="40">
      <formula>Y$9&gt;=20/24</formula>
    </cfRule>
    <cfRule type="expression" dxfId="276" priority="41">
      <formula>AND(Y$9&gt;=14/24,Y$9&lt;20/24)</formula>
    </cfRule>
    <cfRule type="expression" dxfId="275" priority="42">
      <formula>AND(Y$9&gt;=8/24,Y$9&lt;14/24)</formula>
    </cfRule>
    <cfRule type="expression" dxfId="274" priority="43">
      <formula>Y$9&lt;8/24</formula>
    </cfRule>
  </conditionalFormatting>
  <conditionalFormatting sqref="Z69:Z70">
    <cfRule type="expression" dxfId="273" priority="120">
      <formula>Z69&gt;$AG69</formula>
    </cfRule>
  </conditionalFormatting>
  <conditionalFormatting sqref="Z66:AF69 AB11:AF11 B54:AF62 B66:Y70">
    <cfRule type="expression" dxfId="272" priority="115">
      <formula>B11&gt;$AG11</formula>
    </cfRule>
  </conditionalFormatting>
  <conditionalFormatting sqref="AB8">
    <cfRule type="expression" dxfId="271" priority="164">
      <formula>AD$9&gt;=20/24</formula>
    </cfRule>
    <cfRule type="expression" dxfId="270" priority="165">
      <formula>AND(AD$9&gt;=14/24,AD$9&lt;20/24)</formula>
    </cfRule>
    <cfRule type="expression" dxfId="269" priority="166">
      <formula>AND(AD$9&gt;=8/24,AD$9&lt;14/24)</formula>
    </cfRule>
    <cfRule type="expression" dxfId="268" priority="167">
      <formula>AD$9&lt;8/24</formula>
    </cfRule>
  </conditionalFormatting>
  <conditionalFormatting sqref="AB11:AF11">
    <cfRule type="expression" dxfId="267" priority="116">
      <formula>AB$9&gt;=20/24</formula>
    </cfRule>
    <cfRule type="expression" dxfId="266" priority="117">
      <formula>AND(AB$9&gt;=14/24,AB$9&lt;20/24)</formula>
    </cfRule>
    <cfRule type="expression" dxfId="265" priority="118">
      <formula>AND(AB$9&gt;=8/24,AB$9&lt;14/24)</formula>
    </cfRule>
    <cfRule type="expression" dxfId="264" priority="119">
      <formula>AB$9&lt;8/24</formula>
    </cfRule>
  </conditionalFormatting>
  <conditionalFormatting sqref="AD79:AF79">
    <cfRule type="expression" dxfId="263" priority="191">
      <formula>AD79&gt;$AG80*1</formula>
    </cfRule>
  </conditionalFormatting>
  <conditionalFormatting sqref="AG78">
    <cfRule type="expression" dxfId="262" priority="143">
      <formula>AG$9&gt;=20/24</formula>
    </cfRule>
    <cfRule type="expression" dxfId="261" priority="144">
      <formula>AND(AG$9&gt;=14/24,AG$9&lt;20/24)</formula>
    </cfRule>
    <cfRule type="expression" dxfId="260" priority="145">
      <formula>AND(AG$9&gt;=8/24,AG$9&lt;14/24)</formula>
    </cfRule>
    <cfRule type="expression" dxfId="259" priority="146">
      <formula>AG$9&lt;8/24</formula>
    </cfRule>
  </conditionalFormatting>
  <conditionalFormatting sqref="AG91:AG92">
    <cfRule type="expression" dxfId="258" priority="138">
      <formula>AG91&gt;$AG91</formula>
    </cfRule>
  </conditionalFormatting>
  <conditionalFormatting sqref="AG96">
    <cfRule type="expression" dxfId="257" priority="139">
      <formula>AG$9&gt;=20/24</formula>
    </cfRule>
    <cfRule type="expression" dxfId="256" priority="140">
      <formula>AND(AG$9&gt;=14/24,AG$9&lt;20/24)</formula>
    </cfRule>
    <cfRule type="expression" dxfId="255" priority="141">
      <formula>AND(AG$9&gt;=8/24,AG$9&lt;14/24)</formula>
    </cfRule>
    <cfRule type="expression" dxfId="254" priority="142">
      <formula>AG$9&lt;8/24</formula>
    </cfRule>
  </conditionalFormatting>
  <conditionalFormatting sqref="AG113">
    <cfRule type="expression" dxfId="253" priority="160">
      <formula>AG$9&gt;=20/24</formula>
    </cfRule>
    <cfRule type="expression" dxfId="252" priority="161">
      <formula>AND(AG$9&gt;=14/24,AG$9&lt;20/24)</formula>
    </cfRule>
    <cfRule type="expression" dxfId="251" priority="162">
      <formula>AND(AG$9&gt;=8/24,AG$9&lt;14/24)</formula>
    </cfRule>
    <cfRule type="expression" dxfId="250" priority="163">
      <formula>AG$9&lt;8/24</formula>
    </cfRule>
  </conditionalFormatting>
  <conditionalFormatting sqref="AH8:AI10">
    <cfRule type="expression" dxfId="249" priority="51">
      <formula>AH$9&gt;=20/24</formula>
    </cfRule>
    <cfRule type="expression" dxfId="248" priority="52">
      <formula>AND(AH$9&gt;=14/24,AH$9&lt;20/24)</formula>
    </cfRule>
    <cfRule type="expression" dxfId="247" priority="53">
      <formula>AND(AH$9&gt;=8/24,AH$9&lt;14/24)</formula>
    </cfRule>
    <cfRule type="expression" dxfId="246" priority="54">
      <formula>AH$9&lt;8/24</formula>
    </cfRule>
  </conditionalFormatting>
  <conditionalFormatting sqref="AL4:AL6">
    <cfRule type="iconSet" priority="174">
      <iconSet iconSet="3TrafficLights2" reverse="1">
        <cfvo type="percent" val="0"/>
        <cfvo type="num" val="1"/>
        <cfvo type="num" val="1"/>
      </iconSet>
    </cfRule>
  </conditionalFormatting>
  <conditionalFormatting sqref="AL26">
    <cfRule type="iconSet" priority="158">
      <iconSet iconSet="3TrafficLights2" reverse="1">
        <cfvo type="percent" val="0"/>
        <cfvo type="num" val="1"/>
        <cfvo type="num" val="1"/>
      </iconSet>
    </cfRule>
  </conditionalFormatting>
  <conditionalFormatting sqref="AL33">
    <cfRule type="iconSet" priority="50">
      <iconSet iconSet="3TrafficLights2" reverse="1">
        <cfvo type="percent" val="0"/>
        <cfvo type="num" val="1"/>
        <cfvo type="num" val="1"/>
      </iconSet>
    </cfRule>
  </conditionalFormatting>
  <conditionalFormatting sqref="AL49">
    <cfRule type="iconSet" priority="148">
      <iconSet iconSet="3TrafficLights2" reverse="1">
        <cfvo type="percent" val="0"/>
        <cfvo type="num" val="1"/>
        <cfvo type="num" val="1"/>
      </iconSet>
    </cfRule>
  </conditionalFormatting>
  <conditionalFormatting sqref="AL55">
    <cfRule type="iconSet" priority="157">
      <iconSet iconSet="3TrafficLights2" reverse="1">
        <cfvo type="percent" val="0"/>
        <cfvo type="num" val="1"/>
        <cfvo type="num" val="1"/>
      </iconSet>
    </cfRule>
  </conditionalFormatting>
  <conditionalFormatting sqref="AL58">
    <cfRule type="iconSet" priority="159">
      <iconSet iconSet="3TrafficLights2" reverse="1">
        <cfvo type="percent" val="0"/>
        <cfvo type="num" val="1"/>
        <cfvo type="num" val="1"/>
      </iconSet>
    </cfRule>
  </conditionalFormatting>
  <conditionalFormatting sqref="AL59 AL56:AL57 AL7:AL11 AL27:AL32 AL50:AL54 AL68 AL34:AL48">
    <cfRule type="iconSet" priority="192">
      <iconSet iconSet="3TrafficLights2" reverse="1">
        <cfvo type="percent" val="0"/>
        <cfvo type="num" val="1"/>
        <cfvo type="num" val="1"/>
      </iconSet>
    </cfRule>
  </conditionalFormatting>
  <conditionalFormatting sqref="AL60:AL62">
    <cfRule type="iconSet" priority="173">
      <iconSet iconSet="3TrafficLights2" reverse="1">
        <cfvo type="percent" val="0"/>
        <cfvo type="num" val="1"/>
        <cfvo type="num" val="1"/>
      </iconSet>
    </cfRule>
  </conditionalFormatting>
  <conditionalFormatting sqref="AL63:AL64">
    <cfRule type="iconSet" priority="59">
      <iconSet iconSet="3TrafficLights2" reverse="1">
        <cfvo type="percent" val="0"/>
        <cfvo type="num" val="1"/>
        <cfvo type="num" val="1"/>
      </iconSet>
    </cfRule>
  </conditionalFormatting>
  <conditionalFormatting sqref="AL65">
    <cfRule type="iconSet" priority="44">
      <iconSet iconSet="3TrafficLights2" reverse="1">
        <cfvo type="percent" val="0"/>
        <cfvo type="num" val="1"/>
        <cfvo type="num" val="1"/>
      </iconSet>
    </cfRule>
  </conditionalFormatting>
  <conditionalFormatting sqref="AL66">
    <cfRule type="iconSet" priority="172">
      <iconSet iconSet="3TrafficLights2" reverse="1">
        <cfvo type="percent" val="0"/>
        <cfvo type="num" val="1"/>
        <cfvo type="num" val="1"/>
      </iconSet>
    </cfRule>
  </conditionalFormatting>
  <conditionalFormatting sqref="AL67">
    <cfRule type="iconSet" priority="147">
      <iconSet iconSet="3TrafficLights2" reverse="1">
        <cfvo type="percent" val="0"/>
        <cfvo type="num" val="1"/>
        <cfvo type="num" val="1"/>
      </iconSet>
    </cfRule>
  </conditionalFormatting>
  <conditionalFormatting sqref="AL100:AM104">
    <cfRule type="expression" dxfId="245" priority="181">
      <formula>AJ$9&gt;=20/24</formula>
    </cfRule>
    <cfRule type="expression" dxfId="244" priority="182">
      <formula>AND(AJ$9&gt;=14/24,AJ$9&lt;20/24)</formula>
    </cfRule>
    <cfRule type="expression" dxfId="243" priority="183">
      <formula>AND(AJ$9&gt;=8/24,AJ$9&lt;14/24)</formula>
    </cfRule>
    <cfRule type="expression" dxfId="242" priority="184">
      <formula>AJ$9&lt;8/24</formula>
    </cfRule>
  </conditionalFormatting>
  <conditionalFormatting sqref="AL99:AN99 AL105:AN105">
    <cfRule type="expression" dxfId="241" priority="153">
      <formula>AL$9&gt;=20/24</formula>
    </cfRule>
    <cfRule type="expression" dxfId="240" priority="154">
      <formula>AND(AL$9&gt;=14/24,AL$9&lt;20/24)</formula>
    </cfRule>
    <cfRule type="expression" dxfId="239" priority="155">
      <formula>AND(AL$9&gt;=8/24,AL$9&lt;14/24)</formula>
    </cfRule>
    <cfRule type="expression" dxfId="238" priority="156">
      <formula>AL$9&lt;8/24</formula>
    </cfRule>
  </conditionalFormatting>
  <conditionalFormatting sqref="AM15:AM21 AN16:AR21">
    <cfRule type="expression" dxfId="237" priority="77">
      <formula>AX$9&gt;=20/24</formula>
    </cfRule>
    <cfRule type="expression" dxfId="236" priority="78">
      <formula>AND(AX$9&gt;=14/24,AX$9&lt;20/24)</formula>
    </cfRule>
    <cfRule type="expression" dxfId="235" priority="79">
      <formula>AND(AX$9&gt;=8/24,AX$9&lt;14/24)</formula>
    </cfRule>
    <cfRule type="expression" dxfId="234" priority="80">
      <formula>AX$9&lt;8/24</formula>
    </cfRule>
  </conditionalFormatting>
  <conditionalFormatting sqref="AN100:AN103">
    <cfRule type="expression" dxfId="233" priority="149">
      <formula>AN$9&gt;=20/24</formula>
    </cfRule>
    <cfRule type="expression" dxfId="232" priority="150">
      <formula>AND(AN$9&gt;=14/24,AN$9&lt;20/24)</formula>
    </cfRule>
    <cfRule type="expression" dxfId="231" priority="151">
      <formula>AND(AN$9&gt;=8/24,AN$9&lt;14/24)</formula>
    </cfRule>
    <cfRule type="expression" dxfId="230" priority="152">
      <formula>AN$9&lt;8/24</formula>
    </cfRule>
  </conditionalFormatting>
  <conditionalFormatting sqref="AN15:AR15">
    <cfRule type="expression" dxfId="229" priority="65">
      <formula>U$9&gt;=20/24</formula>
    </cfRule>
    <cfRule type="expression" dxfId="228" priority="66">
      <formula>AND(U$9&gt;=14/24,U$9&lt;20/24)</formula>
    </cfRule>
    <cfRule type="expression" dxfId="227" priority="67">
      <formula>AND(U$9&gt;=8/24,U$9&lt;14/24)</formula>
    </cfRule>
    <cfRule type="expression" dxfId="226" priority="68">
      <formula>U$9&lt;8/24</formula>
    </cfRule>
  </conditionalFormatting>
  <conditionalFormatting sqref="AS15">
    <cfRule type="expression" dxfId="225" priority="73">
      <formula>AA$9&gt;=20/24</formula>
    </cfRule>
    <cfRule type="expression" dxfId="224" priority="74">
      <formula>AND(AA$9&gt;=14/24,AA$9&lt;20/24)</formula>
    </cfRule>
    <cfRule type="expression" dxfId="223" priority="75">
      <formula>AND(AA$9&gt;=8/24,AA$9&lt;14/24)</formula>
    </cfRule>
    <cfRule type="expression" dxfId="222" priority="76">
      <formula>AA$9&lt;8/24</formula>
    </cfRule>
  </conditionalFormatting>
  <conditionalFormatting sqref="AS16:AS21">
    <cfRule type="expression" dxfId="221" priority="81">
      <formula>BE$9&gt;=20/24</formula>
    </cfRule>
    <cfRule type="expression" dxfId="220" priority="82">
      <formula>AND(BE$9&gt;=14/24,BE$9&lt;20/24)</formula>
    </cfRule>
    <cfRule type="expression" dxfId="219" priority="83">
      <formula>AND(BE$9&gt;=8/24,BE$9&lt;14/24)</formula>
    </cfRule>
    <cfRule type="expression" dxfId="218" priority="84">
      <formula>BE$9&lt;8/24</formula>
    </cfRule>
  </conditionalFormatting>
  <conditionalFormatting sqref="AT15 AX15:BJ15">
    <cfRule type="expression" dxfId="217" priority="85">
      <formula>AC$9&gt;=20/24</formula>
    </cfRule>
    <cfRule type="expression" dxfId="216" priority="86">
      <formula>AND(AC$9&gt;=14/24,AC$9&lt;20/24)</formula>
    </cfRule>
    <cfRule type="expression" dxfId="215" priority="87">
      <formula>AND(AC$9&gt;=8/24,AC$9&lt;14/24)</formula>
    </cfRule>
    <cfRule type="expression" dxfId="214" priority="88">
      <formula>AC$9&lt;8/24</formula>
    </cfRule>
  </conditionalFormatting>
  <conditionalFormatting sqref="AT16:AT21">
    <cfRule type="expression" dxfId="213" priority="89">
      <formula>BG$9&gt;=20/24</formula>
    </cfRule>
    <cfRule type="expression" dxfId="212" priority="90">
      <formula>AND(BG$9&gt;=14/24,BG$9&lt;20/24)</formula>
    </cfRule>
    <cfRule type="expression" dxfId="211" priority="91">
      <formula>AND(BG$9&gt;=8/24,BG$9&lt;14/24)</formula>
    </cfRule>
    <cfRule type="expression" dxfId="210" priority="92">
      <formula>BG$9&lt;8/24</formula>
    </cfRule>
  </conditionalFormatting>
  <conditionalFormatting sqref="AU15:AV15">
    <cfRule type="expression" dxfId="209" priority="93">
      <formula>AE$9&gt;=20/24</formula>
    </cfRule>
    <cfRule type="expression" dxfId="208" priority="94">
      <formula>AND(AE$9&gt;=14/24,AE$9&lt;20/24)</formula>
    </cfRule>
    <cfRule type="expression" dxfId="207" priority="95">
      <formula>AND(AE$9&gt;=8/24,AE$9&lt;14/24)</formula>
    </cfRule>
    <cfRule type="expression" dxfId="206" priority="96">
      <formula>AE$9&lt;8/24</formula>
    </cfRule>
  </conditionalFormatting>
  <conditionalFormatting sqref="AU16:BJ21">
    <cfRule type="expression" dxfId="205" priority="97">
      <formula>BI$9&gt;=20/24</formula>
    </cfRule>
    <cfRule type="expression" dxfId="204" priority="98">
      <formula>AND(BI$9&gt;=14/24,BI$9&lt;20/24)</formula>
    </cfRule>
    <cfRule type="expression" dxfId="203" priority="99">
      <formula>AND(BI$9&gt;=8/24,BI$9&lt;14/24)</formula>
    </cfRule>
    <cfRule type="expression" dxfId="202" priority="100">
      <formula>BI$9&lt;8/24</formula>
    </cfRule>
  </conditionalFormatting>
  <conditionalFormatting sqref="AW15">
    <cfRule type="expression" dxfId="201" priority="69">
      <formula>B$9&gt;=20/24</formula>
    </cfRule>
    <cfRule type="expression" dxfId="200" priority="70">
      <formula>AND(B$9&gt;=14/24,B$9&lt;20/24)</formula>
    </cfRule>
    <cfRule type="expression" dxfId="199" priority="71">
      <formula>AND(B$9&gt;=8/24,B$9&lt;14/24)</formula>
    </cfRule>
    <cfRule type="expression" dxfId="198" priority="72">
      <formula>B$9&lt;8/24</formula>
    </cfRule>
  </conditionalFormatting>
  <conditionalFormatting sqref="A73">
    <cfRule type="expression" dxfId="197" priority="20">
      <formula>$AH73=0</formula>
    </cfRule>
  </conditionalFormatting>
  <conditionalFormatting sqref="G159:AF160 B97:F107 B137:F152 B109:F112 B125:F134 B154:F160 G133:I133 B11:P13">
    <cfRule type="expression" dxfId="196" priority="16">
      <formula>B$9&gt;=20/24</formula>
    </cfRule>
  </conditionalFormatting>
  <conditionalFormatting sqref="G159:AF160 B97:F107 B137:F152 B109:F112 B125:F134 B154:F160 G133:I133 B11:P13">
    <cfRule type="expression" dxfId="195" priority="17">
      <formula>AND(B$9&gt;=14/24,B$9&lt;20/24)</formula>
    </cfRule>
    <cfRule type="expression" dxfId="194" priority="18">
      <formula>AND(B$9&gt;=8/24,B$9&lt;14/24)</formula>
    </cfRule>
    <cfRule type="expression" dxfId="193" priority="19">
      <formula>B$9&lt;8/24</formula>
    </cfRule>
  </conditionalFormatting>
  <conditionalFormatting sqref="B14:P28">
    <cfRule type="expression" dxfId="192" priority="6">
      <formula>B14&gt;$AG14*1</formula>
    </cfRule>
    <cfRule type="expression" dxfId="191" priority="7">
      <formula>B$9&gt;=20/24</formula>
    </cfRule>
    <cfRule type="expression" dxfId="190" priority="8">
      <formula>AND(B$9&gt;=14/24,B$9&lt;20/24)</formula>
    </cfRule>
    <cfRule type="expression" dxfId="189" priority="9">
      <formula>AND(B$9&gt;=8/24,B$9&lt;14/24)</formula>
    </cfRule>
    <cfRule type="expression" dxfId="188" priority="10">
      <formula>B$9&lt;8/24</formula>
    </cfRule>
  </conditionalFormatting>
  <conditionalFormatting sqref="B162:B168">
    <cfRule type="expression" dxfId="187" priority="11">
      <formula>B$9&gt;=20/24</formula>
    </cfRule>
    <cfRule type="expression" dxfId="186" priority="12">
      <formula>AND(B$9&gt;=14/24,B$9&lt;20/24)</formula>
    </cfRule>
    <cfRule type="expression" dxfId="185" priority="13">
      <formula>AND(B$9&gt;=8/24,B$9&lt;14/24)</formula>
    </cfRule>
    <cfRule type="expression" dxfId="184" priority="14">
      <formula>B$9&lt;8/24</formula>
    </cfRule>
  </conditionalFormatting>
  <conditionalFormatting sqref="B170:B275">
    <cfRule type="expression" dxfId="183" priority="2">
      <formula>B$9&gt;=20/24</formula>
    </cfRule>
    <cfRule type="expression" dxfId="182" priority="3">
      <formula>AND(B$9&gt;=14/24,B$9&lt;20/24)</formula>
    </cfRule>
    <cfRule type="expression" dxfId="181" priority="4">
      <formula>AND(B$9&gt;=8/24,B$9&lt;14/24)</formula>
    </cfRule>
    <cfRule type="expression" dxfId="180" priority="5">
      <formula>B$9&lt;8/24</formula>
    </cfRule>
  </conditionalFormatting>
  <conditionalFormatting sqref="B11:P13">
    <cfRule type="expression" dxfId="179" priority="15">
      <formula>B11&gt;$AG11*1</formula>
    </cfRule>
  </conditionalFormatting>
  <conditionalFormatting sqref="A153">
    <cfRule type="expression" dxfId="178" priority="1">
      <formula>AND(ISNUMBER(SEARCH("Hrs", $A$153)), VALUE(TRIM(MID($A$153, SEARCH("m3/s,", $A$153)+5, SEARCH("Hrs", $A$153) - SEARCH("m3/s,", $A$153) - 5))) &lt;= 2)</formula>
    </cfRule>
  </conditionalFormatting>
  <pageMargins left="0.7" right="0.7" top="0.75" bottom="0.75" header="0.3" footer="0.3"/>
  <pageSetup paperSize="9" orientation="portrait" verticalDpi="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306"/>
  <sheetViews>
    <sheetView zoomScale="70" zoomScaleNormal="70" workbookViewId="0">
      <pane xSplit="1" ySplit="10" topLeftCell="B26" activePane="bottomRight" state="frozen"/>
      <selection activeCell="AF103" sqref="AF103"/>
      <selection pane="topRight" activeCell="AF103" sqref="AF103"/>
      <selection pane="bottomLeft" activeCell="AF103" sqref="AF103"/>
      <selection pane="bottomRight" activeCell="AF103" sqref="AF103"/>
    </sheetView>
  </sheetViews>
  <sheetFormatPr defaultColWidth="10.42578125" defaultRowHeight="15" x14ac:dyDescent="0.25"/>
  <cols>
    <col min="1" max="1" width="43.85546875" style="1" customWidth="1"/>
    <col min="2" max="2" width="7.7109375" style="1" customWidth="1"/>
    <col min="3" max="3" width="7" style="1" customWidth="1"/>
    <col min="4" max="4" width="8" style="1" customWidth="1"/>
    <col min="5" max="9" width="7.28515625" style="1" customWidth="1"/>
    <col min="10" max="10" width="7.140625" style="1" customWidth="1"/>
    <col min="11" max="13" width="6.85546875" style="1" customWidth="1"/>
    <col min="14" max="15" width="7.140625" style="1" customWidth="1"/>
    <col min="16" max="16" width="7.7109375" style="1" customWidth="1"/>
    <col min="17" max="17" width="8.140625" style="1" customWidth="1"/>
    <col min="18" max="18" width="7.140625" style="1" customWidth="1"/>
    <col min="19" max="19" width="8.28515625" style="1" customWidth="1"/>
    <col min="20" max="20" width="7.85546875" style="1" customWidth="1"/>
    <col min="21" max="21" width="7.5703125" style="1" customWidth="1"/>
    <col min="22" max="26" width="7.85546875" style="1" customWidth="1"/>
    <col min="27" max="27" width="8.140625" style="1" customWidth="1"/>
    <col min="28" max="32" width="7.85546875" style="1" customWidth="1"/>
    <col min="33" max="33" width="16.42578125" style="1" customWidth="1"/>
    <col min="34" max="35" width="9.140625" style="1" customWidth="1"/>
    <col min="36" max="36" width="10.42578125" style="1"/>
    <col min="37" max="37" width="12.7109375" style="1" customWidth="1"/>
    <col min="38" max="38" width="17.28515625" style="1" customWidth="1"/>
    <col min="39" max="39" width="8.42578125" style="1" customWidth="1"/>
    <col min="40" max="40" width="9" style="1" bestFit="1" customWidth="1"/>
    <col min="41" max="41" width="11.28515625" style="1" bestFit="1" customWidth="1"/>
    <col min="42" max="50" width="8.42578125" style="1" customWidth="1"/>
    <col min="51" max="57" width="10.42578125" style="1"/>
    <col min="58" max="58" width="12.7109375" style="1" customWidth="1"/>
    <col min="59" max="16384" width="10.42578125" style="1"/>
  </cols>
  <sheetData>
    <row r="1" spans="1:88" ht="36" hidden="1" customHeight="1" thickBot="1" x14ac:dyDescent="0.3">
      <c r="A1" s="243" t="s">
        <v>0</v>
      </c>
      <c r="B1" s="243"/>
      <c r="C1" s="243"/>
      <c r="D1" s="243"/>
      <c r="E1" s="243"/>
      <c r="F1" s="243"/>
      <c r="G1" s="243"/>
      <c r="H1" s="243"/>
      <c r="I1" s="243"/>
      <c r="J1" s="243"/>
      <c r="K1" s="243"/>
      <c r="L1" s="243"/>
      <c r="M1" s="243"/>
      <c r="N1" s="243"/>
      <c r="O1" s="243"/>
      <c r="P1" s="243"/>
      <c r="Q1" s="243"/>
      <c r="R1" s="243"/>
      <c r="S1" s="243"/>
      <c r="T1" s="243"/>
      <c r="U1" s="243"/>
      <c r="V1" s="243"/>
      <c r="W1" s="243"/>
      <c r="X1" s="243"/>
      <c r="Y1" s="243"/>
      <c r="Z1" s="243"/>
      <c r="AA1" s="243"/>
      <c r="AB1" s="243"/>
      <c r="AC1" s="243"/>
      <c r="AD1" s="243"/>
      <c r="AE1" s="243"/>
      <c r="AF1" s="243"/>
      <c r="AG1" s="244" t="s">
        <v>1</v>
      </c>
      <c r="AH1" s="244"/>
      <c r="AI1" s="244"/>
      <c r="AL1" s="2"/>
    </row>
    <row r="2" spans="1:88" ht="20.25" hidden="1" x14ac:dyDescent="0.25">
      <c r="A2" s="3"/>
      <c r="B2" s="245" t="s">
        <v>2</v>
      </c>
      <c r="C2" s="4"/>
      <c r="D2" s="247" t="s">
        <v>3</v>
      </c>
      <c r="E2" s="4"/>
      <c r="F2" s="247" t="s">
        <v>4</v>
      </c>
      <c r="G2" s="4"/>
      <c r="H2" s="247" t="s">
        <v>5</v>
      </c>
      <c r="I2" s="5"/>
      <c r="J2" s="249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AG71</f>
        <v>1812.2049999999999</v>
      </c>
      <c r="AH2" s="11" t="s">
        <v>7</v>
      </c>
      <c r="AI2" s="12"/>
      <c r="AM2" s="13"/>
      <c r="AN2" s="14"/>
      <c r="AO2" s="14"/>
    </row>
    <row r="3" spans="1:88" ht="19.5" hidden="1" thickBot="1" x14ac:dyDescent="0.3">
      <c r="A3" s="15"/>
      <c r="B3" s="246"/>
      <c r="C3" s="16"/>
      <c r="D3" s="248"/>
      <c r="E3" s="16"/>
      <c r="F3" s="248"/>
      <c r="G3" s="16"/>
      <c r="H3" s="248"/>
      <c r="I3" s="17"/>
      <c r="J3" s="249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AG92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" hidden="1" customHeight="1" x14ac:dyDescent="0.25">
      <c r="A4" s="25" t="s">
        <v>11</v>
      </c>
      <c r="B4" s="238" t="e">
        <f ca="1">"2080/"&amp;"10/"&amp;INT(MID(CELL("filename",D6),FIND("]",CELL("filename",D6))+1,200))</f>
        <v>#VALUE!</v>
      </c>
      <c r="C4" s="238"/>
      <c r="D4" s="238"/>
      <c r="E4" s="239" t="e">
        <f ca="1">"2080/"&amp;"10/"&amp;INT(MID(CELL("filename",G6),FIND("]",CELL("filename",G6))+1,200))</f>
        <v>#VALUE!</v>
      </c>
      <c r="F4" s="239"/>
      <c r="G4" s="239"/>
      <c r="H4" s="239" t="e">
        <f ca="1">TEXT(E4,"dddd")</f>
        <v>#VALUE!</v>
      </c>
      <c r="I4" s="239"/>
      <c r="J4" s="26"/>
      <c r="K4" s="1" t="e">
        <f>"Total Peak Supply(Inclusive of Export) ("&amp;ROUND(#REF!,0)&amp;" MW)"&amp;"    IPP   = "&amp;ROUND(#REF!,0)&amp;" MW     NEA RoR = "&amp;ROUND(#REF!,0)&amp;" MWImport   = "&amp;ROUND(#REF!,0)&amp;" MW      KL1+KL2+K3 = "&amp;ROUND(#REF!,0)&amp;" MW    EXPORT = "&amp;ROUND(#REF!,0)</f>
        <v>#REF!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AG96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hidden="1" customHeight="1" x14ac:dyDescent="0.25">
      <c r="A5" s="29"/>
      <c r="B5" s="30">
        <f t="shared" ref="B5:AE5" si="0">C108</f>
        <v>0</v>
      </c>
      <c r="C5" s="30">
        <f t="shared" si="0"/>
        <v>0</v>
      </c>
      <c r="D5" s="30">
        <f t="shared" si="0"/>
        <v>0</v>
      </c>
      <c r="E5" s="30">
        <f t="shared" si="0"/>
        <v>0</v>
      </c>
      <c r="F5" s="30">
        <f t="shared" si="0"/>
        <v>0</v>
      </c>
      <c r="G5" s="30">
        <f t="shared" si="0"/>
        <v>0</v>
      </c>
      <c r="H5" s="30">
        <f t="shared" si="0"/>
        <v>0</v>
      </c>
      <c r="I5" s="30">
        <f t="shared" si="0"/>
        <v>0</v>
      </c>
      <c r="J5" s="30">
        <f t="shared" si="0"/>
        <v>0</v>
      </c>
      <c r="K5" s="30">
        <f t="shared" si="0"/>
        <v>0</v>
      </c>
      <c r="L5" s="30">
        <f t="shared" si="0"/>
        <v>0</v>
      </c>
      <c r="M5" s="30">
        <f t="shared" si="0"/>
        <v>0</v>
      </c>
      <c r="N5" s="30">
        <f t="shared" si="0"/>
        <v>0</v>
      </c>
      <c r="O5" s="30">
        <f t="shared" si="0"/>
        <v>0</v>
      </c>
      <c r="P5" s="30">
        <f t="shared" si="0"/>
        <v>0</v>
      </c>
      <c r="Q5" s="30">
        <f t="shared" si="0"/>
        <v>0</v>
      </c>
      <c r="R5" s="30">
        <f t="shared" si="0"/>
        <v>0</v>
      </c>
      <c r="S5" s="30">
        <f t="shared" si="0"/>
        <v>0</v>
      </c>
      <c r="T5" s="30">
        <f t="shared" si="0"/>
        <v>0</v>
      </c>
      <c r="U5" s="30">
        <f t="shared" si="0"/>
        <v>0</v>
      </c>
      <c r="V5" s="30">
        <f t="shared" si="0"/>
        <v>0</v>
      </c>
      <c r="W5" s="30">
        <f t="shared" si="0"/>
        <v>0</v>
      </c>
      <c r="X5" s="30">
        <f t="shared" si="0"/>
        <v>0</v>
      </c>
      <c r="Y5" s="30">
        <f t="shared" si="0"/>
        <v>0</v>
      </c>
      <c r="Z5" s="30">
        <f t="shared" si="0"/>
        <v>0</v>
      </c>
      <c r="AA5" s="30">
        <f>AB108</f>
        <v>0</v>
      </c>
      <c r="AB5" s="30">
        <f t="shared" si="0"/>
        <v>0</v>
      </c>
      <c r="AC5" s="30">
        <f t="shared" si="0"/>
        <v>0</v>
      </c>
      <c r="AD5" s="30">
        <f t="shared" si="0"/>
        <v>0</v>
      </c>
      <c r="AE5" s="30">
        <f t="shared" si="0"/>
        <v>0</v>
      </c>
      <c r="AF5" s="30">
        <f>B108</f>
        <v>0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24.75" hidden="1" customHeight="1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e">
        <f>"Evening Peak "&amp;ROUND(#REF!,0)&amp;"MW at "&amp;TRUNC(#REF!*24,0)&amp;":"&amp;ROUND((#REF!*24-TRUNC(#REF!*24,0))*60,0)&amp;"hr at "&amp;ROUND(#REF!,1)&amp;"Hz     "&amp;#REF!&amp;" "&amp;ROUND(#REF!,0)&amp;"MW at "&amp;TRUNC(#REF!*24,0)&amp;":"&amp;ROUND((#REF!*24-TRUNC(#REF!*24,0))*6,0)&amp;"0hr"</f>
        <v>#REF!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2408.1149999999998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Load=252</v>
      </c>
      <c r="B7" s="35">
        <f t="shared" ref="B7:AF7" si="1">B116</f>
        <v>702</v>
      </c>
      <c r="C7" s="35">
        <f t="shared" si="1"/>
        <v>252</v>
      </c>
      <c r="D7" s="35">
        <f t="shared" si="1"/>
        <v>252</v>
      </c>
      <c r="E7" s="35">
        <f t="shared" si="1"/>
        <v>252</v>
      </c>
      <c r="F7" s="35">
        <f t="shared" si="1"/>
        <v>252</v>
      </c>
      <c r="G7" s="35">
        <f t="shared" si="1"/>
        <v>252</v>
      </c>
      <c r="H7" s="35">
        <f t="shared" si="1"/>
        <v>252</v>
      </c>
      <c r="I7" s="35">
        <f t="shared" si="1"/>
        <v>252</v>
      </c>
      <c r="J7" s="35">
        <f t="shared" si="1"/>
        <v>252</v>
      </c>
      <c r="K7" s="35">
        <f t="shared" si="1"/>
        <v>252</v>
      </c>
      <c r="L7" s="35">
        <f t="shared" si="1"/>
        <v>252</v>
      </c>
      <c r="M7" s="35">
        <f t="shared" si="1"/>
        <v>252</v>
      </c>
      <c r="N7" s="35">
        <f t="shared" si="1"/>
        <v>252</v>
      </c>
      <c r="O7" s="35">
        <f t="shared" si="1"/>
        <v>252</v>
      </c>
      <c r="P7" s="35">
        <f t="shared" si="1"/>
        <v>252</v>
      </c>
      <c r="Q7" s="35">
        <f t="shared" si="1"/>
        <v>252</v>
      </c>
      <c r="R7" s="35">
        <f t="shared" si="1"/>
        <v>252</v>
      </c>
      <c r="S7" s="35">
        <f t="shared" si="1"/>
        <v>252</v>
      </c>
      <c r="T7" s="35">
        <f t="shared" si="1"/>
        <v>252</v>
      </c>
      <c r="U7" s="35">
        <f t="shared" si="1"/>
        <v>252</v>
      </c>
      <c r="V7" s="35">
        <f t="shared" si="1"/>
        <v>252</v>
      </c>
      <c r="W7" s="35">
        <f t="shared" si="1"/>
        <v>252</v>
      </c>
      <c r="X7" s="35">
        <f t="shared" si="1"/>
        <v>252</v>
      </c>
      <c r="Y7" s="35">
        <f t="shared" si="1"/>
        <v>252</v>
      </c>
      <c r="Z7" s="35">
        <f t="shared" si="1"/>
        <v>252</v>
      </c>
      <c r="AA7" s="35">
        <f t="shared" si="1"/>
        <v>252</v>
      </c>
      <c r="AB7" s="35">
        <f>AB116</f>
        <v>252</v>
      </c>
      <c r="AC7" s="35">
        <f t="shared" si="1"/>
        <v>252</v>
      </c>
      <c r="AD7" s="35">
        <f t="shared" si="1"/>
        <v>252</v>
      </c>
      <c r="AE7" s="35">
        <f t="shared" si="1"/>
        <v>252</v>
      </c>
      <c r="AF7" s="35">
        <f t="shared" si="1"/>
        <v>252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6.5" thickTop="1" thickBot="1" x14ac:dyDescent="0.3">
      <c r="A8" s="38"/>
      <c r="B8" s="240" t="s">
        <v>14</v>
      </c>
      <c r="C8" s="241"/>
      <c r="D8" s="241"/>
      <c r="E8" s="241"/>
      <c r="F8" s="241"/>
      <c r="G8" s="241"/>
      <c r="H8" s="241"/>
      <c r="I8" s="241"/>
      <c r="J8" s="241"/>
      <c r="K8" s="241"/>
      <c r="L8" s="242"/>
      <c r="M8" s="233" t="s">
        <v>15</v>
      </c>
      <c r="N8" s="234"/>
      <c r="O8" s="234"/>
      <c r="P8" s="234"/>
      <c r="Q8" s="234"/>
      <c r="R8" s="235"/>
      <c r="S8" s="233" t="s">
        <v>16</v>
      </c>
      <c r="T8" s="234"/>
      <c r="U8" s="234"/>
      <c r="V8" s="234"/>
      <c r="W8" s="234"/>
      <c r="X8" s="234"/>
      <c r="Y8" s="234"/>
      <c r="Z8" s="234"/>
      <c r="AA8" s="235"/>
      <c r="AB8" s="233" t="s">
        <v>17</v>
      </c>
      <c r="AC8" s="234"/>
      <c r="AD8" s="234"/>
      <c r="AE8" s="234"/>
      <c r="AF8" s="235"/>
      <c r="AG8" s="39"/>
      <c r="AH8" s="224"/>
      <c r="AI8" s="224"/>
      <c r="AL8" s="28"/>
      <c r="AM8" s="24"/>
      <c r="AN8" s="24"/>
      <c r="AO8" s="24"/>
      <c r="AP8" s="24"/>
      <c r="AQ8" s="24"/>
      <c r="AR8" s="24"/>
      <c r="AS8" s="24"/>
      <c r="AT8" s="40" t="str">
        <f>"DAILY SYSTEM PEAK : "&amp;MAX(AM22:BJ22)&amp;" MW"</f>
        <v>DAILY SYSTEM PEAK : 702 MW</v>
      </c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thickBot="1" x14ac:dyDescent="0.3">
      <c r="A9" s="236" t="s">
        <v>18</v>
      </c>
      <c r="B9" s="230">
        <v>0</v>
      </c>
      <c r="C9" s="230">
        <v>4.1666666666666664E-2</v>
      </c>
      <c r="D9" s="230">
        <v>8.3333333333333301E-2</v>
      </c>
      <c r="E9" s="230">
        <v>0.125</v>
      </c>
      <c r="F9" s="230">
        <v>0.16666666666666699</v>
      </c>
      <c r="G9" s="230">
        <v>0.20833333333333301</v>
      </c>
      <c r="H9" s="230">
        <v>0.22916666666666699</v>
      </c>
      <c r="I9" s="230">
        <v>0.25</v>
      </c>
      <c r="J9" s="230">
        <v>0.27083333333333298</v>
      </c>
      <c r="K9" s="230">
        <v>0.29166666666666702</v>
      </c>
      <c r="L9" s="230">
        <v>0.3125</v>
      </c>
      <c r="M9" s="231">
        <v>0.33333333333333298</v>
      </c>
      <c r="N9" s="231">
        <v>0.375</v>
      </c>
      <c r="O9" s="231">
        <v>0.41666666666666702</v>
      </c>
      <c r="P9" s="231">
        <v>0.45833333333333298</v>
      </c>
      <c r="Q9" s="231">
        <v>0.5</v>
      </c>
      <c r="R9" s="231">
        <v>0.54166666666666696</v>
      </c>
      <c r="S9" s="224">
        <v>0.58333333333333304</v>
      </c>
      <c r="T9" s="224">
        <v>0.625</v>
      </c>
      <c r="U9" s="224">
        <v>0.66666666666666696</v>
      </c>
      <c r="V9" s="224">
        <v>0.70833333333333304</v>
      </c>
      <c r="W9" s="224">
        <v>0.72916666666666696</v>
      </c>
      <c r="X9" s="224">
        <v>0.75</v>
      </c>
      <c r="Y9" s="224">
        <v>0.77083333333333304</v>
      </c>
      <c r="Z9" s="224">
        <v>0.79166666666666696</v>
      </c>
      <c r="AA9" s="224">
        <v>0.8125</v>
      </c>
      <c r="AB9" s="224">
        <v>0.83333333333333304</v>
      </c>
      <c r="AC9" s="224">
        <v>0.85416666666666696</v>
      </c>
      <c r="AD9" s="224">
        <v>0.875</v>
      </c>
      <c r="AE9" s="224">
        <v>0.91666666666666696</v>
      </c>
      <c r="AF9" s="224">
        <v>0.95833333333333304</v>
      </c>
      <c r="AG9" s="226" t="s">
        <v>1</v>
      </c>
      <c r="AH9" s="225"/>
      <c r="AI9" s="225"/>
      <c r="AL9" s="28"/>
      <c r="AM9" s="24"/>
      <c r="AN9" s="24"/>
      <c r="AO9" s="24"/>
      <c r="AP9" s="24"/>
      <c r="AQ9" s="24"/>
      <c r="AR9" s="24"/>
      <c r="AS9" s="24"/>
      <c r="AT9" s="40" t="str">
        <f>"DAILY NATIONAL PEAK : "&amp;MAX(AM25:BJ25)&amp;" MW"</f>
        <v>DAILY NATIONAL PEAK : 702 MW</v>
      </c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6.5" thickTop="1" thickBot="1" x14ac:dyDescent="0.3">
      <c r="A10" s="237"/>
      <c r="B10" s="230"/>
      <c r="C10" s="230"/>
      <c r="D10" s="230"/>
      <c r="E10" s="230"/>
      <c r="F10" s="230"/>
      <c r="G10" s="230"/>
      <c r="H10" s="225"/>
      <c r="I10" s="225"/>
      <c r="J10" s="225"/>
      <c r="K10" s="225"/>
      <c r="L10" s="225"/>
      <c r="M10" s="232"/>
      <c r="N10" s="232"/>
      <c r="O10" s="232"/>
      <c r="P10" s="232"/>
      <c r="Q10" s="232"/>
      <c r="R10" s="232"/>
      <c r="S10" s="225"/>
      <c r="T10" s="225"/>
      <c r="U10" s="225"/>
      <c r="V10" s="225"/>
      <c r="W10" s="225"/>
      <c r="X10" s="225"/>
      <c r="Y10" s="225"/>
      <c r="Z10" s="225"/>
      <c r="AA10" s="225"/>
      <c r="AB10" s="225"/>
      <c r="AC10" s="225"/>
      <c r="AD10" s="225"/>
      <c r="AE10" s="225"/>
      <c r="AF10" s="225"/>
      <c r="AG10" s="227"/>
      <c r="AH10" s="41" t="s">
        <v>19</v>
      </c>
      <c r="AI10" s="41" t="s">
        <v>20</v>
      </c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customHeight="1" thickTop="1" x14ac:dyDescent="0.25">
      <c r="A11" s="42" t="s">
        <v>21</v>
      </c>
      <c r="B11" s="43"/>
      <c r="C11" s="43"/>
      <c r="D11" s="43"/>
      <c r="E11" s="43"/>
      <c r="F11" s="43"/>
      <c r="G11" s="43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5">
        <v>86</v>
      </c>
      <c r="AH11" s="46">
        <f t="shared" ref="AH11:AH74" si="2">MAX(B11:AF11)</f>
        <v>0</v>
      </c>
      <c r="AI11" s="47">
        <f t="shared" ref="AI11:AI74" si="3">MIN(B11:AF11)</f>
        <v>0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2" t="s">
        <v>22</v>
      </c>
      <c r="B12" s="43"/>
      <c r="C12" s="43"/>
      <c r="D12" s="43"/>
      <c r="E12" s="43"/>
      <c r="F12" s="43"/>
      <c r="G12" s="43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8">
        <v>82</v>
      </c>
      <c r="AH12" s="46">
        <f t="shared" si="2"/>
        <v>0</v>
      </c>
      <c r="AI12" s="47">
        <f t="shared" si="3"/>
        <v>0</v>
      </c>
      <c r="AK12" s="49"/>
      <c r="AL12" s="50" t="str">
        <f ca="1">MID(CELL("filename",C7),FIND("]",CELL("filename",C7))+1,600)</f>
        <v>Sample</v>
      </c>
      <c r="AM12" s="51"/>
      <c r="AN12" s="51"/>
      <c r="AO12" s="51"/>
      <c r="AP12" s="51"/>
      <c r="AQ12" s="51"/>
      <c r="AR12" s="51"/>
      <c r="AS12" s="51"/>
      <c r="AT12" s="51"/>
      <c r="AU12" s="51"/>
      <c r="AV12" s="51"/>
      <c r="AW12" s="51"/>
      <c r="AX12" s="51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2" t="s">
        <v>23</v>
      </c>
      <c r="B13" s="43"/>
      <c r="C13" s="43"/>
      <c r="D13" s="43"/>
      <c r="E13" s="43"/>
      <c r="F13" s="43"/>
      <c r="G13" s="43"/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8">
        <v>78</v>
      </c>
      <c r="AH13" s="46">
        <f t="shared" si="2"/>
        <v>0</v>
      </c>
      <c r="AI13" s="47">
        <f t="shared" si="3"/>
        <v>0</v>
      </c>
      <c r="AK13" s="49"/>
      <c r="AL13" s="50" t="e">
        <f ca="1">"Daily Load Curve(Excluding of Export) of Nepal ("&amp;A4&amp;" "&amp;B4&amp;")"</f>
        <v>#VALUE!</v>
      </c>
      <c r="AM13" s="51"/>
      <c r="AN13" s="51"/>
      <c r="AO13" s="51"/>
      <c r="AP13" s="51"/>
      <c r="AQ13" s="51"/>
      <c r="AR13" s="51"/>
      <c r="AS13" s="51"/>
      <c r="AT13" s="51"/>
      <c r="AU13" s="51"/>
      <c r="AV13" s="51"/>
      <c r="AW13" s="51"/>
      <c r="AX13" s="51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ht="15.75" thickBot="1" x14ac:dyDescent="0.3">
      <c r="A14" s="42" t="s">
        <v>24</v>
      </c>
      <c r="B14" s="43"/>
      <c r="C14" s="43"/>
      <c r="D14" s="43"/>
      <c r="E14" s="43"/>
      <c r="F14" s="43"/>
      <c r="G14" s="43"/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8">
        <v>77</v>
      </c>
      <c r="AH14" s="46">
        <f t="shared" si="2"/>
        <v>0</v>
      </c>
      <c r="AI14" s="47">
        <f t="shared" si="3"/>
        <v>0</v>
      </c>
      <c r="AK14" s="49"/>
      <c r="AL14" s="51"/>
      <c r="AM14" s="51"/>
      <c r="AN14" s="51"/>
      <c r="AO14" s="51"/>
      <c r="AP14" s="51"/>
      <c r="AQ14" s="51"/>
      <c r="AR14" s="51"/>
      <c r="AS14" s="51"/>
      <c r="AT14" s="51"/>
      <c r="AU14" s="51"/>
      <c r="AV14" s="51"/>
      <c r="AW14" s="51"/>
      <c r="AX14" s="51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ht="15.75" thickTop="1" x14ac:dyDescent="0.25">
      <c r="A15" s="42" t="s">
        <v>25</v>
      </c>
      <c r="B15" s="43"/>
      <c r="C15" s="43"/>
      <c r="D15" s="43"/>
      <c r="E15" s="43"/>
      <c r="F15" s="43"/>
      <c r="G15" s="43"/>
      <c r="H15" s="44"/>
      <c r="I15" s="44"/>
      <c r="J15" s="44"/>
      <c r="K15" s="43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8">
        <v>73</v>
      </c>
      <c r="AH15" s="46">
        <f t="shared" si="2"/>
        <v>0</v>
      </c>
      <c r="AI15" s="47">
        <f t="shared" si="3"/>
        <v>0</v>
      </c>
      <c r="AK15" s="49"/>
      <c r="AL15" s="52" t="s">
        <v>26</v>
      </c>
      <c r="AM15" s="53">
        <v>0</v>
      </c>
      <c r="AN15" s="54">
        <v>4.1666666666666699E-2</v>
      </c>
      <c r="AO15" s="55">
        <v>8.3333333333333301E-2</v>
      </c>
      <c r="AP15" s="55">
        <v>0.125</v>
      </c>
      <c r="AQ15" s="55">
        <v>0.16666666666666699</v>
      </c>
      <c r="AR15" s="55">
        <v>0.20833333333333301</v>
      </c>
      <c r="AS15" s="55">
        <v>0.25</v>
      </c>
      <c r="AT15" s="55">
        <v>0.29166666666666702</v>
      </c>
      <c r="AU15" s="56">
        <v>0.33333333333333298</v>
      </c>
      <c r="AV15" s="56">
        <v>0.375</v>
      </c>
      <c r="AW15" s="56">
        <v>0.41666666666666702</v>
      </c>
      <c r="AX15" s="56">
        <v>0.45833333333333298</v>
      </c>
      <c r="AY15" s="56">
        <v>0.5</v>
      </c>
      <c r="AZ15" s="56">
        <v>0.54166666666666596</v>
      </c>
      <c r="BA15" s="56">
        <v>0.58333333333333304</v>
      </c>
      <c r="BB15" s="56">
        <v>0.625</v>
      </c>
      <c r="BC15" s="56">
        <v>0.66666666666666596</v>
      </c>
      <c r="BD15" s="56">
        <v>0.70833333333333304</v>
      </c>
      <c r="BE15" s="56">
        <v>0.75</v>
      </c>
      <c r="BF15" s="56">
        <v>0.79166666666666596</v>
      </c>
      <c r="BG15" s="56">
        <v>0.83333333333333304</v>
      </c>
      <c r="BH15" s="56">
        <v>0.875</v>
      </c>
      <c r="BI15" s="56">
        <v>0.91666666666666596</v>
      </c>
      <c r="BJ15" s="56">
        <v>0.95833333333333304</v>
      </c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2" t="s">
        <v>27</v>
      </c>
      <c r="B16" s="43"/>
      <c r="C16" s="43"/>
      <c r="D16" s="43"/>
      <c r="E16" s="43"/>
      <c r="F16" s="43"/>
      <c r="G16" s="43"/>
      <c r="H16" s="44"/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8">
        <v>71</v>
      </c>
      <c r="AH16" s="46">
        <f t="shared" si="2"/>
        <v>0</v>
      </c>
      <c r="AI16" s="47">
        <f t="shared" si="3"/>
        <v>0</v>
      </c>
      <c r="AK16" s="49"/>
      <c r="AL16" s="52" t="s">
        <v>7</v>
      </c>
      <c r="AM16" s="57">
        <f t="shared" ref="AM16:AR16" si="4">B71</f>
        <v>250</v>
      </c>
      <c r="AN16" s="57">
        <f t="shared" si="4"/>
        <v>250</v>
      </c>
      <c r="AO16" s="57">
        <f t="shared" si="4"/>
        <v>250</v>
      </c>
      <c r="AP16" s="57">
        <f t="shared" si="4"/>
        <v>250</v>
      </c>
      <c r="AQ16" s="57">
        <f t="shared" si="4"/>
        <v>250</v>
      </c>
      <c r="AR16" s="57">
        <f t="shared" si="4"/>
        <v>250</v>
      </c>
      <c r="AS16" s="57">
        <f>I71</f>
        <v>250</v>
      </c>
      <c r="AT16" s="57">
        <f>K71</f>
        <v>250</v>
      </c>
      <c r="AU16" s="57">
        <f t="shared" ref="AU16:BD16" si="5">M71</f>
        <v>250</v>
      </c>
      <c r="AV16" s="57">
        <f t="shared" si="5"/>
        <v>250</v>
      </c>
      <c r="AW16" s="57">
        <f t="shared" si="5"/>
        <v>250</v>
      </c>
      <c r="AX16" s="57">
        <f t="shared" si="5"/>
        <v>250</v>
      </c>
      <c r="AY16" s="57">
        <f t="shared" si="5"/>
        <v>250</v>
      </c>
      <c r="AZ16" s="57">
        <f t="shared" si="5"/>
        <v>250</v>
      </c>
      <c r="BA16" s="57">
        <f t="shared" si="5"/>
        <v>250</v>
      </c>
      <c r="BB16" s="57">
        <f t="shared" si="5"/>
        <v>250</v>
      </c>
      <c r="BC16" s="57">
        <f t="shared" si="5"/>
        <v>250</v>
      </c>
      <c r="BD16" s="57">
        <f t="shared" si="5"/>
        <v>250</v>
      </c>
      <c r="BE16" s="58">
        <f>X71</f>
        <v>250</v>
      </c>
      <c r="BF16" s="58">
        <f>Z71</f>
        <v>250</v>
      </c>
      <c r="BG16" s="58">
        <f>AB71</f>
        <v>250</v>
      </c>
      <c r="BH16" s="58">
        <f>AD71</f>
        <v>250</v>
      </c>
      <c r="BI16" s="58">
        <f>AE71</f>
        <v>250</v>
      </c>
      <c r="BJ16" s="58">
        <f>AF71</f>
        <v>250</v>
      </c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2" t="s">
        <v>28</v>
      </c>
      <c r="B17" s="44"/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5">
        <v>54</v>
      </c>
      <c r="AH17" s="46">
        <f t="shared" si="2"/>
        <v>0</v>
      </c>
      <c r="AI17" s="47">
        <f t="shared" si="3"/>
        <v>0</v>
      </c>
      <c r="AK17" s="49"/>
      <c r="AL17" s="52" t="s">
        <v>29</v>
      </c>
      <c r="AM17" s="57">
        <f t="shared" ref="AM17:AR17" si="6">B78</f>
        <v>450</v>
      </c>
      <c r="AN17" s="57">
        <f t="shared" si="6"/>
        <v>0</v>
      </c>
      <c r="AO17" s="57">
        <f t="shared" si="6"/>
        <v>0</v>
      </c>
      <c r="AP17" s="57">
        <f t="shared" si="6"/>
        <v>0</v>
      </c>
      <c r="AQ17" s="57">
        <f t="shared" si="6"/>
        <v>0</v>
      </c>
      <c r="AR17" s="57">
        <f t="shared" si="6"/>
        <v>0</v>
      </c>
      <c r="AS17" s="57">
        <f>I78</f>
        <v>0</v>
      </c>
      <c r="AT17" s="57">
        <f>K78</f>
        <v>0</v>
      </c>
      <c r="AU17" s="57">
        <f t="shared" ref="AU17:BD17" si="7">M78</f>
        <v>0</v>
      </c>
      <c r="AV17" s="57">
        <f t="shared" si="7"/>
        <v>0</v>
      </c>
      <c r="AW17" s="57">
        <f t="shared" si="7"/>
        <v>0</v>
      </c>
      <c r="AX17" s="57">
        <f t="shared" si="7"/>
        <v>0</v>
      </c>
      <c r="AY17" s="57">
        <f t="shared" si="7"/>
        <v>0</v>
      </c>
      <c r="AZ17" s="57">
        <f t="shared" si="7"/>
        <v>0</v>
      </c>
      <c r="BA17" s="57">
        <f t="shared" si="7"/>
        <v>0</v>
      </c>
      <c r="BB17" s="57">
        <f t="shared" si="7"/>
        <v>0</v>
      </c>
      <c r="BC17" s="57">
        <f t="shared" si="7"/>
        <v>0</v>
      </c>
      <c r="BD17" s="57">
        <f t="shared" si="7"/>
        <v>0</v>
      </c>
      <c r="BE17" s="58">
        <f>X78</f>
        <v>0</v>
      </c>
      <c r="BF17" s="58">
        <f>Z78</f>
        <v>0</v>
      </c>
      <c r="BG17" s="58">
        <f>AB78</f>
        <v>0</v>
      </c>
      <c r="BH17" s="58">
        <f>AD78</f>
        <v>0</v>
      </c>
      <c r="BI17" s="58">
        <f>AE78</f>
        <v>0</v>
      </c>
      <c r="BJ17" s="58">
        <f>AF78</f>
        <v>0</v>
      </c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2" t="s">
        <v>30</v>
      </c>
      <c r="B18" s="44"/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8">
        <v>52.465000000000003</v>
      </c>
      <c r="AH18" s="46">
        <f t="shared" si="2"/>
        <v>0</v>
      </c>
      <c r="AI18" s="47">
        <f t="shared" si="3"/>
        <v>0</v>
      </c>
      <c r="AK18" s="49"/>
      <c r="AL18" s="52" t="s">
        <v>31</v>
      </c>
      <c r="AM18" s="57">
        <f t="shared" ref="AM18:AR18" si="8">B92</f>
        <v>2</v>
      </c>
      <c r="AN18" s="57">
        <f t="shared" si="8"/>
        <v>2</v>
      </c>
      <c r="AO18" s="57">
        <f t="shared" si="8"/>
        <v>2</v>
      </c>
      <c r="AP18" s="57">
        <f t="shared" si="8"/>
        <v>2</v>
      </c>
      <c r="AQ18" s="57">
        <f t="shared" si="8"/>
        <v>2</v>
      </c>
      <c r="AR18" s="57">
        <f t="shared" si="8"/>
        <v>2</v>
      </c>
      <c r="AS18" s="57">
        <f>I92</f>
        <v>2</v>
      </c>
      <c r="AT18" s="57">
        <f>K92</f>
        <v>2</v>
      </c>
      <c r="AU18" s="57">
        <f t="shared" ref="AU18:BD18" si="9">M92</f>
        <v>2</v>
      </c>
      <c r="AV18" s="57">
        <f t="shared" si="9"/>
        <v>2</v>
      </c>
      <c r="AW18" s="57">
        <f t="shared" si="9"/>
        <v>2</v>
      </c>
      <c r="AX18" s="57">
        <f t="shared" si="9"/>
        <v>2</v>
      </c>
      <c r="AY18" s="57">
        <f t="shared" si="9"/>
        <v>2</v>
      </c>
      <c r="AZ18" s="57">
        <f t="shared" si="9"/>
        <v>2</v>
      </c>
      <c r="BA18" s="57">
        <f t="shared" si="9"/>
        <v>2</v>
      </c>
      <c r="BB18" s="57">
        <f t="shared" si="9"/>
        <v>2</v>
      </c>
      <c r="BC18" s="57">
        <f t="shared" si="9"/>
        <v>2</v>
      </c>
      <c r="BD18" s="57">
        <f t="shared" si="9"/>
        <v>2</v>
      </c>
      <c r="BE18" s="58">
        <f>X92</f>
        <v>2</v>
      </c>
      <c r="BF18" s="58">
        <f>Z92</f>
        <v>2</v>
      </c>
      <c r="BG18" s="58">
        <f>AB92</f>
        <v>2</v>
      </c>
      <c r="BH18" s="58">
        <f>AD92</f>
        <v>2</v>
      </c>
      <c r="BI18" s="58">
        <f>AE92</f>
        <v>2</v>
      </c>
      <c r="BJ18" s="58">
        <f>AF92</f>
        <v>2</v>
      </c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2" t="s">
        <v>32</v>
      </c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8">
        <v>52.4</v>
      </c>
      <c r="AH19" s="46">
        <f t="shared" si="2"/>
        <v>0</v>
      </c>
      <c r="AI19" s="47">
        <f t="shared" si="3"/>
        <v>0</v>
      </c>
      <c r="AK19" s="49"/>
      <c r="AL19" s="52" t="s">
        <v>33</v>
      </c>
      <c r="AM19" s="57">
        <f t="shared" ref="AM19:AR19" si="10">B108</f>
        <v>0</v>
      </c>
      <c r="AN19" s="57">
        <f t="shared" si="10"/>
        <v>0</v>
      </c>
      <c r="AO19" s="57">
        <f t="shared" si="10"/>
        <v>0</v>
      </c>
      <c r="AP19" s="57">
        <f t="shared" si="10"/>
        <v>0</v>
      </c>
      <c r="AQ19" s="57">
        <f t="shared" si="10"/>
        <v>0</v>
      </c>
      <c r="AR19" s="57">
        <f t="shared" si="10"/>
        <v>0</v>
      </c>
      <c r="AS19" s="57">
        <f>I108</f>
        <v>0</v>
      </c>
      <c r="AT19" s="57">
        <f>K108</f>
        <v>0</v>
      </c>
      <c r="AU19" s="57">
        <f t="shared" ref="AU19:BD19" si="11">M108</f>
        <v>0</v>
      </c>
      <c r="AV19" s="57">
        <f t="shared" si="11"/>
        <v>0</v>
      </c>
      <c r="AW19" s="57">
        <f t="shared" si="11"/>
        <v>0</v>
      </c>
      <c r="AX19" s="57">
        <f t="shared" si="11"/>
        <v>0</v>
      </c>
      <c r="AY19" s="57">
        <f t="shared" si="11"/>
        <v>0</v>
      </c>
      <c r="AZ19" s="57">
        <f t="shared" si="11"/>
        <v>0</v>
      </c>
      <c r="BA19" s="57">
        <f t="shared" si="11"/>
        <v>0</v>
      </c>
      <c r="BB19" s="57">
        <f t="shared" si="11"/>
        <v>0</v>
      </c>
      <c r="BC19" s="57">
        <f t="shared" si="11"/>
        <v>0</v>
      </c>
      <c r="BD19" s="57">
        <f t="shared" si="11"/>
        <v>0</v>
      </c>
      <c r="BE19" s="58">
        <f>X108</f>
        <v>0</v>
      </c>
      <c r="BF19" s="58">
        <f>Z108</f>
        <v>0</v>
      </c>
      <c r="BG19" s="58">
        <f>AB108</f>
        <v>0</v>
      </c>
      <c r="BH19" s="58">
        <f>AD108</f>
        <v>0</v>
      </c>
      <c r="BI19" s="58">
        <f>AE108</f>
        <v>0</v>
      </c>
      <c r="BJ19" s="58">
        <f>AF108</f>
        <v>0</v>
      </c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2" t="s">
        <v>34</v>
      </c>
      <c r="B20" s="44"/>
      <c r="C20" s="44"/>
      <c r="D20" s="44"/>
      <c r="E20" s="44"/>
      <c r="F20" s="44"/>
      <c r="G20" s="44"/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  <c r="AA20" s="44"/>
      <c r="AB20" s="44"/>
      <c r="AC20" s="44"/>
      <c r="AD20" s="44"/>
      <c r="AE20" s="44"/>
      <c r="AF20" s="44"/>
      <c r="AG20" s="48">
        <v>50</v>
      </c>
      <c r="AH20" s="46">
        <f t="shared" si="2"/>
        <v>0</v>
      </c>
      <c r="AI20" s="47">
        <f t="shared" si="3"/>
        <v>0</v>
      </c>
      <c r="AK20" s="49"/>
      <c r="AL20" s="52" t="s">
        <v>35</v>
      </c>
      <c r="AM20" s="57">
        <f t="shared" ref="AM20:AR20" si="12">B96</f>
        <v>0</v>
      </c>
      <c r="AN20" s="57">
        <f t="shared" si="12"/>
        <v>0</v>
      </c>
      <c r="AO20" s="57">
        <f t="shared" si="12"/>
        <v>0</v>
      </c>
      <c r="AP20" s="57">
        <f t="shared" si="12"/>
        <v>0</v>
      </c>
      <c r="AQ20" s="57">
        <f t="shared" si="12"/>
        <v>0</v>
      </c>
      <c r="AR20" s="57">
        <f t="shared" si="12"/>
        <v>0</v>
      </c>
      <c r="AS20" s="57">
        <f>I96</f>
        <v>0</v>
      </c>
      <c r="AT20" s="57">
        <f>K96</f>
        <v>0</v>
      </c>
      <c r="AU20" s="57">
        <f t="shared" ref="AU20:BD20" si="13">M96</f>
        <v>0</v>
      </c>
      <c r="AV20" s="57">
        <f t="shared" si="13"/>
        <v>0</v>
      </c>
      <c r="AW20" s="57">
        <f t="shared" si="13"/>
        <v>0</v>
      </c>
      <c r="AX20" s="57">
        <f t="shared" si="13"/>
        <v>0</v>
      </c>
      <c r="AY20" s="57">
        <f t="shared" si="13"/>
        <v>0</v>
      </c>
      <c r="AZ20" s="57">
        <f t="shared" si="13"/>
        <v>0</v>
      </c>
      <c r="BA20" s="57">
        <f t="shared" si="13"/>
        <v>0</v>
      </c>
      <c r="BB20" s="57">
        <f t="shared" si="13"/>
        <v>0</v>
      </c>
      <c r="BC20" s="57">
        <f t="shared" si="13"/>
        <v>0</v>
      </c>
      <c r="BD20" s="57">
        <f t="shared" si="13"/>
        <v>0</v>
      </c>
      <c r="BE20" s="58">
        <f>X96</f>
        <v>0</v>
      </c>
      <c r="BF20" s="58">
        <f>Z96</f>
        <v>0</v>
      </c>
      <c r="BG20" s="58">
        <f>AB96</f>
        <v>0</v>
      </c>
      <c r="BH20" s="58">
        <f>AD96</f>
        <v>0</v>
      </c>
      <c r="BI20" s="58">
        <f>AE96</f>
        <v>0</v>
      </c>
      <c r="BJ20" s="58">
        <f>AF96</f>
        <v>0</v>
      </c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2" t="s">
        <v>36</v>
      </c>
      <c r="B21" s="44"/>
      <c r="C21" s="44"/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/>
      <c r="AB21" s="44"/>
      <c r="AC21" s="44"/>
      <c r="AD21" s="44"/>
      <c r="AE21" s="44"/>
      <c r="AF21" s="44"/>
      <c r="AG21" s="48">
        <v>45</v>
      </c>
      <c r="AH21" s="46">
        <f t="shared" si="2"/>
        <v>0</v>
      </c>
      <c r="AI21" s="47">
        <f t="shared" si="3"/>
        <v>0</v>
      </c>
      <c r="AK21" s="49"/>
      <c r="AL21" s="52" t="s">
        <v>37</v>
      </c>
      <c r="AM21" s="57">
        <f t="shared" ref="AM21:AR21" si="14">B114</f>
        <v>0</v>
      </c>
      <c r="AN21" s="57">
        <f t="shared" si="14"/>
        <v>0</v>
      </c>
      <c r="AO21" s="57">
        <f t="shared" si="14"/>
        <v>0</v>
      </c>
      <c r="AP21" s="57">
        <f t="shared" si="14"/>
        <v>0</v>
      </c>
      <c r="AQ21" s="57">
        <f t="shared" si="14"/>
        <v>0</v>
      </c>
      <c r="AR21" s="57">
        <f t="shared" si="14"/>
        <v>0</v>
      </c>
      <c r="AS21" s="57">
        <f>I114</f>
        <v>0</v>
      </c>
      <c r="AT21" s="57">
        <f>K114</f>
        <v>0</v>
      </c>
      <c r="AU21" s="57">
        <f t="shared" ref="AU21:BD21" si="15">M114</f>
        <v>0</v>
      </c>
      <c r="AV21" s="57">
        <f t="shared" si="15"/>
        <v>0</v>
      </c>
      <c r="AW21" s="57">
        <f t="shared" si="15"/>
        <v>0</v>
      </c>
      <c r="AX21" s="57">
        <f t="shared" si="15"/>
        <v>0</v>
      </c>
      <c r="AY21" s="57">
        <f t="shared" si="15"/>
        <v>0</v>
      </c>
      <c r="AZ21" s="57">
        <f t="shared" si="15"/>
        <v>0</v>
      </c>
      <c r="BA21" s="57">
        <f t="shared" si="15"/>
        <v>0</v>
      </c>
      <c r="BB21" s="57">
        <f t="shared" si="15"/>
        <v>0</v>
      </c>
      <c r="BC21" s="57">
        <f t="shared" si="15"/>
        <v>0</v>
      </c>
      <c r="BD21" s="57">
        <f t="shared" si="15"/>
        <v>0</v>
      </c>
      <c r="BE21" s="58">
        <f>X114</f>
        <v>0</v>
      </c>
      <c r="BF21" s="58">
        <f>Z114</f>
        <v>0</v>
      </c>
      <c r="BG21" s="58">
        <f>AB114</f>
        <v>0</v>
      </c>
      <c r="BH21" s="58">
        <f>AD114</f>
        <v>0</v>
      </c>
      <c r="BI21" s="58">
        <f>AE114</f>
        <v>0</v>
      </c>
      <c r="BJ21" s="58">
        <f>AF114</f>
        <v>0</v>
      </c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2" t="s">
        <v>38</v>
      </c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4"/>
      <c r="AE22" s="44"/>
      <c r="AF22" s="44"/>
      <c r="AG22" s="48">
        <v>44</v>
      </c>
      <c r="AH22" s="46">
        <f t="shared" si="2"/>
        <v>0</v>
      </c>
      <c r="AI22" s="47">
        <f t="shared" si="3"/>
        <v>0</v>
      </c>
      <c r="AK22" s="49"/>
      <c r="AL22" s="59" t="s">
        <v>39</v>
      </c>
      <c r="AM22" s="60">
        <f t="shared" ref="AM22:BJ22" si="16">SUM(AM16:AM21)</f>
        <v>702</v>
      </c>
      <c r="AN22" s="60">
        <f t="shared" si="16"/>
        <v>252</v>
      </c>
      <c r="AO22" s="60">
        <f t="shared" si="16"/>
        <v>252</v>
      </c>
      <c r="AP22" s="60">
        <f t="shared" si="16"/>
        <v>252</v>
      </c>
      <c r="AQ22" s="60">
        <f t="shared" si="16"/>
        <v>252</v>
      </c>
      <c r="AR22" s="60">
        <f t="shared" si="16"/>
        <v>252</v>
      </c>
      <c r="AS22" s="60">
        <f t="shared" si="16"/>
        <v>252</v>
      </c>
      <c r="AT22" s="60">
        <f t="shared" si="16"/>
        <v>252</v>
      </c>
      <c r="AU22" s="60">
        <f t="shared" si="16"/>
        <v>252</v>
      </c>
      <c r="AV22" s="60">
        <f t="shared" si="16"/>
        <v>252</v>
      </c>
      <c r="AW22" s="60">
        <f t="shared" si="16"/>
        <v>252</v>
      </c>
      <c r="AX22" s="60">
        <f t="shared" si="16"/>
        <v>252</v>
      </c>
      <c r="AY22" s="60">
        <f t="shared" si="16"/>
        <v>252</v>
      </c>
      <c r="AZ22" s="60">
        <f t="shared" si="16"/>
        <v>252</v>
      </c>
      <c r="BA22" s="60">
        <f t="shared" si="16"/>
        <v>252</v>
      </c>
      <c r="BB22" s="60">
        <f t="shared" si="16"/>
        <v>252</v>
      </c>
      <c r="BC22" s="60">
        <f t="shared" si="16"/>
        <v>252</v>
      </c>
      <c r="BD22" s="60">
        <f t="shared" si="16"/>
        <v>252</v>
      </c>
      <c r="BE22" s="60">
        <f t="shared" si="16"/>
        <v>252</v>
      </c>
      <c r="BF22" s="60">
        <f t="shared" si="16"/>
        <v>252</v>
      </c>
      <c r="BG22" s="60">
        <f t="shared" si="16"/>
        <v>252</v>
      </c>
      <c r="BH22" s="60">
        <f t="shared" si="16"/>
        <v>252</v>
      </c>
      <c r="BI22" s="60">
        <f t="shared" si="16"/>
        <v>252</v>
      </c>
      <c r="BJ22" s="60">
        <f t="shared" si="16"/>
        <v>252</v>
      </c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2" t="s">
        <v>40</v>
      </c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  <c r="AA23" s="44"/>
      <c r="AB23" s="44"/>
      <c r="AC23" s="44"/>
      <c r="AD23" s="44"/>
      <c r="AE23" s="44"/>
      <c r="AF23" s="44"/>
      <c r="AG23" s="48">
        <v>42</v>
      </c>
      <c r="AH23" s="46">
        <f t="shared" si="2"/>
        <v>0</v>
      </c>
      <c r="AI23" s="47">
        <f t="shared" si="3"/>
        <v>0</v>
      </c>
      <c r="AK23" s="49"/>
      <c r="AL23" s="59" t="s">
        <v>41</v>
      </c>
      <c r="AM23" s="60">
        <f t="shared" ref="AM23:AR23" si="17">B123*-1</f>
        <v>0</v>
      </c>
      <c r="AN23" s="60">
        <f t="shared" si="17"/>
        <v>0</v>
      </c>
      <c r="AO23" s="60">
        <f t="shared" si="17"/>
        <v>0</v>
      </c>
      <c r="AP23" s="60">
        <f t="shared" si="17"/>
        <v>0</v>
      </c>
      <c r="AQ23" s="60">
        <f t="shared" si="17"/>
        <v>0</v>
      </c>
      <c r="AR23" s="60">
        <f t="shared" si="17"/>
        <v>0</v>
      </c>
      <c r="AS23" s="60">
        <f>I123*-1</f>
        <v>0</v>
      </c>
      <c r="AT23" s="60">
        <f>K123*-1</f>
        <v>0</v>
      </c>
      <c r="AU23" s="60">
        <f t="shared" ref="AU23:BD23" si="18">M123*-1</f>
        <v>0</v>
      </c>
      <c r="AV23" s="60">
        <f t="shared" si="18"/>
        <v>0</v>
      </c>
      <c r="AW23" s="60">
        <f t="shared" si="18"/>
        <v>0</v>
      </c>
      <c r="AX23" s="60">
        <f t="shared" si="18"/>
        <v>0</v>
      </c>
      <c r="AY23" s="60">
        <f t="shared" si="18"/>
        <v>0</v>
      </c>
      <c r="AZ23" s="60">
        <f t="shared" si="18"/>
        <v>0</v>
      </c>
      <c r="BA23" s="60">
        <f t="shared" si="18"/>
        <v>0</v>
      </c>
      <c r="BB23" s="60">
        <f t="shared" si="18"/>
        <v>0</v>
      </c>
      <c r="BC23" s="60">
        <f t="shared" si="18"/>
        <v>0</v>
      </c>
      <c r="BD23" s="60">
        <f t="shared" si="18"/>
        <v>0</v>
      </c>
      <c r="BE23" s="60">
        <f>X123*-1</f>
        <v>0</v>
      </c>
      <c r="BF23" s="60">
        <f>Z123*-1</f>
        <v>0</v>
      </c>
      <c r="BG23" s="60">
        <f>AB123*-1</f>
        <v>0</v>
      </c>
      <c r="BH23" s="60">
        <f>AD123*-1</f>
        <v>0</v>
      </c>
      <c r="BI23" s="60">
        <f>AE123*-1</f>
        <v>0</v>
      </c>
      <c r="BJ23" s="60">
        <f>AF123*-1</f>
        <v>0</v>
      </c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2" t="s">
        <v>42</v>
      </c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  <c r="AA24" s="44"/>
      <c r="AB24" s="44"/>
      <c r="AC24" s="44"/>
      <c r="AD24" s="44"/>
      <c r="AE24" s="44"/>
      <c r="AF24" s="44"/>
      <c r="AG24" s="48">
        <v>40</v>
      </c>
      <c r="AH24" s="46">
        <f t="shared" si="2"/>
        <v>0</v>
      </c>
      <c r="AI24" s="47">
        <f t="shared" si="3"/>
        <v>0</v>
      </c>
      <c r="AK24" s="49"/>
      <c r="AL24" s="51"/>
      <c r="AM24" s="51"/>
      <c r="AN24" s="51"/>
      <c r="AO24" s="51"/>
      <c r="AP24" s="51"/>
      <c r="AQ24" s="51"/>
      <c r="AR24" s="51"/>
      <c r="AS24" s="51"/>
      <c r="AT24" s="51"/>
      <c r="AU24" s="51"/>
      <c r="AV24" s="51"/>
      <c r="AW24" s="51"/>
      <c r="AX24" s="51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2" t="s">
        <v>43</v>
      </c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  <c r="AA25" s="44"/>
      <c r="AB25" s="44"/>
      <c r="AC25" s="44"/>
      <c r="AD25" s="44"/>
      <c r="AE25" s="44"/>
      <c r="AF25" s="44"/>
      <c r="AG25" s="48">
        <v>38.46</v>
      </c>
      <c r="AH25" s="46">
        <f t="shared" si="2"/>
        <v>0</v>
      </c>
      <c r="AI25" s="47">
        <f t="shared" si="3"/>
        <v>0</v>
      </c>
      <c r="AK25" s="49"/>
      <c r="AL25" s="59" t="s">
        <v>44</v>
      </c>
      <c r="AM25" s="60">
        <f t="shared" ref="AM25:BJ25" si="19">AM22+AM23</f>
        <v>702</v>
      </c>
      <c r="AN25" s="60">
        <f t="shared" si="19"/>
        <v>252</v>
      </c>
      <c r="AO25" s="60">
        <f t="shared" si="19"/>
        <v>252</v>
      </c>
      <c r="AP25" s="60">
        <f t="shared" si="19"/>
        <v>252</v>
      </c>
      <c r="AQ25" s="60">
        <f t="shared" si="19"/>
        <v>252</v>
      </c>
      <c r="AR25" s="60">
        <f t="shared" si="19"/>
        <v>252</v>
      </c>
      <c r="AS25" s="60">
        <f t="shared" si="19"/>
        <v>252</v>
      </c>
      <c r="AT25" s="60">
        <f t="shared" si="19"/>
        <v>252</v>
      </c>
      <c r="AU25" s="60">
        <f t="shared" si="19"/>
        <v>252</v>
      </c>
      <c r="AV25" s="60">
        <f t="shared" si="19"/>
        <v>252</v>
      </c>
      <c r="AW25" s="60">
        <f t="shared" si="19"/>
        <v>252</v>
      </c>
      <c r="AX25" s="60">
        <f t="shared" si="19"/>
        <v>252</v>
      </c>
      <c r="AY25" s="60">
        <f t="shared" si="19"/>
        <v>252</v>
      </c>
      <c r="AZ25" s="60">
        <f t="shared" si="19"/>
        <v>252</v>
      </c>
      <c r="BA25" s="60">
        <f t="shared" si="19"/>
        <v>252</v>
      </c>
      <c r="BB25" s="60">
        <f t="shared" si="19"/>
        <v>252</v>
      </c>
      <c r="BC25" s="60">
        <f t="shared" si="19"/>
        <v>252</v>
      </c>
      <c r="BD25" s="60">
        <f t="shared" si="19"/>
        <v>252</v>
      </c>
      <c r="BE25" s="60">
        <f t="shared" si="19"/>
        <v>252</v>
      </c>
      <c r="BF25" s="60">
        <f t="shared" si="19"/>
        <v>252</v>
      </c>
      <c r="BG25" s="60">
        <f t="shared" si="19"/>
        <v>252</v>
      </c>
      <c r="BH25" s="60">
        <f t="shared" si="19"/>
        <v>252</v>
      </c>
      <c r="BI25" s="60">
        <f t="shared" si="19"/>
        <v>252</v>
      </c>
      <c r="BJ25" s="60">
        <f t="shared" si="19"/>
        <v>252</v>
      </c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2" t="s">
        <v>45</v>
      </c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  <c r="AA26" s="44"/>
      <c r="AB26" s="44"/>
      <c r="AC26" s="44"/>
      <c r="AD26" s="44"/>
      <c r="AE26" s="44"/>
      <c r="AF26" s="44"/>
      <c r="AG26" s="61">
        <v>38</v>
      </c>
      <c r="AH26" s="46">
        <f t="shared" si="2"/>
        <v>0</v>
      </c>
      <c r="AI26" s="47">
        <f t="shared" si="3"/>
        <v>0</v>
      </c>
      <c r="AK26" s="49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2" t="s">
        <v>46</v>
      </c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4"/>
      <c r="AB27" s="44"/>
      <c r="AC27" s="44"/>
      <c r="AD27" s="44"/>
      <c r="AE27" s="44"/>
      <c r="AF27" s="44"/>
      <c r="AG27" s="48">
        <v>36</v>
      </c>
      <c r="AH27" s="46">
        <f t="shared" si="2"/>
        <v>0</v>
      </c>
      <c r="AI27" s="47">
        <f t="shared" si="3"/>
        <v>0</v>
      </c>
      <c r="AK27" s="49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2" t="s">
        <v>47</v>
      </c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  <c r="AA28" s="44"/>
      <c r="AB28" s="44"/>
      <c r="AC28" s="44"/>
      <c r="AD28" s="44"/>
      <c r="AE28" s="44"/>
      <c r="AF28" s="44"/>
      <c r="AG28" s="48">
        <v>35.5</v>
      </c>
      <c r="AH28" s="46">
        <f t="shared" si="2"/>
        <v>0</v>
      </c>
      <c r="AI28" s="47">
        <f t="shared" si="3"/>
        <v>0</v>
      </c>
      <c r="AK28" s="49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2" t="s">
        <v>48</v>
      </c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  <c r="AA29" s="44"/>
      <c r="AB29" s="44"/>
      <c r="AC29" s="44"/>
      <c r="AD29" s="44"/>
      <c r="AE29" s="44"/>
      <c r="AF29" s="44"/>
      <c r="AG29" s="61">
        <v>32</v>
      </c>
      <c r="AH29" s="46">
        <f t="shared" si="2"/>
        <v>0</v>
      </c>
      <c r="AI29" s="47">
        <f t="shared" si="3"/>
        <v>0</v>
      </c>
      <c r="AK29" s="49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2" t="s">
        <v>49</v>
      </c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  <c r="AA30" s="44"/>
      <c r="AB30" s="44"/>
      <c r="AC30" s="44"/>
      <c r="AD30" s="44"/>
      <c r="AE30" s="44"/>
      <c r="AF30" s="44"/>
      <c r="AG30" s="48">
        <v>30</v>
      </c>
      <c r="AH30" s="46">
        <f t="shared" si="2"/>
        <v>0</v>
      </c>
      <c r="AI30" s="47">
        <f t="shared" si="3"/>
        <v>0</v>
      </c>
      <c r="AK30" s="49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2" t="s">
        <v>50</v>
      </c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44"/>
      <c r="AB31" s="44"/>
      <c r="AC31" s="44"/>
      <c r="AD31" s="44"/>
      <c r="AE31" s="44"/>
      <c r="AF31" s="44"/>
      <c r="AG31" s="48">
        <v>29.04</v>
      </c>
      <c r="AH31" s="46">
        <f t="shared" si="2"/>
        <v>0</v>
      </c>
      <c r="AI31" s="47">
        <f t="shared" si="3"/>
        <v>0</v>
      </c>
      <c r="AK31" s="49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2" t="s">
        <v>51</v>
      </c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  <c r="AB32" s="44"/>
      <c r="AC32" s="44"/>
      <c r="AD32" s="44"/>
      <c r="AE32" s="44"/>
      <c r="AF32" s="44"/>
      <c r="AG32" s="48">
        <v>28.1</v>
      </c>
      <c r="AH32" s="46">
        <f t="shared" si="2"/>
        <v>0</v>
      </c>
      <c r="AI32" s="47">
        <f t="shared" si="3"/>
        <v>0</v>
      </c>
      <c r="AK32" s="49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2" t="s">
        <v>52</v>
      </c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  <c r="AA33" s="44"/>
      <c r="AB33" s="44"/>
      <c r="AC33" s="44"/>
      <c r="AD33" s="44"/>
      <c r="AE33" s="44"/>
      <c r="AF33" s="44"/>
      <c r="AG33" s="48">
        <v>27</v>
      </c>
      <c r="AH33" s="46">
        <f t="shared" si="2"/>
        <v>0</v>
      </c>
      <c r="AI33" s="47">
        <f t="shared" si="3"/>
        <v>0</v>
      </c>
      <c r="AK33" s="49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2" t="s">
        <v>53</v>
      </c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  <c r="AD34" s="44"/>
      <c r="AE34" s="44"/>
      <c r="AF34" s="44"/>
      <c r="AG34" s="48">
        <v>25</v>
      </c>
      <c r="AH34" s="46">
        <f t="shared" si="2"/>
        <v>0</v>
      </c>
      <c r="AI34" s="47">
        <f t="shared" si="3"/>
        <v>0</v>
      </c>
      <c r="AK34" s="49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2" t="s">
        <v>54</v>
      </c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4"/>
      <c r="AB35" s="44"/>
      <c r="AC35" s="44"/>
      <c r="AD35" s="44"/>
      <c r="AE35" s="44"/>
      <c r="AF35" s="44"/>
      <c r="AG35" s="48">
        <v>25</v>
      </c>
      <c r="AH35" s="46">
        <f t="shared" si="2"/>
        <v>0</v>
      </c>
      <c r="AI35" s="47">
        <f t="shared" si="3"/>
        <v>0</v>
      </c>
      <c r="AK35" s="49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2" t="s">
        <v>55</v>
      </c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44"/>
      <c r="AB36" s="44"/>
      <c r="AC36" s="44"/>
      <c r="AD36" s="44"/>
      <c r="AE36" s="44"/>
      <c r="AF36" s="44"/>
      <c r="AG36" s="48">
        <v>25</v>
      </c>
      <c r="AH36" s="46">
        <f t="shared" si="2"/>
        <v>0</v>
      </c>
      <c r="AI36" s="47">
        <f t="shared" si="3"/>
        <v>0</v>
      </c>
      <c r="AK36" s="49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2" t="s">
        <v>56</v>
      </c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44"/>
      <c r="AD37" s="44"/>
      <c r="AE37" s="44"/>
      <c r="AF37" s="44"/>
      <c r="AG37" s="48">
        <v>25</v>
      </c>
      <c r="AH37" s="46">
        <f t="shared" si="2"/>
        <v>0</v>
      </c>
      <c r="AI37" s="47">
        <f t="shared" si="3"/>
        <v>0</v>
      </c>
      <c r="AK37" s="49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2" t="s">
        <v>57</v>
      </c>
      <c r="B38" s="44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44"/>
      <c r="AB38" s="44"/>
      <c r="AC38" s="44"/>
      <c r="AD38" s="44"/>
      <c r="AE38" s="44"/>
      <c r="AF38" s="44"/>
      <c r="AG38" s="48">
        <v>25</v>
      </c>
      <c r="AH38" s="46">
        <f t="shared" si="2"/>
        <v>0</v>
      </c>
      <c r="AI38" s="47">
        <f t="shared" si="3"/>
        <v>0</v>
      </c>
      <c r="AK38" s="49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2" t="s">
        <v>58</v>
      </c>
      <c r="B39" s="44"/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4"/>
      <c r="AE39" s="44"/>
      <c r="AF39" s="44"/>
      <c r="AG39" s="48">
        <v>23.5</v>
      </c>
      <c r="AH39" s="46">
        <f t="shared" si="2"/>
        <v>0</v>
      </c>
      <c r="AI39" s="47">
        <f t="shared" si="3"/>
        <v>0</v>
      </c>
      <c r="AK39" s="49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2" t="s">
        <v>59</v>
      </c>
      <c r="B40" s="44"/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4"/>
      <c r="AB40" s="44"/>
      <c r="AC40" s="44"/>
      <c r="AD40" s="44"/>
      <c r="AE40" s="44"/>
      <c r="AF40" s="44"/>
      <c r="AG40" s="48">
        <v>22.2</v>
      </c>
      <c r="AH40" s="46">
        <f t="shared" si="2"/>
        <v>0</v>
      </c>
      <c r="AI40" s="47">
        <f t="shared" si="3"/>
        <v>0</v>
      </c>
      <c r="AK40" s="49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2" t="s">
        <v>60</v>
      </c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  <c r="AA41" s="44"/>
      <c r="AB41" s="44"/>
      <c r="AC41" s="44"/>
      <c r="AD41" s="44"/>
      <c r="AE41" s="44"/>
      <c r="AF41" s="44"/>
      <c r="AG41" s="48">
        <v>22.1</v>
      </c>
      <c r="AH41" s="46">
        <f t="shared" si="2"/>
        <v>0</v>
      </c>
      <c r="AI41" s="47">
        <f t="shared" si="3"/>
        <v>0</v>
      </c>
      <c r="AK41" s="49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42" t="s">
        <v>61</v>
      </c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44"/>
      <c r="AB42" s="44"/>
      <c r="AC42" s="44"/>
      <c r="AD42" s="44"/>
      <c r="AE42" s="44"/>
      <c r="AF42" s="44"/>
      <c r="AG42" s="48">
        <v>22</v>
      </c>
      <c r="AH42" s="46">
        <f t="shared" si="2"/>
        <v>0</v>
      </c>
      <c r="AI42" s="47">
        <f t="shared" si="3"/>
        <v>0</v>
      </c>
      <c r="AK42" s="49"/>
      <c r="AL42" s="28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x14ac:dyDescent="0.25">
      <c r="A43" s="42" t="s">
        <v>62</v>
      </c>
      <c r="B43" s="44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/>
      <c r="AB43" s="44"/>
      <c r="AC43" s="44"/>
      <c r="AD43" s="44"/>
      <c r="AE43" s="44"/>
      <c r="AF43" s="44"/>
      <c r="AG43" s="48">
        <v>22</v>
      </c>
      <c r="AH43" s="46">
        <f t="shared" si="2"/>
        <v>0</v>
      </c>
      <c r="AI43" s="47">
        <f t="shared" si="3"/>
        <v>0</v>
      </c>
      <c r="AK43" s="49"/>
      <c r="AL43" s="28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x14ac:dyDescent="0.25">
      <c r="A44" s="42" t="s">
        <v>63</v>
      </c>
      <c r="B44" s="44"/>
      <c r="C44" s="44"/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44"/>
      <c r="AF44" s="44"/>
      <c r="AG44" s="48">
        <v>21.93</v>
      </c>
      <c r="AH44" s="46">
        <f t="shared" si="2"/>
        <v>0</v>
      </c>
      <c r="AI44" s="47">
        <f t="shared" si="3"/>
        <v>0</v>
      </c>
      <c r="AK44" s="49"/>
      <c r="AL44" s="28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x14ac:dyDescent="0.25">
      <c r="A45" s="42" t="s">
        <v>64</v>
      </c>
      <c r="B45" s="44"/>
      <c r="C45" s="44"/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4"/>
      <c r="AE45" s="44"/>
      <c r="AF45" s="44"/>
      <c r="AG45" s="48">
        <v>21.3</v>
      </c>
      <c r="AH45" s="46">
        <f t="shared" si="2"/>
        <v>0</v>
      </c>
      <c r="AI45" s="47">
        <f t="shared" si="3"/>
        <v>0</v>
      </c>
      <c r="AK45" s="49"/>
      <c r="AL45" s="28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42" t="s">
        <v>65</v>
      </c>
      <c r="B46" s="44"/>
      <c r="C46" s="44"/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8">
        <v>20</v>
      </c>
      <c r="AH46" s="46">
        <f t="shared" si="2"/>
        <v>0</v>
      </c>
      <c r="AI46" s="47">
        <f t="shared" si="3"/>
        <v>0</v>
      </c>
      <c r="AK46" s="49"/>
      <c r="AL46" s="28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x14ac:dyDescent="0.25">
      <c r="A47" s="42" t="s">
        <v>66</v>
      </c>
      <c r="B47" s="44"/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8">
        <v>19.8</v>
      </c>
      <c r="AH47" s="46">
        <f t="shared" si="2"/>
        <v>0</v>
      </c>
      <c r="AI47" s="47">
        <f t="shared" si="3"/>
        <v>0</v>
      </c>
      <c r="AK47" s="49"/>
      <c r="AL47" s="28"/>
      <c r="AM47" s="24"/>
      <c r="AN47" s="24"/>
      <c r="AO47" s="24"/>
      <c r="AP47" s="24"/>
      <c r="AQ47" s="24"/>
      <c r="AR47" s="24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x14ac:dyDescent="0.25">
      <c r="A48" s="42" t="s">
        <v>67</v>
      </c>
      <c r="B48" s="44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44"/>
      <c r="AB48" s="44"/>
      <c r="AC48" s="44"/>
      <c r="AD48" s="44"/>
      <c r="AE48" s="44"/>
      <c r="AF48" s="44"/>
      <c r="AG48" s="48">
        <v>18</v>
      </c>
      <c r="AH48" s="46">
        <f t="shared" si="2"/>
        <v>0</v>
      </c>
      <c r="AI48" s="47">
        <f t="shared" si="3"/>
        <v>0</v>
      </c>
      <c r="AK48" s="49"/>
      <c r="AL48" s="28"/>
      <c r="AM48" s="24"/>
      <c r="AN48" s="24"/>
      <c r="AO48" s="24"/>
      <c r="AP48" s="24"/>
      <c r="AQ48" s="24"/>
      <c r="AR48" s="24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24"/>
      <c r="CI48" s="24"/>
      <c r="CJ48" s="24"/>
    </row>
    <row r="49" spans="1:88" x14ac:dyDescent="0.25">
      <c r="A49" s="42" t="s">
        <v>68</v>
      </c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8">
        <v>15.33</v>
      </c>
      <c r="AH49" s="46">
        <f t="shared" si="2"/>
        <v>0</v>
      </c>
      <c r="AI49" s="47">
        <f t="shared" si="3"/>
        <v>0</v>
      </c>
      <c r="AK49" s="49"/>
      <c r="AL49" s="28"/>
      <c r="AM49" s="24"/>
      <c r="AN49" s="24"/>
      <c r="AO49" s="24"/>
      <c r="AP49" s="24"/>
      <c r="AQ49" s="24"/>
      <c r="AR49" s="24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24"/>
      <c r="CI49" s="24"/>
      <c r="CJ49" s="24"/>
    </row>
    <row r="50" spans="1:88" x14ac:dyDescent="0.25">
      <c r="A50" s="42" t="s">
        <v>69</v>
      </c>
      <c r="B50" s="44"/>
      <c r="C50" s="44"/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8">
        <v>14.9</v>
      </c>
      <c r="AH50" s="46">
        <f t="shared" si="2"/>
        <v>0</v>
      </c>
      <c r="AI50" s="47">
        <f t="shared" si="3"/>
        <v>0</v>
      </c>
      <c r="AK50" s="49"/>
      <c r="AL50" s="28"/>
      <c r="AM50" s="24"/>
      <c r="AN50" s="24"/>
      <c r="AO50" s="24"/>
      <c r="AP50" s="24"/>
      <c r="AQ50" s="24"/>
      <c r="AR50" s="24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</row>
    <row r="51" spans="1:88" x14ac:dyDescent="0.25">
      <c r="A51" s="42" t="s">
        <v>70</v>
      </c>
      <c r="B51" s="44"/>
      <c r="C51" s="44"/>
      <c r="D51" s="44"/>
      <c r="E51" s="44"/>
      <c r="F51" s="44"/>
      <c r="G51" s="44"/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8">
        <v>14.9</v>
      </c>
      <c r="AH51" s="46">
        <f t="shared" si="2"/>
        <v>0</v>
      </c>
      <c r="AI51" s="47">
        <f t="shared" si="3"/>
        <v>0</v>
      </c>
      <c r="AK51" s="49"/>
      <c r="AL51" s="28"/>
      <c r="AM51" s="24"/>
      <c r="AN51" s="24"/>
      <c r="AO51" s="24"/>
      <c r="AP51" s="24"/>
      <c r="AQ51" s="24"/>
      <c r="AR51" s="24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</row>
    <row r="52" spans="1:88" x14ac:dyDescent="0.25">
      <c r="A52" s="42" t="s">
        <v>71</v>
      </c>
      <c r="B52" s="44"/>
      <c r="C52" s="44"/>
      <c r="D52" s="44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8">
        <v>14.3</v>
      </c>
      <c r="AH52" s="46">
        <f t="shared" si="2"/>
        <v>0</v>
      </c>
      <c r="AI52" s="47">
        <f t="shared" si="3"/>
        <v>0</v>
      </c>
      <c r="AK52" s="49"/>
      <c r="AL52" s="28"/>
      <c r="AM52" s="24"/>
      <c r="AN52" s="24"/>
      <c r="AO52" s="24"/>
      <c r="AP52" s="24"/>
      <c r="AQ52" s="24"/>
      <c r="AR52" s="24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</row>
    <row r="53" spans="1:88" x14ac:dyDescent="0.25">
      <c r="A53" s="42" t="s">
        <v>72</v>
      </c>
      <c r="B53" s="44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8">
        <v>14</v>
      </c>
      <c r="AH53" s="46">
        <f t="shared" si="2"/>
        <v>0</v>
      </c>
      <c r="AI53" s="47">
        <f t="shared" si="3"/>
        <v>0</v>
      </c>
      <c r="AK53" s="49"/>
      <c r="AL53" s="28"/>
      <c r="AM53" s="24"/>
      <c r="AN53" s="24"/>
      <c r="AO53" s="24"/>
      <c r="AP53" s="24"/>
      <c r="AQ53" s="24"/>
      <c r="AR53" s="24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</row>
    <row r="54" spans="1:88" x14ac:dyDescent="0.25">
      <c r="A54" s="42" t="s">
        <v>73</v>
      </c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48">
        <v>13.6</v>
      </c>
      <c r="AH54" s="46">
        <f t="shared" si="2"/>
        <v>0</v>
      </c>
      <c r="AI54" s="47">
        <f t="shared" si="3"/>
        <v>0</v>
      </c>
      <c r="AK54" s="49"/>
      <c r="AL54" s="28"/>
      <c r="AM54" s="24"/>
      <c r="AN54" s="24"/>
      <c r="AO54" s="24"/>
      <c r="AP54" s="24"/>
      <c r="AQ54" s="24"/>
      <c r="AR54" s="24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</row>
    <row r="55" spans="1:88" x14ac:dyDescent="0.25">
      <c r="A55" s="42" t="s">
        <v>74</v>
      </c>
      <c r="B55" s="44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8">
        <v>13.5</v>
      </c>
      <c r="AH55" s="46">
        <f t="shared" si="2"/>
        <v>0</v>
      </c>
      <c r="AI55" s="47">
        <f t="shared" si="3"/>
        <v>0</v>
      </c>
      <c r="AK55" s="49"/>
      <c r="AL55" s="28"/>
      <c r="AM55" s="24"/>
      <c r="AN55" s="24"/>
      <c r="AO55" s="24"/>
      <c r="AP55" s="24"/>
      <c r="AQ55" s="24"/>
      <c r="AR55" s="24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</row>
    <row r="56" spans="1:88" x14ac:dyDescent="0.25">
      <c r="A56" s="42" t="s">
        <v>75</v>
      </c>
      <c r="B56" s="44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8">
        <v>13</v>
      </c>
      <c r="AH56" s="46">
        <f t="shared" si="2"/>
        <v>0</v>
      </c>
      <c r="AI56" s="47">
        <f t="shared" si="3"/>
        <v>0</v>
      </c>
      <c r="AK56" s="49"/>
      <c r="AL56" s="28"/>
      <c r="AM56" s="24"/>
      <c r="AN56" s="24"/>
      <c r="AO56" s="24"/>
      <c r="AP56" s="24"/>
      <c r="AQ56" s="24"/>
      <c r="AR56" s="24"/>
      <c r="AS56" s="24"/>
      <c r="AT56" s="24"/>
      <c r="AU56" s="24"/>
      <c r="AV56" s="24"/>
      <c r="AW56" s="24"/>
      <c r="AX56" s="24"/>
      <c r="AY56" s="24"/>
      <c r="AZ56" s="24"/>
      <c r="BA56" s="24"/>
      <c r="BB56" s="24"/>
      <c r="BC56" s="24"/>
      <c r="BD56" s="24"/>
      <c r="BE56" s="24"/>
      <c r="BF56" s="24"/>
      <c r="BG56" s="24"/>
      <c r="BH56" s="24"/>
      <c r="BI56" s="24"/>
      <c r="BJ56" s="24"/>
      <c r="BK56" s="24"/>
      <c r="BL56" s="24"/>
      <c r="BM56" s="24"/>
      <c r="BN56" s="24"/>
      <c r="BO56" s="24"/>
      <c r="BP56" s="24"/>
      <c r="BQ56" s="24"/>
      <c r="BR56" s="24"/>
      <c r="BS56" s="24"/>
      <c r="BT56" s="24"/>
      <c r="BU56" s="24"/>
      <c r="BV56" s="24"/>
      <c r="BW56" s="24"/>
      <c r="BX56" s="24"/>
      <c r="BY56" s="24"/>
      <c r="BZ56" s="24"/>
      <c r="CA56" s="24"/>
      <c r="CB56" s="24"/>
      <c r="CC56" s="24"/>
      <c r="CD56" s="24"/>
      <c r="CE56" s="24"/>
      <c r="CF56" s="24"/>
      <c r="CG56" s="24"/>
      <c r="CH56" s="24"/>
      <c r="CI56" s="24"/>
      <c r="CJ56" s="24"/>
    </row>
    <row r="57" spans="1:88" x14ac:dyDescent="0.25">
      <c r="A57" s="42" t="s">
        <v>76</v>
      </c>
      <c r="B57" s="44"/>
      <c r="C57" s="44"/>
      <c r="D57" s="44"/>
      <c r="E57" s="44"/>
      <c r="F57" s="44"/>
      <c r="G57" s="44"/>
      <c r="H57" s="44"/>
      <c r="I57" s="44"/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8">
        <v>12</v>
      </c>
      <c r="AH57" s="46">
        <f t="shared" si="2"/>
        <v>0</v>
      </c>
      <c r="AI57" s="47">
        <f t="shared" si="3"/>
        <v>0</v>
      </c>
      <c r="AK57" s="49"/>
      <c r="AL57" s="28"/>
      <c r="AM57" s="24"/>
      <c r="AN57" s="24"/>
      <c r="AO57" s="24"/>
      <c r="AP57" s="24"/>
      <c r="AQ57" s="24"/>
      <c r="AR57" s="24"/>
      <c r="AS57" s="24"/>
      <c r="AT57" s="24"/>
      <c r="AU57" s="24"/>
      <c r="AV57" s="24"/>
      <c r="AW57" s="24"/>
      <c r="AX57" s="24"/>
      <c r="AY57" s="24"/>
      <c r="AZ57" s="24"/>
      <c r="BA57" s="24"/>
      <c r="BB57" s="24"/>
      <c r="BC57" s="24"/>
      <c r="BD57" s="24"/>
      <c r="BE57" s="24"/>
      <c r="BF57" s="24"/>
      <c r="BG57" s="24"/>
      <c r="BH57" s="24"/>
      <c r="BI57" s="24"/>
      <c r="BJ57" s="24"/>
      <c r="BK57" s="24"/>
      <c r="BL57" s="24"/>
      <c r="BM57" s="24"/>
      <c r="BN57" s="24"/>
      <c r="BO57" s="24"/>
      <c r="BP57" s="24"/>
      <c r="BQ57" s="24"/>
      <c r="BR57" s="24"/>
      <c r="BS57" s="24"/>
      <c r="BT57" s="24"/>
      <c r="BU57" s="24"/>
      <c r="BV57" s="24"/>
      <c r="BW57" s="24"/>
      <c r="BX57" s="24"/>
      <c r="BY57" s="24"/>
      <c r="BZ57" s="24"/>
      <c r="CA57" s="24"/>
      <c r="CB57" s="24"/>
      <c r="CC57" s="24"/>
      <c r="CD57" s="24"/>
      <c r="CE57" s="24"/>
      <c r="CF57" s="24"/>
      <c r="CG57" s="24"/>
      <c r="CH57" s="24"/>
      <c r="CI57" s="24"/>
      <c r="CJ57" s="24"/>
    </row>
    <row r="58" spans="1:88" ht="14.25" customHeight="1" x14ac:dyDescent="0.25">
      <c r="A58" s="42" t="s">
        <v>77</v>
      </c>
      <c r="B58" s="44"/>
      <c r="C58" s="44"/>
      <c r="D58" s="44"/>
      <c r="E58" s="44"/>
      <c r="F58" s="44"/>
      <c r="G58" s="44"/>
      <c r="H58" s="44"/>
      <c r="I58" s="44"/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  <c r="AG58" s="48">
        <v>12</v>
      </c>
      <c r="AH58" s="46">
        <f t="shared" si="2"/>
        <v>0</v>
      </c>
      <c r="AI58" s="47">
        <f t="shared" si="3"/>
        <v>0</v>
      </c>
      <c r="AK58" s="49"/>
      <c r="AL58" s="28"/>
      <c r="AM58" s="24"/>
      <c r="AN58" s="24"/>
      <c r="AO58" s="24"/>
      <c r="AP58" s="24"/>
      <c r="AQ58" s="15"/>
      <c r="AR58" s="21"/>
      <c r="AS58" s="24"/>
      <c r="AT58" s="24"/>
      <c r="AU58" s="24"/>
      <c r="AV58" s="24"/>
      <c r="AW58" s="24"/>
      <c r="AX58" s="24"/>
      <c r="AY58" s="24"/>
      <c r="AZ58" s="24"/>
      <c r="BA58" s="24"/>
      <c r="BB58" s="24"/>
      <c r="BC58" s="24"/>
      <c r="BD58" s="24"/>
      <c r="BE58" s="24"/>
      <c r="BF58" s="24"/>
      <c r="BG58" s="24"/>
      <c r="BH58" s="24"/>
      <c r="BI58" s="24"/>
      <c r="BJ58" s="24"/>
      <c r="BK58" s="24"/>
      <c r="BL58" s="24"/>
      <c r="BM58" s="24"/>
      <c r="BN58" s="24"/>
      <c r="BO58" s="24"/>
      <c r="BP58" s="24"/>
      <c r="BQ58" s="24"/>
      <c r="BR58" s="24"/>
      <c r="BS58" s="24"/>
      <c r="BT58" s="24"/>
      <c r="BU58" s="24"/>
      <c r="BV58" s="24"/>
      <c r="BW58" s="24"/>
      <c r="BX58" s="24"/>
      <c r="BY58" s="24"/>
      <c r="BZ58" s="24"/>
      <c r="CA58" s="24"/>
      <c r="CB58" s="24"/>
      <c r="CC58" s="24"/>
      <c r="CD58" s="24"/>
      <c r="CE58" s="24"/>
      <c r="CF58" s="24"/>
      <c r="CG58" s="24"/>
      <c r="CH58" s="24"/>
      <c r="CI58" s="24"/>
      <c r="CJ58" s="24"/>
    </row>
    <row r="59" spans="1:88" ht="14.25" customHeight="1" x14ac:dyDescent="0.25">
      <c r="A59" s="42" t="s">
        <v>78</v>
      </c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  <c r="AG59" s="48">
        <v>12</v>
      </c>
      <c r="AH59" s="46">
        <f t="shared" si="2"/>
        <v>0</v>
      </c>
      <c r="AI59" s="47">
        <f t="shared" si="3"/>
        <v>0</v>
      </c>
      <c r="AK59" s="49"/>
      <c r="AL59" s="28"/>
      <c r="AM59" s="24"/>
      <c r="AN59" s="24"/>
      <c r="AO59" s="24"/>
      <c r="AP59" s="24"/>
      <c r="AQ59" s="15"/>
      <c r="AR59" s="21"/>
      <c r="AS59" s="24"/>
      <c r="AT59" s="24"/>
      <c r="AU59" s="24"/>
      <c r="AV59" s="24"/>
      <c r="AW59" s="24"/>
      <c r="AX59" s="24"/>
      <c r="AY59" s="24"/>
      <c r="AZ59" s="24"/>
      <c r="BA59" s="24"/>
      <c r="BB59" s="24"/>
      <c r="BC59" s="24"/>
      <c r="BD59" s="24"/>
      <c r="BE59" s="24"/>
      <c r="BF59" s="24"/>
      <c r="BG59" s="24"/>
      <c r="BH59" s="24"/>
      <c r="BI59" s="24"/>
      <c r="BJ59" s="24"/>
      <c r="BK59" s="24"/>
      <c r="BL59" s="24"/>
      <c r="BM59" s="24"/>
      <c r="BN59" s="24"/>
      <c r="BO59" s="24"/>
      <c r="BP59" s="24"/>
      <c r="BQ59" s="24"/>
      <c r="BR59" s="24"/>
      <c r="BS59" s="24"/>
      <c r="BT59" s="24"/>
      <c r="BU59" s="24"/>
      <c r="BV59" s="24"/>
      <c r="BW59" s="24"/>
      <c r="BX59" s="24"/>
      <c r="BY59" s="24"/>
      <c r="BZ59" s="24"/>
      <c r="CA59" s="24"/>
      <c r="CB59" s="24"/>
      <c r="CC59" s="24"/>
      <c r="CD59" s="24"/>
      <c r="CE59" s="24"/>
      <c r="CF59" s="24"/>
      <c r="CG59" s="24"/>
      <c r="CH59" s="24"/>
      <c r="CI59" s="24"/>
      <c r="CJ59" s="24"/>
    </row>
    <row r="60" spans="1:88" ht="14.25" customHeight="1" x14ac:dyDescent="0.25">
      <c r="A60" s="42" t="s">
        <v>79</v>
      </c>
      <c r="B60" s="44"/>
      <c r="C60" s="44"/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44"/>
      <c r="AA60" s="44"/>
      <c r="AB60" s="44"/>
      <c r="AC60" s="44"/>
      <c r="AD60" s="44"/>
      <c r="AE60" s="44"/>
      <c r="AF60" s="44"/>
      <c r="AG60" s="48">
        <v>12</v>
      </c>
      <c r="AH60" s="46">
        <f t="shared" si="2"/>
        <v>0</v>
      </c>
      <c r="AI60" s="47">
        <f t="shared" si="3"/>
        <v>0</v>
      </c>
      <c r="AK60" s="49"/>
      <c r="AL60" s="28"/>
      <c r="AM60" s="24"/>
      <c r="AN60" s="24"/>
      <c r="AO60" s="24"/>
      <c r="AP60" s="24"/>
      <c r="AQ60" s="15"/>
      <c r="AR60" s="21"/>
      <c r="AS60" s="24"/>
      <c r="AT60" s="24"/>
      <c r="AU60" s="24"/>
      <c r="AV60" s="24"/>
      <c r="AW60" s="24"/>
      <c r="AX60" s="24"/>
      <c r="AY60" s="24"/>
      <c r="AZ60" s="24"/>
      <c r="BA60" s="24"/>
      <c r="BB60" s="24"/>
      <c r="BC60" s="24"/>
      <c r="BD60" s="24"/>
      <c r="BE60" s="24"/>
      <c r="BF60" s="24"/>
      <c r="BG60" s="24"/>
      <c r="BH60" s="24"/>
      <c r="BI60" s="24"/>
      <c r="BJ60" s="24"/>
      <c r="BK60" s="24"/>
      <c r="BL60" s="24"/>
      <c r="BM60" s="24"/>
      <c r="BN60" s="24"/>
      <c r="BO60" s="24"/>
      <c r="BP60" s="24"/>
      <c r="BQ60" s="24"/>
      <c r="BR60" s="24"/>
      <c r="BS60" s="24"/>
      <c r="BT60" s="24"/>
      <c r="BU60" s="24"/>
      <c r="BV60" s="24"/>
      <c r="BW60" s="24"/>
      <c r="BX60" s="24"/>
      <c r="BY60" s="24"/>
      <c r="BZ60" s="24"/>
      <c r="CA60" s="24"/>
      <c r="CB60" s="24"/>
      <c r="CC60" s="24"/>
      <c r="CD60" s="24"/>
      <c r="CE60" s="24"/>
      <c r="CF60" s="24"/>
      <c r="CG60" s="24"/>
      <c r="CH60" s="24"/>
      <c r="CI60" s="24"/>
      <c r="CJ60" s="24"/>
    </row>
    <row r="61" spans="1:88" ht="14.25" customHeight="1" x14ac:dyDescent="0.25">
      <c r="A61" s="42" t="s">
        <v>80</v>
      </c>
      <c r="B61" s="44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44"/>
      <c r="AA61" s="44"/>
      <c r="AB61" s="44"/>
      <c r="AC61" s="44"/>
      <c r="AD61" s="44"/>
      <c r="AE61" s="44"/>
      <c r="AF61" s="44"/>
      <c r="AG61" s="48">
        <v>12</v>
      </c>
      <c r="AH61" s="46">
        <f t="shared" si="2"/>
        <v>0</v>
      </c>
      <c r="AI61" s="47">
        <f t="shared" si="3"/>
        <v>0</v>
      </c>
      <c r="AK61" s="49"/>
      <c r="AL61" s="28"/>
      <c r="AM61" s="24"/>
      <c r="AN61" s="24"/>
      <c r="AO61" s="24"/>
      <c r="AP61" s="24"/>
      <c r="AQ61" s="15"/>
      <c r="AR61" s="21"/>
      <c r="AS61" s="24"/>
      <c r="AT61" s="24"/>
      <c r="AU61" s="24"/>
      <c r="AV61" s="24"/>
      <c r="AW61" s="24"/>
      <c r="AX61" s="24"/>
      <c r="AY61" s="24"/>
      <c r="AZ61" s="24"/>
      <c r="BA61" s="24"/>
      <c r="BB61" s="24"/>
      <c r="BC61" s="24"/>
      <c r="BD61" s="24"/>
      <c r="BE61" s="24"/>
      <c r="BF61" s="24"/>
      <c r="BG61" s="24"/>
      <c r="BH61" s="24"/>
      <c r="BI61" s="24"/>
      <c r="BJ61" s="24"/>
      <c r="BK61" s="24"/>
      <c r="BL61" s="24"/>
      <c r="BM61" s="24"/>
      <c r="BN61" s="24"/>
      <c r="BO61" s="24"/>
      <c r="BP61" s="24"/>
      <c r="BQ61" s="24"/>
      <c r="BR61" s="24"/>
      <c r="BS61" s="24"/>
      <c r="BT61" s="24"/>
      <c r="BU61" s="24"/>
      <c r="BV61" s="24"/>
      <c r="BW61" s="24"/>
      <c r="BX61" s="24"/>
      <c r="BY61" s="24"/>
      <c r="BZ61" s="24"/>
      <c r="CA61" s="24"/>
      <c r="CB61" s="24"/>
      <c r="CC61" s="24"/>
      <c r="CD61" s="24"/>
      <c r="CE61" s="24"/>
      <c r="CF61" s="24"/>
      <c r="CG61" s="24"/>
      <c r="CH61" s="24"/>
      <c r="CI61" s="24"/>
      <c r="CJ61" s="24"/>
    </row>
    <row r="62" spans="1:88" ht="14.25" customHeight="1" x14ac:dyDescent="0.25">
      <c r="A62" s="42" t="s">
        <v>81</v>
      </c>
      <c r="B62" s="44"/>
      <c r="C62" s="44"/>
      <c r="D62" s="44"/>
      <c r="E62" s="44"/>
      <c r="F62" s="44"/>
      <c r="G62" s="44"/>
      <c r="H62" s="44"/>
      <c r="I62" s="44"/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44"/>
      <c r="AA62" s="44"/>
      <c r="AB62" s="44"/>
      <c r="AC62" s="44"/>
      <c r="AD62" s="44"/>
      <c r="AE62" s="44"/>
      <c r="AF62" s="44"/>
      <c r="AG62" s="48">
        <v>11.88</v>
      </c>
      <c r="AH62" s="46">
        <f t="shared" si="2"/>
        <v>0</v>
      </c>
      <c r="AI62" s="47">
        <f t="shared" si="3"/>
        <v>0</v>
      </c>
      <c r="AK62" s="49"/>
      <c r="AL62" s="28"/>
      <c r="AM62" s="24"/>
      <c r="AN62" s="24"/>
      <c r="AO62" s="24"/>
      <c r="AP62" s="24"/>
      <c r="AQ62" s="15"/>
      <c r="AR62" s="21"/>
      <c r="AS62" s="24"/>
      <c r="AT62" s="24"/>
      <c r="AU62" s="24"/>
      <c r="AV62" s="24"/>
      <c r="AW62" s="24"/>
      <c r="AX62" s="24"/>
      <c r="AY62" s="24"/>
      <c r="AZ62" s="24"/>
      <c r="BA62" s="24"/>
      <c r="BB62" s="24"/>
      <c r="BC62" s="24"/>
      <c r="BD62" s="24"/>
      <c r="BE62" s="24"/>
      <c r="BF62" s="24"/>
      <c r="BG62" s="24"/>
      <c r="BH62" s="24"/>
      <c r="BI62" s="24"/>
      <c r="BJ62" s="24"/>
      <c r="BK62" s="24"/>
      <c r="BL62" s="24"/>
      <c r="BM62" s="24"/>
      <c r="BN62" s="24"/>
      <c r="BO62" s="24"/>
      <c r="BP62" s="24"/>
      <c r="BQ62" s="24"/>
      <c r="BR62" s="24"/>
      <c r="BS62" s="24"/>
      <c r="BT62" s="24"/>
      <c r="BU62" s="24"/>
      <c r="BV62" s="24"/>
      <c r="BW62" s="24"/>
      <c r="BX62" s="24"/>
      <c r="BY62" s="24"/>
      <c r="BZ62" s="24"/>
      <c r="CA62" s="24"/>
      <c r="CB62" s="24"/>
      <c r="CC62" s="24"/>
      <c r="CD62" s="24"/>
      <c r="CE62" s="24"/>
      <c r="CF62" s="24"/>
      <c r="CG62" s="24"/>
      <c r="CH62" s="24"/>
      <c r="CI62" s="24"/>
      <c r="CJ62" s="24"/>
    </row>
    <row r="63" spans="1:88" ht="14.25" customHeight="1" x14ac:dyDescent="0.25">
      <c r="A63" s="42" t="s">
        <v>82</v>
      </c>
      <c r="B63" s="44"/>
      <c r="C63" s="44"/>
      <c r="D63" s="44"/>
      <c r="E63" s="44"/>
      <c r="F63" s="44"/>
      <c r="G63" s="44"/>
      <c r="H63" s="44"/>
      <c r="I63" s="44"/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44"/>
      <c r="AA63" s="44"/>
      <c r="AB63" s="44"/>
      <c r="AC63" s="44"/>
      <c r="AD63" s="44"/>
      <c r="AE63" s="44"/>
      <c r="AF63" s="44"/>
      <c r="AG63" s="48">
        <v>11</v>
      </c>
      <c r="AH63" s="46">
        <f t="shared" si="2"/>
        <v>0</v>
      </c>
      <c r="AI63" s="47">
        <f t="shared" si="3"/>
        <v>0</v>
      </c>
      <c r="AK63" s="49"/>
      <c r="AL63" s="28"/>
      <c r="AM63" s="24"/>
      <c r="AN63" s="24"/>
      <c r="AO63" s="24"/>
      <c r="AP63" s="24"/>
      <c r="AQ63" s="15"/>
      <c r="AR63" s="21"/>
      <c r="AS63" s="24"/>
      <c r="AT63" s="24"/>
      <c r="AU63" s="24"/>
      <c r="AV63" s="24"/>
      <c r="AW63" s="24"/>
      <c r="AX63" s="24"/>
      <c r="AY63" s="24"/>
      <c r="AZ63" s="24"/>
      <c r="BA63" s="24"/>
      <c r="BB63" s="24"/>
      <c r="BC63" s="24"/>
      <c r="BD63" s="24"/>
      <c r="BE63" s="24"/>
      <c r="BF63" s="24"/>
      <c r="BG63" s="24"/>
      <c r="BH63" s="24"/>
      <c r="BI63" s="24"/>
      <c r="BJ63" s="24"/>
      <c r="BK63" s="24"/>
      <c r="BL63" s="24"/>
      <c r="BM63" s="24"/>
      <c r="BN63" s="24"/>
      <c r="BO63" s="24"/>
      <c r="BP63" s="24"/>
      <c r="BQ63" s="24"/>
      <c r="BR63" s="24"/>
      <c r="BS63" s="24"/>
      <c r="BT63" s="24"/>
      <c r="BU63" s="24"/>
      <c r="BV63" s="24"/>
      <c r="BW63" s="24"/>
      <c r="BX63" s="24"/>
      <c r="BY63" s="24"/>
      <c r="BZ63" s="24"/>
      <c r="CA63" s="24"/>
      <c r="CB63" s="24"/>
      <c r="CC63" s="24"/>
      <c r="CD63" s="24"/>
      <c r="CE63" s="24"/>
      <c r="CF63" s="24"/>
      <c r="CG63" s="24"/>
      <c r="CH63" s="24"/>
      <c r="CI63" s="24"/>
      <c r="CJ63" s="24"/>
    </row>
    <row r="64" spans="1:88" ht="14.25" customHeight="1" x14ac:dyDescent="0.25">
      <c r="A64" s="42" t="s">
        <v>83</v>
      </c>
      <c r="B64" s="44"/>
      <c r="C64" s="44"/>
      <c r="D64" s="44"/>
      <c r="E64" s="44"/>
      <c r="F64" s="44"/>
      <c r="G64" s="44"/>
      <c r="H64" s="44"/>
      <c r="I64" s="44"/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44"/>
      <c r="AA64" s="44"/>
      <c r="AB64" s="44"/>
      <c r="AC64" s="44"/>
      <c r="AD64" s="44"/>
      <c r="AE64" s="44"/>
      <c r="AF64" s="44"/>
      <c r="AG64" s="48">
        <v>11</v>
      </c>
      <c r="AH64" s="46">
        <f>MAX(B64:AF64)</f>
        <v>0</v>
      </c>
      <c r="AI64" s="47">
        <f>MIN(B64:AF64)</f>
        <v>0</v>
      </c>
      <c r="AK64" s="49"/>
      <c r="AL64" s="28"/>
      <c r="AM64" s="24"/>
      <c r="AN64" s="24"/>
      <c r="AO64" s="24"/>
      <c r="AP64" s="24"/>
      <c r="AQ64" s="15"/>
      <c r="AR64" s="21"/>
      <c r="AS64" s="24"/>
      <c r="AT64" s="24"/>
      <c r="AU64" s="24"/>
      <c r="AV64" s="24"/>
      <c r="AW64" s="24"/>
      <c r="AX64" s="24"/>
      <c r="AY64" s="24"/>
      <c r="AZ64" s="24"/>
      <c r="BA64" s="24"/>
      <c r="BB64" s="24"/>
      <c r="BC64" s="24"/>
      <c r="BD64" s="24"/>
      <c r="BE64" s="24"/>
      <c r="BF64" s="24"/>
      <c r="BG64" s="24"/>
      <c r="BH64" s="24"/>
      <c r="BI64" s="24"/>
      <c r="BJ64" s="24"/>
      <c r="BK64" s="24"/>
      <c r="BL64" s="24"/>
      <c r="BM64" s="24"/>
      <c r="BN64" s="24"/>
      <c r="BO64" s="24"/>
      <c r="BP64" s="24"/>
      <c r="BQ64" s="24"/>
      <c r="BR64" s="24"/>
      <c r="BS64" s="24"/>
      <c r="BT64" s="24"/>
      <c r="BU64" s="24"/>
      <c r="BV64" s="24"/>
      <c r="BW64" s="24"/>
      <c r="BX64" s="24"/>
      <c r="BY64" s="24"/>
      <c r="BZ64" s="24"/>
      <c r="CA64" s="24"/>
      <c r="CB64" s="24"/>
      <c r="CC64" s="24"/>
      <c r="CD64" s="24"/>
      <c r="CE64" s="24"/>
      <c r="CF64" s="24"/>
      <c r="CG64" s="24"/>
      <c r="CH64" s="24"/>
      <c r="CI64" s="24"/>
      <c r="CJ64" s="24"/>
    </row>
    <row r="65" spans="1:88" ht="14.25" customHeight="1" x14ac:dyDescent="0.25">
      <c r="A65" s="42" t="s">
        <v>84</v>
      </c>
      <c r="B65" s="44"/>
      <c r="C65" s="44"/>
      <c r="D65" s="44"/>
      <c r="E65" s="44"/>
      <c r="F65" s="44"/>
      <c r="G65" s="44"/>
      <c r="H65" s="44"/>
      <c r="I65" s="44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  <c r="AA65" s="44"/>
      <c r="AB65" s="44"/>
      <c r="AC65" s="44"/>
      <c r="AD65" s="44"/>
      <c r="AE65" s="44"/>
      <c r="AF65" s="44"/>
      <c r="AG65" s="48">
        <v>10.7</v>
      </c>
      <c r="AH65" s="46">
        <f t="shared" si="2"/>
        <v>0</v>
      </c>
      <c r="AI65" s="47">
        <f t="shared" si="3"/>
        <v>0</v>
      </c>
      <c r="AK65" s="49"/>
      <c r="AL65" s="28"/>
      <c r="AM65" s="24"/>
      <c r="AN65" s="24"/>
      <c r="AO65" s="24"/>
      <c r="AP65" s="24"/>
      <c r="AQ65" s="15"/>
      <c r="AR65" s="21"/>
      <c r="AS65" s="24"/>
      <c r="AT65" s="24"/>
      <c r="AU65" s="24"/>
      <c r="AV65" s="24"/>
      <c r="AW65" s="24"/>
      <c r="AX65" s="24"/>
      <c r="AY65" s="24"/>
      <c r="AZ65" s="24"/>
      <c r="BA65" s="24"/>
      <c r="BB65" s="24"/>
      <c r="BC65" s="24"/>
      <c r="BD65" s="24"/>
      <c r="BE65" s="24"/>
      <c r="BF65" s="24"/>
      <c r="BG65" s="24"/>
      <c r="BH65" s="24"/>
      <c r="BI65" s="24"/>
      <c r="BJ65" s="24"/>
      <c r="BK65" s="24"/>
      <c r="BL65" s="24"/>
      <c r="BM65" s="24"/>
      <c r="BN65" s="24"/>
      <c r="BO65" s="24"/>
      <c r="BP65" s="24"/>
      <c r="BQ65" s="24"/>
      <c r="BR65" s="24"/>
      <c r="BS65" s="24"/>
      <c r="BT65" s="24"/>
      <c r="BU65" s="24"/>
      <c r="BV65" s="24"/>
      <c r="BW65" s="24"/>
      <c r="BX65" s="24"/>
      <c r="BY65" s="24"/>
      <c r="BZ65" s="24"/>
      <c r="CA65" s="24"/>
      <c r="CB65" s="24"/>
      <c r="CC65" s="24"/>
      <c r="CD65" s="24"/>
      <c r="CE65" s="24"/>
      <c r="CF65" s="24"/>
      <c r="CG65" s="24"/>
      <c r="CH65" s="24"/>
      <c r="CI65" s="24"/>
      <c r="CJ65" s="24"/>
    </row>
    <row r="66" spans="1:88" ht="14.25" customHeight="1" x14ac:dyDescent="0.25">
      <c r="A66" s="42" t="s">
        <v>85</v>
      </c>
      <c r="B66" s="44"/>
      <c r="C66" s="44"/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44"/>
      <c r="AA66" s="44"/>
      <c r="AB66" s="44"/>
      <c r="AC66" s="44"/>
      <c r="AD66" s="44"/>
      <c r="AE66" s="44"/>
      <c r="AF66" s="44"/>
      <c r="AG66" s="62">
        <v>10.3</v>
      </c>
      <c r="AH66" s="46">
        <f t="shared" si="2"/>
        <v>0</v>
      </c>
      <c r="AI66" s="47">
        <f t="shared" si="3"/>
        <v>0</v>
      </c>
      <c r="AK66" s="49"/>
      <c r="AL66" s="28"/>
      <c r="AM66" s="24"/>
      <c r="AN66" s="24"/>
      <c r="AO66" s="24"/>
      <c r="AP66" s="24"/>
      <c r="AQ66" s="15"/>
      <c r="AR66" s="21"/>
      <c r="AS66" s="24"/>
      <c r="AT66" s="24"/>
      <c r="AU66" s="24"/>
      <c r="AV66" s="24"/>
      <c r="AW66" s="24"/>
      <c r="AX66" s="24"/>
      <c r="AY66" s="24"/>
      <c r="AZ66" s="24"/>
      <c r="BA66" s="24"/>
      <c r="BB66" s="24"/>
      <c r="BC66" s="24"/>
      <c r="BD66" s="24"/>
      <c r="BE66" s="24"/>
      <c r="BF66" s="24"/>
      <c r="BG66" s="24"/>
      <c r="BH66" s="24"/>
      <c r="BI66" s="24"/>
      <c r="BJ66" s="24"/>
      <c r="BK66" s="24"/>
      <c r="BL66" s="24"/>
      <c r="BM66" s="24"/>
      <c r="BN66" s="24"/>
      <c r="BO66" s="24"/>
      <c r="BP66" s="24"/>
      <c r="BQ66" s="24"/>
      <c r="BR66" s="24"/>
      <c r="BS66" s="24"/>
      <c r="BT66" s="24"/>
      <c r="BU66" s="24"/>
      <c r="BV66" s="24"/>
      <c r="BW66" s="24"/>
      <c r="BX66" s="24"/>
      <c r="BY66" s="24"/>
      <c r="BZ66" s="24"/>
      <c r="CA66" s="24"/>
      <c r="CB66" s="24"/>
      <c r="CC66" s="24"/>
      <c r="CD66" s="24"/>
      <c r="CE66" s="24"/>
      <c r="CF66" s="24"/>
      <c r="CG66" s="24"/>
      <c r="CH66" s="24"/>
      <c r="CI66" s="24"/>
      <c r="CJ66" s="24"/>
    </row>
    <row r="67" spans="1:88" x14ac:dyDescent="0.25">
      <c r="A67" s="42" t="s">
        <v>86</v>
      </c>
      <c r="B67" s="44"/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44"/>
      <c r="AA67" s="44"/>
      <c r="AB67" s="44"/>
      <c r="AC67" s="44"/>
      <c r="AD67" s="44"/>
      <c r="AE67" s="44"/>
      <c r="AF67" s="44"/>
      <c r="AG67" s="61">
        <v>10</v>
      </c>
      <c r="AH67" s="46">
        <f t="shared" si="2"/>
        <v>0</v>
      </c>
      <c r="AI67" s="47">
        <f t="shared" si="3"/>
        <v>0</v>
      </c>
      <c r="AK67" s="49"/>
      <c r="AL67" s="28"/>
      <c r="AO67" s="24"/>
      <c r="AP67" s="24"/>
      <c r="AQ67" s="15"/>
      <c r="AR67" s="21"/>
      <c r="AS67" s="24"/>
      <c r="AT67" s="24"/>
      <c r="AU67" s="24"/>
      <c r="AV67" s="24"/>
      <c r="AW67" s="24"/>
      <c r="AX67" s="24"/>
      <c r="AY67" s="24"/>
      <c r="AZ67" s="24"/>
      <c r="BA67" s="24"/>
      <c r="BB67" s="24"/>
      <c r="BC67" s="24"/>
      <c r="BD67" s="24"/>
      <c r="BE67" s="24"/>
      <c r="BF67" s="24"/>
      <c r="BG67" s="24"/>
      <c r="BH67" s="24"/>
      <c r="BI67" s="24"/>
      <c r="BJ67" s="24"/>
      <c r="BK67" s="24"/>
      <c r="BL67" s="24"/>
      <c r="BM67" s="24"/>
      <c r="BN67" s="24"/>
      <c r="BO67" s="24"/>
      <c r="BP67" s="24"/>
      <c r="BQ67" s="24"/>
      <c r="BR67" s="24"/>
      <c r="BS67" s="24"/>
      <c r="BT67" s="24"/>
      <c r="BU67" s="24"/>
      <c r="BV67" s="24"/>
      <c r="BW67" s="24"/>
      <c r="BX67" s="24"/>
      <c r="BY67" s="24"/>
      <c r="BZ67" s="24"/>
      <c r="CA67" s="24"/>
      <c r="CB67" s="24"/>
      <c r="CC67" s="24"/>
      <c r="CD67" s="24"/>
      <c r="CE67" s="24"/>
      <c r="CF67" s="24"/>
      <c r="CG67" s="24"/>
      <c r="CH67" s="24"/>
      <c r="CI67" s="24"/>
      <c r="CJ67" s="24"/>
    </row>
    <row r="68" spans="1:88" x14ac:dyDescent="0.25">
      <c r="A68" s="63" t="s">
        <v>87</v>
      </c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44"/>
      <c r="AA68" s="44"/>
      <c r="AB68" s="44"/>
      <c r="AC68" s="44"/>
      <c r="AD68" s="44"/>
      <c r="AE68" s="44"/>
      <c r="AF68" s="44"/>
      <c r="AG68" s="64">
        <v>10</v>
      </c>
      <c r="AH68" s="46">
        <f t="shared" si="2"/>
        <v>0</v>
      </c>
      <c r="AI68" s="47">
        <f t="shared" si="3"/>
        <v>0</v>
      </c>
      <c r="AK68" s="49"/>
      <c r="AL68" s="28"/>
      <c r="AO68" s="24"/>
      <c r="AP68" s="24"/>
      <c r="AQ68" s="15"/>
      <c r="AR68" s="21"/>
      <c r="AS68" s="24"/>
      <c r="AT68" s="24"/>
      <c r="AU68" s="24"/>
      <c r="AV68" s="24"/>
      <c r="AW68" s="24"/>
      <c r="AX68" s="24"/>
      <c r="AY68" s="24"/>
      <c r="AZ68" s="24"/>
      <c r="BA68" s="24"/>
      <c r="BB68" s="24"/>
      <c r="BC68" s="24"/>
      <c r="BD68" s="24"/>
      <c r="BE68" s="24"/>
      <c r="BF68" s="24"/>
      <c r="BG68" s="24"/>
      <c r="BH68" s="24"/>
      <c r="BI68" s="24"/>
      <c r="BJ68" s="24"/>
      <c r="BK68" s="24"/>
      <c r="BL68" s="24"/>
      <c r="BM68" s="24"/>
      <c r="BN68" s="24"/>
      <c r="BO68" s="24"/>
      <c r="BP68" s="24"/>
      <c r="BQ68" s="24"/>
      <c r="BR68" s="24"/>
      <c r="BS68" s="24"/>
      <c r="BT68" s="24"/>
      <c r="BU68" s="24"/>
      <c r="BV68" s="24"/>
      <c r="BW68" s="24"/>
      <c r="BX68" s="24"/>
      <c r="BY68" s="24"/>
      <c r="BZ68" s="24"/>
      <c r="CA68" s="24"/>
      <c r="CB68" s="24"/>
      <c r="CC68" s="24"/>
      <c r="CD68" s="24"/>
      <c r="CE68" s="24"/>
      <c r="CF68" s="24"/>
      <c r="CG68" s="24"/>
      <c r="CH68" s="24"/>
      <c r="CI68" s="24"/>
      <c r="CJ68" s="24"/>
    </row>
    <row r="69" spans="1:88" x14ac:dyDescent="0.25">
      <c r="A69" s="65" t="s">
        <v>88</v>
      </c>
      <c r="B69" s="66">
        <v>250</v>
      </c>
      <c r="C69" s="66">
        <v>250</v>
      </c>
      <c r="D69" s="66">
        <v>250</v>
      </c>
      <c r="E69" s="66">
        <v>250</v>
      </c>
      <c r="F69" s="66">
        <v>250</v>
      </c>
      <c r="G69" s="66">
        <v>250</v>
      </c>
      <c r="H69" s="66">
        <v>250</v>
      </c>
      <c r="I69" s="66">
        <v>250</v>
      </c>
      <c r="J69" s="66">
        <v>250</v>
      </c>
      <c r="K69" s="66">
        <v>250</v>
      </c>
      <c r="L69" s="66">
        <v>250</v>
      </c>
      <c r="M69" s="66">
        <v>250</v>
      </c>
      <c r="N69" s="66">
        <v>250</v>
      </c>
      <c r="O69" s="66">
        <v>250</v>
      </c>
      <c r="P69" s="66">
        <v>250</v>
      </c>
      <c r="Q69" s="66">
        <v>250</v>
      </c>
      <c r="R69" s="66">
        <v>250</v>
      </c>
      <c r="S69" s="66">
        <v>250</v>
      </c>
      <c r="T69" s="66">
        <v>250</v>
      </c>
      <c r="U69" s="66">
        <v>250</v>
      </c>
      <c r="V69" s="66">
        <v>250</v>
      </c>
      <c r="W69" s="66">
        <v>250</v>
      </c>
      <c r="X69" s="66">
        <v>250</v>
      </c>
      <c r="Y69" s="66">
        <v>250</v>
      </c>
      <c r="Z69" s="66">
        <v>250</v>
      </c>
      <c r="AA69" s="66">
        <v>250</v>
      </c>
      <c r="AB69" s="66">
        <v>250</v>
      </c>
      <c r="AC69" s="66">
        <v>250</v>
      </c>
      <c r="AD69" s="66">
        <v>250</v>
      </c>
      <c r="AE69" s="66">
        <v>250</v>
      </c>
      <c r="AF69" s="66">
        <v>250</v>
      </c>
      <c r="AG69" s="64">
        <v>85</v>
      </c>
      <c r="AH69" s="46">
        <f t="shared" si="2"/>
        <v>250</v>
      </c>
      <c r="AI69" s="47">
        <f t="shared" si="3"/>
        <v>250</v>
      </c>
      <c r="AK69" s="49"/>
    </row>
    <row r="70" spans="1:88" ht="15.75" thickBot="1" x14ac:dyDescent="0.3">
      <c r="A70" s="67" t="s">
        <v>89</v>
      </c>
      <c r="B70" s="66"/>
      <c r="C70" s="66"/>
      <c r="D70" s="66"/>
      <c r="E70" s="66"/>
      <c r="F70" s="66"/>
      <c r="G70" s="66"/>
      <c r="H70" s="66"/>
      <c r="I70" s="66"/>
      <c r="J70" s="66"/>
      <c r="K70" s="223"/>
      <c r="L70" s="223"/>
      <c r="M70" s="223"/>
      <c r="N70" s="223"/>
      <c r="O70" s="223"/>
      <c r="P70" s="223"/>
      <c r="Q70" s="223"/>
      <c r="R70" s="223"/>
      <c r="S70" s="223"/>
      <c r="T70" s="223"/>
      <c r="U70" s="223"/>
      <c r="V70" s="223"/>
      <c r="W70" s="223"/>
      <c r="X70" s="223"/>
      <c r="Y70" s="223"/>
      <c r="Z70" s="66"/>
      <c r="AA70" s="66"/>
      <c r="AB70" s="66"/>
      <c r="AC70" s="66"/>
      <c r="AD70" s="66"/>
      <c r="AE70" s="66"/>
      <c r="AF70" s="66"/>
      <c r="AG70" s="64">
        <v>240</v>
      </c>
      <c r="AH70" s="46">
        <f t="shared" si="2"/>
        <v>0</v>
      </c>
      <c r="AI70" s="47">
        <f t="shared" si="3"/>
        <v>0</v>
      </c>
      <c r="AK70" s="49"/>
    </row>
    <row r="71" spans="1:88" ht="15.75" thickBot="1" x14ac:dyDescent="0.3">
      <c r="A71" s="68" t="s">
        <v>90</v>
      </c>
      <c r="B71" s="69">
        <f>SUM(B11:B69)</f>
        <v>250</v>
      </c>
      <c r="C71" s="69">
        <f>SUM(C11:C69)</f>
        <v>250</v>
      </c>
      <c r="D71" s="69">
        <f t="shared" ref="D71:AG71" si="20">SUM(D11:D69)</f>
        <v>250</v>
      </c>
      <c r="E71" s="69">
        <f t="shared" si="20"/>
        <v>250</v>
      </c>
      <c r="F71" s="69">
        <f t="shared" si="20"/>
        <v>250</v>
      </c>
      <c r="G71" s="69">
        <f t="shared" si="20"/>
        <v>250</v>
      </c>
      <c r="H71" s="69">
        <f t="shared" si="20"/>
        <v>250</v>
      </c>
      <c r="I71" s="69">
        <f t="shared" si="20"/>
        <v>250</v>
      </c>
      <c r="J71" s="69">
        <f t="shared" si="20"/>
        <v>250</v>
      </c>
      <c r="K71" s="69">
        <f t="shared" si="20"/>
        <v>250</v>
      </c>
      <c r="L71" s="69">
        <f t="shared" si="20"/>
        <v>250</v>
      </c>
      <c r="M71" s="69">
        <f t="shared" si="20"/>
        <v>250</v>
      </c>
      <c r="N71" s="69">
        <f t="shared" si="20"/>
        <v>250</v>
      </c>
      <c r="O71" s="69">
        <f t="shared" si="20"/>
        <v>250</v>
      </c>
      <c r="P71" s="69">
        <f t="shared" si="20"/>
        <v>250</v>
      </c>
      <c r="Q71" s="69">
        <f t="shared" si="20"/>
        <v>250</v>
      </c>
      <c r="R71" s="69">
        <f t="shared" si="20"/>
        <v>250</v>
      </c>
      <c r="S71" s="69">
        <f t="shared" si="20"/>
        <v>250</v>
      </c>
      <c r="T71" s="69">
        <f t="shared" si="20"/>
        <v>250</v>
      </c>
      <c r="U71" s="69">
        <f t="shared" si="20"/>
        <v>250</v>
      </c>
      <c r="V71" s="69">
        <f t="shared" si="20"/>
        <v>250</v>
      </c>
      <c r="W71" s="69">
        <f t="shared" si="20"/>
        <v>250</v>
      </c>
      <c r="X71" s="69">
        <f t="shared" si="20"/>
        <v>250</v>
      </c>
      <c r="Y71" s="69">
        <f t="shared" si="20"/>
        <v>250</v>
      </c>
      <c r="Z71" s="69">
        <f t="shared" si="20"/>
        <v>250</v>
      </c>
      <c r="AA71" s="69">
        <f t="shared" si="20"/>
        <v>250</v>
      </c>
      <c r="AB71" s="69">
        <f>SUM(AB11:AB69)</f>
        <v>250</v>
      </c>
      <c r="AC71" s="69">
        <f t="shared" si="20"/>
        <v>250</v>
      </c>
      <c r="AD71" s="69">
        <f t="shared" si="20"/>
        <v>250</v>
      </c>
      <c r="AE71" s="69">
        <f t="shared" si="20"/>
        <v>250</v>
      </c>
      <c r="AF71" s="69">
        <f t="shared" si="20"/>
        <v>250</v>
      </c>
      <c r="AG71" s="69">
        <f t="shared" si="20"/>
        <v>1812.2049999999999</v>
      </c>
      <c r="AH71" s="46">
        <f t="shared" si="2"/>
        <v>250</v>
      </c>
      <c r="AI71" s="47">
        <f t="shared" si="3"/>
        <v>250</v>
      </c>
      <c r="AK71" s="49"/>
    </row>
    <row r="72" spans="1:88" x14ac:dyDescent="0.25">
      <c r="A72" s="70" t="s">
        <v>91</v>
      </c>
      <c r="B72" s="44">
        <v>450</v>
      </c>
      <c r="C72" s="44"/>
      <c r="D72" s="44"/>
      <c r="E72" s="44"/>
      <c r="F72" s="44"/>
      <c r="G72" s="44"/>
      <c r="H72" s="44"/>
      <c r="I72" s="44"/>
      <c r="J72" s="44"/>
      <c r="K72" s="44"/>
      <c r="L72" s="44"/>
      <c r="M72" s="44"/>
      <c r="N72" s="44"/>
      <c r="O72" s="44"/>
      <c r="P72" s="44"/>
      <c r="Q72" s="44"/>
      <c r="R72" s="44"/>
      <c r="S72" s="44"/>
      <c r="T72" s="44"/>
      <c r="U72" s="44"/>
      <c r="V72" s="44"/>
      <c r="W72" s="44"/>
      <c r="X72" s="44"/>
      <c r="Y72" s="44"/>
      <c r="Z72" s="44"/>
      <c r="AA72" s="44"/>
      <c r="AB72" s="44"/>
      <c r="AC72" s="44"/>
      <c r="AD72" s="44"/>
      <c r="AE72" s="44"/>
      <c r="AF72" s="44"/>
      <c r="AG72" s="61">
        <v>456</v>
      </c>
      <c r="AH72" s="46">
        <f t="shared" si="2"/>
        <v>450</v>
      </c>
      <c r="AI72" s="47">
        <f t="shared" si="3"/>
        <v>450</v>
      </c>
      <c r="AK72" s="49"/>
    </row>
    <row r="73" spans="1:88" x14ac:dyDescent="0.25">
      <c r="A73" s="71" t="s">
        <v>92</v>
      </c>
      <c r="B73" s="43"/>
      <c r="C73" s="43"/>
      <c r="D73" s="43"/>
      <c r="E73" s="43"/>
      <c r="F73" s="43"/>
      <c r="G73" s="43"/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  <c r="AA73" s="43"/>
      <c r="AB73" s="43"/>
      <c r="AC73" s="43"/>
      <c r="AD73" s="43"/>
      <c r="AE73" s="43"/>
      <c r="AF73" s="43"/>
      <c r="AG73" s="64">
        <v>111</v>
      </c>
      <c r="AH73" s="46">
        <f t="shared" si="2"/>
        <v>0</v>
      </c>
      <c r="AI73" s="47">
        <f t="shared" si="3"/>
        <v>0</v>
      </c>
      <c r="AK73" s="49"/>
    </row>
    <row r="74" spans="1:88" x14ac:dyDescent="0.25">
      <c r="A74" s="72" t="s">
        <v>93</v>
      </c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/>
      <c r="AA74" s="43"/>
      <c r="AB74" s="43"/>
      <c r="AC74" s="43"/>
      <c r="AD74" s="43"/>
      <c r="AE74" s="43"/>
      <c r="AF74" s="43"/>
      <c r="AG74" s="64">
        <v>60</v>
      </c>
      <c r="AH74" s="46">
        <f t="shared" si="2"/>
        <v>0</v>
      </c>
      <c r="AI74" s="47">
        <f t="shared" si="3"/>
        <v>0</v>
      </c>
      <c r="AK74" s="49"/>
    </row>
    <row r="75" spans="1:88" x14ac:dyDescent="0.25">
      <c r="A75" s="73" t="s">
        <v>94</v>
      </c>
      <c r="B75" s="43"/>
      <c r="C75" s="43"/>
      <c r="D75" s="43"/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  <c r="AA75" s="43"/>
      <c r="AB75" s="43"/>
      <c r="AC75" s="43"/>
      <c r="AD75" s="43"/>
      <c r="AE75" s="43"/>
      <c r="AF75" s="43"/>
      <c r="AG75" s="74">
        <v>42.5</v>
      </c>
      <c r="AH75" s="46">
        <f t="shared" ref="AH75:AH138" si="21">MAX(B75:AF75)</f>
        <v>0</v>
      </c>
      <c r="AI75" s="47">
        <f t="shared" ref="AI75:AI138" si="22">MIN(B75:AF75)</f>
        <v>0</v>
      </c>
      <c r="AK75" s="49"/>
    </row>
    <row r="76" spans="1:88" x14ac:dyDescent="0.25">
      <c r="A76" s="73" t="s">
        <v>95</v>
      </c>
      <c r="B76" s="43"/>
      <c r="C76" s="43"/>
      <c r="D76" s="43"/>
      <c r="E76" s="43"/>
      <c r="F76" s="43"/>
      <c r="G76" s="43"/>
      <c r="H76" s="43"/>
      <c r="I76" s="43"/>
      <c r="J76" s="43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  <c r="Z76" s="43"/>
      <c r="AA76" s="43"/>
      <c r="AB76" s="43"/>
      <c r="AC76" s="43"/>
      <c r="AD76" s="43"/>
      <c r="AE76" s="43"/>
      <c r="AF76" s="43"/>
      <c r="AG76" s="74">
        <v>22.1</v>
      </c>
      <c r="AH76" s="46">
        <f t="shared" si="21"/>
        <v>0</v>
      </c>
      <c r="AI76" s="47">
        <f t="shared" si="22"/>
        <v>0</v>
      </c>
      <c r="AK76" s="49"/>
    </row>
    <row r="77" spans="1:88" ht="15.75" thickBot="1" x14ac:dyDescent="0.3">
      <c r="A77" s="75" t="s">
        <v>96</v>
      </c>
      <c r="B77" s="76"/>
      <c r="C77" s="76"/>
      <c r="D77" s="76"/>
      <c r="E77" s="76"/>
      <c r="F77" s="76"/>
      <c r="G77" s="76"/>
      <c r="H77" s="76"/>
      <c r="I77" s="76"/>
      <c r="J77" s="76"/>
      <c r="K77" s="76"/>
      <c r="L77" s="76"/>
      <c r="M77" s="76"/>
      <c r="N77" s="76"/>
      <c r="O77" s="76"/>
      <c r="P77" s="76"/>
      <c r="Q77" s="76"/>
      <c r="R77" s="76"/>
      <c r="S77" s="76"/>
      <c r="T77" s="76"/>
      <c r="U77" s="76"/>
      <c r="V77" s="76"/>
      <c r="W77" s="76"/>
      <c r="X77" s="76"/>
      <c r="Y77" s="76"/>
      <c r="Z77" s="76"/>
      <c r="AA77" s="76"/>
      <c r="AB77" s="76"/>
      <c r="AC77" s="76"/>
      <c r="AD77" s="76"/>
      <c r="AE77" s="76"/>
      <c r="AF77" s="76"/>
      <c r="AG77" s="77">
        <v>14.8</v>
      </c>
      <c r="AH77" s="46">
        <f t="shared" si="21"/>
        <v>0</v>
      </c>
      <c r="AI77" s="47">
        <f t="shared" si="22"/>
        <v>0</v>
      </c>
      <c r="AK77" s="49"/>
    </row>
    <row r="78" spans="1:88" ht="15.75" thickBot="1" x14ac:dyDescent="0.3">
      <c r="A78" s="78" t="s">
        <v>97</v>
      </c>
      <c r="B78" s="69">
        <f>SUM(B72:B77)</f>
        <v>450</v>
      </c>
      <c r="C78" s="69">
        <f>SUM(C72:C77)</f>
        <v>0</v>
      </c>
      <c r="D78" s="69">
        <f t="shared" ref="D78:AG78" si="23">SUM(D72:D77)</f>
        <v>0</v>
      </c>
      <c r="E78" s="69">
        <f t="shared" si="23"/>
        <v>0</v>
      </c>
      <c r="F78" s="69">
        <f t="shared" si="23"/>
        <v>0</v>
      </c>
      <c r="G78" s="69">
        <f t="shared" si="23"/>
        <v>0</v>
      </c>
      <c r="H78" s="69">
        <f t="shared" si="23"/>
        <v>0</v>
      </c>
      <c r="I78" s="69">
        <f t="shared" si="23"/>
        <v>0</v>
      </c>
      <c r="J78" s="69">
        <f t="shared" si="23"/>
        <v>0</v>
      </c>
      <c r="K78" s="69">
        <f t="shared" si="23"/>
        <v>0</v>
      </c>
      <c r="L78" s="69">
        <f t="shared" si="23"/>
        <v>0</v>
      </c>
      <c r="M78" s="69">
        <f t="shared" si="23"/>
        <v>0</v>
      </c>
      <c r="N78" s="69">
        <f t="shared" si="23"/>
        <v>0</v>
      </c>
      <c r="O78" s="69">
        <f t="shared" si="23"/>
        <v>0</v>
      </c>
      <c r="P78" s="69">
        <f t="shared" si="23"/>
        <v>0</v>
      </c>
      <c r="Q78" s="69">
        <f t="shared" si="23"/>
        <v>0</v>
      </c>
      <c r="R78" s="69">
        <f t="shared" si="23"/>
        <v>0</v>
      </c>
      <c r="S78" s="69">
        <f t="shared" si="23"/>
        <v>0</v>
      </c>
      <c r="T78" s="69">
        <f t="shared" si="23"/>
        <v>0</v>
      </c>
      <c r="U78" s="69">
        <f t="shared" si="23"/>
        <v>0</v>
      </c>
      <c r="V78" s="69">
        <f t="shared" si="23"/>
        <v>0</v>
      </c>
      <c r="W78" s="69">
        <f t="shared" si="23"/>
        <v>0</v>
      </c>
      <c r="X78" s="69">
        <f t="shared" si="23"/>
        <v>0</v>
      </c>
      <c r="Y78" s="69">
        <f t="shared" si="23"/>
        <v>0</v>
      </c>
      <c r="Z78" s="69">
        <f t="shared" si="23"/>
        <v>0</v>
      </c>
      <c r="AA78" s="69">
        <f t="shared" si="23"/>
        <v>0</v>
      </c>
      <c r="AB78" s="69">
        <f t="shared" si="23"/>
        <v>0</v>
      </c>
      <c r="AC78" s="69">
        <f t="shared" si="23"/>
        <v>0</v>
      </c>
      <c r="AD78" s="69">
        <f t="shared" si="23"/>
        <v>0</v>
      </c>
      <c r="AE78" s="69">
        <f t="shared" si="23"/>
        <v>0</v>
      </c>
      <c r="AF78" s="69">
        <f t="shared" si="23"/>
        <v>0</v>
      </c>
      <c r="AG78" s="79">
        <f t="shared" si="23"/>
        <v>706.4</v>
      </c>
      <c r="AH78" s="46">
        <f t="shared" si="21"/>
        <v>450</v>
      </c>
      <c r="AI78" s="47">
        <f t="shared" si="22"/>
        <v>0</v>
      </c>
      <c r="AK78" s="49"/>
      <c r="AZ78" s="80">
        <v>1</v>
      </c>
      <c r="BA78" s="80">
        <v>2</v>
      </c>
      <c r="BB78" s="80">
        <v>3</v>
      </c>
      <c r="BC78" s="80">
        <v>4</v>
      </c>
      <c r="BD78" s="80">
        <v>5</v>
      </c>
      <c r="BE78" s="80">
        <v>6</v>
      </c>
      <c r="BF78" s="80">
        <v>7</v>
      </c>
      <c r="BG78" s="80">
        <v>8</v>
      </c>
      <c r="BH78" s="80">
        <v>9</v>
      </c>
      <c r="BI78" s="80">
        <v>10</v>
      </c>
      <c r="BJ78" s="80">
        <v>11</v>
      </c>
      <c r="BK78" s="80">
        <v>12</v>
      </c>
      <c r="BL78" s="80">
        <v>13</v>
      </c>
      <c r="BM78" s="80">
        <v>14</v>
      </c>
      <c r="BN78" s="80">
        <v>15</v>
      </c>
      <c r="BO78" s="80">
        <v>16</v>
      </c>
      <c r="BP78" s="80">
        <v>17</v>
      </c>
      <c r="BQ78" s="80">
        <v>18</v>
      </c>
      <c r="BR78" s="80">
        <v>19</v>
      </c>
      <c r="BS78" s="80">
        <v>20</v>
      </c>
      <c r="BT78" s="80">
        <v>21</v>
      </c>
      <c r="BU78" s="80">
        <v>22</v>
      </c>
      <c r="BV78" s="80">
        <v>23</v>
      </c>
      <c r="BW78" s="80">
        <v>24</v>
      </c>
    </row>
    <row r="79" spans="1:88" x14ac:dyDescent="0.25">
      <c r="A79" s="42" t="s">
        <v>98</v>
      </c>
      <c r="B79" s="44"/>
      <c r="C79" s="44"/>
      <c r="D79" s="44"/>
      <c r="E79" s="44"/>
      <c r="F79" s="44"/>
      <c r="G79" s="44"/>
      <c r="H79" s="44"/>
      <c r="I79" s="44"/>
      <c r="J79" s="44"/>
      <c r="K79" s="44"/>
      <c r="L79" s="44"/>
      <c r="M79" s="44"/>
      <c r="N79" s="44"/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  <c r="Z79" s="44"/>
      <c r="AA79" s="44"/>
      <c r="AB79" s="44"/>
      <c r="AC79" s="44"/>
      <c r="AD79" s="44"/>
      <c r="AE79" s="44"/>
      <c r="AF79" s="44"/>
      <c r="AG79" s="61">
        <v>144</v>
      </c>
      <c r="AH79" s="46">
        <f t="shared" si="21"/>
        <v>0</v>
      </c>
      <c r="AI79" s="47">
        <f t="shared" si="22"/>
        <v>0</v>
      </c>
      <c r="AK79" s="49"/>
      <c r="AY79" s="1" t="s">
        <v>99</v>
      </c>
      <c r="AZ79" s="81">
        <f>ROUND(C97,0)</f>
        <v>0</v>
      </c>
      <c r="BA79" s="80">
        <f t="shared" ref="BA79:BD83" si="24">D97</f>
        <v>0</v>
      </c>
      <c r="BB79" s="80">
        <f t="shared" si="24"/>
        <v>0</v>
      </c>
      <c r="BC79" s="80">
        <f t="shared" si="24"/>
        <v>0</v>
      </c>
      <c r="BD79" s="80">
        <f t="shared" si="24"/>
        <v>0</v>
      </c>
      <c r="BE79" s="81">
        <f>I97</f>
        <v>0</v>
      </c>
      <c r="BF79" s="81">
        <f>K97</f>
        <v>0</v>
      </c>
      <c r="BG79" s="81">
        <f t="shared" ref="BG79:BP83" si="25">M97</f>
        <v>0</v>
      </c>
      <c r="BH79" s="81">
        <f t="shared" si="25"/>
        <v>0</v>
      </c>
      <c r="BI79" s="81">
        <f t="shared" si="25"/>
        <v>0</v>
      </c>
      <c r="BJ79" s="81">
        <f t="shared" si="25"/>
        <v>0</v>
      </c>
      <c r="BK79" s="81">
        <f t="shared" si="25"/>
        <v>0</v>
      </c>
      <c r="BL79" s="81">
        <f t="shared" si="25"/>
        <v>0</v>
      </c>
      <c r="BM79" s="81">
        <f t="shared" si="25"/>
        <v>0</v>
      </c>
      <c r="BN79" s="81">
        <f t="shared" si="25"/>
        <v>0</v>
      </c>
      <c r="BO79" s="81">
        <f t="shared" si="25"/>
        <v>0</v>
      </c>
      <c r="BP79" s="81">
        <f t="shared" si="25"/>
        <v>0</v>
      </c>
      <c r="BQ79" s="81">
        <f>X97</f>
        <v>0</v>
      </c>
      <c r="BR79" s="81">
        <f>Z97</f>
        <v>0</v>
      </c>
      <c r="BS79" s="80">
        <f>AB97</f>
        <v>0</v>
      </c>
      <c r="BT79" s="80">
        <f t="shared" ref="BT79:BV83" si="26">AD97</f>
        <v>0</v>
      </c>
      <c r="BU79" s="80">
        <f t="shared" si="26"/>
        <v>0</v>
      </c>
      <c r="BV79" s="80">
        <f t="shared" si="26"/>
        <v>0</v>
      </c>
      <c r="BW79" s="80">
        <f>B97</f>
        <v>0</v>
      </c>
    </row>
    <row r="80" spans="1:88" x14ac:dyDescent="0.25">
      <c r="A80" s="63" t="s">
        <v>100</v>
      </c>
      <c r="B80" s="43"/>
      <c r="C80" s="43"/>
      <c r="D80" s="43"/>
      <c r="E80" s="43"/>
      <c r="F80" s="43"/>
      <c r="G80" s="43"/>
      <c r="H80" s="43"/>
      <c r="I80" s="43"/>
      <c r="J80" s="43"/>
      <c r="K80" s="43"/>
      <c r="L80" s="43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  <c r="Z80" s="43"/>
      <c r="AA80" s="43"/>
      <c r="AB80" s="44"/>
      <c r="AC80" s="44"/>
      <c r="AD80" s="44"/>
      <c r="AE80" s="44"/>
      <c r="AF80" s="44"/>
      <c r="AG80" s="64">
        <v>70</v>
      </c>
      <c r="AH80" s="46">
        <f t="shared" si="21"/>
        <v>0</v>
      </c>
      <c r="AI80" s="47">
        <f t="shared" si="22"/>
        <v>0</v>
      </c>
      <c r="AK80" s="49"/>
      <c r="AY80" s="1" t="s">
        <v>101</v>
      </c>
      <c r="AZ80" s="81">
        <f>ROUND(C98,0)</f>
        <v>0</v>
      </c>
      <c r="BA80" s="80">
        <f t="shared" si="24"/>
        <v>0</v>
      </c>
      <c r="BB80" s="80">
        <f t="shared" si="24"/>
        <v>0</v>
      </c>
      <c r="BC80" s="80">
        <f t="shared" si="24"/>
        <v>0</v>
      </c>
      <c r="BD80" s="80">
        <f t="shared" si="24"/>
        <v>0</v>
      </c>
      <c r="BE80" s="81">
        <f>I98</f>
        <v>0</v>
      </c>
      <c r="BF80" s="81">
        <f>K98</f>
        <v>0</v>
      </c>
      <c r="BG80" s="81">
        <f t="shared" si="25"/>
        <v>0</v>
      </c>
      <c r="BH80" s="81">
        <f t="shared" si="25"/>
        <v>0</v>
      </c>
      <c r="BI80" s="81">
        <f t="shared" si="25"/>
        <v>0</v>
      </c>
      <c r="BJ80" s="81">
        <f t="shared" si="25"/>
        <v>0</v>
      </c>
      <c r="BK80" s="81">
        <f t="shared" si="25"/>
        <v>0</v>
      </c>
      <c r="BL80" s="81">
        <f t="shared" si="25"/>
        <v>0</v>
      </c>
      <c r="BM80" s="81">
        <f t="shared" si="25"/>
        <v>0</v>
      </c>
      <c r="BN80" s="81">
        <f t="shared" si="25"/>
        <v>0</v>
      </c>
      <c r="BO80" s="81">
        <f t="shared" si="25"/>
        <v>0</v>
      </c>
      <c r="BP80" s="81">
        <f t="shared" si="25"/>
        <v>0</v>
      </c>
      <c r="BQ80" s="81">
        <f>X98</f>
        <v>0</v>
      </c>
      <c r="BR80" s="81">
        <f>Z98</f>
        <v>0</v>
      </c>
      <c r="BS80" s="80">
        <f>AB98</f>
        <v>0</v>
      </c>
      <c r="BT80" s="80">
        <f t="shared" si="26"/>
        <v>0</v>
      </c>
      <c r="BU80" s="80">
        <f t="shared" si="26"/>
        <v>0</v>
      </c>
      <c r="BV80" s="80">
        <f t="shared" si="26"/>
        <v>0</v>
      </c>
      <c r="BW80" s="80">
        <f>B98</f>
        <v>0</v>
      </c>
    </row>
    <row r="81" spans="1:75" x14ac:dyDescent="0.25">
      <c r="A81" s="63" t="s">
        <v>102</v>
      </c>
      <c r="B81" s="43"/>
      <c r="C81" s="43"/>
      <c r="D81" s="43"/>
      <c r="E81" s="43"/>
      <c r="F81" s="43"/>
      <c r="G81" s="43"/>
      <c r="H81" s="43"/>
      <c r="I81" s="43"/>
      <c r="J81" s="43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  <c r="AA81" s="43"/>
      <c r="AB81" s="44"/>
      <c r="AC81" s="44"/>
      <c r="AD81" s="44"/>
      <c r="AE81" s="44"/>
      <c r="AF81" s="44"/>
      <c r="AG81" s="64">
        <v>69</v>
      </c>
      <c r="AH81" s="46">
        <f t="shared" si="21"/>
        <v>0</v>
      </c>
      <c r="AI81" s="47">
        <f t="shared" si="22"/>
        <v>0</v>
      </c>
      <c r="AK81" s="49"/>
      <c r="AL81" s="82"/>
      <c r="AO81" s="82"/>
      <c r="AY81" s="1" t="s">
        <v>103</v>
      </c>
      <c r="AZ81" s="81">
        <f>ROUND(C99,0)</f>
        <v>0</v>
      </c>
      <c r="BA81" s="80">
        <f t="shared" si="24"/>
        <v>0</v>
      </c>
      <c r="BB81" s="80">
        <f t="shared" si="24"/>
        <v>0</v>
      </c>
      <c r="BC81" s="80">
        <f t="shared" si="24"/>
        <v>0</v>
      </c>
      <c r="BD81" s="80">
        <f t="shared" si="24"/>
        <v>0</v>
      </c>
      <c r="BE81" s="81">
        <f>I99</f>
        <v>0</v>
      </c>
      <c r="BF81" s="81">
        <f>K99</f>
        <v>0</v>
      </c>
      <c r="BG81" s="81">
        <f t="shared" si="25"/>
        <v>0</v>
      </c>
      <c r="BH81" s="81">
        <f t="shared" si="25"/>
        <v>0</v>
      </c>
      <c r="BI81" s="81">
        <f t="shared" si="25"/>
        <v>0</v>
      </c>
      <c r="BJ81" s="81">
        <f t="shared" si="25"/>
        <v>0</v>
      </c>
      <c r="BK81" s="81">
        <f t="shared" si="25"/>
        <v>0</v>
      </c>
      <c r="BL81" s="81">
        <f t="shared" si="25"/>
        <v>0</v>
      </c>
      <c r="BM81" s="81">
        <f t="shared" si="25"/>
        <v>0</v>
      </c>
      <c r="BN81" s="81">
        <f t="shared" si="25"/>
        <v>0</v>
      </c>
      <c r="BO81" s="81">
        <f t="shared" si="25"/>
        <v>0</v>
      </c>
      <c r="BP81" s="81">
        <f t="shared" si="25"/>
        <v>0</v>
      </c>
      <c r="BQ81" s="81">
        <f>X99</f>
        <v>0</v>
      </c>
      <c r="BR81" s="81">
        <f>Z99</f>
        <v>0</v>
      </c>
      <c r="BS81" s="80">
        <f>AB99</f>
        <v>0</v>
      </c>
      <c r="BT81" s="80">
        <f t="shared" si="26"/>
        <v>0</v>
      </c>
      <c r="BU81" s="80">
        <f t="shared" si="26"/>
        <v>0</v>
      </c>
      <c r="BV81" s="80">
        <f t="shared" si="26"/>
        <v>0</v>
      </c>
      <c r="BW81" s="80">
        <f>B99</f>
        <v>0</v>
      </c>
    </row>
    <row r="82" spans="1:75" s="82" customFormat="1" x14ac:dyDescent="0.25">
      <c r="A82" s="63" t="s">
        <v>104</v>
      </c>
      <c r="B82" s="43"/>
      <c r="C82" s="43"/>
      <c r="D82" s="43"/>
      <c r="E82" s="43"/>
      <c r="F82" s="43"/>
      <c r="G82" s="43"/>
      <c r="H82" s="43"/>
      <c r="I82" s="43"/>
      <c r="J82" s="43"/>
      <c r="K82" s="66"/>
      <c r="L82" s="66"/>
      <c r="M82" s="66"/>
      <c r="N82" s="66"/>
      <c r="O82" s="66"/>
      <c r="P82" s="43"/>
      <c r="Q82" s="43"/>
      <c r="R82" s="43"/>
      <c r="S82" s="43"/>
      <c r="T82" s="43"/>
      <c r="U82" s="43"/>
      <c r="V82" s="43"/>
      <c r="W82" s="43"/>
      <c r="X82" s="43"/>
      <c r="Y82" s="43"/>
      <c r="Z82" s="43"/>
      <c r="AA82" s="43"/>
      <c r="AB82" s="44"/>
      <c r="AC82" s="44"/>
      <c r="AD82" s="44"/>
      <c r="AE82" s="44"/>
      <c r="AF82" s="44"/>
      <c r="AG82" s="64">
        <v>60</v>
      </c>
      <c r="AH82" s="46">
        <f t="shared" si="21"/>
        <v>0</v>
      </c>
      <c r="AI82" s="47">
        <f t="shared" si="22"/>
        <v>0</v>
      </c>
      <c r="AJ82" s="1"/>
      <c r="AK82" s="49"/>
      <c r="AL82" s="1"/>
      <c r="AM82" s="1"/>
      <c r="AN82" s="1"/>
      <c r="AO82" s="1"/>
      <c r="AY82" s="82" t="s">
        <v>105</v>
      </c>
      <c r="AZ82" s="81">
        <f>ROUND(C100,0)</f>
        <v>0</v>
      </c>
      <c r="BA82" s="80">
        <f t="shared" si="24"/>
        <v>0</v>
      </c>
      <c r="BB82" s="80">
        <f t="shared" si="24"/>
        <v>0</v>
      </c>
      <c r="BC82" s="80">
        <f t="shared" si="24"/>
        <v>0</v>
      </c>
      <c r="BD82" s="80">
        <f t="shared" si="24"/>
        <v>0</v>
      </c>
      <c r="BE82" s="81">
        <f>I100</f>
        <v>0</v>
      </c>
      <c r="BF82" s="81">
        <f>K100</f>
        <v>0</v>
      </c>
      <c r="BG82" s="81">
        <f t="shared" si="25"/>
        <v>0</v>
      </c>
      <c r="BH82" s="81">
        <f t="shared" si="25"/>
        <v>0</v>
      </c>
      <c r="BI82" s="81">
        <f t="shared" si="25"/>
        <v>0</v>
      </c>
      <c r="BJ82" s="81">
        <f t="shared" si="25"/>
        <v>0</v>
      </c>
      <c r="BK82" s="81">
        <f t="shared" si="25"/>
        <v>0</v>
      </c>
      <c r="BL82" s="81">
        <f t="shared" si="25"/>
        <v>0</v>
      </c>
      <c r="BM82" s="81">
        <f t="shared" si="25"/>
        <v>0</v>
      </c>
      <c r="BN82" s="81">
        <f t="shared" si="25"/>
        <v>0</v>
      </c>
      <c r="BO82" s="81">
        <f t="shared" si="25"/>
        <v>0</v>
      </c>
      <c r="BP82" s="81">
        <f t="shared" si="25"/>
        <v>0</v>
      </c>
      <c r="BQ82" s="81">
        <f>X100</f>
        <v>0</v>
      </c>
      <c r="BR82" s="81">
        <f>Z100</f>
        <v>0</v>
      </c>
      <c r="BS82" s="80">
        <f>AB100</f>
        <v>0</v>
      </c>
      <c r="BT82" s="80">
        <f t="shared" si="26"/>
        <v>0</v>
      </c>
      <c r="BU82" s="80">
        <f t="shared" si="26"/>
        <v>0</v>
      </c>
      <c r="BV82" s="80">
        <f t="shared" si="26"/>
        <v>0</v>
      </c>
      <c r="BW82" s="80">
        <f>B100</f>
        <v>0</v>
      </c>
    </row>
    <row r="83" spans="1:75" x14ac:dyDescent="0.25">
      <c r="A83" s="63" t="s">
        <v>106</v>
      </c>
      <c r="B83" s="44"/>
      <c r="C83" s="44"/>
      <c r="D83" s="44"/>
      <c r="E83" s="44"/>
      <c r="F83" s="44"/>
      <c r="G83" s="44"/>
      <c r="H83" s="43"/>
      <c r="I83" s="43"/>
      <c r="J83" s="43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  <c r="AA83" s="43"/>
      <c r="AB83" s="44"/>
      <c r="AC83" s="44"/>
      <c r="AD83" s="44"/>
      <c r="AE83" s="44"/>
      <c r="AF83" s="44"/>
      <c r="AG83" s="64">
        <v>30</v>
      </c>
      <c r="AH83" s="46">
        <f t="shared" si="21"/>
        <v>0</v>
      </c>
      <c r="AI83" s="47">
        <f t="shared" si="22"/>
        <v>0</v>
      </c>
      <c r="AK83" s="49"/>
      <c r="AY83" s="1" t="s">
        <v>107</v>
      </c>
      <c r="AZ83" s="81">
        <f>ROUND(C101,0)</f>
        <v>0</v>
      </c>
      <c r="BA83" s="80">
        <f t="shared" si="24"/>
        <v>0</v>
      </c>
      <c r="BB83" s="80">
        <f t="shared" si="24"/>
        <v>0</v>
      </c>
      <c r="BC83" s="80">
        <f t="shared" si="24"/>
        <v>0</v>
      </c>
      <c r="BD83" s="80">
        <f t="shared" si="24"/>
        <v>0</v>
      </c>
      <c r="BE83" s="81">
        <f>I101</f>
        <v>0</v>
      </c>
      <c r="BF83" s="81">
        <f>K101</f>
        <v>0</v>
      </c>
      <c r="BG83" s="81">
        <f t="shared" si="25"/>
        <v>0</v>
      </c>
      <c r="BH83" s="81">
        <f t="shared" si="25"/>
        <v>0</v>
      </c>
      <c r="BI83" s="81">
        <f t="shared" si="25"/>
        <v>0</v>
      </c>
      <c r="BJ83" s="81">
        <f t="shared" si="25"/>
        <v>0</v>
      </c>
      <c r="BK83" s="81">
        <f t="shared" si="25"/>
        <v>0</v>
      </c>
      <c r="BL83" s="81">
        <f t="shared" si="25"/>
        <v>0</v>
      </c>
      <c r="BM83" s="81">
        <f t="shared" si="25"/>
        <v>0</v>
      </c>
      <c r="BN83" s="81">
        <f t="shared" si="25"/>
        <v>0</v>
      </c>
      <c r="BO83" s="81">
        <f t="shared" si="25"/>
        <v>0</v>
      </c>
      <c r="BP83" s="81">
        <f t="shared" si="25"/>
        <v>0</v>
      </c>
      <c r="BQ83" s="81">
        <f>X101</f>
        <v>0</v>
      </c>
      <c r="BR83" s="81">
        <f>Z101</f>
        <v>0</v>
      </c>
      <c r="BS83" s="80">
        <f>AB101</f>
        <v>0</v>
      </c>
      <c r="BT83" s="80">
        <f t="shared" si="26"/>
        <v>0</v>
      </c>
      <c r="BU83" s="80">
        <f t="shared" si="26"/>
        <v>0</v>
      </c>
      <c r="BV83" s="80">
        <f t="shared" si="26"/>
        <v>0</v>
      </c>
      <c r="BW83" s="80">
        <f>B101</f>
        <v>0</v>
      </c>
    </row>
    <row r="84" spans="1:75" x14ac:dyDescent="0.25">
      <c r="A84" s="63" t="s">
        <v>108</v>
      </c>
      <c r="B84" s="44"/>
      <c r="C84" s="44"/>
      <c r="D84" s="44"/>
      <c r="E84" s="44"/>
      <c r="F84" s="44"/>
      <c r="G84" s="44"/>
      <c r="H84" s="44"/>
      <c r="I84" s="44"/>
      <c r="J84" s="44"/>
      <c r="K84" s="44"/>
      <c r="L84" s="44"/>
      <c r="M84" s="44"/>
      <c r="N84" s="44"/>
      <c r="O84" s="44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  <c r="AA84" s="43"/>
      <c r="AB84" s="43"/>
      <c r="AC84" s="43"/>
      <c r="AD84" s="43"/>
      <c r="AE84" s="43"/>
      <c r="AF84" s="43"/>
      <c r="AG84" s="64">
        <v>25</v>
      </c>
      <c r="AH84" s="46">
        <f t="shared" si="21"/>
        <v>0</v>
      </c>
      <c r="AI84" s="47">
        <f t="shared" si="22"/>
        <v>0</v>
      </c>
      <c r="AK84" s="49"/>
      <c r="AY84" s="1" t="s">
        <v>109</v>
      </c>
      <c r="AZ84" s="81">
        <f>ROUND(C107,0)</f>
        <v>0</v>
      </c>
      <c r="BA84" s="81">
        <f>D107</f>
        <v>0</v>
      </c>
      <c r="BB84" s="81">
        <f>E107</f>
        <v>0</v>
      </c>
      <c r="BC84" s="81">
        <f>F107</f>
        <v>0</v>
      </c>
      <c r="BD84" s="81">
        <f>G107</f>
        <v>0</v>
      </c>
      <c r="BE84" s="81">
        <f>I107</f>
        <v>0</v>
      </c>
      <c r="BF84" s="81">
        <f>K107</f>
        <v>0</v>
      </c>
      <c r="BG84" s="81">
        <f t="shared" ref="BG84:BP84" si="27">M107</f>
        <v>0</v>
      </c>
      <c r="BH84" s="81">
        <f t="shared" si="27"/>
        <v>0</v>
      </c>
      <c r="BI84" s="81">
        <f t="shared" si="27"/>
        <v>0</v>
      </c>
      <c r="BJ84" s="81">
        <f t="shared" si="27"/>
        <v>0</v>
      </c>
      <c r="BK84" s="81">
        <f t="shared" si="27"/>
        <v>0</v>
      </c>
      <c r="BL84" s="81">
        <f t="shared" si="27"/>
        <v>0</v>
      </c>
      <c r="BM84" s="81">
        <f t="shared" si="27"/>
        <v>0</v>
      </c>
      <c r="BN84" s="81">
        <f t="shared" si="27"/>
        <v>0</v>
      </c>
      <c r="BO84" s="81">
        <f t="shared" si="27"/>
        <v>0</v>
      </c>
      <c r="BP84" s="81">
        <f t="shared" si="27"/>
        <v>0</v>
      </c>
      <c r="BQ84" s="81">
        <f>X107</f>
        <v>0</v>
      </c>
      <c r="BR84" s="81">
        <f>Z107</f>
        <v>0</v>
      </c>
      <c r="BS84" s="81">
        <f>AB107</f>
        <v>0</v>
      </c>
      <c r="BT84" s="81">
        <f>AD107</f>
        <v>0</v>
      </c>
      <c r="BU84" s="81">
        <f>AE107</f>
        <v>0</v>
      </c>
      <c r="BV84" s="81">
        <f>AF107</f>
        <v>0</v>
      </c>
      <c r="BW84" s="81">
        <f>B107</f>
        <v>0</v>
      </c>
    </row>
    <row r="85" spans="1:75" x14ac:dyDescent="0.25">
      <c r="A85" s="63" t="s">
        <v>110</v>
      </c>
      <c r="B85" s="43"/>
      <c r="C85" s="43"/>
      <c r="D85" s="43"/>
      <c r="E85" s="43"/>
      <c r="F85" s="43"/>
      <c r="G85" s="43"/>
      <c r="H85" s="43"/>
      <c r="I85" s="43"/>
      <c r="J85" s="43"/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  <c r="Z85" s="43"/>
      <c r="AA85" s="43"/>
      <c r="AB85" s="43"/>
      <c r="AC85" s="43"/>
      <c r="AD85" s="43"/>
      <c r="AE85" s="43"/>
      <c r="AF85" s="43"/>
      <c r="AG85" s="64">
        <v>24</v>
      </c>
      <c r="AH85" s="46">
        <f t="shared" si="21"/>
        <v>0</v>
      </c>
      <c r="AI85" s="47">
        <f t="shared" si="22"/>
        <v>0</v>
      </c>
      <c r="AK85" s="49"/>
      <c r="AZ85" s="81"/>
      <c r="BA85" s="80"/>
      <c r="BB85" s="80"/>
      <c r="BC85" s="80"/>
      <c r="BD85" s="80"/>
      <c r="BE85" s="81"/>
      <c r="BF85" s="81"/>
      <c r="BG85" s="81"/>
      <c r="BH85" s="81"/>
      <c r="BI85" s="81"/>
      <c r="BJ85" s="81"/>
      <c r="BK85" s="81"/>
      <c r="BL85" s="81"/>
      <c r="BM85" s="81"/>
      <c r="BN85" s="81"/>
      <c r="BO85" s="81"/>
      <c r="BP85" s="81"/>
      <c r="BQ85" s="81"/>
      <c r="BR85" s="81"/>
      <c r="BS85" s="80"/>
      <c r="BT85" s="80"/>
      <c r="BU85" s="80"/>
      <c r="BV85" s="80"/>
      <c r="BW85" s="80"/>
    </row>
    <row r="86" spans="1:75" x14ac:dyDescent="0.25">
      <c r="A86" s="63" t="s">
        <v>111</v>
      </c>
      <c r="B86" s="43"/>
      <c r="C86" s="43"/>
      <c r="D86" s="43"/>
      <c r="E86" s="43"/>
      <c r="F86" s="43"/>
      <c r="G86" s="43"/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  <c r="AA86" s="43"/>
      <c r="AB86" s="43"/>
      <c r="AC86" s="43"/>
      <c r="AD86" s="43"/>
      <c r="AE86" s="43"/>
      <c r="AF86" s="43"/>
      <c r="AG86" s="64">
        <v>15</v>
      </c>
      <c r="AH86" s="46">
        <f t="shared" si="21"/>
        <v>0</v>
      </c>
      <c r="AI86" s="47">
        <f t="shared" si="22"/>
        <v>0</v>
      </c>
      <c r="AK86" s="49"/>
      <c r="AZ86" s="81">
        <f t="shared" ref="AZ86:BW91" si="28">VALUE(AZ79)</f>
        <v>0</v>
      </c>
      <c r="BA86" s="81">
        <f t="shared" si="28"/>
        <v>0</v>
      </c>
      <c r="BB86" s="81">
        <f t="shared" si="28"/>
        <v>0</v>
      </c>
      <c r="BC86" s="81">
        <f t="shared" si="28"/>
        <v>0</v>
      </c>
      <c r="BD86" s="81">
        <f t="shared" si="28"/>
        <v>0</v>
      </c>
      <c r="BE86" s="81">
        <f t="shared" si="28"/>
        <v>0</v>
      </c>
      <c r="BF86" s="81">
        <f t="shared" si="28"/>
        <v>0</v>
      </c>
      <c r="BG86" s="81">
        <f t="shared" si="28"/>
        <v>0</v>
      </c>
      <c r="BH86" s="81">
        <f t="shared" si="28"/>
        <v>0</v>
      </c>
      <c r="BI86" s="81">
        <f t="shared" si="28"/>
        <v>0</v>
      </c>
      <c r="BJ86" s="81">
        <f t="shared" si="28"/>
        <v>0</v>
      </c>
      <c r="BK86" s="81">
        <f t="shared" si="28"/>
        <v>0</v>
      </c>
      <c r="BL86" s="81">
        <f t="shared" si="28"/>
        <v>0</v>
      </c>
      <c r="BM86" s="81">
        <f t="shared" si="28"/>
        <v>0</v>
      </c>
      <c r="BN86" s="81">
        <f t="shared" si="28"/>
        <v>0</v>
      </c>
      <c r="BO86" s="81">
        <f t="shared" si="28"/>
        <v>0</v>
      </c>
      <c r="BP86" s="81">
        <f t="shared" si="28"/>
        <v>0</v>
      </c>
      <c r="BQ86" s="81">
        <f t="shared" si="28"/>
        <v>0</v>
      </c>
      <c r="BR86" s="81">
        <f t="shared" si="28"/>
        <v>0</v>
      </c>
      <c r="BS86" s="81">
        <f t="shared" si="28"/>
        <v>0</v>
      </c>
      <c r="BT86" s="81">
        <f t="shared" si="28"/>
        <v>0</v>
      </c>
      <c r="BU86" s="81">
        <f t="shared" si="28"/>
        <v>0</v>
      </c>
      <c r="BV86" s="81">
        <f t="shared" si="28"/>
        <v>0</v>
      </c>
      <c r="BW86" s="81">
        <f t="shared" si="28"/>
        <v>0</v>
      </c>
    </row>
    <row r="87" spans="1:75" x14ac:dyDescent="0.25">
      <c r="A87" s="63" t="s">
        <v>112</v>
      </c>
      <c r="B87" s="43"/>
      <c r="C87" s="43"/>
      <c r="D87" s="43"/>
      <c r="E87" s="43"/>
      <c r="F87" s="43"/>
      <c r="G87" s="43"/>
      <c r="H87" s="43"/>
      <c r="I87" s="43"/>
      <c r="J87" s="43"/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3"/>
      <c r="AA87" s="43"/>
      <c r="AB87" s="43"/>
      <c r="AC87" s="43"/>
      <c r="AD87" s="43"/>
      <c r="AE87" s="43"/>
      <c r="AF87" s="43"/>
      <c r="AG87" s="64">
        <v>14.1</v>
      </c>
      <c r="AH87" s="46">
        <f t="shared" si="21"/>
        <v>0</v>
      </c>
      <c r="AI87" s="47">
        <f t="shared" si="22"/>
        <v>0</v>
      </c>
      <c r="AK87" s="49"/>
      <c r="AZ87" s="81">
        <f t="shared" si="28"/>
        <v>0</v>
      </c>
      <c r="BA87" s="81">
        <f t="shared" si="28"/>
        <v>0</v>
      </c>
      <c r="BB87" s="81">
        <f t="shared" si="28"/>
        <v>0</v>
      </c>
      <c r="BC87" s="81">
        <f t="shared" si="28"/>
        <v>0</v>
      </c>
      <c r="BD87" s="81">
        <f t="shared" si="28"/>
        <v>0</v>
      </c>
      <c r="BE87" s="81">
        <f t="shared" si="28"/>
        <v>0</v>
      </c>
      <c r="BF87" s="81">
        <f t="shared" si="28"/>
        <v>0</v>
      </c>
      <c r="BG87" s="81">
        <f t="shared" si="28"/>
        <v>0</v>
      </c>
      <c r="BH87" s="81">
        <f t="shared" si="28"/>
        <v>0</v>
      </c>
      <c r="BI87" s="81">
        <f t="shared" si="28"/>
        <v>0</v>
      </c>
      <c r="BJ87" s="81">
        <f t="shared" si="28"/>
        <v>0</v>
      </c>
      <c r="BK87" s="81">
        <f t="shared" si="28"/>
        <v>0</v>
      </c>
      <c r="BL87" s="81">
        <f t="shared" si="28"/>
        <v>0</v>
      </c>
      <c r="BM87" s="81">
        <f t="shared" si="28"/>
        <v>0</v>
      </c>
      <c r="BN87" s="81">
        <f t="shared" si="28"/>
        <v>0</v>
      </c>
      <c r="BO87" s="81">
        <f t="shared" si="28"/>
        <v>0</v>
      </c>
      <c r="BP87" s="81">
        <f t="shared" si="28"/>
        <v>0</v>
      </c>
      <c r="BQ87" s="81">
        <f t="shared" si="28"/>
        <v>0</v>
      </c>
      <c r="BR87" s="81">
        <f t="shared" si="28"/>
        <v>0</v>
      </c>
      <c r="BS87" s="81">
        <f t="shared" si="28"/>
        <v>0</v>
      </c>
      <c r="BT87" s="81">
        <f t="shared" si="28"/>
        <v>0</v>
      </c>
      <c r="BU87" s="81">
        <f t="shared" si="28"/>
        <v>0</v>
      </c>
      <c r="BV87" s="81">
        <f t="shared" si="28"/>
        <v>0</v>
      </c>
      <c r="BW87" s="81">
        <f t="shared" si="28"/>
        <v>0</v>
      </c>
    </row>
    <row r="88" spans="1:75" x14ac:dyDescent="0.25">
      <c r="A88" s="83" t="s">
        <v>113</v>
      </c>
      <c r="B88" s="43"/>
      <c r="C88" s="43"/>
      <c r="D88" s="43"/>
      <c r="E88" s="43"/>
      <c r="F88" s="43"/>
      <c r="G88" s="43"/>
      <c r="H88" s="43"/>
      <c r="I88" s="43"/>
      <c r="J88" s="43"/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  <c r="Y88" s="43"/>
      <c r="Z88" s="43"/>
      <c r="AA88" s="43"/>
      <c r="AB88" s="43"/>
      <c r="AC88" s="43"/>
      <c r="AD88" s="43"/>
      <c r="AE88" s="43"/>
      <c r="AF88" s="43"/>
      <c r="AG88" s="64">
        <v>14</v>
      </c>
      <c r="AH88" s="46">
        <f t="shared" si="21"/>
        <v>0</v>
      </c>
      <c r="AI88" s="47">
        <f t="shared" si="22"/>
        <v>0</v>
      </c>
      <c r="AK88" s="49"/>
      <c r="AZ88" s="81">
        <f t="shared" si="28"/>
        <v>0</v>
      </c>
      <c r="BA88" s="81">
        <f t="shared" si="28"/>
        <v>0</v>
      </c>
      <c r="BB88" s="81">
        <f t="shared" si="28"/>
        <v>0</v>
      </c>
      <c r="BC88" s="81">
        <f t="shared" si="28"/>
        <v>0</v>
      </c>
      <c r="BD88" s="81">
        <f t="shared" si="28"/>
        <v>0</v>
      </c>
      <c r="BE88" s="81">
        <f t="shared" si="28"/>
        <v>0</v>
      </c>
      <c r="BF88" s="81">
        <f t="shared" si="28"/>
        <v>0</v>
      </c>
      <c r="BG88" s="81">
        <f t="shared" si="28"/>
        <v>0</v>
      </c>
      <c r="BH88" s="81">
        <f t="shared" si="28"/>
        <v>0</v>
      </c>
      <c r="BI88" s="81">
        <f t="shared" si="28"/>
        <v>0</v>
      </c>
      <c r="BJ88" s="81">
        <f t="shared" si="28"/>
        <v>0</v>
      </c>
      <c r="BK88" s="81">
        <f t="shared" si="28"/>
        <v>0</v>
      </c>
      <c r="BL88" s="81">
        <f t="shared" si="28"/>
        <v>0</v>
      </c>
      <c r="BM88" s="81">
        <f t="shared" si="28"/>
        <v>0</v>
      </c>
      <c r="BN88" s="81">
        <f t="shared" si="28"/>
        <v>0</v>
      </c>
      <c r="BO88" s="81">
        <f t="shared" si="28"/>
        <v>0</v>
      </c>
      <c r="BP88" s="81">
        <f t="shared" si="28"/>
        <v>0</v>
      </c>
      <c r="BQ88" s="81">
        <f t="shared" si="28"/>
        <v>0</v>
      </c>
      <c r="BR88" s="81">
        <f t="shared" si="28"/>
        <v>0</v>
      </c>
      <c r="BS88" s="81">
        <f t="shared" si="28"/>
        <v>0</v>
      </c>
      <c r="BT88" s="81">
        <f t="shared" si="28"/>
        <v>0</v>
      </c>
      <c r="BU88" s="81">
        <f t="shared" si="28"/>
        <v>0</v>
      </c>
      <c r="BV88" s="81">
        <f t="shared" si="28"/>
        <v>0</v>
      </c>
      <c r="BW88" s="81">
        <f t="shared" si="28"/>
        <v>0</v>
      </c>
    </row>
    <row r="89" spans="1:75" x14ac:dyDescent="0.25">
      <c r="A89" s="63" t="s">
        <v>114</v>
      </c>
      <c r="B89" s="43"/>
      <c r="C89" s="43"/>
      <c r="D89" s="43"/>
      <c r="E89" s="43"/>
      <c r="F89" s="43"/>
      <c r="G89" s="43"/>
      <c r="H89" s="43"/>
      <c r="I89" s="43"/>
      <c r="J89" s="43"/>
      <c r="K89" s="43"/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  <c r="Y89" s="43"/>
      <c r="Z89" s="43"/>
      <c r="AA89" s="43"/>
      <c r="AB89" s="43"/>
      <c r="AC89" s="43"/>
      <c r="AD89" s="43"/>
      <c r="AE89" s="43"/>
      <c r="AF89" s="43"/>
      <c r="AG89" s="64">
        <v>10.050000000000001</v>
      </c>
      <c r="AH89" s="46">
        <f t="shared" si="21"/>
        <v>0</v>
      </c>
      <c r="AI89" s="47">
        <f t="shared" si="22"/>
        <v>0</v>
      </c>
      <c r="AK89" s="49"/>
      <c r="AZ89" s="81">
        <f t="shared" si="28"/>
        <v>0</v>
      </c>
      <c r="BA89" s="81">
        <f t="shared" si="28"/>
        <v>0</v>
      </c>
      <c r="BB89" s="81">
        <f t="shared" si="28"/>
        <v>0</v>
      </c>
      <c r="BC89" s="81">
        <f t="shared" si="28"/>
        <v>0</v>
      </c>
      <c r="BD89" s="81">
        <f t="shared" si="28"/>
        <v>0</v>
      </c>
      <c r="BE89" s="81">
        <f t="shared" si="28"/>
        <v>0</v>
      </c>
      <c r="BF89" s="81">
        <f t="shared" si="28"/>
        <v>0</v>
      </c>
      <c r="BG89" s="81">
        <f t="shared" si="28"/>
        <v>0</v>
      </c>
      <c r="BH89" s="81">
        <f t="shared" si="28"/>
        <v>0</v>
      </c>
      <c r="BI89" s="81">
        <f t="shared" si="28"/>
        <v>0</v>
      </c>
      <c r="BJ89" s="81">
        <f t="shared" si="28"/>
        <v>0</v>
      </c>
      <c r="BK89" s="81">
        <f t="shared" si="28"/>
        <v>0</v>
      </c>
      <c r="BL89" s="81">
        <f t="shared" si="28"/>
        <v>0</v>
      </c>
      <c r="BM89" s="81">
        <f t="shared" si="28"/>
        <v>0</v>
      </c>
      <c r="BN89" s="81">
        <f t="shared" si="28"/>
        <v>0</v>
      </c>
      <c r="BO89" s="81">
        <f t="shared" si="28"/>
        <v>0</v>
      </c>
      <c r="BP89" s="81">
        <f t="shared" si="28"/>
        <v>0</v>
      </c>
      <c r="BQ89" s="81">
        <f t="shared" si="28"/>
        <v>0</v>
      </c>
      <c r="BR89" s="81">
        <f t="shared" si="28"/>
        <v>0</v>
      </c>
      <c r="BS89" s="81">
        <f t="shared" si="28"/>
        <v>0</v>
      </c>
      <c r="BT89" s="81">
        <f t="shared" si="28"/>
        <v>0</v>
      </c>
      <c r="BU89" s="81">
        <f t="shared" si="28"/>
        <v>0</v>
      </c>
      <c r="BV89" s="81">
        <f t="shared" si="28"/>
        <v>0</v>
      </c>
      <c r="BW89" s="81">
        <f t="shared" si="28"/>
        <v>0</v>
      </c>
    </row>
    <row r="90" spans="1:75" x14ac:dyDescent="0.25">
      <c r="A90" s="63" t="s">
        <v>115</v>
      </c>
      <c r="B90" s="43"/>
      <c r="C90" s="43"/>
      <c r="D90" s="43"/>
      <c r="E90" s="43"/>
      <c r="F90" s="43"/>
      <c r="G90" s="43"/>
      <c r="H90" s="43"/>
      <c r="I90" s="43"/>
      <c r="J90" s="43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  <c r="Y90" s="43"/>
      <c r="Z90" s="43"/>
      <c r="AA90" s="43"/>
      <c r="AB90" s="43"/>
      <c r="AC90" s="43"/>
      <c r="AD90" s="43"/>
      <c r="AE90" s="43"/>
      <c r="AF90" s="43"/>
      <c r="AG90" s="64">
        <v>6.2</v>
      </c>
      <c r="AH90" s="46">
        <f t="shared" si="21"/>
        <v>0</v>
      </c>
      <c r="AI90" s="47">
        <f t="shared" si="22"/>
        <v>0</v>
      </c>
      <c r="AK90" s="49"/>
      <c r="AZ90" s="81">
        <f t="shared" si="28"/>
        <v>0</v>
      </c>
      <c r="BA90" s="81">
        <f t="shared" si="28"/>
        <v>0</v>
      </c>
      <c r="BB90" s="81">
        <f t="shared" si="28"/>
        <v>0</v>
      </c>
      <c r="BC90" s="81">
        <f t="shared" si="28"/>
        <v>0</v>
      </c>
      <c r="BD90" s="81">
        <f t="shared" si="28"/>
        <v>0</v>
      </c>
      <c r="BE90" s="81">
        <f t="shared" si="28"/>
        <v>0</v>
      </c>
      <c r="BF90" s="81">
        <f t="shared" si="28"/>
        <v>0</v>
      </c>
      <c r="BG90" s="81">
        <f t="shared" si="28"/>
        <v>0</v>
      </c>
      <c r="BH90" s="81">
        <f t="shared" si="28"/>
        <v>0</v>
      </c>
      <c r="BI90" s="81">
        <f t="shared" si="28"/>
        <v>0</v>
      </c>
      <c r="BJ90" s="81">
        <f t="shared" si="28"/>
        <v>0</v>
      </c>
      <c r="BK90" s="81">
        <f t="shared" si="28"/>
        <v>0</v>
      </c>
      <c r="BL90" s="81">
        <f t="shared" si="28"/>
        <v>0</v>
      </c>
      <c r="BM90" s="81">
        <f t="shared" si="28"/>
        <v>0</v>
      </c>
      <c r="BN90" s="81">
        <f t="shared" si="28"/>
        <v>0</v>
      </c>
      <c r="BO90" s="81">
        <f t="shared" si="28"/>
        <v>0</v>
      </c>
      <c r="BP90" s="81">
        <f t="shared" si="28"/>
        <v>0</v>
      </c>
      <c r="BQ90" s="81">
        <f t="shared" si="28"/>
        <v>0</v>
      </c>
      <c r="BR90" s="81">
        <f t="shared" si="28"/>
        <v>0</v>
      </c>
      <c r="BS90" s="81">
        <f t="shared" si="28"/>
        <v>0</v>
      </c>
      <c r="BT90" s="81">
        <f t="shared" si="28"/>
        <v>0</v>
      </c>
      <c r="BU90" s="81">
        <f t="shared" si="28"/>
        <v>0</v>
      </c>
      <c r="BV90" s="81">
        <f t="shared" si="28"/>
        <v>0</v>
      </c>
      <c r="BW90" s="81">
        <f t="shared" si="28"/>
        <v>0</v>
      </c>
    </row>
    <row r="91" spans="1:75" ht="15.75" thickBot="1" x14ac:dyDescent="0.3">
      <c r="A91" s="65" t="s">
        <v>116</v>
      </c>
      <c r="B91" s="84">
        <v>2</v>
      </c>
      <c r="C91" s="84">
        <v>2</v>
      </c>
      <c r="D91" s="84">
        <v>2</v>
      </c>
      <c r="E91" s="84">
        <v>2</v>
      </c>
      <c r="F91" s="84">
        <v>2</v>
      </c>
      <c r="G91" s="84">
        <v>2</v>
      </c>
      <c r="H91" s="84">
        <v>2</v>
      </c>
      <c r="I91" s="84">
        <v>2</v>
      </c>
      <c r="J91" s="84">
        <v>2</v>
      </c>
      <c r="K91" s="84">
        <v>2</v>
      </c>
      <c r="L91" s="84">
        <v>2</v>
      </c>
      <c r="M91" s="84">
        <v>2</v>
      </c>
      <c r="N91" s="84">
        <v>2</v>
      </c>
      <c r="O91" s="84">
        <v>2</v>
      </c>
      <c r="P91" s="84">
        <v>2</v>
      </c>
      <c r="Q91" s="84">
        <v>2</v>
      </c>
      <c r="R91" s="84">
        <v>2</v>
      </c>
      <c r="S91" s="84">
        <v>2</v>
      </c>
      <c r="T91" s="84">
        <v>2</v>
      </c>
      <c r="U91" s="84">
        <v>2</v>
      </c>
      <c r="V91" s="84">
        <v>2</v>
      </c>
      <c r="W91" s="84">
        <v>2</v>
      </c>
      <c r="X91" s="84">
        <v>2</v>
      </c>
      <c r="Y91" s="84">
        <v>2</v>
      </c>
      <c r="Z91" s="84">
        <v>2</v>
      </c>
      <c r="AA91" s="84">
        <v>2</v>
      </c>
      <c r="AB91" s="84">
        <v>2</v>
      </c>
      <c r="AC91" s="84">
        <v>2</v>
      </c>
      <c r="AD91" s="84">
        <v>2</v>
      </c>
      <c r="AE91" s="84">
        <v>2</v>
      </c>
      <c r="AF91" s="84">
        <v>2</v>
      </c>
      <c r="AG91" s="85">
        <f>AG168</f>
        <v>8.56</v>
      </c>
      <c r="AH91" s="46">
        <f t="shared" si="21"/>
        <v>2</v>
      </c>
      <c r="AI91" s="47">
        <f t="shared" si="22"/>
        <v>2</v>
      </c>
      <c r="AK91" s="49"/>
      <c r="AZ91" s="81">
        <f t="shared" si="28"/>
        <v>0</v>
      </c>
      <c r="BA91" s="81">
        <f t="shared" si="28"/>
        <v>0</v>
      </c>
      <c r="BB91" s="81">
        <f t="shared" si="28"/>
        <v>0</v>
      </c>
      <c r="BC91" s="81">
        <f t="shared" si="28"/>
        <v>0</v>
      </c>
      <c r="BD91" s="81">
        <f t="shared" si="28"/>
        <v>0</v>
      </c>
      <c r="BE91" s="81">
        <f t="shared" si="28"/>
        <v>0</v>
      </c>
      <c r="BF91" s="81">
        <f t="shared" si="28"/>
        <v>0</v>
      </c>
      <c r="BG91" s="81">
        <f t="shared" si="28"/>
        <v>0</v>
      </c>
      <c r="BH91" s="81">
        <f t="shared" si="28"/>
        <v>0</v>
      </c>
      <c r="BI91" s="81">
        <f t="shared" si="28"/>
        <v>0</v>
      </c>
      <c r="BJ91" s="81">
        <f t="shared" si="28"/>
        <v>0</v>
      </c>
      <c r="BK91" s="81">
        <f t="shared" si="28"/>
        <v>0</v>
      </c>
      <c r="BL91" s="81">
        <f t="shared" si="28"/>
        <v>0</v>
      </c>
      <c r="BM91" s="81">
        <f t="shared" si="28"/>
        <v>0</v>
      </c>
      <c r="BN91" s="81">
        <f t="shared" si="28"/>
        <v>0</v>
      </c>
      <c r="BO91" s="81">
        <f t="shared" si="28"/>
        <v>0</v>
      </c>
      <c r="BP91" s="81">
        <f t="shared" si="28"/>
        <v>0</v>
      </c>
      <c r="BQ91" s="81">
        <f t="shared" si="28"/>
        <v>0</v>
      </c>
      <c r="BR91" s="81">
        <f t="shared" si="28"/>
        <v>0</v>
      </c>
      <c r="BS91" s="81">
        <f t="shared" si="28"/>
        <v>0</v>
      </c>
      <c r="BT91" s="81">
        <f t="shared" si="28"/>
        <v>0</v>
      </c>
      <c r="BU91" s="81">
        <f t="shared" si="28"/>
        <v>0</v>
      </c>
      <c r="BV91" s="81">
        <f t="shared" si="28"/>
        <v>0</v>
      </c>
      <c r="BW91" s="81">
        <f t="shared" si="28"/>
        <v>0</v>
      </c>
    </row>
    <row r="92" spans="1:75" ht="15.75" thickBot="1" x14ac:dyDescent="0.3">
      <c r="A92" s="86" t="s">
        <v>117</v>
      </c>
      <c r="B92" s="69">
        <f t="shared" ref="B92:AG92" si="29">SUM(B79:B91)</f>
        <v>2</v>
      </c>
      <c r="C92" s="69">
        <f t="shared" si="29"/>
        <v>2</v>
      </c>
      <c r="D92" s="69">
        <f t="shared" si="29"/>
        <v>2</v>
      </c>
      <c r="E92" s="69">
        <f t="shared" si="29"/>
        <v>2</v>
      </c>
      <c r="F92" s="69">
        <f t="shared" si="29"/>
        <v>2</v>
      </c>
      <c r="G92" s="69">
        <f t="shared" si="29"/>
        <v>2</v>
      </c>
      <c r="H92" s="69">
        <f t="shared" si="29"/>
        <v>2</v>
      </c>
      <c r="I92" s="69">
        <f t="shared" si="29"/>
        <v>2</v>
      </c>
      <c r="J92" s="69">
        <f t="shared" si="29"/>
        <v>2</v>
      </c>
      <c r="K92" s="69">
        <f t="shared" si="29"/>
        <v>2</v>
      </c>
      <c r="L92" s="69">
        <f t="shared" si="29"/>
        <v>2</v>
      </c>
      <c r="M92" s="69">
        <f t="shared" si="29"/>
        <v>2</v>
      </c>
      <c r="N92" s="69">
        <f t="shared" si="29"/>
        <v>2</v>
      </c>
      <c r="O92" s="69">
        <f t="shared" si="29"/>
        <v>2</v>
      </c>
      <c r="P92" s="69">
        <f t="shared" si="29"/>
        <v>2</v>
      </c>
      <c r="Q92" s="69">
        <f t="shared" si="29"/>
        <v>2</v>
      </c>
      <c r="R92" s="69">
        <f t="shared" si="29"/>
        <v>2</v>
      </c>
      <c r="S92" s="69">
        <f t="shared" si="29"/>
        <v>2</v>
      </c>
      <c r="T92" s="69">
        <f t="shared" si="29"/>
        <v>2</v>
      </c>
      <c r="U92" s="69">
        <f t="shared" si="29"/>
        <v>2</v>
      </c>
      <c r="V92" s="69">
        <f t="shared" si="29"/>
        <v>2</v>
      </c>
      <c r="W92" s="69">
        <f t="shared" si="29"/>
        <v>2</v>
      </c>
      <c r="X92" s="69">
        <f t="shared" si="29"/>
        <v>2</v>
      </c>
      <c r="Y92" s="69">
        <f t="shared" si="29"/>
        <v>2</v>
      </c>
      <c r="Z92" s="69">
        <f t="shared" si="29"/>
        <v>2</v>
      </c>
      <c r="AA92" s="69">
        <f t="shared" si="29"/>
        <v>2</v>
      </c>
      <c r="AB92" s="69">
        <f t="shared" si="29"/>
        <v>2</v>
      </c>
      <c r="AC92" s="69">
        <f t="shared" si="29"/>
        <v>2</v>
      </c>
      <c r="AD92" s="69">
        <f t="shared" si="29"/>
        <v>2</v>
      </c>
      <c r="AE92" s="69">
        <f t="shared" si="29"/>
        <v>2</v>
      </c>
      <c r="AF92" s="69">
        <f t="shared" si="29"/>
        <v>2</v>
      </c>
      <c r="AG92" s="79">
        <f t="shared" si="29"/>
        <v>489.91</v>
      </c>
      <c r="AH92" s="46">
        <f t="shared" si="21"/>
        <v>2</v>
      </c>
      <c r="AI92" s="47">
        <f t="shared" si="22"/>
        <v>2</v>
      </c>
      <c r="AK92" s="49"/>
      <c r="AY92" s="81"/>
    </row>
    <row r="93" spans="1:75" x14ac:dyDescent="0.25">
      <c r="A93" s="42" t="s">
        <v>118</v>
      </c>
      <c r="B93" s="44"/>
      <c r="C93" s="44"/>
      <c r="D93" s="44"/>
      <c r="E93" s="44"/>
      <c r="F93" s="44"/>
      <c r="G93" s="44"/>
      <c r="H93" s="44"/>
      <c r="I93" s="44"/>
      <c r="J93" s="44"/>
      <c r="K93" s="44"/>
      <c r="L93" s="44"/>
      <c r="M93" s="4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  <c r="AC93" s="44"/>
      <c r="AD93" s="44"/>
      <c r="AE93" s="44"/>
      <c r="AF93" s="44"/>
      <c r="AG93" s="61">
        <v>60</v>
      </c>
      <c r="AH93" s="46">
        <f t="shared" si="21"/>
        <v>0</v>
      </c>
      <c r="AI93" s="47">
        <f t="shared" si="22"/>
        <v>0</v>
      </c>
      <c r="AK93" s="49"/>
      <c r="AY93" s="81"/>
      <c r="BF93" s="81"/>
      <c r="BG93" s="81"/>
      <c r="BH93" s="81"/>
      <c r="BI93" s="81"/>
      <c r="BJ93" s="81"/>
      <c r="BK93" s="81"/>
    </row>
    <row r="94" spans="1:75" x14ac:dyDescent="0.25">
      <c r="A94" s="63" t="s">
        <v>119</v>
      </c>
      <c r="B94" s="43"/>
      <c r="C94" s="43"/>
      <c r="D94" s="43"/>
      <c r="E94" s="43"/>
      <c r="F94" s="43"/>
      <c r="G94" s="43"/>
      <c r="H94" s="43"/>
      <c r="I94" s="43"/>
      <c r="J94" s="43"/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  <c r="Y94" s="43"/>
      <c r="Z94" s="43"/>
      <c r="AA94" s="43"/>
      <c r="AB94" s="43"/>
      <c r="AC94" s="43"/>
      <c r="AD94" s="43"/>
      <c r="AE94" s="43"/>
      <c r="AF94" s="43"/>
      <c r="AG94" s="64">
        <v>32</v>
      </c>
      <c r="AH94" s="46">
        <f t="shared" si="21"/>
        <v>0</v>
      </c>
      <c r="AI94" s="47">
        <f t="shared" si="22"/>
        <v>0</v>
      </c>
      <c r="AK94" s="49"/>
      <c r="AY94" s="81"/>
      <c r="BF94" s="80"/>
      <c r="BG94" s="80"/>
      <c r="BH94" s="80"/>
      <c r="BI94" s="80"/>
      <c r="BJ94" s="80"/>
      <c r="BK94" s="81"/>
    </row>
    <row r="95" spans="1:75" ht="15.75" thickBot="1" x14ac:dyDescent="0.3">
      <c r="A95" s="83" t="s">
        <v>120</v>
      </c>
      <c r="B95" s="76"/>
      <c r="C95" s="76"/>
      <c r="D95" s="76"/>
      <c r="E95" s="76"/>
      <c r="F95" s="76"/>
      <c r="G95" s="76"/>
      <c r="H95" s="76"/>
      <c r="I95" s="76"/>
      <c r="J95" s="76"/>
      <c r="K95" s="76"/>
      <c r="L95" s="76"/>
      <c r="M95" s="76"/>
      <c r="N95" s="76"/>
      <c r="O95" s="76"/>
      <c r="P95" s="76"/>
      <c r="Q95" s="76"/>
      <c r="R95" s="76"/>
      <c r="S95" s="76"/>
      <c r="T95" s="76"/>
      <c r="U95" s="76"/>
      <c r="V95" s="76"/>
      <c r="W95" s="76"/>
      <c r="X95" s="76"/>
      <c r="Y95" s="76"/>
      <c r="Z95" s="76"/>
      <c r="AA95" s="76"/>
      <c r="AB95" s="76"/>
      <c r="AC95" s="76"/>
      <c r="AD95" s="76"/>
      <c r="AE95" s="76"/>
      <c r="AF95" s="76"/>
      <c r="AG95" s="77">
        <v>14</v>
      </c>
      <c r="AH95" s="46">
        <f t="shared" si="21"/>
        <v>0</v>
      </c>
      <c r="AI95" s="47">
        <f t="shared" si="22"/>
        <v>0</v>
      </c>
      <c r="AK95" s="49"/>
      <c r="AY95" s="81"/>
      <c r="BF95" s="80"/>
      <c r="BG95" s="81">
        <f t="array" ref="BG95:BL118">TRANSPOSE(AZ79:BW84)</f>
        <v>0</v>
      </c>
      <c r="BH95" s="81">
        <v>0</v>
      </c>
      <c r="BI95" s="81">
        <v>0</v>
      </c>
      <c r="BJ95" s="81">
        <v>0</v>
      </c>
      <c r="BK95" s="81">
        <v>0</v>
      </c>
      <c r="BL95" s="81">
        <v>0</v>
      </c>
    </row>
    <row r="96" spans="1:75" ht="15.75" thickBot="1" x14ac:dyDescent="0.3">
      <c r="A96" s="86" t="s">
        <v>121</v>
      </c>
      <c r="B96" s="69">
        <f t="shared" ref="B96:AF96" si="30">B93+B94+B95</f>
        <v>0</v>
      </c>
      <c r="C96" s="69">
        <f t="shared" si="30"/>
        <v>0</v>
      </c>
      <c r="D96" s="69">
        <f t="shared" si="30"/>
        <v>0</v>
      </c>
      <c r="E96" s="69">
        <f t="shared" si="30"/>
        <v>0</v>
      </c>
      <c r="F96" s="69">
        <f t="shared" si="30"/>
        <v>0</v>
      </c>
      <c r="G96" s="69">
        <f t="shared" si="30"/>
        <v>0</v>
      </c>
      <c r="H96" s="69">
        <f t="shared" si="30"/>
        <v>0</v>
      </c>
      <c r="I96" s="69">
        <f t="shared" si="30"/>
        <v>0</v>
      </c>
      <c r="J96" s="69">
        <f t="shared" si="30"/>
        <v>0</v>
      </c>
      <c r="K96" s="69">
        <f t="shared" si="30"/>
        <v>0</v>
      </c>
      <c r="L96" s="69">
        <f t="shared" si="30"/>
        <v>0</v>
      </c>
      <c r="M96" s="69">
        <f t="shared" si="30"/>
        <v>0</v>
      </c>
      <c r="N96" s="69">
        <f t="shared" si="30"/>
        <v>0</v>
      </c>
      <c r="O96" s="69">
        <f t="shared" si="30"/>
        <v>0</v>
      </c>
      <c r="P96" s="69">
        <f t="shared" si="30"/>
        <v>0</v>
      </c>
      <c r="Q96" s="69">
        <f t="shared" si="30"/>
        <v>0</v>
      </c>
      <c r="R96" s="69">
        <f t="shared" si="30"/>
        <v>0</v>
      </c>
      <c r="S96" s="69">
        <f t="shared" si="30"/>
        <v>0</v>
      </c>
      <c r="T96" s="69">
        <f t="shared" si="30"/>
        <v>0</v>
      </c>
      <c r="U96" s="69">
        <f t="shared" si="30"/>
        <v>0</v>
      </c>
      <c r="V96" s="69">
        <f t="shared" si="30"/>
        <v>0</v>
      </c>
      <c r="W96" s="69">
        <f t="shared" si="30"/>
        <v>0</v>
      </c>
      <c r="X96" s="69">
        <f t="shared" si="30"/>
        <v>0</v>
      </c>
      <c r="Y96" s="69">
        <f t="shared" si="30"/>
        <v>0</v>
      </c>
      <c r="Z96" s="69">
        <f t="shared" si="30"/>
        <v>0</v>
      </c>
      <c r="AA96" s="69">
        <f t="shared" si="30"/>
        <v>0</v>
      </c>
      <c r="AB96" s="69">
        <f t="shared" si="30"/>
        <v>0</v>
      </c>
      <c r="AC96" s="69">
        <f t="shared" si="30"/>
        <v>0</v>
      </c>
      <c r="AD96" s="69">
        <f t="shared" si="30"/>
        <v>0</v>
      </c>
      <c r="AE96" s="69">
        <f t="shared" si="30"/>
        <v>0</v>
      </c>
      <c r="AF96" s="69">
        <f t="shared" si="30"/>
        <v>0</v>
      </c>
      <c r="AG96" s="79">
        <f>SUM(AG93:AG95)</f>
        <v>106</v>
      </c>
      <c r="AH96" s="46">
        <f t="shared" si="21"/>
        <v>0</v>
      </c>
      <c r="AI96" s="47">
        <f t="shared" si="22"/>
        <v>0</v>
      </c>
      <c r="AK96" s="49"/>
      <c r="AY96" s="81"/>
      <c r="BF96" s="80"/>
      <c r="BG96" s="81">
        <v>0</v>
      </c>
      <c r="BH96" s="81">
        <v>0</v>
      </c>
      <c r="BI96" s="81">
        <v>0</v>
      </c>
      <c r="BJ96" s="81">
        <v>0</v>
      </c>
      <c r="BK96" s="81">
        <v>0</v>
      </c>
      <c r="BL96" s="81">
        <v>0</v>
      </c>
    </row>
    <row r="97" spans="1:64" x14ac:dyDescent="0.25">
      <c r="A97" s="42" t="s">
        <v>122</v>
      </c>
      <c r="B97" s="44"/>
      <c r="C97" s="44"/>
      <c r="D97" s="44"/>
      <c r="E97" s="44"/>
      <c r="F97" s="44"/>
      <c r="G97" s="44"/>
      <c r="H97" s="44"/>
      <c r="I97" s="44"/>
      <c r="J97" s="44"/>
      <c r="K97" s="44"/>
      <c r="L97" s="44"/>
      <c r="M97" s="4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  <c r="AA97" s="44"/>
      <c r="AB97" s="44"/>
      <c r="AC97" s="44"/>
      <c r="AD97" s="44"/>
      <c r="AE97" s="44"/>
      <c r="AF97" s="44"/>
      <c r="AG97" s="61"/>
      <c r="AH97" s="46">
        <f t="shared" si="21"/>
        <v>0</v>
      </c>
      <c r="AI97" s="47">
        <f t="shared" si="22"/>
        <v>0</v>
      </c>
      <c r="AK97" s="49"/>
      <c r="AY97" s="81"/>
      <c r="BF97" s="80"/>
      <c r="BG97" s="81">
        <v>0</v>
      </c>
      <c r="BH97" s="81">
        <v>0</v>
      </c>
      <c r="BI97" s="81">
        <v>0</v>
      </c>
      <c r="BJ97" s="81">
        <v>0</v>
      </c>
      <c r="BK97" s="81">
        <v>0</v>
      </c>
      <c r="BL97" s="81">
        <v>0</v>
      </c>
    </row>
    <row r="98" spans="1:64" ht="15.75" thickBot="1" x14ac:dyDescent="0.3">
      <c r="A98" s="63" t="s">
        <v>123</v>
      </c>
      <c r="B98" s="43"/>
      <c r="C98" s="43"/>
      <c r="D98" s="43"/>
      <c r="E98" s="43"/>
      <c r="F98" s="43"/>
      <c r="G98" s="43"/>
      <c r="H98" s="43"/>
      <c r="I98" s="43"/>
      <c r="J98" s="43"/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  <c r="Y98" s="43"/>
      <c r="Z98" s="43"/>
      <c r="AA98" s="43"/>
      <c r="AB98" s="43"/>
      <c r="AC98" s="43"/>
      <c r="AD98" s="43"/>
      <c r="AE98" s="43"/>
      <c r="AF98" s="43"/>
      <c r="AG98" s="64"/>
      <c r="AH98" s="46">
        <f t="shared" si="21"/>
        <v>0</v>
      </c>
      <c r="AI98" s="47">
        <f t="shared" si="22"/>
        <v>0</v>
      </c>
      <c r="AK98" s="49"/>
      <c r="AL98" s="87" t="s">
        <v>124</v>
      </c>
      <c r="AM98" s="87"/>
      <c r="AY98" s="81"/>
      <c r="BF98" s="81"/>
      <c r="BG98" s="81">
        <v>0</v>
      </c>
      <c r="BH98" s="81">
        <v>0</v>
      </c>
      <c r="BI98" s="81">
        <v>0</v>
      </c>
      <c r="BJ98" s="81">
        <v>0</v>
      </c>
      <c r="BK98" s="81">
        <v>0</v>
      </c>
      <c r="BL98" s="81">
        <v>0</v>
      </c>
    </row>
    <row r="99" spans="1:64" x14ac:dyDescent="0.25">
      <c r="A99" s="63" t="s">
        <v>125</v>
      </c>
      <c r="B99" s="43"/>
      <c r="C99" s="43"/>
      <c r="D99" s="43"/>
      <c r="E99" s="43"/>
      <c r="F99" s="43"/>
      <c r="G99" s="43"/>
      <c r="H99" s="43"/>
      <c r="I99" s="43"/>
      <c r="J99" s="43"/>
      <c r="K99" s="43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  <c r="Y99" s="43"/>
      <c r="Z99" s="43"/>
      <c r="AA99" s="43"/>
      <c r="AB99" s="43"/>
      <c r="AC99" s="43"/>
      <c r="AD99" s="43"/>
      <c r="AE99" s="43"/>
      <c r="AF99" s="43"/>
      <c r="AG99" s="88"/>
      <c r="AH99" s="46">
        <f t="shared" si="21"/>
        <v>0</v>
      </c>
      <c r="AI99" s="47">
        <f t="shared" si="22"/>
        <v>0</v>
      </c>
      <c r="AK99" s="89"/>
      <c r="AL99" s="90"/>
      <c r="AM99" s="90"/>
      <c r="AN99" s="91"/>
      <c r="AY99" s="81"/>
      <c r="BF99" s="81"/>
      <c r="BG99" s="81">
        <v>0</v>
      </c>
      <c r="BH99" s="81">
        <v>0</v>
      </c>
      <c r="BI99" s="81">
        <v>0</v>
      </c>
      <c r="BJ99" s="81">
        <v>0</v>
      </c>
      <c r="BK99" s="81">
        <v>0</v>
      </c>
      <c r="BL99" s="81">
        <v>0</v>
      </c>
    </row>
    <row r="100" spans="1:64" x14ac:dyDescent="0.25">
      <c r="A100" s="63" t="s">
        <v>126</v>
      </c>
      <c r="B100" s="43"/>
      <c r="C100" s="43"/>
      <c r="D100" s="43"/>
      <c r="E100" s="92"/>
      <c r="F100" s="92"/>
      <c r="G100" s="92"/>
      <c r="H100" s="92"/>
      <c r="I100" s="92"/>
      <c r="J100" s="92"/>
      <c r="K100" s="92"/>
      <c r="L100" s="92"/>
      <c r="M100" s="92"/>
      <c r="N100" s="92"/>
      <c r="O100" s="92"/>
      <c r="P100" s="92"/>
      <c r="Q100" s="92"/>
      <c r="R100" s="92"/>
      <c r="S100" s="92"/>
      <c r="T100" s="92"/>
      <c r="U100" s="92"/>
      <c r="V100" s="92"/>
      <c r="W100" s="92"/>
      <c r="X100" s="92"/>
      <c r="Y100" s="92"/>
      <c r="Z100" s="92"/>
      <c r="AA100" s="92"/>
      <c r="AB100" s="92"/>
      <c r="AC100" s="92"/>
      <c r="AD100" s="92"/>
      <c r="AE100" s="92"/>
      <c r="AF100" s="92"/>
      <c r="AG100" s="88"/>
      <c r="AH100" s="46">
        <f t="shared" si="21"/>
        <v>0</v>
      </c>
      <c r="AI100" s="47">
        <f t="shared" si="22"/>
        <v>0</v>
      </c>
      <c r="AK100" s="93" t="s">
        <v>127</v>
      </c>
      <c r="AL100" s="43"/>
      <c r="AM100" s="92"/>
      <c r="AN100" s="94"/>
      <c r="AY100" s="81"/>
      <c r="BF100" s="81"/>
      <c r="BG100" s="81">
        <v>0</v>
      </c>
      <c r="BH100" s="81">
        <v>0</v>
      </c>
      <c r="BI100" s="81">
        <v>0</v>
      </c>
      <c r="BJ100" s="81">
        <v>0</v>
      </c>
      <c r="BK100" s="81">
        <v>0</v>
      </c>
      <c r="BL100" s="81">
        <v>0</v>
      </c>
    </row>
    <row r="101" spans="1:64" x14ac:dyDescent="0.25">
      <c r="A101" s="95" t="s">
        <v>128</v>
      </c>
      <c r="B101" s="44"/>
      <c r="C101" s="44"/>
      <c r="D101" s="44"/>
      <c r="E101" s="44"/>
      <c r="F101" s="44"/>
      <c r="G101" s="44"/>
      <c r="H101" s="44"/>
      <c r="I101" s="44"/>
      <c r="J101" s="44"/>
      <c r="K101" s="44"/>
      <c r="L101" s="44"/>
      <c r="M101" s="44"/>
      <c r="N101" s="44"/>
      <c r="O101" s="44"/>
      <c r="P101" s="44"/>
      <c r="Q101" s="44"/>
      <c r="R101" s="44"/>
      <c r="S101" s="44"/>
      <c r="T101" s="44"/>
      <c r="U101" s="44"/>
      <c r="V101" s="44"/>
      <c r="W101" s="44"/>
      <c r="X101" s="44"/>
      <c r="Y101" s="44"/>
      <c r="Z101" s="44"/>
      <c r="AA101" s="44"/>
      <c r="AB101" s="44"/>
      <c r="AC101" s="44"/>
      <c r="AD101" s="44"/>
      <c r="AE101" s="44"/>
      <c r="AF101" s="44"/>
      <c r="AG101" s="88"/>
      <c r="AH101" s="46">
        <f t="shared" si="21"/>
        <v>0</v>
      </c>
      <c r="AI101" s="47">
        <f t="shared" si="22"/>
        <v>0</v>
      </c>
      <c r="AK101" s="93" t="s">
        <v>129</v>
      </c>
      <c r="AL101" s="92"/>
      <c r="AM101" s="92"/>
      <c r="AN101" s="94"/>
      <c r="AY101" s="81"/>
      <c r="BF101" s="81"/>
      <c r="BG101" s="81">
        <v>0</v>
      </c>
      <c r="BH101" s="81">
        <v>0</v>
      </c>
      <c r="BI101" s="81">
        <v>0</v>
      </c>
      <c r="BJ101" s="81">
        <v>0</v>
      </c>
      <c r="BK101" s="81">
        <v>0</v>
      </c>
      <c r="BL101" s="81">
        <v>0</v>
      </c>
    </row>
    <row r="102" spans="1:64" ht="15.75" thickBot="1" x14ac:dyDescent="0.3">
      <c r="A102" s="95" t="s">
        <v>130</v>
      </c>
      <c r="B102" s="96"/>
      <c r="C102" s="96"/>
      <c r="D102" s="96"/>
      <c r="E102" s="96"/>
      <c r="F102" s="96"/>
      <c r="G102" s="96"/>
      <c r="H102" s="96"/>
      <c r="I102" s="96"/>
      <c r="J102" s="96"/>
      <c r="K102" s="96"/>
      <c r="L102" s="96"/>
      <c r="M102" s="96"/>
      <c r="N102" s="96"/>
      <c r="O102" s="96"/>
      <c r="P102" s="96"/>
      <c r="Q102" s="96"/>
      <c r="R102" s="96"/>
      <c r="S102" s="96"/>
      <c r="T102" s="96"/>
      <c r="U102" s="96"/>
      <c r="V102" s="96"/>
      <c r="W102" s="96"/>
      <c r="X102" s="96"/>
      <c r="Y102" s="96"/>
      <c r="Z102" s="96"/>
      <c r="AA102" s="96"/>
      <c r="AB102" s="96"/>
      <c r="AC102" s="96"/>
      <c r="AD102" s="96"/>
      <c r="AE102" s="96"/>
      <c r="AF102" s="96"/>
      <c r="AG102" s="88"/>
      <c r="AH102" s="46">
        <f t="shared" si="21"/>
        <v>0</v>
      </c>
      <c r="AI102" s="47">
        <f t="shared" si="22"/>
        <v>0</v>
      </c>
      <c r="AK102" s="93"/>
      <c r="AL102" s="44"/>
      <c r="AM102" s="44"/>
      <c r="AN102" s="97"/>
      <c r="AY102" s="81"/>
      <c r="BF102" s="81"/>
      <c r="BG102" s="81">
        <v>0</v>
      </c>
      <c r="BH102" s="81">
        <v>0</v>
      </c>
      <c r="BI102" s="81">
        <v>0</v>
      </c>
      <c r="BJ102" s="81">
        <v>0</v>
      </c>
      <c r="BK102" s="81">
        <v>0</v>
      </c>
      <c r="BL102" s="81">
        <v>0</v>
      </c>
    </row>
    <row r="103" spans="1:64" x14ac:dyDescent="0.25">
      <c r="A103" s="63" t="s">
        <v>131</v>
      </c>
      <c r="B103" s="96"/>
      <c r="C103" s="96"/>
      <c r="D103" s="96"/>
      <c r="E103" s="96"/>
      <c r="F103" s="96"/>
      <c r="G103" s="96"/>
      <c r="H103" s="96"/>
      <c r="I103" s="96"/>
      <c r="J103" s="96"/>
      <c r="K103" s="96"/>
      <c r="L103" s="96"/>
      <c r="M103" s="96"/>
      <c r="N103" s="96"/>
      <c r="O103" s="96"/>
      <c r="P103" s="96"/>
      <c r="Q103" s="96"/>
      <c r="R103" s="96"/>
      <c r="S103" s="96"/>
      <c r="T103" s="96"/>
      <c r="U103" s="96"/>
      <c r="V103" s="96"/>
      <c r="W103" s="96"/>
      <c r="X103" s="96"/>
      <c r="Y103" s="96"/>
      <c r="Z103" s="96"/>
      <c r="AA103" s="96"/>
      <c r="AB103" s="96"/>
      <c r="AC103" s="96"/>
      <c r="AD103" s="96"/>
      <c r="AE103" s="96"/>
      <c r="AF103" s="96"/>
      <c r="AG103" s="88"/>
      <c r="AH103" s="46">
        <f t="shared" si="21"/>
        <v>0</v>
      </c>
      <c r="AI103" s="47">
        <f t="shared" si="22"/>
        <v>0</v>
      </c>
      <c r="AK103" s="93"/>
      <c r="AL103" s="96"/>
      <c r="AM103" s="98"/>
      <c r="AN103" s="228"/>
      <c r="AY103" s="81"/>
      <c r="BF103" s="81"/>
      <c r="BG103" s="81">
        <v>0</v>
      </c>
      <c r="BH103" s="81">
        <v>0</v>
      </c>
      <c r="BI103" s="81">
        <v>0</v>
      </c>
      <c r="BJ103" s="81">
        <v>0</v>
      </c>
      <c r="BK103" s="81">
        <v>0</v>
      </c>
      <c r="BL103" s="81">
        <v>0</v>
      </c>
    </row>
    <row r="104" spans="1:64" x14ac:dyDescent="0.25">
      <c r="A104" s="63" t="s">
        <v>132</v>
      </c>
      <c r="B104" s="96"/>
      <c r="C104" s="96"/>
      <c r="D104" s="96"/>
      <c r="E104" s="96"/>
      <c r="F104" s="96"/>
      <c r="G104" s="96"/>
      <c r="H104" s="96"/>
      <c r="I104" s="96"/>
      <c r="J104" s="96"/>
      <c r="K104" s="96"/>
      <c r="L104" s="96"/>
      <c r="M104" s="96"/>
      <c r="N104" s="96"/>
      <c r="O104" s="96"/>
      <c r="P104" s="96"/>
      <c r="Q104" s="96"/>
      <c r="R104" s="96"/>
      <c r="S104" s="96"/>
      <c r="T104" s="96"/>
      <c r="U104" s="96"/>
      <c r="V104" s="96"/>
      <c r="W104" s="96"/>
      <c r="X104" s="96"/>
      <c r="Y104" s="96"/>
      <c r="Z104" s="96"/>
      <c r="AA104" s="96"/>
      <c r="AB104" s="96"/>
      <c r="AC104" s="96"/>
      <c r="AD104" s="96"/>
      <c r="AE104" s="96"/>
      <c r="AF104" s="96"/>
      <c r="AG104" s="88"/>
      <c r="AH104" s="46">
        <f t="shared" si="21"/>
        <v>0</v>
      </c>
      <c r="AI104" s="47">
        <f t="shared" si="22"/>
        <v>0</v>
      </c>
      <c r="AK104" s="93"/>
      <c r="AL104" s="96"/>
      <c r="AM104" s="96"/>
      <c r="AN104" s="229"/>
      <c r="BF104" s="81"/>
      <c r="BG104" s="81">
        <v>0</v>
      </c>
      <c r="BH104" s="81">
        <v>0</v>
      </c>
      <c r="BI104" s="81">
        <v>0</v>
      </c>
      <c r="BJ104" s="81">
        <v>0</v>
      </c>
      <c r="BK104" s="81">
        <v>0</v>
      </c>
      <c r="BL104" s="81">
        <v>0</v>
      </c>
    </row>
    <row r="105" spans="1:64" ht="15.75" thickBot="1" x14ac:dyDescent="0.3">
      <c r="A105" s="63" t="s">
        <v>133</v>
      </c>
      <c r="B105" s="96"/>
      <c r="C105" s="96"/>
      <c r="D105" s="96"/>
      <c r="E105" s="96"/>
      <c r="F105" s="96"/>
      <c r="G105" s="96"/>
      <c r="H105" s="96"/>
      <c r="I105" s="96"/>
      <c r="J105" s="96"/>
      <c r="K105" s="96"/>
      <c r="L105" s="96"/>
      <c r="M105" s="96"/>
      <c r="N105" s="96"/>
      <c r="O105" s="96"/>
      <c r="P105" s="96"/>
      <c r="Q105" s="96"/>
      <c r="R105" s="96"/>
      <c r="S105" s="96"/>
      <c r="T105" s="96"/>
      <c r="U105" s="96"/>
      <c r="V105" s="96"/>
      <c r="W105" s="96"/>
      <c r="X105" s="96"/>
      <c r="Y105" s="96"/>
      <c r="Z105" s="96"/>
      <c r="AA105" s="96"/>
      <c r="AB105" s="96"/>
      <c r="AC105" s="96"/>
      <c r="AD105" s="96"/>
      <c r="AE105" s="96"/>
      <c r="AF105" s="96"/>
      <c r="AG105" s="88"/>
      <c r="AH105" s="46">
        <f t="shared" si="21"/>
        <v>0</v>
      </c>
      <c r="AI105" s="47">
        <f t="shared" si="22"/>
        <v>0</v>
      </c>
      <c r="AK105" s="99"/>
      <c r="AL105" s="100"/>
      <c r="AM105" s="100"/>
      <c r="AN105" s="101"/>
      <c r="BF105" s="81"/>
      <c r="BG105" s="81">
        <v>0</v>
      </c>
      <c r="BH105" s="81">
        <v>0</v>
      </c>
      <c r="BI105" s="81">
        <v>0</v>
      </c>
      <c r="BJ105" s="81">
        <v>0</v>
      </c>
      <c r="BK105" s="81">
        <v>0</v>
      </c>
      <c r="BL105" s="81">
        <v>0</v>
      </c>
    </row>
    <row r="106" spans="1:64" x14ac:dyDescent="0.25">
      <c r="A106" s="63" t="s">
        <v>134</v>
      </c>
      <c r="B106" s="96"/>
      <c r="C106" s="96"/>
      <c r="D106" s="96"/>
      <c r="E106" s="96"/>
      <c r="F106" s="96"/>
      <c r="G106" s="96"/>
      <c r="H106" s="96"/>
      <c r="I106" s="96"/>
      <c r="J106" s="96"/>
      <c r="K106" s="96"/>
      <c r="L106" s="96"/>
      <c r="M106" s="96"/>
      <c r="N106" s="96"/>
      <c r="O106" s="96"/>
      <c r="P106" s="96"/>
      <c r="Q106" s="96"/>
      <c r="R106" s="96"/>
      <c r="S106" s="96"/>
      <c r="T106" s="96"/>
      <c r="U106" s="96"/>
      <c r="V106" s="96"/>
      <c r="W106" s="96"/>
      <c r="X106" s="96"/>
      <c r="Y106" s="96"/>
      <c r="Z106" s="96"/>
      <c r="AA106" s="96"/>
      <c r="AB106" s="96"/>
      <c r="AC106" s="96"/>
      <c r="AD106" s="96"/>
      <c r="AE106" s="96"/>
      <c r="AF106" s="96"/>
      <c r="AG106" s="102"/>
      <c r="AH106" s="46">
        <f t="shared" si="21"/>
        <v>0</v>
      </c>
      <c r="AI106" s="47">
        <f t="shared" si="22"/>
        <v>0</v>
      </c>
      <c r="BF106" s="81"/>
      <c r="BG106" s="81">
        <v>0</v>
      </c>
      <c r="BH106" s="81">
        <v>0</v>
      </c>
      <c r="BI106" s="81">
        <v>0</v>
      </c>
      <c r="BJ106" s="81">
        <v>0</v>
      </c>
      <c r="BK106" s="81">
        <v>0</v>
      </c>
      <c r="BL106" s="81">
        <v>0</v>
      </c>
    </row>
    <row r="107" spans="1:64" ht="15.75" thickBot="1" x14ac:dyDescent="0.3">
      <c r="A107" s="95" t="s">
        <v>135</v>
      </c>
      <c r="B107" s="96"/>
      <c r="C107" s="96"/>
      <c r="D107" s="96"/>
      <c r="E107" s="96"/>
      <c r="F107" s="96"/>
      <c r="G107" s="96"/>
      <c r="H107" s="96"/>
      <c r="I107" s="96"/>
      <c r="J107" s="96"/>
      <c r="K107" s="96"/>
      <c r="L107" s="96"/>
      <c r="M107" s="96"/>
      <c r="N107" s="96"/>
      <c r="O107" s="96"/>
      <c r="P107" s="96"/>
      <c r="Q107" s="96"/>
      <c r="R107" s="96"/>
      <c r="S107" s="96"/>
      <c r="T107" s="96"/>
      <c r="U107" s="96"/>
      <c r="V107" s="96"/>
      <c r="W107" s="96"/>
      <c r="X107" s="96"/>
      <c r="Y107" s="96"/>
      <c r="Z107" s="96"/>
      <c r="AA107" s="96"/>
      <c r="AB107" s="96"/>
      <c r="AC107" s="96"/>
      <c r="AD107" s="96"/>
      <c r="AE107" s="96"/>
      <c r="AF107" s="96"/>
      <c r="AG107" s="102"/>
      <c r="AH107" s="46">
        <f t="shared" si="21"/>
        <v>0</v>
      </c>
      <c r="AI107" s="47">
        <f t="shared" si="22"/>
        <v>0</v>
      </c>
      <c r="BF107" s="81"/>
      <c r="BG107" s="81">
        <v>0</v>
      </c>
      <c r="BH107" s="81">
        <v>0</v>
      </c>
      <c r="BI107" s="81">
        <v>0</v>
      </c>
      <c r="BJ107" s="81">
        <v>0</v>
      </c>
      <c r="BK107" s="81">
        <v>0</v>
      </c>
      <c r="BL107" s="81">
        <v>0</v>
      </c>
    </row>
    <row r="108" spans="1:64" ht="15.75" thickBot="1" x14ac:dyDescent="0.3">
      <c r="A108" s="86" t="s">
        <v>136</v>
      </c>
      <c r="B108" s="69">
        <f t="shared" ref="B108:AF108" si="31">SUMIF(B97:B107,"&gt;0")</f>
        <v>0</v>
      </c>
      <c r="C108" s="69">
        <f t="shared" si="31"/>
        <v>0</v>
      </c>
      <c r="D108" s="69">
        <f t="shared" si="31"/>
        <v>0</v>
      </c>
      <c r="E108" s="69">
        <f t="shared" si="31"/>
        <v>0</v>
      </c>
      <c r="F108" s="69">
        <f t="shared" si="31"/>
        <v>0</v>
      </c>
      <c r="G108" s="69">
        <f t="shared" si="31"/>
        <v>0</v>
      </c>
      <c r="H108" s="69">
        <f t="shared" si="31"/>
        <v>0</v>
      </c>
      <c r="I108" s="69">
        <f t="shared" si="31"/>
        <v>0</v>
      </c>
      <c r="J108" s="69">
        <f t="shared" si="31"/>
        <v>0</v>
      </c>
      <c r="K108" s="69">
        <f t="shared" si="31"/>
        <v>0</v>
      </c>
      <c r="L108" s="69">
        <f t="shared" si="31"/>
        <v>0</v>
      </c>
      <c r="M108" s="69">
        <f t="shared" si="31"/>
        <v>0</v>
      </c>
      <c r="N108" s="69">
        <f t="shared" si="31"/>
        <v>0</v>
      </c>
      <c r="O108" s="69">
        <f t="shared" si="31"/>
        <v>0</v>
      </c>
      <c r="P108" s="69">
        <f t="shared" si="31"/>
        <v>0</v>
      </c>
      <c r="Q108" s="69">
        <f t="shared" si="31"/>
        <v>0</v>
      </c>
      <c r="R108" s="69">
        <f t="shared" si="31"/>
        <v>0</v>
      </c>
      <c r="S108" s="69">
        <f t="shared" si="31"/>
        <v>0</v>
      </c>
      <c r="T108" s="69">
        <f t="shared" si="31"/>
        <v>0</v>
      </c>
      <c r="U108" s="69">
        <f t="shared" si="31"/>
        <v>0</v>
      </c>
      <c r="V108" s="69">
        <f t="shared" si="31"/>
        <v>0</v>
      </c>
      <c r="W108" s="69">
        <f t="shared" si="31"/>
        <v>0</v>
      </c>
      <c r="X108" s="69">
        <f t="shared" si="31"/>
        <v>0</v>
      </c>
      <c r="Y108" s="69">
        <f t="shared" si="31"/>
        <v>0</v>
      </c>
      <c r="Z108" s="69">
        <f t="shared" si="31"/>
        <v>0</v>
      </c>
      <c r="AA108" s="69">
        <f t="shared" si="31"/>
        <v>0</v>
      </c>
      <c r="AB108" s="69">
        <f t="shared" si="31"/>
        <v>0</v>
      </c>
      <c r="AC108" s="69">
        <f t="shared" si="31"/>
        <v>0</v>
      </c>
      <c r="AD108" s="69">
        <f t="shared" si="31"/>
        <v>0</v>
      </c>
      <c r="AE108" s="69">
        <f t="shared" si="31"/>
        <v>0</v>
      </c>
      <c r="AF108" s="69">
        <f t="shared" si="31"/>
        <v>0</v>
      </c>
      <c r="AG108" s="103">
        <f>SUM(AG97:AG107)</f>
        <v>0</v>
      </c>
      <c r="AH108" s="46">
        <f t="shared" si="21"/>
        <v>0</v>
      </c>
      <c r="AI108" s="47">
        <f t="shared" si="22"/>
        <v>0</v>
      </c>
      <c r="AJ108" s="104">
        <f t="array" ref="AJ108">MIN(IF(B108:AF108&lt;&gt;0,B108:AF108))</f>
        <v>0</v>
      </c>
      <c r="BF108" s="81"/>
      <c r="BG108" s="81">
        <v>0</v>
      </c>
      <c r="BH108" s="81">
        <v>0</v>
      </c>
      <c r="BI108" s="81">
        <v>0</v>
      </c>
      <c r="BJ108" s="81">
        <v>0</v>
      </c>
      <c r="BK108" s="81">
        <v>0</v>
      </c>
      <c r="BL108" s="81">
        <v>0</v>
      </c>
    </row>
    <row r="109" spans="1:64" x14ac:dyDescent="0.25">
      <c r="A109" s="42" t="s">
        <v>137</v>
      </c>
      <c r="B109" s="92">
        <v>0</v>
      </c>
      <c r="C109" s="92">
        <v>0</v>
      </c>
      <c r="D109" s="92">
        <v>0</v>
      </c>
      <c r="E109" s="92">
        <v>0</v>
      </c>
      <c r="F109" s="92">
        <v>0</v>
      </c>
      <c r="G109" s="92">
        <v>0</v>
      </c>
      <c r="H109" s="92">
        <v>0</v>
      </c>
      <c r="I109" s="92">
        <v>0</v>
      </c>
      <c r="J109" s="92">
        <v>0</v>
      </c>
      <c r="K109" s="92">
        <v>0</v>
      </c>
      <c r="L109" s="92">
        <v>0</v>
      </c>
      <c r="M109" s="92">
        <v>0</v>
      </c>
      <c r="N109" s="92">
        <v>0</v>
      </c>
      <c r="O109" s="92">
        <v>0</v>
      </c>
      <c r="P109" s="92">
        <v>0</v>
      </c>
      <c r="Q109" s="92">
        <v>0</v>
      </c>
      <c r="R109" s="92">
        <v>0</v>
      </c>
      <c r="S109" s="92">
        <v>0</v>
      </c>
      <c r="T109" s="92">
        <v>0</v>
      </c>
      <c r="U109" s="92">
        <v>0</v>
      </c>
      <c r="V109" s="92">
        <v>0</v>
      </c>
      <c r="W109" s="92">
        <v>0</v>
      </c>
      <c r="X109" s="92">
        <v>0</v>
      </c>
      <c r="Y109" s="92">
        <v>0</v>
      </c>
      <c r="Z109" s="92">
        <v>0</v>
      </c>
      <c r="AA109" s="92">
        <v>0</v>
      </c>
      <c r="AB109" s="92">
        <v>0</v>
      </c>
      <c r="AC109" s="92">
        <v>0</v>
      </c>
      <c r="AD109" s="92">
        <v>0</v>
      </c>
      <c r="AE109" s="92">
        <v>0</v>
      </c>
      <c r="AF109" s="92">
        <v>0</v>
      </c>
      <c r="AG109" s="105">
        <v>39</v>
      </c>
      <c r="AH109" s="46">
        <f t="shared" si="21"/>
        <v>0</v>
      </c>
      <c r="AI109" s="47">
        <f t="shared" si="22"/>
        <v>0</v>
      </c>
      <c r="BF109" s="81"/>
      <c r="BG109" s="81">
        <v>0</v>
      </c>
      <c r="BH109" s="81">
        <v>0</v>
      </c>
      <c r="BI109" s="81">
        <v>0</v>
      </c>
      <c r="BJ109" s="81">
        <v>0</v>
      </c>
      <c r="BK109" s="81">
        <v>0</v>
      </c>
      <c r="BL109" s="81">
        <v>0</v>
      </c>
    </row>
    <row r="110" spans="1:64" x14ac:dyDescent="0.25">
      <c r="A110" s="63" t="s">
        <v>138</v>
      </c>
      <c r="B110" s="96">
        <v>0</v>
      </c>
      <c r="C110" s="96">
        <v>0</v>
      </c>
      <c r="D110" s="96">
        <v>0</v>
      </c>
      <c r="E110" s="96">
        <v>0</v>
      </c>
      <c r="F110" s="96">
        <v>0</v>
      </c>
      <c r="G110" s="96">
        <v>0</v>
      </c>
      <c r="H110" s="96">
        <v>0</v>
      </c>
      <c r="I110" s="96">
        <v>0</v>
      </c>
      <c r="J110" s="96">
        <v>0</v>
      </c>
      <c r="K110" s="96">
        <v>0</v>
      </c>
      <c r="L110" s="96">
        <v>0</v>
      </c>
      <c r="M110" s="96">
        <v>0</v>
      </c>
      <c r="N110" s="96">
        <v>0</v>
      </c>
      <c r="O110" s="96">
        <v>0</v>
      </c>
      <c r="P110" s="96">
        <v>0</v>
      </c>
      <c r="Q110" s="96">
        <v>0</v>
      </c>
      <c r="R110" s="96">
        <v>0</v>
      </c>
      <c r="S110" s="96">
        <v>0</v>
      </c>
      <c r="T110" s="96">
        <v>0</v>
      </c>
      <c r="U110" s="96">
        <v>0</v>
      </c>
      <c r="V110" s="96">
        <v>0</v>
      </c>
      <c r="W110" s="96">
        <v>0</v>
      </c>
      <c r="X110" s="96">
        <v>0</v>
      </c>
      <c r="Y110" s="96">
        <v>0</v>
      </c>
      <c r="Z110" s="96">
        <v>0</v>
      </c>
      <c r="AA110" s="96">
        <v>0</v>
      </c>
      <c r="AB110" s="96">
        <v>0</v>
      </c>
      <c r="AC110" s="96">
        <v>0</v>
      </c>
      <c r="AD110" s="96">
        <v>0</v>
      </c>
      <c r="AE110" s="96">
        <v>0</v>
      </c>
      <c r="AF110" s="96">
        <v>0</v>
      </c>
      <c r="AG110" s="88">
        <v>14.4</v>
      </c>
      <c r="AH110" s="46">
        <f t="shared" si="21"/>
        <v>0</v>
      </c>
      <c r="AI110" s="47">
        <f t="shared" si="22"/>
        <v>0</v>
      </c>
      <c r="BF110" s="81"/>
      <c r="BG110" s="81">
        <v>0</v>
      </c>
      <c r="BH110" s="81">
        <v>0</v>
      </c>
      <c r="BI110" s="81">
        <v>0</v>
      </c>
      <c r="BJ110" s="81">
        <v>0</v>
      </c>
      <c r="BK110" s="81">
        <v>0</v>
      </c>
      <c r="BL110" s="81">
        <v>0</v>
      </c>
    </row>
    <row r="111" spans="1:64" ht="15.75" thickBot="1" x14ac:dyDescent="0.3">
      <c r="A111" s="95" t="s">
        <v>139</v>
      </c>
      <c r="B111" s="106">
        <v>0</v>
      </c>
      <c r="C111" s="106">
        <v>0</v>
      </c>
      <c r="D111" s="106">
        <v>0</v>
      </c>
      <c r="E111" s="106">
        <v>0</v>
      </c>
      <c r="F111" s="106">
        <v>0</v>
      </c>
      <c r="G111" s="106">
        <v>0</v>
      </c>
      <c r="H111" s="106">
        <v>0</v>
      </c>
      <c r="I111" s="106">
        <v>0</v>
      </c>
      <c r="J111" s="106">
        <v>0</v>
      </c>
      <c r="K111" s="106">
        <v>0</v>
      </c>
      <c r="L111" s="106">
        <v>0</v>
      </c>
      <c r="M111" s="106">
        <v>0</v>
      </c>
      <c r="N111" s="106">
        <v>0</v>
      </c>
      <c r="O111" s="106">
        <v>0</v>
      </c>
      <c r="P111" s="106">
        <v>0</v>
      </c>
      <c r="Q111" s="106">
        <v>0</v>
      </c>
      <c r="R111" s="106">
        <v>0</v>
      </c>
      <c r="S111" s="106">
        <v>0</v>
      </c>
      <c r="T111" s="106">
        <v>0</v>
      </c>
      <c r="U111" s="106">
        <v>0</v>
      </c>
      <c r="V111" s="106">
        <v>0</v>
      </c>
      <c r="W111" s="106">
        <v>0</v>
      </c>
      <c r="X111" s="106">
        <v>0</v>
      </c>
      <c r="Y111" s="106">
        <v>0</v>
      </c>
      <c r="Z111" s="106">
        <v>0</v>
      </c>
      <c r="AA111" s="106">
        <v>0</v>
      </c>
      <c r="AB111" s="106">
        <v>0</v>
      </c>
      <c r="AC111" s="106">
        <v>0</v>
      </c>
      <c r="AD111" s="106">
        <v>0</v>
      </c>
      <c r="AE111" s="106">
        <v>0</v>
      </c>
      <c r="AF111" s="106">
        <v>0</v>
      </c>
      <c r="AG111" s="102">
        <v>2</v>
      </c>
      <c r="AH111" s="46">
        <f t="shared" si="21"/>
        <v>0</v>
      </c>
      <c r="AI111" s="47">
        <f t="shared" si="22"/>
        <v>0</v>
      </c>
      <c r="BF111" s="81"/>
      <c r="BG111" s="81">
        <v>0</v>
      </c>
      <c r="BH111" s="81">
        <v>0</v>
      </c>
      <c r="BI111" s="81">
        <v>0</v>
      </c>
      <c r="BJ111" s="81">
        <v>0</v>
      </c>
      <c r="BK111" s="81">
        <v>0</v>
      </c>
      <c r="BL111" s="81">
        <v>0</v>
      </c>
    </row>
    <row r="112" spans="1:64" ht="15.75" thickBot="1" x14ac:dyDescent="0.3">
      <c r="A112" s="86" t="s">
        <v>140</v>
      </c>
      <c r="B112" s="69"/>
      <c r="C112" s="69"/>
      <c r="D112" s="69"/>
      <c r="E112" s="69"/>
      <c r="F112" s="69"/>
      <c r="G112" s="69"/>
      <c r="H112" s="69"/>
      <c r="I112" s="69"/>
      <c r="J112" s="69"/>
      <c r="K112" s="69"/>
      <c r="L112" s="69"/>
      <c r="M112" s="69"/>
      <c r="N112" s="69"/>
      <c r="O112" s="69"/>
      <c r="P112" s="69"/>
      <c r="Q112" s="69"/>
      <c r="R112" s="69"/>
      <c r="S112" s="69"/>
      <c r="T112" s="69"/>
      <c r="U112" s="69"/>
      <c r="V112" s="69"/>
      <c r="W112" s="69"/>
      <c r="X112" s="69">
        <v>0</v>
      </c>
      <c r="Y112" s="69"/>
      <c r="Z112" s="69"/>
      <c r="AA112" s="69"/>
      <c r="AB112" s="69"/>
      <c r="AC112" s="69"/>
      <c r="AD112" s="69"/>
      <c r="AE112" s="69"/>
      <c r="AF112" s="69"/>
      <c r="AG112" s="103">
        <f>SUM(AG109:AG111)</f>
        <v>55.4</v>
      </c>
      <c r="AH112" s="46">
        <f t="shared" si="21"/>
        <v>0</v>
      </c>
      <c r="AI112" s="47">
        <f t="shared" si="22"/>
        <v>0</v>
      </c>
      <c r="BF112" s="80"/>
      <c r="BG112" s="81">
        <v>0</v>
      </c>
      <c r="BH112" s="81">
        <v>0</v>
      </c>
      <c r="BI112" s="81">
        <v>0</v>
      </c>
      <c r="BJ112" s="81">
        <v>0</v>
      </c>
      <c r="BK112" s="81">
        <v>0</v>
      </c>
      <c r="BL112" s="81">
        <v>0</v>
      </c>
    </row>
    <row r="113" spans="1:64" ht="15.75" thickBot="1" x14ac:dyDescent="0.3">
      <c r="A113" s="86" t="s">
        <v>141</v>
      </c>
      <c r="B113" s="107">
        <f t="shared" ref="B113:AG113" si="32">B71+B78+B96+B92+B108+B112</f>
        <v>702</v>
      </c>
      <c r="C113" s="107">
        <f t="shared" si="32"/>
        <v>252</v>
      </c>
      <c r="D113" s="107">
        <f t="shared" si="32"/>
        <v>252</v>
      </c>
      <c r="E113" s="107">
        <f t="shared" si="32"/>
        <v>252</v>
      </c>
      <c r="F113" s="107">
        <f t="shared" si="32"/>
        <v>252</v>
      </c>
      <c r="G113" s="107">
        <f t="shared" si="32"/>
        <v>252</v>
      </c>
      <c r="H113" s="107">
        <f t="shared" si="32"/>
        <v>252</v>
      </c>
      <c r="I113" s="107">
        <f t="shared" si="32"/>
        <v>252</v>
      </c>
      <c r="J113" s="107">
        <f t="shared" si="32"/>
        <v>252</v>
      </c>
      <c r="K113" s="107">
        <f t="shared" si="32"/>
        <v>252</v>
      </c>
      <c r="L113" s="107">
        <f t="shared" si="32"/>
        <v>252</v>
      </c>
      <c r="M113" s="107">
        <f t="shared" si="32"/>
        <v>252</v>
      </c>
      <c r="N113" s="107">
        <f t="shared" si="32"/>
        <v>252</v>
      </c>
      <c r="O113" s="107">
        <f t="shared" si="32"/>
        <v>252</v>
      </c>
      <c r="P113" s="107">
        <f t="shared" si="32"/>
        <v>252</v>
      </c>
      <c r="Q113" s="107">
        <f t="shared" si="32"/>
        <v>252</v>
      </c>
      <c r="R113" s="107">
        <f t="shared" si="32"/>
        <v>252</v>
      </c>
      <c r="S113" s="107">
        <f t="shared" si="32"/>
        <v>252</v>
      </c>
      <c r="T113" s="107">
        <f t="shared" si="32"/>
        <v>252</v>
      </c>
      <c r="U113" s="107">
        <f t="shared" si="32"/>
        <v>252</v>
      </c>
      <c r="V113" s="107">
        <f t="shared" si="32"/>
        <v>252</v>
      </c>
      <c r="W113" s="107">
        <f t="shared" si="32"/>
        <v>252</v>
      </c>
      <c r="X113" s="107">
        <f t="shared" si="32"/>
        <v>252</v>
      </c>
      <c r="Y113" s="107">
        <f t="shared" si="32"/>
        <v>252</v>
      </c>
      <c r="Z113" s="107">
        <f t="shared" si="32"/>
        <v>252</v>
      </c>
      <c r="AA113" s="107">
        <f t="shared" si="32"/>
        <v>252</v>
      </c>
      <c r="AB113" s="107">
        <f t="shared" si="32"/>
        <v>252</v>
      </c>
      <c r="AC113" s="107">
        <f t="shared" si="32"/>
        <v>252</v>
      </c>
      <c r="AD113" s="107">
        <f t="shared" si="32"/>
        <v>252</v>
      </c>
      <c r="AE113" s="107">
        <f t="shared" si="32"/>
        <v>252</v>
      </c>
      <c r="AF113" s="107">
        <f t="shared" si="32"/>
        <v>252</v>
      </c>
      <c r="AG113" s="79">
        <f t="shared" si="32"/>
        <v>3169.915</v>
      </c>
      <c r="AH113" s="46">
        <f t="shared" si="21"/>
        <v>702</v>
      </c>
      <c r="AI113" s="47">
        <f t="shared" si="22"/>
        <v>252</v>
      </c>
      <c r="BF113" s="80"/>
      <c r="BG113" s="81">
        <v>0</v>
      </c>
      <c r="BH113" s="81">
        <v>0</v>
      </c>
      <c r="BI113" s="81">
        <v>0</v>
      </c>
      <c r="BJ113" s="81">
        <v>0</v>
      </c>
      <c r="BK113" s="81">
        <v>0</v>
      </c>
      <c r="BL113" s="81">
        <v>0</v>
      </c>
    </row>
    <row r="114" spans="1:64" ht="15.75" thickBot="1" x14ac:dyDescent="0.3">
      <c r="A114" s="108" t="s">
        <v>142</v>
      </c>
      <c r="B114" s="109"/>
      <c r="C114" s="109"/>
      <c r="D114" s="109"/>
      <c r="E114" s="109"/>
      <c r="F114" s="109"/>
      <c r="G114" s="109"/>
      <c r="H114" s="109"/>
      <c r="I114" s="109"/>
      <c r="J114" s="109"/>
      <c r="K114" s="109"/>
      <c r="L114" s="109"/>
      <c r="M114" s="109"/>
      <c r="N114" s="109"/>
      <c r="O114" s="109"/>
      <c r="P114" s="109"/>
      <c r="Q114" s="109"/>
      <c r="R114" s="109"/>
      <c r="S114" s="109"/>
      <c r="T114" s="109"/>
      <c r="U114" s="109"/>
      <c r="V114" s="109"/>
      <c r="W114" s="109"/>
      <c r="X114" s="109"/>
      <c r="Y114" s="109"/>
      <c r="Z114" s="109"/>
      <c r="AA114" s="109"/>
      <c r="AB114" s="109"/>
      <c r="AC114" s="109"/>
      <c r="AD114" s="109"/>
      <c r="AE114" s="109"/>
      <c r="AF114" s="109"/>
      <c r="AG114" s="103"/>
      <c r="AH114" s="46">
        <f t="shared" si="21"/>
        <v>0</v>
      </c>
      <c r="AI114" s="47">
        <f t="shared" si="22"/>
        <v>0</v>
      </c>
      <c r="BF114" s="80"/>
      <c r="BG114" s="81">
        <v>0</v>
      </c>
      <c r="BH114" s="81">
        <v>0</v>
      </c>
      <c r="BI114" s="81">
        <v>0</v>
      </c>
      <c r="BJ114" s="81">
        <v>0</v>
      </c>
      <c r="BK114" s="81">
        <v>0</v>
      </c>
      <c r="BL114" s="81">
        <v>0</v>
      </c>
    </row>
    <row r="115" spans="1:64" ht="15.75" thickBot="1" x14ac:dyDescent="0.3">
      <c r="A115" s="86" t="s">
        <v>143</v>
      </c>
      <c r="B115" s="107">
        <f>B113+B114</f>
        <v>702</v>
      </c>
      <c r="C115" s="107">
        <f t="shared" ref="C115:AF115" si="33">C113+C114</f>
        <v>252</v>
      </c>
      <c r="D115" s="107">
        <f t="shared" si="33"/>
        <v>252</v>
      </c>
      <c r="E115" s="107">
        <f t="shared" si="33"/>
        <v>252</v>
      </c>
      <c r="F115" s="107">
        <f t="shared" si="33"/>
        <v>252</v>
      </c>
      <c r="G115" s="107">
        <f t="shared" si="33"/>
        <v>252</v>
      </c>
      <c r="H115" s="107">
        <f t="shared" si="33"/>
        <v>252</v>
      </c>
      <c r="I115" s="107">
        <f t="shared" si="33"/>
        <v>252</v>
      </c>
      <c r="J115" s="107">
        <f t="shared" si="33"/>
        <v>252</v>
      </c>
      <c r="K115" s="107">
        <f t="shared" si="33"/>
        <v>252</v>
      </c>
      <c r="L115" s="107">
        <f t="shared" si="33"/>
        <v>252</v>
      </c>
      <c r="M115" s="107">
        <f t="shared" si="33"/>
        <v>252</v>
      </c>
      <c r="N115" s="107">
        <f t="shared" si="33"/>
        <v>252</v>
      </c>
      <c r="O115" s="107">
        <f t="shared" si="33"/>
        <v>252</v>
      </c>
      <c r="P115" s="107">
        <f t="shared" si="33"/>
        <v>252</v>
      </c>
      <c r="Q115" s="107">
        <f t="shared" si="33"/>
        <v>252</v>
      </c>
      <c r="R115" s="107">
        <f t="shared" si="33"/>
        <v>252</v>
      </c>
      <c r="S115" s="107">
        <f t="shared" si="33"/>
        <v>252</v>
      </c>
      <c r="T115" s="107">
        <f t="shared" si="33"/>
        <v>252</v>
      </c>
      <c r="U115" s="107">
        <f t="shared" si="33"/>
        <v>252</v>
      </c>
      <c r="V115" s="107">
        <f t="shared" si="33"/>
        <v>252</v>
      </c>
      <c r="W115" s="107">
        <f t="shared" si="33"/>
        <v>252</v>
      </c>
      <c r="X115" s="107">
        <f t="shared" si="33"/>
        <v>252</v>
      </c>
      <c r="Y115" s="107">
        <f t="shared" si="33"/>
        <v>252</v>
      </c>
      <c r="Z115" s="107">
        <f t="shared" si="33"/>
        <v>252</v>
      </c>
      <c r="AA115" s="107">
        <f t="shared" si="33"/>
        <v>252</v>
      </c>
      <c r="AB115" s="107">
        <f t="shared" si="33"/>
        <v>252</v>
      </c>
      <c r="AC115" s="107">
        <f t="shared" si="33"/>
        <v>252</v>
      </c>
      <c r="AD115" s="107">
        <f t="shared" si="33"/>
        <v>252</v>
      </c>
      <c r="AE115" s="107">
        <f t="shared" si="33"/>
        <v>252</v>
      </c>
      <c r="AF115" s="107">
        <f t="shared" si="33"/>
        <v>252</v>
      </c>
      <c r="AG115" s="103">
        <f>AG112+AG108+AG96+AG92+AG71+AG114</f>
        <v>2463.5149999999999</v>
      </c>
      <c r="AH115" s="46">
        <f t="shared" si="21"/>
        <v>702</v>
      </c>
      <c r="AI115" s="47">
        <f t="shared" si="22"/>
        <v>252</v>
      </c>
      <c r="BF115" s="80"/>
      <c r="BG115" s="81">
        <v>0</v>
      </c>
      <c r="BH115" s="81">
        <v>0</v>
      </c>
      <c r="BI115" s="81">
        <v>0</v>
      </c>
      <c r="BJ115" s="81">
        <v>0</v>
      </c>
      <c r="BK115" s="81">
        <v>0</v>
      </c>
      <c r="BL115" s="81">
        <v>0</v>
      </c>
    </row>
    <row r="116" spans="1:64" ht="15.75" thickBot="1" x14ac:dyDescent="0.3">
      <c r="A116" s="86" t="s">
        <v>144</v>
      </c>
      <c r="B116" s="107">
        <f>B115-(B123)</f>
        <v>702</v>
      </c>
      <c r="C116" s="107">
        <f t="shared" ref="C116:AF116" si="34">C115-(C123)</f>
        <v>252</v>
      </c>
      <c r="D116" s="107">
        <f t="shared" si="34"/>
        <v>252</v>
      </c>
      <c r="E116" s="107">
        <f t="shared" si="34"/>
        <v>252</v>
      </c>
      <c r="F116" s="107">
        <f t="shared" si="34"/>
        <v>252</v>
      </c>
      <c r="G116" s="107">
        <f t="shared" si="34"/>
        <v>252</v>
      </c>
      <c r="H116" s="107">
        <f t="shared" si="34"/>
        <v>252</v>
      </c>
      <c r="I116" s="107">
        <f t="shared" si="34"/>
        <v>252</v>
      </c>
      <c r="J116" s="107">
        <f t="shared" si="34"/>
        <v>252</v>
      </c>
      <c r="K116" s="107">
        <f t="shared" si="34"/>
        <v>252</v>
      </c>
      <c r="L116" s="107">
        <f t="shared" si="34"/>
        <v>252</v>
      </c>
      <c r="M116" s="107">
        <f t="shared" si="34"/>
        <v>252</v>
      </c>
      <c r="N116" s="107">
        <f t="shared" si="34"/>
        <v>252</v>
      </c>
      <c r="O116" s="107">
        <f t="shared" si="34"/>
        <v>252</v>
      </c>
      <c r="P116" s="107">
        <f t="shared" si="34"/>
        <v>252</v>
      </c>
      <c r="Q116" s="107">
        <f t="shared" si="34"/>
        <v>252</v>
      </c>
      <c r="R116" s="107">
        <f t="shared" si="34"/>
        <v>252</v>
      </c>
      <c r="S116" s="107">
        <f t="shared" si="34"/>
        <v>252</v>
      </c>
      <c r="T116" s="107">
        <f t="shared" si="34"/>
        <v>252</v>
      </c>
      <c r="U116" s="107">
        <f t="shared" si="34"/>
        <v>252</v>
      </c>
      <c r="V116" s="107">
        <f t="shared" si="34"/>
        <v>252</v>
      </c>
      <c r="W116" s="107">
        <f t="shared" si="34"/>
        <v>252</v>
      </c>
      <c r="X116" s="107">
        <f t="shared" si="34"/>
        <v>252</v>
      </c>
      <c r="Y116" s="107">
        <f t="shared" si="34"/>
        <v>252</v>
      </c>
      <c r="Z116" s="107">
        <f t="shared" si="34"/>
        <v>252</v>
      </c>
      <c r="AA116" s="107">
        <f t="shared" si="34"/>
        <v>252</v>
      </c>
      <c r="AB116" s="107">
        <f t="shared" si="34"/>
        <v>252</v>
      </c>
      <c r="AC116" s="107">
        <f t="shared" si="34"/>
        <v>252</v>
      </c>
      <c r="AD116" s="107">
        <f t="shared" si="34"/>
        <v>252</v>
      </c>
      <c r="AE116" s="107">
        <f t="shared" si="34"/>
        <v>252</v>
      </c>
      <c r="AF116" s="107">
        <f t="shared" si="34"/>
        <v>252</v>
      </c>
      <c r="AG116" s="103"/>
      <c r="AH116" s="46">
        <f t="shared" si="21"/>
        <v>702</v>
      </c>
      <c r="AI116" s="47">
        <f t="shared" si="22"/>
        <v>252</v>
      </c>
      <c r="BF116" s="80"/>
      <c r="BG116" s="81">
        <v>0</v>
      </c>
      <c r="BH116" s="81">
        <v>0</v>
      </c>
      <c r="BI116" s="81">
        <v>0</v>
      </c>
      <c r="BJ116" s="81">
        <v>0</v>
      </c>
      <c r="BK116" s="81">
        <v>0</v>
      </c>
      <c r="BL116" s="81">
        <v>0</v>
      </c>
    </row>
    <row r="117" spans="1:64" x14ac:dyDescent="0.25">
      <c r="A117" s="42" t="s">
        <v>122</v>
      </c>
      <c r="B117" s="92">
        <f t="shared" ref="B117:AF122" si="35">IF(B97&lt;0,B97*-1,0)</f>
        <v>0</v>
      </c>
      <c r="C117" s="92">
        <f t="shared" si="35"/>
        <v>0</v>
      </c>
      <c r="D117" s="92">
        <f t="shared" si="35"/>
        <v>0</v>
      </c>
      <c r="E117" s="92">
        <f t="shared" si="35"/>
        <v>0</v>
      </c>
      <c r="F117" s="92">
        <f t="shared" si="35"/>
        <v>0</v>
      </c>
      <c r="G117" s="92">
        <f t="shared" si="35"/>
        <v>0</v>
      </c>
      <c r="H117" s="92">
        <f t="shared" si="35"/>
        <v>0</v>
      </c>
      <c r="I117" s="92">
        <f t="shared" si="35"/>
        <v>0</v>
      </c>
      <c r="J117" s="92">
        <f t="shared" si="35"/>
        <v>0</v>
      </c>
      <c r="K117" s="92">
        <f t="shared" si="35"/>
        <v>0</v>
      </c>
      <c r="L117" s="92">
        <f t="shared" si="35"/>
        <v>0</v>
      </c>
      <c r="M117" s="92">
        <f t="shared" si="35"/>
        <v>0</v>
      </c>
      <c r="N117" s="92">
        <f t="shared" si="35"/>
        <v>0</v>
      </c>
      <c r="O117" s="92">
        <f t="shared" si="35"/>
        <v>0</v>
      </c>
      <c r="P117" s="92">
        <f t="shared" si="35"/>
        <v>0</v>
      </c>
      <c r="Q117" s="92">
        <f t="shared" si="35"/>
        <v>0</v>
      </c>
      <c r="R117" s="92">
        <f t="shared" si="35"/>
        <v>0</v>
      </c>
      <c r="S117" s="92">
        <f t="shared" si="35"/>
        <v>0</v>
      </c>
      <c r="T117" s="92">
        <f t="shared" si="35"/>
        <v>0</v>
      </c>
      <c r="U117" s="92">
        <f t="shared" si="35"/>
        <v>0</v>
      </c>
      <c r="V117" s="92">
        <f t="shared" si="35"/>
        <v>0</v>
      </c>
      <c r="W117" s="92">
        <f t="shared" si="35"/>
        <v>0</v>
      </c>
      <c r="X117" s="92">
        <f t="shared" si="35"/>
        <v>0</v>
      </c>
      <c r="Y117" s="92">
        <f t="shared" si="35"/>
        <v>0</v>
      </c>
      <c r="Z117" s="92">
        <f t="shared" si="35"/>
        <v>0</v>
      </c>
      <c r="AA117" s="92">
        <f t="shared" si="35"/>
        <v>0</v>
      </c>
      <c r="AB117" s="92">
        <f t="shared" si="35"/>
        <v>0</v>
      </c>
      <c r="AC117" s="92">
        <f t="shared" si="35"/>
        <v>0</v>
      </c>
      <c r="AD117" s="92">
        <f t="shared" si="35"/>
        <v>0</v>
      </c>
      <c r="AE117" s="92">
        <f t="shared" si="35"/>
        <v>0</v>
      </c>
      <c r="AF117" s="92">
        <f t="shared" si="35"/>
        <v>0</v>
      </c>
      <c r="AG117" s="61"/>
      <c r="AH117" s="46">
        <f t="shared" si="21"/>
        <v>0</v>
      </c>
      <c r="AI117" s="47">
        <f t="shared" si="22"/>
        <v>0</v>
      </c>
      <c r="BG117" s="81">
        <v>0</v>
      </c>
      <c r="BH117" s="81">
        <v>0</v>
      </c>
      <c r="BI117" s="81">
        <v>0</v>
      </c>
      <c r="BJ117" s="81">
        <v>0</v>
      </c>
      <c r="BK117" s="81">
        <v>0</v>
      </c>
      <c r="BL117" s="81">
        <v>0</v>
      </c>
    </row>
    <row r="118" spans="1:64" x14ac:dyDescent="0.25">
      <c r="A118" s="63" t="s">
        <v>123</v>
      </c>
      <c r="B118" s="92">
        <f t="shared" si="35"/>
        <v>0</v>
      </c>
      <c r="C118" s="92">
        <f t="shared" si="35"/>
        <v>0</v>
      </c>
      <c r="D118" s="92">
        <f t="shared" si="35"/>
        <v>0</v>
      </c>
      <c r="E118" s="92">
        <f t="shared" si="35"/>
        <v>0</v>
      </c>
      <c r="F118" s="92">
        <f t="shared" si="35"/>
        <v>0</v>
      </c>
      <c r="G118" s="92">
        <f t="shared" si="35"/>
        <v>0</v>
      </c>
      <c r="H118" s="92">
        <f t="shared" si="35"/>
        <v>0</v>
      </c>
      <c r="I118" s="92">
        <f t="shared" si="35"/>
        <v>0</v>
      </c>
      <c r="J118" s="92">
        <f t="shared" si="35"/>
        <v>0</v>
      </c>
      <c r="K118" s="92">
        <f t="shared" si="35"/>
        <v>0</v>
      </c>
      <c r="L118" s="92">
        <f t="shared" si="35"/>
        <v>0</v>
      </c>
      <c r="M118" s="92">
        <f t="shared" si="35"/>
        <v>0</v>
      </c>
      <c r="N118" s="92">
        <f t="shared" si="35"/>
        <v>0</v>
      </c>
      <c r="O118" s="92">
        <f t="shared" si="35"/>
        <v>0</v>
      </c>
      <c r="P118" s="92">
        <f t="shared" si="35"/>
        <v>0</v>
      </c>
      <c r="Q118" s="92">
        <f t="shared" si="35"/>
        <v>0</v>
      </c>
      <c r="R118" s="92">
        <f t="shared" si="35"/>
        <v>0</v>
      </c>
      <c r="S118" s="92">
        <f t="shared" si="35"/>
        <v>0</v>
      </c>
      <c r="T118" s="92">
        <f t="shared" si="35"/>
        <v>0</v>
      </c>
      <c r="U118" s="92">
        <f t="shared" si="35"/>
        <v>0</v>
      </c>
      <c r="V118" s="92">
        <f t="shared" si="35"/>
        <v>0</v>
      </c>
      <c r="W118" s="92">
        <f t="shared" si="35"/>
        <v>0</v>
      </c>
      <c r="X118" s="92">
        <f t="shared" si="35"/>
        <v>0</v>
      </c>
      <c r="Y118" s="92">
        <f t="shared" si="35"/>
        <v>0</v>
      </c>
      <c r="Z118" s="92">
        <f t="shared" si="35"/>
        <v>0</v>
      </c>
      <c r="AA118" s="92">
        <f t="shared" si="35"/>
        <v>0</v>
      </c>
      <c r="AB118" s="92">
        <f t="shared" si="35"/>
        <v>0</v>
      </c>
      <c r="AC118" s="92">
        <f t="shared" si="35"/>
        <v>0</v>
      </c>
      <c r="AD118" s="92">
        <f t="shared" si="35"/>
        <v>0</v>
      </c>
      <c r="AE118" s="92">
        <f t="shared" si="35"/>
        <v>0</v>
      </c>
      <c r="AF118" s="92">
        <f t="shared" si="35"/>
        <v>0</v>
      </c>
      <c r="AG118" s="64"/>
      <c r="AH118" s="46">
        <f t="shared" si="21"/>
        <v>0</v>
      </c>
      <c r="AI118" s="47">
        <f t="shared" si="22"/>
        <v>0</v>
      </c>
      <c r="AK118" s="49"/>
      <c r="BG118" s="81">
        <v>0</v>
      </c>
      <c r="BH118" s="81">
        <v>0</v>
      </c>
      <c r="BI118" s="81">
        <v>0</v>
      </c>
      <c r="BJ118" s="81">
        <v>0</v>
      </c>
      <c r="BK118" s="81">
        <v>0</v>
      </c>
      <c r="BL118" s="81">
        <v>0</v>
      </c>
    </row>
    <row r="119" spans="1:64" x14ac:dyDescent="0.25">
      <c r="A119" s="95" t="s">
        <v>125</v>
      </c>
      <c r="B119" s="92">
        <f t="shared" si="35"/>
        <v>0</v>
      </c>
      <c r="C119" s="92">
        <f t="shared" si="35"/>
        <v>0</v>
      </c>
      <c r="D119" s="92">
        <f t="shared" si="35"/>
        <v>0</v>
      </c>
      <c r="E119" s="92">
        <f t="shared" si="35"/>
        <v>0</v>
      </c>
      <c r="F119" s="92">
        <f t="shared" si="35"/>
        <v>0</v>
      </c>
      <c r="G119" s="92">
        <f t="shared" si="35"/>
        <v>0</v>
      </c>
      <c r="H119" s="92">
        <f t="shared" si="35"/>
        <v>0</v>
      </c>
      <c r="I119" s="92">
        <f t="shared" si="35"/>
        <v>0</v>
      </c>
      <c r="J119" s="92">
        <f t="shared" si="35"/>
        <v>0</v>
      </c>
      <c r="K119" s="92">
        <f t="shared" si="35"/>
        <v>0</v>
      </c>
      <c r="L119" s="92">
        <f t="shared" si="35"/>
        <v>0</v>
      </c>
      <c r="M119" s="92">
        <f t="shared" si="35"/>
        <v>0</v>
      </c>
      <c r="N119" s="92">
        <f t="shared" si="35"/>
        <v>0</v>
      </c>
      <c r="O119" s="92">
        <f t="shared" si="35"/>
        <v>0</v>
      </c>
      <c r="P119" s="92">
        <f t="shared" si="35"/>
        <v>0</v>
      </c>
      <c r="Q119" s="92">
        <f t="shared" si="35"/>
        <v>0</v>
      </c>
      <c r="R119" s="92">
        <f t="shared" si="35"/>
        <v>0</v>
      </c>
      <c r="S119" s="92">
        <f t="shared" si="35"/>
        <v>0</v>
      </c>
      <c r="T119" s="92">
        <f t="shared" si="35"/>
        <v>0</v>
      </c>
      <c r="U119" s="92">
        <f t="shared" si="35"/>
        <v>0</v>
      </c>
      <c r="V119" s="92">
        <f t="shared" si="35"/>
        <v>0</v>
      </c>
      <c r="W119" s="92">
        <f t="shared" si="35"/>
        <v>0</v>
      </c>
      <c r="X119" s="92">
        <f t="shared" si="35"/>
        <v>0</v>
      </c>
      <c r="Y119" s="92">
        <f t="shared" si="35"/>
        <v>0</v>
      </c>
      <c r="Z119" s="92">
        <f t="shared" si="35"/>
        <v>0</v>
      </c>
      <c r="AA119" s="92">
        <f t="shared" si="35"/>
        <v>0</v>
      </c>
      <c r="AB119" s="92">
        <f t="shared" si="35"/>
        <v>0</v>
      </c>
      <c r="AC119" s="92">
        <f t="shared" si="35"/>
        <v>0</v>
      </c>
      <c r="AD119" s="92">
        <f t="shared" si="35"/>
        <v>0</v>
      </c>
      <c r="AE119" s="92">
        <f t="shared" si="35"/>
        <v>0</v>
      </c>
      <c r="AF119" s="92">
        <f t="shared" si="35"/>
        <v>0</v>
      </c>
      <c r="AG119" s="110"/>
      <c r="AH119" s="46">
        <f t="shared" si="21"/>
        <v>0</v>
      </c>
      <c r="AI119" s="47">
        <f t="shared" si="22"/>
        <v>0</v>
      </c>
    </row>
    <row r="120" spans="1:64" x14ac:dyDescent="0.25">
      <c r="A120" s="95" t="s">
        <v>126</v>
      </c>
      <c r="B120" s="92">
        <f t="shared" si="35"/>
        <v>0</v>
      </c>
      <c r="C120" s="92">
        <f t="shared" si="35"/>
        <v>0</v>
      </c>
      <c r="D120" s="92">
        <f t="shared" si="35"/>
        <v>0</v>
      </c>
      <c r="E120" s="92">
        <f t="shared" si="35"/>
        <v>0</v>
      </c>
      <c r="F120" s="92">
        <f t="shared" si="35"/>
        <v>0</v>
      </c>
      <c r="G120" s="92">
        <f t="shared" si="35"/>
        <v>0</v>
      </c>
      <c r="H120" s="92">
        <f t="shared" si="35"/>
        <v>0</v>
      </c>
      <c r="I120" s="92">
        <f t="shared" si="35"/>
        <v>0</v>
      </c>
      <c r="J120" s="92">
        <f t="shared" si="35"/>
        <v>0</v>
      </c>
      <c r="K120" s="92">
        <f t="shared" si="35"/>
        <v>0</v>
      </c>
      <c r="L120" s="92">
        <f t="shared" si="35"/>
        <v>0</v>
      </c>
      <c r="M120" s="92">
        <f t="shared" si="35"/>
        <v>0</v>
      </c>
      <c r="N120" s="92">
        <f t="shared" si="35"/>
        <v>0</v>
      </c>
      <c r="O120" s="92">
        <f t="shared" si="35"/>
        <v>0</v>
      </c>
      <c r="P120" s="92">
        <f t="shared" si="35"/>
        <v>0</v>
      </c>
      <c r="Q120" s="92">
        <f t="shared" si="35"/>
        <v>0</v>
      </c>
      <c r="R120" s="92">
        <f t="shared" si="35"/>
        <v>0</v>
      </c>
      <c r="S120" s="92">
        <f t="shared" si="35"/>
        <v>0</v>
      </c>
      <c r="T120" s="92">
        <f t="shared" si="35"/>
        <v>0</v>
      </c>
      <c r="U120" s="92">
        <f t="shared" si="35"/>
        <v>0</v>
      </c>
      <c r="V120" s="92">
        <f t="shared" si="35"/>
        <v>0</v>
      </c>
      <c r="W120" s="92">
        <f t="shared" si="35"/>
        <v>0</v>
      </c>
      <c r="X120" s="92">
        <f t="shared" si="35"/>
        <v>0</v>
      </c>
      <c r="Y120" s="92">
        <f t="shared" si="35"/>
        <v>0</v>
      </c>
      <c r="Z120" s="92">
        <f t="shared" si="35"/>
        <v>0</v>
      </c>
      <c r="AA120" s="92">
        <f t="shared" si="35"/>
        <v>0</v>
      </c>
      <c r="AB120" s="92">
        <f t="shared" si="35"/>
        <v>0</v>
      </c>
      <c r="AC120" s="92">
        <f t="shared" si="35"/>
        <v>0</v>
      </c>
      <c r="AD120" s="92">
        <f t="shared" si="35"/>
        <v>0</v>
      </c>
      <c r="AE120" s="92">
        <f t="shared" si="35"/>
        <v>0</v>
      </c>
      <c r="AF120" s="92">
        <f t="shared" si="35"/>
        <v>0</v>
      </c>
      <c r="AG120" s="110"/>
      <c r="AH120" s="46">
        <f t="shared" si="21"/>
        <v>0</v>
      </c>
      <c r="AI120" s="47">
        <f t="shared" si="22"/>
        <v>0</v>
      </c>
    </row>
    <row r="121" spans="1:64" x14ac:dyDescent="0.25">
      <c r="A121" s="95" t="s">
        <v>128</v>
      </c>
      <c r="B121" s="92">
        <f t="shared" si="35"/>
        <v>0</v>
      </c>
      <c r="C121" s="92">
        <f t="shared" si="35"/>
        <v>0</v>
      </c>
      <c r="D121" s="92">
        <f t="shared" si="35"/>
        <v>0</v>
      </c>
      <c r="E121" s="92">
        <f t="shared" si="35"/>
        <v>0</v>
      </c>
      <c r="F121" s="92">
        <f t="shared" si="35"/>
        <v>0</v>
      </c>
      <c r="G121" s="92">
        <f t="shared" si="35"/>
        <v>0</v>
      </c>
      <c r="H121" s="92">
        <f t="shared" si="35"/>
        <v>0</v>
      </c>
      <c r="I121" s="92">
        <f t="shared" si="35"/>
        <v>0</v>
      </c>
      <c r="J121" s="92">
        <f t="shared" si="35"/>
        <v>0</v>
      </c>
      <c r="K121" s="92">
        <f t="shared" si="35"/>
        <v>0</v>
      </c>
      <c r="L121" s="92">
        <f t="shared" si="35"/>
        <v>0</v>
      </c>
      <c r="M121" s="92">
        <f t="shared" si="35"/>
        <v>0</v>
      </c>
      <c r="N121" s="92">
        <f t="shared" si="35"/>
        <v>0</v>
      </c>
      <c r="O121" s="92">
        <f t="shared" si="35"/>
        <v>0</v>
      </c>
      <c r="P121" s="92">
        <f t="shared" si="35"/>
        <v>0</v>
      </c>
      <c r="Q121" s="92">
        <f t="shared" si="35"/>
        <v>0</v>
      </c>
      <c r="R121" s="92">
        <f t="shared" si="35"/>
        <v>0</v>
      </c>
      <c r="S121" s="92">
        <f t="shared" si="35"/>
        <v>0</v>
      </c>
      <c r="T121" s="92">
        <f t="shared" si="35"/>
        <v>0</v>
      </c>
      <c r="U121" s="92">
        <f t="shared" si="35"/>
        <v>0</v>
      </c>
      <c r="V121" s="92">
        <f t="shared" si="35"/>
        <v>0</v>
      </c>
      <c r="W121" s="92">
        <f t="shared" si="35"/>
        <v>0</v>
      </c>
      <c r="X121" s="92">
        <f t="shared" si="35"/>
        <v>0</v>
      </c>
      <c r="Y121" s="92">
        <f t="shared" si="35"/>
        <v>0</v>
      </c>
      <c r="Z121" s="92">
        <f t="shared" si="35"/>
        <v>0</v>
      </c>
      <c r="AA121" s="92">
        <f t="shared" si="35"/>
        <v>0</v>
      </c>
      <c r="AB121" s="92">
        <f t="shared" si="35"/>
        <v>0</v>
      </c>
      <c r="AC121" s="92">
        <f t="shared" si="35"/>
        <v>0</v>
      </c>
      <c r="AD121" s="92">
        <f t="shared" si="35"/>
        <v>0</v>
      </c>
      <c r="AE121" s="92">
        <f t="shared" si="35"/>
        <v>0</v>
      </c>
      <c r="AF121" s="92">
        <f t="shared" si="35"/>
        <v>0</v>
      </c>
      <c r="AG121" s="110"/>
      <c r="AH121" s="46">
        <f t="shared" si="21"/>
        <v>0</v>
      </c>
      <c r="AI121" s="47">
        <f t="shared" si="22"/>
        <v>0</v>
      </c>
    </row>
    <row r="122" spans="1:64" ht="15.75" thickBot="1" x14ac:dyDescent="0.3">
      <c r="A122" s="95" t="s">
        <v>130</v>
      </c>
      <c r="B122" s="92">
        <f t="shared" si="35"/>
        <v>0</v>
      </c>
      <c r="C122" s="92">
        <f t="shared" si="35"/>
        <v>0</v>
      </c>
      <c r="D122" s="92">
        <f t="shared" si="35"/>
        <v>0</v>
      </c>
      <c r="E122" s="92">
        <f t="shared" si="35"/>
        <v>0</v>
      </c>
      <c r="F122" s="92">
        <f t="shared" si="35"/>
        <v>0</v>
      </c>
      <c r="G122" s="92">
        <f t="shared" si="35"/>
        <v>0</v>
      </c>
      <c r="H122" s="92">
        <f t="shared" si="35"/>
        <v>0</v>
      </c>
      <c r="I122" s="92">
        <f t="shared" si="35"/>
        <v>0</v>
      </c>
      <c r="J122" s="92">
        <f t="shared" si="35"/>
        <v>0</v>
      </c>
      <c r="K122" s="92">
        <f t="shared" si="35"/>
        <v>0</v>
      </c>
      <c r="L122" s="92">
        <f t="shared" si="35"/>
        <v>0</v>
      </c>
      <c r="M122" s="92">
        <f t="shared" si="35"/>
        <v>0</v>
      </c>
      <c r="N122" s="92">
        <f t="shared" si="35"/>
        <v>0</v>
      </c>
      <c r="O122" s="92">
        <f t="shared" si="35"/>
        <v>0</v>
      </c>
      <c r="P122" s="92">
        <f t="shared" si="35"/>
        <v>0</v>
      </c>
      <c r="Q122" s="92">
        <f t="shared" si="35"/>
        <v>0</v>
      </c>
      <c r="R122" s="92">
        <f t="shared" si="35"/>
        <v>0</v>
      </c>
      <c r="S122" s="92">
        <f t="shared" si="35"/>
        <v>0</v>
      </c>
      <c r="T122" s="92">
        <f t="shared" si="35"/>
        <v>0</v>
      </c>
      <c r="U122" s="92">
        <f t="shared" si="35"/>
        <v>0</v>
      </c>
      <c r="V122" s="92">
        <f t="shared" si="35"/>
        <v>0</v>
      </c>
      <c r="W122" s="92">
        <f t="shared" si="35"/>
        <v>0</v>
      </c>
      <c r="X122" s="92">
        <f t="shared" si="35"/>
        <v>0</v>
      </c>
      <c r="Y122" s="92">
        <f t="shared" si="35"/>
        <v>0</v>
      </c>
      <c r="Z122" s="92">
        <f t="shared" si="35"/>
        <v>0</v>
      </c>
      <c r="AA122" s="92">
        <f t="shared" si="35"/>
        <v>0</v>
      </c>
      <c r="AB122" s="92">
        <f t="shared" si="35"/>
        <v>0</v>
      </c>
      <c r="AC122" s="92">
        <f t="shared" si="35"/>
        <v>0</v>
      </c>
      <c r="AD122" s="92">
        <f t="shared" si="35"/>
        <v>0</v>
      </c>
      <c r="AE122" s="92">
        <f t="shared" si="35"/>
        <v>0</v>
      </c>
      <c r="AF122" s="92">
        <f t="shared" si="35"/>
        <v>0</v>
      </c>
      <c r="AG122" s="102"/>
      <c r="AH122" s="46">
        <f t="shared" si="21"/>
        <v>0</v>
      </c>
      <c r="AI122" s="47">
        <f t="shared" si="22"/>
        <v>0</v>
      </c>
    </row>
    <row r="123" spans="1:64" ht="15.75" thickBot="1" x14ac:dyDescent="0.3">
      <c r="A123" s="111" t="s">
        <v>145</v>
      </c>
      <c r="B123" s="69">
        <f t="shared" ref="B123:AF123" si="36">SUM(B117:B122)</f>
        <v>0</v>
      </c>
      <c r="C123" s="69">
        <f t="shared" si="36"/>
        <v>0</v>
      </c>
      <c r="D123" s="69">
        <f t="shared" si="36"/>
        <v>0</v>
      </c>
      <c r="E123" s="69">
        <f t="shared" si="36"/>
        <v>0</v>
      </c>
      <c r="F123" s="69">
        <f t="shared" si="36"/>
        <v>0</v>
      </c>
      <c r="G123" s="69">
        <f t="shared" si="36"/>
        <v>0</v>
      </c>
      <c r="H123" s="69">
        <f t="shared" si="36"/>
        <v>0</v>
      </c>
      <c r="I123" s="69">
        <f t="shared" si="36"/>
        <v>0</v>
      </c>
      <c r="J123" s="69">
        <f t="shared" si="36"/>
        <v>0</v>
      </c>
      <c r="K123" s="69">
        <f t="shared" si="36"/>
        <v>0</v>
      </c>
      <c r="L123" s="69">
        <f t="shared" si="36"/>
        <v>0</v>
      </c>
      <c r="M123" s="69">
        <f t="shared" si="36"/>
        <v>0</v>
      </c>
      <c r="N123" s="69">
        <f t="shared" si="36"/>
        <v>0</v>
      </c>
      <c r="O123" s="69">
        <f t="shared" si="36"/>
        <v>0</v>
      </c>
      <c r="P123" s="69">
        <f t="shared" si="36"/>
        <v>0</v>
      </c>
      <c r="Q123" s="69">
        <f t="shared" si="36"/>
        <v>0</v>
      </c>
      <c r="R123" s="69">
        <f t="shared" si="36"/>
        <v>0</v>
      </c>
      <c r="S123" s="69">
        <f t="shared" si="36"/>
        <v>0</v>
      </c>
      <c r="T123" s="69">
        <f t="shared" si="36"/>
        <v>0</v>
      </c>
      <c r="U123" s="69">
        <f t="shared" si="36"/>
        <v>0</v>
      </c>
      <c r="V123" s="69">
        <f t="shared" si="36"/>
        <v>0</v>
      </c>
      <c r="W123" s="69">
        <f t="shared" si="36"/>
        <v>0</v>
      </c>
      <c r="X123" s="69">
        <f t="shared" si="36"/>
        <v>0</v>
      </c>
      <c r="Y123" s="69">
        <f t="shared" si="36"/>
        <v>0</v>
      </c>
      <c r="Z123" s="69">
        <f t="shared" si="36"/>
        <v>0</v>
      </c>
      <c r="AA123" s="69">
        <f t="shared" si="36"/>
        <v>0</v>
      </c>
      <c r="AB123" s="69">
        <f t="shared" si="36"/>
        <v>0</v>
      </c>
      <c r="AC123" s="69">
        <f t="shared" si="36"/>
        <v>0</v>
      </c>
      <c r="AD123" s="69">
        <f t="shared" si="36"/>
        <v>0</v>
      </c>
      <c r="AE123" s="69">
        <f t="shared" si="36"/>
        <v>0</v>
      </c>
      <c r="AF123" s="69">
        <f t="shared" si="36"/>
        <v>0</v>
      </c>
      <c r="AG123" s="103"/>
      <c r="AH123" s="46">
        <f t="shared" si="21"/>
        <v>0</v>
      </c>
      <c r="AI123" s="47">
        <f t="shared" si="22"/>
        <v>0</v>
      </c>
      <c r="AJ123" s="104">
        <f t="array" ref="AJ123">MIN(IF(B123:AF123&lt;&gt;0,B123:AF123))</f>
        <v>0</v>
      </c>
    </row>
    <row r="124" spans="1:64" ht="15.75" thickBot="1" x14ac:dyDescent="0.3">
      <c r="A124" s="86" t="s">
        <v>146</v>
      </c>
      <c r="B124" s="69">
        <f t="shared" ref="B124:AF124" si="37">B108-B123</f>
        <v>0</v>
      </c>
      <c r="C124" s="69">
        <f t="shared" si="37"/>
        <v>0</v>
      </c>
      <c r="D124" s="69">
        <f t="shared" si="37"/>
        <v>0</v>
      </c>
      <c r="E124" s="69">
        <f t="shared" si="37"/>
        <v>0</v>
      </c>
      <c r="F124" s="69">
        <f t="shared" si="37"/>
        <v>0</v>
      </c>
      <c r="G124" s="69">
        <f t="shared" si="37"/>
        <v>0</v>
      </c>
      <c r="H124" s="69">
        <f t="shared" si="37"/>
        <v>0</v>
      </c>
      <c r="I124" s="69">
        <f t="shared" si="37"/>
        <v>0</v>
      </c>
      <c r="J124" s="69">
        <f t="shared" si="37"/>
        <v>0</v>
      </c>
      <c r="K124" s="69">
        <f t="shared" si="37"/>
        <v>0</v>
      </c>
      <c r="L124" s="69">
        <f t="shared" si="37"/>
        <v>0</v>
      </c>
      <c r="M124" s="69">
        <f t="shared" si="37"/>
        <v>0</v>
      </c>
      <c r="N124" s="69">
        <f t="shared" si="37"/>
        <v>0</v>
      </c>
      <c r="O124" s="69">
        <f t="shared" si="37"/>
        <v>0</v>
      </c>
      <c r="P124" s="69">
        <f t="shared" si="37"/>
        <v>0</v>
      </c>
      <c r="Q124" s="69">
        <f t="shared" si="37"/>
        <v>0</v>
      </c>
      <c r="R124" s="69">
        <f t="shared" si="37"/>
        <v>0</v>
      </c>
      <c r="S124" s="69">
        <f t="shared" si="37"/>
        <v>0</v>
      </c>
      <c r="T124" s="69">
        <f t="shared" si="37"/>
        <v>0</v>
      </c>
      <c r="U124" s="69">
        <f t="shared" si="37"/>
        <v>0</v>
      </c>
      <c r="V124" s="69">
        <f t="shared" si="37"/>
        <v>0</v>
      </c>
      <c r="W124" s="69">
        <f t="shared" si="37"/>
        <v>0</v>
      </c>
      <c r="X124" s="69">
        <f t="shared" si="37"/>
        <v>0</v>
      </c>
      <c r="Y124" s="69">
        <f t="shared" si="37"/>
        <v>0</v>
      </c>
      <c r="Z124" s="69">
        <f t="shared" si="37"/>
        <v>0</v>
      </c>
      <c r="AA124" s="69">
        <f t="shared" si="37"/>
        <v>0</v>
      </c>
      <c r="AB124" s="69">
        <f t="shared" si="37"/>
        <v>0</v>
      </c>
      <c r="AC124" s="69">
        <f t="shared" si="37"/>
        <v>0</v>
      </c>
      <c r="AD124" s="69">
        <f t="shared" si="37"/>
        <v>0</v>
      </c>
      <c r="AE124" s="69">
        <f t="shared" si="37"/>
        <v>0</v>
      </c>
      <c r="AF124" s="69">
        <f t="shared" si="37"/>
        <v>0</v>
      </c>
      <c r="AG124" s="103"/>
      <c r="AH124" s="46">
        <f t="shared" si="21"/>
        <v>0</v>
      </c>
      <c r="AI124" s="47">
        <f t="shared" si="22"/>
        <v>0</v>
      </c>
    </row>
    <row r="125" spans="1:64" ht="15.75" thickBot="1" x14ac:dyDescent="0.3">
      <c r="A125" s="112" t="s">
        <v>147</v>
      </c>
      <c r="B125" s="113"/>
      <c r="C125" s="113"/>
      <c r="D125" s="113"/>
      <c r="E125" s="113"/>
      <c r="F125" s="113"/>
      <c r="G125" s="113"/>
      <c r="H125" s="113"/>
      <c r="I125" s="113"/>
      <c r="J125" s="113"/>
      <c r="K125" s="113"/>
      <c r="L125" s="113"/>
      <c r="M125" s="113"/>
      <c r="N125" s="113"/>
      <c r="O125" s="113"/>
      <c r="P125" s="113"/>
      <c r="Q125" s="113"/>
      <c r="R125" s="113"/>
      <c r="S125" s="113"/>
      <c r="T125" s="113"/>
      <c r="U125" s="113"/>
      <c r="V125" s="113"/>
      <c r="W125" s="113"/>
      <c r="X125" s="113"/>
      <c r="Y125" s="113"/>
      <c r="Z125" s="113"/>
      <c r="AA125" s="113"/>
      <c r="AB125" s="113"/>
      <c r="AC125" s="113"/>
      <c r="AD125" s="113"/>
      <c r="AE125" s="113"/>
      <c r="AF125" s="113"/>
      <c r="AG125" s="114"/>
      <c r="AH125" s="46">
        <f t="shared" si="21"/>
        <v>0</v>
      </c>
      <c r="AI125" s="47">
        <f t="shared" si="22"/>
        <v>0</v>
      </c>
    </row>
    <row r="126" spans="1:64" x14ac:dyDescent="0.25">
      <c r="A126" s="115" t="s">
        <v>148</v>
      </c>
      <c r="B126" s="116"/>
      <c r="C126" s="116"/>
      <c r="D126" s="116"/>
      <c r="E126" s="116"/>
      <c r="F126" s="116"/>
      <c r="G126" s="116"/>
      <c r="H126" s="116"/>
      <c r="I126" s="116"/>
      <c r="J126" s="116"/>
      <c r="K126" s="116"/>
      <c r="L126" s="116"/>
      <c r="M126" s="116"/>
      <c r="N126" s="116"/>
      <c r="O126" s="116"/>
      <c r="P126" s="116"/>
      <c r="Q126" s="116"/>
      <c r="R126" s="116"/>
      <c r="S126" s="116"/>
      <c r="T126" s="116"/>
      <c r="U126" s="116"/>
      <c r="V126" s="116"/>
      <c r="W126" s="116"/>
      <c r="X126" s="116"/>
      <c r="Y126" s="116"/>
      <c r="Z126" s="116"/>
      <c r="AA126" s="116"/>
      <c r="AB126" s="116"/>
      <c r="AC126" s="116"/>
      <c r="AD126" s="116"/>
      <c r="AE126" s="116"/>
      <c r="AF126" s="116"/>
      <c r="AG126" s="117"/>
      <c r="AH126" s="46">
        <f t="shared" si="21"/>
        <v>0</v>
      </c>
      <c r="AI126" s="47">
        <f t="shared" si="22"/>
        <v>0</v>
      </c>
    </row>
    <row r="127" spans="1:64" x14ac:dyDescent="0.25">
      <c r="A127" s="118" t="s">
        <v>149</v>
      </c>
      <c r="B127" s="43"/>
      <c r="C127" s="43"/>
      <c r="D127" s="43"/>
      <c r="E127" s="43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/>
      <c r="Z127" s="43"/>
      <c r="AA127" s="43"/>
      <c r="AB127" s="43"/>
      <c r="AC127" s="43"/>
      <c r="AD127" s="43"/>
      <c r="AE127" s="43"/>
      <c r="AF127" s="43"/>
      <c r="AG127" s="119"/>
      <c r="AH127" s="46">
        <f t="shared" si="21"/>
        <v>0</v>
      </c>
      <c r="AI127" s="47">
        <f t="shared" si="22"/>
        <v>0</v>
      </c>
    </row>
    <row r="128" spans="1:64" x14ac:dyDescent="0.25">
      <c r="A128" s="118" t="s">
        <v>150</v>
      </c>
      <c r="B128" s="43"/>
      <c r="C128" s="43"/>
      <c r="D128" s="43"/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  <c r="Z128" s="43"/>
      <c r="AA128" s="43"/>
      <c r="AB128" s="43"/>
      <c r="AC128" s="43"/>
      <c r="AD128" s="43"/>
      <c r="AE128" s="43"/>
      <c r="AF128" s="43"/>
      <c r="AG128" s="119"/>
      <c r="AH128" s="46">
        <f t="shared" si="21"/>
        <v>0</v>
      </c>
      <c r="AI128" s="47">
        <f t="shared" si="22"/>
        <v>0</v>
      </c>
    </row>
    <row r="129" spans="1:41" x14ac:dyDescent="0.25">
      <c r="A129" s="118" t="s">
        <v>151</v>
      </c>
      <c r="B129" s="43"/>
      <c r="C129" s="43"/>
      <c r="D129" s="43"/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  <c r="AA129" s="43"/>
      <c r="AB129" s="43"/>
      <c r="AC129" s="43"/>
      <c r="AD129" s="43"/>
      <c r="AE129" s="43"/>
      <c r="AF129" s="43"/>
      <c r="AG129" s="119"/>
      <c r="AH129" s="46">
        <f t="shared" si="21"/>
        <v>0</v>
      </c>
      <c r="AI129" s="47">
        <f t="shared" si="22"/>
        <v>0</v>
      </c>
    </row>
    <row r="130" spans="1:41" x14ac:dyDescent="0.25">
      <c r="A130" s="118" t="s">
        <v>152</v>
      </c>
      <c r="B130" s="43"/>
      <c r="C130" s="43"/>
      <c r="D130" s="43"/>
      <c r="E130" s="43"/>
      <c r="F130" s="43"/>
      <c r="G130" s="43"/>
      <c r="H130" s="43"/>
      <c r="I130" s="43"/>
      <c r="J130" s="43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  <c r="Y130" s="43"/>
      <c r="Z130" s="43"/>
      <c r="AA130" s="43"/>
      <c r="AB130" s="43"/>
      <c r="AC130" s="43"/>
      <c r="AD130" s="43"/>
      <c r="AE130" s="43"/>
      <c r="AF130" s="43"/>
      <c r="AG130" s="119"/>
      <c r="AH130" s="46">
        <f t="shared" si="21"/>
        <v>0</v>
      </c>
      <c r="AI130" s="47">
        <f t="shared" si="22"/>
        <v>0</v>
      </c>
    </row>
    <row r="131" spans="1:41" x14ac:dyDescent="0.25">
      <c r="A131" s="120" t="s">
        <v>153</v>
      </c>
      <c r="B131" s="121"/>
      <c r="C131" s="121"/>
      <c r="D131" s="121"/>
      <c r="E131" s="121"/>
      <c r="F131" s="121"/>
      <c r="G131" s="121"/>
      <c r="H131" s="121"/>
      <c r="I131" s="121"/>
      <c r="J131" s="121"/>
      <c r="K131" s="121"/>
      <c r="L131" s="121"/>
      <c r="M131" s="121"/>
      <c r="N131" s="121"/>
      <c r="O131" s="121"/>
      <c r="P131" s="121"/>
      <c r="Q131" s="121"/>
      <c r="R131" s="121"/>
      <c r="S131" s="121"/>
      <c r="T131" s="121"/>
      <c r="U131" s="121"/>
      <c r="V131" s="121"/>
      <c r="W131" s="121"/>
      <c r="X131" s="121"/>
      <c r="Y131" s="121"/>
      <c r="Z131" s="121"/>
      <c r="AA131" s="121"/>
      <c r="AB131" s="121"/>
      <c r="AC131" s="121"/>
      <c r="AD131" s="121"/>
      <c r="AE131" s="121"/>
      <c r="AF131" s="121"/>
      <c r="AG131" s="122"/>
      <c r="AH131" s="46">
        <f t="shared" si="21"/>
        <v>0</v>
      </c>
      <c r="AI131" s="47">
        <f t="shared" si="22"/>
        <v>0</v>
      </c>
    </row>
    <row r="132" spans="1:41" x14ac:dyDescent="0.25">
      <c r="A132" s="118" t="s">
        <v>154</v>
      </c>
      <c r="B132" s="43"/>
      <c r="C132" s="43"/>
      <c r="D132" s="43"/>
      <c r="E132" s="43"/>
      <c r="F132" s="43"/>
      <c r="G132" s="43"/>
      <c r="H132" s="43"/>
      <c r="I132" s="43"/>
      <c r="J132" s="43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  <c r="Y132" s="43"/>
      <c r="Z132" s="43"/>
      <c r="AA132" s="43"/>
      <c r="AB132" s="43"/>
      <c r="AC132" s="43"/>
      <c r="AD132" s="43"/>
      <c r="AE132" s="43"/>
      <c r="AF132" s="43"/>
      <c r="AG132" s="119"/>
      <c r="AH132" s="46">
        <f t="shared" si="21"/>
        <v>0</v>
      </c>
      <c r="AI132" s="47">
        <f t="shared" si="22"/>
        <v>0</v>
      </c>
    </row>
    <row r="133" spans="1:41" ht="15.75" thickBot="1" x14ac:dyDescent="0.3">
      <c r="A133" s="118" t="s">
        <v>155</v>
      </c>
      <c r="B133" s="100"/>
      <c r="C133" s="100"/>
      <c r="D133" s="100"/>
      <c r="E133" s="100"/>
      <c r="F133" s="100"/>
      <c r="G133" s="100"/>
      <c r="H133" s="100"/>
      <c r="I133" s="100"/>
      <c r="J133" s="100"/>
      <c r="K133" s="100"/>
      <c r="L133" s="100"/>
      <c r="M133" s="100"/>
      <c r="N133" s="100"/>
      <c r="O133" s="100"/>
      <c r="P133" s="100"/>
      <c r="Q133" s="100"/>
      <c r="R133" s="100"/>
      <c r="S133" s="100"/>
      <c r="T133" s="100"/>
      <c r="U133" s="100"/>
      <c r="V133" s="100"/>
      <c r="W133" s="100"/>
      <c r="X133" s="100"/>
      <c r="Y133" s="100"/>
      <c r="Z133" s="100"/>
      <c r="AA133" s="100"/>
      <c r="AB133" s="100"/>
      <c r="AC133" s="100"/>
      <c r="AD133" s="100"/>
      <c r="AE133" s="100"/>
      <c r="AF133" s="100"/>
      <c r="AG133" s="123"/>
      <c r="AH133" s="46">
        <f t="shared" si="21"/>
        <v>0</v>
      </c>
      <c r="AI133" s="47">
        <f t="shared" si="22"/>
        <v>0</v>
      </c>
    </row>
    <row r="134" spans="1:41" ht="15.75" thickBot="1" x14ac:dyDescent="0.3">
      <c r="A134" s="124"/>
      <c r="B134" s="100"/>
      <c r="C134" s="100"/>
      <c r="D134" s="100"/>
      <c r="E134" s="100"/>
      <c r="F134" s="100"/>
      <c r="G134" s="100"/>
      <c r="H134" s="100"/>
      <c r="I134" s="100"/>
      <c r="J134" s="100"/>
      <c r="K134" s="100"/>
      <c r="L134" s="100"/>
      <c r="M134" s="100"/>
      <c r="N134" s="100"/>
      <c r="O134" s="100"/>
      <c r="P134" s="100"/>
      <c r="Q134" s="100"/>
      <c r="R134" s="100"/>
      <c r="S134" s="100"/>
      <c r="T134" s="100"/>
      <c r="U134" s="100"/>
      <c r="V134" s="100"/>
      <c r="W134" s="100"/>
      <c r="X134" s="100" t="s">
        <v>327</v>
      </c>
      <c r="Y134" s="100"/>
      <c r="Z134" s="100"/>
      <c r="AA134" s="100"/>
      <c r="AB134" s="100"/>
      <c r="AC134" s="100"/>
      <c r="AD134" s="100"/>
      <c r="AE134" s="100"/>
      <c r="AF134" s="100"/>
      <c r="AG134" s="123"/>
      <c r="AH134" s="46">
        <f t="shared" si="21"/>
        <v>0</v>
      </c>
      <c r="AI134" s="47">
        <f t="shared" si="22"/>
        <v>0</v>
      </c>
      <c r="AL134" s="125" t="s">
        <v>156</v>
      </c>
      <c r="AM134" s="126" t="s">
        <v>157</v>
      </c>
      <c r="AN134" s="127">
        <v>0.8</v>
      </c>
      <c r="AO134" s="128" t="s">
        <v>158</v>
      </c>
    </row>
    <row r="135" spans="1:41" ht="15.75" thickBot="1" x14ac:dyDescent="0.3">
      <c r="A135" s="129" t="s">
        <v>159</v>
      </c>
      <c r="B135" s="113">
        <v>124.14</v>
      </c>
      <c r="C135" s="113">
        <f t="shared" ref="C135:O135" si="38">SUM(C26,C32,C45:C46,C82,C84:C85,C87,C89,C137:C142,C178,C184,C190,C199,C201,C213,C220,C223:C224,C231,C233,C235,C239:C241,C243:C245,C250,C256:C257,C259:C261,C162,C167)</f>
        <v>0.94</v>
      </c>
      <c r="D135" s="113">
        <f t="shared" si="38"/>
        <v>0.94</v>
      </c>
      <c r="E135" s="113">
        <f t="shared" si="38"/>
        <v>0.94</v>
      </c>
      <c r="F135" s="113">
        <f t="shared" si="38"/>
        <v>0.94</v>
      </c>
      <c r="G135" s="113">
        <f t="shared" si="38"/>
        <v>0.94</v>
      </c>
      <c r="H135" s="113">
        <f t="shared" si="38"/>
        <v>0.94</v>
      </c>
      <c r="I135" s="113">
        <f t="shared" si="38"/>
        <v>0.94</v>
      </c>
      <c r="J135" s="113">
        <f t="shared" si="38"/>
        <v>0.94</v>
      </c>
      <c r="K135" s="113">
        <f t="shared" si="38"/>
        <v>0.94</v>
      </c>
      <c r="L135" s="113">
        <f t="shared" si="38"/>
        <v>0.94</v>
      </c>
      <c r="M135" s="113">
        <f t="shared" si="38"/>
        <v>0.94</v>
      </c>
      <c r="N135" s="113">
        <f t="shared" si="38"/>
        <v>0.94</v>
      </c>
      <c r="O135" s="113">
        <f t="shared" si="38"/>
        <v>0.94</v>
      </c>
      <c r="P135" s="113">
        <v>42</v>
      </c>
      <c r="Q135" s="113">
        <f t="shared" ref="Q135:X135" si="39">SUM(Q26,Q32,Q45:Q46,Q82,Q84:Q85,Q87,Q89,Q137:Q142,Q178,Q184,Q190,Q199,Q201,Q213,Q220,Q223:Q224,Q231,Q233,Q235,Q239:Q241,Q243:Q245,Q250,Q256:Q257,Q259:Q261,Q162,Q167)</f>
        <v>0.94</v>
      </c>
      <c r="R135" s="113">
        <f t="shared" si="39"/>
        <v>0.94</v>
      </c>
      <c r="S135" s="113">
        <f t="shared" si="39"/>
        <v>0.94</v>
      </c>
      <c r="T135" s="113">
        <f t="shared" si="39"/>
        <v>0.94</v>
      </c>
      <c r="U135" s="113">
        <f t="shared" si="39"/>
        <v>0.94</v>
      </c>
      <c r="V135" s="113">
        <f t="shared" si="39"/>
        <v>0.94</v>
      </c>
      <c r="W135" s="113">
        <f t="shared" si="39"/>
        <v>0.94</v>
      </c>
      <c r="X135" s="113">
        <f t="shared" si="39"/>
        <v>0.94</v>
      </c>
      <c r="Y135" s="113">
        <f>SUM(Y23,Y30,Y51:Y52,Y82,Y84:Y85,Y87,Y89,Y137:Y142,Y171,Y177,Y183,Y192,Y194,Y206,Y213,Y216:Y217,Y224,Y226,Y228,Y232:Y234,Y236:Y238,Y243,Y249:Y250,Y252:Y254,Y262,Y267)</f>
        <v>0</v>
      </c>
      <c r="Z135" s="113">
        <f>SUM(Z23,Z30,Z51:Z52,Z82,Z84:Z85,Z87,Z89,Z137:Z142,Z171,Z177,Z183,Z192,Z194,Z206,Z213,Z216:Z217,Z224,Z226,Z228,Z232:Z234,Z236:Z238,Z243,Z249:Z250,Z252:Z254,Z262,Z267)</f>
        <v>0</v>
      </c>
      <c r="AA135" s="113">
        <f t="shared" ref="AA135:AF135" si="40">SUM(AA26,AA32,AA45:AA46,AA82,AA84:AA85,AA87,AA89,AA137:AA142,AA178,AA184,AA190,AA199,AA201,AA213,AA220,AA223:AA224,AA231,AA233,AA235,AA239:AA241,AA243:AA245,AA250,AA256:AA257,AA259:AA261,AA162,AA167)</f>
        <v>0.94</v>
      </c>
      <c r="AB135" s="113">
        <f t="shared" si="40"/>
        <v>0.94</v>
      </c>
      <c r="AC135" s="113">
        <f t="shared" si="40"/>
        <v>0.94</v>
      </c>
      <c r="AD135" s="113">
        <f t="shared" si="40"/>
        <v>0.94</v>
      </c>
      <c r="AE135" s="113">
        <f t="shared" si="40"/>
        <v>0.94</v>
      </c>
      <c r="AF135" s="113">
        <f t="shared" si="40"/>
        <v>0.94</v>
      </c>
      <c r="AG135" s="130"/>
      <c r="AH135" s="46">
        <f t="shared" si="21"/>
        <v>124.14</v>
      </c>
      <c r="AI135" s="47">
        <f t="shared" si="22"/>
        <v>0</v>
      </c>
      <c r="AL135" s="131" t="s">
        <v>160</v>
      </c>
      <c r="AM135" s="132">
        <v>22.5</v>
      </c>
      <c r="AN135" s="133">
        <f>AM135*AN$134</f>
        <v>18</v>
      </c>
      <c r="AO135" s="134">
        <f>AM135-AN135</f>
        <v>4.5</v>
      </c>
    </row>
    <row r="136" spans="1:41" ht="15.75" thickBot="1" x14ac:dyDescent="0.3">
      <c r="A136" s="135" t="s">
        <v>161</v>
      </c>
      <c r="B136" s="136"/>
      <c r="C136" s="136"/>
      <c r="D136" s="137"/>
      <c r="E136" s="137"/>
      <c r="F136" s="137"/>
      <c r="G136" s="137"/>
      <c r="H136" s="137"/>
      <c r="I136" s="137"/>
      <c r="J136" s="137"/>
      <c r="K136" s="137"/>
      <c r="L136" s="137"/>
      <c r="M136" s="137"/>
      <c r="N136" s="137"/>
      <c r="O136" s="137"/>
      <c r="P136" s="137"/>
      <c r="Q136" s="137"/>
      <c r="R136" s="137"/>
      <c r="S136" s="137"/>
      <c r="T136" s="137"/>
      <c r="U136" s="137"/>
      <c r="V136" s="137"/>
      <c r="W136" s="137"/>
      <c r="X136" s="137"/>
      <c r="Y136" s="137"/>
      <c r="Z136" s="137"/>
      <c r="AA136" s="137"/>
      <c r="AB136" s="137"/>
      <c r="AC136" s="137"/>
      <c r="AD136" s="137"/>
      <c r="AE136" s="137"/>
      <c r="AF136" s="137"/>
      <c r="AG136" s="130"/>
      <c r="AH136" s="46">
        <f t="shared" si="21"/>
        <v>0</v>
      </c>
      <c r="AI136" s="47">
        <f t="shared" si="22"/>
        <v>0</v>
      </c>
      <c r="AL136" s="138" t="s">
        <v>162</v>
      </c>
      <c r="AM136" s="139">
        <v>21.3</v>
      </c>
      <c r="AN136" s="140">
        <f>AM136*AN$134</f>
        <v>17.040000000000003</v>
      </c>
      <c r="AO136" s="141">
        <f>AM136-AN136</f>
        <v>4.259999999999998</v>
      </c>
    </row>
    <row r="137" spans="1:41" x14ac:dyDescent="0.25">
      <c r="A137" s="142" t="s">
        <v>163</v>
      </c>
      <c r="B137" s="143"/>
      <c r="C137" s="143"/>
      <c r="D137" s="144"/>
      <c r="E137" s="144"/>
      <c r="F137" s="144"/>
      <c r="G137" s="144"/>
      <c r="H137" s="144"/>
      <c r="I137" s="144"/>
      <c r="J137" s="144"/>
      <c r="K137" s="144"/>
      <c r="L137" s="144"/>
      <c r="M137" s="144"/>
      <c r="N137" s="144"/>
      <c r="O137" s="144"/>
      <c r="P137" s="144"/>
      <c r="Q137" s="144"/>
      <c r="R137" s="144"/>
      <c r="S137" s="144"/>
      <c r="T137" s="144"/>
      <c r="U137" s="144"/>
      <c r="V137" s="144"/>
      <c r="W137" s="144"/>
      <c r="X137" s="144"/>
      <c r="Y137" s="144"/>
      <c r="Z137" s="144"/>
      <c r="AA137" s="144"/>
      <c r="AB137" s="144"/>
      <c r="AC137" s="144"/>
      <c r="AD137" s="144"/>
      <c r="AE137" s="144"/>
      <c r="AF137" s="144"/>
      <c r="AG137" s="145">
        <v>75</v>
      </c>
      <c r="AH137" s="46">
        <f t="shared" si="21"/>
        <v>0</v>
      </c>
      <c r="AI137" s="47">
        <f t="shared" si="22"/>
        <v>0</v>
      </c>
      <c r="AL137" s="138" t="s">
        <v>164</v>
      </c>
      <c r="AM137" s="139">
        <v>35.5</v>
      </c>
      <c r="AN137" s="140">
        <f>AM137*AN$134</f>
        <v>28.400000000000002</v>
      </c>
      <c r="AO137" s="141">
        <f>AM137-AN137</f>
        <v>7.0999999999999979</v>
      </c>
    </row>
    <row r="138" spans="1:41" x14ac:dyDescent="0.25">
      <c r="A138" s="146" t="s">
        <v>165</v>
      </c>
      <c r="B138" s="143"/>
      <c r="C138" s="143"/>
      <c r="D138" s="147"/>
      <c r="E138" s="147"/>
      <c r="F138" s="147"/>
      <c r="G138" s="147"/>
      <c r="H138" s="147"/>
      <c r="I138" s="147"/>
      <c r="J138" s="147"/>
      <c r="K138" s="147"/>
      <c r="L138" s="147"/>
      <c r="M138" s="147"/>
      <c r="N138" s="147"/>
      <c r="O138" s="147"/>
      <c r="P138" s="147"/>
      <c r="Q138" s="147"/>
      <c r="R138" s="147"/>
      <c r="S138" s="147"/>
      <c r="T138" s="147"/>
      <c r="U138" s="147"/>
      <c r="V138" s="147"/>
      <c r="W138" s="147"/>
      <c r="X138" s="147"/>
      <c r="Y138" s="147"/>
      <c r="Z138" s="147"/>
      <c r="AA138" s="147"/>
      <c r="AB138" s="147"/>
      <c r="AC138" s="147"/>
      <c r="AD138" s="147"/>
      <c r="AE138" s="147"/>
      <c r="AF138" s="147"/>
      <c r="AG138" s="145">
        <v>240</v>
      </c>
      <c r="AH138" s="46">
        <f t="shared" si="21"/>
        <v>0</v>
      </c>
      <c r="AI138" s="47">
        <f t="shared" si="22"/>
        <v>0</v>
      </c>
      <c r="AL138" s="138" t="s">
        <v>166</v>
      </c>
      <c r="AM138" s="139">
        <v>48.5</v>
      </c>
      <c r="AN138" s="140">
        <f>AM138*AN$134</f>
        <v>38.800000000000004</v>
      </c>
      <c r="AO138" s="141">
        <f>AM138-AN138</f>
        <v>9.6999999999999957</v>
      </c>
    </row>
    <row r="139" spans="1:41" ht="15.75" thickBot="1" x14ac:dyDescent="0.3">
      <c r="A139" s="146" t="s">
        <v>167</v>
      </c>
      <c r="B139" s="143"/>
      <c r="C139" s="143"/>
      <c r="D139" s="147"/>
      <c r="E139" s="147"/>
      <c r="F139" s="147"/>
      <c r="G139" s="147"/>
      <c r="H139" s="147"/>
      <c r="I139" s="147"/>
      <c r="J139" s="147"/>
      <c r="K139" s="147"/>
      <c r="L139" s="147"/>
      <c r="M139" s="147"/>
      <c r="N139" s="147"/>
      <c r="O139" s="147"/>
      <c r="P139" s="147"/>
      <c r="Q139" s="147"/>
      <c r="R139" s="147"/>
      <c r="S139" s="147"/>
      <c r="T139" s="147"/>
      <c r="U139" s="147"/>
      <c r="V139" s="147"/>
      <c r="W139" s="147"/>
      <c r="X139" s="147"/>
      <c r="Y139" s="147"/>
      <c r="Z139" s="147"/>
      <c r="AA139" s="147"/>
      <c r="AB139" s="147"/>
      <c r="AC139" s="147"/>
      <c r="AD139" s="147"/>
      <c r="AE139" s="147"/>
      <c r="AF139" s="147"/>
      <c r="AG139" s="145">
        <v>240</v>
      </c>
      <c r="AH139" s="46">
        <f>MAX(B139:AF139)</f>
        <v>0</v>
      </c>
      <c r="AI139" s="47">
        <f>MIN(B139:AF139)</f>
        <v>0</v>
      </c>
      <c r="AL139" s="148" t="s">
        <v>168</v>
      </c>
      <c r="AM139" s="149">
        <f>SUM(AM135:AM138)</f>
        <v>127.8</v>
      </c>
      <c r="AN139" s="149">
        <f>SUM(AN134:AN138)</f>
        <v>103.04000000000002</v>
      </c>
      <c r="AO139" s="150">
        <f>AM139-AN139</f>
        <v>24.759999999999977</v>
      </c>
    </row>
    <row r="140" spans="1:41" x14ac:dyDescent="0.25">
      <c r="A140" s="146" t="s">
        <v>169</v>
      </c>
      <c r="B140" s="143"/>
      <c r="C140" s="143"/>
      <c r="D140" s="151"/>
      <c r="E140" s="151"/>
      <c r="F140" s="151"/>
      <c r="G140" s="151"/>
      <c r="H140" s="151"/>
      <c r="I140" s="151"/>
      <c r="J140" s="151"/>
      <c r="K140" s="151"/>
      <c r="L140" s="151"/>
      <c r="M140" s="151"/>
      <c r="N140" s="151"/>
      <c r="O140" s="151"/>
      <c r="P140" s="151"/>
      <c r="Q140" s="151"/>
      <c r="R140" s="151"/>
      <c r="S140" s="151"/>
      <c r="T140" s="151"/>
      <c r="U140" s="151"/>
      <c r="V140" s="151"/>
      <c r="W140" s="151"/>
      <c r="X140" s="151"/>
      <c r="Y140" s="151"/>
      <c r="Z140" s="151"/>
      <c r="AA140" s="151"/>
      <c r="AB140" s="151"/>
      <c r="AC140" s="151"/>
      <c r="AD140" s="151"/>
      <c r="AE140" s="151"/>
      <c r="AF140" s="151"/>
      <c r="AG140" s="145"/>
      <c r="AH140" s="46">
        <f>MAX(B140:AF140)</f>
        <v>0</v>
      </c>
      <c r="AI140" s="47">
        <f>MIN(B140:AF140)</f>
        <v>0</v>
      </c>
      <c r="AL140" s="152"/>
      <c r="AM140" s="153"/>
      <c r="AN140" s="153"/>
      <c r="AO140" s="153"/>
    </row>
    <row r="141" spans="1:41" ht="15.75" thickBot="1" x14ac:dyDescent="0.3">
      <c r="A141" s="146" t="s">
        <v>170</v>
      </c>
      <c r="B141" s="143"/>
      <c r="C141" s="143"/>
      <c r="D141" s="147"/>
      <c r="E141" s="147"/>
      <c r="F141" s="147"/>
      <c r="G141" s="147"/>
      <c r="H141" s="147"/>
      <c r="I141" s="147"/>
      <c r="J141" s="147"/>
      <c r="K141" s="147"/>
      <c r="L141" s="147"/>
      <c r="M141" s="147"/>
      <c r="N141" s="147"/>
      <c r="O141" s="147"/>
      <c r="P141" s="147"/>
      <c r="Q141" s="147"/>
      <c r="R141" s="147"/>
      <c r="S141" s="147"/>
      <c r="T141" s="147"/>
      <c r="U141" s="147"/>
      <c r="V141" s="147"/>
      <c r="W141" s="147"/>
      <c r="X141" s="147"/>
      <c r="Y141" s="147"/>
      <c r="Z141" s="147"/>
      <c r="AA141" s="147"/>
      <c r="AB141" s="147"/>
      <c r="AC141" s="147"/>
      <c r="AD141" s="147"/>
      <c r="AE141" s="147"/>
      <c r="AF141" s="147"/>
      <c r="AG141" s="145">
        <v>60</v>
      </c>
      <c r="AH141" s="46">
        <f>MAX(B141:AF141)</f>
        <v>0</v>
      </c>
      <c r="AI141" s="47">
        <f>MIN(B141:AF141)</f>
        <v>0</v>
      </c>
      <c r="AL141" s="154"/>
      <c r="AM141" s="155"/>
      <c r="AN141" s="155"/>
      <c r="AO141" s="155"/>
    </row>
    <row r="142" spans="1:41" ht="15.75" thickBot="1" x14ac:dyDescent="0.3">
      <c r="A142" s="146" t="s">
        <v>171</v>
      </c>
      <c r="B142" s="143"/>
      <c r="C142" s="143"/>
      <c r="D142" s="151"/>
      <c r="E142" s="151"/>
      <c r="F142" s="151"/>
      <c r="G142" s="151"/>
      <c r="H142" s="151"/>
      <c r="I142" s="151"/>
      <c r="J142" s="151"/>
      <c r="K142" s="151"/>
      <c r="L142" s="151"/>
      <c r="M142" s="151"/>
      <c r="N142" s="151"/>
      <c r="O142" s="151"/>
      <c r="P142" s="151"/>
      <c r="Q142" s="151"/>
      <c r="R142" s="151"/>
      <c r="S142" s="151"/>
      <c r="T142" s="151"/>
      <c r="U142" s="151"/>
      <c r="V142" s="151"/>
      <c r="W142" s="151"/>
      <c r="X142" s="151"/>
      <c r="Y142" s="151"/>
      <c r="Z142" s="151"/>
      <c r="AA142" s="151"/>
      <c r="AB142" s="151"/>
      <c r="AC142" s="151"/>
      <c r="AD142" s="151"/>
      <c r="AE142" s="151"/>
      <c r="AF142" s="151"/>
      <c r="AG142" s="156">
        <v>120</v>
      </c>
      <c r="AH142" s="46">
        <f>MAX(B142:AF142)</f>
        <v>0</v>
      </c>
      <c r="AI142" s="47">
        <f>MIN(B142:AF142)</f>
        <v>0</v>
      </c>
      <c r="AL142" s="125" t="s">
        <v>172</v>
      </c>
      <c r="AM142" s="126" t="s">
        <v>157</v>
      </c>
      <c r="AN142" s="127">
        <v>0.5</v>
      </c>
      <c r="AO142" s="128" t="s">
        <v>158</v>
      </c>
    </row>
    <row r="143" spans="1:41" x14ac:dyDescent="0.25">
      <c r="A143" s="146" t="s">
        <v>173</v>
      </c>
      <c r="B143" s="143"/>
      <c r="C143" s="143"/>
      <c r="D143" s="151"/>
      <c r="E143" s="151"/>
      <c r="F143" s="151"/>
      <c r="G143" s="151"/>
      <c r="H143" s="151"/>
      <c r="I143" s="151"/>
      <c r="J143" s="151"/>
      <c r="K143" s="151"/>
      <c r="L143" s="151"/>
      <c r="M143" s="151"/>
      <c r="N143" s="151"/>
      <c r="O143" s="151"/>
      <c r="P143" s="151"/>
      <c r="Q143" s="151"/>
      <c r="R143" s="151"/>
      <c r="S143" s="151"/>
      <c r="T143" s="151"/>
      <c r="U143" s="151"/>
      <c r="V143" s="151"/>
      <c r="W143" s="151"/>
      <c r="X143" s="151"/>
      <c r="Y143" s="151"/>
      <c r="Z143" s="151"/>
      <c r="AA143" s="151"/>
      <c r="AB143" s="151"/>
      <c r="AC143" s="151"/>
      <c r="AD143" s="151"/>
      <c r="AE143" s="151"/>
      <c r="AF143" s="151"/>
      <c r="AG143" s="156"/>
      <c r="AH143" s="46"/>
      <c r="AI143" s="47"/>
      <c r="AL143" s="131" t="s">
        <v>174</v>
      </c>
      <c r="AM143" s="132">
        <v>54</v>
      </c>
      <c r="AN143" s="133">
        <f>AM143*AN$142</f>
        <v>27</v>
      </c>
      <c r="AO143" s="134">
        <f>AM143-AN143</f>
        <v>27</v>
      </c>
    </row>
    <row r="144" spans="1:41" x14ac:dyDescent="0.25">
      <c r="A144" s="146" t="s">
        <v>175</v>
      </c>
      <c r="B144" s="143"/>
      <c r="C144" s="143"/>
      <c r="D144" s="151"/>
      <c r="E144" s="151"/>
      <c r="F144" s="151"/>
      <c r="G144" s="151"/>
      <c r="H144" s="151"/>
      <c r="I144" s="151"/>
      <c r="J144" s="151"/>
      <c r="K144" s="151"/>
      <c r="L144" s="151"/>
      <c r="M144" s="151"/>
      <c r="N144" s="151"/>
      <c r="O144" s="151"/>
      <c r="P144" s="151"/>
      <c r="Q144" s="151"/>
      <c r="R144" s="151"/>
      <c r="S144" s="151"/>
      <c r="T144" s="151"/>
      <c r="U144" s="151"/>
      <c r="V144" s="151"/>
      <c r="W144" s="151"/>
      <c r="X144" s="151"/>
      <c r="Y144" s="151"/>
      <c r="Z144" s="151"/>
      <c r="AA144" s="151"/>
      <c r="AB144" s="151"/>
      <c r="AC144" s="151"/>
      <c r="AD144" s="151"/>
      <c r="AE144" s="151"/>
      <c r="AF144" s="151"/>
      <c r="AG144" s="156"/>
      <c r="AH144" s="46"/>
      <c r="AI144" s="47"/>
      <c r="AL144" s="138" t="s">
        <v>176</v>
      </c>
      <c r="AM144" s="139">
        <v>25</v>
      </c>
      <c r="AN144" s="140">
        <f>AM144*AN$142</f>
        <v>12.5</v>
      </c>
      <c r="AO144" s="141">
        <f>AM144-AN144</f>
        <v>12.5</v>
      </c>
    </row>
    <row r="145" spans="1:41" x14ac:dyDescent="0.25">
      <c r="A145" s="146" t="s">
        <v>177</v>
      </c>
      <c r="B145" s="143"/>
      <c r="C145" s="143"/>
      <c r="D145" s="151"/>
      <c r="E145" s="151"/>
      <c r="F145" s="151"/>
      <c r="G145" s="151"/>
      <c r="H145" s="151"/>
      <c r="I145" s="151"/>
      <c r="J145" s="151"/>
      <c r="K145" s="151"/>
      <c r="L145" s="151"/>
      <c r="M145" s="151"/>
      <c r="N145" s="151"/>
      <c r="O145" s="151"/>
      <c r="P145" s="151"/>
      <c r="Q145" s="151"/>
      <c r="R145" s="151"/>
      <c r="S145" s="151"/>
      <c r="T145" s="151"/>
      <c r="U145" s="151"/>
      <c r="V145" s="151"/>
      <c r="W145" s="151"/>
      <c r="X145" s="151"/>
      <c r="Y145" s="151"/>
      <c r="Z145" s="151"/>
      <c r="AA145" s="151"/>
      <c r="AB145" s="151"/>
      <c r="AC145" s="151"/>
      <c r="AD145" s="151"/>
      <c r="AE145" s="151"/>
      <c r="AF145" s="151"/>
      <c r="AG145" s="156"/>
      <c r="AH145" s="46"/>
      <c r="AI145" s="47"/>
      <c r="AL145" s="138" t="s">
        <v>178</v>
      </c>
      <c r="AM145" s="139">
        <v>27</v>
      </c>
      <c r="AN145" s="140">
        <f>AM145*AN$142</f>
        <v>13.5</v>
      </c>
      <c r="AO145" s="141">
        <f>AM145-AN145</f>
        <v>13.5</v>
      </c>
    </row>
    <row r="146" spans="1:41" x14ac:dyDescent="0.25">
      <c r="A146" s="146" t="s">
        <v>179</v>
      </c>
      <c r="B146" s="143"/>
      <c r="C146" s="143"/>
      <c r="D146" s="151"/>
      <c r="E146" s="151"/>
      <c r="F146" s="151"/>
      <c r="G146" s="151"/>
      <c r="H146" s="151"/>
      <c r="I146" s="151"/>
      <c r="J146" s="151"/>
      <c r="K146" s="151"/>
      <c r="L146" s="151"/>
      <c r="M146" s="151"/>
      <c r="N146" s="151"/>
      <c r="O146" s="151"/>
      <c r="P146" s="151"/>
      <c r="Q146" s="151"/>
      <c r="R146" s="151"/>
      <c r="S146" s="151"/>
      <c r="T146" s="151"/>
      <c r="U146" s="151"/>
      <c r="V146" s="151"/>
      <c r="W146" s="151"/>
      <c r="X146" s="151"/>
      <c r="Y146" s="151"/>
      <c r="Z146" s="151"/>
      <c r="AA146" s="151"/>
      <c r="AB146" s="151"/>
      <c r="AC146" s="151"/>
      <c r="AD146" s="151"/>
      <c r="AE146" s="151"/>
      <c r="AF146" s="151"/>
      <c r="AG146" s="156"/>
      <c r="AH146" s="46">
        <f t="shared" ref="AH146:AH158" si="41">MAX(B146:AF146)</f>
        <v>0</v>
      </c>
      <c r="AI146" s="47">
        <f t="shared" ref="AI146:AI158" si="42">MIN(B146:AF146)</f>
        <v>0</v>
      </c>
      <c r="AL146" s="138" t="s">
        <v>180</v>
      </c>
      <c r="AM146" s="139">
        <v>12</v>
      </c>
      <c r="AN146" s="140">
        <f>AM146*AN$142</f>
        <v>6</v>
      </c>
      <c r="AO146" s="141">
        <f>AM146-AN146</f>
        <v>6</v>
      </c>
    </row>
    <row r="147" spans="1:41" ht="15.75" thickBot="1" x14ac:dyDescent="0.3">
      <c r="A147" s="146" t="s">
        <v>181</v>
      </c>
      <c r="B147" s="143"/>
      <c r="C147" s="143"/>
      <c r="D147" s="151"/>
      <c r="E147" s="151"/>
      <c r="F147" s="151"/>
      <c r="G147" s="151"/>
      <c r="H147" s="151"/>
      <c r="I147" s="151"/>
      <c r="J147" s="151"/>
      <c r="K147" s="151"/>
      <c r="L147" s="151"/>
      <c r="M147" s="151"/>
      <c r="N147" s="151"/>
      <c r="O147" s="151"/>
      <c r="P147" s="151"/>
      <c r="Q147" s="151"/>
      <c r="R147" s="151"/>
      <c r="S147" s="151"/>
      <c r="T147" s="151"/>
      <c r="U147" s="151"/>
      <c r="V147" s="151"/>
      <c r="W147" s="151"/>
      <c r="X147" s="151"/>
      <c r="Y147" s="151"/>
      <c r="Z147" s="151"/>
      <c r="AA147" s="151"/>
      <c r="AB147" s="151"/>
      <c r="AC147" s="151"/>
      <c r="AD147" s="151"/>
      <c r="AE147" s="151"/>
      <c r="AF147" s="151"/>
      <c r="AG147" s="156"/>
      <c r="AH147" s="46">
        <f t="shared" si="41"/>
        <v>0</v>
      </c>
      <c r="AI147" s="47">
        <f t="shared" si="42"/>
        <v>0</v>
      </c>
      <c r="AL147" s="148" t="s">
        <v>168</v>
      </c>
      <c r="AM147" s="149">
        <f>SUM(AM142:AM146)</f>
        <v>118</v>
      </c>
      <c r="AN147" s="149">
        <f>SUM(AN142:AN146)</f>
        <v>59.5</v>
      </c>
      <c r="AO147" s="150">
        <f>AM147-AN147</f>
        <v>58.5</v>
      </c>
    </row>
    <row r="148" spans="1:41" x14ac:dyDescent="0.25">
      <c r="A148" s="146" t="s">
        <v>182</v>
      </c>
      <c r="B148" s="143"/>
      <c r="C148" s="143"/>
      <c r="D148" s="151"/>
      <c r="E148" s="151"/>
      <c r="F148" s="151"/>
      <c r="G148" s="151"/>
      <c r="H148" s="151"/>
      <c r="I148" s="151"/>
      <c r="J148" s="151"/>
      <c r="K148" s="151"/>
      <c r="L148" s="151"/>
      <c r="M148" s="151"/>
      <c r="N148" s="151"/>
      <c r="O148" s="151"/>
      <c r="P148" s="151"/>
      <c r="Q148" s="151"/>
      <c r="R148" s="151"/>
      <c r="S148" s="151"/>
      <c r="T148" s="151"/>
      <c r="U148" s="151"/>
      <c r="V148" s="151"/>
      <c r="W148" s="151"/>
      <c r="X148" s="151"/>
      <c r="Y148" s="151"/>
      <c r="Z148" s="151"/>
      <c r="AA148" s="151"/>
      <c r="AB148" s="151"/>
      <c r="AC148" s="151"/>
      <c r="AD148" s="151"/>
      <c r="AE148" s="151"/>
      <c r="AF148" s="151"/>
      <c r="AG148" s="145"/>
      <c r="AH148" s="46">
        <f t="shared" si="41"/>
        <v>0</v>
      </c>
      <c r="AI148" s="47">
        <f t="shared" si="42"/>
        <v>0</v>
      </c>
      <c r="AL148" s="157"/>
      <c r="AM148" s="158"/>
      <c r="AN148" s="159"/>
      <c r="AO148" s="158"/>
    </row>
    <row r="149" spans="1:41" ht="15.75" thickBot="1" x14ac:dyDescent="0.3">
      <c r="A149" s="146" t="s">
        <v>183</v>
      </c>
      <c r="B149" s="143"/>
      <c r="C149" s="143"/>
      <c r="D149" s="121"/>
      <c r="E149" s="121"/>
      <c r="F149" s="121"/>
      <c r="G149" s="121"/>
      <c r="H149" s="121"/>
      <c r="I149" s="121"/>
      <c r="J149" s="121"/>
      <c r="K149" s="121"/>
      <c r="L149" s="121"/>
      <c r="M149" s="121"/>
      <c r="N149" s="121"/>
      <c r="O149" s="121"/>
      <c r="P149" s="121"/>
      <c r="Q149" s="121"/>
      <c r="R149" s="121"/>
      <c r="S149" s="121"/>
      <c r="T149" s="121"/>
      <c r="U149" s="121"/>
      <c r="V149" s="121"/>
      <c r="W149" s="121"/>
      <c r="X149" s="121"/>
      <c r="Y149" s="121"/>
      <c r="Z149" s="121"/>
      <c r="AA149" s="121"/>
      <c r="AB149" s="121"/>
      <c r="AC149" s="121"/>
      <c r="AD149" s="121"/>
      <c r="AE149" s="121"/>
      <c r="AF149" s="121"/>
      <c r="AG149" s="145"/>
      <c r="AH149" s="46">
        <f t="shared" si="41"/>
        <v>0</v>
      </c>
      <c r="AI149" s="47">
        <f t="shared" si="42"/>
        <v>0</v>
      </c>
      <c r="AL149" s="157"/>
      <c r="AM149" s="158"/>
      <c r="AN149" s="159"/>
      <c r="AO149" s="159"/>
    </row>
    <row r="150" spans="1:41" ht="15.75" thickBot="1" x14ac:dyDescent="0.3">
      <c r="A150" s="146" t="s">
        <v>184</v>
      </c>
      <c r="B150" s="143"/>
      <c r="C150" s="143"/>
      <c r="D150" s="121"/>
      <c r="E150" s="121"/>
      <c r="F150" s="121"/>
      <c r="G150" s="121"/>
      <c r="H150" s="121"/>
      <c r="I150" s="121"/>
      <c r="J150" s="121"/>
      <c r="K150" s="121"/>
      <c r="L150" s="121"/>
      <c r="M150" s="121"/>
      <c r="N150" s="121"/>
      <c r="O150" s="121"/>
      <c r="P150" s="121"/>
      <c r="Q150" s="121"/>
      <c r="R150" s="121"/>
      <c r="S150" s="121"/>
      <c r="T150" s="121"/>
      <c r="U150" s="121"/>
      <c r="V150" s="121"/>
      <c r="W150" s="121"/>
      <c r="X150" s="121"/>
      <c r="Y150" s="121"/>
      <c r="Z150" s="121"/>
      <c r="AA150" s="121"/>
      <c r="AB150" s="121"/>
      <c r="AC150" s="121"/>
      <c r="AD150" s="121"/>
      <c r="AE150" s="121"/>
      <c r="AF150" s="121"/>
      <c r="AG150" s="145"/>
      <c r="AH150" s="46">
        <f t="shared" si="41"/>
        <v>0</v>
      </c>
      <c r="AI150" s="47">
        <f t="shared" si="42"/>
        <v>0</v>
      </c>
      <c r="AL150" s="125" t="s">
        <v>185</v>
      </c>
      <c r="AM150" s="126" t="s">
        <v>157</v>
      </c>
      <c r="AN150" s="127">
        <v>1</v>
      </c>
      <c r="AO150" s="128" t="s">
        <v>158</v>
      </c>
    </row>
    <row r="151" spans="1:41" ht="15.75" thickBot="1" x14ac:dyDescent="0.3">
      <c r="A151" s="160" t="s">
        <v>186</v>
      </c>
      <c r="B151" s="143"/>
      <c r="C151" s="143"/>
      <c r="D151" s="121"/>
      <c r="E151" s="121"/>
      <c r="F151" s="121"/>
      <c r="G151" s="121"/>
      <c r="H151" s="121"/>
      <c r="I151" s="121"/>
      <c r="J151" s="121"/>
      <c r="K151" s="121"/>
      <c r="L151" s="121"/>
      <c r="M151" s="121"/>
      <c r="N151" s="121"/>
      <c r="O151" s="121"/>
      <c r="P151" s="121"/>
      <c r="Q151" s="121"/>
      <c r="R151" s="121"/>
      <c r="S151" s="121"/>
      <c r="T151" s="121"/>
      <c r="U151" s="121"/>
      <c r="V151" s="121"/>
      <c r="W151" s="121"/>
      <c r="X151" s="121"/>
      <c r="Y151" s="121"/>
      <c r="Z151" s="121"/>
      <c r="AA151" s="121"/>
      <c r="AB151" s="121"/>
      <c r="AC151" s="121"/>
      <c r="AD151" s="121"/>
      <c r="AE151" s="121"/>
      <c r="AF151" s="121"/>
      <c r="AG151" s="145"/>
      <c r="AH151" s="46">
        <f t="shared" si="41"/>
        <v>0</v>
      </c>
      <c r="AI151" s="47">
        <f t="shared" si="42"/>
        <v>0</v>
      </c>
      <c r="AL151" s="131" t="s">
        <v>187</v>
      </c>
      <c r="AM151" s="132">
        <v>38</v>
      </c>
      <c r="AN151" s="161">
        <f>AN$150*AM151</f>
        <v>38</v>
      </c>
      <c r="AO151" s="134">
        <f>AM151-AN151</f>
        <v>0</v>
      </c>
    </row>
    <row r="152" spans="1:41" ht="15.75" thickBot="1" x14ac:dyDescent="0.3">
      <c r="A152" s="162" t="s">
        <v>188</v>
      </c>
      <c r="B152" s="163"/>
      <c r="C152" s="164"/>
      <c r="D152" s="164"/>
      <c r="E152" s="164"/>
      <c r="F152" s="164"/>
      <c r="G152" s="164"/>
      <c r="H152" s="164"/>
      <c r="I152" s="164"/>
      <c r="J152" s="164"/>
      <c r="K152" s="164"/>
      <c r="L152" s="164"/>
      <c r="M152" s="164"/>
      <c r="N152" s="164"/>
      <c r="O152" s="164"/>
      <c r="P152" s="164"/>
      <c r="Q152" s="164"/>
      <c r="R152" s="164"/>
      <c r="S152" s="164"/>
      <c r="T152" s="164"/>
      <c r="U152" s="164"/>
      <c r="V152" s="164"/>
      <c r="W152" s="164"/>
      <c r="X152" s="164"/>
      <c r="Y152" s="164"/>
      <c r="Z152" s="164"/>
      <c r="AA152" s="164"/>
      <c r="AB152" s="164"/>
      <c r="AC152" s="164"/>
      <c r="AD152" s="164"/>
      <c r="AE152" s="164"/>
      <c r="AF152" s="165"/>
      <c r="AG152" s="51"/>
      <c r="AH152" s="46">
        <f t="shared" si="41"/>
        <v>0</v>
      </c>
      <c r="AI152" s="47">
        <f t="shared" si="42"/>
        <v>0</v>
      </c>
      <c r="AL152" s="138" t="s">
        <v>189</v>
      </c>
      <c r="AM152" s="139">
        <v>71</v>
      </c>
      <c r="AN152" s="166">
        <f>AN$150*AM152</f>
        <v>71</v>
      </c>
      <c r="AO152" s="141">
        <f>AM152-AN152</f>
        <v>0</v>
      </c>
    </row>
    <row r="153" spans="1:41" ht="24.75" customHeight="1" x14ac:dyDescent="0.25">
      <c r="A153" s="167" t="str">
        <f t="array" aca="1" ref="A153" ca="1">"UTK (1986.6, 1982.5, "&amp;$AK$153&amp;" m3/s"&amp;IF(INDEX(153:153,MATCH(HOUR(NOW()),HOUR(9:9),0))&lt;1900,", Missing Level Data)",IF(((INDEX(72:72,MATCH(HOUR(NOW()),HOUR(9:9),0))/6.96)-$AK$153)&lt;=0,", Fill Time: "&amp;ROUND((818945-(11607*(INDEX(153:153,MATCH(HOUR(NOW()),HOUR(9:9),0))-1982.5)^2+152154*(INDEX(153:153,MATCH(HOUR(NOW()),HOUR(9:9),0))-1982.5)))/(($AK$153-(INDEX(72:72,MATCH(HOUR(NOW()),HOUR(9:9),0))/6.96))*3600),2),", Drain Time: "&amp;ROUND(((11607*(INDEX(153:153,MATCH(HOUR(NOW()),HOUR(9:9),0))-1982.5)^2+152154*(INDEX(153:153,MATCH(HOUR(NOW()),HOUR(9:9),0))-1982.5)))/(((INDEX(72:72,MATCH(HOUR(NOW()),HOUR(9:9),0))/6.96)-$AK$153)*3600),2))&amp;" Hrs)")</f>
        <v>UTK (1986.6, 1982.5,  m3/s, Missing Level Data)</v>
      </c>
      <c r="B153" s="168"/>
      <c r="C153" s="168"/>
      <c r="D153" s="168"/>
      <c r="E153" s="168"/>
      <c r="F153" s="168"/>
      <c r="G153" s="168"/>
      <c r="H153" s="168"/>
      <c r="I153" s="168"/>
      <c r="J153" s="168"/>
      <c r="K153" s="168"/>
      <c r="L153" s="168"/>
      <c r="M153" s="168"/>
      <c r="N153" s="168"/>
      <c r="O153" s="168"/>
      <c r="P153" s="168"/>
      <c r="Q153" s="168"/>
      <c r="R153" s="168"/>
      <c r="S153" s="168"/>
      <c r="T153" s="168"/>
      <c r="U153" s="168"/>
      <c r="V153" s="168"/>
      <c r="W153" s="168"/>
      <c r="X153" s="168"/>
      <c r="Y153" s="168"/>
      <c r="Z153" s="168"/>
      <c r="AA153" s="168"/>
      <c r="AB153" s="168"/>
      <c r="AC153" s="168"/>
      <c r="AD153" s="168"/>
      <c r="AE153" s="168"/>
      <c r="AF153" s="169"/>
      <c r="AG153" s="170"/>
      <c r="AH153" s="46">
        <f t="shared" si="41"/>
        <v>0</v>
      </c>
      <c r="AI153" s="47">
        <f t="shared" si="42"/>
        <v>0</v>
      </c>
      <c r="AK153" s="171"/>
      <c r="AL153" s="138" t="s">
        <v>190</v>
      </c>
      <c r="AM153" s="139">
        <v>42</v>
      </c>
      <c r="AN153" s="166">
        <f>AN$150*AM153</f>
        <v>42</v>
      </c>
      <c r="AO153" s="141">
        <f>AM153-AN153</f>
        <v>0</v>
      </c>
    </row>
    <row r="154" spans="1:41" x14ac:dyDescent="0.25">
      <c r="A154" s="146" t="s">
        <v>191</v>
      </c>
      <c r="B154" s="172"/>
      <c r="C154" s="173"/>
      <c r="D154" s="173"/>
      <c r="E154" s="173"/>
      <c r="F154" s="173"/>
      <c r="G154" s="173"/>
      <c r="H154" s="173"/>
      <c r="I154" s="173"/>
      <c r="J154" s="173"/>
      <c r="K154" s="173"/>
      <c r="L154" s="173"/>
      <c r="M154" s="173"/>
      <c r="N154" s="173"/>
      <c r="O154" s="173"/>
      <c r="P154" s="173"/>
      <c r="Q154" s="173"/>
      <c r="R154" s="173"/>
      <c r="S154" s="173"/>
      <c r="T154" s="173"/>
      <c r="U154" s="173"/>
      <c r="V154" s="173"/>
      <c r="W154" s="173"/>
      <c r="X154" s="173"/>
      <c r="Y154" s="173"/>
      <c r="Z154" s="173"/>
      <c r="AA154" s="173"/>
      <c r="AB154" s="173"/>
      <c r="AC154" s="173"/>
      <c r="AD154" s="173"/>
      <c r="AE154" s="173"/>
      <c r="AF154" s="174"/>
      <c r="AG154" s="170"/>
      <c r="AH154" s="46">
        <f t="shared" si="41"/>
        <v>0</v>
      </c>
      <c r="AI154" s="47">
        <f t="shared" si="42"/>
        <v>0</v>
      </c>
      <c r="AK154" s="171"/>
      <c r="AL154" s="138" t="s">
        <v>192</v>
      </c>
      <c r="AM154" s="139">
        <v>14.8</v>
      </c>
      <c r="AN154" s="166">
        <f>AN$150*AM154</f>
        <v>14.8</v>
      </c>
      <c r="AO154" s="141">
        <f>AM154-AN154</f>
        <v>0</v>
      </c>
    </row>
    <row r="155" spans="1:41" ht="15.75" thickBot="1" x14ac:dyDescent="0.3">
      <c r="A155" s="146" t="s">
        <v>193</v>
      </c>
      <c r="B155" s="172"/>
      <c r="C155" s="173"/>
      <c r="D155" s="173"/>
      <c r="E155" s="173"/>
      <c r="F155" s="173"/>
      <c r="G155" s="173"/>
      <c r="H155" s="173"/>
      <c r="I155" s="173"/>
      <c r="J155" s="173"/>
      <c r="K155" s="173"/>
      <c r="L155" s="173"/>
      <c r="M155" s="173"/>
      <c r="N155" s="173"/>
      <c r="O155" s="173"/>
      <c r="P155" s="173"/>
      <c r="Q155" s="173"/>
      <c r="R155" s="173"/>
      <c r="S155" s="173"/>
      <c r="T155" s="173"/>
      <c r="U155" s="173"/>
      <c r="V155" s="173"/>
      <c r="W155" s="173"/>
      <c r="X155" s="173"/>
      <c r="Y155" s="173"/>
      <c r="Z155" s="173"/>
      <c r="AA155" s="173"/>
      <c r="AB155" s="173"/>
      <c r="AC155" s="173"/>
      <c r="AD155" s="173"/>
      <c r="AE155" s="173"/>
      <c r="AF155" s="174"/>
      <c r="AG155" s="170"/>
      <c r="AH155" s="46">
        <f t="shared" si="41"/>
        <v>0</v>
      </c>
      <c r="AI155" s="47">
        <f t="shared" si="42"/>
        <v>0</v>
      </c>
      <c r="AK155" s="171"/>
      <c r="AL155" s="148" t="s">
        <v>168</v>
      </c>
      <c r="AM155" s="149">
        <f>SUM(AM150:AM154)</f>
        <v>165.8</v>
      </c>
      <c r="AN155" s="175">
        <f>AN154*AM155</f>
        <v>2453.84</v>
      </c>
      <c r="AO155" s="150">
        <f>SUM(AO151:AO154)</f>
        <v>0</v>
      </c>
    </row>
    <row r="156" spans="1:41" x14ac:dyDescent="0.25">
      <c r="A156" s="146" t="s">
        <v>194</v>
      </c>
      <c r="B156" s="172"/>
      <c r="C156" s="173"/>
      <c r="D156" s="173"/>
      <c r="E156" s="173"/>
      <c r="F156" s="173"/>
      <c r="G156" s="173"/>
      <c r="H156" s="173"/>
      <c r="I156" s="173"/>
      <c r="J156" s="173"/>
      <c r="K156" s="173"/>
      <c r="L156" s="173"/>
      <c r="M156" s="173"/>
      <c r="N156" s="173"/>
      <c r="O156" s="173"/>
      <c r="P156" s="173"/>
      <c r="Q156" s="173"/>
      <c r="R156" s="173"/>
      <c r="S156" s="173"/>
      <c r="T156" s="173"/>
      <c r="U156" s="173"/>
      <c r="V156" s="173"/>
      <c r="W156" s="173"/>
      <c r="X156" s="173"/>
      <c r="Y156" s="173"/>
      <c r="Z156" s="173"/>
      <c r="AA156" s="173"/>
      <c r="AB156" s="173"/>
      <c r="AC156" s="173"/>
      <c r="AD156" s="173"/>
      <c r="AE156" s="173"/>
      <c r="AF156" s="174"/>
      <c r="AG156" s="170"/>
      <c r="AH156" s="46">
        <f t="shared" si="41"/>
        <v>0</v>
      </c>
      <c r="AI156" s="47">
        <f t="shared" si="42"/>
        <v>0</v>
      </c>
      <c r="AK156" s="171"/>
      <c r="AM156" s="51"/>
      <c r="AN156" s="51"/>
      <c r="AO156" s="176"/>
    </row>
    <row r="157" spans="1:41" ht="15.75" thickBot="1" x14ac:dyDescent="0.3">
      <c r="A157" s="146" t="s">
        <v>195</v>
      </c>
      <c r="B157" s="172"/>
      <c r="C157" s="173"/>
      <c r="D157" s="173"/>
      <c r="E157" s="173"/>
      <c r="F157" s="173"/>
      <c r="G157" s="173"/>
      <c r="H157" s="173"/>
      <c r="I157" s="173"/>
      <c r="J157" s="173"/>
      <c r="K157" s="173"/>
      <c r="L157" s="173"/>
      <c r="M157" s="173"/>
      <c r="N157" s="173"/>
      <c r="O157" s="173"/>
      <c r="P157" s="173"/>
      <c r="Q157" s="173"/>
      <c r="R157" s="173"/>
      <c r="S157" s="173"/>
      <c r="T157" s="173"/>
      <c r="U157" s="173"/>
      <c r="V157" s="173"/>
      <c r="W157" s="173"/>
      <c r="X157" s="173"/>
      <c r="Y157" s="173"/>
      <c r="Z157" s="173"/>
      <c r="AA157" s="173"/>
      <c r="AB157" s="173"/>
      <c r="AC157" s="173"/>
      <c r="AD157" s="173"/>
      <c r="AE157" s="173"/>
      <c r="AF157" s="174"/>
      <c r="AG157" s="170"/>
      <c r="AH157" s="46">
        <f t="shared" si="41"/>
        <v>0</v>
      </c>
      <c r="AI157" s="47">
        <f t="shared" si="42"/>
        <v>0</v>
      </c>
      <c r="AK157" s="171"/>
      <c r="AL157" s="177"/>
      <c r="AM157" s="51"/>
      <c r="AN157" s="51"/>
      <c r="AO157" s="51"/>
    </row>
    <row r="158" spans="1:41" ht="15.75" thickBot="1" x14ac:dyDescent="0.3">
      <c r="A158" s="178" t="str">
        <f t="array" aca="1" ref="A158" ca="1">"KL-1 (1530, 1484, "&amp;$AK$158&amp;" m3/s"&amp;IF(INDEX(158:158,MATCH(HOUR(NOW()),HOUR(9:9),0))&lt;1480,", Missing Level Data)",IF(((INDEX(93:93,MATCH(HOUR(NOW()),HOUR(9:9),0))/4.96)-$AK$158)&lt;=0,", Fill Time: "&amp;ROUND((73140000-(15000*(INDEX(158:158,MATCH(HOUR(NOW()),HOUR(9:9),0))-1484)^2+900000*(INDEX(158:158,MATCH(HOUR(NOW()),HOUR(9:9),0))-1484)))/(($AK$158-(INDEX(93:93,MATCH(HOUR(NOW()),HOUR(9:9),0))/4.96))*3600),2),", Drain Time: "&amp;ROUND(((15000*(INDEX(158:158,MATCH(HOUR(NOW()),HOUR(9:9),0))-1484)^2+900000*(INDEX(158:158,MATCH(HOUR(NOW()),HOUR(9:9),0))-1484)))/(((INDEX(93:93,MATCH(HOUR(NOW()),HOUR(9:9),0))/4.96)-$AK$158)*3600),2))&amp;" Hrs)")</f>
        <v>KL-1 (1530, 1484,  m3/s, Missing Level Data)</v>
      </c>
      <c r="B158" s="179"/>
      <c r="C158" s="180"/>
      <c r="D158" s="180"/>
      <c r="E158" s="180"/>
      <c r="F158" s="180"/>
      <c r="G158" s="180"/>
      <c r="H158" s="180"/>
      <c r="I158" s="180"/>
      <c r="J158" s="180"/>
      <c r="K158" s="180"/>
      <c r="L158" s="180"/>
      <c r="M158" s="180"/>
      <c r="N158" s="180"/>
      <c r="O158" s="180"/>
      <c r="P158" s="180"/>
      <c r="Q158" s="180"/>
      <c r="R158" s="180"/>
      <c r="S158" s="180"/>
      <c r="T158" s="180"/>
      <c r="U158" s="180"/>
      <c r="V158" s="180"/>
      <c r="W158" s="180"/>
      <c r="X158" s="180"/>
      <c r="Y158" s="180"/>
      <c r="Z158" s="180"/>
      <c r="AA158" s="180"/>
      <c r="AB158" s="180"/>
      <c r="AC158" s="180"/>
      <c r="AD158" s="180"/>
      <c r="AE158" s="180"/>
      <c r="AF158" s="181"/>
      <c r="AG158" s="182"/>
      <c r="AH158" s="46">
        <f t="shared" si="41"/>
        <v>0</v>
      </c>
      <c r="AI158" s="47">
        <f t="shared" si="42"/>
        <v>0</v>
      </c>
      <c r="AK158" s="171"/>
      <c r="AL158" s="125" t="s">
        <v>196</v>
      </c>
      <c r="AM158" s="126" t="s">
        <v>157</v>
      </c>
      <c r="AN158" s="183">
        <v>1</v>
      </c>
      <c r="AO158" s="128" t="s">
        <v>158</v>
      </c>
    </row>
    <row r="159" spans="1:41" x14ac:dyDescent="0.25">
      <c r="A159" s="184" t="s">
        <v>197</v>
      </c>
      <c r="B159" s="179">
        <f>(SUMPRODUCT((B11:B68&lt;&gt;0)*(B11:B68&lt;$AG$11:$AG$68)*($AG$11:$AG$68-B11:B68)))*0.8</f>
        <v>0</v>
      </c>
      <c r="C159" s="179">
        <f>(SUMPRODUCT((C11:C68&lt;&gt;0)*(C11:C68&lt;$AG$11:$AG$68)*($AG$11:$AG$68-C11:C68)))*0.8</f>
        <v>0</v>
      </c>
      <c r="D159" s="179">
        <f t="shared" ref="D159:AF159" si="43">(SUMPRODUCT((D11:D68&lt;&gt;0)*(D11:D68&lt;$AG$11:$AG$68)*($AG$11:$AG$68-D11:D68)))*0.8</f>
        <v>0</v>
      </c>
      <c r="E159" s="179">
        <f t="shared" si="43"/>
        <v>0</v>
      </c>
      <c r="F159" s="179">
        <f t="shared" si="43"/>
        <v>0</v>
      </c>
      <c r="G159" s="179">
        <f t="shared" si="43"/>
        <v>0</v>
      </c>
      <c r="H159" s="179">
        <f t="shared" si="43"/>
        <v>0</v>
      </c>
      <c r="I159" s="179">
        <f t="shared" si="43"/>
        <v>0</v>
      </c>
      <c r="J159" s="179">
        <f t="shared" si="43"/>
        <v>0</v>
      </c>
      <c r="K159" s="179">
        <f t="shared" si="43"/>
        <v>0</v>
      </c>
      <c r="L159" s="179">
        <f t="shared" si="43"/>
        <v>0</v>
      </c>
      <c r="M159" s="179">
        <f t="shared" si="43"/>
        <v>0</v>
      </c>
      <c r="N159" s="179">
        <f t="shared" si="43"/>
        <v>0</v>
      </c>
      <c r="O159" s="179">
        <f t="shared" si="43"/>
        <v>0</v>
      </c>
      <c r="P159" s="179">
        <f t="shared" si="43"/>
        <v>0</v>
      </c>
      <c r="Q159" s="179">
        <f t="shared" si="43"/>
        <v>0</v>
      </c>
      <c r="R159" s="179">
        <f t="shared" si="43"/>
        <v>0</v>
      </c>
      <c r="S159" s="179">
        <f t="shared" si="43"/>
        <v>0</v>
      </c>
      <c r="T159" s="179">
        <f t="shared" si="43"/>
        <v>0</v>
      </c>
      <c r="U159" s="179">
        <f t="shared" si="43"/>
        <v>0</v>
      </c>
      <c r="V159" s="179">
        <f t="shared" si="43"/>
        <v>0</v>
      </c>
      <c r="W159" s="179">
        <f t="shared" si="43"/>
        <v>0</v>
      </c>
      <c r="X159" s="179">
        <f t="shared" si="43"/>
        <v>0</v>
      </c>
      <c r="Y159" s="179">
        <f t="shared" si="43"/>
        <v>0</v>
      </c>
      <c r="Z159" s="179">
        <f t="shared" si="43"/>
        <v>0</v>
      </c>
      <c r="AA159" s="179">
        <f t="shared" si="43"/>
        <v>0</v>
      </c>
      <c r="AB159" s="179">
        <f t="shared" si="43"/>
        <v>0</v>
      </c>
      <c r="AC159" s="179">
        <f t="shared" si="43"/>
        <v>0</v>
      </c>
      <c r="AD159" s="179">
        <f t="shared" si="43"/>
        <v>0</v>
      </c>
      <c r="AE159" s="179">
        <f t="shared" si="43"/>
        <v>0</v>
      </c>
      <c r="AF159" s="179">
        <f t="shared" si="43"/>
        <v>0</v>
      </c>
      <c r="AG159" s="182"/>
      <c r="AH159" s="46"/>
      <c r="AI159" s="47"/>
      <c r="AK159" s="171"/>
      <c r="AL159" s="131" t="s">
        <v>198</v>
      </c>
      <c r="AM159" s="132">
        <v>77</v>
      </c>
      <c r="AN159" s="132">
        <f>AN$158*AM159</f>
        <v>77</v>
      </c>
      <c r="AO159" s="134">
        <f t="shared" ref="AO159:AO167" si="44">AM159-AN159</f>
        <v>0</v>
      </c>
    </row>
    <row r="160" spans="1:41" x14ac:dyDescent="0.25">
      <c r="A160" s="185" t="s">
        <v>199</v>
      </c>
      <c r="B160" s="173">
        <f t="array" ref="B160">SUM(IF(($A$11:$A$68&lt;&gt;"")*(B11:B68&lt;&gt;""),IF(IFERROR(VALUE(TRIM(RIGHT(SUBSTITUTE(SUBSTITUTE($A$11:$A$68,")",""),"(",REPT(" ",100)),100))),0)-IFERROR(B11:B68,0)&gt;0,IFERROR(VALUE(TRIM(RIGHT(SUBSTITUTE(SUBSTITUTE($A$11:$A$68,")",""),"(",REPT(" ",100)),100))),0)-IFERROR(B11:B68,0),0),0))+SUM(IF(($A$72:$A$77&lt;&gt;"")*(B72:B77&lt;&gt;""),IF(IFERROR(VALUE(TRIM(RIGHT(SUBSTITUTE(SUBSTITUTE($A$72:$A$77,")",""),"(",REPT(" ",100)),100))),0)-IFERROR(B72:B77,0)&gt;0,IFERROR(VALUE(TRIM(RIGHT(SUBSTITUTE(SUBSTITUTE($A$72:$A$77,")",""),"(",REPT(" ",100)),100))),0)-IFERROR(B72:B77,0),0),0))+SUM(IF(($A$79:$A$90&lt;&gt;"")*(B79:B90&lt;&gt;""),IF(IFERROR(VALUE(TRIM(RIGHT(SUBSTITUTE(SUBSTITUTE($A$79:$A$90,")",""),"(",REPT(" ",100)),100))),0)-IFERROR(B79:B90,0)&gt;0,IFERROR(VALUE(TRIM(RIGHT(SUBSTITUTE(SUBSTITUTE($A$79:$A$90,")",""),"(",REPT(" ",100)),100))),0)-IFERROR(B79:B90,0),0),0))+SUM(IF(($A$93:$A$95&lt;&gt;"")*(B93:B95&lt;&gt;""),IF(IFERROR(VALUE(TRIM(RIGHT(SUBSTITUTE(SUBSTITUTE($A$93:$A$95,")",""),"(",REPT(" ",100)),100))),0)-IFERROR(B93:B95,0)&gt;0,IFERROR(VALUE(TRIM(RIGHT(SUBSTITUTE(SUBSTITUTE($A$93:$A$95,")",""),"(",REPT(" ",100)),100))),0)-IFERROR(B93:B95,0),0),0))</f>
        <v>6</v>
      </c>
      <c r="C160" s="173">
        <f t="array" ref="C160">SUM(IF(($A$11:$A$68&lt;&gt;"")*(C11:C68&lt;&gt;""),IF(IFERROR(VALUE(TRIM(RIGHT(SUBSTITUTE(SUBSTITUTE($A$11:$A$68,")",""),"(",REPT(" ",100)),100))),0)-IFERROR(C11:C68,0)&gt;0,IFERROR(VALUE(TRIM(RIGHT(SUBSTITUTE(SUBSTITUTE($A$11:$A$68,")",""),"(",REPT(" ",100)),100))),0)-IFERROR(C11:C68,0),0),0))+SUM(IF(($A$72:$A$77&lt;&gt;"")*(C72:C77&lt;&gt;""),IF(IFERROR(VALUE(TRIM(RIGHT(SUBSTITUTE(SUBSTITUTE($A$72:$A$77,")",""),"(",REPT(" ",100)),100))),0)-IFERROR(C72:C77,0)&gt;0,IFERROR(VALUE(TRIM(RIGHT(SUBSTITUTE(SUBSTITUTE($A$72:$A$77,")",""),"(",REPT(" ",100)),100))),0)-IFERROR(C72:C77,0),0),0))+SUM(IF(($A$79:$A$90&lt;&gt;"")*(C79:C90&lt;&gt;""),IF(IFERROR(VALUE(TRIM(RIGHT(SUBSTITUTE(SUBSTITUTE($A$79:$A$90,")",""),"(",REPT(" ",100)),100))),0)-IFERROR(C79:C90,0)&gt;0,IFERROR(VALUE(TRIM(RIGHT(SUBSTITUTE(SUBSTITUTE($A$79:$A$90,")",""),"(",REPT(" ",100)),100))),0)-IFERROR(C79:C90,0),0),0))+SUM(IF(($A$93:$A$95&lt;&gt;"")*(C93:C95&lt;&gt;""),IF(IFERROR(VALUE(TRIM(RIGHT(SUBSTITUTE(SUBSTITUTE($A$93:$A$95,")",""),"(",REPT(" ",100)),100))),0)-IFERROR(C93:C95,0)&gt;0,IFERROR(VALUE(TRIM(RIGHT(SUBSTITUTE(SUBSTITUTE($A$93:$A$95,")",""),"(",REPT(" ",100)),100))),0)-IFERROR(C93:C95,0),0),0))</f>
        <v>0</v>
      </c>
      <c r="D160" s="173">
        <f t="array" ref="D160">SUM(IF(($A$11:$A$68&lt;&gt;"")*(D11:D68&lt;&gt;""),IF(IFERROR(VALUE(TRIM(RIGHT(SUBSTITUTE(SUBSTITUTE($A$11:$A$68,")",""),"(",REPT(" ",100)),100))),0)-IFERROR(D11:D68,0)&gt;0,IFERROR(VALUE(TRIM(RIGHT(SUBSTITUTE(SUBSTITUTE($A$11:$A$68,")",""),"(",REPT(" ",100)),100))),0)-IFERROR(D11:D68,0),0),0))+SUM(IF(($A$72:$A$77&lt;&gt;"")*(D72:D77&lt;&gt;""),IF(IFERROR(VALUE(TRIM(RIGHT(SUBSTITUTE(SUBSTITUTE($A$72:$A$77,")",""),"(",REPT(" ",100)),100))),0)-IFERROR(D72:D77,0)&gt;0,IFERROR(VALUE(TRIM(RIGHT(SUBSTITUTE(SUBSTITUTE($A$72:$A$77,")",""),"(",REPT(" ",100)),100))),0)-IFERROR(D72:D77,0),0),0))+SUM(IF(($A$79:$A$90&lt;&gt;"")*(D79:D90&lt;&gt;""),IF(IFERROR(VALUE(TRIM(RIGHT(SUBSTITUTE(SUBSTITUTE($A$79:$A$90,")",""),"(",REPT(" ",100)),100))),0)-IFERROR(D79:D90,0)&gt;0,IFERROR(VALUE(TRIM(RIGHT(SUBSTITUTE(SUBSTITUTE($A$79:$A$90,")",""),"(",REPT(" ",100)),100))),0)-IFERROR(D79:D90,0),0),0))+SUM(IF(($A$93:$A$95&lt;&gt;"")*(D93:D95&lt;&gt;""),IF(IFERROR(VALUE(TRIM(RIGHT(SUBSTITUTE(SUBSTITUTE($A$93:$A$95,")",""),"(",REPT(" ",100)),100))),0)-IFERROR(D93:D95,0)&gt;0,IFERROR(VALUE(TRIM(RIGHT(SUBSTITUTE(SUBSTITUTE($A$93:$A$95,")",""),"(",REPT(" ",100)),100))),0)-IFERROR(D93:D95,0),0),0))</f>
        <v>0</v>
      </c>
      <c r="E160" s="173">
        <f t="array" ref="E160">SUM(IF(($A$11:$A$68&lt;&gt;"")*(E11:E68&lt;&gt;""),IF(IFERROR(VALUE(TRIM(RIGHT(SUBSTITUTE(SUBSTITUTE($A$11:$A$68,")",""),"(",REPT(" ",100)),100))),0)-IFERROR(E11:E68,0)&gt;0,IFERROR(VALUE(TRIM(RIGHT(SUBSTITUTE(SUBSTITUTE($A$11:$A$68,")",""),"(",REPT(" ",100)),100))),0)-IFERROR(E11:E68,0),0),0))+SUM(IF(($A$72:$A$77&lt;&gt;"")*(E72:E77&lt;&gt;""),IF(IFERROR(VALUE(TRIM(RIGHT(SUBSTITUTE(SUBSTITUTE($A$72:$A$77,")",""),"(",REPT(" ",100)),100))),0)-IFERROR(E72:E77,0)&gt;0,IFERROR(VALUE(TRIM(RIGHT(SUBSTITUTE(SUBSTITUTE($A$72:$A$77,")",""),"(",REPT(" ",100)),100))),0)-IFERROR(E72:E77,0),0),0))+SUM(IF(($A$79:$A$90&lt;&gt;"")*(E79:E90&lt;&gt;""),IF(IFERROR(VALUE(TRIM(RIGHT(SUBSTITUTE(SUBSTITUTE($A$79:$A$90,")",""),"(",REPT(" ",100)),100))),0)-IFERROR(E79:E90,0)&gt;0,IFERROR(VALUE(TRIM(RIGHT(SUBSTITUTE(SUBSTITUTE($A$79:$A$90,")",""),"(",REPT(" ",100)),100))),0)-IFERROR(E79:E90,0),0),0))+SUM(IF(($A$93:$A$95&lt;&gt;"")*(E93:E95&lt;&gt;""),IF(IFERROR(VALUE(TRIM(RIGHT(SUBSTITUTE(SUBSTITUTE($A$93:$A$95,")",""),"(",REPT(" ",100)),100))),0)-IFERROR(E93:E95,0)&gt;0,IFERROR(VALUE(TRIM(RIGHT(SUBSTITUTE(SUBSTITUTE($A$93:$A$95,")",""),"(",REPT(" ",100)),100))),0)-IFERROR(E93:E95,0),0),0))</f>
        <v>0</v>
      </c>
      <c r="F160" s="173">
        <f t="array" ref="F160">SUM(IF(($A$11:$A$68&lt;&gt;"")*(F11:F68&lt;&gt;""),IF(IFERROR(VALUE(TRIM(RIGHT(SUBSTITUTE(SUBSTITUTE($A$11:$A$68,")",""),"(",REPT(" ",100)),100))),0)-IFERROR(F11:F68,0)&gt;0,IFERROR(VALUE(TRIM(RIGHT(SUBSTITUTE(SUBSTITUTE($A$11:$A$68,")",""),"(",REPT(" ",100)),100))),0)-IFERROR(F11:F68,0),0),0))+SUM(IF(($A$72:$A$77&lt;&gt;"")*(F72:F77&lt;&gt;""),IF(IFERROR(VALUE(TRIM(RIGHT(SUBSTITUTE(SUBSTITUTE($A$72:$A$77,")",""),"(",REPT(" ",100)),100))),0)-IFERROR(F72:F77,0)&gt;0,IFERROR(VALUE(TRIM(RIGHT(SUBSTITUTE(SUBSTITUTE($A$72:$A$77,")",""),"(",REPT(" ",100)),100))),0)-IFERROR(F72:F77,0),0),0))+SUM(IF(($A$79:$A$90&lt;&gt;"")*(F79:F90&lt;&gt;""),IF(IFERROR(VALUE(TRIM(RIGHT(SUBSTITUTE(SUBSTITUTE($A$79:$A$90,")",""),"(",REPT(" ",100)),100))),0)-IFERROR(F79:F90,0)&gt;0,IFERROR(VALUE(TRIM(RIGHT(SUBSTITUTE(SUBSTITUTE($A$79:$A$90,")",""),"(",REPT(" ",100)),100))),0)-IFERROR(F79:F90,0),0),0))+SUM(IF(($A$93:$A$95&lt;&gt;"")*(F93:F95&lt;&gt;""),IF(IFERROR(VALUE(TRIM(RIGHT(SUBSTITUTE(SUBSTITUTE($A$93:$A$95,")",""),"(",REPT(" ",100)),100))),0)-IFERROR(F93:F95,0)&gt;0,IFERROR(VALUE(TRIM(RIGHT(SUBSTITUTE(SUBSTITUTE($A$93:$A$95,")",""),"(",REPT(" ",100)),100))),0)-IFERROR(F93:F95,0),0),0))</f>
        <v>0</v>
      </c>
      <c r="G160" s="173">
        <f t="array" ref="G160">SUM(IF(($A$11:$A$68&lt;&gt;"")*(G11:G68&lt;&gt;""),IF(IFERROR(VALUE(TRIM(RIGHT(SUBSTITUTE(SUBSTITUTE($A$11:$A$68,")",""),"(",REPT(" ",100)),100))),0)-IFERROR(G11:G68,0)&gt;0,IFERROR(VALUE(TRIM(RIGHT(SUBSTITUTE(SUBSTITUTE($A$11:$A$68,")",""),"(",REPT(" ",100)),100))),0)-IFERROR(G11:G68,0),0),0))+SUM(IF(($A$72:$A$77&lt;&gt;"")*(G72:G77&lt;&gt;""),IF(IFERROR(VALUE(TRIM(RIGHT(SUBSTITUTE(SUBSTITUTE($A$72:$A$77,")",""),"(",REPT(" ",100)),100))),0)-IFERROR(G72:G77,0)&gt;0,IFERROR(VALUE(TRIM(RIGHT(SUBSTITUTE(SUBSTITUTE($A$72:$A$77,")",""),"(",REPT(" ",100)),100))),0)-IFERROR(G72:G77,0),0),0))+SUM(IF(($A$79:$A$90&lt;&gt;"")*(G79:G90&lt;&gt;""),IF(IFERROR(VALUE(TRIM(RIGHT(SUBSTITUTE(SUBSTITUTE($A$79:$A$90,")",""),"(",REPT(" ",100)),100))),0)-IFERROR(G79:G90,0)&gt;0,IFERROR(VALUE(TRIM(RIGHT(SUBSTITUTE(SUBSTITUTE($A$79:$A$90,")",""),"(",REPT(" ",100)),100))),0)-IFERROR(G79:G90,0),0),0))+SUM(IF(($A$93:$A$95&lt;&gt;"")*(G93:G95&lt;&gt;""),IF(IFERROR(VALUE(TRIM(RIGHT(SUBSTITUTE(SUBSTITUTE($A$93:$A$95,")",""),"(",REPT(" ",100)),100))),0)-IFERROR(G93:G95,0)&gt;0,IFERROR(VALUE(TRIM(RIGHT(SUBSTITUTE(SUBSTITUTE($A$93:$A$95,")",""),"(",REPT(" ",100)),100))),0)-IFERROR(G93:G95,0),0),0))</f>
        <v>0</v>
      </c>
      <c r="H160" s="173">
        <f t="array" ref="H160">SUM(IF(($A$11:$A$68&lt;&gt;"")*(H11:H68&lt;&gt;""),IF(IFERROR(VALUE(TRIM(RIGHT(SUBSTITUTE(SUBSTITUTE($A$11:$A$68,")",""),"(",REPT(" ",100)),100))),0)-IFERROR(H11:H68,0)&gt;0,IFERROR(VALUE(TRIM(RIGHT(SUBSTITUTE(SUBSTITUTE($A$11:$A$68,")",""),"(",REPT(" ",100)),100))),0)-IFERROR(H11:H68,0),0),0))+SUM(IF(($A$72:$A$77&lt;&gt;"")*(H72:H77&lt;&gt;""),IF(IFERROR(VALUE(TRIM(RIGHT(SUBSTITUTE(SUBSTITUTE($A$72:$A$77,")",""),"(",REPT(" ",100)),100))),0)-IFERROR(H72:H77,0)&gt;0,IFERROR(VALUE(TRIM(RIGHT(SUBSTITUTE(SUBSTITUTE($A$72:$A$77,")",""),"(",REPT(" ",100)),100))),0)-IFERROR(H72:H77,0),0),0))+SUM(IF(($A$79:$A$90&lt;&gt;"")*(H79:H90&lt;&gt;""),IF(IFERROR(VALUE(TRIM(RIGHT(SUBSTITUTE(SUBSTITUTE($A$79:$A$90,")",""),"(",REPT(" ",100)),100))),0)-IFERROR(H79:H90,0)&gt;0,IFERROR(VALUE(TRIM(RIGHT(SUBSTITUTE(SUBSTITUTE($A$79:$A$90,")",""),"(",REPT(" ",100)),100))),0)-IFERROR(H79:H90,0),0),0))+SUM(IF(($A$93:$A$95&lt;&gt;"")*(H93:H95&lt;&gt;""),IF(IFERROR(VALUE(TRIM(RIGHT(SUBSTITUTE(SUBSTITUTE($A$93:$A$95,")",""),"(",REPT(" ",100)),100))),0)-IFERROR(H93:H95,0)&gt;0,IFERROR(VALUE(TRIM(RIGHT(SUBSTITUTE(SUBSTITUTE($A$93:$A$95,")",""),"(",REPT(" ",100)),100))),0)-IFERROR(H93:H95,0),0),0))</f>
        <v>0</v>
      </c>
      <c r="I160" s="173">
        <f t="array" ref="I160">SUM(IF(($A$11:$A$68&lt;&gt;"")*(I11:I68&lt;&gt;""),IF(IFERROR(VALUE(TRIM(RIGHT(SUBSTITUTE(SUBSTITUTE($A$11:$A$68,")",""),"(",REPT(" ",100)),100))),0)-IFERROR(I11:I68,0)&gt;0,IFERROR(VALUE(TRIM(RIGHT(SUBSTITUTE(SUBSTITUTE($A$11:$A$68,")",""),"(",REPT(" ",100)),100))),0)-IFERROR(I11:I68,0),0),0))+SUM(IF(($A$72:$A$77&lt;&gt;"")*(I72:I77&lt;&gt;""),IF(IFERROR(VALUE(TRIM(RIGHT(SUBSTITUTE(SUBSTITUTE($A$72:$A$77,")",""),"(",REPT(" ",100)),100))),0)-IFERROR(I72:I77,0)&gt;0,IFERROR(VALUE(TRIM(RIGHT(SUBSTITUTE(SUBSTITUTE($A$72:$A$77,")",""),"(",REPT(" ",100)),100))),0)-IFERROR(I72:I77,0),0),0))+SUM(IF(($A$79:$A$90&lt;&gt;"")*(I79:I90&lt;&gt;""),IF(IFERROR(VALUE(TRIM(RIGHT(SUBSTITUTE(SUBSTITUTE($A$79:$A$90,")",""),"(",REPT(" ",100)),100))),0)-IFERROR(I79:I90,0)&gt;0,IFERROR(VALUE(TRIM(RIGHT(SUBSTITUTE(SUBSTITUTE($A$79:$A$90,")",""),"(",REPT(" ",100)),100))),0)-IFERROR(I79:I90,0),0),0))+SUM(IF(($A$93:$A$95&lt;&gt;"")*(I93:I95&lt;&gt;""),IF(IFERROR(VALUE(TRIM(RIGHT(SUBSTITUTE(SUBSTITUTE($A$93:$A$95,")",""),"(",REPT(" ",100)),100))),0)-IFERROR(I93:I95,0)&gt;0,IFERROR(VALUE(TRIM(RIGHT(SUBSTITUTE(SUBSTITUTE($A$93:$A$95,")",""),"(",REPT(" ",100)),100))),0)-IFERROR(I93:I95,0),0),0))</f>
        <v>0</v>
      </c>
      <c r="J160" s="173">
        <f t="array" ref="J160">SUM(IF(($A$11:$A$68&lt;&gt;"")*(J11:J68&lt;&gt;""),IF(IFERROR(VALUE(TRIM(RIGHT(SUBSTITUTE(SUBSTITUTE($A$11:$A$68,")",""),"(",REPT(" ",100)),100))),0)-IFERROR(J11:J68,0)&gt;0,IFERROR(VALUE(TRIM(RIGHT(SUBSTITUTE(SUBSTITUTE($A$11:$A$68,")",""),"(",REPT(" ",100)),100))),0)-IFERROR(J11:J68,0),0),0))+SUM(IF(($A$72:$A$77&lt;&gt;"")*(J72:J77&lt;&gt;""),IF(IFERROR(VALUE(TRIM(RIGHT(SUBSTITUTE(SUBSTITUTE($A$72:$A$77,")",""),"(",REPT(" ",100)),100))),0)-IFERROR(J72:J77,0)&gt;0,IFERROR(VALUE(TRIM(RIGHT(SUBSTITUTE(SUBSTITUTE($A$72:$A$77,")",""),"(",REPT(" ",100)),100))),0)-IFERROR(J72:J77,0),0),0))+SUM(IF(($A$79:$A$90&lt;&gt;"")*(J79:J90&lt;&gt;""),IF(IFERROR(VALUE(TRIM(RIGHT(SUBSTITUTE(SUBSTITUTE($A$79:$A$90,")",""),"(",REPT(" ",100)),100))),0)-IFERROR(J79:J90,0)&gt;0,IFERROR(VALUE(TRIM(RIGHT(SUBSTITUTE(SUBSTITUTE($A$79:$A$90,")",""),"(",REPT(" ",100)),100))),0)-IFERROR(J79:J90,0),0),0))+SUM(IF(($A$93:$A$95&lt;&gt;"")*(J93:J95&lt;&gt;""),IF(IFERROR(VALUE(TRIM(RIGHT(SUBSTITUTE(SUBSTITUTE($A$93:$A$95,")",""),"(",REPT(" ",100)),100))),0)-IFERROR(J93:J95,0)&gt;0,IFERROR(VALUE(TRIM(RIGHT(SUBSTITUTE(SUBSTITUTE($A$93:$A$95,")",""),"(",REPT(" ",100)),100))),0)-IFERROR(J93:J95,0),0),0))</f>
        <v>0</v>
      </c>
      <c r="K160" s="173">
        <f t="array" ref="K160">SUM(IF(($A$11:$A$68&lt;&gt;"")*(K11:K68&lt;&gt;""),IF(IFERROR(VALUE(TRIM(RIGHT(SUBSTITUTE(SUBSTITUTE($A$11:$A$68,")",""),"(",REPT(" ",100)),100))),0)-IFERROR(K11:K68,0)&gt;0,IFERROR(VALUE(TRIM(RIGHT(SUBSTITUTE(SUBSTITUTE($A$11:$A$68,")",""),"(",REPT(" ",100)),100))),0)-IFERROR(K11:K68,0),0),0))+SUM(IF(($A$72:$A$77&lt;&gt;"")*(K72:K77&lt;&gt;""),IF(IFERROR(VALUE(TRIM(RIGHT(SUBSTITUTE(SUBSTITUTE($A$72:$A$77,")",""),"(",REPT(" ",100)),100))),0)-IFERROR(K72:K77,0)&gt;0,IFERROR(VALUE(TRIM(RIGHT(SUBSTITUTE(SUBSTITUTE($A$72:$A$77,")",""),"(",REPT(" ",100)),100))),0)-IFERROR(K72:K77,0),0),0))+SUM(IF(($A$79:$A$90&lt;&gt;"")*(K79:K90&lt;&gt;""),IF(IFERROR(VALUE(TRIM(RIGHT(SUBSTITUTE(SUBSTITUTE($A$79:$A$90,")",""),"(",REPT(" ",100)),100))),0)-IFERROR(K79:K90,0)&gt;0,IFERROR(VALUE(TRIM(RIGHT(SUBSTITUTE(SUBSTITUTE($A$79:$A$90,")",""),"(",REPT(" ",100)),100))),0)-IFERROR(K79:K90,0),0),0))+SUM(IF(($A$93:$A$95&lt;&gt;"")*(K93:K95&lt;&gt;""),IF(IFERROR(VALUE(TRIM(RIGHT(SUBSTITUTE(SUBSTITUTE($A$93:$A$95,")",""),"(",REPT(" ",100)),100))),0)-IFERROR(K93:K95,0)&gt;0,IFERROR(VALUE(TRIM(RIGHT(SUBSTITUTE(SUBSTITUTE($A$93:$A$95,")",""),"(",REPT(" ",100)),100))),0)-IFERROR(K93:K95,0),0),0))</f>
        <v>0</v>
      </c>
      <c r="L160" s="173">
        <f t="array" ref="L160">SUM(IF(($A$11:$A$68&lt;&gt;"")*(L11:L68&lt;&gt;""),IF(IFERROR(VALUE(TRIM(RIGHT(SUBSTITUTE(SUBSTITUTE($A$11:$A$68,")",""),"(",REPT(" ",100)),100))),0)-IFERROR(L11:L68,0)&gt;0,IFERROR(VALUE(TRIM(RIGHT(SUBSTITUTE(SUBSTITUTE($A$11:$A$68,")",""),"(",REPT(" ",100)),100))),0)-IFERROR(L11:L68,0),0),0))+SUM(IF(($A$72:$A$77&lt;&gt;"")*(L72:L77&lt;&gt;""),IF(IFERROR(VALUE(TRIM(RIGHT(SUBSTITUTE(SUBSTITUTE($A$72:$A$77,")",""),"(",REPT(" ",100)),100))),0)-IFERROR(L72:L77,0)&gt;0,IFERROR(VALUE(TRIM(RIGHT(SUBSTITUTE(SUBSTITUTE($A$72:$A$77,")",""),"(",REPT(" ",100)),100))),0)-IFERROR(L72:L77,0),0),0))+SUM(IF(($A$79:$A$90&lt;&gt;"")*(L79:L90&lt;&gt;""),IF(IFERROR(VALUE(TRIM(RIGHT(SUBSTITUTE(SUBSTITUTE($A$79:$A$90,")",""),"(",REPT(" ",100)),100))),0)-IFERROR(L79:L90,0)&gt;0,IFERROR(VALUE(TRIM(RIGHT(SUBSTITUTE(SUBSTITUTE($A$79:$A$90,")",""),"(",REPT(" ",100)),100))),0)-IFERROR(L79:L90,0),0),0))+SUM(IF(($A$93:$A$95&lt;&gt;"")*(L93:L95&lt;&gt;""),IF(IFERROR(VALUE(TRIM(RIGHT(SUBSTITUTE(SUBSTITUTE($A$93:$A$95,")",""),"(",REPT(" ",100)),100))),0)-IFERROR(L93:L95,0)&gt;0,IFERROR(VALUE(TRIM(RIGHT(SUBSTITUTE(SUBSTITUTE($A$93:$A$95,")",""),"(",REPT(" ",100)),100))),0)-IFERROR(L93:L95,0),0),0))</f>
        <v>0</v>
      </c>
      <c r="M160" s="173">
        <f t="array" ref="M160">SUM(IF(($A$11:$A$68&lt;&gt;"")*(M11:M68&lt;&gt;""),IF(IFERROR(VALUE(TRIM(RIGHT(SUBSTITUTE(SUBSTITUTE($A$11:$A$68,")",""),"(",REPT(" ",100)),100))),0)-IFERROR(M11:M68,0)&gt;0,IFERROR(VALUE(TRIM(RIGHT(SUBSTITUTE(SUBSTITUTE($A$11:$A$68,")",""),"(",REPT(" ",100)),100))),0)-IFERROR(M11:M68,0),0),0))+SUM(IF(($A$72:$A$77&lt;&gt;"")*(M72:M77&lt;&gt;""),IF(IFERROR(VALUE(TRIM(RIGHT(SUBSTITUTE(SUBSTITUTE($A$72:$A$77,")",""),"(",REPT(" ",100)),100))),0)-IFERROR(M72:M77,0)&gt;0,IFERROR(VALUE(TRIM(RIGHT(SUBSTITUTE(SUBSTITUTE($A$72:$A$77,")",""),"(",REPT(" ",100)),100))),0)-IFERROR(M72:M77,0),0),0))+SUM(IF(($A$79:$A$90&lt;&gt;"")*(M79:M90&lt;&gt;""),IF(IFERROR(VALUE(TRIM(RIGHT(SUBSTITUTE(SUBSTITUTE($A$79:$A$90,")",""),"(",REPT(" ",100)),100))),0)-IFERROR(M79:M90,0)&gt;0,IFERROR(VALUE(TRIM(RIGHT(SUBSTITUTE(SUBSTITUTE($A$79:$A$90,")",""),"(",REPT(" ",100)),100))),0)-IFERROR(M79:M90,0),0),0))+SUM(IF(($A$93:$A$95&lt;&gt;"")*(M93:M95&lt;&gt;""),IF(IFERROR(VALUE(TRIM(RIGHT(SUBSTITUTE(SUBSTITUTE($A$93:$A$95,")",""),"(",REPT(" ",100)),100))),0)-IFERROR(M93:M95,0)&gt;0,IFERROR(VALUE(TRIM(RIGHT(SUBSTITUTE(SUBSTITUTE($A$93:$A$95,")",""),"(",REPT(" ",100)),100))),0)-IFERROR(M93:M95,0),0),0))</f>
        <v>0</v>
      </c>
      <c r="N160" s="173">
        <f t="array" ref="N160">SUM(IF(($A$11:$A$68&lt;&gt;"")*(N11:N68&lt;&gt;""),IF(IFERROR(VALUE(TRIM(RIGHT(SUBSTITUTE(SUBSTITUTE($A$11:$A$68,")",""),"(",REPT(" ",100)),100))),0)-IFERROR(N11:N68,0)&gt;0,IFERROR(VALUE(TRIM(RIGHT(SUBSTITUTE(SUBSTITUTE($A$11:$A$68,")",""),"(",REPT(" ",100)),100))),0)-IFERROR(N11:N68,0),0),0))+SUM(IF(($A$72:$A$77&lt;&gt;"")*(N72:N77&lt;&gt;""),IF(IFERROR(VALUE(TRIM(RIGHT(SUBSTITUTE(SUBSTITUTE($A$72:$A$77,")",""),"(",REPT(" ",100)),100))),0)-IFERROR(N72:N77,0)&gt;0,IFERROR(VALUE(TRIM(RIGHT(SUBSTITUTE(SUBSTITUTE($A$72:$A$77,")",""),"(",REPT(" ",100)),100))),0)-IFERROR(N72:N77,0),0),0))+SUM(IF(($A$79:$A$90&lt;&gt;"")*(N79:N90&lt;&gt;""),IF(IFERROR(VALUE(TRIM(RIGHT(SUBSTITUTE(SUBSTITUTE($A$79:$A$90,")",""),"(",REPT(" ",100)),100))),0)-IFERROR(N79:N90,0)&gt;0,IFERROR(VALUE(TRIM(RIGHT(SUBSTITUTE(SUBSTITUTE($A$79:$A$90,")",""),"(",REPT(" ",100)),100))),0)-IFERROR(N79:N90,0),0),0))+SUM(IF(($A$93:$A$95&lt;&gt;"")*(N93:N95&lt;&gt;""),IF(IFERROR(VALUE(TRIM(RIGHT(SUBSTITUTE(SUBSTITUTE($A$93:$A$95,")",""),"(",REPT(" ",100)),100))),0)-IFERROR(N93:N95,0)&gt;0,IFERROR(VALUE(TRIM(RIGHT(SUBSTITUTE(SUBSTITUTE($A$93:$A$95,")",""),"(",REPT(" ",100)),100))),0)-IFERROR(N93:N95,0),0),0))</f>
        <v>0</v>
      </c>
      <c r="O160" s="173">
        <f t="array" ref="O160">SUM(IF(($A$11:$A$68&lt;&gt;"")*(O11:O68&lt;&gt;""),IF(IFERROR(VALUE(TRIM(RIGHT(SUBSTITUTE(SUBSTITUTE($A$11:$A$68,")",""),"(",REPT(" ",100)),100))),0)-IFERROR(O11:O68,0)&gt;0,IFERROR(VALUE(TRIM(RIGHT(SUBSTITUTE(SUBSTITUTE($A$11:$A$68,")",""),"(",REPT(" ",100)),100))),0)-IFERROR(O11:O68,0),0),0))+SUM(IF(($A$72:$A$77&lt;&gt;"")*(O72:O77&lt;&gt;""),IF(IFERROR(VALUE(TRIM(RIGHT(SUBSTITUTE(SUBSTITUTE($A$72:$A$77,")",""),"(",REPT(" ",100)),100))),0)-IFERROR(O72:O77,0)&gt;0,IFERROR(VALUE(TRIM(RIGHT(SUBSTITUTE(SUBSTITUTE($A$72:$A$77,")",""),"(",REPT(" ",100)),100))),0)-IFERROR(O72:O77,0),0),0))+SUM(IF(($A$79:$A$90&lt;&gt;"")*(O79:O90&lt;&gt;""),IF(IFERROR(VALUE(TRIM(RIGHT(SUBSTITUTE(SUBSTITUTE($A$79:$A$90,")",""),"(",REPT(" ",100)),100))),0)-IFERROR(O79:O90,0)&gt;0,IFERROR(VALUE(TRIM(RIGHT(SUBSTITUTE(SUBSTITUTE($A$79:$A$90,")",""),"(",REPT(" ",100)),100))),0)-IFERROR(O79:O90,0),0),0))+SUM(IF(($A$93:$A$95&lt;&gt;"")*(O93:O95&lt;&gt;""),IF(IFERROR(VALUE(TRIM(RIGHT(SUBSTITUTE(SUBSTITUTE($A$93:$A$95,")",""),"(",REPT(" ",100)),100))),0)-IFERROR(O93:O95,0)&gt;0,IFERROR(VALUE(TRIM(RIGHT(SUBSTITUTE(SUBSTITUTE($A$93:$A$95,")",""),"(",REPT(" ",100)),100))),0)-IFERROR(O93:O95,0),0),0))</f>
        <v>0</v>
      </c>
      <c r="P160" s="173">
        <f t="array" ref="P160">SUM(IF(($A$11:$A$68&lt;&gt;"")*(P11:P68&lt;&gt;""),IF(IFERROR(VALUE(TRIM(RIGHT(SUBSTITUTE(SUBSTITUTE($A$11:$A$68,")",""),"(",REPT(" ",100)),100))),0)-IFERROR(P11:P68,0)&gt;0,IFERROR(VALUE(TRIM(RIGHT(SUBSTITUTE(SUBSTITUTE($A$11:$A$68,")",""),"(",REPT(" ",100)),100))),0)-IFERROR(P11:P68,0),0),0))+SUM(IF(($A$72:$A$77&lt;&gt;"")*(P72:P77&lt;&gt;""),IF(IFERROR(VALUE(TRIM(RIGHT(SUBSTITUTE(SUBSTITUTE($A$72:$A$77,")",""),"(",REPT(" ",100)),100))),0)-IFERROR(P72:P77,0)&gt;0,IFERROR(VALUE(TRIM(RIGHT(SUBSTITUTE(SUBSTITUTE($A$72:$A$77,")",""),"(",REPT(" ",100)),100))),0)-IFERROR(P72:P77,0),0),0))+SUM(IF(($A$79:$A$90&lt;&gt;"")*(P79:P90&lt;&gt;""),IF(IFERROR(VALUE(TRIM(RIGHT(SUBSTITUTE(SUBSTITUTE($A$79:$A$90,")",""),"(",REPT(" ",100)),100))),0)-IFERROR(P79:P90,0)&gt;0,IFERROR(VALUE(TRIM(RIGHT(SUBSTITUTE(SUBSTITUTE($A$79:$A$90,")",""),"(",REPT(" ",100)),100))),0)-IFERROR(P79:P90,0),0),0))+SUM(IF(($A$93:$A$95&lt;&gt;"")*(P93:P95&lt;&gt;""),IF(IFERROR(VALUE(TRIM(RIGHT(SUBSTITUTE(SUBSTITUTE($A$93:$A$95,")",""),"(",REPT(" ",100)),100))),0)-IFERROR(P93:P95,0)&gt;0,IFERROR(VALUE(TRIM(RIGHT(SUBSTITUTE(SUBSTITUTE($A$93:$A$95,")",""),"(",REPT(" ",100)),100))),0)-IFERROR(P93:P95,0),0),0))</f>
        <v>0</v>
      </c>
      <c r="Q160" s="173">
        <f t="array" ref="Q160">SUM(IF(($A$11:$A$68&lt;&gt;"")*(Q11:Q68&lt;&gt;""),IF(IFERROR(VALUE(TRIM(RIGHT(SUBSTITUTE(SUBSTITUTE($A$11:$A$68,")",""),"(",REPT(" ",100)),100))),0)-IFERROR(Q11:Q68,0)&gt;0,IFERROR(VALUE(TRIM(RIGHT(SUBSTITUTE(SUBSTITUTE($A$11:$A$68,")",""),"(",REPT(" ",100)),100))),0)-IFERROR(Q11:Q68,0),0),0))+SUM(IF(($A$72:$A$77&lt;&gt;"")*(Q72:Q77&lt;&gt;""),IF(IFERROR(VALUE(TRIM(RIGHT(SUBSTITUTE(SUBSTITUTE($A$72:$A$77,")",""),"(",REPT(" ",100)),100))),0)-IFERROR(Q72:Q77,0)&gt;0,IFERROR(VALUE(TRIM(RIGHT(SUBSTITUTE(SUBSTITUTE($A$72:$A$77,")",""),"(",REPT(" ",100)),100))),0)-IFERROR(Q72:Q77,0),0),0))+SUM(IF(($A$79:$A$90&lt;&gt;"")*(Q79:Q90&lt;&gt;""),IF(IFERROR(VALUE(TRIM(RIGHT(SUBSTITUTE(SUBSTITUTE($A$79:$A$90,")",""),"(",REPT(" ",100)),100))),0)-IFERROR(Q79:Q90,0)&gt;0,IFERROR(VALUE(TRIM(RIGHT(SUBSTITUTE(SUBSTITUTE($A$79:$A$90,")",""),"(",REPT(" ",100)),100))),0)-IFERROR(Q79:Q90,0),0),0))+SUM(IF(($A$93:$A$95&lt;&gt;"")*(Q93:Q95&lt;&gt;""),IF(IFERROR(VALUE(TRIM(RIGHT(SUBSTITUTE(SUBSTITUTE($A$93:$A$95,")",""),"(",REPT(" ",100)),100))),0)-IFERROR(Q93:Q95,0)&gt;0,IFERROR(VALUE(TRIM(RIGHT(SUBSTITUTE(SUBSTITUTE($A$93:$A$95,")",""),"(",REPT(" ",100)),100))),0)-IFERROR(Q93:Q95,0),0),0))</f>
        <v>0</v>
      </c>
      <c r="R160" s="173">
        <f t="array" ref="R160">SUM(IF(($A$11:$A$68&lt;&gt;"")*(R11:R68&lt;&gt;""),IF(IFERROR(VALUE(TRIM(RIGHT(SUBSTITUTE(SUBSTITUTE($A$11:$A$68,")",""),"(",REPT(" ",100)),100))),0)-IFERROR(R11:R68,0)&gt;0,IFERROR(VALUE(TRIM(RIGHT(SUBSTITUTE(SUBSTITUTE($A$11:$A$68,")",""),"(",REPT(" ",100)),100))),0)-IFERROR(R11:R68,0),0),0))+SUM(IF(($A$72:$A$77&lt;&gt;"")*(R72:R77&lt;&gt;""),IF(IFERROR(VALUE(TRIM(RIGHT(SUBSTITUTE(SUBSTITUTE($A$72:$A$77,")",""),"(",REPT(" ",100)),100))),0)-IFERROR(R72:R77,0)&gt;0,IFERROR(VALUE(TRIM(RIGHT(SUBSTITUTE(SUBSTITUTE($A$72:$A$77,")",""),"(",REPT(" ",100)),100))),0)-IFERROR(R72:R77,0),0),0))+SUM(IF(($A$79:$A$90&lt;&gt;"")*(R79:R90&lt;&gt;""),IF(IFERROR(VALUE(TRIM(RIGHT(SUBSTITUTE(SUBSTITUTE($A$79:$A$90,")",""),"(",REPT(" ",100)),100))),0)-IFERROR(R79:R90,0)&gt;0,IFERROR(VALUE(TRIM(RIGHT(SUBSTITUTE(SUBSTITUTE($A$79:$A$90,")",""),"(",REPT(" ",100)),100))),0)-IFERROR(R79:R90,0),0),0))+SUM(IF(($A$93:$A$95&lt;&gt;"")*(R93:R95&lt;&gt;""),IF(IFERROR(VALUE(TRIM(RIGHT(SUBSTITUTE(SUBSTITUTE($A$93:$A$95,")",""),"(",REPT(" ",100)),100))),0)-IFERROR(R93:R95,0)&gt;0,IFERROR(VALUE(TRIM(RIGHT(SUBSTITUTE(SUBSTITUTE($A$93:$A$95,")",""),"(",REPT(" ",100)),100))),0)-IFERROR(R93:R95,0),0),0))</f>
        <v>0</v>
      </c>
      <c r="S160" s="173">
        <f t="array" ref="S160">SUM(IF(($A$11:$A$68&lt;&gt;"")*(S11:S68&lt;&gt;""),IF(IFERROR(VALUE(TRIM(RIGHT(SUBSTITUTE(SUBSTITUTE($A$11:$A$68,")",""),"(",REPT(" ",100)),100))),0)-IFERROR(S11:S68,0)&gt;0,IFERROR(VALUE(TRIM(RIGHT(SUBSTITUTE(SUBSTITUTE($A$11:$A$68,")",""),"(",REPT(" ",100)),100))),0)-IFERROR(S11:S68,0),0),0))+SUM(IF(($A$72:$A$77&lt;&gt;"")*(S72:S77&lt;&gt;""),IF(IFERROR(VALUE(TRIM(RIGHT(SUBSTITUTE(SUBSTITUTE($A$72:$A$77,")",""),"(",REPT(" ",100)),100))),0)-IFERROR(S72:S77,0)&gt;0,IFERROR(VALUE(TRIM(RIGHT(SUBSTITUTE(SUBSTITUTE($A$72:$A$77,")",""),"(",REPT(" ",100)),100))),0)-IFERROR(S72:S77,0),0),0))+SUM(IF(($A$79:$A$90&lt;&gt;"")*(S79:S90&lt;&gt;""),IF(IFERROR(VALUE(TRIM(RIGHT(SUBSTITUTE(SUBSTITUTE($A$79:$A$90,")",""),"(",REPT(" ",100)),100))),0)-IFERROR(S79:S90,0)&gt;0,IFERROR(VALUE(TRIM(RIGHT(SUBSTITUTE(SUBSTITUTE($A$79:$A$90,")",""),"(",REPT(" ",100)),100))),0)-IFERROR(S79:S90,0),0),0))+SUM(IF(($A$93:$A$95&lt;&gt;"")*(S93:S95&lt;&gt;""),IF(IFERROR(VALUE(TRIM(RIGHT(SUBSTITUTE(SUBSTITUTE($A$93:$A$95,")",""),"(",REPT(" ",100)),100))),0)-IFERROR(S93:S95,0)&gt;0,IFERROR(VALUE(TRIM(RIGHT(SUBSTITUTE(SUBSTITUTE($A$93:$A$95,")",""),"(",REPT(" ",100)),100))),0)-IFERROR(S93:S95,0),0),0))</f>
        <v>0</v>
      </c>
      <c r="T160" s="173">
        <f t="array" ref="T160">SUM(IF(($A$11:$A$68&lt;&gt;"")*(T11:T68&lt;&gt;""),IF(IFERROR(VALUE(TRIM(RIGHT(SUBSTITUTE(SUBSTITUTE($A$11:$A$68,")",""),"(",REPT(" ",100)),100))),0)-IFERROR(T11:T68,0)&gt;0,IFERROR(VALUE(TRIM(RIGHT(SUBSTITUTE(SUBSTITUTE($A$11:$A$68,")",""),"(",REPT(" ",100)),100))),0)-IFERROR(T11:T68,0),0),0))+SUM(IF(($A$72:$A$77&lt;&gt;"")*(T72:T77&lt;&gt;""),IF(IFERROR(VALUE(TRIM(RIGHT(SUBSTITUTE(SUBSTITUTE($A$72:$A$77,")",""),"(",REPT(" ",100)),100))),0)-IFERROR(T72:T77,0)&gt;0,IFERROR(VALUE(TRIM(RIGHT(SUBSTITUTE(SUBSTITUTE($A$72:$A$77,")",""),"(",REPT(" ",100)),100))),0)-IFERROR(T72:T77,0),0),0))+SUM(IF(($A$79:$A$90&lt;&gt;"")*(T79:T90&lt;&gt;""),IF(IFERROR(VALUE(TRIM(RIGHT(SUBSTITUTE(SUBSTITUTE($A$79:$A$90,")",""),"(",REPT(" ",100)),100))),0)-IFERROR(T79:T90,0)&gt;0,IFERROR(VALUE(TRIM(RIGHT(SUBSTITUTE(SUBSTITUTE($A$79:$A$90,")",""),"(",REPT(" ",100)),100))),0)-IFERROR(T79:T90,0),0),0))+SUM(IF(($A$93:$A$95&lt;&gt;"")*(T93:T95&lt;&gt;""),IF(IFERROR(VALUE(TRIM(RIGHT(SUBSTITUTE(SUBSTITUTE($A$93:$A$95,")",""),"(",REPT(" ",100)),100))),0)-IFERROR(T93:T95,0)&gt;0,IFERROR(VALUE(TRIM(RIGHT(SUBSTITUTE(SUBSTITUTE($A$93:$A$95,")",""),"(",REPT(" ",100)),100))),0)-IFERROR(T93:T95,0),0),0))</f>
        <v>0</v>
      </c>
      <c r="U160" s="173">
        <f t="array" ref="U160">SUM(IF(($A$11:$A$68&lt;&gt;"")*(U11:U68&lt;&gt;""),IF(IFERROR(VALUE(TRIM(RIGHT(SUBSTITUTE(SUBSTITUTE($A$11:$A$68,")",""),"(",REPT(" ",100)),100))),0)-IFERROR(U11:U68,0)&gt;0,IFERROR(VALUE(TRIM(RIGHT(SUBSTITUTE(SUBSTITUTE($A$11:$A$68,")",""),"(",REPT(" ",100)),100))),0)-IFERROR(U11:U68,0),0),0))+SUM(IF(($A$72:$A$77&lt;&gt;"")*(U72:U77&lt;&gt;""),IF(IFERROR(VALUE(TRIM(RIGHT(SUBSTITUTE(SUBSTITUTE($A$72:$A$77,")",""),"(",REPT(" ",100)),100))),0)-IFERROR(U72:U77,0)&gt;0,IFERROR(VALUE(TRIM(RIGHT(SUBSTITUTE(SUBSTITUTE($A$72:$A$77,")",""),"(",REPT(" ",100)),100))),0)-IFERROR(U72:U77,0),0),0))+SUM(IF(($A$79:$A$90&lt;&gt;"")*(U79:U90&lt;&gt;""),IF(IFERROR(VALUE(TRIM(RIGHT(SUBSTITUTE(SUBSTITUTE($A$79:$A$90,")",""),"(",REPT(" ",100)),100))),0)-IFERROR(U79:U90,0)&gt;0,IFERROR(VALUE(TRIM(RIGHT(SUBSTITUTE(SUBSTITUTE($A$79:$A$90,")",""),"(",REPT(" ",100)),100))),0)-IFERROR(U79:U90,0),0),0))+SUM(IF(($A$93:$A$95&lt;&gt;"")*(U93:U95&lt;&gt;""),IF(IFERROR(VALUE(TRIM(RIGHT(SUBSTITUTE(SUBSTITUTE($A$93:$A$95,")",""),"(",REPT(" ",100)),100))),0)-IFERROR(U93:U95,0)&gt;0,IFERROR(VALUE(TRIM(RIGHT(SUBSTITUTE(SUBSTITUTE($A$93:$A$95,")",""),"(",REPT(" ",100)),100))),0)-IFERROR(U93:U95,0),0),0))</f>
        <v>0</v>
      </c>
      <c r="V160" s="173">
        <f t="array" ref="V160">SUM(IF(($A$11:$A$68&lt;&gt;"")*(V11:V68&lt;&gt;""),IF(IFERROR(VALUE(TRIM(RIGHT(SUBSTITUTE(SUBSTITUTE($A$11:$A$68,")",""),"(",REPT(" ",100)),100))),0)-IFERROR(V11:V68,0)&gt;0,IFERROR(VALUE(TRIM(RIGHT(SUBSTITUTE(SUBSTITUTE($A$11:$A$68,")",""),"(",REPT(" ",100)),100))),0)-IFERROR(V11:V68,0),0),0))+SUM(IF(($A$72:$A$77&lt;&gt;"")*(V72:V77&lt;&gt;""),IF(IFERROR(VALUE(TRIM(RIGHT(SUBSTITUTE(SUBSTITUTE($A$72:$A$77,")",""),"(",REPT(" ",100)),100))),0)-IFERROR(V72:V77,0)&gt;0,IFERROR(VALUE(TRIM(RIGHT(SUBSTITUTE(SUBSTITUTE($A$72:$A$77,")",""),"(",REPT(" ",100)),100))),0)-IFERROR(V72:V77,0),0),0))+SUM(IF(($A$79:$A$90&lt;&gt;"")*(V79:V90&lt;&gt;""),IF(IFERROR(VALUE(TRIM(RIGHT(SUBSTITUTE(SUBSTITUTE($A$79:$A$90,")",""),"(",REPT(" ",100)),100))),0)-IFERROR(V79:V90,0)&gt;0,IFERROR(VALUE(TRIM(RIGHT(SUBSTITUTE(SUBSTITUTE($A$79:$A$90,")",""),"(",REPT(" ",100)),100))),0)-IFERROR(V79:V90,0),0),0))+SUM(IF(($A$93:$A$95&lt;&gt;"")*(V93:V95&lt;&gt;""),IF(IFERROR(VALUE(TRIM(RIGHT(SUBSTITUTE(SUBSTITUTE($A$93:$A$95,")",""),"(",REPT(" ",100)),100))),0)-IFERROR(V93:V95,0)&gt;0,IFERROR(VALUE(TRIM(RIGHT(SUBSTITUTE(SUBSTITUTE($A$93:$A$95,")",""),"(",REPT(" ",100)),100))),0)-IFERROR(V93:V95,0),0),0))</f>
        <v>0</v>
      </c>
      <c r="W160" s="173">
        <f t="array" ref="W160">SUM(IF(($A$11:$A$68&lt;&gt;"")*(W11:W68&lt;&gt;""),IF(IFERROR(VALUE(TRIM(RIGHT(SUBSTITUTE(SUBSTITUTE($A$11:$A$68,")",""),"(",REPT(" ",100)),100))),0)-IFERROR(W11:W68,0)&gt;0,IFERROR(VALUE(TRIM(RIGHT(SUBSTITUTE(SUBSTITUTE($A$11:$A$68,")",""),"(",REPT(" ",100)),100))),0)-IFERROR(W11:W68,0),0),0))+SUM(IF(($A$72:$A$77&lt;&gt;"")*(W72:W77&lt;&gt;""),IF(IFERROR(VALUE(TRIM(RIGHT(SUBSTITUTE(SUBSTITUTE($A$72:$A$77,")",""),"(",REPT(" ",100)),100))),0)-IFERROR(W72:W77,0)&gt;0,IFERROR(VALUE(TRIM(RIGHT(SUBSTITUTE(SUBSTITUTE($A$72:$A$77,")",""),"(",REPT(" ",100)),100))),0)-IFERROR(W72:W77,0),0),0))+SUM(IF(($A$79:$A$90&lt;&gt;"")*(W79:W90&lt;&gt;""),IF(IFERROR(VALUE(TRIM(RIGHT(SUBSTITUTE(SUBSTITUTE($A$79:$A$90,")",""),"(",REPT(" ",100)),100))),0)-IFERROR(W79:W90,0)&gt;0,IFERROR(VALUE(TRIM(RIGHT(SUBSTITUTE(SUBSTITUTE($A$79:$A$90,")",""),"(",REPT(" ",100)),100))),0)-IFERROR(W79:W90,0),0),0))+SUM(IF(($A$93:$A$95&lt;&gt;"")*(W93:W95&lt;&gt;""),IF(IFERROR(VALUE(TRIM(RIGHT(SUBSTITUTE(SUBSTITUTE($A$93:$A$95,")",""),"(",REPT(" ",100)),100))),0)-IFERROR(W93:W95,0)&gt;0,IFERROR(VALUE(TRIM(RIGHT(SUBSTITUTE(SUBSTITUTE($A$93:$A$95,")",""),"(",REPT(" ",100)),100))),0)-IFERROR(W93:W95,0),0),0))</f>
        <v>0</v>
      </c>
      <c r="X160" s="173">
        <f t="array" ref="X160">SUM(IF(($A$11:$A$68&lt;&gt;"")*(X11:X68&lt;&gt;""),IF(IFERROR(VALUE(TRIM(RIGHT(SUBSTITUTE(SUBSTITUTE($A$11:$A$68,")",""),"(",REPT(" ",100)),100))),0)-IFERROR(X11:X68,0)&gt;0,IFERROR(VALUE(TRIM(RIGHT(SUBSTITUTE(SUBSTITUTE($A$11:$A$68,")",""),"(",REPT(" ",100)),100))),0)-IFERROR(X11:X68,0),0),0))+SUM(IF(($A$72:$A$77&lt;&gt;"")*(X72:X77&lt;&gt;""),IF(IFERROR(VALUE(TRIM(RIGHT(SUBSTITUTE(SUBSTITUTE($A$72:$A$77,")",""),"(",REPT(" ",100)),100))),0)-IFERROR(X72:X77,0)&gt;0,IFERROR(VALUE(TRIM(RIGHT(SUBSTITUTE(SUBSTITUTE($A$72:$A$77,")",""),"(",REPT(" ",100)),100))),0)-IFERROR(X72:X77,0),0),0))+SUM(IF(($A$79:$A$90&lt;&gt;"")*(X79:X90&lt;&gt;""),IF(IFERROR(VALUE(TRIM(RIGHT(SUBSTITUTE(SUBSTITUTE($A$79:$A$90,")",""),"(",REPT(" ",100)),100))),0)-IFERROR(X79:X90,0)&gt;0,IFERROR(VALUE(TRIM(RIGHT(SUBSTITUTE(SUBSTITUTE($A$79:$A$90,")",""),"(",REPT(" ",100)),100))),0)-IFERROR(X79:X90,0),0),0))+SUM(IF(($A$93:$A$95&lt;&gt;"")*(X93:X95&lt;&gt;""),IF(IFERROR(VALUE(TRIM(RIGHT(SUBSTITUTE(SUBSTITUTE($A$93:$A$95,")",""),"(",REPT(" ",100)),100))),0)-IFERROR(X93:X95,0)&gt;0,IFERROR(VALUE(TRIM(RIGHT(SUBSTITUTE(SUBSTITUTE($A$93:$A$95,")",""),"(",REPT(" ",100)),100))),0)-IFERROR(X93:X95,0),0),0))</f>
        <v>0</v>
      </c>
      <c r="Y160" s="173">
        <f t="array" ref="Y160">SUM(IF(($A$11:$A$68&lt;&gt;"")*(Y11:Y68&lt;&gt;""),IF(IFERROR(VALUE(TRIM(RIGHT(SUBSTITUTE(SUBSTITUTE($A$11:$A$68,")",""),"(",REPT(" ",100)),100))),0)-IFERROR(Y11:Y68,0)&gt;0,IFERROR(VALUE(TRIM(RIGHT(SUBSTITUTE(SUBSTITUTE($A$11:$A$68,")",""),"(",REPT(" ",100)),100))),0)-IFERROR(Y11:Y68,0),0),0))+SUM(IF(($A$72:$A$77&lt;&gt;"")*(Y72:Y77&lt;&gt;""),IF(IFERROR(VALUE(TRIM(RIGHT(SUBSTITUTE(SUBSTITUTE($A$72:$A$77,")",""),"(",REPT(" ",100)),100))),0)-IFERROR(Y72:Y77,0)&gt;0,IFERROR(VALUE(TRIM(RIGHT(SUBSTITUTE(SUBSTITUTE($A$72:$A$77,")",""),"(",REPT(" ",100)),100))),0)-IFERROR(Y72:Y77,0),0),0))+SUM(IF(($A$79:$A$90&lt;&gt;"")*(Y79:Y90&lt;&gt;""),IF(IFERROR(VALUE(TRIM(RIGHT(SUBSTITUTE(SUBSTITUTE($A$79:$A$90,")",""),"(",REPT(" ",100)),100))),0)-IFERROR(Y79:Y90,0)&gt;0,IFERROR(VALUE(TRIM(RIGHT(SUBSTITUTE(SUBSTITUTE($A$79:$A$90,")",""),"(",REPT(" ",100)),100))),0)-IFERROR(Y79:Y90,0),0),0))+SUM(IF(($A$93:$A$95&lt;&gt;"")*(Y93:Y95&lt;&gt;""),IF(IFERROR(VALUE(TRIM(RIGHT(SUBSTITUTE(SUBSTITUTE($A$93:$A$95,")",""),"(",REPT(" ",100)),100))),0)-IFERROR(Y93:Y95,0)&gt;0,IFERROR(VALUE(TRIM(RIGHT(SUBSTITUTE(SUBSTITUTE($A$93:$A$95,")",""),"(",REPT(" ",100)),100))),0)-IFERROR(Y93:Y95,0),0),0))</f>
        <v>0</v>
      </c>
      <c r="Z160" s="173">
        <f t="array" ref="Z160">SUM(IF(($A$11:$A$68&lt;&gt;"")*(Z11:Z68&lt;&gt;""),IF(IFERROR(VALUE(TRIM(RIGHT(SUBSTITUTE(SUBSTITUTE($A$11:$A$68,")",""),"(",REPT(" ",100)),100))),0)-IFERROR(Z11:Z68,0)&gt;0,IFERROR(VALUE(TRIM(RIGHT(SUBSTITUTE(SUBSTITUTE($A$11:$A$68,")",""),"(",REPT(" ",100)),100))),0)-IFERROR(Z11:Z68,0),0),0))+SUM(IF(($A$72:$A$77&lt;&gt;"")*(Z72:Z77&lt;&gt;""),IF(IFERROR(VALUE(TRIM(RIGHT(SUBSTITUTE(SUBSTITUTE($A$72:$A$77,")",""),"(",REPT(" ",100)),100))),0)-IFERROR(Z72:Z77,0)&gt;0,IFERROR(VALUE(TRIM(RIGHT(SUBSTITUTE(SUBSTITUTE($A$72:$A$77,")",""),"(",REPT(" ",100)),100))),0)-IFERROR(Z72:Z77,0),0),0))+SUM(IF(($A$79:$A$90&lt;&gt;"")*(Z79:Z90&lt;&gt;""),IF(IFERROR(VALUE(TRIM(RIGHT(SUBSTITUTE(SUBSTITUTE($A$79:$A$90,")",""),"(",REPT(" ",100)),100))),0)-IFERROR(Z79:Z90,0)&gt;0,IFERROR(VALUE(TRIM(RIGHT(SUBSTITUTE(SUBSTITUTE($A$79:$A$90,")",""),"(",REPT(" ",100)),100))),0)-IFERROR(Z79:Z90,0),0),0))+SUM(IF(($A$93:$A$95&lt;&gt;"")*(Z93:Z95&lt;&gt;""),IF(IFERROR(VALUE(TRIM(RIGHT(SUBSTITUTE(SUBSTITUTE($A$93:$A$95,")",""),"(",REPT(" ",100)),100))),0)-IFERROR(Z93:Z95,0)&gt;0,IFERROR(VALUE(TRIM(RIGHT(SUBSTITUTE(SUBSTITUTE($A$93:$A$95,")",""),"(",REPT(" ",100)),100))),0)-IFERROR(Z93:Z95,0),0),0))</f>
        <v>0</v>
      </c>
      <c r="AA160" s="173">
        <f t="array" ref="AA160">SUM(IF(($A$11:$A$68&lt;&gt;"")*(AA11:AA68&lt;&gt;""),IF(IFERROR(VALUE(TRIM(RIGHT(SUBSTITUTE(SUBSTITUTE($A$11:$A$68,")",""),"(",REPT(" ",100)),100))),0)-IFERROR(AA11:AA68,0)&gt;0,IFERROR(VALUE(TRIM(RIGHT(SUBSTITUTE(SUBSTITUTE($A$11:$A$68,")",""),"(",REPT(" ",100)),100))),0)-IFERROR(AA11:AA68,0),0),0))+SUM(IF(($A$72:$A$77&lt;&gt;"")*(AA72:AA77&lt;&gt;""),IF(IFERROR(VALUE(TRIM(RIGHT(SUBSTITUTE(SUBSTITUTE($A$72:$A$77,")",""),"(",REPT(" ",100)),100))),0)-IFERROR(AA72:AA77,0)&gt;0,IFERROR(VALUE(TRIM(RIGHT(SUBSTITUTE(SUBSTITUTE($A$72:$A$77,")",""),"(",REPT(" ",100)),100))),0)-IFERROR(AA72:AA77,0),0),0))+SUM(IF(($A$79:$A$90&lt;&gt;"")*(AA79:AA90&lt;&gt;""),IF(IFERROR(VALUE(TRIM(RIGHT(SUBSTITUTE(SUBSTITUTE($A$79:$A$90,")",""),"(",REPT(" ",100)),100))),0)-IFERROR(AA79:AA90,0)&gt;0,IFERROR(VALUE(TRIM(RIGHT(SUBSTITUTE(SUBSTITUTE($A$79:$A$90,")",""),"(",REPT(" ",100)),100))),0)-IFERROR(AA79:AA90,0),0),0))+SUM(IF(($A$93:$A$95&lt;&gt;"")*(AA93:AA95&lt;&gt;""),IF(IFERROR(VALUE(TRIM(RIGHT(SUBSTITUTE(SUBSTITUTE($A$93:$A$95,")",""),"(",REPT(" ",100)),100))),0)-IFERROR(AA93:AA95,0)&gt;0,IFERROR(VALUE(TRIM(RIGHT(SUBSTITUTE(SUBSTITUTE($A$93:$A$95,")",""),"(",REPT(" ",100)),100))),0)-IFERROR(AA93:AA95,0),0),0))</f>
        <v>0</v>
      </c>
      <c r="AB160" s="173">
        <f t="array" ref="AB160">SUM(IF(($A$11:$A$68&lt;&gt;"")*(AB11:AB68&lt;&gt;""),IF(IFERROR(VALUE(TRIM(RIGHT(SUBSTITUTE(SUBSTITUTE($A$11:$A$68,")",""),"(",REPT(" ",100)),100))),0)-IFERROR(AB11:AB68,0)&gt;0,IFERROR(VALUE(TRIM(RIGHT(SUBSTITUTE(SUBSTITUTE($A$11:$A$68,")",""),"(",REPT(" ",100)),100))),0)-IFERROR(AB11:AB68,0),0),0))+SUM(IF(($A$72:$A$77&lt;&gt;"")*(AB72:AB77&lt;&gt;""),IF(IFERROR(VALUE(TRIM(RIGHT(SUBSTITUTE(SUBSTITUTE($A$72:$A$77,")",""),"(",REPT(" ",100)),100))),0)-IFERROR(AB72:AB77,0)&gt;0,IFERROR(VALUE(TRIM(RIGHT(SUBSTITUTE(SUBSTITUTE($A$72:$A$77,")",""),"(",REPT(" ",100)),100))),0)-IFERROR(AB72:AB77,0),0),0))+SUM(IF(($A$79:$A$90&lt;&gt;"")*(AB79:AB90&lt;&gt;""),IF(IFERROR(VALUE(TRIM(RIGHT(SUBSTITUTE(SUBSTITUTE($A$79:$A$90,")",""),"(",REPT(" ",100)),100))),0)-IFERROR(AB79:AB90,0)&gt;0,IFERROR(VALUE(TRIM(RIGHT(SUBSTITUTE(SUBSTITUTE($A$79:$A$90,")",""),"(",REPT(" ",100)),100))),0)-IFERROR(AB79:AB90,0),0),0))+SUM(IF(($A$93:$A$95&lt;&gt;"")*(AB93:AB95&lt;&gt;""),IF(IFERROR(VALUE(TRIM(RIGHT(SUBSTITUTE(SUBSTITUTE($A$93:$A$95,")",""),"(",REPT(" ",100)),100))),0)-IFERROR(AB93:AB95,0)&gt;0,IFERROR(VALUE(TRIM(RIGHT(SUBSTITUTE(SUBSTITUTE($A$93:$A$95,")",""),"(",REPT(" ",100)),100))),0)-IFERROR(AB93:AB95,0),0),0))</f>
        <v>0</v>
      </c>
      <c r="AC160" s="173">
        <f t="array" ref="AC160">SUM(IF(($A$11:$A$68&lt;&gt;"")*(AC11:AC68&lt;&gt;""),IF(IFERROR(VALUE(TRIM(RIGHT(SUBSTITUTE(SUBSTITUTE($A$11:$A$68,")",""),"(",REPT(" ",100)),100))),0)-IFERROR(AC11:AC68,0)&gt;0,IFERROR(VALUE(TRIM(RIGHT(SUBSTITUTE(SUBSTITUTE($A$11:$A$68,")",""),"(",REPT(" ",100)),100))),0)-IFERROR(AC11:AC68,0),0),0))+SUM(IF(($A$72:$A$77&lt;&gt;"")*(AC72:AC77&lt;&gt;""),IF(IFERROR(VALUE(TRIM(RIGHT(SUBSTITUTE(SUBSTITUTE($A$72:$A$77,")",""),"(",REPT(" ",100)),100))),0)-IFERROR(AC72:AC77,0)&gt;0,IFERROR(VALUE(TRIM(RIGHT(SUBSTITUTE(SUBSTITUTE($A$72:$A$77,")",""),"(",REPT(" ",100)),100))),0)-IFERROR(AC72:AC77,0),0),0))+SUM(IF(($A$79:$A$90&lt;&gt;"")*(AC79:AC90&lt;&gt;""),IF(IFERROR(VALUE(TRIM(RIGHT(SUBSTITUTE(SUBSTITUTE($A$79:$A$90,")",""),"(",REPT(" ",100)),100))),0)-IFERROR(AC79:AC90,0)&gt;0,IFERROR(VALUE(TRIM(RIGHT(SUBSTITUTE(SUBSTITUTE($A$79:$A$90,")",""),"(",REPT(" ",100)),100))),0)-IFERROR(AC79:AC90,0),0),0))+SUM(IF(($A$93:$A$95&lt;&gt;"")*(AC93:AC95&lt;&gt;""),IF(IFERROR(VALUE(TRIM(RIGHT(SUBSTITUTE(SUBSTITUTE($A$93:$A$95,")",""),"(",REPT(" ",100)),100))),0)-IFERROR(AC93:AC95,0)&gt;0,IFERROR(VALUE(TRIM(RIGHT(SUBSTITUTE(SUBSTITUTE($A$93:$A$95,")",""),"(",REPT(" ",100)),100))),0)-IFERROR(AC93:AC95,0),0),0))</f>
        <v>0</v>
      </c>
      <c r="AD160" s="173">
        <f t="array" ref="AD160">SUM(IF(($A$11:$A$68&lt;&gt;"")*(AD11:AD68&lt;&gt;""),IF(IFERROR(VALUE(TRIM(RIGHT(SUBSTITUTE(SUBSTITUTE($A$11:$A$68,")",""),"(",REPT(" ",100)),100))),0)-IFERROR(AD11:AD68,0)&gt;0,IFERROR(VALUE(TRIM(RIGHT(SUBSTITUTE(SUBSTITUTE($A$11:$A$68,")",""),"(",REPT(" ",100)),100))),0)-IFERROR(AD11:AD68,0),0),0))+SUM(IF(($A$72:$A$77&lt;&gt;"")*(AD72:AD77&lt;&gt;""),IF(IFERROR(VALUE(TRIM(RIGHT(SUBSTITUTE(SUBSTITUTE($A$72:$A$77,")",""),"(",REPT(" ",100)),100))),0)-IFERROR(AD72:AD77,0)&gt;0,IFERROR(VALUE(TRIM(RIGHT(SUBSTITUTE(SUBSTITUTE($A$72:$A$77,")",""),"(",REPT(" ",100)),100))),0)-IFERROR(AD72:AD77,0),0),0))+SUM(IF(($A$79:$A$90&lt;&gt;"")*(AD79:AD90&lt;&gt;""),IF(IFERROR(VALUE(TRIM(RIGHT(SUBSTITUTE(SUBSTITUTE($A$79:$A$90,")",""),"(",REPT(" ",100)),100))),0)-IFERROR(AD79:AD90,0)&gt;0,IFERROR(VALUE(TRIM(RIGHT(SUBSTITUTE(SUBSTITUTE($A$79:$A$90,")",""),"(",REPT(" ",100)),100))),0)-IFERROR(AD79:AD90,0),0),0))+SUM(IF(($A$93:$A$95&lt;&gt;"")*(AD93:AD95&lt;&gt;""),IF(IFERROR(VALUE(TRIM(RIGHT(SUBSTITUTE(SUBSTITUTE($A$93:$A$95,")",""),"(",REPT(" ",100)),100))),0)-IFERROR(AD93:AD95,0)&gt;0,IFERROR(VALUE(TRIM(RIGHT(SUBSTITUTE(SUBSTITUTE($A$93:$A$95,")",""),"(",REPT(" ",100)),100))),0)-IFERROR(AD93:AD95,0),0),0))</f>
        <v>0</v>
      </c>
      <c r="AE160" s="173">
        <f t="array" ref="AE160">SUM(IF(($A$11:$A$68&lt;&gt;"")*(AE11:AE68&lt;&gt;""),IF(IFERROR(VALUE(TRIM(RIGHT(SUBSTITUTE(SUBSTITUTE($A$11:$A$68,")",""),"(",REPT(" ",100)),100))),0)-IFERROR(AE11:AE68,0)&gt;0,IFERROR(VALUE(TRIM(RIGHT(SUBSTITUTE(SUBSTITUTE($A$11:$A$68,")",""),"(",REPT(" ",100)),100))),0)-IFERROR(AE11:AE68,0),0),0))+SUM(IF(($A$72:$A$77&lt;&gt;"")*(AE72:AE77&lt;&gt;""),IF(IFERROR(VALUE(TRIM(RIGHT(SUBSTITUTE(SUBSTITUTE($A$72:$A$77,")",""),"(",REPT(" ",100)),100))),0)-IFERROR(AE72:AE77,0)&gt;0,IFERROR(VALUE(TRIM(RIGHT(SUBSTITUTE(SUBSTITUTE($A$72:$A$77,")",""),"(",REPT(" ",100)),100))),0)-IFERROR(AE72:AE77,0),0),0))+SUM(IF(($A$79:$A$90&lt;&gt;"")*(AE79:AE90&lt;&gt;""),IF(IFERROR(VALUE(TRIM(RIGHT(SUBSTITUTE(SUBSTITUTE($A$79:$A$90,")",""),"(",REPT(" ",100)),100))),0)-IFERROR(AE79:AE90,0)&gt;0,IFERROR(VALUE(TRIM(RIGHT(SUBSTITUTE(SUBSTITUTE($A$79:$A$90,")",""),"(",REPT(" ",100)),100))),0)-IFERROR(AE79:AE90,0),0),0))+SUM(IF(($A$93:$A$95&lt;&gt;"")*(AE93:AE95&lt;&gt;""),IF(IFERROR(VALUE(TRIM(RIGHT(SUBSTITUTE(SUBSTITUTE($A$93:$A$95,")",""),"(",REPT(" ",100)),100))),0)-IFERROR(AE93:AE95,0)&gt;0,IFERROR(VALUE(TRIM(RIGHT(SUBSTITUTE(SUBSTITUTE($A$93:$A$95,")",""),"(",REPT(" ",100)),100))),0)-IFERROR(AE93:AE95,0),0),0))</f>
        <v>0</v>
      </c>
      <c r="AF160" s="173">
        <f t="array" ref="AF160">SUM(IF(($A$11:$A$68&lt;&gt;"")*(AF11:AF68&lt;&gt;""),IF(IFERROR(VALUE(TRIM(RIGHT(SUBSTITUTE(SUBSTITUTE($A$11:$A$68,")",""),"(",REPT(" ",100)),100))),0)-IFERROR(AF11:AF68,0)&gt;0,IFERROR(VALUE(TRIM(RIGHT(SUBSTITUTE(SUBSTITUTE($A$11:$A$68,")",""),"(",REPT(" ",100)),100))),0)-IFERROR(AF11:AF68,0),0),0))+SUM(IF(($A$72:$A$77&lt;&gt;"")*(AF72:AF77&lt;&gt;""),IF(IFERROR(VALUE(TRIM(RIGHT(SUBSTITUTE(SUBSTITUTE($A$72:$A$77,")",""),"(",REPT(" ",100)),100))),0)-IFERROR(AF72:AF77,0)&gt;0,IFERROR(VALUE(TRIM(RIGHT(SUBSTITUTE(SUBSTITUTE($A$72:$A$77,")",""),"(",REPT(" ",100)),100))),0)-IFERROR(AF72:AF77,0),0),0))+SUM(IF(($A$79:$A$90&lt;&gt;"")*(AF79:AF90&lt;&gt;""),IF(IFERROR(VALUE(TRIM(RIGHT(SUBSTITUTE(SUBSTITUTE($A$79:$A$90,")",""),"(",REPT(" ",100)),100))),0)-IFERROR(AF79:AF90,0)&gt;0,IFERROR(VALUE(TRIM(RIGHT(SUBSTITUTE(SUBSTITUTE($A$79:$A$90,")",""),"(",REPT(" ",100)),100))),0)-IFERROR(AF79:AF90,0),0),0))+SUM(IF(($A$93:$A$95&lt;&gt;"")*(AF93:AF95&lt;&gt;""),IF(IFERROR(VALUE(TRIM(RIGHT(SUBSTITUTE(SUBSTITUTE($A$93:$A$95,")",""),"(",REPT(" ",100)),100))),0)-IFERROR(AF93:AF95,0)&gt;0,IFERROR(VALUE(TRIM(RIGHT(SUBSTITUTE(SUBSTITUTE($A$93:$A$95,")",""),"(",REPT(" ",100)),100))),0)-IFERROR(AF93:AF95,0),0),0))</f>
        <v>0</v>
      </c>
      <c r="AG160" s="186"/>
      <c r="AH160" s="46"/>
      <c r="AI160" s="47"/>
      <c r="AK160" s="49"/>
      <c r="AL160" s="138" t="s">
        <v>200</v>
      </c>
      <c r="AM160" s="139">
        <v>55</v>
      </c>
      <c r="AN160" s="139">
        <f>AN$158*AM160</f>
        <v>55</v>
      </c>
      <c r="AO160" s="141">
        <f t="shared" si="44"/>
        <v>0</v>
      </c>
    </row>
    <row r="161" spans="1:41" ht="15.75" thickBot="1" x14ac:dyDescent="0.3">
      <c r="A161" s="26" t="s">
        <v>116</v>
      </c>
      <c r="B161" s="176"/>
      <c r="C161" s="176"/>
      <c r="D161" s="176"/>
      <c r="E161" s="176"/>
      <c r="F161" s="176"/>
      <c r="G161" s="176"/>
      <c r="H161" s="176"/>
      <c r="I161" s="176"/>
      <c r="J161" s="176"/>
      <c r="K161" s="176"/>
      <c r="L161" s="176"/>
      <c r="M161" s="176"/>
      <c r="N161" s="176"/>
      <c r="O161" s="176"/>
      <c r="P161" s="176"/>
      <c r="Q161" s="176"/>
      <c r="R161" s="176"/>
      <c r="S161" s="176"/>
      <c r="T161" s="176"/>
      <c r="U161" s="176"/>
      <c r="V161" s="176"/>
      <c r="W161" s="176"/>
      <c r="X161" s="176"/>
      <c r="Y161" s="176"/>
      <c r="Z161" s="176"/>
      <c r="AA161" s="176"/>
      <c r="AB161" s="176"/>
      <c r="AC161" s="176"/>
      <c r="AD161" s="176"/>
      <c r="AE161" s="176"/>
      <c r="AF161" s="176"/>
      <c r="AG161" s="187"/>
      <c r="AH161" s="46"/>
      <c r="AI161" s="47"/>
      <c r="AK161" s="49"/>
      <c r="AL161" s="188" t="s">
        <v>201</v>
      </c>
      <c r="AM161" s="139">
        <v>29</v>
      </c>
      <c r="AN161" s="139">
        <f>AN$158*AM161</f>
        <v>29</v>
      </c>
      <c r="AO161" s="139">
        <f t="shared" si="44"/>
        <v>0</v>
      </c>
    </row>
    <row r="162" spans="1:41" x14ac:dyDescent="0.25">
      <c r="A162" s="115" t="s">
        <v>202</v>
      </c>
      <c r="B162" s="189">
        <v>0.3</v>
      </c>
      <c r="C162" s="189">
        <f t="shared" ref="C162:R167" si="45">B162</f>
        <v>0.3</v>
      </c>
      <c r="D162" s="189">
        <f t="shared" si="45"/>
        <v>0.3</v>
      </c>
      <c r="E162" s="189">
        <f t="shared" si="45"/>
        <v>0.3</v>
      </c>
      <c r="F162" s="189">
        <f t="shared" si="45"/>
        <v>0.3</v>
      </c>
      <c r="G162" s="189">
        <f t="shared" si="45"/>
        <v>0.3</v>
      </c>
      <c r="H162" s="189">
        <f t="shared" si="45"/>
        <v>0.3</v>
      </c>
      <c r="I162" s="189">
        <f t="shared" si="45"/>
        <v>0.3</v>
      </c>
      <c r="J162" s="189">
        <f t="shared" si="45"/>
        <v>0.3</v>
      </c>
      <c r="K162" s="189">
        <f t="shared" si="45"/>
        <v>0.3</v>
      </c>
      <c r="L162" s="189">
        <f t="shared" si="45"/>
        <v>0.3</v>
      </c>
      <c r="M162" s="189">
        <f t="shared" si="45"/>
        <v>0.3</v>
      </c>
      <c r="N162" s="189">
        <f t="shared" si="45"/>
        <v>0.3</v>
      </c>
      <c r="O162" s="189">
        <f t="shared" si="45"/>
        <v>0.3</v>
      </c>
      <c r="P162" s="189">
        <f t="shared" si="45"/>
        <v>0.3</v>
      </c>
      <c r="Q162" s="189">
        <f t="shared" si="45"/>
        <v>0.3</v>
      </c>
      <c r="R162" s="189">
        <f t="shared" si="45"/>
        <v>0.3</v>
      </c>
      <c r="S162" s="189">
        <f t="shared" ref="S162:AF167" si="46">R162</f>
        <v>0.3</v>
      </c>
      <c r="T162" s="189">
        <f t="shared" si="46"/>
        <v>0.3</v>
      </c>
      <c r="U162" s="189">
        <f t="shared" si="46"/>
        <v>0.3</v>
      </c>
      <c r="V162" s="189">
        <f t="shared" si="46"/>
        <v>0.3</v>
      </c>
      <c r="W162" s="189">
        <f t="shared" si="46"/>
        <v>0.3</v>
      </c>
      <c r="X162" s="189">
        <f t="shared" si="46"/>
        <v>0.3</v>
      </c>
      <c r="Y162" s="189">
        <f t="shared" si="46"/>
        <v>0.3</v>
      </c>
      <c r="Z162" s="189">
        <f t="shared" si="46"/>
        <v>0.3</v>
      </c>
      <c r="AA162" s="189">
        <f t="shared" si="46"/>
        <v>0.3</v>
      </c>
      <c r="AB162" s="189">
        <f t="shared" si="46"/>
        <v>0.3</v>
      </c>
      <c r="AC162" s="189">
        <f t="shared" si="46"/>
        <v>0.3</v>
      </c>
      <c r="AD162" s="189">
        <f t="shared" si="46"/>
        <v>0.3</v>
      </c>
      <c r="AE162" s="189">
        <f t="shared" si="46"/>
        <v>0.3</v>
      </c>
      <c r="AF162" s="189">
        <f t="shared" si="46"/>
        <v>0.3</v>
      </c>
      <c r="AG162" s="190">
        <v>2.4</v>
      </c>
      <c r="AH162" s="46"/>
      <c r="AI162" s="47"/>
      <c r="AK162" s="49"/>
      <c r="AL162" s="188" t="s">
        <v>203</v>
      </c>
      <c r="AM162" s="139">
        <v>28</v>
      </c>
      <c r="AN162" s="139">
        <f t="shared" ref="AN162:AN167" si="47">AN$158*AM162</f>
        <v>28</v>
      </c>
      <c r="AO162" s="139">
        <f t="shared" si="44"/>
        <v>0</v>
      </c>
    </row>
    <row r="163" spans="1:41" x14ac:dyDescent="0.25">
      <c r="A163" s="118" t="s">
        <v>204</v>
      </c>
      <c r="B163" s="191">
        <v>0.4</v>
      </c>
      <c r="C163" s="191">
        <f t="shared" si="45"/>
        <v>0.4</v>
      </c>
      <c r="D163" s="191">
        <f t="shared" si="45"/>
        <v>0.4</v>
      </c>
      <c r="E163" s="191">
        <f t="shared" si="45"/>
        <v>0.4</v>
      </c>
      <c r="F163" s="191">
        <f t="shared" si="45"/>
        <v>0.4</v>
      </c>
      <c r="G163" s="191">
        <f t="shared" si="45"/>
        <v>0.4</v>
      </c>
      <c r="H163" s="191">
        <f t="shared" si="45"/>
        <v>0.4</v>
      </c>
      <c r="I163" s="191">
        <f t="shared" si="45"/>
        <v>0.4</v>
      </c>
      <c r="J163" s="191">
        <f t="shared" si="45"/>
        <v>0.4</v>
      </c>
      <c r="K163" s="191">
        <f t="shared" si="45"/>
        <v>0.4</v>
      </c>
      <c r="L163" s="191">
        <f t="shared" si="45"/>
        <v>0.4</v>
      </c>
      <c r="M163" s="191">
        <f t="shared" si="45"/>
        <v>0.4</v>
      </c>
      <c r="N163" s="191">
        <f t="shared" si="45"/>
        <v>0.4</v>
      </c>
      <c r="O163" s="191">
        <f t="shared" si="45"/>
        <v>0.4</v>
      </c>
      <c r="P163" s="191">
        <f t="shared" si="45"/>
        <v>0.4</v>
      </c>
      <c r="Q163" s="191">
        <f t="shared" si="45"/>
        <v>0.4</v>
      </c>
      <c r="R163" s="191">
        <f t="shared" si="45"/>
        <v>0.4</v>
      </c>
      <c r="S163" s="191">
        <f t="shared" si="46"/>
        <v>0.4</v>
      </c>
      <c r="T163" s="191">
        <f t="shared" si="46"/>
        <v>0.4</v>
      </c>
      <c r="U163" s="191">
        <f t="shared" si="46"/>
        <v>0.4</v>
      </c>
      <c r="V163" s="191">
        <f t="shared" si="46"/>
        <v>0.4</v>
      </c>
      <c r="W163" s="191">
        <f t="shared" si="46"/>
        <v>0.4</v>
      </c>
      <c r="X163" s="191">
        <f t="shared" si="46"/>
        <v>0.4</v>
      </c>
      <c r="Y163" s="191">
        <f t="shared" si="46"/>
        <v>0.4</v>
      </c>
      <c r="Z163" s="191">
        <f t="shared" si="46"/>
        <v>0.4</v>
      </c>
      <c r="AA163" s="191">
        <f t="shared" si="46"/>
        <v>0.4</v>
      </c>
      <c r="AB163" s="191">
        <f t="shared" si="46"/>
        <v>0.4</v>
      </c>
      <c r="AC163" s="191">
        <f t="shared" si="46"/>
        <v>0.4</v>
      </c>
      <c r="AD163" s="191">
        <f t="shared" si="46"/>
        <v>0.4</v>
      </c>
      <c r="AE163" s="191">
        <f t="shared" si="46"/>
        <v>0.4</v>
      </c>
      <c r="AF163" s="191">
        <f t="shared" si="46"/>
        <v>0.4</v>
      </c>
      <c r="AG163" s="192">
        <v>2</v>
      </c>
      <c r="AH163" s="46"/>
      <c r="AI163" s="47"/>
      <c r="AK163" s="49"/>
      <c r="AL163" s="138" t="s">
        <v>205</v>
      </c>
      <c r="AM163" s="139">
        <v>60</v>
      </c>
      <c r="AN163" s="139">
        <f t="shared" si="47"/>
        <v>60</v>
      </c>
      <c r="AO163" s="141">
        <f t="shared" si="44"/>
        <v>0</v>
      </c>
    </row>
    <row r="164" spans="1:41" x14ac:dyDescent="0.25">
      <c r="A164" s="118" t="s">
        <v>206</v>
      </c>
      <c r="B164" s="191">
        <v>1.5</v>
      </c>
      <c r="C164" s="191">
        <f t="shared" si="45"/>
        <v>1.5</v>
      </c>
      <c r="D164" s="191">
        <f t="shared" si="45"/>
        <v>1.5</v>
      </c>
      <c r="E164" s="191">
        <f t="shared" si="45"/>
        <v>1.5</v>
      </c>
      <c r="F164" s="191">
        <f t="shared" si="45"/>
        <v>1.5</v>
      </c>
      <c r="G164" s="191">
        <f t="shared" si="45"/>
        <v>1.5</v>
      </c>
      <c r="H164" s="191">
        <f t="shared" si="45"/>
        <v>1.5</v>
      </c>
      <c r="I164" s="191">
        <f t="shared" si="45"/>
        <v>1.5</v>
      </c>
      <c r="J164" s="191">
        <f t="shared" si="45"/>
        <v>1.5</v>
      </c>
      <c r="K164" s="191">
        <f t="shared" si="45"/>
        <v>1.5</v>
      </c>
      <c r="L164" s="191">
        <f t="shared" si="45"/>
        <v>1.5</v>
      </c>
      <c r="M164" s="191">
        <f t="shared" si="45"/>
        <v>1.5</v>
      </c>
      <c r="N164" s="191">
        <f t="shared" si="45"/>
        <v>1.5</v>
      </c>
      <c r="O164" s="191">
        <f t="shared" si="45"/>
        <v>1.5</v>
      </c>
      <c r="P164" s="191">
        <f t="shared" si="45"/>
        <v>1.5</v>
      </c>
      <c r="Q164" s="191">
        <f t="shared" si="45"/>
        <v>1.5</v>
      </c>
      <c r="R164" s="191">
        <f t="shared" si="45"/>
        <v>1.5</v>
      </c>
      <c r="S164" s="191">
        <f t="shared" si="46"/>
        <v>1.5</v>
      </c>
      <c r="T164" s="191">
        <f t="shared" si="46"/>
        <v>1.5</v>
      </c>
      <c r="U164" s="191">
        <f t="shared" si="46"/>
        <v>1.5</v>
      </c>
      <c r="V164" s="191">
        <f t="shared" si="46"/>
        <v>1.5</v>
      </c>
      <c r="W164" s="191">
        <f t="shared" si="46"/>
        <v>1.5</v>
      </c>
      <c r="X164" s="191">
        <f t="shared" si="46"/>
        <v>1.5</v>
      </c>
      <c r="Y164" s="191">
        <f t="shared" si="46"/>
        <v>1.5</v>
      </c>
      <c r="Z164" s="191">
        <f t="shared" si="46"/>
        <v>1.5</v>
      </c>
      <c r="AA164" s="191">
        <f t="shared" si="46"/>
        <v>1.5</v>
      </c>
      <c r="AB164" s="191">
        <f t="shared" si="46"/>
        <v>1.5</v>
      </c>
      <c r="AC164" s="191">
        <f t="shared" si="46"/>
        <v>1.5</v>
      </c>
      <c r="AD164" s="191">
        <f t="shared" si="46"/>
        <v>1.5</v>
      </c>
      <c r="AE164" s="191">
        <f t="shared" si="46"/>
        <v>1.5</v>
      </c>
      <c r="AF164" s="191">
        <f t="shared" si="46"/>
        <v>1.5</v>
      </c>
      <c r="AG164" s="192">
        <v>1.5</v>
      </c>
      <c r="AH164" s="46"/>
      <c r="AI164" s="47"/>
      <c r="AK164" s="49"/>
      <c r="AL164" s="138" t="s">
        <v>207</v>
      </c>
      <c r="AM164" s="139">
        <v>12</v>
      </c>
      <c r="AN164" s="139">
        <f t="shared" si="47"/>
        <v>12</v>
      </c>
      <c r="AO164" s="141">
        <f t="shared" si="44"/>
        <v>0</v>
      </c>
    </row>
    <row r="165" spans="1:41" x14ac:dyDescent="0.25">
      <c r="A165" s="118" t="s">
        <v>208</v>
      </c>
      <c r="B165" s="191">
        <v>0.3</v>
      </c>
      <c r="C165" s="191">
        <f t="shared" si="45"/>
        <v>0.3</v>
      </c>
      <c r="D165" s="191">
        <f t="shared" si="45"/>
        <v>0.3</v>
      </c>
      <c r="E165" s="191">
        <f t="shared" si="45"/>
        <v>0.3</v>
      </c>
      <c r="F165" s="191">
        <f t="shared" si="45"/>
        <v>0.3</v>
      </c>
      <c r="G165" s="191">
        <f t="shared" si="45"/>
        <v>0.3</v>
      </c>
      <c r="H165" s="191">
        <f t="shared" si="45"/>
        <v>0.3</v>
      </c>
      <c r="I165" s="191">
        <f t="shared" si="45"/>
        <v>0.3</v>
      </c>
      <c r="J165" s="191">
        <f t="shared" si="45"/>
        <v>0.3</v>
      </c>
      <c r="K165" s="191">
        <f t="shared" si="45"/>
        <v>0.3</v>
      </c>
      <c r="L165" s="191">
        <f t="shared" si="45"/>
        <v>0.3</v>
      </c>
      <c r="M165" s="191">
        <f t="shared" si="45"/>
        <v>0.3</v>
      </c>
      <c r="N165" s="191">
        <f t="shared" si="45"/>
        <v>0.3</v>
      </c>
      <c r="O165" s="191">
        <f t="shared" si="45"/>
        <v>0.3</v>
      </c>
      <c r="P165" s="191">
        <f t="shared" si="45"/>
        <v>0.3</v>
      </c>
      <c r="Q165" s="191">
        <f t="shared" si="45"/>
        <v>0.3</v>
      </c>
      <c r="R165" s="191">
        <f t="shared" si="45"/>
        <v>0.3</v>
      </c>
      <c r="S165" s="191">
        <f t="shared" si="46"/>
        <v>0.3</v>
      </c>
      <c r="T165" s="191">
        <f t="shared" si="46"/>
        <v>0.3</v>
      </c>
      <c r="U165" s="191">
        <f t="shared" si="46"/>
        <v>0.3</v>
      </c>
      <c r="V165" s="191">
        <f t="shared" si="46"/>
        <v>0.3</v>
      </c>
      <c r="W165" s="191">
        <f t="shared" si="46"/>
        <v>0.3</v>
      </c>
      <c r="X165" s="191">
        <f t="shared" si="46"/>
        <v>0.3</v>
      </c>
      <c r="Y165" s="191">
        <f t="shared" si="46"/>
        <v>0.3</v>
      </c>
      <c r="Z165" s="191">
        <f t="shared" si="46"/>
        <v>0.3</v>
      </c>
      <c r="AA165" s="191">
        <f t="shared" si="46"/>
        <v>0.3</v>
      </c>
      <c r="AB165" s="191">
        <f t="shared" si="46"/>
        <v>0.3</v>
      </c>
      <c r="AC165" s="191">
        <f t="shared" si="46"/>
        <v>0.3</v>
      </c>
      <c r="AD165" s="191">
        <f t="shared" si="46"/>
        <v>0.3</v>
      </c>
      <c r="AE165" s="191">
        <f t="shared" si="46"/>
        <v>0.3</v>
      </c>
      <c r="AF165" s="191">
        <f t="shared" si="46"/>
        <v>0.3</v>
      </c>
      <c r="AG165" s="192">
        <v>1</v>
      </c>
      <c r="AH165" s="46"/>
      <c r="AI165" s="47"/>
      <c r="AK165" s="49"/>
      <c r="AL165" s="138" t="s">
        <v>209</v>
      </c>
      <c r="AM165" s="139">
        <v>11</v>
      </c>
      <c r="AN165" s="139">
        <f t="shared" si="47"/>
        <v>11</v>
      </c>
      <c r="AO165" s="141">
        <f t="shared" si="44"/>
        <v>0</v>
      </c>
    </row>
    <row r="166" spans="1:41" x14ac:dyDescent="0.25">
      <c r="A166" s="118" t="s">
        <v>210</v>
      </c>
      <c r="B166" s="191">
        <v>0.4</v>
      </c>
      <c r="C166" s="191">
        <f t="shared" si="45"/>
        <v>0.4</v>
      </c>
      <c r="D166" s="191">
        <f t="shared" si="45"/>
        <v>0.4</v>
      </c>
      <c r="E166" s="191">
        <f t="shared" si="45"/>
        <v>0.4</v>
      </c>
      <c r="F166" s="191">
        <f t="shared" si="45"/>
        <v>0.4</v>
      </c>
      <c r="G166" s="191">
        <f t="shared" si="45"/>
        <v>0.4</v>
      </c>
      <c r="H166" s="191">
        <f t="shared" si="45"/>
        <v>0.4</v>
      </c>
      <c r="I166" s="191">
        <f t="shared" si="45"/>
        <v>0.4</v>
      </c>
      <c r="J166" s="191">
        <f t="shared" si="45"/>
        <v>0.4</v>
      </c>
      <c r="K166" s="191">
        <f t="shared" si="45"/>
        <v>0.4</v>
      </c>
      <c r="L166" s="191">
        <f t="shared" si="45"/>
        <v>0.4</v>
      </c>
      <c r="M166" s="191">
        <f t="shared" si="45"/>
        <v>0.4</v>
      </c>
      <c r="N166" s="191">
        <f t="shared" si="45"/>
        <v>0.4</v>
      </c>
      <c r="O166" s="191">
        <f t="shared" si="45"/>
        <v>0.4</v>
      </c>
      <c r="P166" s="191">
        <f t="shared" si="45"/>
        <v>0.4</v>
      </c>
      <c r="Q166" s="191">
        <f t="shared" si="45"/>
        <v>0.4</v>
      </c>
      <c r="R166" s="191">
        <f t="shared" si="45"/>
        <v>0.4</v>
      </c>
      <c r="S166" s="191">
        <f t="shared" si="46"/>
        <v>0.4</v>
      </c>
      <c r="T166" s="191">
        <f t="shared" si="46"/>
        <v>0.4</v>
      </c>
      <c r="U166" s="191">
        <f t="shared" si="46"/>
        <v>0.4</v>
      </c>
      <c r="V166" s="191">
        <f t="shared" si="46"/>
        <v>0.4</v>
      </c>
      <c r="W166" s="191">
        <f t="shared" si="46"/>
        <v>0.4</v>
      </c>
      <c r="X166" s="191">
        <f t="shared" si="46"/>
        <v>0.4</v>
      </c>
      <c r="Y166" s="191">
        <f t="shared" si="46"/>
        <v>0.4</v>
      </c>
      <c r="Z166" s="191">
        <f t="shared" si="46"/>
        <v>0.4</v>
      </c>
      <c r="AA166" s="191">
        <f t="shared" si="46"/>
        <v>0.4</v>
      </c>
      <c r="AB166" s="191">
        <f t="shared" si="46"/>
        <v>0.4</v>
      </c>
      <c r="AC166" s="191">
        <f t="shared" si="46"/>
        <v>0.4</v>
      </c>
      <c r="AD166" s="191">
        <f t="shared" si="46"/>
        <v>0.4</v>
      </c>
      <c r="AE166" s="191">
        <f t="shared" si="46"/>
        <v>0.4</v>
      </c>
      <c r="AF166" s="191">
        <f t="shared" si="46"/>
        <v>0.4</v>
      </c>
      <c r="AG166" s="192">
        <v>1</v>
      </c>
      <c r="AH166" s="46"/>
      <c r="AI166" s="47"/>
      <c r="AK166" s="49"/>
      <c r="AL166" s="138" t="s">
        <v>211</v>
      </c>
      <c r="AM166" s="139">
        <v>36</v>
      </c>
      <c r="AN166" s="139">
        <f t="shared" si="47"/>
        <v>36</v>
      </c>
      <c r="AO166" s="141">
        <f t="shared" si="44"/>
        <v>0</v>
      </c>
    </row>
    <row r="167" spans="1:41" ht="15.75" thickBot="1" x14ac:dyDescent="0.3">
      <c r="A167" s="193" t="s">
        <v>212</v>
      </c>
      <c r="B167" s="194">
        <v>0.64</v>
      </c>
      <c r="C167" s="194">
        <f t="shared" si="45"/>
        <v>0.64</v>
      </c>
      <c r="D167" s="194">
        <f t="shared" si="45"/>
        <v>0.64</v>
      </c>
      <c r="E167" s="194">
        <f t="shared" si="45"/>
        <v>0.64</v>
      </c>
      <c r="F167" s="194">
        <f t="shared" si="45"/>
        <v>0.64</v>
      </c>
      <c r="G167" s="194">
        <f t="shared" si="45"/>
        <v>0.64</v>
      </c>
      <c r="H167" s="194">
        <f t="shared" si="45"/>
        <v>0.64</v>
      </c>
      <c r="I167" s="194">
        <f t="shared" si="45"/>
        <v>0.64</v>
      </c>
      <c r="J167" s="194">
        <f t="shared" si="45"/>
        <v>0.64</v>
      </c>
      <c r="K167" s="194">
        <f t="shared" si="45"/>
        <v>0.64</v>
      </c>
      <c r="L167" s="194">
        <f t="shared" si="45"/>
        <v>0.64</v>
      </c>
      <c r="M167" s="194">
        <f t="shared" si="45"/>
        <v>0.64</v>
      </c>
      <c r="N167" s="194">
        <f t="shared" si="45"/>
        <v>0.64</v>
      </c>
      <c r="O167" s="194">
        <f t="shared" si="45"/>
        <v>0.64</v>
      </c>
      <c r="P167" s="194">
        <f t="shared" si="45"/>
        <v>0.64</v>
      </c>
      <c r="Q167" s="194">
        <f t="shared" si="45"/>
        <v>0.64</v>
      </c>
      <c r="R167" s="194">
        <f t="shared" si="45"/>
        <v>0.64</v>
      </c>
      <c r="S167" s="194">
        <f t="shared" si="46"/>
        <v>0.64</v>
      </c>
      <c r="T167" s="194">
        <f t="shared" si="46"/>
        <v>0.64</v>
      </c>
      <c r="U167" s="194">
        <f t="shared" si="46"/>
        <v>0.64</v>
      </c>
      <c r="V167" s="194">
        <f t="shared" si="46"/>
        <v>0.64</v>
      </c>
      <c r="W167" s="194">
        <f t="shared" si="46"/>
        <v>0.64</v>
      </c>
      <c r="X167" s="194">
        <f t="shared" si="46"/>
        <v>0.64</v>
      </c>
      <c r="Y167" s="194">
        <f t="shared" si="46"/>
        <v>0.64</v>
      </c>
      <c r="Z167" s="194">
        <f t="shared" si="46"/>
        <v>0.64</v>
      </c>
      <c r="AA167" s="194">
        <f t="shared" si="46"/>
        <v>0.64</v>
      </c>
      <c r="AB167" s="194">
        <f t="shared" si="46"/>
        <v>0.64</v>
      </c>
      <c r="AC167" s="194">
        <f t="shared" si="46"/>
        <v>0.64</v>
      </c>
      <c r="AD167" s="194">
        <f t="shared" si="46"/>
        <v>0.64</v>
      </c>
      <c r="AE167" s="194">
        <f t="shared" si="46"/>
        <v>0.64</v>
      </c>
      <c r="AF167" s="194">
        <f t="shared" si="46"/>
        <v>0.64</v>
      </c>
      <c r="AG167" s="195">
        <v>0.66</v>
      </c>
      <c r="AH167" s="46"/>
      <c r="AI167" s="47"/>
      <c r="AK167" s="49"/>
      <c r="AL167" s="138" t="s">
        <v>213</v>
      </c>
      <c r="AM167" s="139">
        <v>45</v>
      </c>
      <c r="AN167" s="139">
        <f t="shared" si="47"/>
        <v>45</v>
      </c>
      <c r="AO167" s="141">
        <f t="shared" si="44"/>
        <v>0</v>
      </c>
    </row>
    <row r="168" spans="1:41" ht="15.75" thickBot="1" x14ac:dyDescent="0.3">
      <c r="A168" s="196" t="s">
        <v>116</v>
      </c>
      <c r="B168" s="197">
        <v>3.54</v>
      </c>
      <c r="C168" s="197">
        <f t="shared" ref="C168:AG168" si="48">SUM(C162:C167)</f>
        <v>3.54</v>
      </c>
      <c r="D168" s="197">
        <f t="shared" si="48"/>
        <v>3.54</v>
      </c>
      <c r="E168" s="197">
        <f t="shared" si="48"/>
        <v>3.54</v>
      </c>
      <c r="F168" s="197">
        <f t="shared" si="48"/>
        <v>3.54</v>
      </c>
      <c r="G168" s="197">
        <f t="shared" si="48"/>
        <v>3.54</v>
      </c>
      <c r="H168" s="197">
        <f t="shared" si="48"/>
        <v>3.54</v>
      </c>
      <c r="I168" s="197">
        <f t="shared" si="48"/>
        <v>3.54</v>
      </c>
      <c r="J168" s="197">
        <f t="shared" si="48"/>
        <v>3.54</v>
      </c>
      <c r="K168" s="197">
        <f t="shared" si="48"/>
        <v>3.54</v>
      </c>
      <c r="L168" s="197">
        <f t="shared" si="48"/>
        <v>3.54</v>
      </c>
      <c r="M168" s="197">
        <f t="shared" si="48"/>
        <v>3.54</v>
      </c>
      <c r="N168" s="197">
        <f t="shared" si="48"/>
        <v>3.54</v>
      </c>
      <c r="O168" s="197">
        <f t="shared" si="48"/>
        <v>3.54</v>
      </c>
      <c r="P168" s="197">
        <f t="shared" si="48"/>
        <v>3.54</v>
      </c>
      <c r="Q168" s="197">
        <f t="shared" si="48"/>
        <v>3.54</v>
      </c>
      <c r="R168" s="197">
        <f t="shared" si="48"/>
        <v>3.54</v>
      </c>
      <c r="S168" s="197">
        <f t="shared" si="48"/>
        <v>3.54</v>
      </c>
      <c r="T168" s="197">
        <f t="shared" si="48"/>
        <v>3.54</v>
      </c>
      <c r="U168" s="197">
        <f t="shared" si="48"/>
        <v>3.54</v>
      </c>
      <c r="V168" s="197">
        <f t="shared" si="48"/>
        <v>3.54</v>
      </c>
      <c r="W168" s="197">
        <f t="shared" si="48"/>
        <v>3.54</v>
      </c>
      <c r="X168" s="197">
        <f t="shared" si="48"/>
        <v>3.54</v>
      </c>
      <c r="Y168" s="197">
        <f t="shared" si="48"/>
        <v>3.54</v>
      </c>
      <c r="Z168" s="197">
        <f t="shared" si="48"/>
        <v>3.54</v>
      </c>
      <c r="AA168" s="197">
        <f t="shared" si="48"/>
        <v>3.54</v>
      </c>
      <c r="AB168" s="197">
        <f t="shared" si="48"/>
        <v>3.54</v>
      </c>
      <c r="AC168" s="197">
        <f t="shared" si="48"/>
        <v>3.54</v>
      </c>
      <c r="AD168" s="197">
        <f t="shared" si="48"/>
        <v>3.54</v>
      </c>
      <c r="AE168" s="197">
        <f t="shared" si="48"/>
        <v>3.54</v>
      </c>
      <c r="AF168" s="197">
        <f t="shared" si="48"/>
        <v>3.54</v>
      </c>
      <c r="AG168" s="198">
        <f t="shared" si="48"/>
        <v>8.56</v>
      </c>
      <c r="AH168" s="46"/>
      <c r="AI168" s="47"/>
      <c r="AK168" s="49"/>
      <c r="AL168" s="148" t="s">
        <v>168</v>
      </c>
      <c r="AM168" s="149">
        <f>SUM(AM159:AM167)</f>
        <v>353</v>
      </c>
      <c r="AN168" s="149">
        <f>SUM(AN159:AN167)</f>
        <v>353</v>
      </c>
      <c r="AO168" s="150">
        <f>SUM(AO159:AO167)</f>
        <v>0</v>
      </c>
    </row>
    <row r="169" spans="1:41" ht="15.75" thickBot="1" x14ac:dyDescent="0.3">
      <c r="A169" s="199" t="s">
        <v>214</v>
      </c>
      <c r="B169" s="51"/>
      <c r="C169" s="51"/>
      <c r="D169" s="51"/>
      <c r="E169" s="51"/>
      <c r="F169" s="51" t="s">
        <v>215</v>
      </c>
      <c r="G169" s="51"/>
      <c r="H169" s="51"/>
      <c r="I169" s="51"/>
      <c r="J169" s="51"/>
      <c r="K169" s="51"/>
      <c r="L169" s="51"/>
      <c r="M169" s="51"/>
      <c r="N169" s="51"/>
      <c r="O169" s="51"/>
      <c r="P169" s="51"/>
      <c r="Q169" s="51"/>
      <c r="R169" s="51"/>
      <c r="S169" s="51"/>
      <c r="T169" s="51"/>
      <c r="U169" s="51"/>
      <c r="V169" s="51"/>
      <c r="W169" s="51"/>
      <c r="X169" s="51"/>
      <c r="Y169" s="51"/>
      <c r="Z169" s="51"/>
      <c r="AA169" s="51"/>
      <c r="AB169" s="51"/>
      <c r="AC169" s="51"/>
      <c r="AD169" s="51"/>
      <c r="AE169" s="51"/>
      <c r="AF169" s="51"/>
      <c r="AG169" s="200"/>
      <c r="AH169" s="46"/>
      <c r="AI169" s="47"/>
      <c r="AK169" s="49"/>
    </row>
    <row r="170" spans="1:41" ht="15.75" thickBot="1" x14ac:dyDescent="0.3">
      <c r="A170" s="201" t="s">
        <v>216</v>
      </c>
      <c r="B170" s="189">
        <v>0</v>
      </c>
      <c r="C170" s="189">
        <f t="shared" ref="C170:R185" si="49">B170</f>
        <v>0</v>
      </c>
      <c r="D170" s="189">
        <f t="shared" si="49"/>
        <v>0</v>
      </c>
      <c r="E170" s="189">
        <f t="shared" si="49"/>
        <v>0</v>
      </c>
      <c r="F170" s="189">
        <f t="shared" si="49"/>
        <v>0</v>
      </c>
      <c r="G170" s="189">
        <f t="shared" si="49"/>
        <v>0</v>
      </c>
      <c r="H170" s="189">
        <f t="shared" si="49"/>
        <v>0</v>
      </c>
      <c r="I170" s="189">
        <f t="shared" si="49"/>
        <v>0</v>
      </c>
      <c r="J170" s="189">
        <f t="shared" si="49"/>
        <v>0</v>
      </c>
      <c r="K170" s="189">
        <f t="shared" si="49"/>
        <v>0</v>
      </c>
      <c r="L170" s="189">
        <f t="shared" si="49"/>
        <v>0</v>
      </c>
      <c r="M170" s="189">
        <f t="shared" si="49"/>
        <v>0</v>
      </c>
      <c r="N170" s="189">
        <f t="shared" si="49"/>
        <v>0</v>
      </c>
      <c r="O170" s="189">
        <f t="shared" si="49"/>
        <v>0</v>
      </c>
      <c r="P170" s="189">
        <f t="shared" si="49"/>
        <v>0</v>
      </c>
      <c r="Q170" s="189">
        <f t="shared" si="49"/>
        <v>0</v>
      </c>
      <c r="R170" s="189">
        <f t="shared" si="49"/>
        <v>0</v>
      </c>
      <c r="S170" s="189">
        <f t="shared" ref="S170:AF185" si="50">R170</f>
        <v>0</v>
      </c>
      <c r="T170" s="189">
        <f t="shared" si="50"/>
        <v>0</v>
      </c>
      <c r="U170" s="189">
        <f t="shared" si="50"/>
        <v>0</v>
      </c>
      <c r="V170" s="189">
        <f t="shared" si="50"/>
        <v>0</v>
      </c>
      <c r="W170" s="189">
        <f t="shared" si="50"/>
        <v>0</v>
      </c>
      <c r="X170" s="189">
        <f t="shared" si="50"/>
        <v>0</v>
      </c>
      <c r="Y170" s="189">
        <f t="shared" si="50"/>
        <v>0</v>
      </c>
      <c r="Z170" s="189">
        <f t="shared" si="50"/>
        <v>0</v>
      </c>
      <c r="AA170" s="189">
        <f t="shared" si="50"/>
        <v>0</v>
      </c>
      <c r="AB170" s="189">
        <f t="shared" si="50"/>
        <v>0</v>
      </c>
      <c r="AC170" s="189">
        <f t="shared" si="50"/>
        <v>0</v>
      </c>
      <c r="AD170" s="189">
        <f t="shared" si="50"/>
        <v>0</v>
      </c>
      <c r="AE170" s="189">
        <f t="shared" si="50"/>
        <v>0</v>
      </c>
      <c r="AF170" s="202">
        <f t="shared" si="50"/>
        <v>0</v>
      </c>
      <c r="AG170" s="203">
        <v>9.94</v>
      </c>
      <c r="AH170" s="46"/>
      <c r="AI170" s="47"/>
      <c r="AK170" s="49"/>
    </row>
    <row r="171" spans="1:41" ht="15.75" thickBot="1" x14ac:dyDescent="0.3">
      <c r="A171" s="120" t="s">
        <v>217</v>
      </c>
      <c r="B171" s="191">
        <v>0</v>
      </c>
      <c r="C171" s="191">
        <f t="shared" si="49"/>
        <v>0</v>
      </c>
      <c r="D171" s="191">
        <f t="shared" si="49"/>
        <v>0</v>
      </c>
      <c r="E171" s="191">
        <f t="shared" si="49"/>
        <v>0</v>
      </c>
      <c r="F171" s="191">
        <f t="shared" si="49"/>
        <v>0</v>
      </c>
      <c r="G171" s="191">
        <f t="shared" si="49"/>
        <v>0</v>
      </c>
      <c r="H171" s="191">
        <f t="shared" si="49"/>
        <v>0</v>
      </c>
      <c r="I171" s="191">
        <f t="shared" si="49"/>
        <v>0</v>
      </c>
      <c r="J171" s="191">
        <f t="shared" si="49"/>
        <v>0</v>
      </c>
      <c r="K171" s="191">
        <f t="shared" si="49"/>
        <v>0</v>
      </c>
      <c r="L171" s="191">
        <f t="shared" si="49"/>
        <v>0</v>
      </c>
      <c r="M171" s="191">
        <f t="shared" si="49"/>
        <v>0</v>
      </c>
      <c r="N171" s="191">
        <f t="shared" si="49"/>
        <v>0</v>
      </c>
      <c r="O171" s="191">
        <f t="shared" si="49"/>
        <v>0</v>
      </c>
      <c r="P171" s="191">
        <f t="shared" si="49"/>
        <v>0</v>
      </c>
      <c r="Q171" s="191">
        <f t="shared" si="49"/>
        <v>0</v>
      </c>
      <c r="R171" s="191">
        <f t="shared" si="49"/>
        <v>0</v>
      </c>
      <c r="S171" s="191">
        <f t="shared" si="50"/>
        <v>0</v>
      </c>
      <c r="T171" s="191">
        <f t="shared" si="50"/>
        <v>0</v>
      </c>
      <c r="U171" s="191">
        <f t="shared" si="50"/>
        <v>0</v>
      </c>
      <c r="V171" s="191">
        <f t="shared" si="50"/>
        <v>0</v>
      </c>
      <c r="W171" s="191">
        <f t="shared" si="50"/>
        <v>0</v>
      </c>
      <c r="X171" s="191">
        <f t="shared" si="50"/>
        <v>0</v>
      </c>
      <c r="Y171" s="191">
        <f t="shared" si="50"/>
        <v>0</v>
      </c>
      <c r="Z171" s="191">
        <f t="shared" si="50"/>
        <v>0</v>
      </c>
      <c r="AA171" s="191">
        <f t="shared" si="50"/>
        <v>0</v>
      </c>
      <c r="AB171" s="191">
        <f t="shared" si="50"/>
        <v>0</v>
      </c>
      <c r="AC171" s="191">
        <f t="shared" si="50"/>
        <v>0</v>
      </c>
      <c r="AD171" s="191">
        <f t="shared" si="50"/>
        <v>0</v>
      </c>
      <c r="AE171" s="191">
        <f t="shared" si="50"/>
        <v>0</v>
      </c>
      <c r="AF171" s="204">
        <f t="shared" si="50"/>
        <v>0</v>
      </c>
      <c r="AG171" s="203"/>
      <c r="AH171" s="46"/>
      <c r="AI171" s="47"/>
      <c r="AK171" s="49"/>
      <c r="AL171" s="125"/>
      <c r="AM171" s="126" t="s">
        <v>157</v>
      </c>
      <c r="AN171" s="205" t="s">
        <v>218</v>
      </c>
      <c r="AO171" s="128" t="s">
        <v>158</v>
      </c>
    </row>
    <row r="172" spans="1:41" x14ac:dyDescent="0.25">
      <c r="A172" s="120" t="s">
        <v>219</v>
      </c>
      <c r="B172" s="191">
        <v>0</v>
      </c>
      <c r="C172" s="191">
        <f t="shared" si="49"/>
        <v>0</v>
      </c>
      <c r="D172" s="191">
        <f t="shared" si="49"/>
        <v>0</v>
      </c>
      <c r="E172" s="191">
        <f t="shared" si="49"/>
        <v>0</v>
      </c>
      <c r="F172" s="191">
        <f t="shared" si="49"/>
        <v>0</v>
      </c>
      <c r="G172" s="191">
        <f t="shared" si="49"/>
        <v>0</v>
      </c>
      <c r="H172" s="191">
        <f t="shared" si="49"/>
        <v>0</v>
      </c>
      <c r="I172" s="191">
        <f t="shared" si="49"/>
        <v>0</v>
      </c>
      <c r="J172" s="191">
        <f t="shared" si="49"/>
        <v>0</v>
      </c>
      <c r="K172" s="191">
        <f t="shared" si="49"/>
        <v>0</v>
      </c>
      <c r="L172" s="191">
        <f t="shared" si="49"/>
        <v>0</v>
      </c>
      <c r="M172" s="191">
        <f t="shared" si="49"/>
        <v>0</v>
      </c>
      <c r="N172" s="191">
        <f t="shared" si="49"/>
        <v>0</v>
      </c>
      <c r="O172" s="191">
        <f t="shared" si="49"/>
        <v>0</v>
      </c>
      <c r="P172" s="191">
        <f t="shared" si="49"/>
        <v>0</v>
      </c>
      <c r="Q172" s="191">
        <f t="shared" si="49"/>
        <v>0</v>
      </c>
      <c r="R172" s="191">
        <f t="shared" si="49"/>
        <v>0</v>
      </c>
      <c r="S172" s="191">
        <f t="shared" si="50"/>
        <v>0</v>
      </c>
      <c r="T172" s="191">
        <f t="shared" si="50"/>
        <v>0</v>
      </c>
      <c r="U172" s="191">
        <f t="shared" si="50"/>
        <v>0</v>
      </c>
      <c r="V172" s="191">
        <f t="shared" si="50"/>
        <v>0</v>
      </c>
      <c r="W172" s="191">
        <f t="shared" si="50"/>
        <v>0</v>
      </c>
      <c r="X172" s="191">
        <f t="shared" si="50"/>
        <v>0</v>
      </c>
      <c r="Y172" s="191">
        <f t="shared" si="50"/>
        <v>0</v>
      </c>
      <c r="Z172" s="191">
        <f t="shared" si="50"/>
        <v>0</v>
      </c>
      <c r="AA172" s="191">
        <f t="shared" si="50"/>
        <v>0</v>
      </c>
      <c r="AB172" s="191">
        <f t="shared" si="50"/>
        <v>0</v>
      </c>
      <c r="AC172" s="191">
        <f t="shared" si="50"/>
        <v>0</v>
      </c>
      <c r="AD172" s="191">
        <f t="shared" si="50"/>
        <v>0</v>
      </c>
      <c r="AE172" s="191">
        <f t="shared" si="50"/>
        <v>0</v>
      </c>
      <c r="AF172" s="204">
        <f t="shared" si="50"/>
        <v>0</v>
      </c>
      <c r="AG172" s="203"/>
      <c r="AH172" s="46"/>
      <c r="AI172" s="47"/>
      <c r="AK172" s="49"/>
      <c r="AL172" s="131" t="s">
        <v>220</v>
      </c>
      <c r="AM172" s="206">
        <v>78</v>
      </c>
      <c r="AN172" s="206"/>
      <c r="AO172" s="207">
        <f>AM172*AN172</f>
        <v>0</v>
      </c>
    </row>
    <row r="173" spans="1:41" x14ac:dyDescent="0.25">
      <c r="A173" s="120" t="s">
        <v>221</v>
      </c>
      <c r="B173" s="191">
        <v>0</v>
      </c>
      <c r="C173" s="191">
        <f t="shared" si="49"/>
        <v>0</v>
      </c>
      <c r="D173" s="191">
        <f t="shared" si="49"/>
        <v>0</v>
      </c>
      <c r="E173" s="191">
        <f t="shared" si="49"/>
        <v>0</v>
      </c>
      <c r="F173" s="191">
        <f t="shared" si="49"/>
        <v>0</v>
      </c>
      <c r="G173" s="191">
        <f t="shared" si="49"/>
        <v>0</v>
      </c>
      <c r="H173" s="191">
        <f t="shared" si="49"/>
        <v>0</v>
      </c>
      <c r="I173" s="191">
        <f t="shared" si="49"/>
        <v>0</v>
      </c>
      <c r="J173" s="191">
        <f t="shared" si="49"/>
        <v>0</v>
      </c>
      <c r="K173" s="191">
        <f t="shared" si="49"/>
        <v>0</v>
      </c>
      <c r="L173" s="191">
        <f t="shared" si="49"/>
        <v>0</v>
      </c>
      <c r="M173" s="191">
        <f t="shared" si="49"/>
        <v>0</v>
      </c>
      <c r="N173" s="191">
        <f t="shared" si="49"/>
        <v>0</v>
      </c>
      <c r="O173" s="191">
        <f t="shared" si="49"/>
        <v>0</v>
      </c>
      <c r="P173" s="191">
        <f t="shared" si="49"/>
        <v>0</v>
      </c>
      <c r="Q173" s="191">
        <f t="shared" si="49"/>
        <v>0</v>
      </c>
      <c r="R173" s="191">
        <f t="shared" si="49"/>
        <v>0</v>
      </c>
      <c r="S173" s="191">
        <f t="shared" si="50"/>
        <v>0</v>
      </c>
      <c r="T173" s="191">
        <f t="shared" si="50"/>
        <v>0</v>
      </c>
      <c r="U173" s="191">
        <f t="shared" si="50"/>
        <v>0</v>
      </c>
      <c r="V173" s="191">
        <f t="shared" si="50"/>
        <v>0</v>
      </c>
      <c r="W173" s="191">
        <f t="shared" si="50"/>
        <v>0</v>
      </c>
      <c r="X173" s="191">
        <f t="shared" si="50"/>
        <v>0</v>
      </c>
      <c r="Y173" s="191">
        <f t="shared" si="50"/>
        <v>0</v>
      </c>
      <c r="Z173" s="191">
        <f t="shared" si="50"/>
        <v>0</v>
      </c>
      <c r="AA173" s="191">
        <f t="shared" si="50"/>
        <v>0</v>
      </c>
      <c r="AB173" s="191">
        <f t="shared" si="50"/>
        <v>0</v>
      </c>
      <c r="AC173" s="191">
        <f t="shared" si="50"/>
        <v>0</v>
      </c>
      <c r="AD173" s="191">
        <f t="shared" si="50"/>
        <v>0</v>
      </c>
      <c r="AE173" s="191">
        <f t="shared" si="50"/>
        <v>0</v>
      </c>
      <c r="AF173" s="204">
        <f t="shared" si="50"/>
        <v>0</v>
      </c>
      <c r="AG173" s="203"/>
      <c r="AH173" s="46"/>
      <c r="AI173" s="47"/>
      <c r="AK173" s="49"/>
      <c r="AL173" s="138" t="s">
        <v>222</v>
      </c>
      <c r="AM173" s="208">
        <v>73</v>
      </c>
      <c r="AN173" s="208"/>
      <c r="AO173" s="209">
        <f>AM173*AN173</f>
        <v>0</v>
      </c>
    </row>
    <row r="174" spans="1:41" x14ac:dyDescent="0.25">
      <c r="A174" s="120" t="s">
        <v>223</v>
      </c>
      <c r="B174" s="191">
        <v>0</v>
      </c>
      <c r="C174" s="191">
        <f t="shared" si="49"/>
        <v>0</v>
      </c>
      <c r="D174" s="191">
        <f t="shared" si="49"/>
        <v>0</v>
      </c>
      <c r="E174" s="191">
        <f t="shared" si="49"/>
        <v>0</v>
      </c>
      <c r="F174" s="191">
        <f t="shared" si="49"/>
        <v>0</v>
      </c>
      <c r="G174" s="191">
        <f t="shared" si="49"/>
        <v>0</v>
      </c>
      <c r="H174" s="191">
        <f t="shared" si="49"/>
        <v>0</v>
      </c>
      <c r="I174" s="191">
        <f t="shared" si="49"/>
        <v>0</v>
      </c>
      <c r="J174" s="191">
        <f t="shared" si="49"/>
        <v>0</v>
      </c>
      <c r="K174" s="191">
        <f t="shared" si="49"/>
        <v>0</v>
      </c>
      <c r="L174" s="191">
        <f t="shared" si="49"/>
        <v>0</v>
      </c>
      <c r="M174" s="191">
        <f t="shared" si="49"/>
        <v>0</v>
      </c>
      <c r="N174" s="191">
        <f t="shared" si="49"/>
        <v>0</v>
      </c>
      <c r="O174" s="191">
        <f t="shared" si="49"/>
        <v>0</v>
      </c>
      <c r="P174" s="191">
        <f t="shared" si="49"/>
        <v>0</v>
      </c>
      <c r="Q174" s="191">
        <f t="shared" si="49"/>
        <v>0</v>
      </c>
      <c r="R174" s="191">
        <f t="shared" si="49"/>
        <v>0</v>
      </c>
      <c r="S174" s="191">
        <f t="shared" si="50"/>
        <v>0</v>
      </c>
      <c r="T174" s="191">
        <f t="shared" si="50"/>
        <v>0</v>
      </c>
      <c r="U174" s="191">
        <f t="shared" si="50"/>
        <v>0</v>
      </c>
      <c r="V174" s="191">
        <f t="shared" si="50"/>
        <v>0</v>
      </c>
      <c r="W174" s="191">
        <f t="shared" si="50"/>
        <v>0</v>
      </c>
      <c r="X174" s="191">
        <f t="shared" si="50"/>
        <v>0</v>
      </c>
      <c r="Y174" s="191">
        <f t="shared" si="50"/>
        <v>0</v>
      </c>
      <c r="Z174" s="191">
        <f t="shared" si="50"/>
        <v>0</v>
      </c>
      <c r="AA174" s="191">
        <f t="shared" si="50"/>
        <v>0</v>
      </c>
      <c r="AB174" s="191">
        <f t="shared" si="50"/>
        <v>0</v>
      </c>
      <c r="AC174" s="191">
        <f t="shared" si="50"/>
        <v>0</v>
      </c>
      <c r="AD174" s="191">
        <f t="shared" si="50"/>
        <v>0</v>
      </c>
      <c r="AE174" s="191">
        <f t="shared" si="50"/>
        <v>0</v>
      </c>
      <c r="AF174" s="204">
        <f t="shared" si="50"/>
        <v>0</v>
      </c>
      <c r="AG174" s="203"/>
      <c r="AH174" s="46"/>
      <c r="AI174" s="47"/>
      <c r="AK174" s="49"/>
      <c r="AL174" s="138" t="s">
        <v>224</v>
      </c>
      <c r="AM174" s="208">
        <v>25</v>
      </c>
      <c r="AN174" s="210"/>
      <c r="AO174" s="209">
        <f>AM174*AN174</f>
        <v>0</v>
      </c>
    </row>
    <row r="175" spans="1:41" x14ac:dyDescent="0.25">
      <c r="A175" s="120" t="s">
        <v>225</v>
      </c>
      <c r="B175" s="191">
        <v>0</v>
      </c>
      <c r="C175" s="191">
        <f t="shared" si="49"/>
        <v>0</v>
      </c>
      <c r="D175" s="191">
        <f t="shared" si="49"/>
        <v>0</v>
      </c>
      <c r="E175" s="191">
        <f t="shared" si="49"/>
        <v>0</v>
      </c>
      <c r="F175" s="191">
        <f t="shared" si="49"/>
        <v>0</v>
      </c>
      <c r="G175" s="191">
        <f t="shared" si="49"/>
        <v>0</v>
      </c>
      <c r="H175" s="191">
        <f t="shared" si="49"/>
        <v>0</v>
      </c>
      <c r="I175" s="191">
        <f t="shared" si="49"/>
        <v>0</v>
      </c>
      <c r="J175" s="191">
        <f t="shared" si="49"/>
        <v>0</v>
      </c>
      <c r="K175" s="191">
        <f t="shared" si="49"/>
        <v>0</v>
      </c>
      <c r="L175" s="191">
        <f t="shared" si="49"/>
        <v>0</v>
      </c>
      <c r="M175" s="191">
        <f t="shared" si="49"/>
        <v>0</v>
      </c>
      <c r="N175" s="191">
        <f t="shared" si="49"/>
        <v>0</v>
      </c>
      <c r="O175" s="191">
        <f t="shared" si="49"/>
        <v>0</v>
      </c>
      <c r="P175" s="191">
        <f t="shared" si="49"/>
        <v>0</v>
      </c>
      <c r="Q175" s="191">
        <f t="shared" si="49"/>
        <v>0</v>
      </c>
      <c r="R175" s="191">
        <f t="shared" si="49"/>
        <v>0</v>
      </c>
      <c r="S175" s="191">
        <f t="shared" si="50"/>
        <v>0</v>
      </c>
      <c r="T175" s="191">
        <f t="shared" si="50"/>
        <v>0</v>
      </c>
      <c r="U175" s="191">
        <f t="shared" si="50"/>
        <v>0</v>
      </c>
      <c r="V175" s="191">
        <f t="shared" si="50"/>
        <v>0</v>
      </c>
      <c r="W175" s="191">
        <f t="shared" si="50"/>
        <v>0</v>
      </c>
      <c r="X175" s="191">
        <f t="shared" si="50"/>
        <v>0</v>
      </c>
      <c r="Y175" s="191">
        <f t="shared" si="50"/>
        <v>0</v>
      </c>
      <c r="Z175" s="191">
        <f t="shared" si="50"/>
        <v>0</v>
      </c>
      <c r="AA175" s="191">
        <f t="shared" si="50"/>
        <v>0</v>
      </c>
      <c r="AB175" s="191">
        <f t="shared" si="50"/>
        <v>0</v>
      </c>
      <c r="AC175" s="191">
        <f t="shared" si="50"/>
        <v>0</v>
      </c>
      <c r="AD175" s="191">
        <f t="shared" si="50"/>
        <v>0</v>
      </c>
      <c r="AE175" s="191">
        <f t="shared" si="50"/>
        <v>0</v>
      </c>
      <c r="AF175" s="204">
        <f t="shared" si="50"/>
        <v>0</v>
      </c>
      <c r="AG175" s="203"/>
      <c r="AH175" s="46"/>
      <c r="AI175" s="47"/>
      <c r="AK175" s="49"/>
      <c r="AL175" s="211"/>
      <c r="AM175" s="208">
        <f>SUM(AM172:AM174)</f>
        <v>176</v>
      </c>
      <c r="AN175" s="208">
        <f>SUM(AN172:AN174)</f>
        <v>0</v>
      </c>
      <c r="AO175" s="209">
        <f>SUM(AO172:AO174)</f>
        <v>0</v>
      </c>
    </row>
    <row r="176" spans="1:41" ht="15.75" thickBot="1" x14ac:dyDescent="0.3">
      <c r="A176" s="120" t="s">
        <v>226</v>
      </c>
      <c r="B176" s="191">
        <v>0</v>
      </c>
      <c r="C176" s="191">
        <f t="shared" si="49"/>
        <v>0</v>
      </c>
      <c r="D176" s="191">
        <f t="shared" si="49"/>
        <v>0</v>
      </c>
      <c r="E176" s="191">
        <f t="shared" si="49"/>
        <v>0</v>
      </c>
      <c r="F176" s="191">
        <f t="shared" si="49"/>
        <v>0</v>
      </c>
      <c r="G176" s="191">
        <f t="shared" si="49"/>
        <v>0</v>
      </c>
      <c r="H176" s="191">
        <f t="shared" si="49"/>
        <v>0</v>
      </c>
      <c r="I176" s="191">
        <f t="shared" si="49"/>
        <v>0</v>
      </c>
      <c r="J176" s="191">
        <f t="shared" si="49"/>
        <v>0</v>
      </c>
      <c r="K176" s="191">
        <f t="shared" si="49"/>
        <v>0</v>
      </c>
      <c r="L176" s="191">
        <f t="shared" si="49"/>
        <v>0</v>
      </c>
      <c r="M176" s="191">
        <f t="shared" si="49"/>
        <v>0</v>
      </c>
      <c r="N176" s="191">
        <f t="shared" si="49"/>
        <v>0</v>
      </c>
      <c r="O176" s="191">
        <f t="shared" si="49"/>
        <v>0</v>
      </c>
      <c r="P176" s="191">
        <f t="shared" si="49"/>
        <v>0</v>
      </c>
      <c r="Q176" s="191">
        <f t="shared" si="49"/>
        <v>0</v>
      </c>
      <c r="R176" s="191">
        <f t="shared" si="49"/>
        <v>0</v>
      </c>
      <c r="S176" s="191">
        <f t="shared" si="50"/>
        <v>0</v>
      </c>
      <c r="T176" s="191">
        <f t="shared" si="50"/>
        <v>0</v>
      </c>
      <c r="U176" s="191">
        <f t="shared" si="50"/>
        <v>0</v>
      </c>
      <c r="V176" s="191">
        <f t="shared" si="50"/>
        <v>0</v>
      </c>
      <c r="W176" s="191">
        <f t="shared" si="50"/>
        <v>0</v>
      </c>
      <c r="X176" s="191">
        <f t="shared" si="50"/>
        <v>0</v>
      </c>
      <c r="Y176" s="191">
        <f t="shared" si="50"/>
        <v>0</v>
      </c>
      <c r="Z176" s="191">
        <f t="shared" si="50"/>
        <v>0</v>
      </c>
      <c r="AA176" s="191">
        <f t="shared" si="50"/>
        <v>0</v>
      </c>
      <c r="AB176" s="191">
        <f t="shared" si="50"/>
        <v>0</v>
      </c>
      <c r="AC176" s="191">
        <f t="shared" si="50"/>
        <v>0</v>
      </c>
      <c r="AD176" s="191">
        <f t="shared" si="50"/>
        <v>0</v>
      </c>
      <c r="AE176" s="191">
        <f t="shared" si="50"/>
        <v>0</v>
      </c>
      <c r="AF176" s="204">
        <f t="shared" si="50"/>
        <v>0</v>
      </c>
      <c r="AG176" s="203"/>
      <c r="AH176" s="46"/>
      <c r="AI176" s="47"/>
      <c r="AK176" s="49"/>
      <c r="AL176" s="212" t="s">
        <v>227</v>
      </c>
      <c r="AM176" s="213"/>
      <c r="AN176" s="213"/>
      <c r="AO176" s="214">
        <f>AO166+AO155+AO147+AO139+AO175</f>
        <v>83.259999999999977</v>
      </c>
    </row>
    <row r="177" spans="1:37" x14ac:dyDescent="0.25">
      <c r="A177" s="120" t="s">
        <v>228</v>
      </c>
      <c r="B177" s="191">
        <v>0</v>
      </c>
      <c r="C177" s="191">
        <f t="shared" si="49"/>
        <v>0</v>
      </c>
      <c r="D177" s="191">
        <f t="shared" si="49"/>
        <v>0</v>
      </c>
      <c r="E177" s="191">
        <f t="shared" si="49"/>
        <v>0</v>
      </c>
      <c r="F177" s="191">
        <f t="shared" si="49"/>
        <v>0</v>
      </c>
      <c r="G177" s="191">
        <f t="shared" si="49"/>
        <v>0</v>
      </c>
      <c r="H177" s="191">
        <f t="shared" si="49"/>
        <v>0</v>
      </c>
      <c r="I177" s="191">
        <f t="shared" si="49"/>
        <v>0</v>
      </c>
      <c r="J177" s="191">
        <f t="shared" si="49"/>
        <v>0</v>
      </c>
      <c r="K177" s="191">
        <f t="shared" si="49"/>
        <v>0</v>
      </c>
      <c r="L177" s="191">
        <f t="shared" si="49"/>
        <v>0</v>
      </c>
      <c r="M177" s="191">
        <f t="shared" si="49"/>
        <v>0</v>
      </c>
      <c r="N177" s="191">
        <f t="shared" si="49"/>
        <v>0</v>
      </c>
      <c r="O177" s="191">
        <f t="shared" si="49"/>
        <v>0</v>
      </c>
      <c r="P177" s="191">
        <f t="shared" si="49"/>
        <v>0</v>
      </c>
      <c r="Q177" s="191">
        <f t="shared" si="49"/>
        <v>0</v>
      </c>
      <c r="R177" s="191">
        <f t="shared" si="49"/>
        <v>0</v>
      </c>
      <c r="S177" s="191">
        <f t="shared" si="50"/>
        <v>0</v>
      </c>
      <c r="T177" s="191">
        <f t="shared" si="50"/>
        <v>0</v>
      </c>
      <c r="U177" s="191">
        <f t="shared" si="50"/>
        <v>0</v>
      </c>
      <c r="V177" s="191">
        <f t="shared" si="50"/>
        <v>0</v>
      </c>
      <c r="W177" s="191">
        <f t="shared" si="50"/>
        <v>0</v>
      </c>
      <c r="X177" s="191">
        <f t="shared" si="50"/>
        <v>0</v>
      </c>
      <c r="Y177" s="191">
        <f t="shared" si="50"/>
        <v>0</v>
      </c>
      <c r="Z177" s="191">
        <f t="shared" si="50"/>
        <v>0</v>
      </c>
      <c r="AA177" s="191">
        <f t="shared" si="50"/>
        <v>0</v>
      </c>
      <c r="AB177" s="191">
        <f t="shared" si="50"/>
        <v>0</v>
      </c>
      <c r="AC177" s="191">
        <f t="shared" si="50"/>
        <v>0</v>
      </c>
      <c r="AD177" s="191">
        <f t="shared" si="50"/>
        <v>0</v>
      </c>
      <c r="AE177" s="191">
        <f t="shared" si="50"/>
        <v>0</v>
      </c>
      <c r="AF177" s="204">
        <f t="shared" si="50"/>
        <v>0</v>
      </c>
      <c r="AG177" s="203"/>
      <c r="AH177" s="46"/>
      <c r="AI177" s="47"/>
      <c r="AK177" s="49"/>
    </row>
    <row r="178" spans="1:37" x14ac:dyDescent="0.25">
      <c r="A178" s="120" t="s">
        <v>229</v>
      </c>
      <c r="B178" s="191">
        <v>0</v>
      </c>
      <c r="C178" s="191">
        <f t="shared" si="49"/>
        <v>0</v>
      </c>
      <c r="D178" s="191">
        <f t="shared" si="49"/>
        <v>0</v>
      </c>
      <c r="E178" s="191">
        <f t="shared" si="49"/>
        <v>0</v>
      </c>
      <c r="F178" s="191">
        <f t="shared" si="49"/>
        <v>0</v>
      </c>
      <c r="G178" s="191">
        <f t="shared" si="49"/>
        <v>0</v>
      </c>
      <c r="H178" s="191">
        <f t="shared" si="49"/>
        <v>0</v>
      </c>
      <c r="I178" s="191">
        <f t="shared" si="49"/>
        <v>0</v>
      </c>
      <c r="J178" s="191">
        <f t="shared" si="49"/>
        <v>0</v>
      </c>
      <c r="K178" s="191">
        <f t="shared" si="49"/>
        <v>0</v>
      </c>
      <c r="L178" s="191">
        <f t="shared" si="49"/>
        <v>0</v>
      </c>
      <c r="M178" s="191">
        <f t="shared" si="49"/>
        <v>0</v>
      </c>
      <c r="N178" s="191">
        <f t="shared" si="49"/>
        <v>0</v>
      </c>
      <c r="O178" s="191">
        <f t="shared" si="49"/>
        <v>0</v>
      </c>
      <c r="P178" s="191">
        <f t="shared" si="49"/>
        <v>0</v>
      </c>
      <c r="Q178" s="191">
        <f t="shared" si="49"/>
        <v>0</v>
      </c>
      <c r="R178" s="191">
        <f t="shared" si="49"/>
        <v>0</v>
      </c>
      <c r="S178" s="191">
        <f t="shared" si="50"/>
        <v>0</v>
      </c>
      <c r="T178" s="191">
        <f t="shared" si="50"/>
        <v>0</v>
      </c>
      <c r="U178" s="191">
        <f t="shared" si="50"/>
        <v>0</v>
      </c>
      <c r="V178" s="191">
        <f t="shared" si="50"/>
        <v>0</v>
      </c>
      <c r="W178" s="191">
        <f t="shared" si="50"/>
        <v>0</v>
      </c>
      <c r="X178" s="191">
        <f t="shared" si="50"/>
        <v>0</v>
      </c>
      <c r="Y178" s="191">
        <f t="shared" si="50"/>
        <v>0</v>
      </c>
      <c r="Z178" s="191">
        <f t="shared" si="50"/>
        <v>0</v>
      </c>
      <c r="AA178" s="191">
        <f t="shared" si="50"/>
        <v>0</v>
      </c>
      <c r="AB178" s="191">
        <f t="shared" si="50"/>
        <v>0</v>
      </c>
      <c r="AC178" s="191">
        <f t="shared" si="50"/>
        <v>0</v>
      </c>
      <c r="AD178" s="191">
        <f t="shared" si="50"/>
        <v>0</v>
      </c>
      <c r="AE178" s="191">
        <f t="shared" si="50"/>
        <v>0</v>
      </c>
      <c r="AF178" s="204">
        <f t="shared" si="50"/>
        <v>0</v>
      </c>
      <c r="AG178" s="203"/>
      <c r="AH178" s="46"/>
      <c r="AI178" s="47"/>
      <c r="AK178" s="49"/>
    </row>
    <row r="179" spans="1:37" x14ac:dyDescent="0.25">
      <c r="A179" s="120" t="s">
        <v>230</v>
      </c>
      <c r="B179" s="191">
        <v>0</v>
      </c>
      <c r="C179" s="191">
        <f t="shared" si="49"/>
        <v>0</v>
      </c>
      <c r="D179" s="191">
        <f t="shared" si="49"/>
        <v>0</v>
      </c>
      <c r="E179" s="191">
        <f t="shared" si="49"/>
        <v>0</v>
      </c>
      <c r="F179" s="191">
        <f t="shared" si="49"/>
        <v>0</v>
      </c>
      <c r="G179" s="191">
        <f t="shared" si="49"/>
        <v>0</v>
      </c>
      <c r="H179" s="191">
        <f t="shared" si="49"/>
        <v>0</v>
      </c>
      <c r="I179" s="191">
        <f t="shared" si="49"/>
        <v>0</v>
      </c>
      <c r="J179" s="191">
        <f t="shared" si="49"/>
        <v>0</v>
      </c>
      <c r="K179" s="191">
        <f t="shared" si="49"/>
        <v>0</v>
      </c>
      <c r="L179" s="191">
        <f t="shared" si="49"/>
        <v>0</v>
      </c>
      <c r="M179" s="191">
        <f t="shared" si="49"/>
        <v>0</v>
      </c>
      <c r="N179" s="191">
        <f t="shared" si="49"/>
        <v>0</v>
      </c>
      <c r="O179" s="191">
        <f t="shared" si="49"/>
        <v>0</v>
      </c>
      <c r="P179" s="191">
        <f t="shared" si="49"/>
        <v>0</v>
      </c>
      <c r="Q179" s="191">
        <f t="shared" si="49"/>
        <v>0</v>
      </c>
      <c r="R179" s="191">
        <f t="shared" si="49"/>
        <v>0</v>
      </c>
      <c r="S179" s="191">
        <f t="shared" si="50"/>
        <v>0</v>
      </c>
      <c r="T179" s="191">
        <f t="shared" si="50"/>
        <v>0</v>
      </c>
      <c r="U179" s="191">
        <f t="shared" si="50"/>
        <v>0</v>
      </c>
      <c r="V179" s="191">
        <f t="shared" si="50"/>
        <v>0</v>
      </c>
      <c r="W179" s="191">
        <f t="shared" si="50"/>
        <v>0</v>
      </c>
      <c r="X179" s="191">
        <f t="shared" si="50"/>
        <v>0</v>
      </c>
      <c r="Y179" s="191">
        <f t="shared" si="50"/>
        <v>0</v>
      </c>
      <c r="Z179" s="191">
        <f t="shared" si="50"/>
        <v>0</v>
      </c>
      <c r="AA179" s="191">
        <f t="shared" si="50"/>
        <v>0</v>
      </c>
      <c r="AB179" s="191">
        <f t="shared" si="50"/>
        <v>0</v>
      </c>
      <c r="AC179" s="191">
        <f t="shared" si="50"/>
        <v>0</v>
      </c>
      <c r="AD179" s="191">
        <f t="shared" si="50"/>
        <v>0</v>
      </c>
      <c r="AE179" s="191">
        <f t="shared" si="50"/>
        <v>0</v>
      </c>
      <c r="AF179" s="204">
        <f t="shared" si="50"/>
        <v>0</v>
      </c>
      <c r="AG179" s="203"/>
      <c r="AH179" s="46"/>
      <c r="AI179" s="47"/>
      <c r="AK179" s="49"/>
    </row>
    <row r="180" spans="1:37" x14ac:dyDescent="0.25">
      <c r="A180" s="120" t="s">
        <v>231</v>
      </c>
      <c r="B180" s="191">
        <v>0</v>
      </c>
      <c r="C180" s="191">
        <f t="shared" si="49"/>
        <v>0</v>
      </c>
      <c r="D180" s="191">
        <f t="shared" si="49"/>
        <v>0</v>
      </c>
      <c r="E180" s="191">
        <f t="shared" si="49"/>
        <v>0</v>
      </c>
      <c r="F180" s="191">
        <f t="shared" si="49"/>
        <v>0</v>
      </c>
      <c r="G180" s="191">
        <f t="shared" si="49"/>
        <v>0</v>
      </c>
      <c r="H180" s="191">
        <f t="shared" si="49"/>
        <v>0</v>
      </c>
      <c r="I180" s="191">
        <f t="shared" si="49"/>
        <v>0</v>
      </c>
      <c r="J180" s="191">
        <f t="shared" si="49"/>
        <v>0</v>
      </c>
      <c r="K180" s="191">
        <f t="shared" si="49"/>
        <v>0</v>
      </c>
      <c r="L180" s="191">
        <f t="shared" si="49"/>
        <v>0</v>
      </c>
      <c r="M180" s="191">
        <f t="shared" si="49"/>
        <v>0</v>
      </c>
      <c r="N180" s="191">
        <f t="shared" si="49"/>
        <v>0</v>
      </c>
      <c r="O180" s="191">
        <f t="shared" si="49"/>
        <v>0</v>
      </c>
      <c r="P180" s="191">
        <f t="shared" si="49"/>
        <v>0</v>
      </c>
      <c r="Q180" s="191">
        <f t="shared" si="49"/>
        <v>0</v>
      </c>
      <c r="R180" s="191">
        <f t="shared" si="49"/>
        <v>0</v>
      </c>
      <c r="S180" s="191">
        <f t="shared" si="50"/>
        <v>0</v>
      </c>
      <c r="T180" s="191">
        <f t="shared" si="50"/>
        <v>0</v>
      </c>
      <c r="U180" s="191">
        <f t="shared" si="50"/>
        <v>0</v>
      </c>
      <c r="V180" s="191">
        <f t="shared" si="50"/>
        <v>0</v>
      </c>
      <c r="W180" s="191">
        <f t="shared" si="50"/>
        <v>0</v>
      </c>
      <c r="X180" s="191">
        <f t="shared" si="50"/>
        <v>0</v>
      </c>
      <c r="Y180" s="191">
        <f t="shared" si="50"/>
        <v>0</v>
      </c>
      <c r="Z180" s="191">
        <f t="shared" si="50"/>
        <v>0</v>
      </c>
      <c r="AA180" s="191">
        <f t="shared" si="50"/>
        <v>0</v>
      </c>
      <c r="AB180" s="191">
        <f t="shared" si="50"/>
        <v>0</v>
      </c>
      <c r="AC180" s="191">
        <f t="shared" si="50"/>
        <v>0</v>
      </c>
      <c r="AD180" s="191">
        <f t="shared" si="50"/>
        <v>0</v>
      </c>
      <c r="AE180" s="191">
        <f t="shared" si="50"/>
        <v>0</v>
      </c>
      <c r="AF180" s="204">
        <f t="shared" si="50"/>
        <v>0</v>
      </c>
      <c r="AG180" s="203"/>
      <c r="AH180" s="46"/>
      <c r="AI180" s="47"/>
      <c r="AK180" s="49"/>
    </row>
    <row r="181" spans="1:37" x14ac:dyDescent="0.25">
      <c r="A181" s="120" t="s">
        <v>232</v>
      </c>
      <c r="B181" s="191">
        <v>0</v>
      </c>
      <c r="C181" s="191">
        <f t="shared" si="49"/>
        <v>0</v>
      </c>
      <c r="D181" s="191">
        <f t="shared" si="49"/>
        <v>0</v>
      </c>
      <c r="E181" s="191">
        <f t="shared" si="49"/>
        <v>0</v>
      </c>
      <c r="F181" s="191">
        <f t="shared" si="49"/>
        <v>0</v>
      </c>
      <c r="G181" s="191">
        <f t="shared" si="49"/>
        <v>0</v>
      </c>
      <c r="H181" s="191">
        <f t="shared" si="49"/>
        <v>0</v>
      </c>
      <c r="I181" s="191">
        <f t="shared" si="49"/>
        <v>0</v>
      </c>
      <c r="J181" s="191">
        <f t="shared" si="49"/>
        <v>0</v>
      </c>
      <c r="K181" s="191">
        <f t="shared" si="49"/>
        <v>0</v>
      </c>
      <c r="L181" s="191">
        <f t="shared" si="49"/>
        <v>0</v>
      </c>
      <c r="M181" s="191">
        <f t="shared" si="49"/>
        <v>0</v>
      </c>
      <c r="N181" s="191">
        <f t="shared" si="49"/>
        <v>0</v>
      </c>
      <c r="O181" s="191">
        <f t="shared" si="49"/>
        <v>0</v>
      </c>
      <c r="P181" s="191">
        <f t="shared" si="49"/>
        <v>0</v>
      </c>
      <c r="Q181" s="191">
        <f t="shared" si="49"/>
        <v>0</v>
      </c>
      <c r="R181" s="191">
        <f t="shared" si="49"/>
        <v>0</v>
      </c>
      <c r="S181" s="191">
        <f t="shared" si="50"/>
        <v>0</v>
      </c>
      <c r="T181" s="191">
        <f t="shared" si="50"/>
        <v>0</v>
      </c>
      <c r="U181" s="191">
        <f t="shared" si="50"/>
        <v>0</v>
      </c>
      <c r="V181" s="191">
        <f t="shared" si="50"/>
        <v>0</v>
      </c>
      <c r="W181" s="191">
        <f t="shared" si="50"/>
        <v>0</v>
      </c>
      <c r="X181" s="191">
        <f t="shared" si="50"/>
        <v>0</v>
      </c>
      <c r="Y181" s="191">
        <f t="shared" si="50"/>
        <v>0</v>
      </c>
      <c r="Z181" s="191">
        <f t="shared" si="50"/>
        <v>0</v>
      </c>
      <c r="AA181" s="191">
        <f t="shared" si="50"/>
        <v>0</v>
      </c>
      <c r="AB181" s="191">
        <f t="shared" si="50"/>
        <v>0</v>
      </c>
      <c r="AC181" s="191">
        <f t="shared" si="50"/>
        <v>0</v>
      </c>
      <c r="AD181" s="191">
        <f t="shared" si="50"/>
        <v>0</v>
      </c>
      <c r="AE181" s="191">
        <f t="shared" si="50"/>
        <v>0</v>
      </c>
      <c r="AF181" s="204">
        <f t="shared" si="50"/>
        <v>0</v>
      </c>
      <c r="AG181" s="203"/>
      <c r="AH181" s="46"/>
      <c r="AI181" s="47"/>
      <c r="AK181" s="49"/>
    </row>
    <row r="182" spans="1:37" ht="13.5" customHeight="1" x14ac:dyDescent="0.25">
      <c r="A182" s="120" t="s">
        <v>233</v>
      </c>
      <c r="B182" s="191">
        <v>0</v>
      </c>
      <c r="C182" s="191">
        <f t="shared" si="49"/>
        <v>0</v>
      </c>
      <c r="D182" s="191">
        <f t="shared" si="49"/>
        <v>0</v>
      </c>
      <c r="E182" s="191">
        <f t="shared" si="49"/>
        <v>0</v>
      </c>
      <c r="F182" s="191">
        <f t="shared" si="49"/>
        <v>0</v>
      </c>
      <c r="G182" s="191">
        <f t="shared" si="49"/>
        <v>0</v>
      </c>
      <c r="H182" s="191">
        <f t="shared" si="49"/>
        <v>0</v>
      </c>
      <c r="I182" s="191">
        <f t="shared" si="49"/>
        <v>0</v>
      </c>
      <c r="J182" s="191">
        <f t="shared" si="49"/>
        <v>0</v>
      </c>
      <c r="K182" s="191">
        <f t="shared" si="49"/>
        <v>0</v>
      </c>
      <c r="L182" s="191">
        <f t="shared" si="49"/>
        <v>0</v>
      </c>
      <c r="M182" s="191">
        <f t="shared" si="49"/>
        <v>0</v>
      </c>
      <c r="N182" s="191">
        <f t="shared" si="49"/>
        <v>0</v>
      </c>
      <c r="O182" s="191">
        <f t="shared" si="49"/>
        <v>0</v>
      </c>
      <c r="P182" s="191">
        <f t="shared" si="49"/>
        <v>0</v>
      </c>
      <c r="Q182" s="191">
        <f t="shared" si="49"/>
        <v>0</v>
      </c>
      <c r="R182" s="191">
        <f t="shared" si="49"/>
        <v>0</v>
      </c>
      <c r="S182" s="191">
        <f t="shared" si="50"/>
        <v>0</v>
      </c>
      <c r="T182" s="191">
        <f t="shared" si="50"/>
        <v>0</v>
      </c>
      <c r="U182" s="191">
        <f t="shared" si="50"/>
        <v>0</v>
      </c>
      <c r="V182" s="191">
        <f t="shared" si="50"/>
        <v>0</v>
      </c>
      <c r="W182" s="191">
        <f t="shared" si="50"/>
        <v>0</v>
      </c>
      <c r="X182" s="191">
        <f t="shared" si="50"/>
        <v>0</v>
      </c>
      <c r="Y182" s="191">
        <f t="shared" si="50"/>
        <v>0</v>
      </c>
      <c r="Z182" s="191">
        <f t="shared" si="50"/>
        <v>0</v>
      </c>
      <c r="AA182" s="191">
        <f t="shared" si="50"/>
        <v>0</v>
      </c>
      <c r="AB182" s="191">
        <f t="shared" si="50"/>
        <v>0</v>
      </c>
      <c r="AC182" s="191">
        <f t="shared" si="50"/>
        <v>0</v>
      </c>
      <c r="AD182" s="191">
        <f t="shared" si="50"/>
        <v>0</v>
      </c>
      <c r="AE182" s="191">
        <f t="shared" si="50"/>
        <v>0</v>
      </c>
      <c r="AF182" s="204">
        <f t="shared" si="50"/>
        <v>0</v>
      </c>
      <c r="AG182" s="203"/>
      <c r="AH182" s="46"/>
      <c r="AI182" s="47"/>
      <c r="AK182" s="49"/>
    </row>
    <row r="183" spans="1:37" x14ac:dyDescent="0.25">
      <c r="A183" s="120" t="s">
        <v>234</v>
      </c>
      <c r="B183" s="191">
        <v>0</v>
      </c>
      <c r="C183" s="191">
        <f t="shared" si="49"/>
        <v>0</v>
      </c>
      <c r="D183" s="191">
        <f t="shared" si="49"/>
        <v>0</v>
      </c>
      <c r="E183" s="191">
        <f t="shared" si="49"/>
        <v>0</v>
      </c>
      <c r="F183" s="191">
        <f t="shared" si="49"/>
        <v>0</v>
      </c>
      <c r="G183" s="191">
        <f t="shared" si="49"/>
        <v>0</v>
      </c>
      <c r="H183" s="191">
        <f t="shared" si="49"/>
        <v>0</v>
      </c>
      <c r="I183" s="191">
        <f t="shared" si="49"/>
        <v>0</v>
      </c>
      <c r="J183" s="191">
        <f t="shared" si="49"/>
        <v>0</v>
      </c>
      <c r="K183" s="191">
        <f t="shared" si="49"/>
        <v>0</v>
      </c>
      <c r="L183" s="191">
        <f t="shared" si="49"/>
        <v>0</v>
      </c>
      <c r="M183" s="191">
        <f t="shared" si="49"/>
        <v>0</v>
      </c>
      <c r="N183" s="191">
        <f t="shared" si="49"/>
        <v>0</v>
      </c>
      <c r="O183" s="191">
        <f t="shared" si="49"/>
        <v>0</v>
      </c>
      <c r="P183" s="191">
        <f t="shared" si="49"/>
        <v>0</v>
      </c>
      <c r="Q183" s="191">
        <f t="shared" si="49"/>
        <v>0</v>
      </c>
      <c r="R183" s="191">
        <f t="shared" si="49"/>
        <v>0</v>
      </c>
      <c r="S183" s="191">
        <f t="shared" si="50"/>
        <v>0</v>
      </c>
      <c r="T183" s="191">
        <f t="shared" si="50"/>
        <v>0</v>
      </c>
      <c r="U183" s="191">
        <f t="shared" si="50"/>
        <v>0</v>
      </c>
      <c r="V183" s="191">
        <f t="shared" si="50"/>
        <v>0</v>
      </c>
      <c r="W183" s="191">
        <f t="shared" si="50"/>
        <v>0</v>
      </c>
      <c r="X183" s="191">
        <f t="shared" si="50"/>
        <v>0</v>
      </c>
      <c r="Y183" s="191">
        <f t="shared" si="50"/>
        <v>0</v>
      </c>
      <c r="Z183" s="191">
        <f t="shared" si="50"/>
        <v>0</v>
      </c>
      <c r="AA183" s="191">
        <f t="shared" si="50"/>
        <v>0</v>
      </c>
      <c r="AB183" s="191">
        <f t="shared" si="50"/>
        <v>0</v>
      </c>
      <c r="AC183" s="191">
        <f t="shared" si="50"/>
        <v>0</v>
      </c>
      <c r="AD183" s="191">
        <f t="shared" si="50"/>
        <v>0</v>
      </c>
      <c r="AE183" s="191">
        <f t="shared" si="50"/>
        <v>0</v>
      </c>
      <c r="AF183" s="204">
        <f t="shared" si="50"/>
        <v>0</v>
      </c>
      <c r="AG183" s="203"/>
      <c r="AH183" s="46"/>
      <c r="AI183" s="47"/>
      <c r="AK183" s="49"/>
    </row>
    <row r="184" spans="1:37" x14ac:dyDescent="0.25">
      <c r="A184" s="120" t="s">
        <v>235</v>
      </c>
      <c r="B184" s="191">
        <v>0</v>
      </c>
      <c r="C184" s="191">
        <f t="shared" si="49"/>
        <v>0</v>
      </c>
      <c r="D184" s="191">
        <f t="shared" si="49"/>
        <v>0</v>
      </c>
      <c r="E184" s="191">
        <f t="shared" si="49"/>
        <v>0</v>
      </c>
      <c r="F184" s="191">
        <f t="shared" si="49"/>
        <v>0</v>
      </c>
      <c r="G184" s="191">
        <f t="shared" si="49"/>
        <v>0</v>
      </c>
      <c r="H184" s="191">
        <f t="shared" si="49"/>
        <v>0</v>
      </c>
      <c r="I184" s="191">
        <f t="shared" si="49"/>
        <v>0</v>
      </c>
      <c r="J184" s="191">
        <f t="shared" si="49"/>
        <v>0</v>
      </c>
      <c r="K184" s="191">
        <f t="shared" si="49"/>
        <v>0</v>
      </c>
      <c r="L184" s="191">
        <f t="shared" si="49"/>
        <v>0</v>
      </c>
      <c r="M184" s="191">
        <f t="shared" si="49"/>
        <v>0</v>
      </c>
      <c r="N184" s="191">
        <f t="shared" si="49"/>
        <v>0</v>
      </c>
      <c r="O184" s="191">
        <f t="shared" si="49"/>
        <v>0</v>
      </c>
      <c r="P184" s="191">
        <f t="shared" si="49"/>
        <v>0</v>
      </c>
      <c r="Q184" s="191">
        <f t="shared" si="49"/>
        <v>0</v>
      </c>
      <c r="R184" s="191">
        <f t="shared" si="49"/>
        <v>0</v>
      </c>
      <c r="S184" s="191">
        <f t="shared" si="50"/>
        <v>0</v>
      </c>
      <c r="T184" s="191">
        <f t="shared" si="50"/>
        <v>0</v>
      </c>
      <c r="U184" s="191">
        <f t="shared" si="50"/>
        <v>0</v>
      </c>
      <c r="V184" s="191">
        <f t="shared" si="50"/>
        <v>0</v>
      </c>
      <c r="W184" s="191">
        <f t="shared" si="50"/>
        <v>0</v>
      </c>
      <c r="X184" s="191">
        <f t="shared" si="50"/>
        <v>0</v>
      </c>
      <c r="Y184" s="191">
        <f t="shared" si="50"/>
        <v>0</v>
      </c>
      <c r="Z184" s="191">
        <f t="shared" si="50"/>
        <v>0</v>
      </c>
      <c r="AA184" s="191">
        <f t="shared" si="50"/>
        <v>0</v>
      </c>
      <c r="AB184" s="191">
        <f t="shared" si="50"/>
        <v>0</v>
      </c>
      <c r="AC184" s="191">
        <f t="shared" si="50"/>
        <v>0</v>
      </c>
      <c r="AD184" s="191">
        <f t="shared" si="50"/>
        <v>0</v>
      </c>
      <c r="AE184" s="191">
        <f t="shared" si="50"/>
        <v>0</v>
      </c>
      <c r="AF184" s="204">
        <f t="shared" si="50"/>
        <v>0</v>
      </c>
      <c r="AG184" s="203"/>
      <c r="AH184" s="46"/>
      <c r="AI184" s="47"/>
      <c r="AK184" s="49"/>
    </row>
    <row r="185" spans="1:37" x14ac:dyDescent="0.25">
      <c r="A185" s="120" t="s">
        <v>236</v>
      </c>
      <c r="B185" s="191">
        <v>0</v>
      </c>
      <c r="C185" s="191">
        <f t="shared" si="49"/>
        <v>0</v>
      </c>
      <c r="D185" s="191">
        <f t="shared" si="49"/>
        <v>0</v>
      </c>
      <c r="E185" s="191">
        <f t="shared" si="49"/>
        <v>0</v>
      </c>
      <c r="F185" s="191">
        <f t="shared" si="49"/>
        <v>0</v>
      </c>
      <c r="G185" s="191">
        <f t="shared" si="49"/>
        <v>0</v>
      </c>
      <c r="H185" s="191">
        <f t="shared" si="49"/>
        <v>0</v>
      </c>
      <c r="I185" s="191">
        <f t="shared" si="49"/>
        <v>0</v>
      </c>
      <c r="J185" s="191">
        <f t="shared" si="49"/>
        <v>0</v>
      </c>
      <c r="K185" s="191">
        <f t="shared" si="49"/>
        <v>0</v>
      </c>
      <c r="L185" s="191">
        <f t="shared" si="49"/>
        <v>0</v>
      </c>
      <c r="M185" s="191">
        <f t="shared" si="49"/>
        <v>0</v>
      </c>
      <c r="N185" s="191">
        <f t="shared" si="49"/>
        <v>0</v>
      </c>
      <c r="O185" s="191">
        <f t="shared" si="49"/>
        <v>0</v>
      </c>
      <c r="P185" s="191">
        <f t="shared" si="49"/>
        <v>0</v>
      </c>
      <c r="Q185" s="191">
        <f t="shared" si="49"/>
        <v>0</v>
      </c>
      <c r="R185" s="191">
        <f t="shared" ref="R185:AF200" si="51">Q185</f>
        <v>0</v>
      </c>
      <c r="S185" s="191">
        <f t="shared" si="51"/>
        <v>0</v>
      </c>
      <c r="T185" s="191">
        <f t="shared" si="51"/>
        <v>0</v>
      </c>
      <c r="U185" s="191">
        <f t="shared" si="51"/>
        <v>0</v>
      </c>
      <c r="V185" s="191">
        <f t="shared" si="51"/>
        <v>0</v>
      </c>
      <c r="W185" s="191">
        <f t="shared" si="51"/>
        <v>0</v>
      </c>
      <c r="X185" s="191">
        <f t="shared" si="51"/>
        <v>0</v>
      </c>
      <c r="Y185" s="191">
        <f t="shared" si="51"/>
        <v>0</v>
      </c>
      <c r="Z185" s="191">
        <f t="shared" si="51"/>
        <v>0</v>
      </c>
      <c r="AA185" s="191">
        <f t="shared" si="51"/>
        <v>0</v>
      </c>
      <c r="AB185" s="191">
        <f t="shared" si="50"/>
        <v>0</v>
      </c>
      <c r="AC185" s="191">
        <f t="shared" si="50"/>
        <v>0</v>
      </c>
      <c r="AD185" s="191">
        <f t="shared" si="51"/>
        <v>0</v>
      </c>
      <c r="AE185" s="191">
        <f t="shared" si="51"/>
        <v>0</v>
      </c>
      <c r="AF185" s="204">
        <f t="shared" si="51"/>
        <v>0</v>
      </c>
      <c r="AG185" s="203"/>
      <c r="AH185" s="46"/>
      <c r="AI185" s="47"/>
      <c r="AK185" s="49"/>
    </row>
    <row r="186" spans="1:37" x14ac:dyDescent="0.25">
      <c r="A186" s="120" t="s">
        <v>237</v>
      </c>
      <c r="B186" s="191">
        <v>0</v>
      </c>
      <c r="C186" s="191">
        <f t="shared" ref="C186:R201" si="52">B186</f>
        <v>0</v>
      </c>
      <c r="D186" s="191">
        <f t="shared" si="52"/>
        <v>0</v>
      </c>
      <c r="E186" s="191">
        <f t="shared" si="52"/>
        <v>0</v>
      </c>
      <c r="F186" s="191">
        <f t="shared" si="52"/>
        <v>0</v>
      </c>
      <c r="G186" s="191">
        <f t="shared" si="52"/>
        <v>0</v>
      </c>
      <c r="H186" s="191">
        <f t="shared" si="52"/>
        <v>0</v>
      </c>
      <c r="I186" s="191">
        <f t="shared" si="52"/>
        <v>0</v>
      </c>
      <c r="J186" s="191">
        <f t="shared" si="52"/>
        <v>0</v>
      </c>
      <c r="K186" s="191">
        <f t="shared" si="52"/>
        <v>0</v>
      </c>
      <c r="L186" s="191">
        <f t="shared" si="52"/>
        <v>0</v>
      </c>
      <c r="M186" s="191">
        <f t="shared" si="52"/>
        <v>0</v>
      </c>
      <c r="N186" s="191">
        <f t="shared" si="52"/>
        <v>0</v>
      </c>
      <c r="O186" s="191">
        <f t="shared" si="52"/>
        <v>0</v>
      </c>
      <c r="P186" s="191">
        <f t="shared" si="52"/>
        <v>0</v>
      </c>
      <c r="Q186" s="191">
        <f t="shared" si="52"/>
        <v>0</v>
      </c>
      <c r="R186" s="191">
        <f t="shared" si="52"/>
        <v>0</v>
      </c>
      <c r="S186" s="191">
        <f t="shared" si="51"/>
        <v>0</v>
      </c>
      <c r="T186" s="191">
        <f t="shared" si="51"/>
        <v>0</v>
      </c>
      <c r="U186" s="191">
        <f t="shared" si="51"/>
        <v>0</v>
      </c>
      <c r="V186" s="191">
        <f t="shared" si="51"/>
        <v>0</v>
      </c>
      <c r="W186" s="191">
        <f t="shared" si="51"/>
        <v>0</v>
      </c>
      <c r="X186" s="191">
        <f t="shared" si="51"/>
        <v>0</v>
      </c>
      <c r="Y186" s="191">
        <f t="shared" si="51"/>
        <v>0</v>
      </c>
      <c r="Z186" s="191">
        <f t="shared" si="51"/>
        <v>0</v>
      </c>
      <c r="AA186" s="191">
        <f t="shared" si="51"/>
        <v>0</v>
      </c>
      <c r="AB186" s="191">
        <f t="shared" si="51"/>
        <v>0</v>
      </c>
      <c r="AC186" s="191">
        <f t="shared" si="51"/>
        <v>0</v>
      </c>
      <c r="AD186" s="191">
        <f t="shared" si="51"/>
        <v>0</v>
      </c>
      <c r="AE186" s="191">
        <f t="shared" si="51"/>
        <v>0</v>
      </c>
      <c r="AF186" s="204">
        <f t="shared" si="51"/>
        <v>0</v>
      </c>
      <c r="AG186" s="215">
        <v>9.9</v>
      </c>
      <c r="AH186" s="46"/>
      <c r="AI186" s="47"/>
      <c r="AK186" s="49"/>
    </row>
    <row r="187" spans="1:37" x14ac:dyDescent="0.25">
      <c r="A187" s="73" t="s">
        <v>238</v>
      </c>
      <c r="B187" s="191">
        <v>0</v>
      </c>
      <c r="C187" s="191">
        <f t="shared" si="52"/>
        <v>0</v>
      </c>
      <c r="D187" s="191">
        <f t="shared" si="52"/>
        <v>0</v>
      </c>
      <c r="E187" s="191">
        <f t="shared" si="52"/>
        <v>0</v>
      </c>
      <c r="F187" s="191">
        <f t="shared" si="52"/>
        <v>0</v>
      </c>
      <c r="G187" s="191">
        <f t="shared" si="52"/>
        <v>0</v>
      </c>
      <c r="H187" s="191">
        <f t="shared" si="52"/>
        <v>0</v>
      </c>
      <c r="I187" s="191">
        <f t="shared" si="52"/>
        <v>0</v>
      </c>
      <c r="J187" s="191">
        <f t="shared" si="52"/>
        <v>0</v>
      </c>
      <c r="K187" s="191">
        <f t="shared" si="52"/>
        <v>0</v>
      </c>
      <c r="L187" s="191">
        <f t="shared" si="52"/>
        <v>0</v>
      </c>
      <c r="M187" s="191">
        <f t="shared" si="52"/>
        <v>0</v>
      </c>
      <c r="N187" s="191">
        <f t="shared" si="52"/>
        <v>0</v>
      </c>
      <c r="O187" s="191">
        <f t="shared" si="52"/>
        <v>0</v>
      </c>
      <c r="P187" s="191">
        <f t="shared" si="52"/>
        <v>0</v>
      </c>
      <c r="Q187" s="191">
        <f t="shared" si="52"/>
        <v>0</v>
      </c>
      <c r="R187" s="191">
        <f t="shared" si="52"/>
        <v>0</v>
      </c>
      <c r="S187" s="191">
        <f t="shared" si="51"/>
        <v>0</v>
      </c>
      <c r="T187" s="191">
        <f t="shared" si="51"/>
        <v>0</v>
      </c>
      <c r="U187" s="191">
        <f t="shared" si="51"/>
        <v>0</v>
      </c>
      <c r="V187" s="191">
        <f t="shared" si="51"/>
        <v>0</v>
      </c>
      <c r="W187" s="191">
        <f t="shared" si="51"/>
        <v>0</v>
      </c>
      <c r="X187" s="191">
        <f t="shared" si="51"/>
        <v>0</v>
      </c>
      <c r="Y187" s="191">
        <f t="shared" si="51"/>
        <v>0</v>
      </c>
      <c r="Z187" s="191">
        <f t="shared" si="51"/>
        <v>0</v>
      </c>
      <c r="AA187" s="191">
        <f t="shared" si="51"/>
        <v>0</v>
      </c>
      <c r="AB187" s="191">
        <f t="shared" si="51"/>
        <v>0</v>
      </c>
      <c r="AC187" s="191">
        <f t="shared" si="51"/>
        <v>0</v>
      </c>
      <c r="AD187" s="191">
        <f t="shared" si="51"/>
        <v>0</v>
      </c>
      <c r="AE187" s="191">
        <f t="shared" si="51"/>
        <v>0</v>
      </c>
      <c r="AF187" s="204">
        <f t="shared" si="51"/>
        <v>0</v>
      </c>
      <c r="AG187" s="216">
        <v>9.6579999999999995</v>
      </c>
      <c r="AH187" s="46"/>
      <c r="AI187" s="47"/>
      <c r="AK187" s="49"/>
    </row>
    <row r="188" spans="1:37" x14ac:dyDescent="0.25">
      <c r="A188" s="73" t="s">
        <v>239</v>
      </c>
      <c r="B188" s="191">
        <v>0</v>
      </c>
      <c r="C188" s="191">
        <f t="shared" si="52"/>
        <v>0</v>
      </c>
      <c r="D188" s="191">
        <f t="shared" si="52"/>
        <v>0</v>
      </c>
      <c r="E188" s="191">
        <f t="shared" si="52"/>
        <v>0</v>
      </c>
      <c r="F188" s="191">
        <f t="shared" si="52"/>
        <v>0</v>
      </c>
      <c r="G188" s="191">
        <f t="shared" si="52"/>
        <v>0</v>
      </c>
      <c r="H188" s="191">
        <f t="shared" si="52"/>
        <v>0</v>
      </c>
      <c r="I188" s="191">
        <f t="shared" si="52"/>
        <v>0</v>
      </c>
      <c r="J188" s="191">
        <f t="shared" si="52"/>
        <v>0</v>
      </c>
      <c r="K188" s="191">
        <f t="shared" si="52"/>
        <v>0</v>
      </c>
      <c r="L188" s="191">
        <f t="shared" si="52"/>
        <v>0</v>
      </c>
      <c r="M188" s="191">
        <f t="shared" si="52"/>
        <v>0</v>
      </c>
      <c r="N188" s="191">
        <f t="shared" si="52"/>
        <v>0</v>
      </c>
      <c r="O188" s="191">
        <f t="shared" si="52"/>
        <v>0</v>
      </c>
      <c r="P188" s="191">
        <f t="shared" si="52"/>
        <v>0</v>
      </c>
      <c r="Q188" s="191">
        <f t="shared" si="52"/>
        <v>0</v>
      </c>
      <c r="R188" s="191">
        <f t="shared" si="52"/>
        <v>0</v>
      </c>
      <c r="S188" s="191">
        <f t="shared" si="51"/>
        <v>0</v>
      </c>
      <c r="T188" s="191">
        <f t="shared" si="51"/>
        <v>0</v>
      </c>
      <c r="U188" s="191">
        <f t="shared" si="51"/>
        <v>0</v>
      </c>
      <c r="V188" s="191">
        <f t="shared" si="51"/>
        <v>0</v>
      </c>
      <c r="W188" s="191">
        <f t="shared" si="51"/>
        <v>0</v>
      </c>
      <c r="X188" s="191">
        <f t="shared" si="51"/>
        <v>0</v>
      </c>
      <c r="Y188" s="191">
        <f t="shared" si="51"/>
        <v>0</v>
      </c>
      <c r="Z188" s="191">
        <f t="shared" si="51"/>
        <v>0</v>
      </c>
      <c r="AA188" s="191">
        <f t="shared" si="51"/>
        <v>0</v>
      </c>
      <c r="AB188" s="191">
        <f t="shared" si="51"/>
        <v>0</v>
      </c>
      <c r="AC188" s="191">
        <f t="shared" si="51"/>
        <v>0</v>
      </c>
      <c r="AD188" s="191">
        <f t="shared" si="51"/>
        <v>0</v>
      </c>
      <c r="AE188" s="191">
        <f t="shared" si="51"/>
        <v>0</v>
      </c>
      <c r="AF188" s="204">
        <f t="shared" si="51"/>
        <v>0</v>
      </c>
      <c r="AG188" s="216">
        <v>9.6</v>
      </c>
      <c r="AH188" s="46"/>
      <c r="AI188" s="47"/>
      <c r="AK188" s="49"/>
    </row>
    <row r="189" spans="1:37" x14ac:dyDescent="0.25">
      <c r="A189" s="73" t="s">
        <v>240</v>
      </c>
      <c r="B189" s="191">
        <v>0</v>
      </c>
      <c r="C189" s="191">
        <f t="shared" si="52"/>
        <v>0</v>
      </c>
      <c r="D189" s="191">
        <f t="shared" si="52"/>
        <v>0</v>
      </c>
      <c r="E189" s="191">
        <f t="shared" si="52"/>
        <v>0</v>
      </c>
      <c r="F189" s="191">
        <f t="shared" si="52"/>
        <v>0</v>
      </c>
      <c r="G189" s="191">
        <f t="shared" si="52"/>
        <v>0</v>
      </c>
      <c r="H189" s="191">
        <f t="shared" si="52"/>
        <v>0</v>
      </c>
      <c r="I189" s="191">
        <f t="shared" si="52"/>
        <v>0</v>
      </c>
      <c r="J189" s="191">
        <f t="shared" si="52"/>
        <v>0</v>
      </c>
      <c r="K189" s="191">
        <f t="shared" si="52"/>
        <v>0</v>
      </c>
      <c r="L189" s="191">
        <f t="shared" si="52"/>
        <v>0</v>
      </c>
      <c r="M189" s="191">
        <f t="shared" si="52"/>
        <v>0</v>
      </c>
      <c r="N189" s="191">
        <f t="shared" si="52"/>
        <v>0</v>
      </c>
      <c r="O189" s="191">
        <f t="shared" si="52"/>
        <v>0</v>
      </c>
      <c r="P189" s="191">
        <f t="shared" si="52"/>
        <v>0</v>
      </c>
      <c r="Q189" s="191">
        <f t="shared" si="52"/>
        <v>0</v>
      </c>
      <c r="R189" s="191">
        <f t="shared" si="52"/>
        <v>0</v>
      </c>
      <c r="S189" s="191">
        <f t="shared" si="51"/>
        <v>0</v>
      </c>
      <c r="T189" s="191">
        <f t="shared" si="51"/>
        <v>0</v>
      </c>
      <c r="U189" s="191">
        <f t="shared" si="51"/>
        <v>0</v>
      </c>
      <c r="V189" s="191">
        <f t="shared" si="51"/>
        <v>0</v>
      </c>
      <c r="W189" s="191">
        <f t="shared" si="51"/>
        <v>0</v>
      </c>
      <c r="X189" s="191">
        <f t="shared" si="51"/>
        <v>0</v>
      </c>
      <c r="Y189" s="191">
        <f t="shared" si="51"/>
        <v>0</v>
      </c>
      <c r="Z189" s="191">
        <f t="shared" si="51"/>
        <v>0</v>
      </c>
      <c r="AA189" s="191">
        <f t="shared" si="51"/>
        <v>0</v>
      </c>
      <c r="AB189" s="191">
        <f t="shared" si="51"/>
        <v>0</v>
      </c>
      <c r="AC189" s="191">
        <f t="shared" si="51"/>
        <v>0</v>
      </c>
      <c r="AD189" s="191">
        <f t="shared" si="51"/>
        <v>0</v>
      </c>
      <c r="AE189" s="191">
        <f t="shared" si="51"/>
        <v>0</v>
      </c>
      <c r="AF189" s="204">
        <f t="shared" si="51"/>
        <v>0</v>
      </c>
      <c r="AG189" s="216">
        <v>9.51</v>
      </c>
      <c r="AH189" s="46"/>
      <c r="AI189" s="47"/>
      <c r="AK189" s="49"/>
    </row>
    <row r="190" spans="1:37" x14ac:dyDescent="0.25">
      <c r="A190" s="73" t="s">
        <v>241</v>
      </c>
      <c r="B190" s="191">
        <v>0</v>
      </c>
      <c r="C190" s="191">
        <f t="shared" si="52"/>
        <v>0</v>
      </c>
      <c r="D190" s="191">
        <f t="shared" si="52"/>
        <v>0</v>
      </c>
      <c r="E190" s="191">
        <f t="shared" si="52"/>
        <v>0</v>
      </c>
      <c r="F190" s="191">
        <f t="shared" si="52"/>
        <v>0</v>
      </c>
      <c r="G190" s="191">
        <f t="shared" si="52"/>
        <v>0</v>
      </c>
      <c r="H190" s="191">
        <f t="shared" si="52"/>
        <v>0</v>
      </c>
      <c r="I190" s="191">
        <f t="shared" si="52"/>
        <v>0</v>
      </c>
      <c r="J190" s="191">
        <f t="shared" si="52"/>
        <v>0</v>
      </c>
      <c r="K190" s="191">
        <f t="shared" si="52"/>
        <v>0</v>
      </c>
      <c r="L190" s="191">
        <f t="shared" si="52"/>
        <v>0</v>
      </c>
      <c r="M190" s="191">
        <f t="shared" si="52"/>
        <v>0</v>
      </c>
      <c r="N190" s="191">
        <f t="shared" si="52"/>
        <v>0</v>
      </c>
      <c r="O190" s="191">
        <f t="shared" si="52"/>
        <v>0</v>
      </c>
      <c r="P190" s="191">
        <f t="shared" si="52"/>
        <v>0</v>
      </c>
      <c r="Q190" s="191">
        <f t="shared" si="52"/>
        <v>0</v>
      </c>
      <c r="R190" s="191">
        <f t="shared" si="52"/>
        <v>0</v>
      </c>
      <c r="S190" s="191">
        <f t="shared" si="51"/>
        <v>0</v>
      </c>
      <c r="T190" s="191">
        <f t="shared" si="51"/>
        <v>0</v>
      </c>
      <c r="U190" s="191">
        <f t="shared" si="51"/>
        <v>0</v>
      </c>
      <c r="V190" s="191">
        <f t="shared" si="51"/>
        <v>0</v>
      </c>
      <c r="W190" s="191">
        <f t="shared" si="51"/>
        <v>0</v>
      </c>
      <c r="X190" s="191">
        <f t="shared" si="51"/>
        <v>0</v>
      </c>
      <c r="Y190" s="191">
        <f t="shared" si="51"/>
        <v>0</v>
      </c>
      <c r="Z190" s="191">
        <f t="shared" si="51"/>
        <v>0</v>
      </c>
      <c r="AA190" s="191">
        <f t="shared" si="51"/>
        <v>0</v>
      </c>
      <c r="AB190" s="191">
        <f t="shared" si="51"/>
        <v>0</v>
      </c>
      <c r="AC190" s="191">
        <f t="shared" si="51"/>
        <v>0</v>
      </c>
      <c r="AD190" s="191">
        <f t="shared" si="51"/>
        <v>0</v>
      </c>
      <c r="AE190" s="191">
        <f t="shared" si="51"/>
        <v>0</v>
      </c>
      <c r="AF190" s="204">
        <f t="shared" si="51"/>
        <v>0</v>
      </c>
      <c r="AG190" s="216">
        <v>9.4</v>
      </c>
      <c r="AH190" s="46"/>
      <c r="AI190" s="47"/>
      <c r="AK190" s="49"/>
    </row>
    <row r="191" spans="1:37" x14ac:dyDescent="0.25">
      <c r="A191" s="73" t="s">
        <v>242</v>
      </c>
      <c r="B191" s="191">
        <v>0</v>
      </c>
      <c r="C191" s="191">
        <f t="shared" si="52"/>
        <v>0</v>
      </c>
      <c r="D191" s="191">
        <f t="shared" si="52"/>
        <v>0</v>
      </c>
      <c r="E191" s="191">
        <f t="shared" si="52"/>
        <v>0</v>
      </c>
      <c r="F191" s="191">
        <f t="shared" si="52"/>
        <v>0</v>
      </c>
      <c r="G191" s="191">
        <f t="shared" si="52"/>
        <v>0</v>
      </c>
      <c r="H191" s="191">
        <f t="shared" si="52"/>
        <v>0</v>
      </c>
      <c r="I191" s="191">
        <f t="shared" si="52"/>
        <v>0</v>
      </c>
      <c r="J191" s="191">
        <f t="shared" si="52"/>
        <v>0</v>
      </c>
      <c r="K191" s="191">
        <f t="shared" si="52"/>
        <v>0</v>
      </c>
      <c r="L191" s="191">
        <f t="shared" si="52"/>
        <v>0</v>
      </c>
      <c r="M191" s="191">
        <f t="shared" si="52"/>
        <v>0</v>
      </c>
      <c r="N191" s="191">
        <f t="shared" si="52"/>
        <v>0</v>
      </c>
      <c r="O191" s="191">
        <f t="shared" si="52"/>
        <v>0</v>
      </c>
      <c r="P191" s="191">
        <f t="shared" si="52"/>
        <v>0</v>
      </c>
      <c r="Q191" s="191">
        <f t="shared" si="52"/>
        <v>0</v>
      </c>
      <c r="R191" s="191">
        <f t="shared" si="52"/>
        <v>0</v>
      </c>
      <c r="S191" s="191">
        <f t="shared" si="51"/>
        <v>0</v>
      </c>
      <c r="T191" s="191">
        <f t="shared" si="51"/>
        <v>0</v>
      </c>
      <c r="U191" s="191">
        <f t="shared" si="51"/>
        <v>0</v>
      </c>
      <c r="V191" s="191">
        <f t="shared" si="51"/>
        <v>0</v>
      </c>
      <c r="W191" s="191">
        <f t="shared" si="51"/>
        <v>0</v>
      </c>
      <c r="X191" s="191">
        <f t="shared" si="51"/>
        <v>0</v>
      </c>
      <c r="Y191" s="191">
        <f t="shared" si="51"/>
        <v>0</v>
      </c>
      <c r="Z191" s="191">
        <f t="shared" si="51"/>
        <v>0</v>
      </c>
      <c r="AA191" s="191">
        <f t="shared" si="51"/>
        <v>0</v>
      </c>
      <c r="AB191" s="191">
        <f t="shared" si="51"/>
        <v>0</v>
      </c>
      <c r="AC191" s="191">
        <f t="shared" si="51"/>
        <v>0</v>
      </c>
      <c r="AD191" s="191">
        <f t="shared" si="51"/>
        <v>0</v>
      </c>
      <c r="AE191" s="191">
        <f t="shared" si="51"/>
        <v>0</v>
      </c>
      <c r="AF191" s="204">
        <f t="shared" si="51"/>
        <v>0</v>
      </c>
      <c r="AG191" s="216">
        <v>8.8000000000000007</v>
      </c>
      <c r="AH191" s="46"/>
      <c r="AI191" s="47"/>
      <c r="AK191" s="49"/>
    </row>
    <row r="192" spans="1:37" x14ac:dyDescent="0.25">
      <c r="A192" s="73" t="s">
        <v>243</v>
      </c>
      <c r="B192" s="191">
        <v>0</v>
      </c>
      <c r="C192" s="191">
        <f t="shared" si="52"/>
        <v>0</v>
      </c>
      <c r="D192" s="191">
        <f t="shared" si="52"/>
        <v>0</v>
      </c>
      <c r="E192" s="191">
        <f t="shared" si="52"/>
        <v>0</v>
      </c>
      <c r="F192" s="191">
        <f t="shared" si="52"/>
        <v>0</v>
      </c>
      <c r="G192" s="191">
        <f t="shared" si="52"/>
        <v>0</v>
      </c>
      <c r="H192" s="191">
        <f t="shared" si="52"/>
        <v>0</v>
      </c>
      <c r="I192" s="191">
        <f t="shared" si="52"/>
        <v>0</v>
      </c>
      <c r="J192" s="191">
        <f t="shared" si="52"/>
        <v>0</v>
      </c>
      <c r="K192" s="191">
        <f t="shared" si="52"/>
        <v>0</v>
      </c>
      <c r="L192" s="191">
        <f t="shared" si="52"/>
        <v>0</v>
      </c>
      <c r="M192" s="191">
        <f t="shared" si="52"/>
        <v>0</v>
      </c>
      <c r="N192" s="191">
        <f t="shared" si="52"/>
        <v>0</v>
      </c>
      <c r="O192" s="191">
        <f t="shared" si="52"/>
        <v>0</v>
      </c>
      <c r="P192" s="191">
        <f t="shared" si="52"/>
        <v>0</v>
      </c>
      <c r="Q192" s="191">
        <f t="shared" si="52"/>
        <v>0</v>
      </c>
      <c r="R192" s="191">
        <f t="shared" si="52"/>
        <v>0</v>
      </c>
      <c r="S192" s="191">
        <f t="shared" si="51"/>
        <v>0</v>
      </c>
      <c r="T192" s="191">
        <f t="shared" si="51"/>
        <v>0</v>
      </c>
      <c r="U192" s="191">
        <f t="shared" si="51"/>
        <v>0</v>
      </c>
      <c r="V192" s="191">
        <f t="shared" si="51"/>
        <v>0</v>
      </c>
      <c r="W192" s="191">
        <f t="shared" si="51"/>
        <v>0</v>
      </c>
      <c r="X192" s="191">
        <f t="shared" si="51"/>
        <v>0</v>
      </c>
      <c r="Y192" s="191">
        <f t="shared" si="51"/>
        <v>0</v>
      </c>
      <c r="Z192" s="191">
        <f t="shared" si="51"/>
        <v>0</v>
      </c>
      <c r="AA192" s="191">
        <f t="shared" si="51"/>
        <v>0</v>
      </c>
      <c r="AB192" s="191">
        <f t="shared" si="51"/>
        <v>0</v>
      </c>
      <c r="AC192" s="191">
        <f t="shared" si="51"/>
        <v>0</v>
      </c>
      <c r="AD192" s="191">
        <f t="shared" si="51"/>
        <v>0</v>
      </c>
      <c r="AE192" s="191">
        <f t="shared" si="51"/>
        <v>0</v>
      </c>
      <c r="AF192" s="204">
        <f t="shared" si="51"/>
        <v>0</v>
      </c>
      <c r="AG192" s="216">
        <v>8.5</v>
      </c>
      <c r="AH192" s="46"/>
      <c r="AI192" s="47"/>
      <c r="AK192" s="49"/>
    </row>
    <row r="193" spans="1:37" x14ac:dyDescent="0.25">
      <c r="A193" s="73" t="s">
        <v>244</v>
      </c>
      <c r="B193" s="191">
        <v>0</v>
      </c>
      <c r="C193" s="191">
        <f t="shared" si="52"/>
        <v>0</v>
      </c>
      <c r="D193" s="191">
        <f t="shared" si="52"/>
        <v>0</v>
      </c>
      <c r="E193" s="191">
        <f t="shared" si="52"/>
        <v>0</v>
      </c>
      <c r="F193" s="191">
        <f t="shared" si="52"/>
        <v>0</v>
      </c>
      <c r="G193" s="191">
        <f t="shared" si="52"/>
        <v>0</v>
      </c>
      <c r="H193" s="191">
        <f t="shared" si="52"/>
        <v>0</v>
      </c>
      <c r="I193" s="191">
        <f t="shared" si="52"/>
        <v>0</v>
      </c>
      <c r="J193" s="191">
        <f t="shared" si="52"/>
        <v>0</v>
      </c>
      <c r="K193" s="191">
        <f t="shared" si="52"/>
        <v>0</v>
      </c>
      <c r="L193" s="191">
        <f t="shared" si="52"/>
        <v>0</v>
      </c>
      <c r="M193" s="191">
        <f t="shared" si="52"/>
        <v>0</v>
      </c>
      <c r="N193" s="191">
        <f t="shared" si="52"/>
        <v>0</v>
      </c>
      <c r="O193" s="191">
        <f t="shared" si="52"/>
        <v>0</v>
      </c>
      <c r="P193" s="191">
        <f t="shared" si="52"/>
        <v>0</v>
      </c>
      <c r="Q193" s="191">
        <f t="shared" si="52"/>
        <v>0</v>
      </c>
      <c r="R193" s="191">
        <f t="shared" si="52"/>
        <v>0</v>
      </c>
      <c r="S193" s="191">
        <f t="shared" si="51"/>
        <v>0</v>
      </c>
      <c r="T193" s="191">
        <f t="shared" si="51"/>
        <v>0</v>
      </c>
      <c r="U193" s="191">
        <f t="shared" si="51"/>
        <v>0</v>
      </c>
      <c r="V193" s="191">
        <f t="shared" si="51"/>
        <v>0</v>
      </c>
      <c r="W193" s="191">
        <f t="shared" si="51"/>
        <v>0</v>
      </c>
      <c r="X193" s="191">
        <f t="shared" si="51"/>
        <v>0</v>
      </c>
      <c r="Y193" s="191">
        <f t="shared" si="51"/>
        <v>0</v>
      </c>
      <c r="Z193" s="191">
        <f t="shared" si="51"/>
        <v>0</v>
      </c>
      <c r="AA193" s="191">
        <f t="shared" si="51"/>
        <v>0</v>
      </c>
      <c r="AB193" s="191">
        <f t="shared" si="51"/>
        <v>0</v>
      </c>
      <c r="AC193" s="191">
        <f t="shared" si="51"/>
        <v>0</v>
      </c>
      <c r="AD193" s="191">
        <f t="shared" si="51"/>
        <v>0</v>
      </c>
      <c r="AE193" s="191">
        <f t="shared" si="51"/>
        <v>0</v>
      </c>
      <c r="AF193" s="204">
        <f t="shared" si="51"/>
        <v>0</v>
      </c>
      <c r="AG193" s="216">
        <v>8.5</v>
      </c>
      <c r="AH193" s="46"/>
      <c r="AI193" s="47"/>
      <c r="AK193" s="49"/>
    </row>
    <row r="194" spans="1:37" x14ac:dyDescent="0.25">
      <c r="A194" s="73" t="s">
        <v>245</v>
      </c>
      <c r="B194" s="191">
        <v>0</v>
      </c>
      <c r="C194" s="191">
        <f t="shared" si="52"/>
        <v>0</v>
      </c>
      <c r="D194" s="191">
        <f t="shared" si="52"/>
        <v>0</v>
      </c>
      <c r="E194" s="191">
        <f t="shared" si="52"/>
        <v>0</v>
      </c>
      <c r="F194" s="191">
        <f t="shared" si="52"/>
        <v>0</v>
      </c>
      <c r="G194" s="191">
        <f t="shared" si="52"/>
        <v>0</v>
      </c>
      <c r="H194" s="191">
        <f t="shared" si="52"/>
        <v>0</v>
      </c>
      <c r="I194" s="191">
        <f t="shared" si="52"/>
        <v>0</v>
      </c>
      <c r="J194" s="191">
        <f t="shared" si="52"/>
        <v>0</v>
      </c>
      <c r="K194" s="191">
        <f t="shared" si="52"/>
        <v>0</v>
      </c>
      <c r="L194" s="191">
        <f t="shared" si="52"/>
        <v>0</v>
      </c>
      <c r="M194" s="191">
        <f t="shared" si="52"/>
        <v>0</v>
      </c>
      <c r="N194" s="191">
        <f t="shared" si="52"/>
        <v>0</v>
      </c>
      <c r="O194" s="191">
        <f t="shared" si="52"/>
        <v>0</v>
      </c>
      <c r="P194" s="191">
        <f t="shared" si="52"/>
        <v>0</v>
      </c>
      <c r="Q194" s="191">
        <f t="shared" si="52"/>
        <v>0</v>
      </c>
      <c r="R194" s="191">
        <f t="shared" si="52"/>
        <v>0</v>
      </c>
      <c r="S194" s="191">
        <f t="shared" si="51"/>
        <v>0</v>
      </c>
      <c r="T194" s="191">
        <f t="shared" si="51"/>
        <v>0</v>
      </c>
      <c r="U194" s="191">
        <f t="shared" si="51"/>
        <v>0</v>
      </c>
      <c r="V194" s="191">
        <f t="shared" si="51"/>
        <v>0</v>
      </c>
      <c r="W194" s="191">
        <f t="shared" si="51"/>
        <v>0</v>
      </c>
      <c r="X194" s="191">
        <f t="shared" si="51"/>
        <v>0</v>
      </c>
      <c r="Y194" s="191">
        <f t="shared" si="51"/>
        <v>0</v>
      </c>
      <c r="Z194" s="191">
        <f t="shared" si="51"/>
        <v>0</v>
      </c>
      <c r="AA194" s="191">
        <f t="shared" si="51"/>
        <v>0</v>
      </c>
      <c r="AB194" s="191">
        <f t="shared" si="51"/>
        <v>0</v>
      </c>
      <c r="AC194" s="191">
        <f t="shared" si="51"/>
        <v>0</v>
      </c>
      <c r="AD194" s="191">
        <f t="shared" si="51"/>
        <v>0</v>
      </c>
      <c r="AE194" s="191">
        <f t="shared" si="51"/>
        <v>0</v>
      </c>
      <c r="AF194" s="204">
        <f t="shared" si="51"/>
        <v>0</v>
      </c>
      <c r="AG194" s="216">
        <v>8.4</v>
      </c>
      <c r="AH194" s="46"/>
      <c r="AI194" s="47"/>
      <c r="AK194" s="49"/>
    </row>
    <row r="195" spans="1:37" x14ac:dyDescent="0.25">
      <c r="A195" s="73" t="s">
        <v>246</v>
      </c>
      <c r="B195" s="191">
        <v>0</v>
      </c>
      <c r="C195" s="191">
        <f t="shared" si="52"/>
        <v>0</v>
      </c>
      <c r="D195" s="191">
        <f t="shared" si="52"/>
        <v>0</v>
      </c>
      <c r="E195" s="191">
        <f t="shared" si="52"/>
        <v>0</v>
      </c>
      <c r="F195" s="191">
        <f t="shared" si="52"/>
        <v>0</v>
      </c>
      <c r="G195" s="191">
        <f t="shared" si="52"/>
        <v>0</v>
      </c>
      <c r="H195" s="191">
        <f t="shared" si="52"/>
        <v>0</v>
      </c>
      <c r="I195" s="191">
        <f t="shared" si="52"/>
        <v>0</v>
      </c>
      <c r="J195" s="191">
        <f t="shared" si="52"/>
        <v>0</v>
      </c>
      <c r="K195" s="191">
        <f t="shared" si="52"/>
        <v>0</v>
      </c>
      <c r="L195" s="191">
        <f t="shared" si="52"/>
        <v>0</v>
      </c>
      <c r="M195" s="191">
        <f t="shared" si="52"/>
        <v>0</v>
      </c>
      <c r="N195" s="191">
        <f t="shared" si="52"/>
        <v>0</v>
      </c>
      <c r="O195" s="191">
        <f t="shared" si="52"/>
        <v>0</v>
      </c>
      <c r="P195" s="191">
        <f t="shared" si="52"/>
        <v>0</v>
      </c>
      <c r="Q195" s="191">
        <f t="shared" si="52"/>
        <v>0</v>
      </c>
      <c r="R195" s="191">
        <f t="shared" si="52"/>
        <v>0</v>
      </c>
      <c r="S195" s="191">
        <f t="shared" si="51"/>
        <v>0</v>
      </c>
      <c r="T195" s="191">
        <f t="shared" si="51"/>
        <v>0</v>
      </c>
      <c r="U195" s="191">
        <f t="shared" si="51"/>
        <v>0</v>
      </c>
      <c r="V195" s="191">
        <f t="shared" si="51"/>
        <v>0</v>
      </c>
      <c r="W195" s="191">
        <f t="shared" si="51"/>
        <v>0</v>
      </c>
      <c r="X195" s="191">
        <f t="shared" si="51"/>
        <v>0</v>
      </c>
      <c r="Y195" s="191">
        <f t="shared" si="51"/>
        <v>0</v>
      </c>
      <c r="Z195" s="191">
        <f t="shared" si="51"/>
        <v>0</v>
      </c>
      <c r="AA195" s="191">
        <f t="shared" si="51"/>
        <v>0</v>
      </c>
      <c r="AB195" s="191">
        <f t="shared" si="51"/>
        <v>0</v>
      </c>
      <c r="AC195" s="191">
        <f t="shared" si="51"/>
        <v>0</v>
      </c>
      <c r="AD195" s="191">
        <f t="shared" si="51"/>
        <v>0</v>
      </c>
      <c r="AE195" s="191">
        <f t="shared" si="51"/>
        <v>0</v>
      </c>
      <c r="AF195" s="204">
        <f t="shared" si="51"/>
        <v>0</v>
      </c>
      <c r="AG195" s="216">
        <v>8</v>
      </c>
      <c r="AH195" s="46"/>
      <c r="AI195" s="47"/>
      <c r="AK195" s="49"/>
    </row>
    <row r="196" spans="1:37" x14ac:dyDescent="0.25">
      <c r="A196" s="73" t="s">
        <v>247</v>
      </c>
      <c r="B196" s="191">
        <v>0</v>
      </c>
      <c r="C196" s="191">
        <f t="shared" si="52"/>
        <v>0</v>
      </c>
      <c r="D196" s="191">
        <f t="shared" si="52"/>
        <v>0</v>
      </c>
      <c r="E196" s="191">
        <f t="shared" si="52"/>
        <v>0</v>
      </c>
      <c r="F196" s="191">
        <f t="shared" si="52"/>
        <v>0</v>
      </c>
      <c r="G196" s="191">
        <f t="shared" si="52"/>
        <v>0</v>
      </c>
      <c r="H196" s="191">
        <f t="shared" si="52"/>
        <v>0</v>
      </c>
      <c r="I196" s="191">
        <f t="shared" si="52"/>
        <v>0</v>
      </c>
      <c r="J196" s="191">
        <f t="shared" si="52"/>
        <v>0</v>
      </c>
      <c r="K196" s="191">
        <f t="shared" si="52"/>
        <v>0</v>
      </c>
      <c r="L196" s="191">
        <f t="shared" si="52"/>
        <v>0</v>
      </c>
      <c r="M196" s="191">
        <f t="shared" si="52"/>
        <v>0</v>
      </c>
      <c r="N196" s="191">
        <f t="shared" si="52"/>
        <v>0</v>
      </c>
      <c r="O196" s="191">
        <f t="shared" si="52"/>
        <v>0</v>
      </c>
      <c r="P196" s="191">
        <f t="shared" si="52"/>
        <v>0</v>
      </c>
      <c r="Q196" s="191">
        <f t="shared" si="52"/>
        <v>0</v>
      </c>
      <c r="R196" s="191">
        <f t="shared" si="52"/>
        <v>0</v>
      </c>
      <c r="S196" s="191">
        <f t="shared" si="51"/>
        <v>0</v>
      </c>
      <c r="T196" s="191">
        <f t="shared" si="51"/>
        <v>0</v>
      </c>
      <c r="U196" s="191">
        <f t="shared" si="51"/>
        <v>0</v>
      </c>
      <c r="V196" s="191">
        <f t="shared" si="51"/>
        <v>0</v>
      </c>
      <c r="W196" s="191">
        <f t="shared" si="51"/>
        <v>0</v>
      </c>
      <c r="X196" s="191">
        <f t="shared" si="51"/>
        <v>0</v>
      </c>
      <c r="Y196" s="191">
        <f t="shared" si="51"/>
        <v>0</v>
      </c>
      <c r="Z196" s="191">
        <f t="shared" si="51"/>
        <v>0</v>
      </c>
      <c r="AA196" s="191">
        <f t="shared" si="51"/>
        <v>0</v>
      </c>
      <c r="AB196" s="191">
        <f t="shared" si="51"/>
        <v>0</v>
      </c>
      <c r="AC196" s="191">
        <f t="shared" si="51"/>
        <v>0</v>
      </c>
      <c r="AD196" s="191">
        <f t="shared" si="51"/>
        <v>0</v>
      </c>
      <c r="AE196" s="191">
        <f t="shared" si="51"/>
        <v>0</v>
      </c>
      <c r="AF196" s="204">
        <f t="shared" si="51"/>
        <v>0</v>
      </c>
      <c r="AG196" s="216">
        <v>8</v>
      </c>
      <c r="AH196" s="46"/>
      <c r="AI196" s="47"/>
      <c r="AK196" s="49"/>
    </row>
    <row r="197" spans="1:37" x14ac:dyDescent="0.25">
      <c r="A197" s="73" t="s">
        <v>248</v>
      </c>
      <c r="B197" s="191">
        <v>0</v>
      </c>
      <c r="C197" s="191">
        <f t="shared" si="52"/>
        <v>0</v>
      </c>
      <c r="D197" s="191">
        <f t="shared" si="52"/>
        <v>0</v>
      </c>
      <c r="E197" s="191">
        <f t="shared" si="52"/>
        <v>0</v>
      </c>
      <c r="F197" s="191">
        <f t="shared" si="52"/>
        <v>0</v>
      </c>
      <c r="G197" s="191">
        <f t="shared" si="52"/>
        <v>0</v>
      </c>
      <c r="H197" s="191">
        <f t="shared" si="52"/>
        <v>0</v>
      </c>
      <c r="I197" s="191">
        <f t="shared" si="52"/>
        <v>0</v>
      </c>
      <c r="J197" s="191">
        <f t="shared" si="52"/>
        <v>0</v>
      </c>
      <c r="K197" s="191">
        <f t="shared" si="52"/>
        <v>0</v>
      </c>
      <c r="L197" s="191">
        <f t="shared" si="52"/>
        <v>0</v>
      </c>
      <c r="M197" s="191">
        <f t="shared" si="52"/>
        <v>0</v>
      </c>
      <c r="N197" s="191">
        <f t="shared" si="52"/>
        <v>0</v>
      </c>
      <c r="O197" s="191">
        <f t="shared" si="52"/>
        <v>0</v>
      </c>
      <c r="P197" s="191">
        <f t="shared" si="52"/>
        <v>0</v>
      </c>
      <c r="Q197" s="191">
        <f t="shared" si="52"/>
        <v>0</v>
      </c>
      <c r="R197" s="191">
        <f t="shared" si="52"/>
        <v>0</v>
      </c>
      <c r="S197" s="191">
        <f t="shared" si="51"/>
        <v>0</v>
      </c>
      <c r="T197" s="191">
        <f t="shared" si="51"/>
        <v>0</v>
      </c>
      <c r="U197" s="191">
        <f t="shared" si="51"/>
        <v>0</v>
      </c>
      <c r="V197" s="191">
        <f t="shared" si="51"/>
        <v>0</v>
      </c>
      <c r="W197" s="191">
        <f t="shared" si="51"/>
        <v>0</v>
      </c>
      <c r="X197" s="191">
        <f t="shared" si="51"/>
        <v>0</v>
      </c>
      <c r="Y197" s="191">
        <f t="shared" si="51"/>
        <v>0</v>
      </c>
      <c r="Z197" s="191">
        <f t="shared" si="51"/>
        <v>0</v>
      </c>
      <c r="AA197" s="191">
        <f t="shared" si="51"/>
        <v>0</v>
      </c>
      <c r="AB197" s="191">
        <f t="shared" si="51"/>
        <v>0</v>
      </c>
      <c r="AC197" s="191">
        <f t="shared" si="51"/>
        <v>0</v>
      </c>
      <c r="AD197" s="191">
        <f t="shared" si="51"/>
        <v>0</v>
      </c>
      <c r="AE197" s="191">
        <f t="shared" si="51"/>
        <v>0</v>
      </c>
      <c r="AF197" s="204">
        <f t="shared" si="51"/>
        <v>0</v>
      </c>
      <c r="AG197" s="216">
        <v>8</v>
      </c>
      <c r="AH197" s="46"/>
      <c r="AI197" s="47"/>
      <c r="AK197" s="49"/>
    </row>
    <row r="198" spans="1:37" x14ac:dyDescent="0.25">
      <c r="A198" s="73" t="s">
        <v>249</v>
      </c>
      <c r="B198" s="191">
        <v>0</v>
      </c>
      <c r="C198" s="191">
        <f t="shared" si="52"/>
        <v>0</v>
      </c>
      <c r="D198" s="191">
        <f t="shared" si="52"/>
        <v>0</v>
      </c>
      <c r="E198" s="191">
        <f t="shared" si="52"/>
        <v>0</v>
      </c>
      <c r="F198" s="191">
        <f t="shared" si="52"/>
        <v>0</v>
      </c>
      <c r="G198" s="191">
        <f t="shared" si="52"/>
        <v>0</v>
      </c>
      <c r="H198" s="191">
        <f t="shared" si="52"/>
        <v>0</v>
      </c>
      <c r="I198" s="191">
        <f t="shared" si="52"/>
        <v>0</v>
      </c>
      <c r="J198" s="191">
        <f t="shared" si="52"/>
        <v>0</v>
      </c>
      <c r="K198" s="191">
        <f t="shared" si="52"/>
        <v>0</v>
      </c>
      <c r="L198" s="191">
        <f t="shared" si="52"/>
        <v>0</v>
      </c>
      <c r="M198" s="191">
        <f t="shared" si="52"/>
        <v>0</v>
      </c>
      <c r="N198" s="191">
        <f t="shared" si="52"/>
        <v>0</v>
      </c>
      <c r="O198" s="191">
        <f t="shared" si="52"/>
        <v>0</v>
      </c>
      <c r="P198" s="191">
        <f t="shared" si="52"/>
        <v>0</v>
      </c>
      <c r="Q198" s="191">
        <f t="shared" si="52"/>
        <v>0</v>
      </c>
      <c r="R198" s="191">
        <f t="shared" si="52"/>
        <v>0</v>
      </c>
      <c r="S198" s="191">
        <f t="shared" si="51"/>
        <v>0</v>
      </c>
      <c r="T198" s="191">
        <f t="shared" si="51"/>
        <v>0</v>
      </c>
      <c r="U198" s="191">
        <f t="shared" si="51"/>
        <v>0</v>
      </c>
      <c r="V198" s="191">
        <f t="shared" si="51"/>
        <v>0</v>
      </c>
      <c r="W198" s="191">
        <f t="shared" si="51"/>
        <v>0</v>
      </c>
      <c r="X198" s="191">
        <f t="shared" si="51"/>
        <v>0</v>
      </c>
      <c r="Y198" s="191">
        <f t="shared" si="51"/>
        <v>0</v>
      </c>
      <c r="Z198" s="191">
        <f t="shared" si="51"/>
        <v>0</v>
      </c>
      <c r="AA198" s="191">
        <f t="shared" si="51"/>
        <v>0</v>
      </c>
      <c r="AB198" s="191">
        <f t="shared" si="51"/>
        <v>0</v>
      </c>
      <c r="AC198" s="191">
        <f t="shared" si="51"/>
        <v>0</v>
      </c>
      <c r="AD198" s="191">
        <f t="shared" si="51"/>
        <v>0</v>
      </c>
      <c r="AE198" s="191">
        <f t="shared" si="51"/>
        <v>0</v>
      </c>
      <c r="AF198" s="204">
        <f t="shared" si="51"/>
        <v>0</v>
      </c>
      <c r="AG198" s="216">
        <v>7.8</v>
      </c>
      <c r="AH198" s="46"/>
      <c r="AI198" s="47"/>
      <c r="AK198" s="49"/>
    </row>
    <row r="199" spans="1:37" x14ac:dyDescent="0.25">
      <c r="A199" s="73" t="s">
        <v>250</v>
      </c>
      <c r="B199" s="191">
        <v>0</v>
      </c>
      <c r="C199" s="191">
        <f t="shared" si="52"/>
        <v>0</v>
      </c>
      <c r="D199" s="191">
        <f t="shared" si="52"/>
        <v>0</v>
      </c>
      <c r="E199" s="191">
        <f t="shared" si="52"/>
        <v>0</v>
      </c>
      <c r="F199" s="191">
        <f t="shared" si="52"/>
        <v>0</v>
      </c>
      <c r="G199" s="191">
        <f t="shared" si="52"/>
        <v>0</v>
      </c>
      <c r="H199" s="191">
        <f t="shared" si="52"/>
        <v>0</v>
      </c>
      <c r="I199" s="191">
        <f t="shared" si="52"/>
        <v>0</v>
      </c>
      <c r="J199" s="191">
        <f t="shared" si="52"/>
        <v>0</v>
      </c>
      <c r="K199" s="191">
        <f t="shared" si="52"/>
        <v>0</v>
      </c>
      <c r="L199" s="191">
        <f t="shared" si="52"/>
        <v>0</v>
      </c>
      <c r="M199" s="191">
        <f t="shared" si="52"/>
        <v>0</v>
      </c>
      <c r="N199" s="191">
        <f t="shared" si="52"/>
        <v>0</v>
      </c>
      <c r="O199" s="191">
        <f t="shared" si="52"/>
        <v>0</v>
      </c>
      <c r="P199" s="191">
        <f t="shared" si="52"/>
        <v>0</v>
      </c>
      <c r="Q199" s="191">
        <f t="shared" si="52"/>
        <v>0</v>
      </c>
      <c r="R199" s="191">
        <f t="shared" si="52"/>
        <v>0</v>
      </c>
      <c r="S199" s="191">
        <f t="shared" si="51"/>
        <v>0</v>
      </c>
      <c r="T199" s="191">
        <f t="shared" si="51"/>
        <v>0</v>
      </c>
      <c r="U199" s="191">
        <f t="shared" si="51"/>
        <v>0</v>
      </c>
      <c r="V199" s="191">
        <f t="shared" si="51"/>
        <v>0</v>
      </c>
      <c r="W199" s="191">
        <f t="shared" si="51"/>
        <v>0</v>
      </c>
      <c r="X199" s="191">
        <f t="shared" si="51"/>
        <v>0</v>
      </c>
      <c r="Y199" s="191">
        <f t="shared" si="51"/>
        <v>0</v>
      </c>
      <c r="Z199" s="191">
        <f t="shared" si="51"/>
        <v>0</v>
      </c>
      <c r="AA199" s="191">
        <f t="shared" si="51"/>
        <v>0</v>
      </c>
      <c r="AB199" s="191">
        <f t="shared" si="51"/>
        <v>0</v>
      </c>
      <c r="AC199" s="191">
        <f t="shared" si="51"/>
        <v>0</v>
      </c>
      <c r="AD199" s="191">
        <f t="shared" si="51"/>
        <v>0</v>
      </c>
      <c r="AE199" s="191">
        <f t="shared" si="51"/>
        <v>0</v>
      </c>
      <c r="AF199" s="204">
        <f t="shared" si="51"/>
        <v>0</v>
      </c>
      <c r="AG199" s="216">
        <v>7.6</v>
      </c>
      <c r="AH199" s="46"/>
      <c r="AI199" s="47"/>
      <c r="AK199" s="49"/>
    </row>
    <row r="200" spans="1:37" x14ac:dyDescent="0.25">
      <c r="A200" s="73" t="s">
        <v>251</v>
      </c>
      <c r="B200" s="191">
        <v>0</v>
      </c>
      <c r="C200" s="191">
        <f t="shared" si="52"/>
        <v>0</v>
      </c>
      <c r="D200" s="191">
        <f t="shared" si="52"/>
        <v>0</v>
      </c>
      <c r="E200" s="191">
        <f t="shared" si="52"/>
        <v>0</v>
      </c>
      <c r="F200" s="191">
        <f t="shared" si="52"/>
        <v>0</v>
      </c>
      <c r="G200" s="191">
        <f t="shared" si="52"/>
        <v>0</v>
      </c>
      <c r="H200" s="191">
        <f t="shared" si="52"/>
        <v>0</v>
      </c>
      <c r="I200" s="191">
        <f t="shared" si="52"/>
        <v>0</v>
      </c>
      <c r="J200" s="191">
        <f t="shared" si="52"/>
        <v>0</v>
      </c>
      <c r="K200" s="191">
        <f t="shared" si="52"/>
        <v>0</v>
      </c>
      <c r="L200" s="191">
        <f t="shared" si="52"/>
        <v>0</v>
      </c>
      <c r="M200" s="191">
        <f t="shared" si="52"/>
        <v>0</v>
      </c>
      <c r="N200" s="191">
        <f t="shared" si="52"/>
        <v>0</v>
      </c>
      <c r="O200" s="191">
        <f t="shared" si="52"/>
        <v>0</v>
      </c>
      <c r="P200" s="191">
        <f t="shared" si="52"/>
        <v>0</v>
      </c>
      <c r="Q200" s="191">
        <f t="shared" si="52"/>
        <v>0</v>
      </c>
      <c r="R200" s="191">
        <f t="shared" si="52"/>
        <v>0</v>
      </c>
      <c r="S200" s="191">
        <f t="shared" si="51"/>
        <v>0</v>
      </c>
      <c r="T200" s="191">
        <f t="shared" si="51"/>
        <v>0</v>
      </c>
      <c r="U200" s="191">
        <f t="shared" si="51"/>
        <v>0</v>
      </c>
      <c r="V200" s="191">
        <f t="shared" si="51"/>
        <v>0</v>
      </c>
      <c r="W200" s="191">
        <f t="shared" si="51"/>
        <v>0</v>
      </c>
      <c r="X200" s="191">
        <f t="shared" si="51"/>
        <v>0</v>
      </c>
      <c r="Y200" s="191">
        <f t="shared" si="51"/>
        <v>0</v>
      </c>
      <c r="Z200" s="191">
        <f t="shared" si="51"/>
        <v>0</v>
      </c>
      <c r="AA200" s="191">
        <f t="shared" si="51"/>
        <v>0</v>
      </c>
      <c r="AB200" s="191">
        <f t="shared" si="51"/>
        <v>0</v>
      </c>
      <c r="AC200" s="191">
        <f t="shared" si="51"/>
        <v>0</v>
      </c>
      <c r="AD200" s="191">
        <f t="shared" si="51"/>
        <v>0</v>
      </c>
      <c r="AE200" s="191">
        <f t="shared" si="51"/>
        <v>0</v>
      </c>
      <c r="AF200" s="204">
        <f t="shared" si="51"/>
        <v>0</v>
      </c>
      <c r="AG200" s="216">
        <v>7.5</v>
      </c>
      <c r="AH200" s="46"/>
      <c r="AI200" s="47"/>
      <c r="AK200" s="49"/>
    </row>
    <row r="201" spans="1:37" x14ac:dyDescent="0.25">
      <c r="A201" s="73" t="s">
        <v>252</v>
      </c>
      <c r="B201" s="191">
        <v>0</v>
      </c>
      <c r="C201" s="191">
        <f t="shared" si="52"/>
        <v>0</v>
      </c>
      <c r="D201" s="191">
        <f t="shared" si="52"/>
        <v>0</v>
      </c>
      <c r="E201" s="191">
        <f t="shared" si="52"/>
        <v>0</v>
      </c>
      <c r="F201" s="191">
        <f t="shared" si="52"/>
        <v>0</v>
      </c>
      <c r="G201" s="191">
        <f t="shared" si="52"/>
        <v>0</v>
      </c>
      <c r="H201" s="191">
        <f t="shared" si="52"/>
        <v>0</v>
      </c>
      <c r="I201" s="191">
        <f t="shared" si="52"/>
        <v>0</v>
      </c>
      <c r="J201" s="191">
        <f t="shared" si="52"/>
        <v>0</v>
      </c>
      <c r="K201" s="191">
        <f t="shared" si="52"/>
        <v>0</v>
      </c>
      <c r="L201" s="191">
        <f t="shared" si="52"/>
        <v>0</v>
      </c>
      <c r="M201" s="191">
        <f t="shared" si="52"/>
        <v>0</v>
      </c>
      <c r="N201" s="191">
        <f t="shared" si="52"/>
        <v>0</v>
      </c>
      <c r="O201" s="191">
        <f t="shared" si="52"/>
        <v>0</v>
      </c>
      <c r="P201" s="191">
        <f t="shared" si="52"/>
        <v>0</v>
      </c>
      <c r="Q201" s="191">
        <f t="shared" si="52"/>
        <v>0</v>
      </c>
      <c r="R201" s="191">
        <f t="shared" ref="R201:AF216" si="53">Q201</f>
        <v>0</v>
      </c>
      <c r="S201" s="191">
        <f t="shared" si="53"/>
        <v>0</v>
      </c>
      <c r="T201" s="191">
        <f t="shared" si="53"/>
        <v>0</v>
      </c>
      <c r="U201" s="191">
        <f t="shared" si="53"/>
        <v>0</v>
      </c>
      <c r="V201" s="191">
        <f t="shared" si="53"/>
        <v>0</v>
      </c>
      <c r="W201" s="191">
        <f t="shared" si="53"/>
        <v>0</v>
      </c>
      <c r="X201" s="191">
        <f t="shared" si="53"/>
        <v>0</v>
      </c>
      <c r="Y201" s="191">
        <f t="shared" si="53"/>
        <v>0</v>
      </c>
      <c r="Z201" s="191">
        <f t="shared" si="53"/>
        <v>0</v>
      </c>
      <c r="AA201" s="191">
        <f t="shared" si="53"/>
        <v>0</v>
      </c>
      <c r="AB201" s="191">
        <f t="shared" si="53"/>
        <v>0</v>
      </c>
      <c r="AC201" s="191">
        <f t="shared" si="53"/>
        <v>0</v>
      </c>
      <c r="AD201" s="191">
        <f t="shared" si="53"/>
        <v>0</v>
      </c>
      <c r="AE201" s="191">
        <f t="shared" si="53"/>
        <v>0</v>
      </c>
      <c r="AF201" s="204">
        <f t="shared" si="53"/>
        <v>0</v>
      </c>
      <c r="AG201" s="216">
        <v>7.5</v>
      </c>
      <c r="AH201" s="46"/>
      <c r="AI201" s="47"/>
      <c r="AK201" s="49"/>
    </row>
    <row r="202" spans="1:37" x14ac:dyDescent="0.25">
      <c r="A202" s="73" t="s">
        <v>253</v>
      </c>
      <c r="B202" s="191">
        <v>0</v>
      </c>
      <c r="C202" s="191">
        <f t="shared" ref="C202:R217" si="54">B202</f>
        <v>0</v>
      </c>
      <c r="D202" s="191">
        <f t="shared" si="54"/>
        <v>0</v>
      </c>
      <c r="E202" s="191">
        <f t="shared" si="54"/>
        <v>0</v>
      </c>
      <c r="F202" s="191">
        <f t="shared" si="54"/>
        <v>0</v>
      </c>
      <c r="G202" s="191">
        <f t="shared" si="54"/>
        <v>0</v>
      </c>
      <c r="H202" s="191">
        <f t="shared" si="54"/>
        <v>0</v>
      </c>
      <c r="I202" s="191">
        <f t="shared" si="54"/>
        <v>0</v>
      </c>
      <c r="J202" s="191">
        <f t="shared" si="54"/>
        <v>0</v>
      </c>
      <c r="K202" s="191">
        <f t="shared" si="54"/>
        <v>0</v>
      </c>
      <c r="L202" s="191">
        <f t="shared" si="54"/>
        <v>0</v>
      </c>
      <c r="M202" s="191">
        <f t="shared" si="54"/>
        <v>0</v>
      </c>
      <c r="N202" s="191">
        <f t="shared" si="54"/>
        <v>0</v>
      </c>
      <c r="O202" s="191">
        <f t="shared" si="54"/>
        <v>0</v>
      </c>
      <c r="P202" s="191">
        <f t="shared" si="54"/>
        <v>0</v>
      </c>
      <c r="Q202" s="191">
        <f t="shared" si="54"/>
        <v>0</v>
      </c>
      <c r="R202" s="191">
        <f t="shared" si="54"/>
        <v>0</v>
      </c>
      <c r="S202" s="191">
        <f t="shared" si="53"/>
        <v>0</v>
      </c>
      <c r="T202" s="191">
        <f t="shared" si="53"/>
        <v>0</v>
      </c>
      <c r="U202" s="191">
        <f t="shared" si="53"/>
        <v>0</v>
      </c>
      <c r="V202" s="191">
        <f t="shared" si="53"/>
        <v>0</v>
      </c>
      <c r="W202" s="191">
        <f t="shared" si="53"/>
        <v>0</v>
      </c>
      <c r="X202" s="191">
        <f t="shared" si="53"/>
        <v>0</v>
      </c>
      <c r="Y202" s="191">
        <f t="shared" si="53"/>
        <v>0</v>
      </c>
      <c r="Z202" s="191">
        <f t="shared" si="53"/>
        <v>0</v>
      </c>
      <c r="AA202" s="191">
        <f t="shared" si="53"/>
        <v>0</v>
      </c>
      <c r="AB202" s="191">
        <f t="shared" si="53"/>
        <v>0</v>
      </c>
      <c r="AC202" s="191">
        <f t="shared" si="53"/>
        <v>0</v>
      </c>
      <c r="AD202" s="191">
        <f t="shared" si="53"/>
        <v>0</v>
      </c>
      <c r="AE202" s="191">
        <f t="shared" si="53"/>
        <v>0</v>
      </c>
      <c r="AF202" s="204">
        <f t="shared" si="53"/>
        <v>0</v>
      </c>
      <c r="AG202" s="216">
        <v>7</v>
      </c>
      <c r="AH202" s="46"/>
      <c r="AI202" s="47"/>
      <c r="AK202" s="49"/>
    </row>
    <row r="203" spans="1:37" x14ac:dyDescent="0.25">
      <c r="A203" s="73" t="s">
        <v>254</v>
      </c>
      <c r="B203" s="191">
        <v>0</v>
      </c>
      <c r="C203" s="191">
        <f t="shared" si="54"/>
        <v>0</v>
      </c>
      <c r="D203" s="191">
        <f t="shared" si="54"/>
        <v>0</v>
      </c>
      <c r="E203" s="191">
        <f t="shared" si="54"/>
        <v>0</v>
      </c>
      <c r="F203" s="191">
        <f t="shared" si="54"/>
        <v>0</v>
      </c>
      <c r="G203" s="191">
        <f t="shared" si="54"/>
        <v>0</v>
      </c>
      <c r="H203" s="191">
        <f t="shared" si="54"/>
        <v>0</v>
      </c>
      <c r="I203" s="191">
        <f t="shared" si="54"/>
        <v>0</v>
      </c>
      <c r="J203" s="191">
        <f t="shared" si="54"/>
        <v>0</v>
      </c>
      <c r="K203" s="191">
        <f t="shared" si="54"/>
        <v>0</v>
      </c>
      <c r="L203" s="191">
        <f t="shared" si="54"/>
        <v>0</v>
      </c>
      <c r="M203" s="191">
        <f t="shared" si="54"/>
        <v>0</v>
      </c>
      <c r="N203" s="191">
        <f t="shared" si="54"/>
        <v>0</v>
      </c>
      <c r="O203" s="191">
        <f t="shared" si="54"/>
        <v>0</v>
      </c>
      <c r="P203" s="191">
        <f t="shared" si="54"/>
        <v>0</v>
      </c>
      <c r="Q203" s="191">
        <f t="shared" si="54"/>
        <v>0</v>
      </c>
      <c r="R203" s="191">
        <f t="shared" si="54"/>
        <v>0</v>
      </c>
      <c r="S203" s="191">
        <f t="shared" si="53"/>
        <v>0</v>
      </c>
      <c r="T203" s="191">
        <f t="shared" si="53"/>
        <v>0</v>
      </c>
      <c r="U203" s="191">
        <f t="shared" si="53"/>
        <v>0</v>
      </c>
      <c r="V203" s="191">
        <f t="shared" si="53"/>
        <v>0</v>
      </c>
      <c r="W203" s="191">
        <f t="shared" si="53"/>
        <v>0</v>
      </c>
      <c r="X203" s="191">
        <f t="shared" si="53"/>
        <v>0</v>
      </c>
      <c r="Y203" s="191">
        <f t="shared" si="53"/>
        <v>0</v>
      </c>
      <c r="Z203" s="191">
        <f t="shared" si="53"/>
        <v>0</v>
      </c>
      <c r="AA203" s="191">
        <f t="shared" si="53"/>
        <v>0</v>
      </c>
      <c r="AB203" s="191">
        <f t="shared" si="53"/>
        <v>0</v>
      </c>
      <c r="AC203" s="191">
        <f t="shared" si="53"/>
        <v>0</v>
      </c>
      <c r="AD203" s="191">
        <f t="shared" si="53"/>
        <v>0</v>
      </c>
      <c r="AE203" s="191">
        <f t="shared" si="53"/>
        <v>0</v>
      </c>
      <c r="AF203" s="204">
        <f t="shared" si="53"/>
        <v>0</v>
      </c>
      <c r="AG203" s="216">
        <v>7</v>
      </c>
      <c r="AH203" s="46"/>
      <c r="AI203" s="47"/>
      <c r="AK203" s="49"/>
    </row>
    <row r="204" spans="1:37" x14ac:dyDescent="0.25">
      <c r="A204" s="73" t="s">
        <v>255</v>
      </c>
      <c r="B204" s="191">
        <v>0</v>
      </c>
      <c r="C204" s="191">
        <f t="shared" si="54"/>
        <v>0</v>
      </c>
      <c r="D204" s="191">
        <f t="shared" si="54"/>
        <v>0</v>
      </c>
      <c r="E204" s="191">
        <f t="shared" si="54"/>
        <v>0</v>
      </c>
      <c r="F204" s="191">
        <f t="shared" si="54"/>
        <v>0</v>
      </c>
      <c r="G204" s="191">
        <f t="shared" si="54"/>
        <v>0</v>
      </c>
      <c r="H204" s="191">
        <f t="shared" si="54"/>
        <v>0</v>
      </c>
      <c r="I204" s="191">
        <f t="shared" si="54"/>
        <v>0</v>
      </c>
      <c r="J204" s="191">
        <f t="shared" si="54"/>
        <v>0</v>
      </c>
      <c r="K204" s="191">
        <f t="shared" si="54"/>
        <v>0</v>
      </c>
      <c r="L204" s="191">
        <f t="shared" si="54"/>
        <v>0</v>
      </c>
      <c r="M204" s="191">
        <f t="shared" si="54"/>
        <v>0</v>
      </c>
      <c r="N204" s="191">
        <f t="shared" si="54"/>
        <v>0</v>
      </c>
      <c r="O204" s="191">
        <f t="shared" si="54"/>
        <v>0</v>
      </c>
      <c r="P204" s="191">
        <f t="shared" si="54"/>
        <v>0</v>
      </c>
      <c r="Q204" s="191">
        <f t="shared" si="54"/>
        <v>0</v>
      </c>
      <c r="R204" s="191">
        <f t="shared" si="54"/>
        <v>0</v>
      </c>
      <c r="S204" s="191">
        <f t="shared" si="53"/>
        <v>0</v>
      </c>
      <c r="T204" s="191">
        <f t="shared" si="53"/>
        <v>0</v>
      </c>
      <c r="U204" s="191">
        <f t="shared" si="53"/>
        <v>0</v>
      </c>
      <c r="V204" s="191">
        <f t="shared" si="53"/>
        <v>0</v>
      </c>
      <c r="W204" s="191">
        <f t="shared" si="53"/>
        <v>0</v>
      </c>
      <c r="X204" s="191">
        <f t="shared" si="53"/>
        <v>0</v>
      </c>
      <c r="Y204" s="191">
        <f t="shared" si="53"/>
        <v>0</v>
      </c>
      <c r="Z204" s="191">
        <f t="shared" si="53"/>
        <v>0</v>
      </c>
      <c r="AA204" s="191">
        <f t="shared" si="53"/>
        <v>0</v>
      </c>
      <c r="AB204" s="191">
        <f t="shared" si="53"/>
        <v>0</v>
      </c>
      <c r="AC204" s="191">
        <f t="shared" si="53"/>
        <v>0</v>
      </c>
      <c r="AD204" s="191">
        <f t="shared" si="53"/>
        <v>0</v>
      </c>
      <c r="AE204" s="191">
        <f t="shared" si="53"/>
        <v>0</v>
      </c>
      <c r="AF204" s="204">
        <f t="shared" si="53"/>
        <v>0</v>
      </c>
      <c r="AG204" s="216">
        <v>7</v>
      </c>
      <c r="AH204" s="46"/>
      <c r="AI204" s="47"/>
      <c r="AK204" s="49"/>
    </row>
    <row r="205" spans="1:37" x14ac:dyDescent="0.25">
      <c r="A205" s="73" t="s">
        <v>256</v>
      </c>
      <c r="B205" s="191">
        <v>0</v>
      </c>
      <c r="C205" s="191">
        <f t="shared" si="54"/>
        <v>0</v>
      </c>
      <c r="D205" s="191">
        <f t="shared" si="54"/>
        <v>0</v>
      </c>
      <c r="E205" s="191">
        <f t="shared" si="54"/>
        <v>0</v>
      </c>
      <c r="F205" s="191">
        <f t="shared" si="54"/>
        <v>0</v>
      </c>
      <c r="G205" s="191">
        <f t="shared" si="54"/>
        <v>0</v>
      </c>
      <c r="H205" s="191">
        <f t="shared" si="54"/>
        <v>0</v>
      </c>
      <c r="I205" s="191">
        <f t="shared" si="54"/>
        <v>0</v>
      </c>
      <c r="J205" s="191">
        <f t="shared" si="54"/>
        <v>0</v>
      </c>
      <c r="K205" s="191">
        <f t="shared" si="54"/>
        <v>0</v>
      </c>
      <c r="L205" s="191">
        <f t="shared" si="54"/>
        <v>0</v>
      </c>
      <c r="M205" s="191">
        <f t="shared" si="54"/>
        <v>0</v>
      </c>
      <c r="N205" s="191">
        <f t="shared" si="54"/>
        <v>0</v>
      </c>
      <c r="O205" s="191">
        <f t="shared" si="54"/>
        <v>0</v>
      </c>
      <c r="P205" s="191">
        <f t="shared" si="54"/>
        <v>0</v>
      </c>
      <c r="Q205" s="191">
        <f t="shared" si="54"/>
        <v>0</v>
      </c>
      <c r="R205" s="191">
        <f t="shared" si="54"/>
        <v>0</v>
      </c>
      <c r="S205" s="191">
        <f t="shared" si="53"/>
        <v>0</v>
      </c>
      <c r="T205" s="191">
        <f t="shared" si="53"/>
        <v>0</v>
      </c>
      <c r="U205" s="191">
        <f t="shared" si="53"/>
        <v>0</v>
      </c>
      <c r="V205" s="191">
        <f t="shared" si="53"/>
        <v>0</v>
      </c>
      <c r="W205" s="191">
        <f t="shared" si="53"/>
        <v>0</v>
      </c>
      <c r="X205" s="191">
        <f t="shared" si="53"/>
        <v>0</v>
      </c>
      <c r="Y205" s="191">
        <f t="shared" si="53"/>
        <v>0</v>
      </c>
      <c r="Z205" s="191">
        <f t="shared" si="53"/>
        <v>0</v>
      </c>
      <c r="AA205" s="191">
        <f t="shared" si="53"/>
        <v>0</v>
      </c>
      <c r="AB205" s="191">
        <f t="shared" si="53"/>
        <v>0</v>
      </c>
      <c r="AC205" s="191">
        <f t="shared" si="53"/>
        <v>0</v>
      </c>
      <c r="AD205" s="191">
        <f t="shared" si="53"/>
        <v>0</v>
      </c>
      <c r="AE205" s="191">
        <f t="shared" si="53"/>
        <v>0</v>
      </c>
      <c r="AF205" s="204">
        <f t="shared" si="53"/>
        <v>0</v>
      </c>
      <c r="AG205" s="216">
        <v>7</v>
      </c>
      <c r="AH205" s="46"/>
      <c r="AI205" s="47"/>
      <c r="AK205" s="49"/>
    </row>
    <row r="206" spans="1:37" x14ac:dyDescent="0.25">
      <c r="A206" s="73" t="s">
        <v>257</v>
      </c>
      <c r="B206" s="191">
        <v>0</v>
      </c>
      <c r="C206" s="191">
        <f t="shared" si="54"/>
        <v>0</v>
      </c>
      <c r="D206" s="191">
        <f t="shared" si="54"/>
        <v>0</v>
      </c>
      <c r="E206" s="191">
        <f t="shared" si="54"/>
        <v>0</v>
      </c>
      <c r="F206" s="191">
        <f t="shared" si="54"/>
        <v>0</v>
      </c>
      <c r="G206" s="191">
        <f t="shared" si="54"/>
        <v>0</v>
      </c>
      <c r="H206" s="191">
        <f t="shared" si="54"/>
        <v>0</v>
      </c>
      <c r="I206" s="191">
        <f t="shared" si="54"/>
        <v>0</v>
      </c>
      <c r="J206" s="191">
        <f t="shared" si="54"/>
        <v>0</v>
      </c>
      <c r="K206" s="191">
        <f t="shared" si="54"/>
        <v>0</v>
      </c>
      <c r="L206" s="191">
        <f t="shared" si="54"/>
        <v>0</v>
      </c>
      <c r="M206" s="191">
        <f t="shared" si="54"/>
        <v>0</v>
      </c>
      <c r="N206" s="191">
        <f t="shared" si="54"/>
        <v>0</v>
      </c>
      <c r="O206" s="191">
        <f t="shared" si="54"/>
        <v>0</v>
      </c>
      <c r="P206" s="191">
        <f t="shared" si="54"/>
        <v>0</v>
      </c>
      <c r="Q206" s="191">
        <f t="shared" si="54"/>
        <v>0</v>
      </c>
      <c r="R206" s="191">
        <f t="shared" si="54"/>
        <v>0</v>
      </c>
      <c r="S206" s="191">
        <f t="shared" si="53"/>
        <v>0</v>
      </c>
      <c r="T206" s="191">
        <f t="shared" si="53"/>
        <v>0</v>
      </c>
      <c r="U206" s="191">
        <f t="shared" si="53"/>
        <v>0</v>
      </c>
      <c r="V206" s="191">
        <f t="shared" si="53"/>
        <v>0</v>
      </c>
      <c r="W206" s="191">
        <f t="shared" si="53"/>
        <v>0</v>
      </c>
      <c r="X206" s="191">
        <f t="shared" si="53"/>
        <v>0</v>
      </c>
      <c r="Y206" s="191">
        <f t="shared" si="53"/>
        <v>0</v>
      </c>
      <c r="Z206" s="191">
        <f t="shared" si="53"/>
        <v>0</v>
      </c>
      <c r="AA206" s="191">
        <f t="shared" si="53"/>
        <v>0</v>
      </c>
      <c r="AB206" s="191">
        <f t="shared" si="53"/>
        <v>0</v>
      </c>
      <c r="AC206" s="191">
        <f t="shared" si="53"/>
        <v>0</v>
      </c>
      <c r="AD206" s="191">
        <f t="shared" si="53"/>
        <v>0</v>
      </c>
      <c r="AE206" s="191">
        <f t="shared" si="53"/>
        <v>0</v>
      </c>
      <c r="AF206" s="204">
        <f t="shared" si="53"/>
        <v>0</v>
      </c>
      <c r="AG206" s="216">
        <v>6.6</v>
      </c>
      <c r="AH206" s="46"/>
      <c r="AI206" s="47"/>
      <c r="AK206" s="49"/>
    </row>
    <row r="207" spans="1:37" x14ac:dyDescent="0.25">
      <c r="A207" s="73" t="s">
        <v>258</v>
      </c>
      <c r="B207" s="191">
        <v>0</v>
      </c>
      <c r="C207" s="191">
        <f t="shared" si="54"/>
        <v>0</v>
      </c>
      <c r="D207" s="191">
        <f t="shared" si="54"/>
        <v>0</v>
      </c>
      <c r="E207" s="191">
        <f t="shared" si="54"/>
        <v>0</v>
      </c>
      <c r="F207" s="191">
        <f t="shared" si="54"/>
        <v>0</v>
      </c>
      <c r="G207" s="191">
        <f t="shared" si="54"/>
        <v>0</v>
      </c>
      <c r="H207" s="191">
        <f t="shared" si="54"/>
        <v>0</v>
      </c>
      <c r="I207" s="191">
        <f t="shared" si="54"/>
        <v>0</v>
      </c>
      <c r="J207" s="191">
        <f t="shared" si="54"/>
        <v>0</v>
      </c>
      <c r="K207" s="191">
        <f t="shared" si="54"/>
        <v>0</v>
      </c>
      <c r="L207" s="191">
        <f t="shared" si="54"/>
        <v>0</v>
      </c>
      <c r="M207" s="191">
        <f t="shared" si="54"/>
        <v>0</v>
      </c>
      <c r="N207" s="191">
        <f t="shared" si="54"/>
        <v>0</v>
      </c>
      <c r="O207" s="191">
        <f t="shared" si="54"/>
        <v>0</v>
      </c>
      <c r="P207" s="191">
        <f t="shared" si="54"/>
        <v>0</v>
      </c>
      <c r="Q207" s="191">
        <f t="shared" si="54"/>
        <v>0</v>
      </c>
      <c r="R207" s="191">
        <f t="shared" si="54"/>
        <v>0</v>
      </c>
      <c r="S207" s="191">
        <f t="shared" si="53"/>
        <v>0</v>
      </c>
      <c r="T207" s="191">
        <f t="shared" si="53"/>
        <v>0</v>
      </c>
      <c r="U207" s="191">
        <f t="shared" si="53"/>
        <v>0</v>
      </c>
      <c r="V207" s="191">
        <f t="shared" si="53"/>
        <v>0</v>
      </c>
      <c r="W207" s="191">
        <f t="shared" si="53"/>
        <v>0</v>
      </c>
      <c r="X207" s="191">
        <f t="shared" si="53"/>
        <v>0</v>
      </c>
      <c r="Y207" s="191">
        <f t="shared" si="53"/>
        <v>0</v>
      </c>
      <c r="Z207" s="191">
        <f t="shared" si="53"/>
        <v>0</v>
      </c>
      <c r="AA207" s="191">
        <f t="shared" si="53"/>
        <v>0</v>
      </c>
      <c r="AB207" s="191">
        <f t="shared" si="53"/>
        <v>0</v>
      </c>
      <c r="AC207" s="191">
        <f t="shared" si="53"/>
        <v>0</v>
      </c>
      <c r="AD207" s="191">
        <f t="shared" si="53"/>
        <v>0</v>
      </c>
      <c r="AE207" s="191">
        <f t="shared" si="53"/>
        <v>0</v>
      </c>
      <c r="AF207" s="204">
        <f t="shared" si="53"/>
        <v>0</v>
      </c>
      <c r="AG207" s="216">
        <v>6.6</v>
      </c>
      <c r="AH207" s="46"/>
      <c r="AI207" s="47"/>
      <c r="AK207" s="49"/>
    </row>
    <row r="208" spans="1:37" x14ac:dyDescent="0.25">
      <c r="A208" s="73" t="s">
        <v>259</v>
      </c>
      <c r="B208" s="191">
        <v>0</v>
      </c>
      <c r="C208" s="191">
        <f t="shared" si="54"/>
        <v>0</v>
      </c>
      <c r="D208" s="191">
        <f t="shared" si="54"/>
        <v>0</v>
      </c>
      <c r="E208" s="191">
        <f t="shared" si="54"/>
        <v>0</v>
      </c>
      <c r="F208" s="191">
        <f t="shared" si="54"/>
        <v>0</v>
      </c>
      <c r="G208" s="191">
        <f t="shared" si="54"/>
        <v>0</v>
      </c>
      <c r="H208" s="191">
        <f t="shared" si="54"/>
        <v>0</v>
      </c>
      <c r="I208" s="191">
        <f t="shared" si="54"/>
        <v>0</v>
      </c>
      <c r="J208" s="191">
        <f t="shared" si="54"/>
        <v>0</v>
      </c>
      <c r="K208" s="191">
        <f t="shared" si="54"/>
        <v>0</v>
      </c>
      <c r="L208" s="191">
        <f t="shared" si="54"/>
        <v>0</v>
      </c>
      <c r="M208" s="191">
        <f t="shared" si="54"/>
        <v>0</v>
      </c>
      <c r="N208" s="191">
        <f t="shared" si="54"/>
        <v>0</v>
      </c>
      <c r="O208" s="191">
        <f t="shared" si="54"/>
        <v>0</v>
      </c>
      <c r="P208" s="191">
        <f t="shared" si="54"/>
        <v>0</v>
      </c>
      <c r="Q208" s="191">
        <f t="shared" si="54"/>
        <v>0</v>
      </c>
      <c r="R208" s="191">
        <f t="shared" si="54"/>
        <v>0</v>
      </c>
      <c r="S208" s="191">
        <f t="shared" si="53"/>
        <v>0</v>
      </c>
      <c r="T208" s="191">
        <f t="shared" si="53"/>
        <v>0</v>
      </c>
      <c r="U208" s="191">
        <f t="shared" si="53"/>
        <v>0</v>
      </c>
      <c r="V208" s="191">
        <f t="shared" si="53"/>
        <v>0</v>
      </c>
      <c r="W208" s="191">
        <f t="shared" si="53"/>
        <v>0</v>
      </c>
      <c r="X208" s="191">
        <f t="shared" si="53"/>
        <v>0</v>
      </c>
      <c r="Y208" s="191">
        <f t="shared" si="53"/>
        <v>0</v>
      </c>
      <c r="Z208" s="191">
        <f t="shared" si="53"/>
        <v>0</v>
      </c>
      <c r="AA208" s="191">
        <f t="shared" si="53"/>
        <v>0</v>
      </c>
      <c r="AB208" s="191">
        <f t="shared" si="53"/>
        <v>0</v>
      </c>
      <c r="AC208" s="191">
        <f t="shared" si="53"/>
        <v>0</v>
      </c>
      <c r="AD208" s="191">
        <f t="shared" si="53"/>
        <v>0</v>
      </c>
      <c r="AE208" s="191">
        <f t="shared" si="53"/>
        <v>0</v>
      </c>
      <c r="AF208" s="204">
        <f t="shared" si="53"/>
        <v>0</v>
      </c>
      <c r="AG208" s="216">
        <v>6.4</v>
      </c>
      <c r="AH208" s="46"/>
      <c r="AI208" s="47"/>
      <c r="AK208" s="49"/>
    </row>
    <row r="209" spans="1:37" x14ac:dyDescent="0.25">
      <c r="A209" s="73" t="s">
        <v>260</v>
      </c>
      <c r="B209" s="191">
        <v>0</v>
      </c>
      <c r="C209" s="191">
        <f t="shared" si="54"/>
        <v>0</v>
      </c>
      <c r="D209" s="191">
        <f t="shared" si="54"/>
        <v>0</v>
      </c>
      <c r="E209" s="191">
        <f t="shared" si="54"/>
        <v>0</v>
      </c>
      <c r="F209" s="191">
        <f t="shared" si="54"/>
        <v>0</v>
      </c>
      <c r="G209" s="191">
        <f t="shared" si="54"/>
        <v>0</v>
      </c>
      <c r="H209" s="191">
        <f t="shared" si="54"/>
        <v>0</v>
      </c>
      <c r="I209" s="191">
        <f t="shared" si="54"/>
        <v>0</v>
      </c>
      <c r="J209" s="191">
        <f t="shared" si="54"/>
        <v>0</v>
      </c>
      <c r="K209" s="191">
        <f t="shared" si="54"/>
        <v>0</v>
      </c>
      <c r="L209" s="191">
        <f t="shared" si="54"/>
        <v>0</v>
      </c>
      <c r="M209" s="191">
        <f t="shared" si="54"/>
        <v>0</v>
      </c>
      <c r="N209" s="191">
        <f t="shared" si="54"/>
        <v>0</v>
      </c>
      <c r="O209" s="191">
        <f t="shared" si="54"/>
        <v>0</v>
      </c>
      <c r="P209" s="191">
        <f t="shared" si="54"/>
        <v>0</v>
      </c>
      <c r="Q209" s="191">
        <f t="shared" si="54"/>
        <v>0</v>
      </c>
      <c r="R209" s="191">
        <f t="shared" si="54"/>
        <v>0</v>
      </c>
      <c r="S209" s="191">
        <f t="shared" si="53"/>
        <v>0</v>
      </c>
      <c r="T209" s="191">
        <f t="shared" si="53"/>
        <v>0</v>
      </c>
      <c r="U209" s="191">
        <f t="shared" si="53"/>
        <v>0</v>
      </c>
      <c r="V209" s="191">
        <f t="shared" si="53"/>
        <v>0</v>
      </c>
      <c r="W209" s="191">
        <f t="shared" si="53"/>
        <v>0</v>
      </c>
      <c r="X209" s="191">
        <f t="shared" si="53"/>
        <v>0</v>
      </c>
      <c r="Y209" s="191">
        <f t="shared" si="53"/>
        <v>0</v>
      </c>
      <c r="Z209" s="191">
        <f t="shared" si="53"/>
        <v>0</v>
      </c>
      <c r="AA209" s="191">
        <f t="shared" si="53"/>
        <v>0</v>
      </c>
      <c r="AB209" s="191">
        <f t="shared" si="53"/>
        <v>0</v>
      </c>
      <c r="AC209" s="191">
        <f t="shared" si="53"/>
        <v>0</v>
      </c>
      <c r="AD209" s="191">
        <f t="shared" si="53"/>
        <v>0</v>
      </c>
      <c r="AE209" s="191">
        <f t="shared" si="53"/>
        <v>0</v>
      </c>
      <c r="AF209" s="204">
        <f t="shared" si="53"/>
        <v>0</v>
      </c>
      <c r="AG209" s="216">
        <v>6</v>
      </c>
      <c r="AH209" s="46"/>
      <c r="AI209" s="47"/>
      <c r="AK209" s="49"/>
    </row>
    <row r="210" spans="1:37" x14ac:dyDescent="0.25">
      <c r="A210" s="73" t="s">
        <v>261</v>
      </c>
      <c r="B210" s="191">
        <v>0</v>
      </c>
      <c r="C210" s="191">
        <f t="shared" si="54"/>
        <v>0</v>
      </c>
      <c r="D210" s="191">
        <f t="shared" si="54"/>
        <v>0</v>
      </c>
      <c r="E210" s="191">
        <f t="shared" si="54"/>
        <v>0</v>
      </c>
      <c r="F210" s="191">
        <f t="shared" si="54"/>
        <v>0</v>
      </c>
      <c r="G210" s="191">
        <f t="shared" si="54"/>
        <v>0</v>
      </c>
      <c r="H210" s="191">
        <f t="shared" si="54"/>
        <v>0</v>
      </c>
      <c r="I210" s="191">
        <f t="shared" si="54"/>
        <v>0</v>
      </c>
      <c r="J210" s="191">
        <f t="shared" si="54"/>
        <v>0</v>
      </c>
      <c r="K210" s="191">
        <f t="shared" si="54"/>
        <v>0</v>
      </c>
      <c r="L210" s="191">
        <f t="shared" si="54"/>
        <v>0</v>
      </c>
      <c r="M210" s="191">
        <f t="shared" si="54"/>
        <v>0</v>
      </c>
      <c r="N210" s="191">
        <f t="shared" si="54"/>
        <v>0</v>
      </c>
      <c r="O210" s="191">
        <f t="shared" si="54"/>
        <v>0</v>
      </c>
      <c r="P210" s="191">
        <f t="shared" si="54"/>
        <v>0</v>
      </c>
      <c r="Q210" s="191">
        <f t="shared" si="54"/>
        <v>0</v>
      </c>
      <c r="R210" s="191">
        <f t="shared" si="54"/>
        <v>0</v>
      </c>
      <c r="S210" s="191">
        <f t="shared" si="53"/>
        <v>0</v>
      </c>
      <c r="T210" s="191">
        <f t="shared" si="53"/>
        <v>0</v>
      </c>
      <c r="U210" s="191">
        <f t="shared" si="53"/>
        <v>0</v>
      </c>
      <c r="V210" s="191">
        <f t="shared" si="53"/>
        <v>0</v>
      </c>
      <c r="W210" s="191">
        <f t="shared" si="53"/>
        <v>0</v>
      </c>
      <c r="X210" s="191">
        <f t="shared" si="53"/>
        <v>0</v>
      </c>
      <c r="Y210" s="191">
        <f t="shared" si="53"/>
        <v>0</v>
      </c>
      <c r="Z210" s="191">
        <f t="shared" si="53"/>
        <v>0</v>
      </c>
      <c r="AA210" s="191">
        <f t="shared" si="53"/>
        <v>0</v>
      </c>
      <c r="AB210" s="191">
        <f t="shared" si="53"/>
        <v>0</v>
      </c>
      <c r="AC210" s="191">
        <f t="shared" si="53"/>
        <v>0</v>
      </c>
      <c r="AD210" s="191">
        <f t="shared" si="53"/>
        <v>0</v>
      </c>
      <c r="AE210" s="191">
        <f t="shared" si="53"/>
        <v>0</v>
      </c>
      <c r="AF210" s="204">
        <f t="shared" si="53"/>
        <v>0</v>
      </c>
      <c r="AG210" s="216">
        <v>5.0999999999999996</v>
      </c>
      <c r="AH210" s="46"/>
      <c r="AI210" s="47"/>
      <c r="AK210" s="49"/>
    </row>
    <row r="211" spans="1:37" x14ac:dyDescent="0.25">
      <c r="A211" s="73" t="s">
        <v>262</v>
      </c>
      <c r="B211" s="191">
        <v>0</v>
      </c>
      <c r="C211" s="191">
        <f t="shared" si="54"/>
        <v>0</v>
      </c>
      <c r="D211" s="191">
        <f t="shared" si="54"/>
        <v>0</v>
      </c>
      <c r="E211" s="191">
        <f t="shared" si="54"/>
        <v>0</v>
      </c>
      <c r="F211" s="191">
        <f t="shared" si="54"/>
        <v>0</v>
      </c>
      <c r="G211" s="191">
        <f t="shared" si="54"/>
        <v>0</v>
      </c>
      <c r="H211" s="191">
        <f t="shared" si="54"/>
        <v>0</v>
      </c>
      <c r="I211" s="191">
        <f t="shared" si="54"/>
        <v>0</v>
      </c>
      <c r="J211" s="191">
        <f t="shared" si="54"/>
        <v>0</v>
      </c>
      <c r="K211" s="191">
        <f t="shared" si="54"/>
        <v>0</v>
      </c>
      <c r="L211" s="191">
        <f t="shared" si="54"/>
        <v>0</v>
      </c>
      <c r="M211" s="191">
        <f t="shared" si="54"/>
        <v>0</v>
      </c>
      <c r="N211" s="191">
        <f t="shared" si="54"/>
        <v>0</v>
      </c>
      <c r="O211" s="191">
        <f t="shared" si="54"/>
        <v>0</v>
      </c>
      <c r="P211" s="191">
        <f t="shared" si="54"/>
        <v>0</v>
      </c>
      <c r="Q211" s="191">
        <f t="shared" si="54"/>
        <v>0</v>
      </c>
      <c r="R211" s="191">
        <f t="shared" si="54"/>
        <v>0</v>
      </c>
      <c r="S211" s="191">
        <f t="shared" si="53"/>
        <v>0</v>
      </c>
      <c r="T211" s="191">
        <f t="shared" si="53"/>
        <v>0</v>
      </c>
      <c r="U211" s="191">
        <f t="shared" si="53"/>
        <v>0</v>
      </c>
      <c r="V211" s="191">
        <f t="shared" si="53"/>
        <v>0</v>
      </c>
      <c r="W211" s="191">
        <f t="shared" si="53"/>
        <v>0</v>
      </c>
      <c r="X211" s="191">
        <f t="shared" si="53"/>
        <v>0</v>
      </c>
      <c r="Y211" s="191">
        <f t="shared" si="53"/>
        <v>0</v>
      </c>
      <c r="Z211" s="191">
        <f t="shared" si="53"/>
        <v>0</v>
      </c>
      <c r="AA211" s="191">
        <f t="shared" si="53"/>
        <v>0</v>
      </c>
      <c r="AB211" s="191">
        <f t="shared" si="53"/>
        <v>0</v>
      </c>
      <c r="AC211" s="191">
        <f t="shared" si="53"/>
        <v>0</v>
      </c>
      <c r="AD211" s="191">
        <f t="shared" si="53"/>
        <v>0</v>
      </c>
      <c r="AE211" s="191">
        <f t="shared" si="53"/>
        <v>0</v>
      </c>
      <c r="AF211" s="204">
        <f t="shared" si="53"/>
        <v>0</v>
      </c>
      <c r="AG211" s="216">
        <v>5</v>
      </c>
      <c r="AH211" s="46"/>
      <c r="AI211" s="47"/>
      <c r="AK211" s="49"/>
    </row>
    <row r="212" spans="1:37" x14ac:dyDescent="0.25">
      <c r="A212" s="120" t="s">
        <v>263</v>
      </c>
      <c r="B212" s="191">
        <v>0</v>
      </c>
      <c r="C212" s="191">
        <f t="shared" si="54"/>
        <v>0</v>
      </c>
      <c r="D212" s="191">
        <f t="shared" si="54"/>
        <v>0</v>
      </c>
      <c r="E212" s="191">
        <f t="shared" si="54"/>
        <v>0</v>
      </c>
      <c r="F212" s="191">
        <f t="shared" si="54"/>
        <v>0</v>
      </c>
      <c r="G212" s="191">
        <f t="shared" si="54"/>
        <v>0</v>
      </c>
      <c r="H212" s="191">
        <f t="shared" si="54"/>
        <v>0</v>
      </c>
      <c r="I212" s="191">
        <f t="shared" si="54"/>
        <v>0</v>
      </c>
      <c r="J212" s="191">
        <f t="shared" si="54"/>
        <v>0</v>
      </c>
      <c r="K212" s="191">
        <f t="shared" si="54"/>
        <v>0</v>
      </c>
      <c r="L212" s="191">
        <f t="shared" si="54"/>
        <v>0</v>
      </c>
      <c r="M212" s="191">
        <f t="shared" si="54"/>
        <v>0</v>
      </c>
      <c r="N212" s="191">
        <f t="shared" si="54"/>
        <v>0</v>
      </c>
      <c r="O212" s="191">
        <f t="shared" si="54"/>
        <v>0</v>
      </c>
      <c r="P212" s="191">
        <f t="shared" si="54"/>
        <v>0</v>
      </c>
      <c r="Q212" s="191">
        <f t="shared" si="54"/>
        <v>0</v>
      </c>
      <c r="R212" s="191">
        <f t="shared" si="54"/>
        <v>0</v>
      </c>
      <c r="S212" s="191">
        <f t="shared" si="53"/>
        <v>0</v>
      </c>
      <c r="T212" s="191">
        <f t="shared" si="53"/>
        <v>0</v>
      </c>
      <c r="U212" s="191">
        <f t="shared" si="53"/>
        <v>0</v>
      </c>
      <c r="V212" s="191">
        <f t="shared" si="53"/>
        <v>0</v>
      </c>
      <c r="W212" s="191">
        <f t="shared" si="53"/>
        <v>0</v>
      </c>
      <c r="X212" s="191">
        <f t="shared" si="53"/>
        <v>0</v>
      </c>
      <c r="Y212" s="191">
        <f t="shared" si="53"/>
        <v>0</v>
      </c>
      <c r="Z212" s="191">
        <f t="shared" si="53"/>
        <v>0</v>
      </c>
      <c r="AA212" s="191">
        <f t="shared" si="53"/>
        <v>0</v>
      </c>
      <c r="AB212" s="191">
        <f t="shared" si="53"/>
        <v>0</v>
      </c>
      <c r="AC212" s="191">
        <f t="shared" si="53"/>
        <v>0</v>
      </c>
      <c r="AD212" s="191">
        <f t="shared" si="53"/>
        <v>0</v>
      </c>
      <c r="AE212" s="191">
        <f t="shared" si="53"/>
        <v>0</v>
      </c>
      <c r="AF212" s="204">
        <f t="shared" si="53"/>
        <v>0</v>
      </c>
      <c r="AG212" s="215">
        <v>5</v>
      </c>
      <c r="AH212" s="46"/>
      <c r="AI212" s="47"/>
      <c r="AK212" s="49"/>
    </row>
    <row r="213" spans="1:37" x14ac:dyDescent="0.25">
      <c r="A213" s="73" t="s">
        <v>264</v>
      </c>
      <c r="B213" s="191">
        <v>0</v>
      </c>
      <c r="C213" s="191">
        <f t="shared" si="54"/>
        <v>0</v>
      </c>
      <c r="D213" s="191">
        <f t="shared" si="54"/>
        <v>0</v>
      </c>
      <c r="E213" s="191">
        <f t="shared" si="54"/>
        <v>0</v>
      </c>
      <c r="F213" s="191">
        <f t="shared" si="54"/>
        <v>0</v>
      </c>
      <c r="G213" s="191">
        <f t="shared" si="54"/>
        <v>0</v>
      </c>
      <c r="H213" s="191">
        <f t="shared" si="54"/>
        <v>0</v>
      </c>
      <c r="I213" s="191">
        <f t="shared" si="54"/>
        <v>0</v>
      </c>
      <c r="J213" s="191">
        <f t="shared" si="54"/>
        <v>0</v>
      </c>
      <c r="K213" s="191">
        <f t="shared" si="54"/>
        <v>0</v>
      </c>
      <c r="L213" s="191">
        <f t="shared" si="54"/>
        <v>0</v>
      </c>
      <c r="M213" s="191">
        <f t="shared" si="54"/>
        <v>0</v>
      </c>
      <c r="N213" s="191">
        <f t="shared" si="54"/>
        <v>0</v>
      </c>
      <c r="O213" s="191">
        <f t="shared" si="54"/>
        <v>0</v>
      </c>
      <c r="P213" s="191">
        <f t="shared" si="54"/>
        <v>0</v>
      </c>
      <c r="Q213" s="191">
        <f t="shared" si="54"/>
        <v>0</v>
      </c>
      <c r="R213" s="191">
        <f t="shared" si="54"/>
        <v>0</v>
      </c>
      <c r="S213" s="191">
        <f t="shared" si="53"/>
        <v>0</v>
      </c>
      <c r="T213" s="191">
        <f t="shared" si="53"/>
        <v>0</v>
      </c>
      <c r="U213" s="191">
        <f t="shared" si="53"/>
        <v>0</v>
      </c>
      <c r="V213" s="191">
        <f t="shared" si="53"/>
        <v>0</v>
      </c>
      <c r="W213" s="191">
        <f t="shared" si="53"/>
        <v>0</v>
      </c>
      <c r="X213" s="191">
        <f t="shared" si="53"/>
        <v>0</v>
      </c>
      <c r="Y213" s="191">
        <f t="shared" si="53"/>
        <v>0</v>
      </c>
      <c r="Z213" s="191">
        <f t="shared" si="53"/>
        <v>0</v>
      </c>
      <c r="AA213" s="191">
        <f t="shared" si="53"/>
        <v>0</v>
      </c>
      <c r="AB213" s="191">
        <f t="shared" si="53"/>
        <v>0</v>
      </c>
      <c r="AC213" s="191">
        <f t="shared" si="53"/>
        <v>0</v>
      </c>
      <c r="AD213" s="191">
        <f t="shared" si="53"/>
        <v>0</v>
      </c>
      <c r="AE213" s="191">
        <f t="shared" si="53"/>
        <v>0</v>
      </c>
      <c r="AF213" s="204">
        <f t="shared" si="53"/>
        <v>0</v>
      </c>
      <c r="AG213" s="216">
        <v>5</v>
      </c>
      <c r="AH213" s="46"/>
      <c r="AI213" s="47"/>
      <c r="AK213" s="49"/>
    </row>
    <row r="214" spans="1:37" x14ac:dyDescent="0.25">
      <c r="A214" s="73" t="s">
        <v>265</v>
      </c>
      <c r="B214" s="191">
        <v>0</v>
      </c>
      <c r="C214" s="191">
        <f t="shared" si="54"/>
        <v>0</v>
      </c>
      <c r="D214" s="191">
        <f t="shared" si="54"/>
        <v>0</v>
      </c>
      <c r="E214" s="191">
        <f t="shared" si="54"/>
        <v>0</v>
      </c>
      <c r="F214" s="191">
        <f t="shared" si="54"/>
        <v>0</v>
      </c>
      <c r="G214" s="191">
        <f t="shared" si="54"/>
        <v>0</v>
      </c>
      <c r="H214" s="191">
        <f t="shared" si="54"/>
        <v>0</v>
      </c>
      <c r="I214" s="191">
        <f t="shared" si="54"/>
        <v>0</v>
      </c>
      <c r="J214" s="191">
        <f t="shared" si="54"/>
        <v>0</v>
      </c>
      <c r="K214" s="191">
        <f t="shared" si="54"/>
        <v>0</v>
      </c>
      <c r="L214" s="191">
        <f t="shared" si="54"/>
        <v>0</v>
      </c>
      <c r="M214" s="191">
        <f t="shared" si="54"/>
        <v>0</v>
      </c>
      <c r="N214" s="191">
        <f t="shared" si="54"/>
        <v>0</v>
      </c>
      <c r="O214" s="191">
        <f t="shared" si="54"/>
        <v>0</v>
      </c>
      <c r="P214" s="191">
        <f t="shared" si="54"/>
        <v>0</v>
      </c>
      <c r="Q214" s="191">
        <f t="shared" si="54"/>
        <v>0</v>
      </c>
      <c r="R214" s="191">
        <f t="shared" si="54"/>
        <v>0</v>
      </c>
      <c r="S214" s="191">
        <f t="shared" si="53"/>
        <v>0</v>
      </c>
      <c r="T214" s="191">
        <f t="shared" si="53"/>
        <v>0</v>
      </c>
      <c r="U214" s="191">
        <f t="shared" si="53"/>
        <v>0</v>
      </c>
      <c r="V214" s="191">
        <f t="shared" si="53"/>
        <v>0</v>
      </c>
      <c r="W214" s="191">
        <f t="shared" si="53"/>
        <v>0</v>
      </c>
      <c r="X214" s="191">
        <f t="shared" si="53"/>
        <v>0</v>
      </c>
      <c r="Y214" s="191">
        <f t="shared" si="53"/>
        <v>0</v>
      </c>
      <c r="Z214" s="191">
        <f t="shared" si="53"/>
        <v>0</v>
      </c>
      <c r="AA214" s="191">
        <f t="shared" si="53"/>
        <v>0</v>
      </c>
      <c r="AB214" s="191">
        <f t="shared" si="53"/>
        <v>0</v>
      </c>
      <c r="AC214" s="191">
        <f t="shared" si="53"/>
        <v>0</v>
      </c>
      <c r="AD214" s="191">
        <f t="shared" si="53"/>
        <v>0</v>
      </c>
      <c r="AE214" s="191">
        <f t="shared" si="53"/>
        <v>0</v>
      </c>
      <c r="AF214" s="204">
        <f t="shared" si="53"/>
        <v>0</v>
      </c>
      <c r="AG214" s="216">
        <v>5</v>
      </c>
      <c r="AH214" s="46"/>
      <c r="AI214" s="47"/>
      <c r="AK214" s="49"/>
    </row>
    <row r="215" spans="1:37" x14ac:dyDescent="0.25">
      <c r="A215" s="73" t="s">
        <v>266</v>
      </c>
      <c r="B215" s="191">
        <v>0</v>
      </c>
      <c r="C215" s="191">
        <f t="shared" si="54"/>
        <v>0</v>
      </c>
      <c r="D215" s="191">
        <f t="shared" si="54"/>
        <v>0</v>
      </c>
      <c r="E215" s="191">
        <f t="shared" si="54"/>
        <v>0</v>
      </c>
      <c r="F215" s="191">
        <f t="shared" si="54"/>
        <v>0</v>
      </c>
      <c r="G215" s="191">
        <f t="shared" si="54"/>
        <v>0</v>
      </c>
      <c r="H215" s="191">
        <f t="shared" si="54"/>
        <v>0</v>
      </c>
      <c r="I215" s="191">
        <f t="shared" si="54"/>
        <v>0</v>
      </c>
      <c r="J215" s="191">
        <f t="shared" si="54"/>
        <v>0</v>
      </c>
      <c r="K215" s="191">
        <f t="shared" si="54"/>
        <v>0</v>
      </c>
      <c r="L215" s="191">
        <f t="shared" si="54"/>
        <v>0</v>
      </c>
      <c r="M215" s="191">
        <f t="shared" si="54"/>
        <v>0</v>
      </c>
      <c r="N215" s="191">
        <f t="shared" si="54"/>
        <v>0</v>
      </c>
      <c r="O215" s="191">
        <f t="shared" si="54"/>
        <v>0</v>
      </c>
      <c r="P215" s="191">
        <f t="shared" si="54"/>
        <v>0</v>
      </c>
      <c r="Q215" s="191">
        <f t="shared" si="54"/>
        <v>0</v>
      </c>
      <c r="R215" s="191">
        <f t="shared" si="54"/>
        <v>0</v>
      </c>
      <c r="S215" s="191">
        <f t="shared" si="53"/>
        <v>0</v>
      </c>
      <c r="T215" s="191">
        <f t="shared" si="53"/>
        <v>0</v>
      </c>
      <c r="U215" s="191">
        <f t="shared" si="53"/>
        <v>0</v>
      </c>
      <c r="V215" s="191">
        <f t="shared" si="53"/>
        <v>0</v>
      </c>
      <c r="W215" s="191">
        <f t="shared" si="53"/>
        <v>0</v>
      </c>
      <c r="X215" s="191">
        <f t="shared" si="53"/>
        <v>0</v>
      </c>
      <c r="Y215" s="191">
        <f t="shared" si="53"/>
        <v>0</v>
      </c>
      <c r="Z215" s="191">
        <f t="shared" si="53"/>
        <v>0</v>
      </c>
      <c r="AA215" s="191">
        <f t="shared" si="53"/>
        <v>0</v>
      </c>
      <c r="AB215" s="191">
        <f t="shared" si="53"/>
        <v>0</v>
      </c>
      <c r="AC215" s="191">
        <f t="shared" si="53"/>
        <v>0</v>
      </c>
      <c r="AD215" s="191">
        <f t="shared" si="53"/>
        <v>0</v>
      </c>
      <c r="AE215" s="191">
        <f t="shared" si="53"/>
        <v>0</v>
      </c>
      <c r="AF215" s="204">
        <f t="shared" si="53"/>
        <v>0</v>
      </c>
      <c r="AG215" s="216">
        <v>5</v>
      </c>
      <c r="AH215" s="46"/>
      <c r="AI215" s="47"/>
      <c r="AK215" s="49"/>
    </row>
    <row r="216" spans="1:37" x14ac:dyDescent="0.25">
      <c r="A216" s="73" t="s">
        <v>267</v>
      </c>
      <c r="B216" s="191">
        <v>0</v>
      </c>
      <c r="C216" s="191">
        <f t="shared" si="54"/>
        <v>0</v>
      </c>
      <c r="D216" s="191">
        <f t="shared" si="54"/>
        <v>0</v>
      </c>
      <c r="E216" s="191">
        <f t="shared" si="54"/>
        <v>0</v>
      </c>
      <c r="F216" s="191">
        <f t="shared" si="54"/>
        <v>0</v>
      </c>
      <c r="G216" s="191">
        <f t="shared" si="54"/>
        <v>0</v>
      </c>
      <c r="H216" s="191">
        <f t="shared" si="54"/>
        <v>0</v>
      </c>
      <c r="I216" s="191">
        <f t="shared" si="54"/>
        <v>0</v>
      </c>
      <c r="J216" s="191">
        <f t="shared" si="54"/>
        <v>0</v>
      </c>
      <c r="K216" s="191">
        <f t="shared" si="54"/>
        <v>0</v>
      </c>
      <c r="L216" s="191">
        <f t="shared" si="54"/>
        <v>0</v>
      </c>
      <c r="M216" s="191">
        <f t="shared" si="54"/>
        <v>0</v>
      </c>
      <c r="N216" s="191">
        <f t="shared" si="54"/>
        <v>0</v>
      </c>
      <c r="O216" s="191">
        <f t="shared" si="54"/>
        <v>0</v>
      </c>
      <c r="P216" s="191">
        <f t="shared" si="54"/>
        <v>0</v>
      </c>
      <c r="Q216" s="191">
        <f t="shared" si="54"/>
        <v>0</v>
      </c>
      <c r="R216" s="191">
        <f t="shared" si="54"/>
        <v>0</v>
      </c>
      <c r="S216" s="191">
        <f t="shared" si="53"/>
        <v>0</v>
      </c>
      <c r="T216" s="191">
        <f t="shared" si="53"/>
        <v>0</v>
      </c>
      <c r="U216" s="191">
        <f t="shared" si="53"/>
        <v>0</v>
      </c>
      <c r="V216" s="191">
        <f t="shared" si="53"/>
        <v>0</v>
      </c>
      <c r="W216" s="191">
        <f t="shared" si="53"/>
        <v>0</v>
      </c>
      <c r="X216" s="191">
        <f t="shared" si="53"/>
        <v>0</v>
      </c>
      <c r="Y216" s="191">
        <f t="shared" si="53"/>
        <v>0</v>
      </c>
      <c r="Z216" s="191">
        <f t="shared" si="53"/>
        <v>0</v>
      </c>
      <c r="AA216" s="191">
        <f t="shared" si="53"/>
        <v>0</v>
      </c>
      <c r="AB216" s="191">
        <f t="shared" si="53"/>
        <v>0</v>
      </c>
      <c r="AC216" s="191">
        <f t="shared" si="53"/>
        <v>0</v>
      </c>
      <c r="AD216" s="191">
        <f t="shared" si="53"/>
        <v>0</v>
      </c>
      <c r="AE216" s="191">
        <f t="shared" si="53"/>
        <v>0</v>
      </c>
      <c r="AF216" s="204">
        <f t="shared" si="53"/>
        <v>0</v>
      </c>
      <c r="AG216" s="216">
        <v>5</v>
      </c>
      <c r="AH216" s="46"/>
      <c r="AI216" s="47"/>
      <c r="AK216" s="49"/>
    </row>
    <row r="217" spans="1:37" x14ac:dyDescent="0.25">
      <c r="A217" s="73" t="s">
        <v>268</v>
      </c>
      <c r="B217" s="191">
        <v>0</v>
      </c>
      <c r="C217" s="191">
        <f t="shared" si="54"/>
        <v>0</v>
      </c>
      <c r="D217" s="191">
        <f t="shared" si="54"/>
        <v>0</v>
      </c>
      <c r="E217" s="191">
        <f t="shared" si="54"/>
        <v>0</v>
      </c>
      <c r="F217" s="191">
        <f t="shared" si="54"/>
        <v>0</v>
      </c>
      <c r="G217" s="191">
        <f t="shared" si="54"/>
        <v>0</v>
      </c>
      <c r="H217" s="191">
        <f t="shared" si="54"/>
        <v>0</v>
      </c>
      <c r="I217" s="191">
        <f t="shared" si="54"/>
        <v>0</v>
      </c>
      <c r="J217" s="191">
        <f t="shared" si="54"/>
        <v>0</v>
      </c>
      <c r="K217" s="191">
        <f t="shared" si="54"/>
        <v>0</v>
      </c>
      <c r="L217" s="191">
        <f t="shared" si="54"/>
        <v>0</v>
      </c>
      <c r="M217" s="191">
        <f t="shared" si="54"/>
        <v>0</v>
      </c>
      <c r="N217" s="191">
        <f t="shared" si="54"/>
        <v>0</v>
      </c>
      <c r="O217" s="191">
        <f t="shared" si="54"/>
        <v>0</v>
      </c>
      <c r="P217" s="191">
        <f t="shared" si="54"/>
        <v>0</v>
      </c>
      <c r="Q217" s="191">
        <f t="shared" si="54"/>
        <v>0</v>
      </c>
      <c r="R217" s="191">
        <f t="shared" ref="R217:AF232" si="55">Q217</f>
        <v>0</v>
      </c>
      <c r="S217" s="191">
        <f t="shared" si="55"/>
        <v>0</v>
      </c>
      <c r="T217" s="191">
        <f t="shared" si="55"/>
        <v>0</v>
      </c>
      <c r="U217" s="191">
        <f t="shared" si="55"/>
        <v>0</v>
      </c>
      <c r="V217" s="191">
        <f t="shared" si="55"/>
        <v>0</v>
      </c>
      <c r="W217" s="191">
        <f t="shared" si="55"/>
        <v>0</v>
      </c>
      <c r="X217" s="191">
        <f t="shared" si="55"/>
        <v>0</v>
      </c>
      <c r="Y217" s="191">
        <f t="shared" si="55"/>
        <v>0</v>
      </c>
      <c r="Z217" s="191">
        <f t="shared" si="55"/>
        <v>0</v>
      </c>
      <c r="AA217" s="191">
        <f t="shared" si="55"/>
        <v>0</v>
      </c>
      <c r="AB217" s="191">
        <f t="shared" si="55"/>
        <v>0</v>
      </c>
      <c r="AC217" s="191">
        <f t="shared" si="55"/>
        <v>0</v>
      </c>
      <c r="AD217" s="191">
        <f t="shared" si="55"/>
        <v>0</v>
      </c>
      <c r="AE217" s="191">
        <f t="shared" si="55"/>
        <v>0</v>
      </c>
      <c r="AF217" s="204">
        <f t="shared" si="55"/>
        <v>0</v>
      </c>
      <c r="AG217" s="216">
        <v>5</v>
      </c>
      <c r="AH217" s="46"/>
      <c r="AI217" s="47"/>
      <c r="AK217" s="49"/>
    </row>
    <row r="218" spans="1:37" x14ac:dyDescent="0.25">
      <c r="A218" s="73" t="s">
        <v>269</v>
      </c>
      <c r="B218" s="191">
        <v>0</v>
      </c>
      <c r="C218" s="191">
        <f t="shared" ref="C218:R233" si="56">B218</f>
        <v>0</v>
      </c>
      <c r="D218" s="191">
        <f t="shared" si="56"/>
        <v>0</v>
      </c>
      <c r="E218" s="191">
        <f t="shared" si="56"/>
        <v>0</v>
      </c>
      <c r="F218" s="191">
        <f t="shared" si="56"/>
        <v>0</v>
      </c>
      <c r="G218" s="191">
        <f t="shared" si="56"/>
        <v>0</v>
      </c>
      <c r="H218" s="191">
        <f t="shared" si="56"/>
        <v>0</v>
      </c>
      <c r="I218" s="191">
        <f t="shared" si="56"/>
        <v>0</v>
      </c>
      <c r="J218" s="191">
        <f t="shared" si="56"/>
        <v>0</v>
      </c>
      <c r="K218" s="191">
        <f t="shared" si="56"/>
        <v>0</v>
      </c>
      <c r="L218" s="191">
        <f t="shared" si="56"/>
        <v>0</v>
      </c>
      <c r="M218" s="191">
        <f t="shared" si="56"/>
        <v>0</v>
      </c>
      <c r="N218" s="191">
        <f t="shared" si="56"/>
        <v>0</v>
      </c>
      <c r="O218" s="191">
        <f t="shared" si="56"/>
        <v>0</v>
      </c>
      <c r="P218" s="191">
        <f t="shared" si="56"/>
        <v>0</v>
      </c>
      <c r="Q218" s="191">
        <f t="shared" si="56"/>
        <v>0</v>
      </c>
      <c r="R218" s="191">
        <f t="shared" si="56"/>
        <v>0</v>
      </c>
      <c r="S218" s="191">
        <f t="shared" si="55"/>
        <v>0</v>
      </c>
      <c r="T218" s="191">
        <f t="shared" si="55"/>
        <v>0</v>
      </c>
      <c r="U218" s="191">
        <f t="shared" si="55"/>
        <v>0</v>
      </c>
      <c r="V218" s="191">
        <f t="shared" si="55"/>
        <v>0</v>
      </c>
      <c r="W218" s="191">
        <f t="shared" si="55"/>
        <v>0</v>
      </c>
      <c r="X218" s="191">
        <f t="shared" si="55"/>
        <v>0</v>
      </c>
      <c r="Y218" s="191">
        <f t="shared" si="55"/>
        <v>0</v>
      </c>
      <c r="Z218" s="191">
        <f t="shared" si="55"/>
        <v>0</v>
      </c>
      <c r="AA218" s="191">
        <f t="shared" si="55"/>
        <v>0</v>
      </c>
      <c r="AB218" s="191">
        <f t="shared" si="55"/>
        <v>0</v>
      </c>
      <c r="AC218" s="191">
        <f t="shared" si="55"/>
        <v>0</v>
      </c>
      <c r="AD218" s="191">
        <f t="shared" si="55"/>
        <v>0</v>
      </c>
      <c r="AE218" s="191">
        <f t="shared" si="55"/>
        <v>0</v>
      </c>
      <c r="AF218" s="204">
        <f t="shared" si="55"/>
        <v>0</v>
      </c>
      <c r="AG218" s="216">
        <v>4.9930000000000003</v>
      </c>
      <c r="AH218" s="46"/>
      <c r="AI218" s="47"/>
      <c r="AK218" s="49"/>
    </row>
    <row r="219" spans="1:37" x14ac:dyDescent="0.25">
      <c r="A219" s="73" t="s">
        <v>270</v>
      </c>
      <c r="B219" s="191">
        <v>0</v>
      </c>
      <c r="C219" s="191">
        <f t="shared" si="56"/>
        <v>0</v>
      </c>
      <c r="D219" s="191">
        <f t="shared" si="56"/>
        <v>0</v>
      </c>
      <c r="E219" s="191">
        <f t="shared" si="56"/>
        <v>0</v>
      </c>
      <c r="F219" s="191">
        <f t="shared" si="56"/>
        <v>0</v>
      </c>
      <c r="G219" s="191">
        <f t="shared" si="56"/>
        <v>0</v>
      </c>
      <c r="H219" s="191">
        <f t="shared" si="56"/>
        <v>0</v>
      </c>
      <c r="I219" s="191">
        <f t="shared" si="56"/>
        <v>0</v>
      </c>
      <c r="J219" s="191">
        <f t="shared" si="56"/>
        <v>0</v>
      </c>
      <c r="K219" s="191">
        <f t="shared" si="56"/>
        <v>0</v>
      </c>
      <c r="L219" s="191">
        <f t="shared" si="56"/>
        <v>0</v>
      </c>
      <c r="M219" s="191">
        <f t="shared" si="56"/>
        <v>0</v>
      </c>
      <c r="N219" s="191">
        <f t="shared" si="56"/>
        <v>0</v>
      </c>
      <c r="O219" s="191">
        <f t="shared" si="56"/>
        <v>0</v>
      </c>
      <c r="P219" s="191">
        <f t="shared" si="56"/>
        <v>0</v>
      </c>
      <c r="Q219" s="191">
        <f t="shared" si="56"/>
        <v>0</v>
      </c>
      <c r="R219" s="191">
        <f t="shared" si="56"/>
        <v>0</v>
      </c>
      <c r="S219" s="191">
        <f t="shared" si="55"/>
        <v>0</v>
      </c>
      <c r="T219" s="191">
        <f t="shared" si="55"/>
        <v>0</v>
      </c>
      <c r="U219" s="191">
        <f t="shared" si="55"/>
        <v>0</v>
      </c>
      <c r="V219" s="191">
        <f t="shared" si="55"/>
        <v>0</v>
      </c>
      <c r="W219" s="191">
        <f t="shared" si="55"/>
        <v>0</v>
      </c>
      <c r="X219" s="191">
        <f t="shared" si="55"/>
        <v>0</v>
      </c>
      <c r="Y219" s="191">
        <f t="shared" si="55"/>
        <v>0</v>
      </c>
      <c r="Z219" s="191">
        <f t="shared" si="55"/>
        <v>0</v>
      </c>
      <c r="AA219" s="191">
        <f t="shared" si="55"/>
        <v>0</v>
      </c>
      <c r="AB219" s="191">
        <f t="shared" si="55"/>
        <v>0</v>
      </c>
      <c r="AC219" s="191">
        <f t="shared" si="55"/>
        <v>0</v>
      </c>
      <c r="AD219" s="191">
        <f t="shared" si="55"/>
        <v>0</v>
      </c>
      <c r="AE219" s="191">
        <f t="shared" si="55"/>
        <v>0</v>
      </c>
      <c r="AF219" s="204">
        <f t="shared" si="55"/>
        <v>0</v>
      </c>
      <c r="AG219" s="216">
        <v>4.9800000000000004</v>
      </c>
      <c r="AH219" s="46"/>
      <c r="AI219" s="47"/>
      <c r="AK219" s="49"/>
    </row>
    <row r="220" spans="1:37" x14ac:dyDescent="0.25">
      <c r="A220" s="73" t="s">
        <v>271</v>
      </c>
      <c r="B220" s="191">
        <v>0</v>
      </c>
      <c r="C220" s="191">
        <f t="shared" si="56"/>
        <v>0</v>
      </c>
      <c r="D220" s="191">
        <f t="shared" si="56"/>
        <v>0</v>
      </c>
      <c r="E220" s="191">
        <f t="shared" si="56"/>
        <v>0</v>
      </c>
      <c r="F220" s="191">
        <f t="shared" si="56"/>
        <v>0</v>
      </c>
      <c r="G220" s="191">
        <f t="shared" si="56"/>
        <v>0</v>
      </c>
      <c r="H220" s="191">
        <f t="shared" si="56"/>
        <v>0</v>
      </c>
      <c r="I220" s="191">
        <f t="shared" si="56"/>
        <v>0</v>
      </c>
      <c r="J220" s="191">
        <f t="shared" si="56"/>
        <v>0</v>
      </c>
      <c r="K220" s="191">
        <f t="shared" si="56"/>
        <v>0</v>
      </c>
      <c r="L220" s="191">
        <f t="shared" si="56"/>
        <v>0</v>
      </c>
      <c r="M220" s="191">
        <f t="shared" si="56"/>
        <v>0</v>
      </c>
      <c r="N220" s="191">
        <f t="shared" si="56"/>
        <v>0</v>
      </c>
      <c r="O220" s="191">
        <f t="shared" si="56"/>
        <v>0</v>
      </c>
      <c r="P220" s="191">
        <f t="shared" si="56"/>
        <v>0</v>
      </c>
      <c r="Q220" s="191">
        <f t="shared" si="56"/>
        <v>0</v>
      </c>
      <c r="R220" s="191">
        <f t="shared" si="56"/>
        <v>0</v>
      </c>
      <c r="S220" s="191">
        <f t="shared" si="55"/>
        <v>0</v>
      </c>
      <c r="T220" s="191">
        <f t="shared" si="55"/>
        <v>0</v>
      </c>
      <c r="U220" s="191">
        <f t="shared" si="55"/>
        <v>0</v>
      </c>
      <c r="V220" s="191">
        <f t="shared" si="55"/>
        <v>0</v>
      </c>
      <c r="W220" s="191">
        <f t="shared" si="55"/>
        <v>0</v>
      </c>
      <c r="X220" s="191">
        <f t="shared" si="55"/>
        <v>0</v>
      </c>
      <c r="Y220" s="191">
        <f t="shared" si="55"/>
        <v>0</v>
      </c>
      <c r="Z220" s="191">
        <f t="shared" si="55"/>
        <v>0</v>
      </c>
      <c r="AA220" s="191">
        <f t="shared" si="55"/>
        <v>0</v>
      </c>
      <c r="AB220" s="191">
        <f t="shared" si="55"/>
        <v>0</v>
      </c>
      <c r="AC220" s="191">
        <f t="shared" si="55"/>
        <v>0</v>
      </c>
      <c r="AD220" s="191">
        <f t="shared" si="55"/>
        <v>0</v>
      </c>
      <c r="AE220" s="191">
        <f t="shared" si="55"/>
        <v>0</v>
      </c>
      <c r="AF220" s="204">
        <f t="shared" si="55"/>
        <v>0</v>
      </c>
      <c r="AG220" s="216">
        <v>4.95</v>
      </c>
      <c r="AH220" s="46"/>
      <c r="AI220" s="47"/>
      <c r="AK220" s="49"/>
    </row>
    <row r="221" spans="1:37" x14ac:dyDescent="0.25">
      <c r="A221" s="73" t="s">
        <v>272</v>
      </c>
      <c r="B221" s="191">
        <v>0</v>
      </c>
      <c r="C221" s="191">
        <f t="shared" si="56"/>
        <v>0</v>
      </c>
      <c r="D221" s="191">
        <f t="shared" si="56"/>
        <v>0</v>
      </c>
      <c r="E221" s="191">
        <f t="shared" si="56"/>
        <v>0</v>
      </c>
      <c r="F221" s="191">
        <f t="shared" si="56"/>
        <v>0</v>
      </c>
      <c r="G221" s="191">
        <f t="shared" si="56"/>
        <v>0</v>
      </c>
      <c r="H221" s="191">
        <f t="shared" si="56"/>
        <v>0</v>
      </c>
      <c r="I221" s="191">
        <f t="shared" si="56"/>
        <v>0</v>
      </c>
      <c r="J221" s="191">
        <f t="shared" si="56"/>
        <v>0</v>
      </c>
      <c r="K221" s="191">
        <f t="shared" si="56"/>
        <v>0</v>
      </c>
      <c r="L221" s="191">
        <f t="shared" si="56"/>
        <v>0</v>
      </c>
      <c r="M221" s="191">
        <f t="shared" si="56"/>
        <v>0</v>
      </c>
      <c r="N221" s="191">
        <f t="shared" si="56"/>
        <v>0</v>
      </c>
      <c r="O221" s="191">
        <f t="shared" si="56"/>
        <v>0</v>
      </c>
      <c r="P221" s="191">
        <f t="shared" si="56"/>
        <v>0</v>
      </c>
      <c r="Q221" s="191">
        <f t="shared" si="56"/>
        <v>0</v>
      </c>
      <c r="R221" s="191">
        <f t="shared" si="56"/>
        <v>0</v>
      </c>
      <c r="S221" s="191">
        <f t="shared" si="55"/>
        <v>0</v>
      </c>
      <c r="T221" s="191">
        <f t="shared" si="55"/>
        <v>0</v>
      </c>
      <c r="U221" s="191">
        <f t="shared" si="55"/>
        <v>0</v>
      </c>
      <c r="V221" s="191">
        <f t="shared" si="55"/>
        <v>0</v>
      </c>
      <c r="W221" s="191">
        <f t="shared" si="55"/>
        <v>0</v>
      </c>
      <c r="X221" s="191">
        <f t="shared" si="55"/>
        <v>0</v>
      </c>
      <c r="Y221" s="191">
        <f t="shared" si="55"/>
        <v>0</v>
      </c>
      <c r="Z221" s="191">
        <f t="shared" si="55"/>
        <v>0</v>
      </c>
      <c r="AA221" s="191">
        <f t="shared" si="55"/>
        <v>0</v>
      </c>
      <c r="AB221" s="191">
        <f t="shared" si="55"/>
        <v>0</v>
      </c>
      <c r="AC221" s="191">
        <f t="shared" si="55"/>
        <v>0</v>
      </c>
      <c r="AD221" s="191">
        <f t="shared" si="55"/>
        <v>0</v>
      </c>
      <c r="AE221" s="191">
        <f t="shared" si="55"/>
        <v>0</v>
      </c>
      <c r="AF221" s="204">
        <f t="shared" si="55"/>
        <v>0</v>
      </c>
      <c r="AG221" s="216">
        <v>4.95</v>
      </c>
      <c r="AH221" s="46"/>
      <c r="AI221" s="47"/>
      <c r="AK221" s="49"/>
    </row>
    <row r="222" spans="1:37" x14ac:dyDescent="0.25">
      <c r="A222" s="73" t="s">
        <v>273</v>
      </c>
      <c r="B222" s="191">
        <v>0</v>
      </c>
      <c r="C222" s="191">
        <f t="shared" si="56"/>
        <v>0</v>
      </c>
      <c r="D222" s="191">
        <f t="shared" si="56"/>
        <v>0</v>
      </c>
      <c r="E222" s="191">
        <f t="shared" si="56"/>
        <v>0</v>
      </c>
      <c r="F222" s="191">
        <f t="shared" si="56"/>
        <v>0</v>
      </c>
      <c r="G222" s="191">
        <f t="shared" si="56"/>
        <v>0</v>
      </c>
      <c r="H222" s="191">
        <f t="shared" si="56"/>
        <v>0</v>
      </c>
      <c r="I222" s="191">
        <f t="shared" si="56"/>
        <v>0</v>
      </c>
      <c r="J222" s="191">
        <f t="shared" si="56"/>
        <v>0</v>
      </c>
      <c r="K222" s="191">
        <f t="shared" si="56"/>
        <v>0</v>
      </c>
      <c r="L222" s="191">
        <f t="shared" si="56"/>
        <v>0</v>
      </c>
      <c r="M222" s="191">
        <f t="shared" si="56"/>
        <v>0</v>
      </c>
      <c r="N222" s="191">
        <f t="shared" si="56"/>
        <v>0</v>
      </c>
      <c r="O222" s="191">
        <f t="shared" si="56"/>
        <v>0</v>
      </c>
      <c r="P222" s="191">
        <f t="shared" si="56"/>
        <v>0</v>
      </c>
      <c r="Q222" s="191">
        <f t="shared" si="56"/>
        <v>0</v>
      </c>
      <c r="R222" s="191">
        <f t="shared" si="56"/>
        <v>0</v>
      </c>
      <c r="S222" s="191">
        <f t="shared" si="55"/>
        <v>0</v>
      </c>
      <c r="T222" s="191">
        <f t="shared" si="55"/>
        <v>0</v>
      </c>
      <c r="U222" s="191">
        <f t="shared" si="55"/>
        <v>0</v>
      </c>
      <c r="V222" s="191">
        <f t="shared" si="55"/>
        <v>0</v>
      </c>
      <c r="W222" s="191">
        <f t="shared" si="55"/>
        <v>0</v>
      </c>
      <c r="X222" s="191">
        <f t="shared" si="55"/>
        <v>0</v>
      </c>
      <c r="Y222" s="191">
        <f t="shared" si="55"/>
        <v>0</v>
      </c>
      <c r="Z222" s="191">
        <f t="shared" si="55"/>
        <v>0</v>
      </c>
      <c r="AA222" s="191">
        <f t="shared" si="55"/>
        <v>0</v>
      </c>
      <c r="AB222" s="191">
        <f t="shared" si="55"/>
        <v>0</v>
      </c>
      <c r="AC222" s="191">
        <f t="shared" si="55"/>
        <v>0</v>
      </c>
      <c r="AD222" s="191">
        <f t="shared" si="55"/>
        <v>0</v>
      </c>
      <c r="AE222" s="191">
        <f t="shared" si="55"/>
        <v>0</v>
      </c>
      <c r="AF222" s="204">
        <f t="shared" si="55"/>
        <v>0</v>
      </c>
      <c r="AG222" s="216">
        <v>4.8</v>
      </c>
      <c r="AH222" s="46"/>
      <c r="AI222" s="47"/>
      <c r="AK222" s="49"/>
    </row>
    <row r="223" spans="1:37" x14ac:dyDescent="0.25">
      <c r="A223" s="73" t="s">
        <v>274</v>
      </c>
      <c r="B223" s="191">
        <v>0</v>
      </c>
      <c r="C223" s="191">
        <f t="shared" si="56"/>
        <v>0</v>
      </c>
      <c r="D223" s="191">
        <f t="shared" si="56"/>
        <v>0</v>
      </c>
      <c r="E223" s="191">
        <f t="shared" si="56"/>
        <v>0</v>
      </c>
      <c r="F223" s="191">
        <f t="shared" si="56"/>
        <v>0</v>
      </c>
      <c r="G223" s="191">
        <f t="shared" si="56"/>
        <v>0</v>
      </c>
      <c r="H223" s="191">
        <f t="shared" si="56"/>
        <v>0</v>
      </c>
      <c r="I223" s="191">
        <f t="shared" si="56"/>
        <v>0</v>
      </c>
      <c r="J223" s="191">
        <f t="shared" si="56"/>
        <v>0</v>
      </c>
      <c r="K223" s="191">
        <f t="shared" si="56"/>
        <v>0</v>
      </c>
      <c r="L223" s="191">
        <f t="shared" si="56"/>
        <v>0</v>
      </c>
      <c r="M223" s="191">
        <f t="shared" si="56"/>
        <v>0</v>
      </c>
      <c r="N223" s="191">
        <f t="shared" si="56"/>
        <v>0</v>
      </c>
      <c r="O223" s="191">
        <f t="shared" si="56"/>
        <v>0</v>
      </c>
      <c r="P223" s="191">
        <f t="shared" si="56"/>
        <v>0</v>
      </c>
      <c r="Q223" s="191">
        <f t="shared" si="56"/>
        <v>0</v>
      </c>
      <c r="R223" s="191">
        <f t="shared" si="56"/>
        <v>0</v>
      </c>
      <c r="S223" s="191">
        <f t="shared" si="55"/>
        <v>0</v>
      </c>
      <c r="T223" s="191">
        <f t="shared" si="55"/>
        <v>0</v>
      </c>
      <c r="U223" s="191">
        <f t="shared" si="55"/>
        <v>0</v>
      </c>
      <c r="V223" s="191">
        <f t="shared" si="55"/>
        <v>0</v>
      </c>
      <c r="W223" s="191">
        <f t="shared" si="55"/>
        <v>0</v>
      </c>
      <c r="X223" s="191">
        <f t="shared" si="55"/>
        <v>0</v>
      </c>
      <c r="Y223" s="191">
        <f t="shared" si="55"/>
        <v>0</v>
      </c>
      <c r="Z223" s="191">
        <f t="shared" si="55"/>
        <v>0</v>
      </c>
      <c r="AA223" s="191">
        <f t="shared" si="55"/>
        <v>0</v>
      </c>
      <c r="AB223" s="191">
        <f t="shared" si="55"/>
        <v>0</v>
      </c>
      <c r="AC223" s="191">
        <f t="shared" si="55"/>
        <v>0</v>
      </c>
      <c r="AD223" s="191">
        <f t="shared" si="55"/>
        <v>0</v>
      </c>
      <c r="AE223" s="191">
        <f t="shared" si="55"/>
        <v>0</v>
      </c>
      <c r="AF223" s="204">
        <f t="shared" si="55"/>
        <v>0</v>
      </c>
      <c r="AG223" s="216">
        <v>4.8</v>
      </c>
      <c r="AH223" s="46"/>
      <c r="AI223" s="47"/>
      <c r="AK223" s="49"/>
    </row>
    <row r="224" spans="1:37" x14ac:dyDescent="0.25">
      <c r="A224" s="73" t="s">
        <v>275</v>
      </c>
      <c r="B224" s="191">
        <v>0</v>
      </c>
      <c r="C224" s="191">
        <f t="shared" si="56"/>
        <v>0</v>
      </c>
      <c r="D224" s="191">
        <f t="shared" si="56"/>
        <v>0</v>
      </c>
      <c r="E224" s="191">
        <f t="shared" si="56"/>
        <v>0</v>
      </c>
      <c r="F224" s="191">
        <f t="shared" si="56"/>
        <v>0</v>
      </c>
      <c r="G224" s="191">
        <f t="shared" si="56"/>
        <v>0</v>
      </c>
      <c r="H224" s="191">
        <f t="shared" si="56"/>
        <v>0</v>
      </c>
      <c r="I224" s="191">
        <f t="shared" si="56"/>
        <v>0</v>
      </c>
      <c r="J224" s="191">
        <f t="shared" si="56"/>
        <v>0</v>
      </c>
      <c r="K224" s="191">
        <f t="shared" si="56"/>
        <v>0</v>
      </c>
      <c r="L224" s="191">
        <f t="shared" si="56"/>
        <v>0</v>
      </c>
      <c r="M224" s="191">
        <f t="shared" si="56"/>
        <v>0</v>
      </c>
      <c r="N224" s="191">
        <f t="shared" si="56"/>
        <v>0</v>
      </c>
      <c r="O224" s="191">
        <f t="shared" si="56"/>
        <v>0</v>
      </c>
      <c r="P224" s="191">
        <f t="shared" si="56"/>
        <v>0</v>
      </c>
      <c r="Q224" s="191">
        <f t="shared" si="56"/>
        <v>0</v>
      </c>
      <c r="R224" s="191">
        <f t="shared" si="56"/>
        <v>0</v>
      </c>
      <c r="S224" s="191">
        <f t="shared" si="55"/>
        <v>0</v>
      </c>
      <c r="T224" s="191">
        <f t="shared" si="55"/>
        <v>0</v>
      </c>
      <c r="U224" s="191">
        <f t="shared" si="55"/>
        <v>0</v>
      </c>
      <c r="V224" s="191">
        <f t="shared" si="55"/>
        <v>0</v>
      </c>
      <c r="W224" s="191">
        <f t="shared" si="55"/>
        <v>0</v>
      </c>
      <c r="X224" s="191">
        <f t="shared" si="55"/>
        <v>0</v>
      </c>
      <c r="Y224" s="191">
        <f t="shared" si="55"/>
        <v>0</v>
      </c>
      <c r="Z224" s="191">
        <f t="shared" si="55"/>
        <v>0</v>
      </c>
      <c r="AA224" s="191">
        <f t="shared" si="55"/>
        <v>0</v>
      </c>
      <c r="AB224" s="191">
        <f t="shared" si="55"/>
        <v>0</v>
      </c>
      <c r="AC224" s="191">
        <f t="shared" si="55"/>
        <v>0</v>
      </c>
      <c r="AD224" s="191">
        <f t="shared" si="55"/>
        <v>0</v>
      </c>
      <c r="AE224" s="191">
        <f t="shared" si="55"/>
        <v>0</v>
      </c>
      <c r="AF224" s="204">
        <f t="shared" si="55"/>
        <v>0</v>
      </c>
      <c r="AG224" s="216">
        <v>4.8</v>
      </c>
      <c r="AH224" s="46"/>
      <c r="AI224" s="47"/>
      <c r="AK224" s="49"/>
    </row>
    <row r="225" spans="1:37" x14ac:dyDescent="0.25">
      <c r="A225" s="73" t="s">
        <v>276</v>
      </c>
      <c r="B225" s="191">
        <v>0</v>
      </c>
      <c r="C225" s="191">
        <f t="shared" si="56"/>
        <v>0</v>
      </c>
      <c r="D225" s="191">
        <f t="shared" si="56"/>
        <v>0</v>
      </c>
      <c r="E225" s="191">
        <f t="shared" si="56"/>
        <v>0</v>
      </c>
      <c r="F225" s="191">
        <f t="shared" si="56"/>
        <v>0</v>
      </c>
      <c r="G225" s="191">
        <f t="shared" si="56"/>
        <v>0</v>
      </c>
      <c r="H225" s="191">
        <f t="shared" si="56"/>
        <v>0</v>
      </c>
      <c r="I225" s="191">
        <f t="shared" si="56"/>
        <v>0</v>
      </c>
      <c r="J225" s="191">
        <f t="shared" si="56"/>
        <v>0</v>
      </c>
      <c r="K225" s="191">
        <f t="shared" si="56"/>
        <v>0</v>
      </c>
      <c r="L225" s="191">
        <f t="shared" si="56"/>
        <v>0</v>
      </c>
      <c r="M225" s="191">
        <f t="shared" si="56"/>
        <v>0</v>
      </c>
      <c r="N225" s="191">
        <f t="shared" si="56"/>
        <v>0</v>
      </c>
      <c r="O225" s="191">
        <f t="shared" si="56"/>
        <v>0</v>
      </c>
      <c r="P225" s="191">
        <f t="shared" si="56"/>
        <v>0</v>
      </c>
      <c r="Q225" s="191">
        <f t="shared" si="56"/>
        <v>0</v>
      </c>
      <c r="R225" s="191">
        <f t="shared" si="56"/>
        <v>0</v>
      </c>
      <c r="S225" s="191">
        <f t="shared" si="55"/>
        <v>0</v>
      </c>
      <c r="T225" s="191">
        <f t="shared" si="55"/>
        <v>0</v>
      </c>
      <c r="U225" s="191">
        <f t="shared" si="55"/>
        <v>0</v>
      </c>
      <c r="V225" s="191">
        <f t="shared" si="55"/>
        <v>0</v>
      </c>
      <c r="W225" s="191">
        <f t="shared" si="55"/>
        <v>0</v>
      </c>
      <c r="X225" s="191">
        <f t="shared" si="55"/>
        <v>0</v>
      </c>
      <c r="Y225" s="191">
        <f t="shared" si="55"/>
        <v>0</v>
      </c>
      <c r="Z225" s="191">
        <f t="shared" si="55"/>
        <v>0</v>
      </c>
      <c r="AA225" s="191">
        <f t="shared" si="55"/>
        <v>0</v>
      </c>
      <c r="AB225" s="191">
        <f t="shared" si="55"/>
        <v>0</v>
      </c>
      <c r="AC225" s="191">
        <f t="shared" si="55"/>
        <v>0</v>
      </c>
      <c r="AD225" s="191">
        <f t="shared" si="55"/>
        <v>0</v>
      </c>
      <c r="AE225" s="191">
        <f t="shared" si="55"/>
        <v>0</v>
      </c>
      <c r="AF225" s="204">
        <f t="shared" si="55"/>
        <v>0</v>
      </c>
      <c r="AG225" s="216">
        <v>4.5</v>
      </c>
      <c r="AH225" s="46"/>
      <c r="AI225" s="47"/>
      <c r="AK225" s="49"/>
    </row>
    <row r="226" spans="1:37" x14ac:dyDescent="0.25">
      <c r="A226" s="73" t="s">
        <v>277</v>
      </c>
      <c r="B226" s="191">
        <v>0</v>
      </c>
      <c r="C226" s="191">
        <f t="shared" si="56"/>
        <v>0</v>
      </c>
      <c r="D226" s="191">
        <f t="shared" si="56"/>
        <v>0</v>
      </c>
      <c r="E226" s="191">
        <f t="shared" si="56"/>
        <v>0</v>
      </c>
      <c r="F226" s="191">
        <f t="shared" si="56"/>
        <v>0</v>
      </c>
      <c r="G226" s="191">
        <f t="shared" si="56"/>
        <v>0</v>
      </c>
      <c r="H226" s="191">
        <f t="shared" si="56"/>
        <v>0</v>
      </c>
      <c r="I226" s="191">
        <f t="shared" si="56"/>
        <v>0</v>
      </c>
      <c r="J226" s="191">
        <f t="shared" si="56"/>
        <v>0</v>
      </c>
      <c r="K226" s="191">
        <f t="shared" si="56"/>
        <v>0</v>
      </c>
      <c r="L226" s="191">
        <f t="shared" si="56"/>
        <v>0</v>
      </c>
      <c r="M226" s="191">
        <f t="shared" si="56"/>
        <v>0</v>
      </c>
      <c r="N226" s="191">
        <f t="shared" si="56"/>
        <v>0</v>
      </c>
      <c r="O226" s="191">
        <f t="shared" si="56"/>
        <v>0</v>
      </c>
      <c r="P226" s="191">
        <f t="shared" si="56"/>
        <v>0</v>
      </c>
      <c r="Q226" s="191">
        <f t="shared" si="56"/>
        <v>0</v>
      </c>
      <c r="R226" s="191">
        <f t="shared" si="56"/>
        <v>0</v>
      </c>
      <c r="S226" s="191">
        <f t="shared" si="55"/>
        <v>0</v>
      </c>
      <c r="T226" s="191">
        <f t="shared" si="55"/>
        <v>0</v>
      </c>
      <c r="U226" s="191">
        <f t="shared" si="55"/>
        <v>0</v>
      </c>
      <c r="V226" s="191">
        <f t="shared" si="55"/>
        <v>0</v>
      </c>
      <c r="W226" s="191">
        <f t="shared" si="55"/>
        <v>0</v>
      </c>
      <c r="X226" s="191">
        <f t="shared" si="55"/>
        <v>0</v>
      </c>
      <c r="Y226" s="191">
        <f t="shared" si="55"/>
        <v>0</v>
      </c>
      <c r="Z226" s="191">
        <f t="shared" si="55"/>
        <v>0</v>
      </c>
      <c r="AA226" s="191">
        <f t="shared" si="55"/>
        <v>0</v>
      </c>
      <c r="AB226" s="191">
        <f t="shared" si="55"/>
        <v>0</v>
      </c>
      <c r="AC226" s="191">
        <f t="shared" si="55"/>
        <v>0</v>
      </c>
      <c r="AD226" s="191">
        <f t="shared" si="55"/>
        <v>0</v>
      </c>
      <c r="AE226" s="191">
        <f t="shared" si="55"/>
        <v>0</v>
      </c>
      <c r="AF226" s="204">
        <f t="shared" si="55"/>
        <v>0</v>
      </c>
      <c r="AG226" s="216">
        <v>4.5</v>
      </c>
      <c r="AH226" s="46"/>
      <c r="AI226" s="47"/>
      <c r="AK226" s="49"/>
    </row>
    <row r="227" spans="1:37" x14ac:dyDescent="0.25">
      <c r="A227" s="73" t="s">
        <v>278</v>
      </c>
      <c r="B227" s="191">
        <v>0</v>
      </c>
      <c r="C227" s="191">
        <f t="shared" si="56"/>
        <v>0</v>
      </c>
      <c r="D227" s="191">
        <f t="shared" si="56"/>
        <v>0</v>
      </c>
      <c r="E227" s="191">
        <f t="shared" si="56"/>
        <v>0</v>
      </c>
      <c r="F227" s="191">
        <f t="shared" si="56"/>
        <v>0</v>
      </c>
      <c r="G227" s="191">
        <f t="shared" si="56"/>
        <v>0</v>
      </c>
      <c r="H227" s="191">
        <f t="shared" si="56"/>
        <v>0</v>
      </c>
      <c r="I227" s="191">
        <f t="shared" si="56"/>
        <v>0</v>
      </c>
      <c r="J227" s="191">
        <f t="shared" si="56"/>
        <v>0</v>
      </c>
      <c r="K227" s="191">
        <f t="shared" si="56"/>
        <v>0</v>
      </c>
      <c r="L227" s="191">
        <f t="shared" si="56"/>
        <v>0</v>
      </c>
      <c r="M227" s="191">
        <f t="shared" si="56"/>
        <v>0</v>
      </c>
      <c r="N227" s="191">
        <f t="shared" si="56"/>
        <v>0</v>
      </c>
      <c r="O227" s="191">
        <f t="shared" si="56"/>
        <v>0</v>
      </c>
      <c r="P227" s="191">
        <f t="shared" si="56"/>
        <v>0</v>
      </c>
      <c r="Q227" s="191">
        <f t="shared" si="56"/>
        <v>0</v>
      </c>
      <c r="R227" s="191">
        <f t="shared" si="56"/>
        <v>0</v>
      </c>
      <c r="S227" s="191">
        <f t="shared" si="55"/>
        <v>0</v>
      </c>
      <c r="T227" s="191">
        <f t="shared" si="55"/>
        <v>0</v>
      </c>
      <c r="U227" s="191">
        <f t="shared" si="55"/>
        <v>0</v>
      </c>
      <c r="V227" s="191">
        <f t="shared" si="55"/>
        <v>0</v>
      </c>
      <c r="W227" s="191">
        <f t="shared" si="55"/>
        <v>0</v>
      </c>
      <c r="X227" s="191">
        <f t="shared" si="55"/>
        <v>0</v>
      </c>
      <c r="Y227" s="191">
        <f t="shared" si="55"/>
        <v>0</v>
      </c>
      <c r="Z227" s="191">
        <f t="shared" si="55"/>
        <v>0</v>
      </c>
      <c r="AA227" s="191">
        <f t="shared" si="55"/>
        <v>0</v>
      </c>
      <c r="AB227" s="191">
        <f t="shared" si="55"/>
        <v>0</v>
      </c>
      <c r="AC227" s="191">
        <f t="shared" si="55"/>
        <v>0</v>
      </c>
      <c r="AD227" s="191">
        <f t="shared" si="55"/>
        <v>0</v>
      </c>
      <c r="AE227" s="191">
        <f t="shared" si="55"/>
        <v>0</v>
      </c>
      <c r="AF227" s="204">
        <f t="shared" si="55"/>
        <v>0</v>
      </c>
      <c r="AG227" s="216">
        <v>4.4550000000000001</v>
      </c>
      <c r="AH227" s="46"/>
      <c r="AI227" s="47"/>
      <c r="AK227" s="49"/>
    </row>
    <row r="228" spans="1:37" x14ac:dyDescent="0.25">
      <c r="A228" s="73" t="s">
        <v>279</v>
      </c>
      <c r="B228" s="191">
        <v>0</v>
      </c>
      <c r="C228" s="191">
        <f t="shared" si="56"/>
        <v>0</v>
      </c>
      <c r="D228" s="191">
        <f t="shared" si="56"/>
        <v>0</v>
      </c>
      <c r="E228" s="191">
        <f t="shared" si="56"/>
        <v>0</v>
      </c>
      <c r="F228" s="191">
        <f t="shared" si="56"/>
        <v>0</v>
      </c>
      <c r="G228" s="191">
        <f t="shared" si="56"/>
        <v>0</v>
      </c>
      <c r="H228" s="191">
        <f t="shared" si="56"/>
        <v>0</v>
      </c>
      <c r="I228" s="191">
        <f t="shared" si="56"/>
        <v>0</v>
      </c>
      <c r="J228" s="191">
        <f t="shared" si="56"/>
        <v>0</v>
      </c>
      <c r="K228" s="191">
        <f t="shared" si="56"/>
        <v>0</v>
      </c>
      <c r="L228" s="191">
        <f t="shared" si="56"/>
        <v>0</v>
      </c>
      <c r="M228" s="191">
        <f t="shared" si="56"/>
        <v>0</v>
      </c>
      <c r="N228" s="191">
        <f t="shared" si="56"/>
        <v>0</v>
      </c>
      <c r="O228" s="191">
        <f t="shared" si="56"/>
        <v>0</v>
      </c>
      <c r="P228" s="191">
        <f t="shared" si="56"/>
        <v>0</v>
      </c>
      <c r="Q228" s="191">
        <f t="shared" si="56"/>
        <v>0</v>
      </c>
      <c r="R228" s="191">
        <f t="shared" si="56"/>
        <v>0</v>
      </c>
      <c r="S228" s="191">
        <f t="shared" si="55"/>
        <v>0</v>
      </c>
      <c r="T228" s="191">
        <f t="shared" si="55"/>
        <v>0</v>
      </c>
      <c r="U228" s="191">
        <f t="shared" si="55"/>
        <v>0</v>
      </c>
      <c r="V228" s="191">
        <f t="shared" si="55"/>
        <v>0</v>
      </c>
      <c r="W228" s="191">
        <f t="shared" si="55"/>
        <v>0</v>
      </c>
      <c r="X228" s="191">
        <f t="shared" si="55"/>
        <v>0</v>
      </c>
      <c r="Y228" s="191">
        <f t="shared" si="55"/>
        <v>0</v>
      </c>
      <c r="Z228" s="191">
        <f t="shared" si="55"/>
        <v>0</v>
      </c>
      <c r="AA228" s="191">
        <f t="shared" si="55"/>
        <v>0</v>
      </c>
      <c r="AB228" s="191">
        <f t="shared" si="55"/>
        <v>0</v>
      </c>
      <c r="AC228" s="191">
        <f t="shared" si="55"/>
        <v>0</v>
      </c>
      <c r="AD228" s="191">
        <f t="shared" si="55"/>
        <v>0</v>
      </c>
      <c r="AE228" s="191">
        <f t="shared" si="55"/>
        <v>0</v>
      </c>
      <c r="AF228" s="204">
        <f t="shared" si="55"/>
        <v>0</v>
      </c>
      <c r="AG228" s="216">
        <v>4.41</v>
      </c>
      <c r="AH228" s="46"/>
      <c r="AI228" s="47"/>
      <c r="AK228" s="49"/>
    </row>
    <row r="229" spans="1:37" x14ac:dyDescent="0.25">
      <c r="A229" s="73" t="s">
        <v>280</v>
      </c>
      <c r="B229" s="191">
        <v>0</v>
      </c>
      <c r="C229" s="191">
        <f t="shared" si="56"/>
        <v>0</v>
      </c>
      <c r="D229" s="191">
        <f t="shared" si="56"/>
        <v>0</v>
      </c>
      <c r="E229" s="191">
        <f t="shared" si="56"/>
        <v>0</v>
      </c>
      <c r="F229" s="191">
        <f t="shared" si="56"/>
        <v>0</v>
      </c>
      <c r="G229" s="191">
        <f t="shared" si="56"/>
        <v>0</v>
      </c>
      <c r="H229" s="191">
        <f t="shared" si="56"/>
        <v>0</v>
      </c>
      <c r="I229" s="191">
        <f t="shared" si="56"/>
        <v>0</v>
      </c>
      <c r="J229" s="191">
        <f t="shared" si="56"/>
        <v>0</v>
      </c>
      <c r="K229" s="191">
        <f t="shared" si="56"/>
        <v>0</v>
      </c>
      <c r="L229" s="191">
        <f t="shared" si="56"/>
        <v>0</v>
      </c>
      <c r="M229" s="191">
        <f t="shared" si="56"/>
        <v>0</v>
      </c>
      <c r="N229" s="191">
        <f t="shared" si="56"/>
        <v>0</v>
      </c>
      <c r="O229" s="191">
        <f t="shared" si="56"/>
        <v>0</v>
      </c>
      <c r="P229" s="191">
        <f t="shared" si="56"/>
        <v>0</v>
      </c>
      <c r="Q229" s="191">
        <f t="shared" si="56"/>
        <v>0</v>
      </c>
      <c r="R229" s="191">
        <f t="shared" si="56"/>
        <v>0</v>
      </c>
      <c r="S229" s="191">
        <f t="shared" si="55"/>
        <v>0</v>
      </c>
      <c r="T229" s="191">
        <f t="shared" si="55"/>
        <v>0</v>
      </c>
      <c r="U229" s="191">
        <f t="shared" si="55"/>
        <v>0</v>
      </c>
      <c r="V229" s="191">
        <f t="shared" si="55"/>
        <v>0</v>
      </c>
      <c r="W229" s="191">
        <f t="shared" si="55"/>
        <v>0</v>
      </c>
      <c r="X229" s="191">
        <f t="shared" si="55"/>
        <v>0</v>
      </c>
      <c r="Y229" s="191">
        <f t="shared" si="55"/>
        <v>0</v>
      </c>
      <c r="Z229" s="191">
        <f t="shared" si="55"/>
        <v>0</v>
      </c>
      <c r="AA229" s="191">
        <f t="shared" si="55"/>
        <v>0</v>
      </c>
      <c r="AB229" s="191">
        <f t="shared" si="55"/>
        <v>0</v>
      </c>
      <c r="AC229" s="191">
        <f t="shared" si="55"/>
        <v>0</v>
      </c>
      <c r="AD229" s="191">
        <f t="shared" si="55"/>
        <v>0</v>
      </c>
      <c r="AE229" s="191">
        <f t="shared" si="55"/>
        <v>0</v>
      </c>
      <c r="AF229" s="204">
        <f t="shared" si="55"/>
        <v>0</v>
      </c>
      <c r="AG229" s="216">
        <v>4.4000000000000004</v>
      </c>
      <c r="AH229" s="46"/>
      <c r="AI229" s="47"/>
      <c r="AK229" s="49"/>
    </row>
    <row r="230" spans="1:37" x14ac:dyDescent="0.25">
      <c r="A230" s="73" t="s">
        <v>281</v>
      </c>
      <c r="B230" s="191">
        <v>0</v>
      </c>
      <c r="C230" s="191">
        <f t="shared" si="56"/>
        <v>0</v>
      </c>
      <c r="D230" s="191">
        <f t="shared" si="56"/>
        <v>0</v>
      </c>
      <c r="E230" s="191">
        <f t="shared" si="56"/>
        <v>0</v>
      </c>
      <c r="F230" s="191">
        <f t="shared" si="56"/>
        <v>0</v>
      </c>
      <c r="G230" s="191">
        <f t="shared" si="56"/>
        <v>0</v>
      </c>
      <c r="H230" s="191">
        <f t="shared" si="56"/>
        <v>0</v>
      </c>
      <c r="I230" s="191">
        <f t="shared" si="56"/>
        <v>0</v>
      </c>
      <c r="J230" s="191">
        <f t="shared" si="56"/>
        <v>0</v>
      </c>
      <c r="K230" s="191">
        <f t="shared" si="56"/>
        <v>0</v>
      </c>
      <c r="L230" s="191">
        <f t="shared" si="56"/>
        <v>0</v>
      </c>
      <c r="M230" s="191">
        <f t="shared" si="56"/>
        <v>0</v>
      </c>
      <c r="N230" s="191">
        <f t="shared" si="56"/>
        <v>0</v>
      </c>
      <c r="O230" s="191">
        <f t="shared" si="56"/>
        <v>0</v>
      </c>
      <c r="P230" s="191">
        <f t="shared" si="56"/>
        <v>0</v>
      </c>
      <c r="Q230" s="191">
        <f t="shared" si="56"/>
        <v>0</v>
      </c>
      <c r="R230" s="191">
        <f t="shared" si="56"/>
        <v>0</v>
      </c>
      <c r="S230" s="191">
        <f t="shared" si="55"/>
        <v>0</v>
      </c>
      <c r="T230" s="191">
        <f t="shared" si="55"/>
        <v>0</v>
      </c>
      <c r="U230" s="191">
        <f t="shared" si="55"/>
        <v>0</v>
      </c>
      <c r="V230" s="191">
        <f t="shared" si="55"/>
        <v>0</v>
      </c>
      <c r="W230" s="191">
        <f t="shared" si="55"/>
        <v>0</v>
      </c>
      <c r="X230" s="191">
        <f t="shared" si="55"/>
        <v>0</v>
      </c>
      <c r="Y230" s="191">
        <f t="shared" si="55"/>
        <v>0</v>
      </c>
      <c r="Z230" s="191">
        <f t="shared" si="55"/>
        <v>0</v>
      </c>
      <c r="AA230" s="191">
        <f t="shared" si="55"/>
        <v>0</v>
      </c>
      <c r="AB230" s="191">
        <f t="shared" si="55"/>
        <v>0</v>
      </c>
      <c r="AC230" s="191">
        <f t="shared" si="55"/>
        <v>0</v>
      </c>
      <c r="AD230" s="191">
        <f t="shared" si="55"/>
        <v>0</v>
      </c>
      <c r="AE230" s="191">
        <f t="shared" si="55"/>
        <v>0</v>
      </c>
      <c r="AF230" s="204">
        <f t="shared" si="55"/>
        <v>0</v>
      </c>
      <c r="AG230" s="216">
        <v>4.3600000000000003</v>
      </c>
      <c r="AH230" s="46"/>
      <c r="AI230" s="47"/>
      <c r="AK230" s="49"/>
    </row>
    <row r="231" spans="1:37" x14ac:dyDescent="0.25">
      <c r="A231" s="73" t="s">
        <v>282</v>
      </c>
      <c r="B231" s="191">
        <v>0</v>
      </c>
      <c r="C231" s="191">
        <f t="shared" si="56"/>
        <v>0</v>
      </c>
      <c r="D231" s="191">
        <f t="shared" si="56"/>
        <v>0</v>
      </c>
      <c r="E231" s="191">
        <f t="shared" si="56"/>
        <v>0</v>
      </c>
      <c r="F231" s="191">
        <f t="shared" si="56"/>
        <v>0</v>
      </c>
      <c r="G231" s="191">
        <f t="shared" si="56"/>
        <v>0</v>
      </c>
      <c r="H231" s="191">
        <f t="shared" si="56"/>
        <v>0</v>
      </c>
      <c r="I231" s="191">
        <f t="shared" si="56"/>
        <v>0</v>
      </c>
      <c r="J231" s="191">
        <f t="shared" si="56"/>
        <v>0</v>
      </c>
      <c r="K231" s="191">
        <f t="shared" si="56"/>
        <v>0</v>
      </c>
      <c r="L231" s="191">
        <f t="shared" si="56"/>
        <v>0</v>
      </c>
      <c r="M231" s="191">
        <f t="shared" si="56"/>
        <v>0</v>
      </c>
      <c r="N231" s="191">
        <f t="shared" si="56"/>
        <v>0</v>
      </c>
      <c r="O231" s="191">
        <f t="shared" si="56"/>
        <v>0</v>
      </c>
      <c r="P231" s="191">
        <f t="shared" si="56"/>
        <v>0</v>
      </c>
      <c r="Q231" s="191">
        <f t="shared" si="56"/>
        <v>0</v>
      </c>
      <c r="R231" s="191">
        <f t="shared" si="56"/>
        <v>0</v>
      </c>
      <c r="S231" s="191">
        <f t="shared" si="55"/>
        <v>0</v>
      </c>
      <c r="T231" s="191">
        <f t="shared" si="55"/>
        <v>0</v>
      </c>
      <c r="U231" s="191">
        <f t="shared" si="55"/>
        <v>0</v>
      </c>
      <c r="V231" s="191">
        <f t="shared" si="55"/>
        <v>0</v>
      </c>
      <c r="W231" s="191">
        <f t="shared" si="55"/>
        <v>0</v>
      </c>
      <c r="X231" s="191">
        <f t="shared" si="55"/>
        <v>0</v>
      </c>
      <c r="Y231" s="191">
        <f t="shared" si="55"/>
        <v>0</v>
      </c>
      <c r="Z231" s="191">
        <f t="shared" si="55"/>
        <v>0</v>
      </c>
      <c r="AA231" s="191">
        <f t="shared" si="55"/>
        <v>0</v>
      </c>
      <c r="AB231" s="191">
        <f t="shared" si="55"/>
        <v>0</v>
      </c>
      <c r="AC231" s="191">
        <f t="shared" si="55"/>
        <v>0</v>
      </c>
      <c r="AD231" s="191">
        <f t="shared" si="55"/>
        <v>0</v>
      </c>
      <c r="AE231" s="191">
        <f t="shared" si="55"/>
        <v>0</v>
      </c>
      <c r="AF231" s="204">
        <f t="shared" si="55"/>
        <v>0</v>
      </c>
      <c r="AG231" s="216">
        <v>4.2</v>
      </c>
      <c r="AH231" s="46"/>
      <c r="AI231" s="47"/>
      <c r="AK231" s="49"/>
    </row>
    <row r="232" spans="1:37" x14ac:dyDescent="0.25">
      <c r="A232" s="73" t="s">
        <v>283</v>
      </c>
      <c r="B232" s="191">
        <v>0</v>
      </c>
      <c r="C232" s="191">
        <f t="shared" si="56"/>
        <v>0</v>
      </c>
      <c r="D232" s="191">
        <f t="shared" si="56"/>
        <v>0</v>
      </c>
      <c r="E232" s="191">
        <f t="shared" si="56"/>
        <v>0</v>
      </c>
      <c r="F232" s="191">
        <f t="shared" si="56"/>
        <v>0</v>
      </c>
      <c r="G232" s="191">
        <f t="shared" si="56"/>
        <v>0</v>
      </c>
      <c r="H232" s="191">
        <f t="shared" si="56"/>
        <v>0</v>
      </c>
      <c r="I232" s="191">
        <f t="shared" si="56"/>
        <v>0</v>
      </c>
      <c r="J232" s="191">
        <f t="shared" si="56"/>
        <v>0</v>
      </c>
      <c r="K232" s="191">
        <f t="shared" si="56"/>
        <v>0</v>
      </c>
      <c r="L232" s="191">
        <f t="shared" si="56"/>
        <v>0</v>
      </c>
      <c r="M232" s="191">
        <f t="shared" si="56"/>
        <v>0</v>
      </c>
      <c r="N232" s="191">
        <f t="shared" si="56"/>
        <v>0</v>
      </c>
      <c r="O232" s="191">
        <f t="shared" si="56"/>
        <v>0</v>
      </c>
      <c r="P232" s="191">
        <f t="shared" si="56"/>
        <v>0</v>
      </c>
      <c r="Q232" s="191">
        <f t="shared" si="56"/>
        <v>0</v>
      </c>
      <c r="R232" s="191">
        <f t="shared" si="56"/>
        <v>0</v>
      </c>
      <c r="S232" s="191">
        <f t="shared" si="55"/>
        <v>0</v>
      </c>
      <c r="T232" s="191">
        <f t="shared" si="55"/>
        <v>0</v>
      </c>
      <c r="U232" s="191">
        <f t="shared" si="55"/>
        <v>0</v>
      </c>
      <c r="V232" s="191">
        <f t="shared" si="55"/>
        <v>0</v>
      </c>
      <c r="W232" s="191">
        <f t="shared" si="55"/>
        <v>0</v>
      </c>
      <c r="X232" s="191">
        <f t="shared" si="55"/>
        <v>0</v>
      </c>
      <c r="Y232" s="191">
        <f t="shared" si="55"/>
        <v>0</v>
      </c>
      <c r="Z232" s="191">
        <f t="shared" si="55"/>
        <v>0</v>
      </c>
      <c r="AA232" s="191">
        <f t="shared" si="55"/>
        <v>0</v>
      </c>
      <c r="AB232" s="191">
        <f t="shared" si="55"/>
        <v>0</v>
      </c>
      <c r="AC232" s="191">
        <f t="shared" si="55"/>
        <v>0</v>
      </c>
      <c r="AD232" s="191">
        <f t="shared" si="55"/>
        <v>0</v>
      </c>
      <c r="AE232" s="191">
        <f t="shared" si="55"/>
        <v>0</v>
      </c>
      <c r="AF232" s="204">
        <f t="shared" si="55"/>
        <v>0</v>
      </c>
      <c r="AG232" s="216">
        <v>4</v>
      </c>
      <c r="AH232" s="46"/>
      <c r="AI232" s="47"/>
      <c r="AK232" s="49"/>
    </row>
    <row r="233" spans="1:37" x14ac:dyDescent="0.25">
      <c r="A233" s="73" t="s">
        <v>284</v>
      </c>
      <c r="B233" s="191">
        <v>0</v>
      </c>
      <c r="C233" s="191">
        <f t="shared" si="56"/>
        <v>0</v>
      </c>
      <c r="D233" s="191">
        <f t="shared" si="56"/>
        <v>0</v>
      </c>
      <c r="E233" s="191">
        <f t="shared" si="56"/>
        <v>0</v>
      </c>
      <c r="F233" s="191">
        <f t="shared" si="56"/>
        <v>0</v>
      </c>
      <c r="G233" s="191">
        <f t="shared" si="56"/>
        <v>0</v>
      </c>
      <c r="H233" s="191">
        <f t="shared" si="56"/>
        <v>0</v>
      </c>
      <c r="I233" s="191">
        <f t="shared" si="56"/>
        <v>0</v>
      </c>
      <c r="J233" s="191">
        <f t="shared" si="56"/>
        <v>0</v>
      </c>
      <c r="K233" s="191">
        <f t="shared" si="56"/>
        <v>0</v>
      </c>
      <c r="L233" s="191">
        <f t="shared" si="56"/>
        <v>0</v>
      </c>
      <c r="M233" s="191">
        <f t="shared" si="56"/>
        <v>0</v>
      </c>
      <c r="N233" s="191">
        <f t="shared" si="56"/>
        <v>0</v>
      </c>
      <c r="O233" s="191">
        <f t="shared" si="56"/>
        <v>0</v>
      </c>
      <c r="P233" s="191">
        <f t="shared" si="56"/>
        <v>0</v>
      </c>
      <c r="Q233" s="191">
        <f t="shared" si="56"/>
        <v>0</v>
      </c>
      <c r="R233" s="191">
        <f t="shared" ref="R233:AF248" si="57">Q233</f>
        <v>0</v>
      </c>
      <c r="S233" s="191">
        <f t="shared" si="57"/>
        <v>0</v>
      </c>
      <c r="T233" s="191">
        <f t="shared" si="57"/>
        <v>0</v>
      </c>
      <c r="U233" s="191">
        <f t="shared" si="57"/>
        <v>0</v>
      </c>
      <c r="V233" s="191">
        <f t="shared" si="57"/>
        <v>0</v>
      </c>
      <c r="W233" s="191">
        <f t="shared" si="57"/>
        <v>0</v>
      </c>
      <c r="X233" s="191">
        <f t="shared" si="57"/>
        <v>0</v>
      </c>
      <c r="Y233" s="191">
        <f t="shared" si="57"/>
        <v>0</v>
      </c>
      <c r="Z233" s="191">
        <f t="shared" si="57"/>
        <v>0</v>
      </c>
      <c r="AA233" s="191">
        <f t="shared" si="57"/>
        <v>0</v>
      </c>
      <c r="AB233" s="191">
        <f t="shared" si="57"/>
        <v>0</v>
      </c>
      <c r="AC233" s="191">
        <f t="shared" si="57"/>
        <v>0</v>
      </c>
      <c r="AD233" s="191">
        <f t="shared" si="57"/>
        <v>0</v>
      </c>
      <c r="AE233" s="191">
        <f t="shared" si="57"/>
        <v>0</v>
      </c>
      <c r="AF233" s="204">
        <f t="shared" si="57"/>
        <v>0</v>
      </c>
      <c r="AG233" s="216">
        <v>4</v>
      </c>
      <c r="AH233" s="46"/>
      <c r="AI233" s="47"/>
      <c r="AK233" s="49"/>
    </row>
    <row r="234" spans="1:37" x14ac:dyDescent="0.25">
      <c r="A234" s="73" t="s">
        <v>285</v>
      </c>
      <c r="B234" s="191">
        <v>0</v>
      </c>
      <c r="C234" s="191">
        <f t="shared" ref="C234:R249" si="58">B234</f>
        <v>0</v>
      </c>
      <c r="D234" s="191">
        <f t="shared" si="58"/>
        <v>0</v>
      </c>
      <c r="E234" s="191">
        <f t="shared" si="58"/>
        <v>0</v>
      </c>
      <c r="F234" s="191">
        <f t="shared" si="58"/>
        <v>0</v>
      </c>
      <c r="G234" s="191">
        <f t="shared" si="58"/>
        <v>0</v>
      </c>
      <c r="H234" s="191">
        <f t="shared" si="58"/>
        <v>0</v>
      </c>
      <c r="I234" s="191">
        <f t="shared" si="58"/>
        <v>0</v>
      </c>
      <c r="J234" s="191">
        <f t="shared" si="58"/>
        <v>0</v>
      </c>
      <c r="K234" s="191">
        <f t="shared" si="58"/>
        <v>0</v>
      </c>
      <c r="L234" s="191">
        <f t="shared" si="58"/>
        <v>0</v>
      </c>
      <c r="M234" s="191">
        <f t="shared" si="58"/>
        <v>0</v>
      </c>
      <c r="N234" s="191">
        <f t="shared" si="58"/>
        <v>0</v>
      </c>
      <c r="O234" s="191">
        <f t="shared" si="58"/>
        <v>0</v>
      </c>
      <c r="P234" s="191">
        <f t="shared" si="58"/>
        <v>0</v>
      </c>
      <c r="Q234" s="191">
        <f t="shared" si="58"/>
        <v>0</v>
      </c>
      <c r="R234" s="191">
        <f t="shared" si="58"/>
        <v>0</v>
      </c>
      <c r="S234" s="191">
        <f t="shared" si="57"/>
        <v>0</v>
      </c>
      <c r="T234" s="191">
        <f t="shared" si="57"/>
        <v>0</v>
      </c>
      <c r="U234" s="191">
        <f t="shared" si="57"/>
        <v>0</v>
      </c>
      <c r="V234" s="191">
        <f t="shared" si="57"/>
        <v>0</v>
      </c>
      <c r="W234" s="191">
        <f t="shared" si="57"/>
        <v>0</v>
      </c>
      <c r="X234" s="191">
        <f t="shared" si="57"/>
        <v>0</v>
      </c>
      <c r="Y234" s="191">
        <f t="shared" si="57"/>
        <v>0</v>
      </c>
      <c r="Z234" s="191">
        <f t="shared" si="57"/>
        <v>0</v>
      </c>
      <c r="AA234" s="191">
        <f t="shared" si="57"/>
        <v>0</v>
      </c>
      <c r="AB234" s="191">
        <f t="shared" si="57"/>
        <v>0</v>
      </c>
      <c r="AC234" s="191">
        <f t="shared" si="57"/>
        <v>0</v>
      </c>
      <c r="AD234" s="191">
        <f t="shared" si="57"/>
        <v>0</v>
      </c>
      <c r="AE234" s="191">
        <f t="shared" si="57"/>
        <v>0</v>
      </c>
      <c r="AF234" s="204">
        <f t="shared" si="57"/>
        <v>0</v>
      </c>
      <c r="AG234" s="216">
        <v>4</v>
      </c>
      <c r="AH234" s="46"/>
      <c r="AI234" s="47"/>
      <c r="AK234" s="49"/>
    </row>
    <row r="235" spans="1:37" x14ac:dyDescent="0.25">
      <c r="A235" s="73" t="s">
        <v>286</v>
      </c>
      <c r="B235" s="191">
        <v>0</v>
      </c>
      <c r="C235" s="191">
        <f t="shared" si="58"/>
        <v>0</v>
      </c>
      <c r="D235" s="191">
        <f t="shared" si="58"/>
        <v>0</v>
      </c>
      <c r="E235" s="191">
        <f t="shared" si="58"/>
        <v>0</v>
      </c>
      <c r="F235" s="191">
        <f t="shared" si="58"/>
        <v>0</v>
      </c>
      <c r="G235" s="191">
        <f t="shared" si="58"/>
        <v>0</v>
      </c>
      <c r="H235" s="191">
        <f t="shared" si="58"/>
        <v>0</v>
      </c>
      <c r="I235" s="191">
        <f t="shared" si="58"/>
        <v>0</v>
      </c>
      <c r="J235" s="191">
        <f t="shared" si="58"/>
        <v>0</v>
      </c>
      <c r="K235" s="191">
        <f t="shared" si="58"/>
        <v>0</v>
      </c>
      <c r="L235" s="191">
        <f t="shared" si="58"/>
        <v>0</v>
      </c>
      <c r="M235" s="191">
        <f t="shared" si="58"/>
        <v>0</v>
      </c>
      <c r="N235" s="191">
        <f t="shared" si="58"/>
        <v>0</v>
      </c>
      <c r="O235" s="191">
        <f t="shared" si="58"/>
        <v>0</v>
      </c>
      <c r="P235" s="191">
        <f t="shared" si="58"/>
        <v>0</v>
      </c>
      <c r="Q235" s="191">
        <f t="shared" si="58"/>
        <v>0</v>
      </c>
      <c r="R235" s="191">
        <f t="shared" si="58"/>
        <v>0</v>
      </c>
      <c r="S235" s="191">
        <f t="shared" si="57"/>
        <v>0</v>
      </c>
      <c r="T235" s="191">
        <f t="shared" si="57"/>
        <v>0</v>
      </c>
      <c r="U235" s="191">
        <f t="shared" si="57"/>
        <v>0</v>
      </c>
      <c r="V235" s="191">
        <f t="shared" si="57"/>
        <v>0</v>
      </c>
      <c r="W235" s="191">
        <f t="shared" si="57"/>
        <v>0</v>
      </c>
      <c r="X235" s="191">
        <f t="shared" si="57"/>
        <v>0</v>
      </c>
      <c r="Y235" s="191">
        <f t="shared" si="57"/>
        <v>0</v>
      </c>
      <c r="Z235" s="191">
        <f t="shared" si="57"/>
        <v>0</v>
      </c>
      <c r="AA235" s="191">
        <f t="shared" si="57"/>
        <v>0</v>
      </c>
      <c r="AB235" s="191">
        <f t="shared" si="57"/>
        <v>0</v>
      </c>
      <c r="AC235" s="191">
        <f t="shared" si="57"/>
        <v>0</v>
      </c>
      <c r="AD235" s="191">
        <f t="shared" si="57"/>
        <v>0</v>
      </c>
      <c r="AE235" s="191">
        <f t="shared" si="57"/>
        <v>0</v>
      </c>
      <c r="AF235" s="204">
        <f t="shared" si="57"/>
        <v>0</v>
      </c>
      <c r="AG235" s="216">
        <v>4</v>
      </c>
      <c r="AH235" s="46"/>
      <c r="AI235" s="47"/>
      <c r="AK235" s="49"/>
    </row>
    <row r="236" spans="1:37" x14ac:dyDescent="0.25">
      <c r="A236" s="73" t="s">
        <v>287</v>
      </c>
      <c r="B236" s="191">
        <v>0</v>
      </c>
      <c r="C236" s="191">
        <f t="shared" si="58"/>
        <v>0</v>
      </c>
      <c r="D236" s="191">
        <f t="shared" si="58"/>
        <v>0</v>
      </c>
      <c r="E236" s="191">
        <f t="shared" si="58"/>
        <v>0</v>
      </c>
      <c r="F236" s="191">
        <f t="shared" si="58"/>
        <v>0</v>
      </c>
      <c r="G236" s="191">
        <f t="shared" si="58"/>
        <v>0</v>
      </c>
      <c r="H236" s="191">
        <f t="shared" si="58"/>
        <v>0</v>
      </c>
      <c r="I236" s="191">
        <f t="shared" si="58"/>
        <v>0</v>
      </c>
      <c r="J236" s="191">
        <f t="shared" si="58"/>
        <v>0</v>
      </c>
      <c r="K236" s="191">
        <f t="shared" si="58"/>
        <v>0</v>
      </c>
      <c r="L236" s="191">
        <f t="shared" si="58"/>
        <v>0</v>
      </c>
      <c r="M236" s="191">
        <f t="shared" si="58"/>
        <v>0</v>
      </c>
      <c r="N236" s="191">
        <f t="shared" si="58"/>
        <v>0</v>
      </c>
      <c r="O236" s="191">
        <f t="shared" si="58"/>
        <v>0</v>
      </c>
      <c r="P236" s="191">
        <f t="shared" si="58"/>
        <v>0</v>
      </c>
      <c r="Q236" s="191">
        <f t="shared" si="58"/>
        <v>0</v>
      </c>
      <c r="R236" s="191">
        <f t="shared" si="58"/>
        <v>0</v>
      </c>
      <c r="S236" s="191">
        <f t="shared" si="57"/>
        <v>0</v>
      </c>
      <c r="T236" s="191">
        <f t="shared" si="57"/>
        <v>0</v>
      </c>
      <c r="U236" s="191">
        <f t="shared" si="57"/>
        <v>0</v>
      </c>
      <c r="V236" s="191">
        <f t="shared" si="57"/>
        <v>0</v>
      </c>
      <c r="W236" s="191">
        <f t="shared" si="57"/>
        <v>0</v>
      </c>
      <c r="X236" s="191">
        <f t="shared" si="57"/>
        <v>0</v>
      </c>
      <c r="Y236" s="191">
        <f t="shared" si="57"/>
        <v>0</v>
      </c>
      <c r="Z236" s="191">
        <f t="shared" si="57"/>
        <v>0</v>
      </c>
      <c r="AA236" s="191">
        <f t="shared" si="57"/>
        <v>0</v>
      </c>
      <c r="AB236" s="191">
        <f t="shared" si="57"/>
        <v>0</v>
      </c>
      <c r="AC236" s="191">
        <f t="shared" si="57"/>
        <v>0</v>
      </c>
      <c r="AD236" s="191">
        <f t="shared" si="57"/>
        <v>0</v>
      </c>
      <c r="AE236" s="191">
        <f t="shared" si="57"/>
        <v>0</v>
      </c>
      <c r="AF236" s="204">
        <f t="shared" si="57"/>
        <v>0</v>
      </c>
      <c r="AG236" s="216">
        <v>4</v>
      </c>
      <c r="AH236" s="46"/>
      <c r="AI236" s="47"/>
      <c r="AK236" s="49"/>
    </row>
    <row r="237" spans="1:37" x14ac:dyDescent="0.25">
      <c r="A237" s="73" t="s">
        <v>288</v>
      </c>
      <c r="B237" s="191">
        <v>0</v>
      </c>
      <c r="C237" s="191">
        <f t="shared" si="58"/>
        <v>0</v>
      </c>
      <c r="D237" s="191">
        <f t="shared" si="58"/>
        <v>0</v>
      </c>
      <c r="E237" s="191">
        <f t="shared" si="58"/>
        <v>0</v>
      </c>
      <c r="F237" s="191">
        <f t="shared" si="58"/>
        <v>0</v>
      </c>
      <c r="G237" s="191">
        <f t="shared" si="58"/>
        <v>0</v>
      </c>
      <c r="H237" s="191">
        <f t="shared" si="58"/>
        <v>0</v>
      </c>
      <c r="I237" s="191">
        <f t="shared" si="58"/>
        <v>0</v>
      </c>
      <c r="J237" s="191">
        <f t="shared" si="58"/>
        <v>0</v>
      </c>
      <c r="K237" s="191">
        <f t="shared" si="58"/>
        <v>0</v>
      </c>
      <c r="L237" s="191">
        <f t="shared" si="58"/>
        <v>0</v>
      </c>
      <c r="M237" s="191">
        <f t="shared" si="58"/>
        <v>0</v>
      </c>
      <c r="N237" s="191">
        <f t="shared" si="58"/>
        <v>0</v>
      </c>
      <c r="O237" s="191">
        <f t="shared" si="58"/>
        <v>0</v>
      </c>
      <c r="P237" s="191">
        <f t="shared" si="58"/>
        <v>0</v>
      </c>
      <c r="Q237" s="191">
        <f t="shared" si="58"/>
        <v>0</v>
      </c>
      <c r="R237" s="191">
        <f t="shared" si="58"/>
        <v>0</v>
      </c>
      <c r="S237" s="191">
        <f t="shared" si="57"/>
        <v>0</v>
      </c>
      <c r="T237" s="191">
        <f t="shared" si="57"/>
        <v>0</v>
      </c>
      <c r="U237" s="191">
        <f t="shared" si="57"/>
        <v>0</v>
      </c>
      <c r="V237" s="191">
        <f t="shared" si="57"/>
        <v>0</v>
      </c>
      <c r="W237" s="191">
        <f t="shared" si="57"/>
        <v>0</v>
      </c>
      <c r="X237" s="191">
        <f t="shared" si="57"/>
        <v>0</v>
      </c>
      <c r="Y237" s="191">
        <f t="shared" si="57"/>
        <v>0</v>
      </c>
      <c r="Z237" s="191">
        <f t="shared" si="57"/>
        <v>0</v>
      </c>
      <c r="AA237" s="191">
        <f t="shared" si="57"/>
        <v>0</v>
      </c>
      <c r="AB237" s="191">
        <f t="shared" si="57"/>
        <v>0</v>
      </c>
      <c r="AC237" s="191">
        <f t="shared" si="57"/>
        <v>0</v>
      </c>
      <c r="AD237" s="191">
        <f t="shared" si="57"/>
        <v>0</v>
      </c>
      <c r="AE237" s="191">
        <f t="shared" si="57"/>
        <v>0</v>
      </c>
      <c r="AF237" s="204">
        <f t="shared" si="57"/>
        <v>0</v>
      </c>
      <c r="AG237" s="216">
        <v>4</v>
      </c>
      <c r="AH237" s="46"/>
      <c r="AI237" s="47"/>
      <c r="AK237" s="49"/>
    </row>
    <row r="238" spans="1:37" x14ac:dyDescent="0.25">
      <c r="A238" s="73" t="s">
        <v>289</v>
      </c>
      <c r="B238" s="191">
        <v>0</v>
      </c>
      <c r="C238" s="191">
        <f t="shared" si="58"/>
        <v>0</v>
      </c>
      <c r="D238" s="191">
        <f t="shared" si="58"/>
        <v>0</v>
      </c>
      <c r="E238" s="191">
        <f t="shared" si="58"/>
        <v>0</v>
      </c>
      <c r="F238" s="191">
        <f t="shared" si="58"/>
        <v>0</v>
      </c>
      <c r="G238" s="191">
        <f t="shared" si="58"/>
        <v>0</v>
      </c>
      <c r="H238" s="191">
        <f t="shared" si="58"/>
        <v>0</v>
      </c>
      <c r="I238" s="191">
        <f t="shared" si="58"/>
        <v>0</v>
      </c>
      <c r="J238" s="191">
        <f t="shared" si="58"/>
        <v>0</v>
      </c>
      <c r="K238" s="191">
        <f t="shared" si="58"/>
        <v>0</v>
      </c>
      <c r="L238" s="191">
        <f t="shared" si="58"/>
        <v>0</v>
      </c>
      <c r="M238" s="191">
        <f t="shared" si="58"/>
        <v>0</v>
      </c>
      <c r="N238" s="191">
        <f t="shared" si="58"/>
        <v>0</v>
      </c>
      <c r="O238" s="191">
        <f t="shared" si="58"/>
        <v>0</v>
      </c>
      <c r="P238" s="191">
        <f t="shared" si="58"/>
        <v>0</v>
      </c>
      <c r="Q238" s="191">
        <f t="shared" si="58"/>
        <v>0</v>
      </c>
      <c r="R238" s="191">
        <f t="shared" si="58"/>
        <v>0</v>
      </c>
      <c r="S238" s="191">
        <f t="shared" si="57"/>
        <v>0</v>
      </c>
      <c r="T238" s="191">
        <f t="shared" si="57"/>
        <v>0</v>
      </c>
      <c r="U238" s="191">
        <f t="shared" si="57"/>
        <v>0</v>
      </c>
      <c r="V238" s="191">
        <f t="shared" si="57"/>
        <v>0</v>
      </c>
      <c r="W238" s="191">
        <f t="shared" si="57"/>
        <v>0</v>
      </c>
      <c r="X238" s="191">
        <f t="shared" si="57"/>
        <v>0</v>
      </c>
      <c r="Y238" s="191">
        <f t="shared" si="57"/>
        <v>0</v>
      </c>
      <c r="Z238" s="191">
        <f t="shared" si="57"/>
        <v>0</v>
      </c>
      <c r="AA238" s="191">
        <f t="shared" si="57"/>
        <v>0</v>
      </c>
      <c r="AB238" s="191">
        <f t="shared" si="57"/>
        <v>0</v>
      </c>
      <c r="AC238" s="191">
        <f t="shared" si="57"/>
        <v>0</v>
      </c>
      <c r="AD238" s="191">
        <f t="shared" si="57"/>
        <v>0</v>
      </c>
      <c r="AE238" s="191">
        <f t="shared" si="57"/>
        <v>0</v>
      </c>
      <c r="AF238" s="204">
        <f t="shared" si="57"/>
        <v>0</v>
      </c>
      <c r="AG238" s="216">
        <v>4</v>
      </c>
      <c r="AH238" s="46"/>
      <c r="AI238" s="47"/>
      <c r="AK238" s="49"/>
    </row>
    <row r="239" spans="1:37" x14ac:dyDescent="0.25">
      <c r="A239" s="73" t="s">
        <v>290</v>
      </c>
      <c r="B239" s="191">
        <v>0</v>
      </c>
      <c r="C239" s="191">
        <f t="shared" si="58"/>
        <v>0</v>
      </c>
      <c r="D239" s="191">
        <f t="shared" si="58"/>
        <v>0</v>
      </c>
      <c r="E239" s="191">
        <f t="shared" si="58"/>
        <v>0</v>
      </c>
      <c r="F239" s="191">
        <f t="shared" si="58"/>
        <v>0</v>
      </c>
      <c r="G239" s="191">
        <f t="shared" si="58"/>
        <v>0</v>
      </c>
      <c r="H239" s="191">
        <f t="shared" si="58"/>
        <v>0</v>
      </c>
      <c r="I239" s="191">
        <f t="shared" si="58"/>
        <v>0</v>
      </c>
      <c r="J239" s="191">
        <f t="shared" si="58"/>
        <v>0</v>
      </c>
      <c r="K239" s="191">
        <f t="shared" si="58"/>
        <v>0</v>
      </c>
      <c r="L239" s="191">
        <f t="shared" si="58"/>
        <v>0</v>
      </c>
      <c r="M239" s="191">
        <f t="shared" si="58"/>
        <v>0</v>
      </c>
      <c r="N239" s="191">
        <f t="shared" si="58"/>
        <v>0</v>
      </c>
      <c r="O239" s="191">
        <f t="shared" si="58"/>
        <v>0</v>
      </c>
      <c r="P239" s="191">
        <f t="shared" si="58"/>
        <v>0</v>
      </c>
      <c r="Q239" s="191">
        <f t="shared" si="58"/>
        <v>0</v>
      </c>
      <c r="R239" s="191">
        <f t="shared" si="58"/>
        <v>0</v>
      </c>
      <c r="S239" s="191">
        <f t="shared" si="57"/>
        <v>0</v>
      </c>
      <c r="T239" s="191">
        <f t="shared" si="57"/>
        <v>0</v>
      </c>
      <c r="U239" s="191">
        <f t="shared" si="57"/>
        <v>0</v>
      </c>
      <c r="V239" s="191">
        <f t="shared" si="57"/>
        <v>0</v>
      </c>
      <c r="W239" s="191">
        <f t="shared" si="57"/>
        <v>0</v>
      </c>
      <c r="X239" s="191">
        <f t="shared" si="57"/>
        <v>0</v>
      </c>
      <c r="Y239" s="191">
        <f t="shared" si="57"/>
        <v>0</v>
      </c>
      <c r="Z239" s="191">
        <f t="shared" si="57"/>
        <v>0</v>
      </c>
      <c r="AA239" s="191">
        <f t="shared" si="57"/>
        <v>0</v>
      </c>
      <c r="AB239" s="191">
        <f t="shared" si="57"/>
        <v>0</v>
      </c>
      <c r="AC239" s="191">
        <f t="shared" si="57"/>
        <v>0</v>
      </c>
      <c r="AD239" s="191">
        <f t="shared" si="57"/>
        <v>0</v>
      </c>
      <c r="AE239" s="191">
        <f t="shared" si="57"/>
        <v>0</v>
      </c>
      <c r="AF239" s="204">
        <f t="shared" si="57"/>
        <v>0</v>
      </c>
      <c r="AG239" s="216">
        <v>4</v>
      </c>
      <c r="AH239" s="46"/>
      <c r="AI239" s="47"/>
      <c r="AK239" s="49"/>
    </row>
    <row r="240" spans="1:37" x14ac:dyDescent="0.25">
      <c r="A240" s="73" t="s">
        <v>291</v>
      </c>
      <c r="B240" s="191">
        <v>0</v>
      </c>
      <c r="C240" s="191">
        <f t="shared" si="58"/>
        <v>0</v>
      </c>
      <c r="D240" s="191">
        <f t="shared" si="58"/>
        <v>0</v>
      </c>
      <c r="E240" s="191">
        <f t="shared" si="58"/>
        <v>0</v>
      </c>
      <c r="F240" s="191">
        <f t="shared" si="58"/>
        <v>0</v>
      </c>
      <c r="G240" s="191">
        <f t="shared" si="58"/>
        <v>0</v>
      </c>
      <c r="H240" s="191">
        <f t="shared" si="58"/>
        <v>0</v>
      </c>
      <c r="I240" s="191">
        <f t="shared" si="58"/>
        <v>0</v>
      </c>
      <c r="J240" s="191">
        <f t="shared" si="58"/>
        <v>0</v>
      </c>
      <c r="K240" s="191">
        <f t="shared" si="58"/>
        <v>0</v>
      </c>
      <c r="L240" s="191">
        <f t="shared" si="58"/>
        <v>0</v>
      </c>
      <c r="M240" s="191">
        <f t="shared" si="58"/>
        <v>0</v>
      </c>
      <c r="N240" s="191">
        <f t="shared" si="58"/>
        <v>0</v>
      </c>
      <c r="O240" s="191">
        <f t="shared" si="58"/>
        <v>0</v>
      </c>
      <c r="P240" s="191">
        <f t="shared" si="58"/>
        <v>0</v>
      </c>
      <c r="Q240" s="191">
        <f t="shared" si="58"/>
        <v>0</v>
      </c>
      <c r="R240" s="191">
        <f t="shared" si="58"/>
        <v>0</v>
      </c>
      <c r="S240" s="191">
        <f t="shared" si="57"/>
        <v>0</v>
      </c>
      <c r="T240" s="191">
        <f t="shared" si="57"/>
        <v>0</v>
      </c>
      <c r="U240" s="191">
        <f t="shared" si="57"/>
        <v>0</v>
      </c>
      <c r="V240" s="191">
        <f t="shared" si="57"/>
        <v>0</v>
      </c>
      <c r="W240" s="191">
        <f t="shared" si="57"/>
        <v>0</v>
      </c>
      <c r="X240" s="191">
        <f t="shared" si="57"/>
        <v>0</v>
      </c>
      <c r="Y240" s="191">
        <f t="shared" si="57"/>
        <v>0</v>
      </c>
      <c r="Z240" s="191">
        <f t="shared" si="57"/>
        <v>0</v>
      </c>
      <c r="AA240" s="191">
        <f t="shared" si="57"/>
        <v>0</v>
      </c>
      <c r="AB240" s="191">
        <f t="shared" si="57"/>
        <v>0</v>
      </c>
      <c r="AC240" s="191">
        <f t="shared" si="57"/>
        <v>0</v>
      </c>
      <c r="AD240" s="191">
        <f t="shared" si="57"/>
        <v>0</v>
      </c>
      <c r="AE240" s="191">
        <f t="shared" si="57"/>
        <v>0</v>
      </c>
      <c r="AF240" s="204">
        <f t="shared" si="57"/>
        <v>0</v>
      </c>
      <c r="AG240" s="216">
        <v>3.75</v>
      </c>
      <c r="AH240" s="46"/>
      <c r="AI240" s="47"/>
      <c r="AK240" s="49"/>
    </row>
    <row r="241" spans="1:37" x14ac:dyDescent="0.25">
      <c r="A241" s="73" t="s">
        <v>292</v>
      </c>
      <c r="B241" s="191">
        <v>0</v>
      </c>
      <c r="C241" s="191">
        <f t="shared" si="58"/>
        <v>0</v>
      </c>
      <c r="D241" s="191">
        <f t="shared" si="58"/>
        <v>0</v>
      </c>
      <c r="E241" s="191">
        <f t="shared" si="58"/>
        <v>0</v>
      </c>
      <c r="F241" s="191">
        <f t="shared" si="58"/>
        <v>0</v>
      </c>
      <c r="G241" s="191">
        <f t="shared" si="58"/>
        <v>0</v>
      </c>
      <c r="H241" s="191">
        <f t="shared" si="58"/>
        <v>0</v>
      </c>
      <c r="I241" s="191">
        <f t="shared" si="58"/>
        <v>0</v>
      </c>
      <c r="J241" s="191">
        <f t="shared" si="58"/>
        <v>0</v>
      </c>
      <c r="K241" s="191">
        <f t="shared" si="58"/>
        <v>0</v>
      </c>
      <c r="L241" s="191">
        <f t="shared" si="58"/>
        <v>0</v>
      </c>
      <c r="M241" s="191">
        <f t="shared" si="58"/>
        <v>0</v>
      </c>
      <c r="N241" s="191">
        <f t="shared" si="58"/>
        <v>0</v>
      </c>
      <c r="O241" s="191">
        <f t="shared" si="58"/>
        <v>0</v>
      </c>
      <c r="P241" s="191">
        <f t="shared" si="58"/>
        <v>0</v>
      </c>
      <c r="Q241" s="191">
        <f t="shared" si="58"/>
        <v>0</v>
      </c>
      <c r="R241" s="191">
        <f t="shared" si="58"/>
        <v>0</v>
      </c>
      <c r="S241" s="191">
        <f t="shared" si="57"/>
        <v>0</v>
      </c>
      <c r="T241" s="191">
        <f t="shared" si="57"/>
        <v>0</v>
      </c>
      <c r="U241" s="191">
        <f t="shared" si="57"/>
        <v>0</v>
      </c>
      <c r="V241" s="191">
        <f t="shared" si="57"/>
        <v>0</v>
      </c>
      <c r="W241" s="191">
        <f t="shared" si="57"/>
        <v>0</v>
      </c>
      <c r="X241" s="191">
        <f t="shared" si="57"/>
        <v>0</v>
      </c>
      <c r="Y241" s="191">
        <f t="shared" si="57"/>
        <v>0</v>
      </c>
      <c r="Z241" s="191">
        <f t="shared" si="57"/>
        <v>0</v>
      </c>
      <c r="AA241" s="191">
        <f t="shared" si="57"/>
        <v>0</v>
      </c>
      <c r="AB241" s="191">
        <f t="shared" si="57"/>
        <v>0</v>
      </c>
      <c r="AC241" s="191">
        <f t="shared" si="57"/>
        <v>0</v>
      </c>
      <c r="AD241" s="191">
        <f t="shared" si="57"/>
        <v>0</v>
      </c>
      <c r="AE241" s="191">
        <f t="shared" si="57"/>
        <v>0</v>
      </c>
      <c r="AF241" s="204">
        <f t="shared" si="57"/>
        <v>0</v>
      </c>
      <c r="AG241" s="216">
        <v>3.52</v>
      </c>
      <c r="AH241" s="46"/>
      <c r="AI241" s="47"/>
      <c r="AK241" s="49"/>
    </row>
    <row r="242" spans="1:37" x14ac:dyDescent="0.25">
      <c r="A242" s="73" t="s">
        <v>293</v>
      </c>
      <c r="B242" s="191">
        <v>0</v>
      </c>
      <c r="C242" s="191">
        <f t="shared" si="58"/>
        <v>0</v>
      </c>
      <c r="D242" s="191">
        <f t="shared" si="58"/>
        <v>0</v>
      </c>
      <c r="E242" s="191">
        <f t="shared" si="58"/>
        <v>0</v>
      </c>
      <c r="F242" s="191">
        <f t="shared" si="58"/>
        <v>0</v>
      </c>
      <c r="G242" s="191">
        <f t="shared" si="58"/>
        <v>0</v>
      </c>
      <c r="H242" s="191">
        <f t="shared" si="58"/>
        <v>0</v>
      </c>
      <c r="I242" s="191">
        <f t="shared" si="58"/>
        <v>0</v>
      </c>
      <c r="J242" s="191">
        <f t="shared" si="58"/>
        <v>0</v>
      </c>
      <c r="K242" s="191">
        <f t="shared" si="58"/>
        <v>0</v>
      </c>
      <c r="L242" s="191">
        <f t="shared" si="58"/>
        <v>0</v>
      </c>
      <c r="M242" s="191">
        <f t="shared" si="58"/>
        <v>0</v>
      </c>
      <c r="N242" s="191">
        <f t="shared" si="58"/>
        <v>0</v>
      </c>
      <c r="O242" s="191">
        <f t="shared" si="58"/>
        <v>0</v>
      </c>
      <c r="P242" s="191">
        <f t="shared" si="58"/>
        <v>0</v>
      </c>
      <c r="Q242" s="191">
        <f t="shared" si="58"/>
        <v>0</v>
      </c>
      <c r="R242" s="191">
        <f t="shared" si="58"/>
        <v>0</v>
      </c>
      <c r="S242" s="191">
        <f t="shared" si="57"/>
        <v>0</v>
      </c>
      <c r="T242" s="191">
        <f t="shared" si="57"/>
        <v>0</v>
      </c>
      <c r="U242" s="191">
        <f t="shared" si="57"/>
        <v>0</v>
      </c>
      <c r="V242" s="191">
        <f t="shared" si="57"/>
        <v>0</v>
      </c>
      <c r="W242" s="191">
        <f t="shared" si="57"/>
        <v>0</v>
      </c>
      <c r="X242" s="191">
        <f t="shared" si="57"/>
        <v>0</v>
      </c>
      <c r="Y242" s="191">
        <f t="shared" si="57"/>
        <v>0</v>
      </c>
      <c r="Z242" s="191">
        <f t="shared" si="57"/>
        <v>0</v>
      </c>
      <c r="AA242" s="191">
        <f t="shared" si="57"/>
        <v>0</v>
      </c>
      <c r="AB242" s="191">
        <f t="shared" si="57"/>
        <v>0</v>
      </c>
      <c r="AC242" s="191">
        <f t="shared" si="57"/>
        <v>0</v>
      </c>
      <c r="AD242" s="191">
        <f t="shared" si="57"/>
        <v>0</v>
      </c>
      <c r="AE242" s="191">
        <f t="shared" si="57"/>
        <v>0</v>
      </c>
      <c r="AF242" s="204">
        <f t="shared" si="57"/>
        <v>0</v>
      </c>
      <c r="AG242" s="216">
        <v>3.33</v>
      </c>
      <c r="AH242" s="46"/>
      <c r="AI242" s="47"/>
      <c r="AK242" s="49"/>
    </row>
    <row r="243" spans="1:37" x14ac:dyDescent="0.25">
      <c r="A243" s="73" t="s">
        <v>294</v>
      </c>
      <c r="B243" s="191">
        <v>0</v>
      </c>
      <c r="C243" s="191">
        <f t="shared" si="58"/>
        <v>0</v>
      </c>
      <c r="D243" s="191">
        <f t="shared" si="58"/>
        <v>0</v>
      </c>
      <c r="E243" s="191">
        <f t="shared" si="58"/>
        <v>0</v>
      </c>
      <c r="F243" s="191">
        <f t="shared" si="58"/>
        <v>0</v>
      </c>
      <c r="G243" s="191">
        <f t="shared" si="58"/>
        <v>0</v>
      </c>
      <c r="H243" s="191">
        <f t="shared" si="58"/>
        <v>0</v>
      </c>
      <c r="I243" s="191">
        <f t="shared" si="58"/>
        <v>0</v>
      </c>
      <c r="J243" s="191">
        <f t="shared" si="58"/>
        <v>0</v>
      </c>
      <c r="K243" s="191">
        <f t="shared" si="58"/>
        <v>0</v>
      </c>
      <c r="L243" s="191">
        <f t="shared" si="58"/>
        <v>0</v>
      </c>
      <c r="M243" s="191">
        <f t="shared" si="58"/>
        <v>0</v>
      </c>
      <c r="N243" s="191">
        <f t="shared" si="58"/>
        <v>0</v>
      </c>
      <c r="O243" s="191">
        <f t="shared" si="58"/>
        <v>0</v>
      </c>
      <c r="P243" s="191">
        <f t="shared" si="58"/>
        <v>0</v>
      </c>
      <c r="Q243" s="191">
        <f t="shared" si="58"/>
        <v>0</v>
      </c>
      <c r="R243" s="191">
        <f t="shared" si="58"/>
        <v>0</v>
      </c>
      <c r="S243" s="191">
        <f t="shared" si="57"/>
        <v>0</v>
      </c>
      <c r="T243" s="191">
        <f t="shared" si="57"/>
        <v>0</v>
      </c>
      <c r="U243" s="191">
        <f t="shared" si="57"/>
        <v>0</v>
      </c>
      <c r="V243" s="191">
        <f t="shared" si="57"/>
        <v>0</v>
      </c>
      <c r="W243" s="191">
        <f t="shared" si="57"/>
        <v>0</v>
      </c>
      <c r="X243" s="191">
        <f t="shared" si="57"/>
        <v>0</v>
      </c>
      <c r="Y243" s="191">
        <f t="shared" si="57"/>
        <v>0</v>
      </c>
      <c r="Z243" s="191">
        <f t="shared" si="57"/>
        <v>0</v>
      </c>
      <c r="AA243" s="191">
        <f t="shared" si="57"/>
        <v>0</v>
      </c>
      <c r="AB243" s="191">
        <f t="shared" si="57"/>
        <v>0</v>
      </c>
      <c r="AC243" s="191">
        <f t="shared" si="57"/>
        <v>0</v>
      </c>
      <c r="AD243" s="191">
        <f t="shared" si="57"/>
        <v>0</v>
      </c>
      <c r="AE243" s="191">
        <f t="shared" si="57"/>
        <v>0</v>
      </c>
      <c r="AF243" s="204">
        <f t="shared" si="57"/>
        <v>0</v>
      </c>
      <c r="AG243" s="216">
        <v>3.2</v>
      </c>
      <c r="AH243" s="46"/>
      <c r="AI243" s="47"/>
      <c r="AK243" s="49"/>
    </row>
    <row r="244" spans="1:37" x14ac:dyDescent="0.25">
      <c r="A244" s="73" t="s">
        <v>295</v>
      </c>
      <c r="B244" s="191">
        <v>0</v>
      </c>
      <c r="C244" s="191">
        <f t="shared" si="58"/>
        <v>0</v>
      </c>
      <c r="D244" s="191">
        <f t="shared" si="58"/>
        <v>0</v>
      </c>
      <c r="E244" s="191">
        <f t="shared" si="58"/>
        <v>0</v>
      </c>
      <c r="F244" s="191">
        <f t="shared" si="58"/>
        <v>0</v>
      </c>
      <c r="G244" s="191">
        <f t="shared" si="58"/>
        <v>0</v>
      </c>
      <c r="H244" s="191">
        <f t="shared" si="58"/>
        <v>0</v>
      </c>
      <c r="I244" s="191">
        <f t="shared" si="58"/>
        <v>0</v>
      </c>
      <c r="J244" s="191">
        <f t="shared" si="58"/>
        <v>0</v>
      </c>
      <c r="K244" s="191">
        <f t="shared" si="58"/>
        <v>0</v>
      </c>
      <c r="L244" s="191">
        <f t="shared" si="58"/>
        <v>0</v>
      </c>
      <c r="M244" s="191">
        <f t="shared" si="58"/>
        <v>0</v>
      </c>
      <c r="N244" s="191">
        <f t="shared" si="58"/>
        <v>0</v>
      </c>
      <c r="O244" s="191">
        <f t="shared" si="58"/>
        <v>0</v>
      </c>
      <c r="P244" s="191">
        <f t="shared" si="58"/>
        <v>0</v>
      </c>
      <c r="Q244" s="191">
        <f t="shared" si="58"/>
        <v>0</v>
      </c>
      <c r="R244" s="191">
        <f t="shared" si="58"/>
        <v>0</v>
      </c>
      <c r="S244" s="191">
        <f t="shared" si="57"/>
        <v>0</v>
      </c>
      <c r="T244" s="191">
        <f t="shared" si="57"/>
        <v>0</v>
      </c>
      <c r="U244" s="191">
        <f t="shared" si="57"/>
        <v>0</v>
      </c>
      <c r="V244" s="191">
        <f t="shared" si="57"/>
        <v>0</v>
      </c>
      <c r="W244" s="191">
        <f t="shared" si="57"/>
        <v>0</v>
      </c>
      <c r="X244" s="191">
        <f t="shared" si="57"/>
        <v>0</v>
      </c>
      <c r="Y244" s="191">
        <f t="shared" si="57"/>
        <v>0</v>
      </c>
      <c r="Z244" s="191">
        <f t="shared" si="57"/>
        <v>0</v>
      </c>
      <c r="AA244" s="191">
        <f t="shared" si="57"/>
        <v>0</v>
      </c>
      <c r="AB244" s="191">
        <f t="shared" si="57"/>
        <v>0</v>
      </c>
      <c r="AC244" s="191">
        <f t="shared" si="57"/>
        <v>0</v>
      </c>
      <c r="AD244" s="191">
        <f t="shared" si="57"/>
        <v>0</v>
      </c>
      <c r="AE244" s="191">
        <f t="shared" si="57"/>
        <v>0</v>
      </c>
      <c r="AF244" s="204">
        <f t="shared" si="57"/>
        <v>0</v>
      </c>
      <c r="AG244" s="216">
        <v>3</v>
      </c>
      <c r="AH244" s="46"/>
      <c r="AI244" s="47"/>
      <c r="AK244" s="49"/>
    </row>
    <row r="245" spans="1:37" x14ac:dyDescent="0.25">
      <c r="A245" s="73" t="s">
        <v>296</v>
      </c>
      <c r="B245" s="191">
        <v>0</v>
      </c>
      <c r="C245" s="191">
        <f t="shared" si="58"/>
        <v>0</v>
      </c>
      <c r="D245" s="191">
        <f t="shared" si="58"/>
        <v>0</v>
      </c>
      <c r="E245" s="191">
        <f t="shared" si="58"/>
        <v>0</v>
      </c>
      <c r="F245" s="191">
        <f t="shared" si="58"/>
        <v>0</v>
      </c>
      <c r="G245" s="191">
        <f t="shared" si="58"/>
        <v>0</v>
      </c>
      <c r="H245" s="191">
        <f t="shared" si="58"/>
        <v>0</v>
      </c>
      <c r="I245" s="191">
        <f t="shared" si="58"/>
        <v>0</v>
      </c>
      <c r="J245" s="191">
        <f t="shared" si="58"/>
        <v>0</v>
      </c>
      <c r="K245" s="191">
        <f t="shared" si="58"/>
        <v>0</v>
      </c>
      <c r="L245" s="191">
        <f t="shared" si="58"/>
        <v>0</v>
      </c>
      <c r="M245" s="191">
        <f t="shared" si="58"/>
        <v>0</v>
      </c>
      <c r="N245" s="191">
        <f t="shared" si="58"/>
        <v>0</v>
      </c>
      <c r="O245" s="191">
        <f t="shared" si="58"/>
        <v>0</v>
      </c>
      <c r="P245" s="191">
        <f t="shared" si="58"/>
        <v>0</v>
      </c>
      <c r="Q245" s="191">
        <f t="shared" si="58"/>
        <v>0</v>
      </c>
      <c r="R245" s="191">
        <f t="shared" si="58"/>
        <v>0</v>
      </c>
      <c r="S245" s="191">
        <f t="shared" si="57"/>
        <v>0</v>
      </c>
      <c r="T245" s="191">
        <f t="shared" si="57"/>
        <v>0</v>
      </c>
      <c r="U245" s="191">
        <f t="shared" si="57"/>
        <v>0</v>
      </c>
      <c r="V245" s="191">
        <f t="shared" si="57"/>
        <v>0</v>
      </c>
      <c r="W245" s="191">
        <f t="shared" si="57"/>
        <v>0</v>
      </c>
      <c r="X245" s="191">
        <f t="shared" si="57"/>
        <v>0</v>
      </c>
      <c r="Y245" s="191">
        <f t="shared" si="57"/>
        <v>0</v>
      </c>
      <c r="Z245" s="191">
        <f t="shared" si="57"/>
        <v>0</v>
      </c>
      <c r="AA245" s="191">
        <f t="shared" si="57"/>
        <v>0</v>
      </c>
      <c r="AB245" s="191">
        <f t="shared" si="57"/>
        <v>0</v>
      </c>
      <c r="AC245" s="191">
        <f t="shared" si="57"/>
        <v>0</v>
      </c>
      <c r="AD245" s="191">
        <f t="shared" si="57"/>
        <v>0</v>
      </c>
      <c r="AE245" s="191">
        <f t="shared" si="57"/>
        <v>0</v>
      </c>
      <c r="AF245" s="204">
        <f t="shared" si="57"/>
        <v>0</v>
      </c>
      <c r="AG245" s="216">
        <v>3</v>
      </c>
      <c r="AH245" s="46"/>
      <c r="AI245" s="47"/>
      <c r="AK245" s="49"/>
    </row>
    <row r="246" spans="1:37" x14ac:dyDescent="0.25">
      <c r="A246" s="73" t="s">
        <v>297</v>
      </c>
      <c r="B246" s="191">
        <v>0</v>
      </c>
      <c r="C246" s="191">
        <f t="shared" si="58"/>
        <v>0</v>
      </c>
      <c r="D246" s="191">
        <f t="shared" si="58"/>
        <v>0</v>
      </c>
      <c r="E246" s="191">
        <f t="shared" si="58"/>
        <v>0</v>
      </c>
      <c r="F246" s="191">
        <f t="shared" si="58"/>
        <v>0</v>
      </c>
      <c r="G246" s="191">
        <f t="shared" si="58"/>
        <v>0</v>
      </c>
      <c r="H246" s="191">
        <f t="shared" si="58"/>
        <v>0</v>
      </c>
      <c r="I246" s="191">
        <f t="shared" si="58"/>
        <v>0</v>
      </c>
      <c r="J246" s="191">
        <f t="shared" si="58"/>
        <v>0</v>
      </c>
      <c r="K246" s="191">
        <f t="shared" si="58"/>
        <v>0</v>
      </c>
      <c r="L246" s="191">
        <f t="shared" si="58"/>
        <v>0</v>
      </c>
      <c r="M246" s="191">
        <f t="shared" si="58"/>
        <v>0</v>
      </c>
      <c r="N246" s="191">
        <f t="shared" si="58"/>
        <v>0</v>
      </c>
      <c r="O246" s="191">
        <f t="shared" si="58"/>
        <v>0</v>
      </c>
      <c r="P246" s="191">
        <f t="shared" si="58"/>
        <v>0</v>
      </c>
      <c r="Q246" s="191">
        <f t="shared" si="58"/>
        <v>0</v>
      </c>
      <c r="R246" s="191">
        <f t="shared" si="58"/>
        <v>0</v>
      </c>
      <c r="S246" s="191">
        <f t="shared" si="57"/>
        <v>0</v>
      </c>
      <c r="T246" s="191">
        <f t="shared" si="57"/>
        <v>0</v>
      </c>
      <c r="U246" s="191">
        <f t="shared" si="57"/>
        <v>0</v>
      </c>
      <c r="V246" s="191">
        <f t="shared" si="57"/>
        <v>0</v>
      </c>
      <c r="W246" s="191">
        <f t="shared" si="57"/>
        <v>0</v>
      </c>
      <c r="X246" s="191">
        <f t="shared" si="57"/>
        <v>0</v>
      </c>
      <c r="Y246" s="191">
        <f t="shared" si="57"/>
        <v>0</v>
      </c>
      <c r="Z246" s="191">
        <f t="shared" si="57"/>
        <v>0</v>
      </c>
      <c r="AA246" s="191">
        <f t="shared" si="57"/>
        <v>0</v>
      </c>
      <c r="AB246" s="191">
        <f t="shared" si="57"/>
        <v>0</v>
      </c>
      <c r="AC246" s="191">
        <f t="shared" si="57"/>
        <v>0</v>
      </c>
      <c r="AD246" s="191">
        <f t="shared" si="57"/>
        <v>0</v>
      </c>
      <c r="AE246" s="191">
        <f t="shared" si="57"/>
        <v>0</v>
      </c>
      <c r="AF246" s="204">
        <f t="shared" si="57"/>
        <v>0</v>
      </c>
      <c r="AG246" s="216">
        <v>3</v>
      </c>
      <c r="AH246" s="46"/>
      <c r="AI246" s="47"/>
      <c r="AK246" s="49"/>
    </row>
    <row r="247" spans="1:37" x14ac:dyDescent="0.25">
      <c r="A247" s="73" t="s">
        <v>298</v>
      </c>
      <c r="B247" s="191">
        <v>0</v>
      </c>
      <c r="C247" s="191">
        <f t="shared" si="58"/>
        <v>0</v>
      </c>
      <c r="D247" s="191">
        <f t="shared" si="58"/>
        <v>0</v>
      </c>
      <c r="E247" s="191">
        <f t="shared" si="58"/>
        <v>0</v>
      </c>
      <c r="F247" s="191">
        <f t="shared" si="58"/>
        <v>0</v>
      </c>
      <c r="G247" s="191">
        <f t="shared" si="58"/>
        <v>0</v>
      </c>
      <c r="H247" s="191">
        <f t="shared" si="58"/>
        <v>0</v>
      </c>
      <c r="I247" s="191">
        <f t="shared" si="58"/>
        <v>0</v>
      </c>
      <c r="J247" s="191">
        <f t="shared" si="58"/>
        <v>0</v>
      </c>
      <c r="K247" s="191">
        <f t="shared" si="58"/>
        <v>0</v>
      </c>
      <c r="L247" s="191">
        <f t="shared" si="58"/>
        <v>0</v>
      </c>
      <c r="M247" s="191">
        <f t="shared" si="58"/>
        <v>0</v>
      </c>
      <c r="N247" s="191">
        <f t="shared" si="58"/>
        <v>0</v>
      </c>
      <c r="O247" s="191">
        <f t="shared" si="58"/>
        <v>0</v>
      </c>
      <c r="P247" s="191">
        <f t="shared" si="58"/>
        <v>0</v>
      </c>
      <c r="Q247" s="191">
        <f t="shared" si="58"/>
        <v>0</v>
      </c>
      <c r="R247" s="191">
        <f t="shared" si="58"/>
        <v>0</v>
      </c>
      <c r="S247" s="191">
        <f t="shared" si="57"/>
        <v>0</v>
      </c>
      <c r="T247" s="191">
        <f t="shared" si="57"/>
        <v>0</v>
      </c>
      <c r="U247" s="191">
        <f t="shared" si="57"/>
        <v>0</v>
      </c>
      <c r="V247" s="191">
        <f t="shared" si="57"/>
        <v>0</v>
      </c>
      <c r="W247" s="191">
        <f t="shared" si="57"/>
        <v>0</v>
      </c>
      <c r="X247" s="191">
        <f t="shared" si="57"/>
        <v>0</v>
      </c>
      <c r="Y247" s="191">
        <f t="shared" si="57"/>
        <v>0</v>
      </c>
      <c r="Z247" s="191">
        <f t="shared" si="57"/>
        <v>0</v>
      </c>
      <c r="AA247" s="191">
        <f t="shared" si="57"/>
        <v>0</v>
      </c>
      <c r="AB247" s="191">
        <f t="shared" si="57"/>
        <v>0</v>
      </c>
      <c r="AC247" s="191">
        <f t="shared" si="57"/>
        <v>0</v>
      </c>
      <c r="AD247" s="191">
        <f t="shared" si="57"/>
        <v>0</v>
      </c>
      <c r="AE247" s="191">
        <f t="shared" si="57"/>
        <v>0</v>
      </c>
      <c r="AF247" s="204">
        <f t="shared" si="57"/>
        <v>0</v>
      </c>
      <c r="AG247" s="216">
        <v>3</v>
      </c>
      <c r="AH247" s="46"/>
      <c r="AI247" s="47"/>
      <c r="AK247" s="49"/>
    </row>
    <row r="248" spans="1:37" x14ac:dyDescent="0.25">
      <c r="A248" s="73" t="s">
        <v>299</v>
      </c>
      <c r="B248" s="191">
        <v>0</v>
      </c>
      <c r="C248" s="191">
        <f t="shared" si="58"/>
        <v>0</v>
      </c>
      <c r="D248" s="191">
        <f t="shared" si="58"/>
        <v>0</v>
      </c>
      <c r="E248" s="191">
        <f t="shared" si="58"/>
        <v>0</v>
      </c>
      <c r="F248" s="191">
        <f t="shared" si="58"/>
        <v>0</v>
      </c>
      <c r="G248" s="191">
        <f t="shared" si="58"/>
        <v>0</v>
      </c>
      <c r="H248" s="191">
        <f t="shared" si="58"/>
        <v>0</v>
      </c>
      <c r="I248" s="191">
        <f t="shared" si="58"/>
        <v>0</v>
      </c>
      <c r="J248" s="191">
        <f t="shared" si="58"/>
        <v>0</v>
      </c>
      <c r="K248" s="191">
        <f t="shared" si="58"/>
        <v>0</v>
      </c>
      <c r="L248" s="191">
        <f t="shared" si="58"/>
        <v>0</v>
      </c>
      <c r="M248" s="191">
        <f t="shared" si="58"/>
        <v>0</v>
      </c>
      <c r="N248" s="191">
        <f t="shared" si="58"/>
        <v>0</v>
      </c>
      <c r="O248" s="191">
        <f t="shared" si="58"/>
        <v>0</v>
      </c>
      <c r="P248" s="191">
        <f t="shared" si="58"/>
        <v>0</v>
      </c>
      <c r="Q248" s="191">
        <f t="shared" si="58"/>
        <v>0</v>
      </c>
      <c r="R248" s="191">
        <f t="shared" si="58"/>
        <v>0</v>
      </c>
      <c r="S248" s="191">
        <f t="shared" si="57"/>
        <v>0</v>
      </c>
      <c r="T248" s="191">
        <f t="shared" si="57"/>
        <v>0</v>
      </c>
      <c r="U248" s="191">
        <f t="shared" si="57"/>
        <v>0</v>
      </c>
      <c r="V248" s="191">
        <f t="shared" si="57"/>
        <v>0</v>
      </c>
      <c r="W248" s="191">
        <f t="shared" si="57"/>
        <v>0</v>
      </c>
      <c r="X248" s="191">
        <f t="shared" si="57"/>
        <v>0</v>
      </c>
      <c r="Y248" s="191">
        <f t="shared" si="57"/>
        <v>0</v>
      </c>
      <c r="Z248" s="191">
        <f t="shared" si="57"/>
        <v>0</v>
      </c>
      <c r="AA248" s="191">
        <f t="shared" si="57"/>
        <v>0</v>
      </c>
      <c r="AB248" s="191">
        <f t="shared" si="57"/>
        <v>0</v>
      </c>
      <c r="AC248" s="191">
        <f t="shared" si="57"/>
        <v>0</v>
      </c>
      <c r="AD248" s="191">
        <f t="shared" si="57"/>
        <v>0</v>
      </c>
      <c r="AE248" s="191">
        <f t="shared" si="57"/>
        <v>0</v>
      </c>
      <c r="AF248" s="204">
        <f t="shared" si="57"/>
        <v>0</v>
      </c>
      <c r="AG248" s="216">
        <v>3</v>
      </c>
      <c r="AH248" s="46"/>
      <c r="AI248" s="47"/>
      <c r="AK248" s="49"/>
    </row>
    <row r="249" spans="1:37" x14ac:dyDescent="0.25">
      <c r="A249" s="73" t="s">
        <v>300</v>
      </c>
      <c r="B249" s="191">
        <v>0</v>
      </c>
      <c r="C249" s="191">
        <f t="shared" si="58"/>
        <v>0</v>
      </c>
      <c r="D249" s="191">
        <f t="shared" si="58"/>
        <v>0</v>
      </c>
      <c r="E249" s="191">
        <f t="shared" si="58"/>
        <v>0</v>
      </c>
      <c r="F249" s="191">
        <f t="shared" si="58"/>
        <v>0</v>
      </c>
      <c r="G249" s="191">
        <f t="shared" si="58"/>
        <v>0</v>
      </c>
      <c r="H249" s="191">
        <f t="shared" si="58"/>
        <v>0</v>
      </c>
      <c r="I249" s="191">
        <f t="shared" si="58"/>
        <v>0</v>
      </c>
      <c r="J249" s="191">
        <f t="shared" si="58"/>
        <v>0</v>
      </c>
      <c r="K249" s="191">
        <f t="shared" si="58"/>
        <v>0</v>
      </c>
      <c r="L249" s="191">
        <f t="shared" si="58"/>
        <v>0</v>
      </c>
      <c r="M249" s="191">
        <f t="shared" si="58"/>
        <v>0</v>
      </c>
      <c r="N249" s="191">
        <f t="shared" si="58"/>
        <v>0</v>
      </c>
      <c r="O249" s="191">
        <f t="shared" si="58"/>
        <v>0</v>
      </c>
      <c r="P249" s="191">
        <f t="shared" si="58"/>
        <v>0</v>
      </c>
      <c r="Q249" s="191">
        <f t="shared" si="58"/>
        <v>0</v>
      </c>
      <c r="R249" s="191">
        <f t="shared" ref="R249:AF264" si="59">Q249</f>
        <v>0</v>
      </c>
      <c r="S249" s="191">
        <f t="shared" si="59"/>
        <v>0</v>
      </c>
      <c r="T249" s="191">
        <f t="shared" si="59"/>
        <v>0</v>
      </c>
      <c r="U249" s="191">
        <f t="shared" si="59"/>
        <v>0</v>
      </c>
      <c r="V249" s="191">
        <f t="shared" si="59"/>
        <v>0</v>
      </c>
      <c r="W249" s="191">
        <f t="shared" si="59"/>
        <v>0</v>
      </c>
      <c r="X249" s="191">
        <f t="shared" si="59"/>
        <v>0</v>
      </c>
      <c r="Y249" s="191">
        <f t="shared" si="59"/>
        <v>0</v>
      </c>
      <c r="Z249" s="191">
        <f t="shared" si="59"/>
        <v>0</v>
      </c>
      <c r="AA249" s="191">
        <f t="shared" si="59"/>
        <v>0</v>
      </c>
      <c r="AB249" s="191">
        <f t="shared" si="59"/>
        <v>0</v>
      </c>
      <c r="AC249" s="191">
        <f t="shared" si="59"/>
        <v>0</v>
      </c>
      <c r="AD249" s="191">
        <f t="shared" si="59"/>
        <v>0</v>
      </c>
      <c r="AE249" s="191">
        <f t="shared" si="59"/>
        <v>0</v>
      </c>
      <c r="AF249" s="204">
        <f t="shared" si="59"/>
        <v>0</v>
      </c>
      <c r="AG249" s="216">
        <v>3</v>
      </c>
      <c r="AH249" s="46"/>
      <c r="AI249" s="47"/>
      <c r="AK249" s="49"/>
    </row>
    <row r="250" spans="1:37" x14ac:dyDescent="0.25">
      <c r="A250" s="73" t="s">
        <v>301</v>
      </c>
      <c r="B250" s="191">
        <v>0</v>
      </c>
      <c r="C250" s="191">
        <f t="shared" ref="C250:R265" si="60">B250</f>
        <v>0</v>
      </c>
      <c r="D250" s="191">
        <f t="shared" si="60"/>
        <v>0</v>
      </c>
      <c r="E250" s="191">
        <f t="shared" si="60"/>
        <v>0</v>
      </c>
      <c r="F250" s="191">
        <f t="shared" si="60"/>
        <v>0</v>
      </c>
      <c r="G250" s="191">
        <f t="shared" si="60"/>
        <v>0</v>
      </c>
      <c r="H250" s="191">
        <f t="shared" si="60"/>
        <v>0</v>
      </c>
      <c r="I250" s="191">
        <f t="shared" si="60"/>
        <v>0</v>
      </c>
      <c r="J250" s="191">
        <f t="shared" si="60"/>
        <v>0</v>
      </c>
      <c r="K250" s="191">
        <f t="shared" si="60"/>
        <v>0</v>
      </c>
      <c r="L250" s="191">
        <f t="shared" si="60"/>
        <v>0</v>
      </c>
      <c r="M250" s="191">
        <f t="shared" si="60"/>
        <v>0</v>
      </c>
      <c r="N250" s="191">
        <f t="shared" si="60"/>
        <v>0</v>
      </c>
      <c r="O250" s="191">
        <f t="shared" si="60"/>
        <v>0</v>
      </c>
      <c r="P250" s="191">
        <f t="shared" si="60"/>
        <v>0</v>
      </c>
      <c r="Q250" s="191">
        <f t="shared" si="60"/>
        <v>0</v>
      </c>
      <c r="R250" s="191">
        <f t="shared" si="59"/>
        <v>0</v>
      </c>
      <c r="S250" s="191">
        <f t="shared" si="59"/>
        <v>0</v>
      </c>
      <c r="T250" s="191">
        <f t="shared" si="59"/>
        <v>0</v>
      </c>
      <c r="U250" s="191">
        <f t="shared" si="59"/>
        <v>0</v>
      </c>
      <c r="V250" s="191">
        <f t="shared" si="59"/>
        <v>0</v>
      </c>
      <c r="W250" s="191">
        <f t="shared" si="59"/>
        <v>0</v>
      </c>
      <c r="X250" s="191">
        <f t="shared" si="59"/>
        <v>0</v>
      </c>
      <c r="Y250" s="191">
        <f t="shared" si="59"/>
        <v>0</v>
      </c>
      <c r="Z250" s="191">
        <f t="shared" si="59"/>
        <v>0</v>
      </c>
      <c r="AA250" s="191">
        <f t="shared" si="59"/>
        <v>0</v>
      </c>
      <c r="AB250" s="191">
        <f t="shared" si="59"/>
        <v>0</v>
      </c>
      <c r="AC250" s="191">
        <f t="shared" si="59"/>
        <v>0</v>
      </c>
      <c r="AD250" s="191">
        <f t="shared" si="59"/>
        <v>0</v>
      </c>
      <c r="AE250" s="191">
        <f t="shared" si="59"/>
        <v>0</v>
      </c>
      <c r="AF250" s="204">
        <f t="shared" si="59"/>
        <v>0</v>
      </c>
      <c r="AG250" s="216">
        <v>3</v>
      </c>
      <c r="AH250" s="46"/>
      <c r="AI250" s="47"/>
      <c r="AK250" s="49"/>
    </row>
    <row r="251" spans="1:37" x14ac:dyDescent="0.25">
      <c r="A251" s="73" t="s">
        <v>302</v>
      </c>
      <c r="B251" s="191">
        <v>0</v>
      </c>
      <c r="C251" s="191">
        <f t="shared" si="60"/>
        <v>0</v>
      </c>
      <c r="D251" s="191">
        <f t="shared" si="60"/>
        <v>0</v>
      </c>
      <c r="E251" s="191">
        <f t="shared" si="60"/>
        <v>0</v>
      </c>
      <c r="F251" s="191">
        <f t="shared" si="60"/>
        <v>0</v>
      </c>
      <c r="G251" s="191">
        <f t="shared" si="60"/>
        <v>0</v>
      </c>
      <c r="H251" s="191">
        <f t="shared" si="60"/>
        <v>0</v>
      </c>
      <c r="I251" s="191">
        <f t="shared" si="60"/>
        <v>0</v>
      </c>
      <c r="J251" s="191">
        <f t="shared" si="60"/>
        <v>0</v>
      </c>
      <c r="K251" s="191">
        <f t="shared" si="60"/>
        <v>0</v>
      </c>
      <c r="L251" s="191">
        <f t="shared" si="60"/>
        <v>0</v>
      </c>
      <c r="M251" s="191">
        <f t="shared" si="60"/>
        <v>0</v>
      </c>
      <c r="N251" s="191">
        <f t="shared" si="60"/>
        <v>0</v>
      </c>
      <c r="O251" s="191">
        <f t="shared" si="60"/>
        <v>0</v>
      </c>
      <c r="P251" s="191">
        <f t="shared" si="60"/>
        <v>0</v>
      </c>
      <c r="Q251" s="191">
        <f t="shared" si="60"/>
        <v>0</v>
      </c>
      <c r="R251" s="191">
        <f t="shared" si="60"/>
        <v>0</v>
      </c>
      <c r="S251" s="191">
        <f t="shared" si="59"/>
        <v>0</v>
      </c>
      <c r="T251" s="191">
        <f t="shared" si="59"/>
        <v>0</v>
      </c>
      <c r="U251" s="191">
        <f t="shared" si="59"/>
        <v>0</v>
      </c>
      <c r="V251" s="191">
        <f t="shared" si="59"/>
        <v>0</v>
      </c>
      <c r="W251" s="191">
        <f t="shared" si="59"/>
        <v>0</v>
      </c>
      <c r="X251" s="191">
        <f t="shared" si="59"/>
        <v>0</v>
      </c>
      <c r="Y251" s="191">
        <f t="shared" si="59"/>
        <v>0</v>
      </c>
      <c r="Z251" s="191">
        <f t="shared" si="59"/>
        <v>0</v>
      </c>
      <c r="AA251" s="191">
        <f t="shared" si="59"/>
        <v>0</v>
      </c>
      <c r="AB251" s="191">
        <f t="shared" si="59"/>
        <v>0</v>
      </c>
      <c r="AC251" s="191">
        <f t="shared" si="59"/>
        <v>0</v>
      </c>
      <c r="AD251" s="191">
        <f t="shared" si="59"/>
        <v>0</v>
      </c>
      <c r="AE251" s="191">
        <f t="shared" si="59"/>
        <v>0</v>
      </c>
      <c r="AF251" s="204">
        <f t="shared" si="59"/>
        <v>0</v>
      </c>
      <c r="AG251" s="216">
        <v>3</v>
      </c>
      <c r="AH251" s="46"/>
      <c r="AI251" s="47"/>
      <c r="AK251" s="49"/>
    </row>
    <row r="252" spans="1:37" x14ac:dyDescent="0.25">
      <c r="A252" s="73" t="s">
        <v>303</v>
      </c>
      <c r="B252" s="191">
        <v>0</v>
      </c>
      <c r="C252" s="191">
        <f t="shared" si="60"/>
        <v>0</v>
      </c>
      <c r="D252" s="191">
        <f t="shared" si="60"/>
        <v>0</v>
      </c>
      <c r="E252" s="191">
        <f t="shared" si="60"/>
        <v>0</v>
      </c>
      <c r="F252" s="191">
        <f t="shared" si="60"/>
        <v>0</v>
      </c>
      <c r="G252" s="191">
        <f t="shared" si="60"/>
        <v>0</v>
      </c>
      <c r="H252" s="191">
        <f t="shared" si="60"/>
        <v>0</v>
      </c>
      <c r="I252" s="191">
        <f t="shared" si="60"/>
        <v>0</v>
      </c>
      <c r="J252" s="191">
        <f t="shared" si="60"/>
        <v>0</v>
      </c>
      <c r="K252" s="191">
        <f t="shared" si="60"/>
        <v>0</v>
      </c>
      <c r="L252" s="191">
        <f t="shared" si="60"/>
        <v>0</v>
      </c>
      <c r="M252" s="191">
        <f t="shared" si="60"/>
        <v>0</v>
      </c>
      <c r="N252" s="191">
        <f t="shared" si="60"/>
        <v>0</v>
      </c>
      <c r="O252" s="191">
        <f t="shared" si="60"/>
        <v>0</v>
      </c>
      <c r="P252" s="191">
        <f t="shared" si="60"/>
        <v>0</v>
      </c>
      <c r="Q252" s="191">
        <f t="shared" si="60"/>
        <v>0</v>
      </c>
      <c r="R252" s="191">
        <f t="shared" si="60"/>
        <v>0</v>
      </c>
      <c r="S252" s="191">
        <f t="shared" si="59"/>
        <v>0</v>
      </c>
      <c r="T252" s="191">
        <f t="shared" si="59"/>
        <v>0</v>
      </c>
      <c r="U252" s="191">
        <f t="shared" si="59"/>
        <v>0</v>
      </c>
      <c r="V252" s="191">
        <f t="shared" si="59"/>
        <v>0</v>
      </c>
      <c r="W252" s="191">
        <f t="shared" si="59"/>
        <v>0</v>
      </c>
      <c r="X252" s="191">
        <f t="shared" si="59"/>
        <v>0</v>
      </c>
      <c r="Y252" s="191">
        <f t="shared" si="59"/>
        <v>0</v>
      </c>
      <c r="Z252" s="191">
        <f t="shared" si="59"/>
        <v>0</v>
      </c>
      <c r="AA252" s="191">
        <f t="shared" si="59"/>
        <v>0</v>
      </c>
      <c r="AB252" s="191">
        <f t="shared" si="59"/>
        <v>0</v>
      </c>
      <c r="AC252" s="191">
        <f t="shared" si="59"/>
        <v>0</v>
      </c>
      <c r="AD252" s="191">
        <f t="shared" si="59"/>
        <v>0</v>
      </c>
      <c r="AE252" s="191">
        <f t="shared" si="59"/>
        <v>0</v>
      </c>
      <c r="AF252" s="204">
        <f t="shared" si="59"/>
        <v>0</v>
      </c>
      <c r="AG252" s="216">
        <v>2.83</v>
      </c>
      <c r="AH252" s="46"/>
      <c r="AI252" s="47"/>
      <c r="AK252" s="49"/>
    </row>
    <row r="253" spans="1:37" x14ac:dyDescent="0.25">
      <c r="A253" s="73" t="s">
        <v>304</v>
      </c>
      <c r="B253" s="191">
        <v>0</v>
      </c>
      <c r="C253" s="191">
        <f t="shared" si="60"/>
        <v>0</v>
      </c>
      <c r="D253" s="191">
        <f t="shared" si="60"/>
        <v>0</v>
      </c>
      <c r="E253" s="191">
        <f t="shared" si="60"/>
        <v>0</v>
      </c>
      <c r="F253" s="191">
        <f t="shared" si="60"/>
        <v>0</v>
      </c>
      <c r="G253" s="191">
        <f t="shared" si="60"/>
        <v>0</v>
      </c>
      <c r="H253" s="191">
        <f t="shared" si="60"/>
        <v>0</v>
      </c>
      <c r="I253" s="191">
        <f t="shared" si="60"/>
        <v>0</v>
      </c>
      <c r="J253" s="191">
        <f t="shared" si="60"/>
        <v>0</v>
      </c>
      <c r="K253" s="191">
        <f t="shared" si="60"/>
        <v>0</v>
      </c>
      <c r="L253" s="191">
        <f t="shared" si="60"/>
        <v>0</v>
      </c>
      <c r="M253" s="191">
        <f t="shared" si="60"/>
        <v>0</v>
      </c>
      <c r="N253" s="191">
        <f t="shared" si="60"/>
        <v>0</v>
      </c>
      <c r="O253" s="191">
        <f t="shared" si="60"/>
        <v>0</v>
      </c>
      <c r="P253" s="191">
        <f t="shared" si="60"/>
        <v>0</v>
      </c>
      <c r="Q253" s="191">
        <f t="shared" si="60"/>
        <v>0</v>
      </c>
      <c r="R253" s="191">
        <f t="shared" si="60"/>
        <v>0</v>
      </c>
      <c r="S253" s="191">
        <f t="shared" si="59"/>
        <v>0</v>
      </c>
      <c r="T253" s="191">
        <f t="shared" si="59"/>
        <v>0</v>
      </c>
      <c r="U253" s="191">
        <f t="shared" si="59"/>
        <v>0</v>
      </c>
      <c r="V253" s="191">
        <f t="shared" si="59"/>
        <v>0</v>
      </c>
      <c r="W253" s="191">
        <f t="shared" si="59"/>
        <v>0</v>
      </c>
      <c r="X253" s="191">
        <f t="shared" si="59"/>
        <v>0</v>
      </c>
      <c r="Y253" s="191">
        <f t="shared" si="59"/>
        <v>0</v>
      </c>
      <c r="Z253" s="191">
        <f t="shared" si="59"/>
        <v>0</v>
      </c>
      <c r="AA253" s="191">
        <f t="shared" si="59"/>
        <v>0</v>
      </c>
      <c r="AB253" s="191">
        <f t="shared" si="59"/>
        <v>0</v>
      </c>
      <c r="AC253" s="191">
        <f t="shared" si="59"/>
        <v>0</v>
      </c>
      <c r="AD253" s="191">
        <f t="shared" si="59"/>
        <v>0</v>
      </c>
      <c r="AE253" s="191">
        <f t="shared" si="59"/>
        <v>0</v>
      </c>
      <c r="AF253" s="204">
        <f t="shared" si="59"/>
        <v>0</v>
      </c>
      <c r="AG253" s="216">
        <v>2.5</v>
      </c>
      <c r="AH253" s="46"/>
      <c r="AI253" s="47"/>
      <c r="AK253" s="49"/>
    </row>
    <row r="254" spans="1:37" x14ac:dyDescent="0.25">
      <c r="A254" s="73" t="s">
        <v>305</v>
      </c>
      <c r="B254" s="191">
        <v>0</v>
      </c>
      <c r="C254" s="191">
        <f t="shared" si="60"/>
        <v>0</v>
      </c>
      <c r="D254" s="191">
        <f t="shared" si="60"/>
        <v>0</v>
      </c>
      <c r="E254" s="191">
        <f t="shared" si="60"/>
        <v>0</v>
      </c>
      <c r="F254" s="191">
        <f t="shared" si="60"/>
        <v>0</v>
      </c>
      <c r="G254" s="191">
        <f t="shared" si="60"/>
        <v>0</v>
      </c>
      <c r="H254" s="191">
        <f t="shared" si="60"/>
        <v>0</v>
      </c>
      <c r="I254" s="191">
        <f t="shared" si="60"/>
        <v>0</v>
      </c>
      <c r="J254" s="191">
        <f t="shared" si="60"/>
        <v>0</v>
      </c>
      <c r="K254" s="191">
        <f t="shared" si="60"/>
        <v>0</v>
      </c>
      <c r="L254" s="191">
        <f t="shared" si="60"/>
        <v>0</v>
      </c>
      <c r="M254" s="191">
        <f t="shared" si="60"/>
        <v>0</v>
      </c>
      <c r="N254" s="191">
        <f t="shared" si="60"/>
        <v>0</v>
      </c>
      <c r="O254" s="191">
        <f t="shared" si="60"/>
        <v>0</v>
      </c>
      <c r="P254" s="191">
        <f t="shared" si="60"/>
        <v>0</v>
      </c>
      <c r="Q254" s="191">
        <f t="shared" si="60"/>
        <v>0</v>
      </c>
      <c r="R254" s="191">
        <f t="shared" si="60"/>
        <v>0</v>
      </c>
      <c r="S254" s="191">
        <f t="shared" si="59"/>
        <v>0</v>
      </c>
      <c r="T254" s="191">
        <f t="shared" si="59"/>
        <v>0</v>
      </c>
      <c r="U254" s="191">
        <f t="shared" si="59"/>
        <v>0</v>
      </c>
      <c r="V254" s="191">
        <f t="shared" si="59"/>
        <v>0</v>
      </c>
      <c r="W254" s="191">
        <f t="shared" si="59"/>
        <v>0</v>
      </c>
      <c r="X254" s="191">
        <f t="shared" si="59"/>
        <v>0</v>
      </c>
      <c r="Y254" s="191">
        <f t="shared" si="59"/>
        <v>0</v>
      </c>
      <c r="Z254" s="191">
        <f t="shared" si="59"/>
        <v>0</v>
      </c>
      <c r="AA254" s="191">
        <f t="shared" si="59"/>
        <v>0</v>
      </c>
      <c r="AB254" s="191">
        <f t="shared" si="59"/>
        <v>0</v>
      </c>
      <c r="AC254" s="191">
        <f t="shared" si="59"/>
        <v>0</v>
      </c>
      <c r="AD254" s="191">
        <f t="shared" si="59"/>
        <v>0</v>
      </c>
      <c r="AE254" s="191">
        <f t="shared" si="59"/>
        <v>0</v>
      </c>
      <c r="AF254" s="204">
        <f t="shared" si="59"/>
        <v>0</v>
      </c>
      <c r="AG254" s="216">
        <v>2.5</v>
      </c>
      <c r="AH254" s="46"/>
      <c r="AI254" s="47"/>
      <c r="AK254" s="49"/>
    </row>
    <row r="255" spans="1:37" x14ac:dyDescent="0.25">
      <c r="A255" s="73" t="s">
        <v>306</v>
      </c>
      <c r="B255" s="191">
        <v>0</v>
      </c>
      <c r="C255" s="191">
        <f t="shared" si="60"/>
        <v>0</v>
      </c>
      <c r="D255" s="191">
        <f t="shared" si="60"/>
        <v>0</v>
      </c>
      <c r="E255" s="191">
        <f t="shared" si="60"/>
        <v>0</v>
      </c>
      <c r="F255" s="191">
        <f t="shared" si="60"/>
        <v>0</v>
      </c>
      <c r="G255" s="191">
        <f t="shared" si="60"/>
        <v>0</v>
      </c>
      <c r="H255" s="191">
        <f t="shared" si="60"/>
        <v>0</v>
      </c>
      <c r="I255" s="191">
        <f t="shared" si="60"/>
        <v>0</v>
      </c>
      <c r="J255" s="191">
        <f t="shared" si="60"/>
        <v>0</v>
      </c>
      <c r="K255" s="191">
        <f t="shared" si="60"/>
        <v>0</v>
      </c>
      <c r="L255" s="191">
        <f t="shared" si="60"/>
        <v>0</v>
      </c>
      <c r="M255" s="191">
        <f t="shared" si="60"/>
        <v>0</v>
      </c>
      <c r="N255" s="191">
        <f t="shared" si="60"/>
        <v>0</v>
      </c>
      <c r="O255" s="191">
        <f t="shared" si="60"/>
        <v>0</v>
      </c>
      <c r="P255" s="191">
        <f t="shared" si="60"/>
        <v>0</v>
      </c>
      <c r="Q255" s="191">
        <f t="shared" si="60"/>
        <v>0</v>
      </c>
      <c r="R255" s="191">
        <f t="shared" si="60"/>
        <v>0</v>
      </c>
      <c r="S255" s="191">
        <f t="shared" si="59"/>
        <v>0</v>
      </c>
      <c r="T255" s="191">
        <f t="shared" si="59"/>
        <v>0</v>
      </c>
      <c r="U255" s="191">
        <f t="shared" si="59"/>
        <v>0</v>
      </c>
      <c r="V255" s="191">
        <f t="shared" si="59"/>
        <v>0</v>
      </c>
      <c r="W255" s="191">
        <f t="shared" si="59"/>
        <v>0</v>
      </c>
      <c r="X255" s="191">
        <f t="shared" si="59"/>
        <v>0</v>
      </c>
      <c r="Y255" s="191">
        <f t="shared" si="59"/>
        <v>0</v>
      </c>
      <c r="Z255" s="191">
        <f t="shared" si="59"/>
        <v>0</v>
      </c>
      <c r="AA255" s="191">
        <f t="shared" si="59"/>
        <v>0</v>
      </c>
      <c r="AB255" s="191">
        <f t="shared" si="59"/>
        <v>0</v>
      </c>
      <c r="AC255" s="191">
        <f t="shared" si="59"/>
        <v>0</v>
      </c>
      <c r="AD255" s="191">
        <f t="shared" si="59"/>
        <v>0</v>
      </c>
      <c r="AE255" s="191">
        <f t="shared" si="59"/>
        <v>0</v>
      </c>
      <c r="AF255" s="204">
        <f t="shared" si="59"/>
        <v>0</v>
      </c>
      <c r="AG255" s="216">
        <v>2.4</v>
      </c>
      <c r="AH255" s="46"/>
      <c r="AI255" s="47"/>
      <c r="AK255" s="49"/>
    </row>
    <row r="256" spans="1:37" x14ac:dyDescent="0.25">
      <c r="A256" s="73" t="s">
        <v>307</v>
      </c>
      <c r="B256" s="191">
        <v>0</v>
      </c>
      <c r="C256" s="191">
        <f t="shared" si="60"/>
        <v>0</v>
      </c>
      <c r="D256" s="191">
        <f t="shared" si="60"/>
        <v>0</v>
      </c>
      <c r="E256" s="191">
        <f t="shared" si="60"/>
        <v>0</v>
      </c>
      <c r="F256" s="191">
        <f t="shared" si="60"/>
        <v>0</v>
      </c>
      <c r="G256" s="191">
        <f t="shared" si="60"/>
        <v>0</v>
      </c>
      <c r="H256" s="191">
        <f t="shared" si="60"/>
        <v>0</v>
      </c>
      <c r="I256" s="191">
        <f t="shared" si="60"/>
        <v>0</v>
      </c>
      <c r="J256" s="191">
        <f t="shared" si="60"/>
        <v>0</v>
      </c>
      <c r="K256" s="191">
        <f t="shared" si="60"/>
        <v>0</v>
      </c>
      <c r="L256" s="191">
        <f t="shared" si="60"/>
        <v>0</v>
      </c>
      <c r="M256" s="191">
        <f t="shared" si="60"/>
        <v>0</v>
      </c>
      <c r="N256" s="191">
        <f t="shared" si="60"/>
        <v>0</v>
      </c>
      <c r="O256" s="191">
        <f t="shared" si="60"/>
        <v>0</v>
      </c>
      <c r="P256" s="191">
        <f t="shared" si="60"/>
        <v>0</v>
      </c>
      <c r="Q256" s="191">
        <f t="shared" si="60"/>
        <v>0</v>
      </c>
      <c r="R256" s="191">
        <f t="shared" si="60"/>
        <v>0</v>
      </c>
      <c r="S256" s="191">
        <f t="shared" si="59"/>
        <v>0</v>
      </c>
      <c r="T256" s="191">
        <f t="shared" si="59"/>
        <v>0</v>
      </c>
      <c r="U256" s="191">
        <f t="shared" si="59"/>
        <v>0</v>
      </c>
      <c r="V256" s="191">
        <f t="shared" si="59"/>
        <v>0</v>
      </c>
      <c r="W256" s="191">
        <f t="shared" si="59"/>
        <v>0</v>
      </c>
      <c r="X256" s="191">
        <f t="shared" si="59"/>
        <v>0</v>
      </c>
      <c r="Y256" s="191">
        <f t="shared" si="59"/>
        <v>0</v>
      </c>
      <c r="Z256" s="191">
        <f t="shared" si="59"/>
        <v>0</v>
      </c>
      <c r="AA256" s="191">
        <f t="shared" si="59"/>
        <v>0</v>
      </c>
      <c r="AB256" s="191">
        <f t="shared" si="59"/>
        <v>0</v>
      </c>
      <c r="AC256" s="191">
        <f t="shared" si="59"/>
        <v>0</v>
      </c>
      <c r="AD256" s="191">
        <f t="shared" si="59"/>
        <v>0</v>
      </c>
      <c r="AE256" s="191">
        <f t="shared" si="59"/>
        <v>0</v>
      </c>
      <c r="AF256" s="204">
        <f t="shared" si="59"/>
        <v>0</v>
      </c>
      <c r="AG256" s="216">
        <v>2.4</v>
      </c>
      <c r="AH256" s="46"/>
      <c r="AI256" s="47"/>
      <c r="AK256" s="49"/>
    </row>
    <row r="257" spans="1:37" x14ac:dyDescent="0.25">
      <c r="A257" s="73" t="s">
        <v>308</v>
      </c>
      <c r="B257" s="191">
        <v>0</v>
      </c>
      <c r="C257" s="191">
        <f t="shared" si="60"/>
        <v>0</v>
      </c>
      <c r="D257" s="191">
        <f t="shared" si="60"/>
        <v>0</v>
      </c>
      <c r="E257" s="191">
        <f t="shared" si="60"/>
        <v>0</v>
      </c>
      <c r="F257" s="191">
        <f t="shared" si="60"/>
        <v>0</v>
      </c>
      <c r="G257" s="191">
        <f t="shared" si="60"/>
        <v>0</v>
      </c>
      <c r="H257" s="191">
        <f t="shared" si="60"/>
        <v>0</v>
      </c>
      <c r="I257" s="191">
        <f t="shared" si="60"/>
        <v>0</v>
      </c>
      <c r="J257" s="191">
        <f t="shared" si="60"/>
        <v>0</v>
      </c>
      <c r="K257" s="191">
        <f t="shared" si="60"/>
        <v>0</v>
      </c>
      <c r="L257" s="191">
        <f t="shared" si="60"/>
        <v>0</v>
      </c>
      <c r="M257" s="191">
        <f t="shared" si="60"/>
        <v>0</v>
      </c>
      <c r="N257" s="191">
        <f t="shared" si="60"/>
        <v>0</v>
      </c>
      <c r="O257" s="191">
        <f t="shared" si="60"/>
        <v>0</v>
      </c>
      <c r="P257" s="191">
        <f t="shared" si="60"/>
        <v>0</v>
      </c>
      <c r="Q257" s="191">
        <f t="shared" si="60"/>
        <v>0</v>
      </c>
      <c r="R257" s="191">
        <f t="shared" si="60"/>
        <v>0</v>
      </c>
      <c r="S257" s="191">
        <f t="shared" si="59"/>
        <v>0</v>
      </c>
      <c r="T257" s="191">
        <f t="shared" si="59"/>
        <v>0</v>
      </c>
      <c r="U257" s="191">
        <f t="shared" si="59"/>
        <v>0</v>
      </c>
      <c r="V257" s="191">
        <f t="shared" si="59"/>
        <v>0</v>
      </c>
      <c r="W257" s="191">
        <f t="shared" si="59"/>
        <v>0</v>
      </c>
      <c r="X257" s="191">
        <f t="shared" si="59"/>
        <v>0</v>
      </c>
      <c r="Y257" s="191">
        <f t="shared" si="59"/>
        <v>0</v>
      </c>
      <c r="Z257" s="191">
        <f t="shared" si="59"/>
        <v>0</v>
      </c>
      <c r="AA257" s="191">
        <f t="shared" si="59"/>
        <v>0</v>
      </c>
      <c r="AB257" s="191">
        <f t="shared" si="59"/>
        <v>0</v>
      </c>
      <c r="AC257" s="191">
        <f t="shared" si="59"/>
        <v>0</v>
      </c>
      <c r="AD257" s="191">
        <f t="shared" si="59"/>
        <v>0</v>
      </c>
      <c r="AE257" s="191">
        <f t="shared" si="59"/>
        <v>0</v>
      </c>
      <c r="AF257" s="204">
        <f t="shared" si="59"/>
        <v>0</v>
      </c>
      <c r="AG257" s="216">
        <v>2.2000000000000002</v>
      </c>
      <c r="AH257" s="46"/>
      <c r="AI257" s="47"/>
      <c r="AK257" s="49"/>
    </row>
    <row r="258" spans="1:37" x14ac:dyDescent="0.25">
      <c r="A258" s="73" t="s">
        <v>309</v>
      </c>
      <c r="B258" s="191">
        <v>0</v>
      </c>
      <c r="C258" s="191">
        <f t="shared" si="60"/>
        <v>0</v>
      </c>
      <c r="D258" s="191">
        <f t="shared" si="60"/>
        <v>0</v>
      </c>
      <c r="E258" s="191">
        <f t="shared" si="60"/>
        <v>0</v>
      </c>
      <c r="F258" s="191">
        <f t="shared" si="60"/>
        <v>0</v>
      </c>
      <c r="G258" s="191">
        <f t="shared" si="60"/>
        <v>0</v>
      </c>
      <c r="H258" s="191">
        <f t="shared" si="60"/>
        <v>0</v>
      </c>
      <c r="I258" s="191">
        <f t="shared" si="60"/>
        <v>0</v>
      </c>
      <c r="J258" s="191">
        <f t="shared" si="60"/>
        <v>0</v>
      </c>
      <c r="K258" s="191">
        <f t="shared" si="60"/>
        <v>0</v>
      </c>
      <c r="L258" s="191">
        <f t="shared" si="60"/>
        <v>0</v>
      </c>
      <c r="M258" s="191">
        <f t="shared" si="60"/>
        <v>0</v>
      </c>
      <c r="N258" s="191">
        <f t="shared" si="60"/>
        <v>0</v>
      </c>
      <c r="O258" s="191">
        <f t="shared" si="60"/>
        <v>0</v>
      </c>
      <c r="P258" s="191">
        <f t="shared" si="60"/>
        <v>0</v>
      </c>
      <c r="Q258" s="191">
        <f t="shared" si="60"/>
        <v>0</v>
      </c>
      <c r="R258" s="191">
        <f t="shared" si="60"/>
        <v>0</v>
      </c>
      <c r="S258" s="191">
        <f t="shared" si="59"/>
        <v>0</v>
      </c>
      <c r="T258" s="191">
        <f t="shared" si="59"/>
        <v>0</v>
      </c>
      <c r="U258" s="191">
        <f t="shared" si="59"/>
        <v>0</v>
      </c>
      <c r="V258" s="191">
        <f t="shared" si="59"/>
        <v>0</v>
      </c>
      <c r="W258" s="191">
        <f t="shared" si="59"/>
        <v>0</v>
      </c>
      <c r="X258" s="191">
        <f t="shared" si="59"/>
        <v>0</v>
      </c>
      <c r="Y258" s="191">
        <f t="shared" si="59"/>
        <v>0</v>
      </c>
      <c r="Z258" s="191">
        <f t="shared" si="59"/>
        <v>0</v>
      </c>
      <c r="AA258" s="191">
        <f t="shared" si="59"/>
        <v>0</v>
      </c>
      <c r="AB258" s="191">
        <f t="shared" si="59"/>
        <v>0</v>
      </c>
      <c r="AC258" s="191">
        <f t="shared" si="59"/>
        <v>0</v>
      </c>
      <c r="AD258" s="191">
        <f t="shared" si="59"/>
        <v>0</v>
      </c>
      <c r="AE258" s="191">
        <f t="shared" si="59"/>
        <v>0</v>
      </c>
      <c r="AF258" s="204">
        <f t="shared" si="59"/>
        <v>0</v>
      </c>
      <c r="AG258" s="216">
        <v>2</v>
      </c>
      <c r="AH258" s="46"/>
      <c r="AI258" s="47"/>
      <c r="AK258" s="49"/>
    </row>
    <row r="259" spans="1:37" x14ac:dyDescent="0.25">
      <c r="A259" s="73" t="s">
        <v>310</v>
      </c>
      <c r="B259" s="191">
        <v>0</v>
      </c>
      <c r="C259" s="191">
        <f t="shared" si="60"/>
        <v>0</v>
      </c>
      <c r="D259" s="191">
        <f t="shared" si="60"/>
        <v>0</v>
      </c>
      <c r="E259" s="191">
        <f t="shared" si="60"/>
        <v>0</v>
      </c>
      <c r="F259" s="191">
        <f t="shared" si="60"/>
        <v>0</v>
      </c>
      <c r="G259" s="191">
        <f t="shared" si="60"/>
        <v>0</v>
      </c>
      <c r="H259" s="191">
        <f t="shared" si="60"/>
        <v>0</v>
      </c>
      <c r="I259" s="191">
        <f t="shared" si="60"/>
        <v>0</v>
      </c>
      <c r="J259" s="191">
        <f t="shared" si="60"/>
        <v>0</v>
      </c>
      <c r="K259" s="191">
        <f t="shared" si="60"/>
        <v>0</v>
      </c>
      <c r="L259" s="191">
        <f t="shared" si="60"/>
        <v>0</v>
      </c>
      <c r="M259" s="191">
        <f t="shared" si="60"/>
        <v>0</v>
      </c>
      <c r="N259" s="191">
        <f t="shared" si="60"/>
        <v>0</v>
      </c>
      <c r="O259" s="191">
        <f t="shared" si="60"/>
        <v>0</v>
      </c>
      <c r="P259" s="191">
        <f t="shared" si="60"/>
        <v>0</v>
      </c>
      <c r="Q259" s="191">
        <f t="shared" si="60"/>
        <v>0</v>
      </c>
      <c r="R259" s="191">
        <f t="shared" si="60"/>
        <v>0</v>
      </c>
      <c r="S259" s="191">
        <f t="shared" si="59"/>
        <v>0</v>
      </c>
      <c r="T259" s="191">
        <f t="shared" si="59"/>
        <v>0</v>
      </c>
      <c r="U259" s="191">
        <f t="shared" si="59"/>
        <v>0</v>
      </c>
      <c r="V259" s="191">
        <f t="shared" si="59"/>
        <v>0</v>
      </c>
      <c r="W259" s="191">
        <f t="shared" si="59"/>
        <v>0</v>
      </c>
      <c r="X259" s="191">
        <f t="shared" si="59"/>
        <v>0</v>
      </c>
      <c r="Y259" s="191">
        <f t="shared" si="59"/>
        <v>0</v>
      </c>
      <c r="Z259" s="191">
        <f t="shared" si="59"/>
        <v>0</v>
      </c>
      <c r="AA259" s="191">
        <f t="shared" si="59"/>
        <v>0</v>
      </c>
      <c r="AB259" s="191">
        <f t="shared" si="59"/>
        <v>0</v>
      </c>
      <c r="AC259" s="191">
        <f t="shared" si="59"/>
        <v>0</v>
      </c>
      <c r="AD259" s="191">
        <f t="shared" si="59"/>
        <v>0</v>
      </c>
      <c r="AE259" s="191">
        <f t="shared" si="59"/>
        <v>0</v>
      </c>
      <c r="AF259" s="204">
        <f t="shared" si="59"/>
        <v>0</v>
      </c>
      <c r="AG259" s="216">
        <v>2</v>
      </c>
      <c r="AH259" s="46"/>
      <c r="AI259" s="47"/>
      <c r="AK259" s="49"/>
    </row>
    <row r="260" spans="1:37" x14ac:dyDescent="0.25">
      <c r="A260" s="73" t="s">
        <v>311</v>
      </c>
      <c r="B260" s="191">
        <v>0</v>
      </c>
      <c r="C260" s="191">
        <f t="shared" si="60"/>
        <v>0</v>
      </c>
      <c r="D260" s="191">
        <f t="shared" si="60"/>
        <v>0</v>
      </c>
      <c r="E260" s="191">
        <f t="shared" si="60"/>
        <v>0</v>
      </c>
      <c r="F260" s="191">
        <f t="shared" si="60"/>
        <v>0</v>
      </c>
      <c r="G260" s="191">
        <f t="shared" si="60"/>
        <v>0</v>
      </c>
      <c r="H260" s="191">
        <f t="shared" si="60"/>
        <v>0</v>
      </c>
      <c r="I260" s="191">
        <f t="shared" si="60"/>
        <v>0</v>
      </c>
      <c r="J260" s="191">
        <f t="shared" si="60"/>
        <v>0</v>
      </c>
      <c r="K260" s="191">
        <f t="shared" si="60"/>
        <v>0</v>
      </c>
      <c r="L260" s="191">
        <f t="shared" si="60"/>
        <v>0</v>
      </c>
      <c r="M260" s="191">
        <f t="shared" si="60"/>
        <v>0</v>
      </c>
      <c r="N260" s="191">
        <f t="shared" si="60"/>
        <v>0</v>
      </c>
      <c r="O260" s="191">
        <f t="shared" si="60"/>
        <v>0</v>
      </c>
      <c r="P260" s="191">
        <f t="shared" si="60"/>
        <v>0</v>
      </c>
      <c r="Q260" s="191">
        <f t="shared" si="60"/>
        <v>0</v>
      </c>
      <c r="R260" s="191">
        <f t="shared" si="60"/>
        <v>0</v>
      </c>
      <c r="S260" s="191">
        <f t="shared" si="59"/>
        <v>0</v>
      </c>
      <c r="T260" s="191">
        <f t="shared" si="59"/>
        <v>0</v>
      </c>
      <c r="U260" s="191">
        <f t="shared" si="59"/>
        <v>0</v>
      </c>
      <c r="V260" s="191">
        <f t="shared" si="59"/>
        <v>0</v>
      </c>
      <c r="W260" s="191">
        <f t="shared" si="59"/>
        <v>0</v>
      </c>
      <c r="X260" s="191">
        <f t="shared" si="59"/>
        <v>0</v>
      </c>
      <c r="Y260" s="191">
        <f t="shared" si="59"/>
        <v>0</v>
      </c>
      <c r="Z260" s="191">
        <f t="shared" si="59"/>
        <v>0</v>
      </c>
      <c r="AA260" s="191">
        <f t="shared" si="59"/>
        <v>0</v>
      </c>
      <c r="AB260" s="191">
        <f t="shared" si="59"/>
        <v>0</v>
      </c>
      <c r="AC260" s="191">
        <f t="shared" si="59"/>
        <v>0</v>
      </c>
      <c r="AD260" s="191">
        <f t="shared" si="59"/>
        <v>0</v>
      </c>
      <c r="AE260" s="191">
        <f t="shared" si="59"/>
        <v>0</v>
      </c>
      <c r="AF260" s="204">
        <f t="shared" si="59"/>
        <v>0</v>
      </c>
      <c r="AG260" s="216">
        <v>2</v>
      </c>
      <c r="AH260" s="46"/>
      <c r="AI260" s="47"/>
      <c r="AK260" s="49"/>
    </row>
    <row r="261" spans="1:37" x14ac:dyDescent="0.25">
      <c r="A261" s="73" t="s">
        <v>312</v>
      </c>
      <c r="B261" s="191">
        <v>0</v>
      </c>
      <c r="C261" s="191">
        <f t="shared" si="60"/>
        <v>0</v>
      </c>
      <c r="D261" s="191">
        <f t="shared" si="60"/>
        <v>0</v>
      </c>
      <c r="E261" s="191">
        <f t="shared" si="60"/>
        <v>0</v>
      </c>
      <c r="F261" s="191">
        <f t="shared" si="60"/>
        <v>0</v>
      </c>
      <c r="G261" s="191">
        <f t="shared" si="60"/>
        <v>0</v>
      </c>
      <c r="H261" s="191">
        <f t="shared" si="60"/>
        <v>0</v>
      </c>
      <c r="I261" s="191">
        <f t="shared" si="60"/>
        <v>0</v>
      </c>
      <c r="J261" s="191">
        <f t="shared" si="60"/>
        <v>0</v>
      </c>
      <c r="K261" s="191">
        <f t="shared" si="60"/>
        <v>0</v>
      </c>
      <c r="L261" s="191">
        <f t="shared" si="60"/>
        <v>0</v>
      </c>
      <c r="M261" s="191">
        <f t="shared" si="60"/>
        <v>0</v>
      </c>
      <c r="N261" s="191">
        <f t="shared" si="60"/>
        <v>0</v>
      </c>
      <c r="O261" s="191">
        <f t="shared" si="60"/>
        <v>0</v>
      </c>
      <c r="P261" s="191">
        <f t="shared" si="60"/>
        <v>0</v>
      </c>
      <c r="Q261" s="191">
        <f t="shared" si="60"/>
        <v>0</v>
      </c>
      <c r="R261" s="191">
        <f t="shared" si="60"/>
        <v>0</v>
      </c>
      <c r="S261" s="191">
        <f t="shared" si="59"/>
        <v>0</v>
      </c>
      <c r="T261" s="191">
        <f t="shared" si="59"/>
        <v>0</v>
      </c>
      <c r="U261" s="191">
        <f t="shared" si="59"/>
        <v>0</v>
      </c>
      <c r="V261" s="191">
        <f t="shared" si="59"/>
        <v>0</v>
      </c>
      <c r="W261" s="191">
        <f t="shared" si="59"/>
        <v>0</v>
      </c>
      <c r="X261" s="191">
        <f t="shared" si="59"/>
        <v>0</v>
      </c>
      <c r="Y261" s="191">
        <f t="shared" si="59"/>
        <v>0</v>
      </c>
      <c r="Z261" s="191">
        <f t="shared" si="59"/>
        <v>0</v>
      </c>
      <c r="AA261" s="191">
        <f t="shared" si="59"/>
        <v>0</v>
      </c>
      <c r="AB261" s="191">
        <f t="shared" si="59"/>
        <v>0</v>
      </c>
      <c r="AC261" s="191">
        <f t="shared" si="59"/>
        <v>0</v>
      </c>
      <c r="AD261" s="191">
        <f t="shared" si="59"/>
        <v>0</v>
      </c>
      <c r="AE261" s="191">
        <f t="shared" si="59"/>
        <v>0</v>
      </c>
      <c r="AF261" s="204">
        <f t="shared" si="59"/>
        <v>0</v>
      </c>
      <c r="AG261" s="216">
        <v>1.8</v>
      </c>
      <c r="AH261" s="46"/>
      <c r="AI261" s="47"/>
      <c r="AK261" s="49"/>
    </row>
    <row r="262" spans="1:37" x14ac:dyDescent="0.25">
      <c r="A262" s="73" t="s">
        <v>313</v>
      </c>
      <c r="B262" s="191">
        <v>0</v>
      </c>
      <c r="C262" s="191">
        <f t="shared" si="60"/>
        <v>0</v>
      </c>
      <c r="D262" s="191">
        <f t="shared" si="60"/>
        <v>0</v>
      </c>
      <c r="E262" s="191">
        <f t="shared" si="60"/>
        <v>0</v>
      </c>
      <c r="F262" s="191">
        <f t="shared" si="60"/>
        <v>0</v>
      </c>
      <c r="G262" s="191">
        <f t="shared" si="60"/>
        <v>0</v>
      </c>
      <c r="H262" s="191">
        <f t="shared" si="60"/>
        <v>0</v>
      </c>
      <c r="I262" s="191">
        <f t="shared" si="60"/>
        <v>0</v>
      </c>
      <c r="J262" s="191">
        <f t="shared" si="60"/>
        <v>0</v>
      </c>
      <c r="K262" s="191">
        <f t="shared" si="60"/>
        <v>0</v>
      </c>
      <c r="L262" s="191">
        <f t="shared" si="60"/>
        <v>0</v>
      </c>
      <c r="M262" s="191">
        <f t="shared" si="60"/>
        <v>0</v>
      </c>
      <c r="N262" s="191">
        <f t="shared" si="60"/>
        <v>0</v>
      </c>
      <c r="O262" s="191">
        <f t="shared" si="60"/>
        <v>0</v>
      </c>
      <c r="P262" s="191">
        <f t="shared" si="60"/>
        <v>0</v>
      </c>
      <c r="Q262" s="191">
        <f t="shared" si="60"/>
        <v>0</v>
      </c>
      <c r="R262" s="191">
        <f t="shared" si="60"/>
        <v>0</v>
      </c>
      <c r="S262" s="191">
        <f t="shared" si="59"/>
        <v>0</v>
      </c>
      <c r="T262" s="191">
        <f t="shared" si="59"/>
        <v>0</v>
      </c>
      <c r="U262" s="191">
        <f t="shared" si="59"/>
        <v>0</v>
      </c>
      <c r="V262" s="191">
        <f t="shared" si="59"/>
        <v>0</v>
      </c>
      <c r="W262" s="191">
        <f t="shared" si="59"/>
        <v>0</v>
      </c>
      <c r="X262" s="191">
        <f t="shared" si="59"/>
        <v>0</v>
      </c>
      <c r="Y262" s="191">
        <f t="shared" si="59"/>
        <v>0</v>
      </c>
      <c r="Z262" s="191">
        <f t="shared" si="59"/>
        <v>0</v>
      </c>
      <c r="AA262" s="191">
        <f t="shared" si="59"/>
        <v>0</v>
      </c>
      <c r="AB262" s="191">
        <f t="shared" si="59"/>
        <v>0</v>
      </c>
      <c r="AC262" s="191">
        <f t="shared" si="59"/>
        <v>0</v>
      </c>
      <c r="AD262" s="191">
        <f t="shared" si="59"/>
        <v>0</v>
      </c>
      <c r="AE262" s="191">
        <f t="shared" si="59"/>
        <v>0</v>
      </c>
      <c r="AF262" s="204">
        <f t="shared" si="59"/>
        <v>0</v>
      </c>
      <c r="AG262" s="216">
        <v>1.8</v>
      </c>
      <c r="AH262" s="46"/>
      <c r="AI262" s="47"/>
      <c r="AK262" s="49"/>
    </row>
    <row r="263" spans="1:37" x14ac:dyDescent="0.25">
      <c r="A263" s="73" t="s">
        <v>314</v>
      </c>
      <c r="B263" s="191">
        <v>0</v>
      </c>
      <c r="C263" s="191">
        <f t="shared" si="60"/>
        <v>0</v>
      </c>
      <c r="D263" s="191">
        <f t="shared" si="60"/>
        <v>0</v>
      </c>
      <c r="E263" s="191">
        <f t="shared" si="60"/>
        <v>0</v>
      </c>
      <c r="F263" s="191">
        <f t="shared" si="60"/>
        <v>0</v>
      </c>
      <c r="G263" s="191">
        <f t="shared" si="60"/>
        <v>0</v>
      </c>
      <c r="H263" s="191">
        <f t="shared" si="60"/>
        <v>0</v>
      </c>
      <c r="I263" s="191">
        <f t="shared" si="60"/>
        <v>0</v>
      </c>
      <c r="J263" s="191">
        <f t="shared" si="60"/>
        <v>0</v>
      </c>
      <c r="K263" s="191">
        <f t="shared" si="60"/>
        <v>0</v>
      </c>
      <c r="L263" s="191">
        <f t="shared" si="60"/>
        <v>0</v>
      </c>
      <c r="M263" s="191">
        <f t="shared" si="60"/>
        <v>0</v>
      </c>
      <c r="N263" s="191">
        <f t="shared" si="60"/>
        <v>0</v>
      </c>
      <c r="O263" s="191">
        <f t="shared" si="60"/>
        <v>0</v>
      </c>
      <c r="P263" s="191">
        <f t="shared" si="60"/>
        <v>0</v>
      </c>
      <c r="Q263" s="191">
        <f t="shared" si="60"/>
        <v>0</v>
      </c>
      <c r="R263" s="191">
        <f t="shared" si="60"/>
        <v>0</v>
      </c>
      <c r="S263" s="191">
        <f t="shared" si="59"/>
        <v>0</v>
      </c>
      <c r="T263" s="191">
        <f t="shared" si="59"/>
        <v>0</v>
      </c>
      <c r="U263" s="191">
        <f t="shared" si="59"/>
        <v>0</v>
      </c>
      <c r="V263" s="191">
        <f t="shared" si="59"/>
        <v>0</v>
      </c>
      <c r="W263" s="191">
        <f t="shared" si="59"/>
        <v>0</v>
      </c>
      <c r="X263" s="191">
        <f t="shared" si="59"/>
        <v>0</v>
      </c>
      <c r="Y263" s="191">
        <f t="shared" si="59"/>
        <v>0</v>
      </c>
      <c r="Z263" s="191">
        <f t="shared" si="59"/>
        <v>0</v>
      </c>
      <c r="AA263" s="191">
        <f t="shared" si="59"/>
        <v>0</v>
      </c>
      <c r="AB263" s="191">
        <f t="shared" si="59"/>
        <v>0</v>
      </c>
      <c r="AC263" s="191">
        <f t="shared" si="59"/>
        <v>0</v>
      </c>
      <c r="AD263" s="191">
        <f t="shared" si="59"/>
        <v>0</v>
      </c>
      <c r="AE263" s="191">
        <f t="shared" si="59"/>
        <v>0</v>
      </c>
      <c r="AF263" s="204">
        <f t="shared" si="59"/>
        <v>0</v>
      </c>
      <c r="AG263" s="216">
        <v>1.65</v>
      </c>
      <c r="AH263" s="46"/>
      <c r="AI263" s="47"/>
      <c r="AK263" s="49"/>
    </row>
    <row r="264" spans="1:37" x14ac:dyDescent="0.25">
      <c r="A264" s="73" t="s">
        <v>315</v>
      </c>
      <c r="B264" s="191">
        <v>0</v>
      </c>
      <c r="C264" s="191">
        <f t="shared" si="60"/>
        <v>0</v>
      </c>
      <c r="D264" s="191">
        <f t="shared" si="60"/>
        <v>0</v>
      </c>
      <c r="E264" s="191">
        <f t="shared" si="60"/>
        <v>0</v>
      </c>
      <c r="F264" s="191">
        <f t="shared" si="60"/>
        <v>0</v>
      </c>
      <c r="G264" s="191">
        <f t="shared" si="60"/>
        <v>0</v>
      </c>
      <c r="H264" s="191">
        <f t="shared" si="60"/>
        <v>0</v>
      </c>
      <c r="I264" s="191">
        <f t="shared" si="60"/>
        <v>0</v>
      </c>
      <c r="J264" s="191">
        <f t="shared" si="60"/>
        <v>0</v>
      </c>
      <c r="K264" s="191">
        <f t="shared" si="60"/>
        <v>0</v>
      </c>
      <c r="L264" s="191">
        <f t="shared" si="60"/>
        <v>0</v>
      </c>
      <c r="M264" s="191">
        <f t="shared" si="60"/>
        <v>0</v>
      </c>
      <c r="N264" s="191">
        <f t="shared" si="60"/>
        <v>0</v>
      </c>
      <c r="O264" s="191">
        <f t="shared" si="60"/>
        <v>0</v>
      </c>
      <c r="P264" s="191">
        <f t="shared" si="60"/>
        <v>0</v>
      </c>
      <c r="Q264" s="191">
        <f t="shared" si="60"/>
        <v>0</v>
      </c>
      <c r="R264" s="191">
        <f t="shared" si="60"/>
        <v>0</v>
      </c>
      <c r="S264" s="191">
        <f t="shared" si="59"/>
        <v>0</v>
      </c>
      <c r="T264" s="191">
        <f t="shared" si="59"/>
        <v>0</v>
      </c>
      <c r="U264" s="191">
        <f t="shared" si="59"/>
        <v>0</v>
      </c>
      <c r="V264" s="191">
        <f t="shared" si="59"/>
        <v>0</v>
      </c>
      <c r="W264" s="191">
        <f t="shared" si="59"/>
        <v>0</v>
      </c>
      <c r="X264" s="191">
        <f t="shared" si="59"/>
        <v>0</v>
      </c>
      <c r="Y264" s="191">
        <f t="shared" si="59"/>
        <v>0</v>
      </c>
      <c r="Z264" s="191">
        <f t="shared" si="59"/>
        <v>0</v>
      </c>
      <c r="AA264" s="191">
        <f t="shared" si="59"/>
        <v>0</v>
      </c>
      <c r="AB264" s="191">
        <f t="shared" si="59"/>
        <v>0</v>
      </c>
      <c r="AC264" s="191">
        <f t="shared" si="59"/>
        <v>0</v>
      </c>
      <c r="AD264" s="191">
        <f t="shared" si="59"/>
        <v>0</v>
      </c>
      <c r="AE264" s="191">
        <f t="shared" si="59"/>
        <v>0</v>
      </c>
      <c r="AF264" s="204">
        <f t="shared" si="59"/>
        <v>0</v>
      </c>
      <c r="AG264" s="216">
        <v>1.5</v>
      </c>
      <c r="AH264" s="46"/>
      <c r="AI264" s="47"/>
      <c r="AK264" s="49"/>
    </row>
    <row r="265" spans="1:37" x14ac:dyDescent="0.25">
      <c r="A265" s="73" t="s">
        <v>316</v>
      </c>
      <c r="B265" s="191">
        <v>0</v>
      </c>
      <c r="C265" s="191">
        <f t="shared" si="60"/>
        <v>0</v>
      </c>
      <c r="D265" s="191">
        <f t="shared" si="60"/>
        <v>0</v>
      </c>
      <c r="E265" s="191">
        <f t="shared" si="60"/>
        <v>0</v>
      </c>
      <c r="F265" s="191">
        <f t="shared" si="60"/>
        <v>0</v>
      </c>
      <c r="G265" s="191">
        <f t="shared" si="60"/>
        <v>0</v>
      </c>
      <c r="H265" s="191">
        <f t="shared" si="60"/>
        <v>0</v>
      </c>
      <c r="I265" s="191">
        <f t="shared" si="60"/>
        <v>0</v>
      </c>
      <c r="J265" s="191">
        <f t="shared" si="60"/>
        <v>0</v>
      </c>
      <c r="K265" s="191">
        <f t="shared" si="60"/>
        <v>0</v>
      </c>
      <c r="L265" s="191">
        <f t="shared" si="60"/>
        <v>0</v>
      </c>
      <c r="M265" s="191">
        <f t="shared" si="60"/>
        <v>0</v>
      </c>
      <c r="N265" s="191">
        <f t="shared" si="60"/>
        <v>0</v>
      </c>
      <c r="O265" s="191">
        <f t="shared" si="60"/>
        <v>0</v>
      </c>
      <c r="P265" s="191">
        <f t="shared" si="60"/>
        <v>0</v>
      </c>
      <c r="Q265" s="191">
        <f t="shared" si="60"/>
        <v>0</v>
      </c>
      <c r="R265" s="191">
        <f t="shared" si="60"/>
        <v>0</v>
      </c>
      <c r="S265" s="191">
        <f t="shared" ref="S265:AF274" si="61">R265</f>
        <v>0</v>
      </c>
      <c r="T265" s="191">
        <f t="shared" si="61"/>
        <v>0</v>
      </c>
      <c r="U265" s="191">
        <f t="shared" si="61"/>
        <v>0</v>
      </c>
      <c r="V265" s="191">
        <f t="shared" si="61"/>
        <v>0</v>
      </c>
      <c r="W265" s="191">
        <f t="shared" si="61"/>
        <v>0</v>
      </c>
      <c r="X265" s="191">
        <f t="shared" si="61"/>
        <v>0</v>
      </c>
      <c r="Y265" s="191">
        <f t="shared" si="61"/>
        <v>0</v>
      </c>
      <c r="Z265" s="191">
        <f t="shared" si="61"/>
        <v>0</v>
      </c>
      <c r="AA265" s="191">
        <f t="shared" si="61"/>
        <v>0</v>
      </c>
      <c r="AB265" s="191">
        <f t="shared" si="61"/>
        <v>0</v>
      </c>
      <c r="AC265" s="191">
        <f t="shared" si="61"/>
        <v>0</v>
      </c>
      <c r="AD265" s="191">
        <f t="shared" si="61"/>
        <v>0</v>
      </c>
      <c r="AE265" s="191">
        <f t="shared" si="61"/>
        <v>0</v>
      </c>
      <c r="AF265" s="204">
        <f t="shared" si="61"/>
        <v>0</v>
      </c>
      <c r="AG265" s="216">
        <v>0.998</v>
      </c>
      <c r="AH265" s="46"/>
      <c r="AI265" s="47"/>
      <c r="AK265" s="49"/>
    </row>
    <row r="266" spans="1:37" x14ac:dyDescent="0.25">
      <c r="A266" s="73" t="s">
        <v>317</v>
      </c>
      <c r="B266" s="191">
        <v>0</v>
      </c>
      <c r="C266" s="191">
        <f t="shared" ref="C266:R274" si="62">B266</f>
        <v>0</v>
      </c>
      <c r="D266" s="191">
        <f t="shared" si="62"/>
        <v>0</v>
      </c>
      <c r="E266" s="191">
        <f t="shared" si="62"/>
        <v>0</v>
      </c>
      <c r="F266" s="191">
        <f t="shared" si="62"/>
        <v>0</v>
      </c>
      <c r="G266" s="191">
        <f t="shared" si="62"/>
        <v>0</v>
      </c>
      <c r="H266" s="191">
        <f t="shared" si="62"/>
        <v>0</v>
      </c>
      <c r="I266" s="191">
        <f t="shared" si="62"/>
        <v>0</v>
      </c>
      <c r="J266" s="191">
        <f t="shared" si="62"/>
        <v>0</v>
      </c>
      <c r="K266" s="191">
        <f t="shared" si="62"/>
        <v>0</v>
      </c>
      <c r="L266" s="191">
        <f t="shared" si="62"/>
        <v>0</v>
      </c>
      <c r="M266" s="191">
        <f t="shared" si="62"/>
        <v>0</v>
      </c>
      <c r="N266" s="191">
        <f t="shared" si="62"/>
        <v>0</v>
      </c>
      <c r="O266" s="191">
        <f t="shared" si="62"/>
        <v>0</v>
      </c>
      <c r="P266" s="191">
        <f t="shared" si="62"/>
        <v>0</v>
      </c>
      <c r="Q266" s="191">
        <f t="shared" si="62"/>
        <v>0</v>
      </c>
      <c r="R266" s="191">
        <f t="shared" si="62"/>
        <v>0</v>
      </c>
      <c r="S266" s="191">
        <f t="shared" si="61"/>
        <v>0</v>
      </c>
      <c r="T266" s="191">
        <f t="shared" si="61"/>
        <v>0</v>
      </c>
      <c r="U266" s="191">
        <f t="shared" si="61"/>
        <v>0</v>
      </c>
      <c r="V266" s="191">
        <f t="shared" si="61"/>
        <v>0</v>
      </c>
      <c r="W266" s="191">
        <f t="shared" si="61"/>
        <v>0</v>
      </c>
      <c r="X266" s="191">
        <f t="shared" si="61"/>
        <v>0</v>
      </c>
      <c r="Y266" s="191">
        <f t="shared" si="61"/>
        <v>0</v>
      </c>
      <c r="Z266" s="191">
        <f t="shared" si="61"/>
        <v>0</v>
      </c>
      <c r="AA266" s="191">
        <f t="shared" si="61"/>
        <v>0</v>
      </c>
      <c r="AB266" s="191">
        <f t="shared" si="61"/>
        <v>0</v>
      </c>
      <c r="AC266" s="191">
        <f t="shared" si="61"/>
        <v>0</v>
      </c>
      <c r="AD266" s="191">
        <f t="shared" si="61"/>
        <v>0</v>
      </c>
      <c r="AE266" s="191">
        <f t="shared" si="61"/>
        <v>0</v>
      </c>
      <c r="AF266" s="204">
        <f t="shared" si="61"/>
        <v>0</v>
      </c>
      <c r="AG266" s="216">
        <v>0.997</v>
      </c>
      <c r="AH266" s="46"/>
      <c r="AI266" s="47"/>
      <c r="AK266" s="49"/>
    </row>
    <row r="267" spans="1:37" x14ac:dyDescent="0.25">
      <c r="A267" s="73" t="s">
        <v>318</v>
      </c>
      <c r="B267" s="191">
        <v>0</v>
      </c>
      <c r="C267" s="191">
        <f t="shared" si="62"/>
        <v>0</v>
      </c>
      <c r="D267" s="191">
        <f t="shared" si="62"/>
        <v>0</v>
      </c>
      <c r="E267" s="191">
        <f t="shared" si="62"/>
        <v>0</v>
      </c>
      <c r="F267" s="191">
        <f t="shared" si="62"/>
        <v>0</v>
      </c>
      <c r="G267" s="191">
        <f t="shared" si="62"/>
        <v>0</v>
      </c>
      <c r="H267" s="191">
        <f t="shared" si="62"/>
        <v>0</v>
      </c>
      <c r="I267" s="191">
        <f t="shared" si="62"/>
        <v>0</v>
      </c>
      <c r="J267" s="191">
        <f t="shared" si="62"/>
        <v>0</v>
      </c>
      <c r="K267" s="191">
        <f t="shared" si="62"/>
        <v>0</v>
      </c>
      <c r="L267" s="191">
        <f t="shared" si="62"/>
        <v>0</v>
      </c>
      <c r="M267" s="191">
        <f t="shared" si="62"/>
        <v>0</v>
      </c>
      <c r="N267" s="191">
        <f t="shared" si="62"/>
        <v>0</v>
      </c>
      <c r="O267" s="191">
        <f t="shared" si="62"/>
        <v>0</v>
      </c>
      <c r="P267" s="191">
        <f t="shared" si="62"/>
        <v>0</v>
      </c>
      <c r="Q267" s="191">
        <f t="shared" si="62"/>
        <v>0</v>
      </c>
      <c r="R267" s="191">
        <f t="shared" si="62"/>
        <v>0</v>
      </c>
      <c r="S267" s="191">
        <f t="shared" si="61"/>
        <v>0</v>
      </c>
      <c r="T267" s="191">
        <f t="shared" si="61"/>
        <v>0</v>
      </c>
      <c r="U267" s="191">
        <f t="shared" si="61"/>
        <v>0</v>
      </c>
      <c r="V267" s="191">
        <f t="shared" si="61"/>
        <v>0</v>
      </c>
      <c r="W267" s="191">
        <f t="shared" si="61"/>
        <v>0</v>
      </c>
      <c r="X267" s="191">
        <f t="shared" si="61"/>
        <v>0</v>
      </c>
      <c r="Y267" s="191">
        <f t="shared" si="61"/>
        <v>0</v>
      </c>
      <c r="Z267" s="191">
        <f t="shared" si="61"/>
        <v>0</v>
      </c>
      <c r="AA267" s="191">
        <f t="shared" si="61"/>
        <v>0</v>
      </c>
      <c r="AB267" s="191">
        <f t="shared" si="61"/>
        <v>0</v>
      </c>
      <c r="AC267" s="191">
        <f t="shared" si="61"/>
        <v>0</v>
      </c>
      <c r="AD267" s="191">
        <f t="shared" si="61"/>
        <v>0</v>
      </c>
      <c r="AE267" s="191">
        <f t="shared" si="61"/>
        <v>0</v>
      </c>
      <c r="AF267" s="204">
        <f t="shared" si="61"/>
        <v>0</v>
      </c>
      <c r="AG267" s="216">
        <v>0.997</v>
      </c>
      <c r="AH267" s="46"/>
      <c r="AI267" s="47"/>
      <c r="AK267" s="49"/>
    </row>
    <row r="268" spans="1:37" x14ac:dyDescent="0.25">
      <c r="A268" s="73" t="s">
        <v>319</v>
      </c>
      <c r="B268" s="191">
        <v>0</v>
      </c>
      <c r="C268" s="191">
        <f t="shared" si="62"/>
        <v>0</v>
      </c>
      <c r="D268" s="191">
        <f t="shared" si="62"/>
        <v>0</v>
      </c>
      <c r="E268" s="191">
        <f t="shared" si="62"/>
        <v>0</v>
      </c>
      <c r="F268" s="191">
        <f t="shared" si="62"/>
        <v>0</v>
      </c>
      <c r="G268" s="191">
        <f t="shared" si="62"/>
        <v>0</v>
      </c>
      <c r="H268" s="191">
        <f t="shared" si="62"/>
        <v>0</v>
      </c>
      <c r="I268" s="191">
        <f t="shared" si="62"/>
        <v>0</v>
      </c>
      <c r="J268" s="191">
        <f t="shared" si="62"/>
        <v>0</v>
      </c>
      <c r="K268" s="191">
        <f t="shared" si="62"/>
        <v>0</v>
      </c>
      <c r="L268" s="191">
        <f t="shared" si="62"/>
        <v>0</v>
      </c>
      <c r="M268" s="191">
        <f t="shared" si="62"/>
        <v>0</v>
      </c>
      <c r="N268" s="191">
        <f t="shared" si="62"/>
        <v>0</v>
      </c>
      <c r="O268" s="191">
        <f t="shared" si="62"/>
        <v>0</v>
      </c>
      <c r="P268" s="191">
        <f t="shared" si="62"/>
        <v>0</v>
      </c>
      <c r="Q268" s="191">
        <f t="shared" si="62"/>
        <v>0</v>
      </c>
      <c r="R268" s="191">
        <f t="shared" si="62"/>
        <v>0</v>
      </c>
      <c r="S268" s="191">
        <f t="shared" si="61"/>
        <v>0</v>
      </c>
      <c r="T268" s="191">
        <f t="shared" si="61"/>
        <v>0</v>
      </c>
      <c r="U268" s="191">
        <f t="shared" si="61"/>
        <v>0</v>
      </c>
      <c r="V268" s="191">
        <f t="shared" si="61"/>
        <v>0</v>
      </c>
      <c r="W268" s="191">
        <f t="shared" si="61"/>
        <v>0</v>
      </c>
      <c r="X268" s="191">
        <f t="shared" si="61"/>
        <v>0</v>
      </c>
      <c r="Y268" s="191">
        <f t="shared" si="61"/>
        <v>0</v>
      </c>
      <c r="Z268" s="191">
        <f t="shared" si="61"/>
        <v>0</v>
      </c>
      <c r="AA268" s="191">
        <f t="shared" si="61"/>
        <v>0</v>
      </c>
      <c r="AB268" s="191">
        <f t="shared" si="61"/>
        <v>0</v>
      </c>
      <c r="AC268" s="191">
        <f t="shared" si="61"/>
        <v>0</v>
      </c>
      <c r="AD268" s="191">
        <f t="shared" si="61"/>
        <v>0</v>
      </c>
      <c r="AE268" s="191">
        <f t="shared" si="61"/>
        <v>0</v>
      </c>
      <c r="AF268" s="204">
        <f t="shared" si="61"/>
        <v>0</v>
      </c>
      <c r="AG268" s="216">
        <v>0.996</v>
      </c>
      <c r="AH268" s="46"/>
      <c r="AI268" s="47"/>
      <c r="AK268" s="49"/>
    </row>
    <row r="269" spans="1:37" x14ac:dyDescent="0.25">
      <c r="A269" s="73" t="s">
        <v>320</v>
      </c>
      <c r="B269" s="191">
        <v>0</v>
      </c>
      <c r="C269" s="191">
        <f t="shared" si="62"/>
        <v>0</v>
      </c>
      <c r="D269" s="191">
        <f t="shared" si="62"/>
        <v>0</v>
      </c>
      <c r="E269" s="191">
        <f t="shared" si="62"/>
        <v>0</v>
      </c>
      <c r="F269" s="191">
        <f t="shared" si="62"/>
        <v>0</v>
      </c>
      <c r="G269" s="191">
        <f t="shared" si="62"/>
        <v>0</v>
      </c>
      <c r="H269" s="191">
        <f t="shared" si="62"/>
        <v>0</v>
      </c>
      <c r="I269" s="191">
        <f t="shared" si="62"/>
        <v>0</v>
      </c>
      <c r="J269" s="191">
        <f t="shared" si="62"/>
        <v>0</v>
      </c>
      <c r="K269" s="191">
        <f t="shared" si="62"/>
        <v>0</v>
      </c>
      <c r="L269" s="191">
        <f t="shared" si="62"/>
        <v>0</v>
      </c>
      <c r="M269" s="191">
        <f t="shared" si="62"/>
        <v>0</v>
      </c>
      <c r="N269" s="191">
        <f t="shared" si="62"/>
        <v>0</v>
      </c>
      <c r="O269" s="191">
        <f t="shared" si="62"/>
        <v>0</v>
      </c>
      <c r="P269" s="191">
        <f t="shared" si="62"/>
        <v>0</v>
      </c>
      <c r="Q269" s="191">
        <f t="shared" si="62"/>
        <v>0</v>
      </c>
      <c r="R269" s="191">
        <f t="shared" si="62"/>
        <v>0</v>
      </c>
      <c r="S269" s="191">
        <f t="shared" si="61"/>
        <v>0</v>
      </c>
      <c r="T269" s="191">
        <f t="shared" si="61"/>
        <v>0</v>
      </c>
      <c r="U269" s="191">
        <f t="shared" si="61"/>
        <v>0</v>
      </c>
      <c r="V269" s="191">
        <f t="shared" si="61"/>
        <v>0</v>
      </c>
      <c r="W269" s="191">
        <f t="shared" si="61"/>
        <v>0</v>
      </c>
      <c r="X269" s="191">
        <f t="shared" si="61"/>
        <v>0</v>
      </c>
      <c r="Y269" s="191">
        <f t="shared" si="61"/>
        <v>0</v>
      </c>
      <c r="Z269" s="191">
        <f t="shared" si="61"/>
        <v>0</v>
      </c>
      <c r="AA269" s="191">
        <f t="shared" si="61"/>
        <v>0</v>
      </c>
      <c r="AB269" s="191">
        <f t="shared" si="61"/>
        <v>0</v>
      </c>
      <c r="AC269" s="191">
        <f t="shared" si="61"/>
        <v>0</v>
      </c>
      <c r="AD269" s="191">
        <f t="shared" si="61"/>
        <v>0</v>
      </c>
      <c r="AE269" s="191">
        <f t="shared" si="61"/>
        <v>0</v>
      </c>
      <c r="AF269" s="204">
        <f t="shared" si="61"/>
        <v>0</v>
      </c>
      <c r="AG269" s="216">
        <v>0.996</v>
      </c>
      <c r="AH269" s="46"/>
      <c r="AI269" s="47"/>
    </row>
    <row r="270" spans="1:37" x14ac:dyDescent="0.25">
      <c r="A270" s="73" t="s">
        <v>321</v>
      </c>
      <c r="B270" s="191">
        <v>0</v>
      </c>
      <c r="C270" s="191">
        <f t="shared" si="62"/>
        <v>0</v>
      </c>
      <c r="D270" s="191">
        <f t="shared" si="62"/>
        <v>0</v>
      </c>
      <c r="E270" s="191">
        <f t="shared" si="62"/>
        <v>0</v>
      </c>
      <c r="F270" s="191">
        <f t="shared" si="62"/>
        <v>0</v>
      </c>
      <c r="G270" s="191">
        <f t="shared" si="62"/>
        <v>0</v>
      </c>
      <c r="H270" s="191">
        <f t="shared" si="62"/>
        <v>0</v>
      </c>
      <c r="I270" s="191">
        <f t="shared" si="62"/>
        <v>0</v>
      </c>
      <c r="J270" s="191">
        <f t="shared" si="62"/>
        <v>0</v>
      </c>
      <c r="K270" s="191">
        <f t="shared" si="62"/>
        <v>0</v>
      </c>
      <c r="L270" s="191">
        <f t="shared" si="62"/>
        <v>0</v>
      </c>
      <c r="M270" s="191">
        <f t="shared" si="62"/>
        <v>0</v>
      </c>
      <c r="N270" s="191">
        <f t="shared" si="62"/>
        <v>0</v>
      </c>
      <c r="O270" s="191">
        <f t="shared" si="62"/>
        <v>0</v>
      </c>
      <c r="P270" s="191">
        <f t="shared" si="62"/>
        <v>0</v>
      </c>
      <c r="Q270" s="191">
        <f t="shared" si="62"/>
        <v>0</v>
      </c>
      <c r="R270" s="191">
        <f t="shared" si="62"/>
        <v>0</v>
      </c>
      <c r="S270" s="191">
        <f t="shared" si="61"/>
        <v>0</v>
      </c>
      <c r="T270" s="191">
        <f t="shared" si="61"/>
        <v>0</v>
      </c>
      <c r="U270" s="191">
        <f t="shared" si="61"/>
        <v>0</v>
      </c>
      <c r="V270" s="191">
        <f t="shared" si="61"/>
        <v>0</v>
      </c>
      <c r="W270" s="191">
        <f t="shared" si="61"/>
        <v>0</v>
      </c>
      <c r="X270" s="191">
        <f t="shared" si="61"/>
        <v>0</v>
      </c>
      <c r="Y270" s="191">
        <f t="shared" si="61"/>
        <v>0</v>
      </c>
      <c r="Z270" s="191">
        <f t="shared" si="61"/>
        <v>0</v>
      </c>
      <c r="AA270" s="191">
        <f t="shared" si="61"/>
        <v>0</v>
      </c>
      <c r="AB270" s="191">
        <f t="shared" si="61"/>
        <v>0</v>
      </c>
      <c r="AC270" s="191">
        <f t="shared" si="61"/>
        <v>0</v>
      </c>
      <c r="AD270" s="191">
        <f t="shared" si="61"/>
        <v>0</v>
      </c>
      <c r="AE270" s="191">
        <f t="shared" si="61"/>
        <v>0</v>
      </c>
      <c r="AF270" s="204">
        <f t="shared" si="61"/>
        <v>0</v>
      </c>
      <c r="AG270" s="216">
        <v>0.996</v>
      </c>
      <c r="AH270" s="46"/>
      <c r="AI270" s="47"/>
    </row>
    <row r="271" spans="1:37" x14ac:dyDescent="0.25">
      <c r="A271" s="73" t="s">
        <v>322</v>
      </c>
      <c r="B271" s="191">
        <v>0</v>
      </c>
      <c r="C271" s="191">
        <f t="shared" si="62"/>
        <v>0</v>
      </c>
      <c r="D271" s="191">
        <f t="shared" si="62"/>
        <v>0</v>
      </c>
      <c r="E271" s="191">
        <f t="shared" si="62"/>
        <v>0</v>
      </c>
      <c r="F271" s="191">
        <f t="shared" si="62"/>
        <v>0</v>
      </c>
      <c r="G271" s="191">
        <f t="shared" si="62"/>
        <v>0</v>
      </c>
      <c r="H271" s="191">
        <f t="shared" si="62"/>
        <v>0</v>
      </c>
      <c r="I271" s="191">
        <f t="shared" si="62"/>
        <v>0</v>
      </c>
      <c r="J271" s="191">
        <f t="shared" si="62"/>
        <v>0</v>
      </c>
      <c r="K271" s="191">
        <f t="shared" si="62"/>
        <v>0</v>
      </c>
      <c r="L271" s="191">
        <f t="shared" si="62"/>
        <v>0</v>
      </c>
      <c r="M271" s="191">
        <f t="shared" si="62"/>
        <v>0</v>
      </c>
      <c r="N271" s="191">
        <f t="shared" si="62"/>
        <v>0</v>
      </c>
      <c r="O271" s="191">
        <f t="shared" si="62"/>
        <v>0</v>
      </c>
      <c r="P271" s="191">
        <f t="shared" si="62"/>
        <v>0</v>
      </c>
      <c r="Q271" s="191">
        <f t="shared" si="62"/>
        <v>0</v>
      </c>
      <c r="R271" s="191">
        <f t="shared" si="62"/>
        <v>0</v>
      </c>
      <c r="S271" s="191">
        <f t="shared" si="61"/>
        <v>0</v>
      </c>
      <c r="T271" s="191">
        <f t="shared" si="61"/>
        <v>0</v>
      </c>
      <c r="U271" s="191">
        <f t="shared" si="61"/>
        <v>0</v>
      </c>
      <c r="V271" s="191">
        <f t="shared" si="61"/>
        <v>0</v>
      </c>
      <c r="W271" s="191">
        <f t="shared" si="61"/>
        <v>0</v>
      </c>
      <c r="X271" s="191">
        <f t="shared" si="61"/>
        <v>0</v>
      </c>
      <c r="Y271" s="191">
        <f t="shared" si="61"/>
        <v>0</v>
      </c>
      <c r="Z271" s="191">
        <f t="shared" si="61"/>
        <v>0</v>
      </c>
      <c r="AA271" s="191">
        <f t="shared" si="61"/>
        <v>0</v>
      </c>
      <c r="AB271" s="191">
        <f t="shared" si="61"/>
        <v>0</v>
      </c>
      <c r="AC271" s="191">
        <f t="shared" si="61"/>
        <v>0</v>
      </c>
      <c r="AD271" s="191">
        <f t="shared" si="61"/>
        <v>0</v>
      </c>
      <c r="AE271" s="191">
        <f t="shared" si="61"/>
        <v>0</v>
      </c>
      <c r="AF271" s="204">
        <f t="shared" si="61"/>
        <v>0</v>
      </c>
      <c r="AG271" s="216">
        <v>0.995</v>
      </c>
      <c r="AH271" s="46"/>
      <c r="AI271" s="47"/>
    </row>
    <row r="272" spans="1:37" x14ac:dyDescent="0.25">
      <c r="A272" s="73" t="s">
        <v>323</v>
      </c>
      <c r="B272" s="191">
        <v>0</v>
      </c>
      <c r="C272" s="191">
        <f t="shared" si="62"/>
        <v>0</v>
      </c>
      <c r="D272" s="191">
        <f t="shared" si="62"/>
        <v>0</v>
      </c>
      <c r="E272" s="191">
        <f t="shared" si="62"/>
        <v>0</v>
      </c>
      <c r="F272" s="191">
        <f t="shared" si="62"/>
        <v>0</v>
      </c>
      <c r="G272" s="191">
        <f t="shared" si="62"/>
        <v>0</v>
      </c>
      <c r="H272" s="191">
        <f t="shared" si="62"/>
        <v>0</v>
      </c>
      <c r="I272" s="191">
        <f t="shared" si="62"/>
        <v>0</v>
      </c>
      <c r="J272" s="191">
        <f t="shared" si="62"/>
        <v>0</v>
      </c>
      <c r="K272" s="191">
        <f t="shared" si="62"/>
        <v>0</v>
      </c>
      <c r="L272" s="191">
        <f t="shared" si="62"/>
        <v>0</v>
      </c>
      <c r="M272" s="191">
        <f t="shared" si="62"/>
        <v>0</v>
      </c>
      <c r="N272" s="191">
        <f t="shared" si="62"/>
        <v>0</v>
      </c>
      <c r="O272" s="191">
        <f t="shared" si="62"/>
        <v>0</v>
      </c>
      <c r="P272" s="191">
        <f t="shared" si="62"/>
        <v>0</v>
      </c>
      <c r="Q272" s="191">
        <f t="shared" si="62"/>
        <v>0</v>
      </c>
      <c r="R272" s="191">
        <f t="shared" si="62"/>
        <v>0</v>
      </c>
      <c r="S272" s="191">
        <f t="shared" si="61"/>
        <v>0</v>
      </c>
      <c r="T272" s="191">
        <f t="shared" si="61"/>
        <v>0</v>
      </c>
      <c r="U272" s="191">
        <f t="shared" si="61"/>
        <v>0</v>
      </c>
      <c r="V272" s="191">
        <f t="shared" si="61"/>
        <v>0</v>
      </c>
      <c r="W272" s="191">
        <f t="shared" si="61"/>
        <v>0</v>
      </c>
      <c r="X272" s="191">
        <f t="shared" si="61"/>
        <v>0</v>
      </c>
      <c r="Y272" s="191">
        <f t="shared" si="61"/>
        <v>0</v>
      </c>
      <c r="Z272" s="191">
        <f t="shared" si="61"/>
        <v>0</v>
      </c>
      <c r="AA272" s="191">
        <f t="shared" si="61"/>
        <v>0</v>
      </c>
      <c r="AB272" s="191">
        <f t="shared" si="61"/>
        <v>0</v>
      </c>
      <c r="AC272" s="191">
        <f t="shared" si="61"/>
        <v>0</v>
      </c>
      <c r="AD272" s="191">
        <f t="shared" si="61"/>
        <v>0</v>
      </c>
      <c r="AE272" s="191">
        <f t="shared" si="61"/>
        <v>0</v>
      </c>
      <c r="AF272" s="204">
        <f t="shared" si="61"/>
        <v>0</v>
      </c>
      <c r="AG272" s="216">
        <v>0.99299999999999999</v>
      </c>
      <c r="AH272" s="46"/>
      <c r="AI272" s="47"/>
    </row>
    <row r="273" spans="1:35" x14ac:dyDescent="0.25">
      <c r="A273" s="73" t="s">
        <v>324</v>
      </c>
      <c r="B273" s="191">
        <v>0</v>
      </c>
      <c r="C273" s="191">
        <f t="shared" si="62"/>
        <v>0</v>
      </c>
      <c r="D273" s="191">
        <f t="shared" si="62"/>
        <v>0</v>
      </c>
      <c r="E273" s="191">
        <f t="shared" si="62"/>
        <v>0</v>
      </c>
      <c r="F273" s="191">
        <f t="shared" si="62"/>
        <v>0</v>
      </c>
      <c r="G273" s="191">
        <f t="shared" si="62"/>
        <v>0</v>
      </c>
      <c r="H273" s="191">
        <f t="shared" si="62"/>
        <v>0</v>
      </c>
      <c r="I273" s="191">
        <f t="shared" si="62"/>
        <v>0</v>
      </c>
      <c r="J273" s="191">
        <f t="shared" si="62"/>
        <v>0</v>
      </c>
      <c r="K273" s="191">
        <f t="shared" si="62"/>
        <v>0</v>
      </c>
      <c r="L273" s="191">
        <f t="shared" si="62"/>
        <v>0</v>
      </c>
      <c r="M273" s="191">
        <f t="shared" si="62"/>
        <v>0</v>
      </c>
      <c r="N273" s="191">
        <f t="shared" si="62"/>
        <v>0</v>
      </c>
      <c r="O273" s="191">
        <f t="shared" si="62"/>
        <v>0</v>
      </c>
      <c r="P273" s="191">
        <f t="shared" si="62"/>
        <v>0</v>
      </c>
      <c r="Q273" s="191">
        <f t="shared" si="62"/>
        <v>0</v>
      </c>
      <c r="R273" s="191">
        <f t="shared" si="62"/>
        <v>0</v>
      </c>
      <c r="S273" s="191">
        <f t="shared" si="61"/>
        <v>0</v>
      </c>
      <c r="T273" s="191">
        <f t="shared" si="61"/>
        <v>0</v>
      </c>
      <c r="U273" s="191">
        <f t="shared" si="61"/>
        <v>0</v>
      </c>
      <c r="V273" s="191">
        <f t="shared" si="61"/>
        <v>0</v>
      </c>
      <c r="W273" s="191">
        <f t="shared" si="61"/>
        <v>0</v>
      </c>
      <c r="X273" s="191">
        <f t="shared" si="61"/>
        <v>0</v>
      </c>
      <c r="Y273" s="191">
        <f t="shared" si="61"/>
        <v>0</v>
      </c>
      <c r="Z273" s="191">
        <f t="shared" si="61"/>
        <v>0</v>
      </c>
      <c r="AA273" s="191">
        <f t="shared" si="61"/>
        <v>0</v>
      </c>
      <c r="AB273" s="191">
        <f t="shared" si="61"/>
        <v>0</v>
      </c>
      <c r="AC273" s="191">
        <f t="shared" si="61"/>
        <v>0</v>
      </c>
      <c r="AD273" s="191">
        <f t="shared" si="61"/>
        <v>0</v>
      </c>
      <c r="AE273" s="191">
        <f t="shared" si="61"/>
        <v>0</v>
      </c>
      <c r="AF273" s="204">
        <f t="shared" si="61"/>
        <v>0</v>
      </c>
      <c r="AG273" s="216">
        <v>0.99</v>
      </c>
      <c r="AH273" s="46"/>
      <c r="AI273" s="47"/>
    </row>
    <row r="274" spans="1:35" ht="15.75" thickBot="1" x14ac:dyDescent="0.3">
      <c r="A274" s="73" t="s">
        <v>325</v>
      </c>
      <c r="B274" s="217">
        <v>0</v>
      </c>
      <c r="C274" s="217">
        <f t="shared" si="62"/>
        <v>0</v>
      </c>
      <c r="D274" s="217">
        <f t="shared" si="62"/>
        <v>0</v>
      </c>
      <c r="E274" s="217">
        <f t="shared" si="62"/>
        <v>0</v>
      </c>
      <c r="F274" s="217">
        <f t="shared" si="62"/>
        <v>0</v>
      </c>
      <c r="G274" s="217">
        <f t="shared" si="62"/>
        <v>0</v>
      </c>
      <c r="H274" s="217">
        <f t="shared" si="62"/>
        <v>0</v>
      </c>
      <c r="I274" s="217">
        <f t="shared" si="62"/>
        <v>0</v>
      </c>
      <c r="J274" s="217">
        <f t="shared" si="62"/>
        <v>0</v>
      </c>
      <c r="K274" s="217">
        <f t="shared" si="62"/>
        <v>0</v>
      </c>
      <c r="L274" s="217">
        <f t="shared" si="62"/>
        <v>0</v>
      </c>
      <c r="M274" s="217">
        <f t="shared" si="62"/>
        <v>0</v>
      </c>
      <c r="N274" s="217">
        <f t="shared" si="62"/>
        <v>0</v>
      </c>
      <c r="O274" s="217">
        <f t="shared" si="62"/>
        <v>0</v>
      </c>
      <c r="P274" s="217">
        <f t="shared" si="62"/>
        <v>0</v>
      </c>
      <c r="Q274" s="217">
        <f t="shared" si="62"/>
        <v>0</v>
      </c>
      <c r="R274" s="217">
        <f t="shared" si="62"/>
        <v>0</v>
      </c>
      <c r="S274" s="217">
        <f t="shared" si="61"/>
        <v>0</v>
      </c>
      <c r="T274" s="217">
        <f t="shared" si="61"/>
        <v>0</v>
      </c>
      <c r="U274" s="217">
        <f t="shared" si="61"/>
        <v>0</v>
      </c>
      <c r="V274" s="217">
        <f t="shared" si="61"/>
        <v>0</v>
      </c>
      <c r="W274" s="217">
        <f t="shared" si="61"/>
        <v>0</v>
      </c>
      <c r="X274" s="217">
        <f t="shared" si="61"/>
        <v>0</v>
      </c>
      <c r="Y274" s="217">
        <f t="shared" si="61"/>
        <v>0</v>
      </c>
      <c r="Z274" s="217">
        <f t="shared" si="61"/>
        <v>0</v>
      </c>
      <c r="AA274" s="217">
        <f t="shared" si="61"/>
        <v>0</v>
      </c>
      <c r="AB274" s="217">
        <f t="shared" si="61"/>
        <v>0</v>
      </c>
      <c r="AC274" s="217">
        <f t="shared" si="61"/>
        <v>0</v>
      </c>
      <c r="AD274" s="217">
        <f t="shared" si="61"/>
        <v>0</v>
      </c>
      <c r="AE274" s="217">
        <f t="shared" si="61"/>
        <v>0</v>
      </c>
      <c r="AF274" s="218">
        <f t="shared" si="61"/>
        <v>0</v>
      </c>
      <c r="AG274" s="216">
        <v>0.97899999999999998</v>
      </c>
      <c r="AH274" s="46"/>
      <c r="AI274" s="47"/>
    </row>
    <row r="275" spans="1:35" ht="15.75" thickBot="1" x14ac:dyDescent="0.3">
      <c r="A275" s="219" t="s">
        <v>326</v>
      </c>
      <c r="B275" s="220">
        <f t="shared" ref="B275:AG275" si="63">SUM(B170:B274)</f>
        <v>0</v>
      </c>
      <c r="C275" s="220">
        <f t="shared" si="63"/>
        <v>0</v>
      </c>
      <c r="D275" s="220">
        <f t="shared" si="63"/>
        <v>0</v>
      </c>
      <c r="E275" s="220">
        <f t="shared" si="63"/>
        <v>0</v>
      </c>
      <c r="F275" s="220">
        <f t="shared" si="63"/>
        <v>0</v>
      </c>
      <c r="G275" s="220">
        <f t="shared" si="63"/>
        <v>0</v>
      </c>
      <c r="H275" s="220">
        <f t="shared" si="63"/>
        <v>0</v>
      </c>
      <c r="I275" s="220">
        <f t="shared" si="63"/>
        <v>0</v>
      </c>
      <c r="J275" s="220">
        <f t="shared" si="63"/>
        <v>0</v>
      </c>
      <c r="K275" s="220">
        <f t="shared" si="63"/>
        <v>0</v>
      </c>
      <c r="L275" s="220">
        <f t="shared" si="63"/>
        <v>0</v>
      </c>
      <c r="M275" s="220">
        <f t="shared" si="63"/>
        <v>0</v>
      </c>
      <c r="N275" s="220">
        <f t="shared" si="63"/>
        <v>0</v>
      </c>
      <c r="O275" s="220">
        <f t="shared" si="63"/>
        <v>0</v>
      </c>
      <c r="P275" s="220">
        <f t="shared" si="63"/>
        <v>0</v>
      </c>
      <c r="Q275" s="220">
        <f t="shared" si="63"/>
        <v>0</v>
      </c>
      <c r="R275" s="220">
        <f t="shared" si="63"/>
        <v>0</v>
      </c>
      <c r="S275" s="220">
        <f t="shared" si="63"/>
        <v>0</v>
      </c>
      <c r="T275" s="220">
        <f t="shared" si="63"/>
        <v>0</v>
      </c>
      <c r="U275" s="220">
        <f t="shared" si="63"/>
        <v>0</v>
      </c>
      <c r="V275" s="220">
        <f t="shared" si="63"/>
        <v>0</v>
      </c>
      <c r="W275" s="220">
        <f t="shared" si="63"/>
        <v>0</v>
      </c>
      <c r="X275" s="220">
        <f t="shared" si="63"/>
        <v>0</v>
      </c>
      <c r="Y275" s="220">
        <f t="shared" si="63"/>
        <v>0</v>
      </c>
      <c r="Z275" s="220">
        <f t="shared" si="63"/>
        <v>0</v>
      </c>
      <c r="AA275" s="220">
        <f t="shared" si="63"/>
        <v>0</v>
      </c>
      <c r="AB275" s="220">
        <f t="shared" si="63"/>
        <v>0</v>
      </c>
      <c r="AC275" s="220">
        <f t="shared" si="63"/>
        <v>0</v>
      </c>
      <c r="AD275" s="220">
        <f t="shared" si="63"/>
        <v>0</v>
      </c>
      <c r="AE275" s="220">
        <f t="shared" si="63"/>
        <v>0</v>
      </c>
      <c r="AF275" s="221">
        <f t="shared" si="63"/>
        <v>0</v>
      </c>
      <c r="AG275" s="222">
        <f t="shared" si="63"/>
        <v>412.72299999999984</v>
      </c>
      <c r="AH275" s="46"/>
      <c r="AI275" s="47"/>
    </row>
    <row r="276" spans="1:35" x14ac:dyDescent="0.25">
      <c r="B276" s="51"/>
      <c r="C276" s="51"/>
      <c r="D276" s="51"/>
      <c r="E276" s="51"/>
      <c r="F276" s="51"/>
      <c r="G276" s="51"/>
      <c r="H276" s="51"/>
      <c r="I276" s="51"/>
      <c r="J276" s="51"/>
      <c r="K276" s="51"/>
      <c r="L276" s="51"/>
      <c r="M276" s="51"/>
      <c r="N276" s="51"/>
      <c r="O276" s="51"/>
      <c r="P276" s="51"/>
      <c r="Q276" s="51"/>
      <c r="R276" s="51"/>
      <c r="S276" s="51"/>
      <c r="T276" s="51"/>
      <c r="U276" s="51"/>
      <c r="V276" s="51"/>
      <c r="W276" s="51"/>
      <c r="X276" s="51"/>
      <c r="Y276" s="51"/>
      <c r="Z276" s="51"/>
      <c r="AA276" s="51"/>
      <c r="AB276" s="51"/>
      <c r="AC276" s="51"/>
      <c r="AD276" s="51"/>
      <c r="AE276" s="51"/>
      <c r="AF276" s="51"/>
      <c r="AG276" s="176"/>
      <c r="AH276" s="51"/>
    </row>
    <row r="277" spans="1:35" ht="12.75" customHeight="1" x14ac:dyDescent="0.25">
      <c r="B277" s="51"/>
      <c r="C277" s="51"/>
      <c r="D277" s="51"/>
      <c r="E277" s="51"/>
      <c r="F277" s="51"/>
      <c r="G277" s="51"/>
      <c r="H277" s="51"/>
      <c r="I277" s="51"/>
      <c r="J277" s="51"/>
      <c r="K277" s="51"/>
      <c r="L277" s="51"/>
      <c r="M277" s="51"/>
      <c r="N277" s="51"/>
      <c r="O277" s="51"/>
      <c r="P277" s="51"/>
      <c r="Q277" s="51"/>
      <c r="R277" s="51"/>
      <c r="S277" s="51"/>
      <c r="T277" s="51"/>
      <c r="U277" s="51"/>
      <c r="V277" s="51"/>
      <c r="W277" s="51"/>
      <c r="X277" s="51"/>
      <c r="Y277" s="51"/>
      <c r="Z277" s="51"/>
      <c r="AA277" s="51"/>
      <c r="AB277" s="51"/>
      <c r="AC277" s="51"/>
      <c r="AD277" s="51"/>
      <c r="AE277" s="51"/>
      <c r="AF277" s="51"/>
      <c r="AG277" s="51"/>
      <c r="AH277" s="51"/>
    </row>
    <row r="278" spans="1:35" x14ac:dyDescent="0.25">
      <c r="A278" s="51"/>
      <c r="B278" s="51"/>
      <c r="C278" s="51"/>
      <c r="D278" s="51"/>
      <c r="E278" s="51"/>
      <c r="F278" s="51"/>
      <c r="G278" s="51"/>
      <c r="H278" s="51"/>
      <c r="I278" s="51"/>
      <c r="J278" s="51"/>
      <c r="K278" s="51"/>
      <c r="L278" s="51"/>
      <c r="M278" s="51"/>
      <c r="N278" s="51"/>
      <c r="O278" s="51"/>
      <c r="P278" s="51"/>
      <c r="Q278" s="51"/>
      <c r="R278" s="51"/>
      <c r="S278" s="51"/>
      <c r="T278" s="51"/>
      <c r="U278" s="51"/>
      <c r="V278" s="51"/>
      <c r="W278" s="51"/>
      <c r="X278" s="51"/>
      <c r="Y278" s="51"/>
      <c r="Z278" s="51"/>
      <c r="AA278" s="51"/>
      <c r="AB278" s="51"/>
      <c r="AC278" s="51"/>
      <c r="AD278" s="51"/>
      <c r="AE278" s="51"/>
      <c r="AF278" s="51"/>
      <c r="AG278" s="51"/>
      <c r="AH278" s="51"/>
    </row>
    <row r="279" spans="1:35" x14ac:dyDescent="0.25">
      <c r="B279" s="51"/>
      <c r="C279" s="51"/>
      <c r="D279" s="51"/>
      <c r="E279" s="51"/>
      <c r="F279" s="51"/>
      <c r="G279" s="51"/>
      <c r="H279" s="51"/>
      <c r="I279" s="51"/>
      <c r="J279" s="51"/>
      <c r="K279" s="51"/>
      <c r="L279" s="51"/>
      <c r="M279" s="51"/>
      <c r="N279" s="51"/>
      <c r="O279" s="51"/>
      <c r="P279" s="51"/>
      <c r="Q279" s="51"/>
      <c r="R279" s="51"/>
    </row>
    <row r="280" spans="1:35" x14ac:dyDescent="0.25">
      <c r="B280" s="51"/>
      <c r="C280" s="51"/>
      <c r="D280" s="51"/>
      <c r="E280" s="51"/>
      <c r="F280" s="51"/>
      <c r="G280" s="51"/>
      <c r="H280" s="51"/>
      <c r="I280" s="51"/>
      <c r="J280" s="51"/>
      <c r="K280" s="51"/>
      <c r="L280" s="51"/>
      <c r="M280" s="51"/>
      <c r="N280" s="51"/>
      <c r="O280" s="51"/>
      <c r="P280" s="51"/>
      <c r="Q280" s="51"/>
      <c r="R280" s="51"/>
    </row>
    <row r="281" spans="1:35" x14ac:dyDescent="0.25">
      <c r="B281" s="51"/>
      <c r="C281" s="51"/>
      <c r="D281" s="51"/>
      <c r="E281" s="51"/>
      <c r="F281" s="51"/>
      <c r="G281" s="51"/>
      <c r="H281" s="51"/>
      <c r="I281" s="51"/>
      <c r="J281" s="51"/>
      <c r="K281" s="51"/>
      <c r="L281" s="51"/>
      <c r="M281" s="51"/>
      <c r="N281" s="51"/>
      <c r="O281" s="51"/>
      <c r="P281" s="51"/>
      <c r="Q281" s="51"/>
      <c r="R281" s="51"/>
    </row>
    <row r="282" spans="1:35" x14ac:dyDescent="0.25">
      <c r="B282" s="51"/>
      <c r="C282" s="51"/>
      <c r="D282" s="51"/>
      <c r="E282" s="51"/>
      <c r="F282" s="51"/>
      <c r="G282" s="51"/>
      <c r="H282" s="51"/>
      <c r="I282" s="51"/>
      <c r="J282" s="51"/>
      <c r="K282" s="51"/>
      <c r="L282" s="51"/>
      <c r="M282" s="51"/>
      <c r="N282" s="51"/>
      <c r="O282" s="51"/>
      <c r="P282" s="51"/>
      <c r="Q282" s="51"/>
      <c r="R282" s="51"/>
      <c r="S282" s="51"/>
      <c r="T282" s="51"/>
      <c r="U282" s="51"/>
      <c r="V282" s="51"/>
      <c r="W282" s="51"/>
      <c r="X282" s="51"/>
      <c r="Y282" s="51"/>
      <c r="Z282" s="51"/>
      <c r="AA282" s="51"/>
      <c r="AB282" s="51"/>
      <c r="AC282" s="51"/>
      <c r="AD282" s="51"/>
      <c r="AE282" s="51"/>
      <c r="AF282" s="51"/>
      <c r="AG282" s="51"/>
      <c r="AH282" s="51"/>
    </row>
    <row r="283" spans="1:35" x14ac:dyDescent="0.25">
      <c r="B283" s="51"/>
      <c r="C283" s="51"/>
      <c r="D283" s="51"/>
      <c r="E283" s="51"/>
      <c r="F283" s="51"/>
      <c r="G283" s="51"/>
      <c r="H283" s="51"/>
      <c r="I283" s="51"/>
      <c r="J283" s="51"/>
      <c r="K283" s="51"/>
      <c r="L283" s="51"/>
      <c r="M283" s="51"/>
      <c r="N283" s="51"/>
      <c r="O283" s="51"/>
      <c r="P283" s="51"/>
      <c r="Q283" s="51"/>
      <c r="R283" s="51"/>
      <c r="S283" s="51"/>
      <c r="T283" s="51"/>
      <c r="U283" s="51"/>
      <c r="V283" s="51"/>
      <c r="W283" s="51"/>
      <c r="X283" s="51"/>
      <c r="Y283" s="51"/>
      <c r="Z283" s="51"/>
      <c r="AA283" s="51"/>
      <c r="AB283" s="51"/>
      <c r="AC283" s="51"/>
      <c r="AD283" s="51"/>
      <c r="AE283" s="51"/>
      <c r="AF283" s="51"/>
      <c r="AG283" s="51"/>
      <c r="AH283" s="51"/>
    </row>
    <row r="284" spans="1:35" x14ac:dyDescent="0.25">
      <c r="B284" s="51"/>
      <c r="C284" s="51"/>
      <c r="D284" s="51"/>
      <c r="E284" s="51"/>
      <c r="F284" s="51"/>
      <c r="G284" s="51"/>
      <c r="H284" s="51"/>
      <c r="I284" s="51"/>
      <c r="J284" s="51"/>
      <c r="K284" s="51"/>
      <c r="L284" s="51"/>
      <c r="M284" s="51"/>
      <c r="N284" s="51"/>
      <c r="O284" s="51"/>
      <c r="P284" s="51"/>
      <c r="Q284" s="51"/>
      <c r="R284" s="51"/>
      <c r="S284" s="51"/>
      <c r="T284" s="51"/>
      <c r="U284" s="51"/>
      <c r="V284" s="51"/>
      <c r="W284" s="51"/>
      <c r="X284" s="51"/>
      <c r="Y284" s="51"/>
      <c r="Z284" s="51"/>
      <c r="AA284" s="51"/>
      <c r="AB284" s="51"/>
      <c r="AC284" s="51"/>
      <c r="AD284" s="51"/>
      <c r="AE284" s="51"/>
      <c r="AF284" s="51"/>
      <c r="AG284" s="51"/>
      <c r="AH284" s="51"/>
    </row>
    <row r="285" spans="1:35" x14ac:dyDescent="0.25">
      <c r="B285" s="51"/>
      <c r="C285" s="51"/>
      <c r="D285" s="51"/>
      <c r="E285" s="51"/>
      <c r="F285" s="51"/>
      <c r="G285" s="51"/>
      <c r="H285" s="51"/>
      <c r="I285" s="51"/>
      <c r="J285" s="51"/>
      <c r="K285" s="51"/>
      <c r="L285" s="51"/>
      <c r="M285" s="51"/>
      <c r="N285" s="51"/>
      <c r="O285" s="51"/>
      <c r="P285" s="51"/>
      <c r="Q285" s="51"/>
      <c r="R285" s="51"/>
      <c r="S285" s="51"/>
      <c r="T285" s="51"/>
      <c r="U285" s="51"/>
      <c r="V285" s="51"/>
      <c r="W285" s="51"/>
      <c r="X285" s="51"/>
      <c r="Y285" s="51"/>
      <c r="Z285" s="51"/>
      <c r="AA285" s="51"/>
      <c r="AB285" s="51"/>
      <c r="AC285" s="51"/>
      <c r="AD285" s="51"/>
      <c r="AE285" s="51"/>
      <c r="AF285" s="51"/>
      <c r="AG285" s="51"/>
      <c r="AH285" s="51"/>
    </row>
    <row r="286" spans="1:35" x14ac:dyDescent="0.25">
      <c r="B286" s="51"/>
      <c r="C286" s="51"/>
      <c r="D286" s="51"/>
      <c r="E286" s="51"/>
      <c r="F286" s="51"/>
      <c r="G286" s="51"/>
      <c r="H286" s="51"/>
      <c r="I286" s="51"/>
      <c r="J286" s="51"/>
      <c r="K286" s="51"/>
      <c r="L286" s="51"/>
      <c r="M286" s="51"/>
      <c r="N286" s="51"/>
      <c r="O286" s="51"/>
      <c r="P286" s="51"/>
      <c r="Q286" s="51"/>
      <c r="R286" s="51"/>
      <c r="S286" s="51"/>
      <c r="T286" s="51"/>
      <c r="U286" s="51"/>
      <c r="V286" s="51"/>
      <c r="W286" s="51"/>
      <c r="X286" s="51"/>
      <c r="Y286" s="51"/>
      <c r="Z286" s="51"/>
      <c r="AA286" s="51"/>
      <c r="AB286" s="51"/>
      <c r="AC286" s="51"/>
      <c r="AD286" s="51"/>
      <c r="AE286" s="51"/>
      <c r="AF286" s="51"/>
      <c r="AG286" s="51"/>
      <c r="AH286" s="51"/>
    </row>
    <row r="287" spans="1:35" x14ac:dyDescent="0.25">
      <c r="B287" s="51"/>
      <c r="C287" s="51"/>
      <c r="D287" s="51"/>
      <c r="E287" s="51"/>
      <c r="F287" s="51"/>
      <c r="G287" s="51"/>
      <c r="H287" s="51"/>
      <c r="I287" s="51"/>
      <c r="J287" s="51"/>
      <c r="K287" s="51"/>
      <c r="L287" s="51"/>
      <c r="M287" s="51"/>
      <c r="N287" s="51"/>
      <c r="O287" s="51"/>
      <c r="P287" s="51"/>
      <c r="Q287" s="51"/>
      <c r="R287" s="51"/>
      <c r="S287" s="51"/>
      <c r="T287" s="51"/>
      <c r="U287" s="51"/>
      <c r="V287" s="51"/>
      <c r="W287" s="51"/>
      <c r="X287" s="51"/>
      <c r="Y287" s="51"/>
      <c r="Z287" s="51"/>
      <c r="AA287" s="51"/>
      <c r="AB287" s="51"/>
      <c r="AC287" s="51"/>
      <c r="AD287" s="51"/>
      <c r="AE287" s="51"/>
      <c r="AF287" s="51"/>
      <c r="AG287" s="51"/>
      <c r="AH287" s="51"/>
    </row>
    <row r="288" spans="1:35" x14ac:dyDescent="0.25">
      <c r="B288" s="51"/>
      <c r="C288" s="51"/>
      <c r="D288" s="51"/>
      <c r="E288" s="51"/>
      <c r="F288" s="51"/>
      <c r="G288" s="51"/>
      <c r="H288" s="51"/>
      <c r="I288" s="51"/>
      <c r="J288" s="51"/>
      <c r="K288" s="51"/>
      <c r="L288" s="51"/>
      <c r="M288" s="51"/>
      <c r="N288" s="51"/>
      <c r="O288" s="51"/>
      <c r="P288" s="51"/>
      <c r="Q288" s="51"/>
      <c r="R288" s="51"/>
      <c r="S288" s="51"/>
      <c r="T288" s="51"/>
      <c r="U288" s="51"/>
      <c r="V288" s="51"/>
      <c r="W288" s="51"/>
      <c r="X288" s="51"/>
      <c r="Y288" s="51"/>
      <c r="Z288" s="51"/>
      <c r="AA288" s="51"/>
      <c r="AB288" s="51"/>
      <c r="AC288" s="51"/>
      <c r="AD288" s="51"/>
      <c r="AE288" s="51"/>
      <c r="AF288" s="51"/>
      <c r="AG288" s="51"/>
      <c r="AH288" s="51"/>
    </row>
    <row r="289" spans="2:34" x14ac:dyDescent="0.25">
      <c r="B289" s="51"/>
      <c r="C289" s="51"/>
      <c r="D289" s="51"/>
      <c r="E289" s="51"/>
      <c r="F289" s="51"/>
      <c r="G289" s="51"/>
      <c r="H289" s="51"/>
      <c r="I289" s="51"/>
      <c r="J289" s="51"/>
      <c r="K289" s="51"/>
      <c r="L289" s="51"/>
      <c r="M289" s="51"/>
      <c r="N289" s="51"/>
      <c r="O289" s="51"/>
      <c r="P289" s="51"/>
      <c r="Q289" s="51"/>
      <c r="R289" s="51"/>
      <c r="S289" s="51"/>
      <c r="T289" s="51"/>
      <c r="U289" s="51"/>
      <c r="V289" s="51"/>
      <c r="W289" s="51"/>
      <c r="X289" s="51"/>
      <c r="Y289" s="51"/>
      <c r="Z289" s="51"/>
      <c r="AA289" s="51"/>
      <c r="AB289" s="51"/>
      <c r="AC289" s="51"/>
      <c r="AD289" s="51"/>
      <c r="AE289" s="51"/>
      <c r="AF289" s="51"/>
      <c r="AG289" s="51"/>
      <c r="AH289" s="51"/>
    </row>
    <row r="290" spans="2:34" x14ac:dyDescent="0.25">
      <c r="B290" s="51"/>
      <c r="C290" s="51"/>
      <c r="D290" s="51"/>
      <c r="E290" s="51"/>
      <c r="F290" s="51"/>
      <c r="G290" s="51"/>
      <c r="H290" s="51"/>
      <c r="I290" s="51"/>
      <c r="J290" s="51"/>
      <c r="K290" s="51"/>
      <c r="L290" s="51"/>
      <c r="M290" s="51"/>
      <c r="N290" s="51"/>
      <c r="O290" s="51"/>
      <c r="P290" s="51"/>
      <c r="Q290" s="51"/>
      <c r="R290" s="51"/>
      <c r="S290" s="51"/>
      <c r="T290" s="51"/>
      <c r="U290" s="51"/>
      <c r="V290" s="51"/>
      <c r="W290" s="51"/>
      <c r="X290" s="51"/>
      <c r="Y290" s="51"/>
      <c r="Z290" s="51"/>
      <c r="AA290" s="51"/>
      <c r="AB290" s="51"/>
      <c r="AC290" s="51"/>
      <c r="AD290" s="51"/>
      <c r="AE290" s="51"/>
      <c r="AF290" s="51"/>
      <c r="AG290" s="51"/>
      <c r="AH290" s="51"/>
    </row>
    <row r="291" spans="2:34" x14ac:dyDescent="0.25">
      <c r="B291" s="51"/>
      <c r="C291" s="51"/>
      <c r="D291" s="51"/>
      <c r="E291" s="51"/>
      <c r="F291" s="51"/>
      <c r="G291" s="51"/>
      <c r="H291" s="51"/>
      <c r="I291" s="51"/>
      <c r="J291" s="51"/>
      <c r="K291" s="51"/>
      <c r="L291" s="51"/>
      <c r="M291" s="51"/>
      <c r="N291" s="51"/>
      <c r="O291" s="51"/>
      <c r="P291" s="51"/>
      <c r="Q291" s="51"/>
      <c r="R291" s="51"/>
      <c r="S291" s="51"/>
      <c r="T291" s="51"/>
      <c r="U291" s="51"/>
      <c r="V291" s="51"/>
      <c r="W291" s="51"/>
      <c r="X291" s="51"/>
      <c r="Y291" s="51"/>
      <c r="Z291" s="51"/>
      <c r="AA291" s="51"/>
      <c r="AB291" s="51"/>
      <c r="AC291" s="51"/>
      <c r="AD291" s="51"/>
      <c r="AE291" s="51"/>
      <c r="AF291" s="51"/>
      <c r="AG291" s="51"/>
      <c r="AH291" s="51"/>
    </row>
    <row r="292" spans="2:34" x14ac:dyDescent="0.25">
      <c r="B292" s="51"/>
      <c r="C292" s="51"/>
      <c r="D292" s="51"/>
      <c r="E292" s="51"/>
      <c r="F292" s="51"/>
      <c r="G292" s="51"/>
      <c r="H292" s="51"/>
      <c r="I292" s="51"/>
      <c r="J292" s="51"/>
      <c r="K292" s="51"/>
      <c r="L292" s="51"/>
      <c r="M292" s="51"/>
      <c r="N292" s="51"/>
      <c r="O292" s="51"/>
      <c r="P292" s="51"/>
      <c r="Q292" s="51"/>
      <c r="R292" s="51"/>
      <c r="S292" s="51"/>
      <c r="T292" s="51"/>
      <c r="U292" s="51"/>
      <c r="V292" s="51"/>
      <c r="W292" s="51"/>
      <c r="X292" s="51"/>
      <c r="Y292" s="51"/>
      <c r="Z292" s="51"/>
      <c r="AA292" s="51"/>
      <c r="AB292" s="51"/>
      <c r="AC292" s="51"/>
      <c r="AD292" s="51"/>
      <c r="AE292" s="51"/>
      <c r="AF292" s="51"/>
      <c r="AG292" s="51"/>
      <c r="AH292" s="51"/>
    </row>
    <row r="293" spans="2:34" x14ac:dyDescent="0.25">
      <c r="B293" s="51"/>
      <c r="C293" s="51"/>
      <c r="D293" s="51"/>
      <c r="E293" s="51"/>
      <c r="F293" s="51"/>
      <c r="G293" s="51"/>
      <c r="H293" s="51"/>
      <c r="I293" s="51"/>
      <c r="J293" s="51"/>
      <c r="K293" s="51"/>
      <c r="L293" s="51"/>
      <c r="M293" s="51"/>
      <c r="N293" s="51"/>
      <c r="O293" s="51"/>
      <c r="P293" s="51"/>
      <c r="Q293" s="51"/>
      <c r="R293" s="51"/>
      <c r="S293" s="51"/>
      <c r="T293" s="51"/>
      <c r="U293" s="51"/>
      <c r="V293" s="51"/>
      <c r="W293" s="51"/>
      <c r="X293" s="51"/>
      <c r="Y293" s="51"/>
      <c r="Z293" s="51"/>
      <c r="AA293" s="51"/>
      <c r="AB293" s="51"/>
      <c r="AC293" s="51"/>
      <c r="AD293" s="51"/>
      <c r="AE293" s="51"/>
      <c r="AF293" s="51"/>
      <c r="AG293" s="51"/>
      <c r="AH293" s="51"/>
    </row>
    <row r="294" spans="2:34" x14ac:dyDescent="0.25">
      <c r="B294" s="51"/>
      <c r="C294" s="51"/>
      <c r="D294" s="51"/>
      <c r="E294" s="51"/>
      <c r="F294" s="51"/>
      <c r="G294" s="51"/>
      <c r="H294" s="51"/>
      <c r="I294" s="51"/>
      <c r="J294" s="51"/>
      <c r="K294" s="51"/>
      <c r="L294" s="51"/>
      <c r="M294" s="51"/>
      <c r="N294" s="51"/>
      <c r="O294" s="51"/>
      <c r="P294" s="51"/>
      <c r="Q294" s="51"/>
      <c r="R294" s="51"/>
      <c r="S294" s="51"/>
      <c r="T294" s="51"/>
      <c r="U294" s="51"/>
      <c r="V294" s="51"/>
      <c r="W294" s="51"/>
      <c r="X294" s="51"/>
      <c r="Y294" s="51"/>
      <c r="Z294" s="51"/>
      <c r="AA294" s="51"/>
      <c r="AB294" s="51"/>
      <c r="AC294" s="51"/>
      <c r="AD294" s="51"/>
      <c r="AE294" s="51"/>
      <c r="AF294" s="51"/>
      <c r="AG294" s="51"/>
      <c r="AH294" s="51"/>
    </row>
    <row r="295" spans="2:34" x14ac:dyDescent="0.25">
      <c r="B295" s="51"/>
      <c r="C295" s="51"/>
      <c r="D295" s="51"/>
      <c r="E295" s="51"/>
      <c r="F295" s="51"/>
      <c r="G295" s="51"/>
      <c r="H295" s="51"/>
      <c r="I295" s="51"/>
      <c r="J295" s="51"/>
      <c r="K295" s="51"/>
      <c r="L295" s="51"/>
      <c r="M295" s="51"/>
      <c r="N295" s="51"/>
      <c r="O295" s="51"/>
      <c r="P295" s="51"/>
      <c r="Q295" s="51"/>
      <c r="R295" s="51"/>
      <c r="S295" s="51"/>
      <c r="T295" s="51"/>
      <c r="U295" s="51"/>
      <c r="V295" s="51"/>
      <c r="W295" s="51"/>
      <c r="X295" s="51"/>
      <c r="Y295" s="51"/>
      <c r="Z295" s="51"/>
      <c r="AA295" s="51"/>
      <c r="AB295" s="51"/>
      <c r="AC295" s="51"/>
      <c r="AD295" s="51"/>
      <c r="AE295" s="51"/>
      <c r="AF295" s="51"/>
      <c r="AG295" s="51"/>
      <c r="AH295" s="51"/>
    </row>
    <row r="296" spans="2:34" x14ac:dyDescent="0.25">
      <c r="B296" s="51"/>
      <c r="C296" s="51"/>
      <c r="D296" s="51"/>
      <c r="E296" s="51"/>
      <c r="F296" s="51"/>
      <c r="G296" s="51"/>
      <c r="H296" s="51"/>
      <c r="I296" s="51"/>
      <c r="J296" s="51"/>
      <c r="K296" s="51"/>
      <c r="L296" s="51"/>
      <c r="M296" s="51"/>
      <c r="N296" s="51"/>
      <c r="O296" s="51"/>
      <c r="P296" s="51"/>
      <c r="Q296" s="51"/>
      <c r="R296" s="51"/>
      <c r="S296" s="51"/>
      <c r="T296" s="51"/>
      <c r="U296" s="51"/>
      <c r="V296" s="51"/>
      <c r="W296" s="51"/>
      <c r="X296" s="51"/>
      <c r="Y296" s="51"/>
      <c r="Z296" s="51"/>
      <c r="AA296" s="51"/>
      <c r="AB296" s="51"/>
      <c r="AC296" s="51"/>
      <c r="AD296" s="51"/>
      <c r="AE296" s="51"/>
      <c r="AF296" s="51"/>
      <c r="AG296" s="51"/>
      <c r="AH296" s="51"/>
    </row>
    <row r="297" spans="2:34" x14ac:dyDescent="0.25">
      <c r="B297" s="51"/>
      <c r="C297" s="51"/>
      <c r="D297" s="51"/>
      <c r="E297" s="51"/>
      <c r="F297" s="51"/>
      <c r="G297" s="51"/>
      <c r="H297" s="51"/>
      <c r="I297" s="51"/>
      <c r="J297" s="51"/>
      <c r="K297" s="51"/>
      <c r="L297" s="51"/>
      <c r="M297" s="51"/>
      <c r="N297" s="51"/>
      <c r="O297" s="51"/>
      <c r="P297" s="51"/>
      <c r="Q297" s="51"/>
      <c r="R297" s="51"/>
      <c r="S297" s="51"/>
      <c r="T297" s="51"/>
      <c r="U297" s="51"/>
      <c r="V297" s="51"/>
      <c r="W297" s="51"/>
      <c r="X297" s="51"/>
      <c r="Y297" s="51"/>
      <c r="Z297" s="51"/>
      <c r="AA297" s="51"/>
      <c r="AB297" s="51"/>
      <c r="AC297" s="51"/>
      <c r="AD297" s="51"/>
      <c r="AE297" s="51"/>
      <c r="AF297" s="51"/>
      <c r="AG297" s="51"/>
      <c r="AH297" s="51"/>
    </row>
    <row r="298" spans="2:34" x14ac:dyDescent="0.25">
      <c r="B298" s="51"/>
      <c r="C298" s="51"/>
      <c r="D298" s="51"/>
      <c r="E298" s="51"/>
      <c r="F298" s="51"/>
      <c r="G298" s="51"/>
      <c r="H298" s="51"/>
      <c r="I298" s="51"/>
      <c r="J298" s="51"/>
      <c r="K298" s="51"/>
      <c r="L298" s="51"/>
      <c r="M298" s="51"/>
      <c r="N298" s="51"/>
      <c r="O298" s="51"/>
      <c r="P298" s="51"/>
      <c r="Q298" s="51"/>
      <c r="R298" s="51"/>
      <c r="S298" s="51"/>
      <c r="T298" s="51"/>
      <c r="U298" s="51"/>
      <c r="V298" s="51"/>
      <c r="W298" s="51"/>
      <c r="X298" s="51"/>
      <c r="Y298" s="51"/>
      <c r="Z298" s="51"/>
      <c r="AA298" s="51"/>
      <c r="AB298" s="51"/>
      <c r="AC298" s="51"/>
      <c r="AD298" s="51"/>
      <c r="AE298" s="51"/>
      <c r="AF298" s="51"/>
      <c r="AG298" s="51"/>
      <c r="AH298" s="51"/>
    </row>
    <row r="299" spans="2:34" x14ac:dyDescent="0.25">
      <c r="B299" s="51"/>
      <c r="C299" s="51"/>
      <c r="D299" s="51"/>
      <c r="E299" s="51"/>
      <c r="F299" s="51"/>
      <c r="G299" s="51"/>
      <c r="H299" s="51"/>
      <c r="I299" s="51"/>
      <c r="J299" s="51"/>
      <c r="K299" s="51"/>
      <c r="L299" s="51"/>
      <c r="M299" s="51"/>
      <c r="N299" s="51"/>
      <c r="O299" s="51"/>
      <c r="P299" s="51"/>
      <c r="Q299" s="51"/>
      <c r="R299" s="51"/>
      <c r="S299" s="51"/>
      <c r="T299" s="51"/>
      <c r="U299" s="51"/>
      <c r="V299" s="51"/>
      <c r="W299" s="51"/>
      <c r="X299" s="51"/>
      <c r="Y299" s="51"/>
      <c r="Z299" s="51"/>
      <c r="AA299" s="51"/>
      <c r="AB299" s="51"/>
      <c r="AC299" s="51"/>
      <c r="AD299" s="51"/>
      <c r="AE299" s="51"/>
      <c r="AF299" s="51"/>
      <c r="AG299" s="51"/>
      <c r="AH299" s="51"/>
    </row>
    <row r="300" spans="2:34" x14ac:dyDescent="0.25">
      <c r="B300" s="51"/>
      <c r="C300" s="51"/>
      <c r="D300" s="51"/>
      <c r="E300" s="51"/>
      <c r="F300" s="51"/>
      <c r="G300" s="51"/>
      <c r="H300" s="51"/>
      <c r="I300" s="51"/>
      <c r="J300" s="51"/>
      <c r="K300" s="51"/>
      <c r="L300" s="51"/>
      <c r="M300" s="51"/>
      <c r="N300" s="51"/>
      <c r="O300" s="51"/>
      <c r="P300" s="51"/>
      <c r="Q300" s="51"/>
      <c r="R300" s="51"/>
      <c r="S300" s="51"/>
      <c r="T300" s="51"/>
      <c r="U300" s="51"/>
      <c r="V300" s="51"/>
      <c r="W300" s="51"/>
      <c r="X300" s="51"/>
      <c r="Y300" s="51"/>
      <c r="Z300" s="51"/>
      <c r="AA300" s="51"/>
      <c r="AB300" s="51"/>
      <c r="AC300" s="51"/>
      <c r="AD300" s="51"/>
      <c r="AE300" s="51"/>
      <c r="AF300" s="51"/>
      <c r="AG300" s="51"/>
      <c r="AH300" s="51"/>
    </row>
    <row r="301" spans="2:34" x14ac:dyDescent="0.25">
      <c r="S301" s="51"/>
      <c r="T301" s="51"/>
      <c r="U301" s="51"/>
      <c r="V301" s="51"/>
      <c r="W301" s="51"/>
      <c r="X301" s="51"/>
      <c r="Y301" s="51"/>
      <c r="Z301" s="51"/>
      <c r="AA301" s="51"/>
      <c r="AB301" s="51"/>
      <c r="AC301" s="51"/>
      <c r="AD301" s="51"/>
      <c r="AE301" s="51"/>
      <c r="AF301" s="51"/>
      <c r="AG301" s="51"/>
      <c r="AH301" s="51"/>
    </row>
    <row r="302" spans="2:34" x14ac:dyDescent="0.25">
      <c r="S302" s="51"/>
      <c r="T302" s="51"/>
      <c r="U302" s="51"/>
      <c r="V302" s="51"/>
      <c r="W302" s="51"/>
      <c r="X302" s="51"/>
      <c r="Y302" s="51"/>
      <c r="Z302" s="51"/>
      <c r="AA302" s="51"/>
      <c r="AB302" s="51"/>
      <c r="AC302" s="51"/>
      <c r="AD302" s="51"/>
      <c r="AE302" s="51"/>
      <c r="AF302" s="51"/>
      <c r="AG302" s="51"/>
      <c r="AH302" s="51"/>
    </row>
    <row r="303" spans="2:34" x14ac:dyDescent="0.25">
      <c r="S303" s="51"/>
      <c r="T303" s="51"/>
      <c r="U303" s="51"/>
      <c r="V303" s="51"/>
      <c r="W303" s="51"/>
      <c r="X303" s="51"/>
      <c r="Y303" s="51"/>
      <c r="Z303" s="51"/>
      <c r="AA303" s="51"/>
      <c r="AB303" s="51"/>
      <c r="AC303" s="51"/>
      <c r="AD303" s="51"/>
      <c r="AE303" s="51"/>
      <c r="AF303" s="51"/>
      <c r="AG303" s="51"/>
      <c r="AH303" s="51"/>
    </row>
    <row r="304" spans="2:34" x14ac:dyDescent="0.25">
      <c r="S304" s="51"/>
      <c r="T304" s="51"/>
      <c r="U304" s="51"/>
      <c r="V304" s="51"/>
      <c r="W304" s="51"/>
      <c r="X304" s="51"/>
      <c r="Y304" s="51"/>
      <c r="Z304" s="51"/>
      <c r="AA304" s="51"/>
      <c r="AB304" s="51"/>
      <c r="AC304" s="51"/>
      <c r="AD304" s="51"/>
      <c r="AE304" s="51"/>
      <c r="AF304" s="51"/>
      <c r="AG304" s="51"/>
      <c r="AH304" s="51"/>
    </row>
    <row r="305" spans="19:34" x14ac:dyDescent="0.25">
      <c r="S305" s="51"/>
      <c r="T305" s="51"/>
      <c r="U305" s="51"/>
      <c r="V305" s="51"/>
      <c r="W305" s="51"/>
      <c r="X305" s="51"/>
      <c r="Y305" s="51"/>
      <c r="Z305" s="51"/>
      <c r="AA305" s="51"/>
      <c r="AB305" s="51"/>
      <c r="AC305" s="51"/>
      <c r="AD305" s="51"/>
      <c r="AE305" s="51"/>
      <c r="AF305" s="51"/>
      <c r="AG305" s="51"/>
      <c r="AH305" s="51"/>
    </row>
    <row r="306" spans="19:34" x14ac:dyDescent="0.25">
      <c r="S306" s="51"/>
      <c r="T306" s="51"/>
      <c r="U306" s="51"/>
      <c r="V306" s="51"/>
      <c r="W306" s="51"/>
      <c r="X306" s="51"/>
      <c r="Y306" s="51"/>
      <c r="Z306" s="51"/>
      <c r="AA306" s="51"/>
      <c r="AB306" s="51"/>
      <c r="AC306" s="51"/>
      <c r="AD306" s="51"/>
      <c r="AE306" s="51"/>
      <c r="AF306" s="51"/>
    </row>
  </sheetData>
  <mergeCells count="50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AB8:AF8"/>
    <mergeCell ref="AH8:AH9"/>
    <mergeCell ref="AI8:AI9"/>
    <mergeCell ref="A9:A10"/>
    <mergeCell ref="B9:B10"/>
    <mergeCell ref="C9:C10"/>
    <mergeCell ref="D9:D10"/>
    <mergeCell ref="E9:E10"/>
    <mergeCell ref="F9:F10"/>
    <mergeCell ref="G9:G10"/>
    <mergeCell ref="S8:AA8"/>
    <mergeCell ref="H9:H10"/>
    <mergeCell ref="I9:I10"/>
    <mergeCell ref="J9:J10"/>
    <mergeCell ref="K9:K10"/>
    <mergeCell ref="L9:L10"/>
    <mergeCell ref="Y9:Y10"/>
    <mergeCell ref="N9:N10"/>
    <mergeCell ref="O9:O10"/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M9:M10"/>
    <mergeCell ref="AF9:AF10"/>
    <mergeCell ref="AG9:AG10"/>
    <mergeCell ref="AN103:AN104"/>
    <mergeCell ref="Z9:Z10"/>
    <mergeCell ref="AA9:AA10"/>
    <mergeCell ref="AB9:AB10"/>
    <mergeCell ref="AC9:AC10"/>
    <mergeCell ref="AD9:AD10"/>
    <mergeCell ref="AE9:AE10"/>
  </mergeCells>
  <conditionalFormatting sqref="A11:A72 A108:A159 A74:A102">
    <cfRule type="expression" dxfId="177" priority="21">
      <formula>$AH11=0</formula>
    </cfRule>
  </conditionalFormatting>
  <conditionalFormatting sqref="A101:A102">
    <cfRule type="expression" dxfId="176" priority="189">
      <formula>$AH106=0</formula>
    </cfRule>
  </conditionalFormatting>
  <conditionalFormatting sqref="A103:A107">
    <cfRule type="expression" dxfId="175" priority="137">
      <formula>$AH102=0</formula>
    </cfRule>
  </conditionalFormatting>
  <conditionalFormatting sqref="A161:A168">
    <cfRule type="expression" dxfId="174" priority="190">
      <formula>$AH268=0</formula>
    </cfRule>
  </conditionalFormatting>
  <conditionalFormatting sqref="A169:A276">
    <cfRule type="expression" dxfId="173" priority="60">
      <formula>$AH169=0</formula>
    </cfRule>
  </conditionalFormatting>
  <conditionalFormatting sqref="B8">
    <cfRule type="expression" dxfId="172" priority="185">
      <formula>AND(C$9&gt;=14/24,C$9&lt;20/24)</formula>
    </cfRule>
    <cfRule type="expression" dxfId="171" priority="186">
      <formula>AND(C$9&gt;=8/24,C$9&lt;14/24)</formula>
    </cfRule>
    <cfRule type="expression" dxfId="170" priority="187">
      <formula>C$9&lt;8/24</formula>
    </cfRule>
    <cfRule type="expression" dxfId="169" priority="188">
      <formula>C$9&gt;=20/24</formula>
    </cfRule>
  </conditionalFormatting>
  <conditionalFormatting sqref="C11:AA13 AB12:AF13 E76:AF77 E80:E90 F82:G90 H84:J90 K85:AF90 C97:AF107 B9:AF10 C117:AF134 B76:D90 B113:B115 C109:AF115 B108:AF108 B117:B124 C137:AF152 C154:AF158 B72:L72 B153:AF153 B93:AF96">
    <cfRule type="expression" dxfId="168" priority="102">
      <formula>B$9&gt;=20/24</formula>
    </cfRule>
  </conditionalFormatting>
  <conditionalFormatting sqref="B9:AF10 C11:AA13 AB12:AF13 E76:AF77 E80:E90 F82:G90 H84:J90 K85:AF90 C97:AF107 C117:AF134 B76:D90 B113:B115 C109:AF115 B108:AF108 B117:B124 C137:AF152 C154:AF158 B72:L72 B153:AF153 B93:AF96">
    <cfRule type="expression" dxfId="167" priority="103">
      <formula>AND(B$9&gt;=14/24,B$9&lt;20/24)</formula>
    </cfRule>
    <cfRule type="expression" dxfId="166" priority="104">
      <formula>AND(B$9&gt;=8/24,B$9&lt;14/24)</formula>
    </cfRule>
    <cfRule type="expression" dxfId="165" priority="105">
      <formula>B$9&lt;8/24</formula>
    </cfRule>
  </conditionalFormatting>
  <conditionalFormatting sqref="C14:AF28 B29:AF53">
    <cfRule type="expression" dxfId="164" priority="45">
      <formula>B14&gt;$AG14*1</formula>
    </cfRule>
    <cfRule type="expression" dxfId="163" priority="46">
      <formula>B$9&gt;=20/24</formula>
    </cfRule>
    <cfRule type="expression" dxfId="162" priority="47">
      <formula>AND(B$9&gt;=14/24,B$9&lt;20/24)</formula>
    </cfRule>
    <cfRule type="expression" dxfId="161" priority="48">
      <formula>AND(B$9&gt;=8/24,B$9&lt;14/24)</formula>
    </cfRule>
    <cfRule type="expression" dxfId="160" priority="49">
      <formula>B$9&lt;8/24</formula>
    </cfRule>
  </conditionalFormatting>
  <conditionalFormatting sqref="B54:AF68">
    <cfRule type="expression" dxfId="159" priority="38">
      <formula>B$9&lt;8/24</formula>
    </cfRule>
  </conditionalFormatting>
  <conditionalFormatting sqref="B54:AF70">
    <cfRule type="expression" dxfId="158" priority="35">
      <formula>B$9&gt;=20/24</formula>
    </cfRule>
    <cfRule type="expression" dxfId="157" priority="36">
      <formula>AND(B$9&gt;=14/24,B$9&lt;20/24)</formula>
    </cfRule>
    <cfRule type="expression" dxfId="156" priority="37">
      <formula>AND(B$9&gt;=8/24,B$9&lt;14/24)</formula>
    </cfRule>
  </conditionalFormatting>
  <conditionalFormatting sqref="B63:AF65">
    <cfRule type="expression" dxfId="155" priority="39">
      <formula>B63&gt;$AG63</formula>
    </cfRule>
  </conditionalFormatting>
  <conditionalFormatting sqref="B69:AF70">
    <cfRule type="expression" dxfId="154" priority="110">
      <formula>B$9&lt;8/24</formula>
    </cfRule>
  </conditionalFormatting>
  <conditionalFormatting sqref="B72:AF75">
    <cfRule type="expression" dxfId="153" priority="26">
      <formula>B72&gt;$AG72*1</formula>
    </cfRule>
  </conditionalFormatting>
  <conditionalFormatting sqref="B73:AF75">
    <cfRule type="expression" dxfId="152" priority="27">
      <formula>B$9&gt;=20/24</formula>
    </cfRule>
    <cfRule type="expression" dxfId="151" priority="28">
      <formula>AND(B$9&gt;=14/24,B$9&lt;20/24)</formula>
    </cfRule>
    <cfRule type="expression" dxfId="150" priority="29">
      <formula>AND(B$9&gt;=8/24,B$9&lt;14/24)</formula>
    </cfRule>
    <cfRule type="expression" dxfId="149" priority="30">
      <formula>B$9&lt;8/24</formula>
    </cfRule>
  </conditionalFormatting>
  <conditionalFormatting sqref="C162:AF168">
    <cfRule type="expression" dxfId="148" priority="61">
      <formula>C$9&gt;=20/24</formula>
    </cfRule>
    <cfRule type="expression" dxfId="147" priority="62">
      <formula>AND(C$9&gt;=14/24,C$9&lt;20/24)</formula>
    </cfRule>
    <cfRule type="expression" dxfId="146" priority="63">
      <formula>AND(C$9&gt;=8/24,C$9&lt;14/24)</formula>
    </cfRule>
    <cfRule type="expression" dxfId="145" priority="64">
      <formula>C$9&lt;8/24</formula>
    </cfRule>
  </conditionalFormatting>
  <conditionalFormatting sqref="C170:AF275">
    <cfRule type="expression" dxfId="144" priority="22">
      <formula>C$9&gt;=20/24</formula>
    </cfRule>
    <cfRule type="expression" dxfId="143" priority="23">
      <formula>AND(C$9&gt;=14/24,C$9&lt;20/24)</formula>
    </cfRule>
    <cfRule type="expression" dxfId="142" priority="24">
      <formula>AND(C$9&gt;=8/24,C$9&lt;14/24)</formula>
    </cfRule>
    <cfRule type="expression" dxfId="141" priority="25">
      <formula>C$9&lt;8/24</formula>
    </cfRule>
  </conditionalFormatting>
  <conditionalFormatting sqref="AD80:AF90 AB69:AF70 AA70 C11:AA13 AB12:AF13 AG78 AF92:AF95 AF96:AG96 B79:AC90 B71:AG71 B76:AF78 B91:AF91 B92:AE96 B69:AA69">
    <cfRule type="expression" dxfId="140" priority="101">
      <formula>B11&gt;$AG11*1</formula>
    </cfRule>
  </conditionalFormatting>
  <conditionalFormatting sqref="E79:I83 J80:J83 K83:O83">
    <cfRule type="expression" dxfId="139" priority="111">
      <formula>E$9&gt;=20/24</formula>
    </cfRule>
    <cfRule type="expression" dxfId="138" priority="112">
      <formula>AND(E$9&gt;=14/24,E$9&lt;20/24)</formula>
    </cfRule>
    <cfRule type="expression" dxfId="137" priority="113">
      <formula>AND(E$9&gt;=8/24,E$9&lt;14/24)</formula>
    </cfRule>
    <cfRule type="expression" dxfId="136" priority="114">
      <formula>E$9&lt;8/24</formula>
    </cfRule>
  </conditionalFormatting>
  <conditionalFormatting sqref="E84:O84">
    <cfRule type="expression" dxfId="135" priority="106">
      <formula>E$9&gt;=20/24</formula>
    </cfRule>
    <cfRule type="expression" dxfId="134" priority="107">
      <formula>AND(E$9&gt;=14/24,E$9&lt;20/24)</formula>
    </cfRule>
    <cfRule type="expression" dxfId="133" priority="108">
      <formula>AND(E$9&gt;=8/24,E$9&lt;14/24)</formula>
    </cfRule>
    <cfRule type="expression" dxfId="132" priority="109">
      <formula>E$9&lt;8/24</formula>
    </cfRule>
  </conditionalFormatting>
  <conditionalFormatting sqref="E76:AF78 B72:AF72">
    <cfRule type="expression" dxfId="131" priority="121">
      <formula>B$9&gt;=20/24</formula>
    </cfRule>
    <cfRule type="expression" dxfId="130" priority="122">
      <formula>AND(B$9&gt;=14/24,B$9&lt;20/24)</formula>
    </cfRule>
    <cfRule type="expression" dxfId="129" priority="123">
      <formula>AND(B$9&gt;=8/24,B$9&lt;14/24)</formula>
    </cfRule>
    <cfRule type="expression" dxfId="128" priority="124">
      <formula>B$9&lt;8/24</formula>
    </cfRule>
  </conditionalFormatting>
  <conditionalFormatting sqref="E73:AF75">
    <cfRule type="expression" dxfId="127" priority="31">
      <formula>E$9&gt;=20/24</formula>
    </cfRule>
    <cfRule type="expression" dxfId="126" priority="32">
      <formula>AND(E$9&gt;=14/24,E$9&lt;20/24)</formula>
    </cfRule>
    <cfRule type="expression" dxfId="125" priority="33">
      <formula>AND(E$9&gt;=8/24,E$9&lt;14/24)</formula>
    </cfRule>
    <cfRule type="expression" dxfId="124" priority="34">
      <formula>E$9&lt;8/24</formula>
    </cfRule>
  </conditionalFormatting>
  <conditionalFormatting sqref="F79:O81">
    <cfRule type="expression" dxfId="123" priority="129">
      <formula>F$9&gt;=20/24</formula>
    </cfRule>
    <cfRule type="expression" dxfId="122" priority="130">
      <formula>AND(F$9&gt;=14/24,F$9&lt;20/24)</formula>
    </cfRule>
    <cfRule type="expression" dxfId="121" priority="131">
      <formula>AND(F$9&gt;=8/24,F$9&lt;14/24)</formula>
    </cfRule>
    <cfRule type="expression" dxfId="120" priority="132">
      <formula>F$9&lt;8/24</formula>
    </cfRule>
  </conditionalFormatting>
  <conditionalFormatting sqref="L84:AF84">
    <cfRule type="expression" dxfId="119" priority="125">
      <formula>L$9&gt;=20/24</formula>
    </cfRule>
    <cfRule type="expression" dxfId="118" priority="126">
      <formula>AND(L$9&gt;=14/24,L$9&lt;20/24)</formula>
    </cfRule>
    <cfRule type="expression" dxfId="117" priority="127">
      <formula>AND(L$9&gt;=8/24,L$9&lt;14/24)</formula>
    </cfRule>
    <cfRule type="expression" dxfId="116" priority="128">
      <formula>L$9&lt;8/24</formula>
    </cfRule>
  </conditionalFormatting>
  <conditionalFormatting sqref="M8 S8 AB8">
    <cfRule type="expression" dxfId="115" priority="178">
      <formula>AND(N$9&gt;=14/24,N$9&lt;20/24)</formula>
    </cfRule>
    <cfRule type="expression" dxfId="114" priority="179">
      <formula>AND(N$9&gt;=8/24,N$9&lt;14/24)</formula>
    </cfRule>
    <cfRule type="expression" dxfId="113" priority="180">
      <formula>N$9&lt;8/24</formula>
    </cfRule>
  </conditionalFormatting>
  <conditionalFormatting sqref="M79:Y83 Z80:AA83">
    <cfRule type="expression" dxfId="112" priority="133">
      <formula>M$9&gt;=20/24</formula>
    </cfRule>
    <cfRule type="expression" dxfId="111" priority="134">
      <formula>AND(M$9&gt;=14/24,M$9&lt;20/24)</formula>
    </cfRule>
    <cfRule type="expression" dxfId="110" priority="135">
      <formula>AND(M$9&gt;=8/24,M$9&lt;14/24)</formula>
    </cfRule>
    <cfRule type="expression" dxfId="109" priority="136">
      <formula>M$9&lt;8/24</formula>
    </cfRule>
  </conditionalFormatting>
  <conditionalFormatting sqref="O3:P3">
    <cfRule type="iconSet" priority="175">
      <iconSet iconSet="3TrafficLights2" reverse="1">
        <cfvo type="percent" val="0"/>
        <cfvo type="num" val="1"/>
        <cfvo type="num" val="1"/>
      </iconSet>
    </cfRule>
  </conditionalFormatting>
  <conditionalFormatting sqref="S8 AB8 M8">
    <cfRule type="expression" dxfId="108" priority="177">
      <formula>N$9&gt;=20/24</formula>
    </cfRule>
  </conditionalFormatting>
  <conditionalFormatting sqref="S8">
    <cfRule type="expression" dxfId="107" priority="168">
      <formula>U$9&gt;=20/24</formula>
    </cfRule>
    <cfRule type="expression" dxfId="106" priority="169">
      <formula>AND(U$9&gt;=14/24,U$9&lt;20/24)</formula>
    </cfRule>
    <cfRule type="expression" dxfId="105" priority="170">
      <formula>AND(U$9&gt;=8/24,U$9&lt;14/24)</formula>
    </cfRule>
    <cfRule type="expression" dxfId="104" priority="171">
      <formula>U$9&lt;8/24</formula>
    </cfRule>
  </conditionalFormatting>
  <conditionalFormatting sqref="T79:AF84">
    <cfRule type="expression" dxfId="103" priority="55">
      <formula>T$9&gt;=20/24</formula>
    </cfRule>
    <cfRule type="expression" dxfId="102" priority="56">
      <formula>AND(T$9&gt;=14/24,T$9&lt;20/24)</formula>
    </cfRule>
    <cfRule type="expression" dxfId="101" priority="57">
      <formula>AND(T$9&gt;=8/24,T$9&lt;14/24)</formula>
    </cfRule>
    <cfRule type="expression" dxfId="100" priority="58">
      <formula>T$9&lt;8/24</formula>
    </cfRule>
  </conditionalFormatting>
  <conditionalFormatting sqref="V3 AB3">
    <cfRule type="iconSet" priority="176">
      <iconSet iconSet="3TrafficLights2" reverse="1">
        <cfvo type="percent" val="0"/>
        <cfvo type="num" val="1"/>
        <cfvo type="num" val="1"/>
      </iconSet>
    </cfRule>
  </conditionalFormatting>
  <conditionalFormatting sqref="Y65:AF65">
    <cfRule type="expression" dxfId="99" priority="40">
      <formula>Y$9&gt;=20/24</formula>
    </cfRule>
    <cfRule type="expression" dxfId="98" priority="41">
      <formula>AND(Y$9&gt;=14/24,Y$9&lt;20/24)</formula>
    </cfRule>
    <cfRule type="expression" dxfId="97" priority="42">
      <formula>AND(Y$9&gt;=8/24,Y$9&lt;14/24)</formula>
    </cfRule>
    <cfRule type="expression" dxfId="96" priority="43">
      <formula>Y$9&lt;8/24</formula>
    </cfRule>
  </conditionalFormatting>
  <conditionalFormatting sqref="Z69:Z70">
    <cfRule type="expression" dxfId="95" priority="120">
      <formula>Z69&gt;$AG69</formula>
    </cfRule>
  </conditionalFormatting>
  <conditionalFormatting sqref="Z66:AF69 AB11:AF11 B54:AF62 B66:Y70">
    <cfRule type="expression" dxfId="94" priority="115">
      <formula>B11&gt;$AG11</formula>
    </cfRule>
  </conditionalFormatting>
  <conditionalFormatting sqref="AB8">
    <cfRule type="expression" dxfId="93" priority="164">
      <formula>AD$9&gt;=20/24</formula>
    </cfRule>
    <cfRule type="expression" dxfId="92" priority="165">
      <formula>AND(AD$9&gt;=14/24,AD$9&lt;20/24)</formula>
    </cfRule>
    <cfRule type="expression" dxfId="91" priority="166">
      <formula>AND(AD$9&gt;=8/24,AD$9&lt;14/24)</formula>
    </cfRule>
    <cfRule type="expression" dxfId="90" priority="167">
      <formula>AD$9&lt;8/24</formula>
    </cfRule>
  </conditionalFormatting>
  <conditionalFormatting sqref="AB11:AF11">
    <cfRule type="expression" dxfId="89" priority="116">
      <formula>AB$9&gt;=20/24</formula>
    </cfRule>
    <cfRule type="expression" dxfId="88" priority="117">
      <formula>AND(AB$9&gt;=14/24,AB$9&lt;20/24)</formula>
    </cfRule>
    <cfRule type="expression" dxfId="87" priority="118">
      <formula>AND(AB$9&gt;=8/24,AB$9&lt;14/24)</formula>
    </cfRule>
    <cfRule type="expression" dxfId="86" priority="119">
      <formula>AB$9&lt;8/24</formula>
    </cfRule>
  </conditionalFormatting>
  <conditionalFormatting sqref="AD79:AF79">
    <cfRule type="expression" dxfId="85" priority="191">
      <formula>AD79&gt;$AG80*1</formula>
    </cfRule>
  </conditionalFormatting>
  <conditionalFormatting sqref="AG78">
    <cfRule type="expression" dxfId="84" priority="143">
      <formula>AG$9&gt;=20/24</formula>
    </cfRule>
    <cfRule type="expression" dxfId="83" priority="144">
      <formula>AND(AG$9&gt;=14/24,AG$9&lt;20/24)</formula>
    </cfRule>
    <cfRule type="expression" dxfId="82" priority="145">
      <formula>AND(AG$9&gt;=8/24,AG$9&lt;14/24)</formula>
    </cfRule>
    <cfRule type="expression" dxfId="81" priority="146">
      <formula>AG$9&lt;8/24</formula>
    </cfRule>
  </conditionalFormatting>
  <conditionalFormatting sqref="AG91:AG92">
    <cfRule type="expression" dxfId="80" priority="138">
      <formula>AG91&gt;$AG91</formula>
    </cfRule>
  </conditionalFormatting>
  <conditionalFormatting sqref="AG96">
    <cfRule type="expression" dxfId="79" priority="139">
      <formula>AG$9&gt;=20/24</formula>
    </cfRule>
    <cfRule type="expression" dxfId="78" priority="140">
      <formula>AND(AG$9&gt;=14/24,AG$9&lt;20/24)</formula>
    </cfRule>
    <cfRule type="expression" dxfId="77" priority="141">
      <formula>AND(AG$9&gt;=8/24,AG$9&lt;14/24)</formula>
    </cfRule>
    <cfRule type="expression" dxfId="76" priority="142">
      <formula>AG$9&lt;8/24</formula>
    </cfRule>
  </conditionalFormatting>
  <conditionalFormatting sqref="AG113">
    <cfRule type="expression" dxfId="75" priority="160">
      <formula>AG$9&gt;=20/24</formula>
    </cfRule>
    <cfRule type="expression" dxfId="74" priority="161">
      <formula>AND(AG$9&gt;=14/24,AG$9&lt;20/24)</formula>
    </cfRule>
    <cfRule type="expression" dxfId="73" priority="162">
      <formula>AND(AG$9&gt;=8/24,AG$9&lt;14/24)</formula>
    </cfRule>
    <cfRule type="expression" dxfId="72" priority="163">
      <formula>AG$9&lt;8/24</formula>
    </cfRule>
  </conditionalFormatting>
  <conditionalFormatting sqref="AH8:AI10">
    <cfRule type="expression" dxfId="71" priority="51">
      <formula>AH$9&gt;=20/24</formula>
    </cfRule>
    <cfRule type="expression" dxfId="70" priority="52">
      <formula>AND(AH$9&gt;=14/24,AH$9&lt;20/24)</formula>
    </cfRule>
    <cfRule type="expression" dxfId="69" priority="53">
      <formula>AND(AH$9&gt;=8/24,AH$9&lt;14/24)</formula>
    </cfRule>
    <cfRule type="expression" dxfId="68" priority="54">
      <formula>AH$9&lt;8/24</formula>
    </cfRule>
  </conditionalFormatting>
  <conditionalFormatting sqref="AL4:AL6">
    <cfRule type="iconSet" priority="174">
      <iconSet iconSet="3TrafficLights2" reverse="1">
        <cfvo type="percent" val="0"/>
        <cfvo type="num" val="1"/>
        <cfvo type="num" val="1"/>
      </iconSet>
    </cfRule>
  </conditionalFormatting>
  <conditionalFormatting sqref="AL26">
    <cfRule type="iconSet" priority="158">
      <iconSet iconSet="3TrafficLights2" reverse="1">
        <cfvo type="percent" val="0"/>
        <cfvo type="num" val="1"/>
        <cfvo type="num" val="1"/>
      </iconSet>
    </cfRule>
  </conditionalFormatting>
  <conditionalFormatting sqref="AL33">
    <cfRule type="iconSet" priority="50">
      <iconSet iconSet="3TrafficLights2" reverse="1">
        <cfvo type="percent" val="0"/>
        <cfvo type="num" val="1"/>
        <cfvo type="num" val="1"/>
      </iconSet>
    </cfRule>
  </conditionalFormatting>
  <conditionalFormatting sqref="AL49">
    <cfRule type="iconSet" priority="148">
      <iconSet iconSet="3TrafficLights2" reverse="1">
        <cfvo type="percent" val="0"/>
        <cfvo type="num" val="1"/>
        <cfvo type="num" val="1"/>
      </iconSet>
    </cfRule>
  </conditionalFormatting>
  <conditionalFormatting sqref="AL55">
    <cfRule type="iconSet" priority="157">
      <iconSet iconSet="3TrafficLights2" reverse="1">
        <cfvo type="percent" val="0"/>
        <cfvo type="num" val="1"/>
        <cfvo type="num" val="1"/>
      </iconSet>
    </cfRule>
  </conditionalFormatting>
  <conditionalFormatting sqref="AL58">
    <cfRule type="iconSet" priority="159">
      <iconSet iconSet="3TrafficLights2" reverse="1">
        <cfvo type="percent" val="0"/>
        <cfvo type="num" val="1"/>
        <cfvo type="num" val="1"/>
      </iconSet>
    </cfRule>
  </conditionalFormatting>
  <conditionalFormatting sqref="AL59 AL56:AL57 AL7:AL11 AL27:AL32 AL50:AL54 AL68 AL34:AL48">
    <cfRule type="iconSet" priority="192">
      <iconSet iconSet="3TrafficLights2" reverse="1">
        <cfvo type="percent" val="0"/>
        <cfvo type="num" val="1"/>
        <cfvo type="num" val="1"/>
      </iconSet>
    </cfRule>
  </conditionalFormatting>
  <conditionalFormatting sqref="AL60:AL62">
    <cfRule type="iconSet" priority="173">
      <iconSet iconSet="3TrafficLights2" reverse="1">
        <cfvo type="percent" val="0"/>
        <cfvo type="num" val="1"/>
        <cfvo type="num" val="1"/>
      </iconSet>
    </cfRule>
  </conditionalFormatting>
  <conditionalFormatting sqref="AL63:AL64">
    <cfRule type="iconSet" priority="59">
      <iconSet iconSet="3TrafficLights2" reverse="1">
        <cfvo type="percent" val="0"/>
        <cfvo type="num" val="1"/>
        <cfvo type="num" val="1"/>
      </iconSet>
    </cfRule>
  </conditionalFormatting>
  <conditionalFormatting sqref="AL65">
    <cfRule type="iconSet" priority="44">
      <iconSet iconSet="3TrafficLights2" reverse="1">
        <cfvo type="percent" val="0"/>
        <cfvo type="num" val="1"/>
        <cfvo type="num" val="1"/>
      </iconSet>
    </cfRule>
  </conditionalFormatting>
  <conditionalFormatting sqref="AL66">
    <cfRule type="iconSet" priority="172">
      <iconSet iconSet="3TrafficLights2" reverse="1">
        <cfvo type="percent" val="0"/>
        <cfvo type="num" val="1"/>
        <cfvo type="num" val="1"/>
      </iconSet>
    </cfRule>
  </conditionalFormatting>
  <conditionalFormatting sqref="AL67">
    <cfRule type="iconSet" priority="147">
      <iconSet iconSet="3TrafficLights2" reverse="1">
        <cfvo type="percent" val="0"/>
        <cfvo type="num" val="1"/>
        <cfvo type="num" val="1"/>
      </iconSet>
    </cfRule>
  </conditionalFormatting>
  <conditionalFormatting sqref="AL100:AM104">
    <cfRule type="expression" dxfId="67" priority="181">
      <formula>AJ$9&gt;=20/24</formula>
    </cfRule>
    <cfRule type="expression" dxfId="66" priority="182">
      <formula>AND(AJ$9&gt;=14/24,AJ$9&lt;20/24)</formula>
    </cfRule>
    <cfRule type="expression" dxfId="65" priority="183">
      <formula>AND(AJ$9&gt;=8/24,AJ$9&lt;14/24)</formula>
    </cfRule>
    <cfRule type="expression" dxfId="64" priority="184">
      <formula>AJ$9&lt;8/24</formula>
    </cfRule>
  </conditionalFormatting>
  <conditionalFormatting sqref="AL99:AN99 AL105:AN105">
    <cfRule type="expression" dxfId="63" priority="153">
      <formula>AL$9&gt;=20/24</formula>
    </cfRule>
    <cfRule type="expression" dxfId="62" priority="154">
      <formula>AND(AL$9&gt;=14/24,AL$9&lt;20/24)</formula>
    </cfRule>
    <cfRule type="expression" dxfId="61" priority="155">
      <formula>AND(AL$9&gt;=8/24,AL$9&lt;14/24)</formula>
    </cfRule>
    <cfRule type="expression" dxfId="60" priority="156">
      <formula>AL$9&lt;8/24</formula>
    </cfRule>
  </conditionalFormatting>
  <conditionalFormatting sqref="AM15:AM21 AN16:AR21">
    <cfRule type="expression" dxfId="59" priority="77">
      <formula>AX$9&gt;=20/24</formula>
    </cfRule>
    <cfRule type="expression" dxfId="58" priority="78">
      <formula>AND(AX$9&gt;=14/24,AX$9&lt;20/24)</formula>
    </cfRule>
    <cfRule type="expression" dxfId="57" priority="79">
      <formula>AND(AX$9&gt;=8/24,AX$9&lt;14/24)</formula>
    </cfRule>
    <cfRule type="expression" dxfId="56" priority="80">
      <formula>AX$9&lt;8/24</formula>
    </cfRule>
  </conditionalFormatting>
  <conditionalFormatting sqref="AN100:AN103">
    <cfRule type="expression" dxfId="55" priority="149">
      <formula>AN$9&gt;=20/24</formula>
    </cfRule>
    <cfRule type="expression" dxfId="54" priority="150">
      <formula>AND(AN$9&gt;=14/24,AN$9&lt;20/24)</formula>
    </cfRule>
    <cfRule type="expression" dxfId="53" priority="151">
      <formula>AND(AN$9&gt;=8/24,AN$9&lt;14/24)</formula>
    </cfRule>
    <cfRule type="expression" dxfId="52" priority="152">
      <formula>AN$9&lt;8/24</formula>
    </cfRule>
  </conditionalFormatting>
  <conditionalFormatting sqref="AN15:AR15">
    <cfRule type="expression" dxfId="51" priority="65">
      <formula>U$9&gt;=20/24</formula>
    </cfRule>
    <cfRule type="expression" dxfId="50" priority="66">
      <formula>AND(U$9&gt;=14/24,U$9&lt;20/24)</formula>
    </cfRule>
    <cfRule type="expression" dxfId="49" priority="67">
      <formula>AND(U$9&gt;=8/24,U$9&lt;14/24)</formula>
    </cfRule>
    <cfRule type="expression" dxfId="48" priority="68">
      <formula>U$9&lt;8/24</formula>
    </cfRule>
  </conditionalFormatting>
  <conditionalFormatting sqref="AS15">
    <cfRule type="expression" dxfId="47" priority="73">
      <formula>AA$9&gt;=20/24</formula>
    </cfRule>
    <cfRule type="expression" dxfId="46" priority="74">
      <formula>AND(AA$9&gt;=14/24,AA$9&lt;20/24)</formula>
    </cfRule>
    <cfRule type="expression" dxfId="45" priority="75">
      <formula>AND(AA$9&gt;=8/24,AA$9&lt;14/24)</formula>
    </cfRule>
    <cfRule type="expression" dxfId="44" priority="76">
      <formula>AA$9&lt;8/24</formula>
    </cfRule>
  </conditionalFormatting>
  <conditionalFormatting sqref="AS16:AS21">
    <cfRule type="expression" dxfId="43" priority="81">
      <formula>BE$9&gt;=20/24</formula>
    </cfRule>
    <cfRule type="expression" dxfId="42" priority="82">
      <formula>AND(BE$9&gt;=14/24,BE$9&lt;20/24)</formula>
    </cfRule>
    <cfRule type="expression" dxfId="41" priority="83">
      <formula>AND(BE$9&gt;=8/24,BE$9&lt;14/24)</formula>
    </cfRule>
    <cfRule type="expression" dxfId="40" priority="84">
      <formula>BE$9&lt;8/24</formula>
    </cfRule>
  </conditionalFormatting>
  <conditionalFormatting sqref="AT15 AX15:BJ15">
    <cfRule type="expression" dxfId="39" priority="85">
      <formula>AC$9&gt;=20/24</formula>
    </cfRule>
    <cfRule type="expression" dxfId="38" priority="86">
      <formula>AND(AC$9&gt;=14/24,AC$9&lt;20/24)</formula>
    </cfRule>
    <cfRule type="expression" dxfId="37" priority="87">
      <formula>AND(AC$9&gt;=8/24,AC$9&lt;14/24)</formula>
    </cfRule>
    <cfRule type="expression" dxfId="36" priority="88">
      <formula>AC$9&lt;8/24</formula>
    </cfRule>
  </conditionalFormatting>
  <conditionalFormatting sqref="AT16:AT21">
    <cfRule type="expression" dxfId="35" priority="89">
      <formula>BG$9&gt;=20/24</formula>
    </cfRule>
    <cfRule type="expression" dxfId="34" priority="90">
      <formula>AND(BG$9&gt;=14/24,BG$9&lt;20/24)</formula>
    </cfRule>
    <cfRule type="expression" dxfId="33" priority="91">
      <formula>AND(BG$9&gt;=8/24,BG$9&lt;14/24)</formula>
    </cfRule>
    <cfRule type="expression" dxfId="32" priority="92">
      <formula>BG$9&lt;8/24</formula>
    </cfRule>
  </conditionalFormatting>
  <conditionalFormatting sqref="AU15:AV15">
    <cfRule type="expression" dxfId="31" priority="93">
      <formula>AE$9&gt;=20/24</formula>
    </cfRule>
    <cfRule type="expression" dxfId="30" priority="94">
      <formula>AND(AE$9&gt;=14/24,AE$9&lt;20/24)</formula>
    </cfRule>
    <cfRule type="expression" dxfId="29" priority="95">
      <formula>AND(AE$9&gt;=8/24,AE$9&lt;14/24)</formula>
    </cfRule>
    <cfRule type="expression" dxfId="28" priority="96">
      <formula>AE$9&lt;8/24</formula>
    </cfRule>
  </conditionalFormatting>
  <conditionalFormatting sqref="AU16:BJ21">
    <cfRule type="expression" dxfId="27" priority="97">
      <formula>BI$9&gt;=20/24</formula>
    </cfRule>
    <cfRule type="expression" dxfId="26" priority="98">
      <formula>AND(BI$9&gt;=14/24,BI$9&lt;20/24)</formula>
    </cfRule>
    <cfRule type="expression" dxfId="25" priority="99">
      <formula>AND(BI$9&gt;=8/24,BI$9&lt;14/24)</formula>
    </cfRule>
    <cfRule type="expression" dxfId="24" priority="100">
      <formula>BI$9&lt;8/24</formula>
    </cfRule>
  </conditionalFormatting>
  <conditionalFormatting sqref="AW15">
    <cfRule type="expression" dxfId="23" priority="69">
      <formula>B$9&gt;=20/24</formula>
    </cfRule>
    <cfRule type="expression" dxfId="22" priority="70">
      <formula>AND(B$9&gt;=14/24,B$9&lt;20/24)</formula>
    </cfRule>
    <cfRule type="expression" dxfId="21" priority="71">
      <formula>AND(B$9&gt;=8/24,B$9&lt;14/24)</formula>
    </cfRule>
    <cfRule type="expression" dxfId="20" priority="72">
      <formula>B$9&lt;8/24</formula>
    </cfRule>
  </conditionalFormatting>
  <conditionalFormatting sqref="A73">
    <cfRule type="expression" dxfId="19" priority="20">
      <formula>$AH73=0</formula>
    </cfRule>
  </conditionalFormatting>
  <conditionalFormatting sqref="B11:B13 B97:B107 B137:B152 B109:B112 B125:B134 B154:B160 C159:AF160">
    <cfRule type="expression" dxfId="18" priority="16">
      <formula>B$9&gt;=20/24</formula>
    </cfRule>
  </conditionalFormatting>
  <conditionalFormatting sqref="B11:B13 B97:B107 B137:B152 B109:B112 B125:B134 B154:B160 C159:AF160">
    <cfRule type="expression" dxfId="17" priority="17">
      <formula>AND(B$9&gt;=14/24,B$9&lt;20/24)</formula>
    </cfRule>
    <cfRule type="expression" dxfId="16" priority="18">
      <formula>AND(B$9&gt;=8/24,B$9&lt;14/24)</formula>
    </cfRule>
    <cfRule type="expression" dxfId="15" priority="19">
      <formula>B$9&lt;8/24</formula>
    </cfRule>
  </conditionalFormatting>
  <conditionalFormatting sqref="B14:B28">
    <cfRule type="expression" dxfId="14" priority="6">
      <formula>B14&gt;$AG14*1</formula>
    </cfRule>
    <cfRule type="expression" dxfId="13" priority="7">
      <formula>B$9&gt;=20/24</formula>
    </cfRule>
    <cfRule type="expression" dxfId="12" priority="8">
      <formula>AND(B$9&gt;=14/24,B$9&lt;20/24)</formula>
    </cfRule>
    <cfRule type="expression" dxfId="11" priority="9">
      <formula>AND(B$9&gt;=8/24,B$9&lt;14/24)</formula>
    </cfRule>
    <cfRule type="expression" dxfId="10" priority="10">
      <formula>B$9&lt;8/24</formula>
    </cfRule>
  </conditionalFormatting>
  <conditionalFormatting sqref="B162:B168">
    <cfRule type="expression" dxfId="9" priority="11">
      <formula>B$9&gt;=20/24</formula>
    </cfRule>
    <cfRule type="expression" dxfId="8" priority="12">
      <formula>AND(B$9&gt;=14/24,B$9&lt;20/24)</formula>
    </cfRule>
    <cfRule type="expression" dxfId="7" priority="13">
      <formula>AND(B$9&gt;=8/24,B$9&lt;14/24)</formula>
    </cfRule>
    <cfRule type="expression" dxfId="6" priority="14">
      <formula>B$9&lt;8/24</formula>
    </cfRule>
  </conditionalFormatting>
  <conditionalFormatting sqref="B170:B275">
    <cfRule type="expression" dxfId="5" priority="2">
      <formula>B$9&gt;=20/24</formula>
    </cfRule>
    <cfRule type="expression" dxfId="4" priority="3">
      <formula>AND(B$9&gt;=14/24,B$9&lt;20/24)</formula>
    </cfRule>
    <cfRule type="expression" dxfId="3" priority="4">
      <formula>AND(B$9&gt;=8/24,B$9&lt;14/24)</formula>
    </cfRule>
    <cfRule type="expression" dxfId="2" priority="5">
      <formula>B$9&lt;8/24</formula>
    </cfRule>
  </conditionalFormatting>
  <conditionalFormatting sqref="B11:B13">
    <cfRule type="expression" dxfId="1" priority="15">
      <formula>B11&gt;$AG11*1</formula>
    </cfRule>
  </conditionalFormatting>
  <conditionalFormatting sqref="A153">
    <cfRule type="expression" dxfId="0" priority="1">
      <formula>AND(ISNUMBER(SEARCH("Hrs", $A$153)), VALUE(TRIM(MID($A$153, SEARCH("m3/s,", $A$153)+5, SEARCH("Hrs", $A$153) - SEARCH("m3/s,", $A$153) - 5))) &lt;= 2)</formula>
    </cfRule>
  </conditionalFormatting>
  <pageMargins left="0.7" right="0.7" top="0.75" bottom="0.75" header="0.3" footer="0.3"/>
  <pageSetup paperSize="9" orientation="portrait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00</vt:lpstr>
      <vt:lpstr>01</vt:lpstr>
      <vt:lpstr>Sample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CRLDC</dc:creator>
  <cp:lastModifiedBy>CRLDC</cp:lastModifiedBy>
  <dcterms:created xsi:type="dcterms:W3CDTF">2026-07-16T17:23:03Z</dcterms:created>
  <dcterms:modified xsi:type="dcterms:W3CDTF">2026-07-17T16:45:01Z</dcterms:modified>
</cp:coreProperties>
</file>