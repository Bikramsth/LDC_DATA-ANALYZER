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49" i="77" l="1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T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T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T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T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T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T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T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T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T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T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S164" i="77" s="1"/>
  <c r="T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T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T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T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T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T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T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T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T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T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T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T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T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T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T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T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T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T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T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T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T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T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T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T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T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T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S166" i="77" s="1"/>
  <c r="T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S165" i="77" s="1"/>
  <c r="T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S163" i="77" s="1"/>
  <c r="T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S162" i="77" s="1"/>
  <c r="T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W123" i="77"/>
  <c r="O123" i="77"/>
  <c r="AW23" i="77" s="1"/>
  <c r="G123" i="77"/>
  <c r="AR23" i="77" s="1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T122" i="77"/>
  <c r="S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B121" i="77"/>
  <c r="AA121" i="77"/>
  <c r="Z121" i="77"/>
  <c r="Y121" i="77"/>
  <c r="X121" i="77"/>
  <c r="X123" i="77" s="1"/>
  <c r="BE23" i="77" s="1"/>
  <c r="W121" i="77"/>
  <c r="V121" i="77"/>
  <c r="U121" i="77"/>
  <c r="T121" i="77"/>
  <c r="S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T120" i="77"/>
  <c r="S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AI120" i="77" s="1"/>
  <c r="D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V123" i="77" s="1"/>
  <c r="BD23" i="77" s="1"/>
  <c r="U119" i="77"/>
  <c r="T119" i="77"/>
  <c r="S119" i="77"/>
  <c r="R119" i="77"/>
  <c r="Q119" i="77"/>
  <c r="P119" i="77"/>
  <c r="O119" i="77"/>
  <c r="N119" i="77"/>
  <c r="N123" i="77" s="1"/>
  <c r="AV23" i="77" s="1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T118" i="77"/>
  <c r="S118" i="77"/>
  <c r="S123" i="77" s="1"/>
  <c r="BA23" i="77" s="1"/>
  <c r="R118" i="77"/>
  <c r="Q118" i="77"/>
  <c r="P118" i="77"/>
  <c r="O118" i="77"/>
  <c r="N118" i="77"/>
  <c r="M118" i="77"/>
  <c r="L118" i="77"/>
  <c r="K118" i="77"/>
  <c r="J118" i="77"/>
  <c r="J123" i="77" s="1"/>
  <c r="I118" i="77"/>
  <c r="H118" i="77"/>
  <c r="G118" i="77"/>
  <c r="F118" i="77"/>
  <c r="E118" i="77"/>
  <c r="AH118" i="77" s="1"/>
  <c r="D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U123" i="77" s="1"/>
  <c r="BC23" i="77" s="1"/>
  <c r="T117" i="77"/>
  <c r="S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I123" i="77" s="1"/>
  <c r="AS23" i="77" s="1"/>
  <c r="H117" i="77"/>
  <c r="G117" i="77"/>
  <c r="F117" i="77"/>
  <c r="E117" i="77"/>
  <c r="D117" i="77"/>
  <c r="AI114" i="77"/>
  <c r="AH114" i="77"/>
  <c r="AE113" i="77"/>
  <c r="AE115" i="77" s="1"/>
  <c r="AE116" i="77" s="1"/>
  <c r="AE7" i="77" s="1"/>
  <c r="Z113" i="77"/>
  <c r="Z115" i="77" s="1"/>
  <c r="O113" i="77"/>
  <c r="O115" i="77" s="1"/>
  <c r="O116" i="77" s="1"/>
  <c r="O7" i="77" s="1"/>
  <c r="J113" i="77"/>
  <c r="J115" i="77" s="1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T108" i="77"/>
  <c r="S5" i="77" s="1"/>
  <c r="S108" i="77"/>
  <c r="R108" i="77"/>
  <c r="Q108" i="77"/>
  <c r="P108" i="77"/>
  <c r="O108" i="77"/>
  <c r="N108" i="77"/>
  <c r="M108" i="77"/>
  <c r="L108" i="77"/>
  <c r="K108" i="77"/>
  <c r="J108" i="77"/>
  <c r="I108" i="77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V96" i="77"/>
  <c r="U96" i="77"/>
  <c r="T96" i="77"/>
  <c r="T113" i="77" s="1"/>
  <c r="T115" i="77" s="1"/>
  <c r="S96" i="77"/>
  <c r="R96" i="77"/>
  <c r="Q96" i="77"/>
  <c r="AY20" i="77" s="1"/>
  <c r="P96" i="77"/>
  <c r="AX20" i="77" s="1"/>
  <c r="O96" i="77"/>
  <c r="AW20" i="77" s="1"/>
  <c r="N96" i="77"/>
  <c r="M96" i="77"/>
  <c r="L96" i="77"/>
  <c r="K96" i="77"/>
  <c r="J96" i="77"/>
  <c r="I96" i="77"/>
  <c r="H96" i="77"/>
  <c r="G96" i="77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W92" i="77"/>
  <c r="V92" i="77"/>
  <c r="U92" i="77"/>
  <c r="BC18" i="77" s="1"/>
  <c r="T92" i="77"/>
  <c r="S92" i="77"/>
  <c r="R92" i="77"/>
  <c r="AZ18" i="77" s="1"/>
  <c r="Q92" i="77"/>
  <c r="AY18" i="77" s="1"/>
  <c r="P92" i="77"/>
  <c r="O92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S91" i="77"/>
  <c r="BP91" i="77"/>
  <c r="BN91" i="77"/>
  <c r="BK91" i="77"/>
  <c r="BH91" i="77"/>
  <c r="BG91" i="77"/>
  <c r="BC91" i="77"/>
  <c r="AI91" i="77"/>
  <c r="AH91" i="77"/>
  <c r="BV90" i="77"/>
  <c r="BU90" i="77"/>
  <c r="BS90" i="77"/>
  <c r="BR90" i="77"/>
  <c r="BN90" i="77"/>
  <c r="BM90" i="77"/>
  <c r="BK90" i="77"/>
  <c r="BJ90" i="77"/>
  <c r="BI90" i="77"/>
  <c r="BF90" i="77"/>
  <c r="BE90" i="77"/>
  <c r="BC90" i="77"/>
  <c r="AI90" i="77"/>
  <c r="AH90" i="77"/>
  <c r="BU89" i="77"/>
  <c r="BT89" i="77"/>
  <c r="BP89" i="77"/>
  <c r="BO89" i="77"/>
  <c r="BM89" i="77"/>
  <c r="BL89" i="77"/>
  <c r="BK89" i="77"/>
  <c r="BH89" i="77"/>
  <c r="BG89" i="77"/>
  <c r="BE89" i="77"/>
  <c r="BD89" i="77"/>
  <c r="AI89" i="77"/>
  <c r="AH89" i="77"/>
  <c r="BW88" i="77"/>
  <c r="BV88" i="77"/>
  <c r="BR88" i="77"/>
  <c r="BQ88" i="77"/>
  <c r="BO88" i="77"/>
  <c r="BN88" i="77"/>
  <c r="BM88" i="77"/>
  <c r="BJ88" i="77"/>
  <c r="BI88" i="77"/>
  <c r="BG88" i="77"/>
  <c r="BF88" i="77"/>
  <c r="AI88" i="77"/>
  <c r="AH88" i="77"/>
  <c r="BT87" i="77"/>
  <c r="BS87" i="77"/>
  <c r="BQ87" i="77"/>
  <c r="BP87" i="77"/>
  <c r="BL87" i="77"/>
  <c r="BK87" i="77"/>
  <c r="BI87" i="77"/>
  <c r="BH87" i="77"/>
  <c r="BG87" i="77"/>
  <c r="BD87" i="77"/>
  <c r="BA87" i="77"/>
  <c r="AZ87" i="77"/>
  <c r="AI87" i="77"/>
  <c r="AH87" i="77"/>
  <c r="BV86" i="77"/>
  <c r="BU86" i="77"/>
  <c r="BS86" i="77"/>
  <c r="BR86" i="77"/>
  <c r="BN86" i="77"/>
  <c r="BM86" i="77"/>
  <c r="BK86" i="77"/>
  <c r="BJ86" i="77"/>
  <c r="BI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R83" i="77"/>
  <c r="BQ83" i="77"/>
  <c r="BQ90" i="77" s="1"/>
  <c r="BP83" i="77"/>
  <c r="BP90" i="77" s="1"/>
  <c r="BO83" i="77"/>
  <c r="BO90" i="77" s="1"/>
  <c r="BN83" i="77"/>
  <c r="BM83" i="77"/>
  <c r="BL83" i="77"/>
  <c r="BL90" i="77" s="1"/>
  <c r="BK83" i="77"/>
  <c r="BJ83" i="77"/>
  <c r="BI83" i="77"/>
  <c r="BH83" i="77"/>
  <c r="BH90" i="77" s="1"/>
  <c r="BG83" i="77"/>
  <c r="BG90" i="77" s="1"/>
  <c r="BF83" i="77"/>
  <c r="BE83" i="77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O82" i="77"/>
  <c r="BN82" i="77"/>
  <c r="BN89" i="77" s="1"/>
  <c r="BM82" i="77"/>
  <c r="BL82" i="77"/>
  <c r="BK82" i="77"/>
  <c r="BJ82" i="77"/>
  <c r="BJ89" i="77" s="1"/>
  <c r="BI82" i="77"/>
  <c r="BI89" i="77" s="1"/>
  <c r="BH82" i="77"/>
  <c r="BG82" i="77"/>
  <c r="BF82" i="77"/>
  <c r="BF89" i="77" s="1"/>
  <c r="BE82" i="77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Q81" i="77"/>
  <c r="BP81" i="77"/>
  <c r="BP88" i="77" s="1"/>
  <c r="BO81" i="77"/>
  <c r="BN81" i="77"/>
  <c r="BM81" i="77"/>
  <c r="BL81" i="77"/>
  <c r="BL88" i="77" s="1"/>
  <c r="BK81" i="77"/>
  <c r="BK88" i="77" s="1"/>
  <c r="BJ81" i="77"/>
  <c r="BI81" i="77"/>
  <c r="BH81" i="77"/>
  <c r="BH88" i="77" s="1"/>
  <c r="BG81" i="77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O80" i="77"/>
  <c r="BO87" i="77" s="1"/>
  <c r="BN80" i="77"/>
  <c r="BN87" i="77" s="1"/>
  <c r="BM80" i="77"/>
  <c r="BM87" i="77" s="1"/>
  <c r="BL80" i="77"/>
  <c r="BK80" i="77"/>
  <c r="BJ80" i="77"/>
  <c r="BJ87" i="77" s="1"/>
  <c r="BI80" i="77"/>
  <c r="BH80" i="77"/>
  <c r="BG80" i="77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Q79" i="77"/>
  <c r="BQ86" i="77" s="1"/>
  <c r="BP79" i="77"/>
  <c r="BP86" i="77" s="1"/>
  <c r="BO79" i="77"/>
  <c r="BO86" i="77" s="1"/>
  <c r="BN79" i="77"/>
  <c r="BM79" i="77"/>
  <c r="BL79" i="77"/>
  <c r="BL86" i="77" s="1"/>
  <c r="BK79" i="77"/>
  <c r="BJ79" i="77"/>
  <c r="BI79" i="77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Y78" i="77"/>
  <c r="X78" i="77"/>
  <c r="W78" i="77"/>
  <c r="W113" i="77" s="1"/>
  <c r="W115" i="77" s="1"/>
  <c r="W116" i="77" s="1"/>
  <c r="W7" i="77" s="1"/>
  <c r="V78" i="77"/>
  <c r="BD17" i="77" s="1"/>
  <c r="BD22" i="77" s="1"/>
  <c r="BD25" i="77" s="1"/>
  <c r="U78" i="77"/>
  <c r="BC17" i="77" s="1"/>
  <c r="T78" i="77"/>
  <c r="S78" i="77"/>
  <c r="R78" i="77"/>
  <c r="Q78" i="77"/>
  <c r="P78" i="77"/>
  <c r="O78" i="77"/>
  <c r="AW17" i="77" s="1"/>
  <c r="N78" i="77"/>
  <c r="AV17" i="77" s="1"/>
  <c r="AV22" i="77" s="1"/>
  <c r="AV25" i="77" s="1"/>
  <c r="M78" i="77"/>
  <c r="L78" i="77"/>
  <c r="K78" i="77"/>
  <c r="J78" i="77"/>
  <c r="I78" i="77"/>
  <c r="AS17" i="77" s="1"/>
  <c r="H78" i="77"/>
  <c r="G78" i="77"/>
  <c r="G113" i="77" s="1"/>
  <c r="G115" i="77" s="1"/>
  <c r="G116" i="77" s="1"/>
  <c r="G7" i="77" s="1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X113" i="77" s="1"/>
  <c r="X115" i="77" s="1"/>
  <c r="X116" i="77" s="1"/>
  <c r="X7" i="77" s="1"/>
  <c r="W71" i="77"/>
  <c r="V71" i="77"/>
  <c r="U71" i="77"/>
  <c r="T71" i="77"/>
  <c r="S71" i="77"/>
  <c r="S113" i="77" s="1"/>
  <c r="S115" i="77" s="1"/>
  <c r="S116" i="77" s="1"/>
  <c r="S7" i="77" s="1"/>
  <c r="R71" i="77"/>
  <c r="Q71" i="77"/>
  <c r="P71" i="77"/>
  <c r="O71" i="77"/>
  <c r="N71" i="77"/>
  <c r="M71" i="77"/>
  <c r="L71" i="77"/>
  <c r="L113" i="77" s="1"/>
  <c r="L115" i="77" s="1"/>
  <c r="K71" i="77"/>
  <c r="AT16" i="77" s="1"/>
  <c r="AT22" i="77" s="1"/>
  <c r="J71" i="77"/>
  <c r="I71" i="77"/>
  <c r="H71" i="77"/>
  <c r="H113" i="77" s="1"/>
  <c r="H115" i="77" s="1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BF22" i="77"/>
  <c r="BA22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T20" i="77"/>
  <c r="AS20" i="77"/>
  <c r="AR20" i="77"/>
  <c r="AN20" i="77"/>
  <c r="AM20" i="77"/>
  <c r="AI20" i="77"/>
  <c r="AH20" i="77"/>
  <c r="BH19" i="77"/>
  <c r="BG19" i="77"/>
  <c r="BF19" i="77"/>
  <c r="BD19" i="77"/>
  <c r="BC19" i="77"/>
  <c r="BA19" i="77"/>
  <c r="AZ19" i="77"/>
  <c r="AY19" i="77"/>
  <c r="AV19" i="77"/>
  <c r="AU19" i="77"/>
  <c r="AT19" i="77"/>
  <c r="AQ19" i="77"/>
  <c r="AP19" i="77"/>
  <c r="AI19" i="77"/>
  <c r="AH19" i="77"/>
  <c r="BI18" i="77"/>
  <c r="BH18" i="77"/>
  <c r="BF18" i="77"/>
  <c r="BE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E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Z22" i="77" s="1"/>
  <c r="AY16" i="77"/>
  <c r="AW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T5" i="77"/>
  <c r="R5" i="77"/>
  <c r="Q5" i="77"/>
  <c r="P5" i="77"/>
  <c r="M5" i="77"/>
  <c r="L5" i="77"/>
  <c r="J5" i="77"/>
  <c r="I5" i="77"/>
  <c r="H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F123" i="77" l="1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Z25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J116" i="77"/>
  <c r="J7" i="77" s="1"/>
  <c r="F113" i="77"/>
  <c r="F115" i="77" s="1"/>
  <c r="F116" i="77" s="1"/>
  <c r="F7" i="77" s="1"/>
  <c r="N113" i="77"/>
  <c r="N115" i="77" s="1"/>
  <c r="N116" i="77" s="1"/>
  <c r="N7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S25" i="77" s="1"/>
  <c r="I124" i="77"/>
  <c r="AG115" i="77"/>
  <c r="K113" i="77"/>
  <c r="K115" i="77" s="1"/>
  <c r="AI117" i="77"/>
  <c r="R123" i="77"/>
  <c r="AZ23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J124" i="77"/>
  <c r="R124" i="77"/>
  <c r="AB113" i="77"/>
  <c r="AB115" i="77" s="1"/>
  <c r="AB116" i="77" s="1"/>
  <c r="AB7" i="77" s="1"/>
  <c r="AN23" i="77"/>
  <c r="AN25" i="77" s="1"/>
  <c r="K123" i="77"/>
  <c r="AA123" i="77"/>
  <c r="AA116" i="77" s="1"/>
  <c r="AA7" i="77" s="1"/>
  <c r="AI121" i="77"/>
  <c r="AI122" i="77"/>
  <c r="X124" i="77"/>
  <c r="BG95" i="77" a="1"/>
  <c r="S124" i="77"/>
  <c r="AA124" i="77"/>
  <c r="D123" i="77"/>
  <c r="AO23" i="77" s="1"/>
  <c r="L123" i="77"/>
  <c r="L116" i="77" s="1"/>
  <c r="L7" i="77" s="1"/>
  <c r="T123" i="77"/>
  <c r="BB23" i="77" s="1"/>
  <c r="G124" i="77"/>
  <c r="AM18" i="77"/>
  <c r="AI92" i="77"/>
  <c r="L124" i="77"/>
  <c r="K5" i="77"/>
  <c r="AB124" i="77"/>
  <c r="AA5" i="77"/>
  <c r="R113" i="77"/>
  <c r="R115" i="77" s="1"/>
  <c r="R116" i="77" s="1"/>
  <c r="R7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I116" i="77" s="1"/>
  <c r="I7" i="77" s="1"/>
  <c r="Y113" i="77"/>
  <c r="Y115" i="77" s="1"/>
  <c r="AG113" i="77"/>
  <c r="BE16" i="77"/>
  <c r="BE22" i="77" s="1"/>
  <c r="BE25" i="77" s="1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N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AP25" i="77" l="1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T124" i="77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T9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116" i="77"/>
  <c r="T7" i="77" s="1"/>
  <c r="D167" i="77"/>
  <c r="E161" i="77"/>
  <c r="AY23" i="77"/>
  <c r="Q124" i="77"/>
  <c r="K177" i="77"/>
  <c r="F183" i="77"/>
  <c r="D116" i="77"/>
  <c r="D7" i="77" s="1"/>
  <c r="R116" i="76"/>
  <c r="Q116" i="76"/>
  <c r="F161" i="77" l="1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T177" i="77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T183" i="77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S161" i="77"/>
  <c r="R135" i="77"/>
  <c r="U183" i="77"/>
  <c r="AB177" i="77"/>
  <c r="S274" i="77"/>
  <c r="T169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161" i="77"/>
  <c r="S135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T167" i="77" l="1"/>
  <c r="U161" i="77"/>
  <c r="T135" i="77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U135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V135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<sst xmlns="http://schemas.openxmlformats.org/spreadsheetml/2006/main" count="2197" uniqueCount="418">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</sst>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97" sqref="G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3.69 Hrs)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B13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152" sqref="F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1707.6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67.7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34.299999999999997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54.8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40.6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35.799999999999997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17.2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35.200000000000003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26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27.2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21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13.1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11.4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13.8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21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8.6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10.8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4.5999999999999996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145.5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1061.6999999999998</v>
      </c>
      <c r="C71" s="70">
        <f t="shared" si="21"/>
        <v>1061.6999999999998</v>
      </c>
      <c r="D71" s="70">
        <f t="shared" ref="D71:AG71" si="22">SUM(D11:D69)</f>
        <v>1061.6999999999998</v>
      </c>
      <c r="E71" s="70">
        <f t="shared" si="22"/>
        <v>1061.6999999999998</v>
      </c>
      <c r="F71" s="70">
        <f t="shared" si="22"/>
        <v>1061.6999999999998</v>
      </c>
      <c r="G71" s="70">
        <f t="shared" si="22"/>
        <v>150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350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76</v>
      </c>
      <c r="AI73" s="47">
        <f t="shared" si="3"/>
        <v>76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41.3</v>
      </c>
      <c r="AI74" s="47">
        <f t="shared" si="3"/>
        <v>40.4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26.9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13.4</v>
      </c>
      <c r="AI77" s="47">
        <f t="shared" si="24"/>
        <v>8.6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642.5</v>
      </c>
      <c r="C78" s="70">
        <f t="shared" si="25"/>
        <v>525</v>
      </c>
      <c r="D78" s="70">
        <f t="shared" ref="D78:AG78" si="26">SUM(D72:D77)</f>
        <v>555.00000000000011</v>
      </c>
      <c r="E78" s="70">
        <f t="shared" si="26"/>
        <v>579.1</v>
      </c>
      <c r="F78" s="70">
        <f t="shared" si="26"/>
        <v>578.9</v>
      </c>
      <c r="G78" s="70">
        <f t="shared" si="26"/>
        <v>0</v>
      </c>
      <c r="H78" s="70">
        <f t="shared" si="26"/>
        <v>0</v>
      </c>
      <c r="I78" s="70">
        <f t="shared" si="26"/>
        <v>0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642.5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-445</v>
      </c>
      <c r="BA79" s="81">
        <f t="shared" ref="BA79:BD83" si="27">D97</f>
        <v>-495</v>
      </c>
      <c r="BB79" s="81">
        <f t="shared" si="27"/>
        <v>-509.5</v>
      </c>
      <c r="BC79" s="81">
        <f t="shared" si="27"/>
        <v>-532.4</v>
      </c>
      <c r="BD79" s="81">
        <f t="shared" si="27"/>
        <v>0</v>
      </c>
      <c r="BE79" s="82">
        <f>I97</f>
        <v>0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61</v>
      </c>
      <c r="AI80" s="47">
        <f t="shared" si="24"/>
        <v>57.4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28.9</v>
      </c>
      <c r="BC80" s="81">
        <f t="shared" si="27"/>
        <v>28.3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69.3</v>
      </c>
      <c r="AI81" s="47">
        <f t="shared" si="24"/>
        <v>69.099999999999994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7"/>
        <v>44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7"/>
        <v>20.100000000000001</v>
      </c>
      <c r="BB82" s="81">
        <f t="shared" si="27"/>
        <v>19.8</v>
      </c>
      <c r="BC82" s="81">
        <f t="shared" si="27"/>
        <v>20.3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26.8</v>
      </c>
      <c r="AI83" s="47">
        <f t="shared" si="24"/>
        <v>14.3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11.7</v>
      </c>
      <c r="AI85" s="47">
        <f t="shared" si="24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-445</v>
      </c>
      <c r="BA86" s="82">
        <f t="shared" si="31"/>
        <v>-495</v>
      </c>
      <c r="BB86" s="82">
        <f t="shared" si="31"/>
        <v>-509.5</v>
      </c>
      <c r="BC86" s="82">
        <f t="shared" si="31"/>
        <v>-532.4</v>
      </c>
      <c r="BD86" s="82">
        <f t="shared" si="31"/>
        <v>0</v>
      </c>
      <c r="BE86" s="82">
        <f t="shared" si="31"/>
        <v>0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8.6999999999999993</v>
      </c>
      <c r="AI87" s="47">
        <f t="shared" si="24"/>
        <v>8.6999999999999993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28.9</v>
      </c>
      <c r="BC87" s="82">
        <f t="shared" si="31"/>
        <v>28.3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11.4</v>
      </c>
      <c r="AI88" s="47">
        <f t="shared" si="24"/>
        <v>11.1</v>
      </c>
      <c r="AK88" s="49"/>
      <c r="AZ88" s="82">
        <f t="shared" si="31"/>
        <v>47</v>
      </c>
      <c r="BA88" s="82">
        <f t="shared" si="31"/>
        <v>44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9.1999999999999993</v>
      </c>
      <c r="AI89" s="47">
        <f t="shared" si="24"/>
        <v>9.1999999999999993</v>
      </c>
      <c r="AK89" s="49"/>
      <c r="AZ89" s="82">
        <f t="shared" si="31"/>
        <v>21</v>
      </c>
      <c r="BA89" s="82">
        <f t="shared" si="31"/>
        <v>20.100000000000001</v>
      </c>
      <c r="BB89" s="82">
        <f t="shared" si="31"/>
        <v>19.8</v>
      </c>
      <c r="BC89" s="82">
        <f t="shared" si="31"/>
        <v>20.3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 t="shared" ref="B92:C92" si="32">SUM(B79:B91)</f>
        <v>354.40000000000003</v>
      </c>
      <c r="C92" s="70">
        <f t="shared" si="32"/>
        <v>348.49999999999994</v>
      </c>
      <c r="D92" s="70">
        <f t="shared" ref="B92:AG92" si="33">SUM(D79:D91)</f>
        <v>351.79999999999995</v>
      </c>
      <c r="E92" s="70">
        <f t="shared" si="33"/>
        <v>351.79999999999995</v>
      </c>
      <c r="F92" s="70">
        <f t="shared" si="33"/>
        <v>345.99999999999994</v>
      </c>
      <c r="G92" s="70">
        <f t="shared" si="33"/>
        <v>2</v>
      </c>
      <c r="H92" s="70">
        <f t="shared" si="33"/>
        <v>2</v>
      </c>
      <c r="I92" s="70">
        <f t="shared" si="33"/>
        <v>2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354.40000000000003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20</v>
      </c>
      <c r="AI93" s="47">
        <f t="shared" si="24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7</v>
      </c>
      <c r="AI94" s="47">
        <f t="shared" si="24"/>
        <v>7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3</v>
      </c>
      <c r="AI95" s="47">
        <f t="shared" si="24"/>
        <v>3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34">B93+B94+B95</f>
        <v>30</v>
      </c>
      <c r="C96" s="70">
        <f t="shared" si="34"/>
        <v>30</v>
      </c>
      <c r="D96" s="70">
        <f t="shared" ref="B96:AF96" si="35">D93+D94+D95</f>
        <v>30</v>
      </c>
      <c r="E96" s="70">
        <f t="shared" si="35"/>
        <v>24</v>
      </c>
      <c r="F96" s="70">
        <f t="shared" si="35"/>
        <v>24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30</v>
      </c>
      <c r="AI96" s="47">
        <f t="shared" si="24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-445.4</v>
      </c>
      <c r="AI97" s="47">
        <f t="shared" si="24"/>
        <v>-532.4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28.9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49.1</v>
      </c>
      <c r="AI99" s="47">
        <f t="shared" si="24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21.5</v>
      </c>
      <c r="AI100" s="47">
        <f t="shared" si="24"/>
        <v>19.8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19.600000000000001</v>
      </c>
      <c r="AI102" s="47">
        <f t="shared" si="24"/>
        <v>14.2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36">SUMIF(B97:B107,"&gt;0")</f>
        <v>88.199999999999989</v>
      </c>
      <c r="C108" s="70">
        <f t="shared" si="36"/>
        <v>86.1</v>
      </c>
      <c r="D108" s="70">
        <f t="shared" ref="B108:AF108" si="37">SUMIF(D97:D107,"&gt;0")</f>
        <v>78.3</v>
      </c>
      <c r="E108" s="70">
        <f t="shared" si="37"/>
        <v>64.3</v>
      </c>
      <c r="F108" s="70">
        <f t="shared" si="37"/>
        <v>68.2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88.199999999999989</v>
      </c>
      <c r="AI108" s="47">
        <f t="shared" si="24"/>
        <v>0</v>
      </c>
      <c r="AJ108" s="105">
        <f t="array" ref="AJ108">MIN(IF(B108:AF108&lt;&gt;0,B108:AF108))</f>
        <v>64.3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38">B71+B78+B96+B92+B108+B112</f>
        <v>2176.7999999999997</v>
      </c>
      <c r="C113" s="108">
        <f t="shared" si="38"/>
        <v>2051.2999999999997</v>
      </c>
      <c r="D113" s="108">
        <f t="shared" ref="B113:AG113" si="39">D71+D78+D96+D92+D108+D112</f>
        <v>2076.7999999999997</v>
      </c>
      <c r="E113" s="108">
        <f t="shared" si="39"/>
        <v>2080.8999999999996</v>
      </c>
      <c r="F113" s="108">
        <f t="shared" si="39"/>
        <v>2078.7999999999997</v>
      </c>
      <c r="G113" s="108">
        <f t="shared" si="39"/>
        <v>152</v>
      </c>
      <c r="H113" s="108">
        <f t="shared" si="39"/>
        <v>152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2176.7999999999997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60</v>
      </c>
      <c r="AI114" s="47">
        <f t="shared" si="24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40">B113+B114</f>
        <v>2236.7999999999997</v>
      </c>
      <c r="C115" s="108">
        <f t="shared" si="40"/>
        <v>2111.2999999999997</v>
      </c>
      <c r="D115" s="108">
        <f t="shared" ref="C115:AF115" si="41">D113+D114</f>
        <v>2136.7999999999997</v>
      </c>
      <c r="E115" s="108">
        <f t="shared" si="41"/>
        <v>2120.8999999999996</v>
      </c>
      <c r="F115" s="108">
        <f t="shared" si="41"/>
        <v>2118.7999999999997</v>
      </c>
      <c r="G115" s="108">
        <f t="shared" si="41"/>
        <v>152</v>
      </c>
      <c r="H115" s="108">
        <f t="shared" si="41"/>
        <v>152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2236.7999999999997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42">B115-(B123)</f>
        <v>1707.5999999999997</v>
      </c>
      <c r="C116" s="108">
        <f t="shared" si="42"/>
        <v>1665.8999999999996</v>
      </c>
      <c r="D116" s="108">
        <f t="shared" ref="C116:AF116" si="43">D115-(D123)</f>
        <v>1641.7999999999997</v>
      </c>
      <c r="E116" s="108">
        <f t="shared" si="43"/>
        <v>1611.3999999999996</v>
      </c>
      <c r="F116" s="108">
        <f t="shared" si="43"/>
        <v>1586.3999999999996</v>
      </c>
      <c r="G116" s="108">
        <f t="shared" si="43"/>
        <v>152</v>
      </c>
      <c r="H116" s="108">
        <f t="shared" si="43"/>
        <v>152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1707.5999999999997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44">IF(B97&lt;0,B97*-1,0)</f>
        <v>529.20000000000005</v>
      </c>
      <c r="C117" s="93">
        <f t="shared" si="44"/>
        <v>445.4</v>
      </c>
      <c r="D117" s="93">
        <f t="shared" ref="B117:AF122" si="45">IF(D97&lt;0,D97*-1,0)</f>
        <v>495</v>
      </c>
      <c r="E117" s="93">
        <f t="shared" si="45"/>
        <v>509.5</v>
      </c>
      <c r="F117" s="93">
        <f t="shared" si="45"/>
        <v>532.4</v>
      </c>
      <c r="G117" s="93">
        <f t="shared" si="45"/>
        <v>0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532.4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4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4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4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4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4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:C123" si="46">SUM(B117:B122)</f>
        <v>529.20000000000005</v>
      </c>
      <c r="C123" s="70">
        <f t="shared" si="46"/>
        <v>445.4</v>
      </c>
      <c r="D123" s="70">
        <f t="shared" ref="B123:AF123" si="47">SUM(D117:D122)</f>
        <v>495</v>
      </c>
      <c r="E123" s="70">
        <f t="shared" si="47"/>
        <v>509.5</v>
      </c>
      <c r="F123" s="70">
        <f t="shared" si="47"/>
        <v>532.4</v>
      </c>
      <c r="G123" s="70">
        <f t="shared" si="47"/>
        <v>0</v>
      </c>
      <c r="H123" s="70">
        <f t="shared" si="47"/>
        <v>0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532.4</v>
      </c>
      <c r="AI123" s="47">
        <f t="shared" si="24"/>
        <v>0</v>
      </c>
      <c r="AJ123" s="105">
        <f t="array" ref="AJ123">MIN(IF(B123:AF123&lt;&gt;0,B123:AF123))</f>
        <v>445.4</v>
      </c>
    </row>
    <row r="124" spans="1:64" ht="15.75" thickBot="1" x14ac:dyDescent="0.3">
      <c r="A124" s="87" t="s">
        <v>146</v>
      </c>
      <c r="B124" s="70">
        <f t="shared" ref="B124:C124" si="48">B108-B123</f>
        <v>-441.00000000000006</v>
      </c>
      <c r="C124" s="70">
        <f t="shared" si="48"/>
        <v>-359.29999999999995</v>
      </c>
      <c r="D124" s="70">
        <f t="shared" ref="B124:AF124" si="49">D108-D123</f>
        <v>-416.7</v>
      </c>
      <c r="E124" s="70">
        <f t="shared" si="49"/>
        <v>-445.2</v>
      </c>
      <c r="F124" s="70">
        <f t="shared" si="49"/>
        <v>-464.2</v>
      </c>
      <c r="G124" s="70">
        <f t="shared" si="49"/>
        <v>0</v>
      </c>
      <c r="H124" s="70">
        <f t="shared" si="49"/>
        <v>0</v>
      </c>
      <c r="I124" s="70">
        <f t="shared" si="49"/>
        <v>0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0</v>
      </c>
      <c r="AI124" s="47">
        <f t="shared" si="24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50.064</v>
      </c>
      <c r="AI126" s="47">
        <f t="shared" si="24"/>
        <v>49.957000000000001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133.9</v>
      </c>
      <c r="AI127" s="47">
        <f t="shared" si="24"/>
        <v>132.9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131.6</v>
      </c>
      <c r="AI128" s="47">
        <f t="shared" si="24"/>
        <v>130.1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135.80000000000001</v>
      </c>
      <c r="AI130" s="47">
        <f t="shared" si="24"/>
        <v>134.6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0</v>
      </c>
      <c r="AI131" s="47">
        <f t="shared" si="24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134.19999999999999</v>
      </c>
      <c r="AI132" s="47">
        <f t="shared" si="24"/>
        <v>124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67.400000000000006</v>
      </c>
      <c r="AI133" s="47">
        <f t="shared" si="24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:C135" si="50">SUM(B26,B32,B45:B46,B82,B84:B85,B87,B89,B137:B142,B177,B183,B189,B198,B200,B212,B219,B222:B223,B230,B232,B234,B238:B240,B242:B244,B249,B255:B256,B258:B260,B161,B166)</f>
        <v>169.54</v>
      </c>
      <c r="C135" s="114">
        <f t="shared" si="50"/>
        <v>161.53999999999994</v>
      </c>
      <c r="D135" s="114">
        <f t="shared" ref="C135:O135" si="51">SUM(D26,D32,D45:D46,D82,D84:D85,D87,D89,D137:D142,D177,D183,D189,D198,D200,D212,D219,D222:D223,D230,D232,D234,D238:D240,D242:D244,D249,D255:D256,D258:D260,D161,D166)</f>
        <v>143.43999999999997</v>
      </c>
      <c r="E135" s="114">
        <f t="shared" si="51"/>
        <v>143.13999999999993</v>
      </c>
      <c r="F135" s="114">
        <f t="shared" si="51"/>
        <v>144.44</v>
      </c>
      <c r="G135" s="114">
        <f t="shared" si="51"/>
        <v>0.94</v>
      </c>
      <c r="H135" s="114">
        <f t="shared" si="51"/>
        <v>0.94</v>
      </c>
      <c r="I135" s="114">
        <f t="shared" si="51"/>
        <v>0.94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169.54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52</v>
      </c>
      <c r="AI137" s="47">
        <f t="shared" si="24"/>
        <v>48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10.9</v>
      </c>
      <c r="AI138" s="47">
        <f t="shared" si="24"/>
        <v>7.4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-87.5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91.1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2.5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-47.6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54.9</v>
      </c>
      <c r="AI143" s="47">
        <f>MIN(B143:AF143)</f>
        <v>28.8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-36</v>
      </c>
      <c r="AI144" s="47">
        <f>MIN(B144:AF144)</f>
        <v>-42.2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23.8</v>
      </c>
      <c r="AI145" s="47">
        <f>MIN(B145:AF145)</f>
        <v>0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-597.5</v>
      </c>
      <c r="AI146" s="47">
        <f t="shared" ref="AI146:AI158" si="55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81.900000000000006</v>
      </c>
      <c r="AI147" s="47">
        <f t="shared" si="55"/>
        <v>74.2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0</v>
      </c>
      <c r="AI148" s="47">
        <f t="shared" si="55"/>
        <v>0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243.8</v>
      </c>
      <c r="AI149" s="47">
        <f t="shared" si="55"/>
        <v>235.2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31.9</v>
      </c>
      <c r="AI150" s="47">
        <f t="shared" si="55"/>
        <v>31.2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7.7</v>
      </c>
      <c r="AI151" s="47">
        <f t="shared" si="55"/>
        <v>6.1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1986.26</v>
      </c>
      <c r="AI153" s="47">
        <f t="shared" si="55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624.94000000000005</v>
      </c>
      <c r="AI155" s="47">
        <f t="shared" si="55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337.45</v>
      </c>
      <c r="AI156" s="47">
        <f t="shared" si="55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882.9</v>
      </c>
      <c r="AI157" s="47">
        <f t="shared" si="55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0</v>
      </c>
      <c r="AI158" s="47">
        <f t="shared" si="5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R166" si="56">C161</f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58">SUM(D161:D166)</f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59">C169</f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73">SUM(B169:B273)</f>
        <v>0</v>
      </c>
      <c r="C274" s="180">
        <f t="shared" ref="B274:AG274" si="74">SUM(C169:C273)</f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G11:AA13 AB12:AF13 F82:G90 H84:J90 K85:AF90 B9:AF10 D117:AF134 D137:AF159 B113:C115 B108:C108 B117:C124 B153:C153 B93:C96 B76:D90 B72:L72 D93:AF115 E76:AF77 E79:F90">
    <cfRule type="expression" dxfId="172" priority="106">
      <formula>B$9&gt;=20/24</formula>
    </cfRule>
  </conditionalFormatting>
  <conditionalFormatting sqref="B9:AF10 G11:AA13 AB12:AF13 F82:G90 H84:J90 K85:AF90 D117:AF134 D137:AF159 B113:C115 B108:C108 B117:C124 B153:C153 B93:C96 B76:D90 B72:L72 D93:AF115 E76:AF77 E79:F90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G14:AF53 B29: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D161:AF167">
    <cfRule type="expression" dxfId="152" priority="65">
      <formula>D$9&gt;=20/24</formula>
    </cfRule>
    <cfRule type="expression" dxfId="151" priority="66">
      <formula>AND(D$9&gt;=14/24,D$9&lt;20/24)</formula>
    </cfRule>
    <cfRule type="expression" dxfId="150" priority="67">
      <formula>AND(D$9&gt;=8/24,D$9&lt;14/24)</formula>
    </cfRule>
    <cfRule type="expression" dxfId="149" priority="68">
      <formula>D$9&lt;8/24</formula>
    </cfRule>
  </conditionalFormatting>
  <conditionalFormatting sqref="C175:AF274 D169:AF1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G11:AA13 AB12:AF13 AF92:AF95 AF96:AG96 D91:AF91 D78:AG78 B71:AG71 B76:C96 D92:AE96 B69:AA69 D76:AF77 D79:AC90">
    <cfRule type="expression" dxfId="144" priority="105">
      <formula>B11&gt;$AG11*1</formula>
    </cfRule>
  </conditionalFormatting>
  <conditionalFormatting sqref="J80:J83 K83:O83 E79:I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8:AF78 G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G73:AF75">
    <cfRule type="expression" dxfId="131" priority="35">
      <formula>G$9&gt;=20/24</formula>
    </cfRule>
    <cfRule type="expression" dxfId="130" priority="36">
      <formula>AND(G$9&gt;=14/24,G$9&lt;20/24)</formula>
    </cfRule>
    <cfRule type="expression" dxfId="129" priority="37">
      <formula>AND(G$9&gt;=8/24,G$9&lt;14/24)</formula>
    </cfRule>
    <cfRule type="expression" dxfId="128" priority="38">
      <formula>G$9&lt;8/24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C107 B137:C152 B109:C112 B125:C134 B154:C159 B11:F13">
    <cfRule type="expression" dxfId="22" priority="20">
      <formula>B$9&gt;=20/24</formula>
    </cfRule>
  </conditionalFormatting>
  <conditionalFormatting sqref="B97:C107 B137:C152 B109:C112 B125:C134 B154:C159 B11:F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F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C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 C169:C1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F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2026-05-18T22:18:05Z</dcterms:modified>
</cp:coreProperties>
</file>