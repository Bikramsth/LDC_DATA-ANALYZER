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1" i="81" l="1"/>
  <c r="AH71" i="81" s="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M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K123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AI122" i="81" s="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L123" i="81" s="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AH118" i="81" s="1"/>
  <c r="E118" i="81"/>
  <c r="D118" i="81"/>
  <c r="C118" i="81"/>
  <c r="AI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J117" i="81"/>
  <c r="J123" i="81" s="1"/>
  <c r="I117" i="81"/>
  <c r="I123" i="81" s="1"/>
  <c r="AS23" i="81" s="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108" i="81"/>
  <c r="H108" i="81"/>
  <c r="G108" i="81"/>
  <c r="F108" i="8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J92" i="81"/>
  <c r="I92" i="81"/>
  <c r="H92" i="81"/>
  <c r="G92" i="81"/>
  <c r="AQ18" i="8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F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E89" i="81"/>
  <c r="BA89" i="81"/>
  <c r="AI89" i="81"/>
  <c r="AH89" i="81"/>
  <c r="BS88" i="81"/>
  <c r="BR88" i="81"/>
  <c r="BP88" i="81"/>
  <c r="BO88" i="81"/>
  <c r="BK88" i="81"/>
  <c r="BJ88" i="81"/>
  <c r="BH88" i="81"/>
  <c r="BG88" i="81"/>
  <c r="BC88" i="81"/>
  <c r="AZ88" i="81"/>
  <c r="AI88" i="81"/>
  <c r="AH88" i="81"/>
  <c r="BU87" i="81"/>
  <c r="BT87" i="81"/>
  <c r="BR87" i="81"/>
  <c r="BQ87" i="81"/>
  <c r="BM87" i="81"/>
  <c r="BL87" i="81"/>
  <c r="BJ87" i="81"/>
  <c r="BI87" i="81"/>
  <c r="BE87" i="81"/>
  <c r="BD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BC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D80" i="8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H78" i="81"/>
  <c r="G78" i="81"/>
  <c r="G113" i="81" s="1"/>
  <c r="G115" i="81" s="1"/>
  <c r="C78" i="81"/>
  <c r="AI78" i="81" s="1"/>
  <c r="AH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J113" i="81" s="1"/>
  <c r="J115" i="81" s="1"/>
  <c r="J116" i="81" s="1"/>
  <c r="J7" i="81" s="1"/>
  <c r="I71" i="81"/>
  <c r="AS16" i="81" s="1"/>
  <c r="AS22" i="81" s="1"/>
  <c r="AS25" i="81" s="1"/>
  <c r="H71" i="81"/>
  <c r="H113" i="81" s="1"/>
  <c r="H115" i="81" s="1"/>
  <c r="G71" i="81"/>
  <c r="F113" i="81"/>
  <c r="F115" i="81" s="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T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S19" i="81"/>
  <c r="AR19" i="81"/>
  <c r="AQ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T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S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R22" i="81" s="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I5" i="81"/>
  <c r="H5" i="81"/>
  <c r="G5" i="81"/>
  <c r="F5" i="81"/>
  <c r="E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H122" i="81" l="1"/>
  <c r="E123" i="81"/>
  <c r="AP23" i="81" s="1"/>
  <c r="D123" i="81"/>
  <c r="AO23" i="81" s="1"/>
  <c r="AI121" i="81"/>
  <c r="AJ108" i="81" a="1"/>
  <c r="AJ108" i="81" s="1"/>
  <c r="AI96" i="81"/>
  <c r="AQ22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G116" i="81"/>
  <c r="G7" i="81" s="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F124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Q25" i="81" l="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I124" i="81" s="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H124" i="81" l="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<sst xmlns="http://schemas.openxmlformats.org/spreadsheetml/2006/main" count="3168" uniqueCount="431">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</sst>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3.69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5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75" sqref="F7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2080.46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2324.16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2080.46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48.5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38.9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40.9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2080.46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30.96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2080.46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27.1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34.4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17.399999999999999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422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84.4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50.1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29.9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13.4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5">SUM(G72:G77)</f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663.5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96.5</v>
      </c>
      <c r="AI79" s="47">
        <f t="shared" si="23"/>
        <v>94</v>
      </c>
      <c r="AK79" s="49"/>
      <c r="AY79" s="1" t="s">
        <v>99</v>
      </c>
      <c r="AZ79" s="82">
        <f>ROUND(C97,0)</f>
        <v>-576</v>
      </c>
      <c r="BA79" s="81">
        <f t="shared" ref="BA79:BD83" si="26">D97</f>
        <v>-587</v>
      </c>
      <c r="BB79" s="81">
        <f t="shared" si="26"/>
        <v>-537.79999999999995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69.2</v>
      </c>
      <c r="AI80" s="47">
        <f t="shared" si="23"/>
        <v>68.900000000000006</v>
      </c>
      <c r="AK80" s="49"/>
      <c r="AY80" s="1" t="s">
        <v>101</v>
      </c>
      <c r="AZ80" s="82">
        <f>ROUND(C98,0)</f>
        <v>31</v>
      </c>
      <c r="BA80" s="81">
        <f t="shared" si="26"/>
        <v>31.5</v>
      </c>
      <c r="BB80" s="81">
        <f t="shared" si="26"/>
        <v>30.9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61.6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20.5</v>
      </c>
      <c r="BB82" s="81">
        <f t="shared" si="26"/>
        <v>18.399999999999999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15.2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-576</v>
      </c>
      <c r="BA86" s="82">
        <f t="shared" si="30"/>
        <v>-587</v>
      </c>
      <c r="BB86" s="82">
        <f t="shared" si="30"/>
        <v>-537.79999999999995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8.1</v>
      </c>
      <c r="AI87" s="47">
        <f t="shared" si="23"/>
        <v>6.7</v>
      </c>
      <c r="AK87" s="49"/>
      <c r="AZ87" s="82">
        <f t="shared" si="30"/>
        <v>31</v>
      </c>
      <c r="BA87" s="82">
        <f t="shared" si="30"/>
        <v>31.5</v>
      </c>
      <c r="BB87" s="82">
        <f t="shared" si="30"/>
        <v>30.9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13.6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8.9</v>
      </c>
      <c r="AK89" s="49"/>
      <c r="AZ89" s="82">
        <f t="shared" si="30"/>
        <v>20</v>
      </c>
      <c r="BA89" s="82">
        <f t="shared" si="30"/>
        <v>20.5</v>
      </c>
      <c r="BB89" s="82">
        <f t="shared" si="30"/>
        <v>18.399999999999999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5.5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351.9</v>
      </c>
      <c r="C92" s="70">
        <f t="shared" ref="B92:AG92" si="32">SUM(C79:C91)</f>
        <v>345.7</v>
      </c>
      <c r="D92" s="70">
        <f t="shared" si="32"/>
        <v>345.7</v>
      </c>
      <c r="E92" s="70">
        <f t="shared" ref="E92:F92" si="33">SUM(E79:E91)</f>
        <v>353.90000000000003</v>
      </c>
      <c r="F92" s="70">
        <f t="shared" si="33"/>
        <v>353.90000000000003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353.90000000000003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0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-483</v>
      </c>
      <c r="AI97" s="47">
        <f t="shared" si="23"/>
        <v>-587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31.5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20.5</v>
      </c>
      <c r="AI100" s="47">
        <f t="shared" si="23"/>
        <v>18.399999999999999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61</v>
      </c>
      <c r="AI102" s="47">
        <f t="shared" si="23"/>
        <v>36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62.2</v>
      </c>
      <c r="C108" s="70">
        <f t="shared" ref="B108:AF108" si="37">SUMIF(C97:C107,"&gt;0")</f>
        <v>111.8</v>
      </c>
      <c r="D108" s="70">
        <f t="shared" si="37"/>
        <v>112</v>
      </c>
      <c r="E108" s="70">
        <f t="shared" si="37"/>
        <v>106.8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2"/>
        <v>112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2213.5700000000002</v>
      </c>
      <c r="C113" s="108">
        <f t="shared" ref="B113:AG113" si="39">C71+C78+C96+C92+C108+C112</f>
        <v>2284.16</v>
      </c>
      <c r="D113" s="108">
        <f t="shared" si="39"/>
        <v>2236.66</v>
      </c>
      <c r="E113" s="108">
        <f t="shared" si="39"/>
        <v>2186.86</v>
      </c>
      <c r="F113" s="108">
        <f t="shared" si="39"/>
        <v>2080.46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2"/>
        <v>2284.16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2268.5700000000002</v>
      </c>
      <c r="C115" s="108">
        <f t="shared" ref="C115:AF115" si="41">C113+C114</f>
        <v>2324.16</v>
      </c>
      <c r="D115" s="108">
        <f t="shared" si="41"/>
        <v>2236.66</v>
      </c>
      <c r="E115" s="108">
        <f t="shared" si="41"/>
        <v>2186.86</v>
      </c>
      <c r="F115" s="108">
        <f t="shared" si="41"/>
        <v>2080.46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2"/>
        <v>2324.16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1890.3700000000001</v>
      </c>
      <c r="C116" s="108">
        <f t="shared" ref="C116:AF116" si="43">C115-(C123)</f>
        <v>1748.06</v>
      </c>
      <c r="D116" s="108">
        <f t="shared" si="43"/>
        <v>1649.6599999999999</v>
      </c>
      <c r="E116" s="108">
        <f t="shared" si="43"/>
        <v>1649.0600000000002</v>
      </c>
      <c r="F116" s="108">
        <f t="shared" si="43"/>
        <v>2080.46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2"/>
        <v>2080.46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4">IF(C97&lt;0,C97*-1,0)</f>
        <v>576.1</v>
      </c>
      <c r="D117" s="93">
        <f t="shared" si="44"/>
        <v>587</v>
      </c>
      <c r="E117" s="93">
        <f t="shared" si="44"/>
        <v>537.79999999999995</v>
      </c>
      <c r="F117" s="93">
        <f t="shared" si="44"/>
        <v>0</v>
      </c>
      <c r="G117" s="93">
        <f t="shared" si="44"/>
        <v>0</v>
      </c>
      <c r="H117" s="93">
        <f t="shared" si="44"/>
        <v>0</v>
      </c>
      <c r="I117" s="93">
        <f t="shared" si="44"/>
        <v>0</v>
      </c>
      <c r="J117" s="93">
        <f t="shared" si="44"/>
        <v>0</v>
      </c>
      <c r="K117" s="93">
        <f t="shared" si="44"/>
        <v>0</v>
      </c>
      <c r="L117" s="93">
        <f t="shared" si="44"/>
        <v>0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587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5">SUM(B117:B122)</f>
        <v>378.2</v>
      </c>
      <c r="C123" s="70">
        <f t="shared" ref="B123:AF123" si="46">SUM(C117:C122)</f>
        <v>576.1</v>
      </c>
      <c r="D123" s="70">
        <f t="shared" si="46"/>
        <v>587</v>
      </c>
      <c r="E123" s="70">
        <f t="shared" si="46"/>
        <v>537.79999999999995</v>
      </c>
      <c r="F123" s="70">
        <f t="shared" si="46"/>
        <v>0</v>
      </c>
      <c r="G123" s="70">
        <f t="shared" si="46"/>
        <v>0</v>
      </c>
      <c r="H123" s="70">
        <f t="shared" si="46"/>
        <v>0</v>
      </c>
      <c r="I123" s="70">
        <f t="shared" si="46"/>
        <v>0</v>
      </c>
      <c r="J123" s="70">
        <f t="shared" si="46"/>
        <v>0</v>
      </c>
      <c r="K123" s="70">
        <f t="shared" si="46"/>
        <v>0</v>
      </c>
      <c r="L123" s="70">
        <f t="shared" si="46"/>
        <v>0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587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7">B108-B123</f>
        <v>-316</v>
      </c>
      <c r="C124" s="70">
        <f t="shared" ref="B124:AF124" si="48">C108-C123</f>
        <v>-464.3</v>
      </c>
      <c r="D124" s="70">
        <f t="shared" si="48"/>
        <v>-475</v>
      </c>
      <c r="E124" s="70">
        <f t="shared" si="48"/>
        <v>-430.99999999999994</v>
      </c>
      <c r="F124" s="70">
        <f t="shared" si="48"/>
        <v>0</v>
      </c>
      <c r="G124" s="70">
        <f t="shared" si="48"/>
        <v>0</v>
      </c>
      <c r="H124" s="70">
        <f t="shared" si="48"/>
        <v>0</v>
      </c>
      <c r="I124" s="70">
        <f t="shared" si="48"/>
        <v>0</v>
      </c>
      <c r="J124" s="70">
        <f t="shared" si="48"/>
        <v>0</v>
      </c>
      <c r="K124" s="70">
        <f t="shared" si="48"/>
        <v>0</v>
      </c>
      <c r="L124" s="70">
        <f t="shared" si="48"/>
        <v>0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-475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50.045000000000002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133.80000000000001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131.6</v>
      </c>
      <c r="AI128" s="47">
        <f t="shared" si="23"/>
        <v>129.30000000000001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135.6</v>
      </c>
      <c r="AI130" s="47">
        <f t="shared" si="23"/>
        <v>134.30000000000001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135.1</v>
      </c>
      <c r="AI131" s="47">
        <f t="shared" si="23"/>
        <v>133.19999999999999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128.5</v>
      </c>
      <c r="AI132" s="47">
        <f t="shared" si="23"/>
        <v>122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66.900000000000006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:O135" si="49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50">SUM(C26,C32,C45:C46,C82,C84:C85,C87,C89,C137:C142,C177,C183,C189,C198,C200,C212,C219,C222:C223,C230,C232,C234,C238:C240,C242:C244,C249,C255:C256,C258:C260,C161,C166)</f>
        <v>119.34</v>
      </c>
      <c r="D135" s="114">
        <f t="shared" si="50"/>
        <v>160.94</v>
      </c>
      <c r="E135" s="114">
        <f t="shared" si="50"/>
        <v>168.26</v>
      </c>
      <c r="F135" s="114">
        <f t="shared" si="50"/>
        <v>160.54</v>
      </c>
      <c r="G135" s="114">
        <f t="shared" si="50"/>
        <v>0.94</v>
      </c>
      <c r="H135" s="114">
        <f t="shared" si="50"/>
        <v>0.94</v>
      </c>
      <c r="I135" s="114">
        <f t="shared" si="50"/>
        <v>0.94</v>
      </c>
      <c r="J135" s="114">
        <f t="shared" si="50"/>
        <v>0.94</v>
      </c>
      <c r="K135" s="114">
        <f t="shared" si="50"/>
        <v>0.94</v>
      </c>
      <c r="L135" s="114">
        <f t="shared" si="50"/>
        <v>0.94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322.99999999999994</v>
      </c>
      <c r="AI135" s="47">
        <f t="shared" si="23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61.9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25.6</v>
      </c>
      <c r="AI138" s="47">
        <f t="shared" si="23"/>
        <v>15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73.400000000000006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-120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-60.1</v>
      </c>
      <c r="AI144" s="47">
        <f>MIN(B144:AF144)</f>
        <v>-75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13.4</v>
      </c>
      <c r="AI145" s="47">
        <f>MIN(B145:AF145)</f>
        <v>-5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-296.39999999999998</v>
      </c>
      <c r="AI146" s="47">
        <f t="shared" ref="AI146:AI158" si="54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77.2</v>
      </c>
      <c r="AI147" s="47">
        <f t="shared" si="54"/>
        <v>48.3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9.8000000000000007</v>
      </c>
      <c r="AI148" s="47">
        <f t="shared" si="54"/>
        <v>-7.3</v>
      </c>
    </row>
    <row r="149" spans="1:38" x14ac:dyDescent="0.25">
      <c r="A149" s="135" t="s">
        <v>171</v>
      </c>
      <c r="B149" s="132">
        <f t="shared" ref="B149" si="55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274.60000000000002</v>
      </c>
      <c r="AI149" s="47">
        <f t="shared" si="54"/>
        <v>249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30.1</v>
      </c>
      <c r="AI150" s="47">
        <f t="shared" si="54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5.4</v>
      </c>
      <c r="AI151" s="47">
        <f t="shared" si="54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G11:AA13 AB12:AF13 G76:AF77 G82:G90 H84:J90 K85:AF90 C97:AF107 B9:AF10 C117:AF134 B113:B115 C109:AF115 B108:AF108 B117:B124 C137:AF152 C154:AF159 B153:AF153 B76:F90 B72:L72 B93:AF96">
    <cfRule type="expression" dxfId="172" priority="106">
      <formula>B$9&gt;=20/24</formula>
    </cfRule>
  </conditionalFormatting>
  <conditionalFormatting sqref="B9:AF10 G11:AA13 AB12:AF13 G76:AF77 G82:G90 H84:J90 K85:AF90 C97:AF107 C117:AF134 B113:B115 C109:AF115 B108:AF108 B117:B124 C137:AF152 C154:AF159 B153:AF153 B76:F90 B72:L72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G14:AF53 B29: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G11:AA13 AB12:AF13 AG78 B96:AG96 G76:AF78 G79:AC90 G91:AF95 B71:AG71 B69:AA69 B76:F95">
    <cfRule type="expression" dxfId="144" priority="105">
      <formula>B11&gt;$AG11*1</formula>
    </cfRule>
  </conditionalFormatting>
  <conditionalFormatting sqref="G79:I83 J80:J83 K83:O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G73:AF75">
    <cfRule type="expression" dxfId="131" priority="35">
      <formula>G$9&gt;=20/24</formula>
    </cfRule>
    <cfRule type="expression" dxfId="130" priority="36">
      <formula>AND(G$9&gt;=14/24,G$9&lt;20/24)</formula>
    </cfRule>
    <cfRule type="expression" dxfId="129" priority="37">
      <formula>AND(G$9&gt;=8/24,G$9&lt;14/24)</formula>
    </cfRule>
    <cfRule type="expression" dxfId="128" priority="38">
      <formula>G$9&lt;8/24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F13">
    <cfRule type="expression" dxfId="22" priority="20">
      <formula>B$9&gt;=20/24</formula>
    </cfRule>
  </conditionalFormatting>
  <conditionalFormatting sqref="B97:B107 B137:B152 B109:B112 B125:B134 B154:B159 B11:F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F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F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20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2026-05-20T21:44:05Z</dcterms:modified>
</cp:coreProperties>
</file>