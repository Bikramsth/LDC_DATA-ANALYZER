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0" i="83" l="1"/>
  <c r="C70" i="83"/>
  <c r="D70" i="83"/>
  <c r="E70" i="83"/>
  <c r="B70" i="83"/>
  <c r="E78" i="83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R123" i="83"/>
  <c r="K123" i="83"/>
  <c r="J123" i="83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P122" i="83"/>
  <c r="O122" i="83"/>
  <c r="N122" i="83"/>
  <c r="M122" i="83"/>
  <c r="L122" i="83"/>
  <c r="K122" i="83"/>
  <c r="J122" i="83"/>
  <c r="I122" i="83"/>
  <c r="H122" i="83"/>
  <c r="G122" i="83"/>
  <c r="F122" i="83"/>
  <c r="AI122" i="83" s="1"/>
  <c r="E122" i="83"/>
  <c r="D122" i="83"/>
  <c r="C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P121" i="83"/>
  <c r="O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P120" i="83"/>
  <c r="O120" i="83"/>
  <c r="N120" i="83"/>
  <c r="M120" i="83"/>
  <c r="L120" i="83"/>
  <c r="L123" i="83" s="1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Q119" i="83"/>
  <c r="P119" i="83"/>
  <c r="O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P118" i="83"/>
  <c r="O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P117" i="83"/>
  <c r="P123" i="83" s="1"/>
  <c r="O117" i="83"/>
  <c r="N117" i="83"/>
  <c r="M117" i="83"/>
  <c r="L117" i="83"/>
  <c r="K117" i="83"/>
  <c r="J117" i="83"/>
  <c r="I117" i="83"/>
  <c r="I123" i="83" s="1"/>
  <c r="H117" i="83"/>
  <c r="H123" i="83" s="1"/>
  <c r="H124" i="83" s="1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R124" i="83" s="1"/>
  <c r="Q108" i="83"/>
  <c r="Q124" i="83" s="1"/>
  <c r="P108" i="83"/>
  <c r="P124" i="83" s="1"/>
  <c r="O108" i="83"/>
  <c r="N108" i="83"/>
  <c r="M108" i="83"/>
  <c r="L108" i="83"/>
  <c r="K108" i="83"/>
  <c r="J108" i="83"/>
  <c r="J124" i="83" s="1"/>
  <c r="I108" i="83"/>
  <c r="I124" i="83" s="1"/>
  <c r="H108" i="83"/>
  <c r="G108" i="83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P96" i="83"/>
  <c r="O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P92" i="83"/>
  <c r="O92" i="83"/>
  <c r="N92" i="83"/>
  <c r="M92" i="83"/>
  <c r="L92" i="83"/>
  <c r="K92" i="83"/>
  <c r="J92" i="83"/>
  <c r="I92" i="83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BL90" i="83"/>
  <c r="BK90" i="83"/>
  <c r="AI90" i="83"/>
  <c r="AH90" i="83"/>
  <c r="BV89" i="83"/>
  <c r="BM89" i="83"/>
  <c r="BL89" i="83"/>
  <c r="AI89" i="83"/>
  <c r="AH89" i="83"/>
  <c r="BU88" i="83"/>
  <c r="BT88" i="83"/>
  <c r="BQ88" i="83"/>
  <c r="BM88" i="83"/>
  <c r="BL88" i="83"/>
  <c r="BI88" i="83"/>
  <c r="BE88" i="83"/>
  <c r="BD88" i="83"/>
  <c r="BA88" i="83"/>
  <c r="AI88" i="83"/>
  <c r="AH88" i="83"/>
  <c r="BV87" i="83"/>
  <c r="BS87" i="83"/>
  <c r="BO87" i="83"/>
  <c r="BN87" i="83"/>
  <c r="BK87" i="83"/>
  <c r="BG87" i="83"/>
  <c r="BF87" i="83"/>
  <c r="AI87" i="83"/>
  <c r="AH87" i="83"/>
  <c r="BU86" i="83"/>
  <c r="BQ86" i="83"/>
  <c r="BP86" i="83"/>
  <c r="BM86" i="83"/>
  <c r="BI86" i="83"/>
  <c r="BH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K83" i="83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D81" i="83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J80" i="83"/>
  <c r="BJ87" i="83" s="1"/>
  <c r="BI80" i="83"/>
  <c r="BI87" i="83" s="1"/>
  <c r="BH80" i="83"/>
  <c r="BH87" i="83" s="1"/>
  <c r="BG80" i="83"/>
  <c r="BF80" i="83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Q78" i="83"/>
  <c r="P78" i="83"/>
  <c r="O78" i="83"/>
  <c r="N78" i="83"/>
  <c r="M78" i="83"/>
  <c r="L78" i="83"/>
  <c r="K78" i="83"/>
  <c r="J78" i="83"/>
  <c r="I78" i="83"/>
  <c r="H78" i="83"/>
  <c r="G78" i="83"/>
  <c r="F78" i="83"/>
  <c r="AI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R113" i="83" s="1"/>
  <c r="R115" i="83" s="1"/>
  <c r="R116" i="83" s="1"/>
  <c r="R7" i="83" s="1"/>
  <c r="Q71" i="83"/>
  <c r="Q113" i="83" s="1"/>
  <c r="Q115" i="83" s="1"/>
  <c r="Q116" i="83" s="1"/>
  <c r="Q7" i="83" s="1"/>
  <c r="P71" i="83"/>
  <c r="P113" i="83" s="1"/>
  <c r="P115" i="83" s="1"/>
  <c r="P116" i="83" s="1"/>
  <c r="O71" i="83"/>
  <c r="O113" i="83" s="1"/>
  <c r="O115" i="83" s="1"/>
  <c r="N71" i="83"/>
  <c r="N113" i="83" s="1"/>
  <c r="N115" i="83" s="1"/>
  <c r="M71" i="83"/>
  <c r="L71" i="83"/>
  <c r="K71" i="83"/>
  <c r="K113" i="83" s="1"/>
  <c r="K115" i="83" s="1"/>
  <c r="K116" i="83" s="1"/>
  <c r="J71" i="83"/>
  <c r="J113" i="83" s="1"/>
  <c r="J115" i="83" s="1"/>
  <c r="J116" i="83" s="1"/>
  <c r="J7" i="83" s="1"/>
  <c r="I71" i="83"/>
  <c r="I113" i="83" s="1"/>
  <c r="I115" i="83" s="1"/>
  <c r="I116" i="83" s="1"/>
  <c r="H71" i="83"/>
  <c r="H113" i="83" s="1"/>
  <c r="H115" i="83" s="1"/>
  <c r="H116" i="83" s="1"/>
  <c r="H7" i="83" s="1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Z23" i="83"/>
  <c r="AY23" i="83"/>
  <c r="AX23" i="83"/>
  <c r="AT23" i="83"/>
  <c r="AS23" i="83"/>
  <c r="AI23" i="83"/>
  <c r="AH23" i="83"/>
  <c r="AU22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Z19" i="83"/>
  <c r="AY19" i="83"/>
  <c r="AX19" i="83"/>
  <c r="AW19" i="83"/>
  <c r="AV19" i="83"/>
  <c r="AU19" i="83"/>
  <c r="AT19" i="83"/>
  <c r="AS19" i="83"/>
  <c r="AR19" i="83"/>
  <c r="AQ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V22" i="83" s="1"/>
  <c r="AU18" i="83"/>
  <c r="AT18" i="83"/>
  <c r="AS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Z17" i="83"/>
  <c r="AY17" i="83"/>
  <c r="AX17" i="83"/>
  <c r="AW17" i="83"/>
  <c r="AV17" i="83"/>
  <c r="AU17" i="83"/>
  <c r="AT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Y22" i="83" s="1"/>
  <c r="AY25" i="83" s="1"/>
  <c r="AX16" i="83"/>
  <c r="AX22" i="83" s="1"/>
  <c r="AX25" i="83" s="1"/>
  <c r="AW16" i="83"/>
  <c r="AW22" i="83" s="1"/>
  <c r="AV16" i="83"/>
  <c r="AU16" i="83"/>
  <c r="AT16" i="83"/>
  <c r="AT22" i="83" s="1"/>
  <c r="AT25" i="83" s="1"/>
  <c r="AS16" i="83"/>
  <c r="AS22" i="83" s="1"/>
  <c r="AS25" i="83" s="1"/>
  <c r="AR16" i="83"/>
  <c r="AR22" i="83" s="1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7" i="83"/>
  <c r="I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M5" i="83"/>
  <c r="L5" i="83"/>
  <c r="K5" i="83"/>
  <c r="J5" i="83"/>
  <c r="I5" i="83"/>
  <c r="H5" i="83"/>
  <c r="G5" i="83"/>
  <c r="F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AH92" i="83" l="1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R25" i="83"/>
  <c r="G116" i="83"/>
  <c r="G7" i="83" s="1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O123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X116" i="83"/>
  <c r="X7" i="83" s="1"/>
  <c r="AH78" i="83"/>
  <c r="BF16" i="83"/>
  <c r="BF22" i="83" s="1"/>
  <c r="BF25" i="83" s="1"/>
  <c r="G124" i="83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F116" i="83" l="1"/>
  <c r="F7" i="83" s="1"/>
  <c r="E116" i="83"/>
  <c r="E7" i="83" s="1"/>
  <c r="E124" i="83"/>
  <c r="AO22" i="83"/>
  <c r="AO25" i="83" s="1"/>
  <c r="C124" i="83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O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116" i="83"/>
  <c r="O7" i="83" s="1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O135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<sst xmlns="http://schemas.openxmlformats.org/spreadsheetml/2006/main" count="3583" uniqueCount="435">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</sst>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3.69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M6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E85" sqref="AE8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B13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152" sqref="F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1694.8999999999999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2372.12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1784.42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32.1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73.12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48.6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1194.1999999999998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43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20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30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30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</v>
      </c>
      <c r="AI22" s="47">
        <f t="shared" si="3"/>
        <v>41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2333.1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35.6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31.4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1694.8999999999999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29.6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32.6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15.5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144.6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1194.1999999999998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1200.1199999999999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102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50.5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41.7</v>
      </c>
      <c r="AI75" s="47">
        <f t="shared" ref="AI75:AI138" si="24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692.50000000000011</v>
      </c>
      <c r="C78" s="70">
        <f t="shared" si="25"/>
        <v>692.00000000000011</v>
      </c>
      <c r="D78" s="70">
        <f t="shared" ref="D78:E78" si="26">SUM(D72:D77)</f>
        <v>692.00000000000011</v>
      </c>
      <c r="E78" s="70">
        <f t="shared" si="26"/>
        <v>688.00000000000011</v>
      </c>
      <c r="F78" s="70">
        <f t="shared" ref="D78:AG78" si="27">SUM(F72:F77)</f>
        <v>688.00000000000011</v>
      </c>
      <c r="G78" s="70">
        <f t="shared" si="27"/>
        <v>0</v>
      </c>
      <c r="H78" s="70">
        <f t="shared" si="27"/>
        <v>0</v>
      </c>
      <c r="I78" s="70">
        <f t="shared" si="27"/>
        <v>0</v>
      </c>
      <c r="J78" s="70">
        <f t="shared" si="27"/>
        <v>0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692.50000000000011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96.1</v>
      </c>
      <c r="AI79" s="47">
        <f t="shared" si="24"/>
        <v>96.1</v>
      </c>
      <c r="AK79" s="49"/>
      <c r="AY79" s="1" t="s">
        <v>99</v>
      </c>
      <c r="AZ79" s="82">
        <f>ROUND(C97,0)</f>
        <v>-636</v>
      </c>
      <c r="BA79" s="81">
        <f t="shared" ref="BA79:BD83" si="28">D97</f>
        <v>-629</v>
      </c>
      <c r="BB79" s="81">
        <f t="shared" si="28"/>
        <v>-642</v>
      </c>
      <c r="BC79" s="81">
        <f t="shared" si="28"/>
        <v>-638.20000000000005</v>
      </c>
      <c r="BD79" s="81">
        <f t="shared" si="28"/>
        <v>0</v>
      </c>
      <c r="BE79" s="82">
        <f>I97</f>
        <v>0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65.5</v>
      </c>
      <c r="AI80" s="47">
        <f t="shared" si="24"/>
        <v>64.7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70.599999999999994</v>
      </c>
      <c r="AI81" s="47">
        <f t="shared" si="24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28"/>
        <v>41.6</v>
      </c>
      <c r="BB81" s="81">
        <f t="shared" si="28"/>
        <v>40.299999999999997</v>
      </c>
      <c r="BC81" s="81">
        <f t="shared" si="28"/>
        <v>39.299999999999997</v>
      </c>
      <c r="BD81" s="81">
        <f t="shared" si="28"/>
        <v>0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0</v>
      </c>
      <c r="BC82" s="81">
        <f t="shared" si="28"/>
        <v>0</v>
      </c>
      <c r="BD82" s="81">
        <f t="shared" si="28"/>
        <v>0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15.1</v>
      </c>
      <c r="AI83" s="47">
        <f t="shared" si="24"/>
        <v>15.1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10.5</v>
      </c>
      <c r="AI85" s="47">
        <f t="shared" si="24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-636</v>
      </c>
      <c r="BA86" s="82">
        <f t="shared" si="32"/>
        <v>-629</v>
      </c>
      <c r="BB86" s="82">
        <f t="shared" si="32"/>
        <v>-642</v>
      </c>
      <c r="BC86" s="82">
        <f t="shared" si="32"/>
        <v>-638.20000000000005</v>
      </c>
      <c r="BD86" s="82">
        <f t="shared" si="32"/>
        <v>0</v>
      </c>
      <c r="BE86" s="82">
        <f t="shared" si="32"/>
        <v>0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7.4</v>
      </c>
      <c r="AI87" s="47">
        <f t="shared" si="24"/>
        <v>7.4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14.3</v>
      </c>
      <c r="AI88" s="47">
        <f t="shared" si="24"/>
        <v>14.3</v>
      </c>
      <c r="AK88" s="49"/>
      <c r="AZ88" s="82">
        <f t="shared" si="32"/>
        <v>41</v>
      </c>
      <c r="BA88" s="82">
        <f t="shared" si="32"/>
        <v>41.6</v>
      </c>
      <c r="BB88" s="82">
        <f t="shared" si="32"/>
        <v>40.299999999999997</v>
      </c>
      <c r="BC88" s="82">
        <f t="shared" si="32"/>
        <v>39.299999999999997</v>
      </c>
      <c r="BD88" s="82">
        <f t="shared" si="32"/>
        <v>0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0</v>
      </c>
      <c r="BC89" s="82">
        <f t="shared" si="32"/>
        <v>0</v>
      </c>
      <c r="BD89" s="82">
        <f t="shared" si="32"/>
        <v>0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6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" si="33">SUM(B79:B91)</f>
        <v>353.1</v>
      </c>
      <c r="C92" s="70">
        <f t="shared" ref="B92:AG92" si="34">SUM(C79:C91)</f>
        <v>353.1</v>
      </c>
      <c r="D92" s="70">
        <f t="shared" si="34"/>
        <v>354.5</v>
      </c>
      <c r="E92" s="70">
        <f t="shared" si="34"/>
        <v>354.5</v>
      </c>
      <c r="F92" s="70">
        <f t="shared" si="34"/>
        <v>354.5</v>
      </c>
      <c r="G92" s="70">
        <f t="shared" si="34"/>
        <v>2</v>
      </c>
      <c r="H92" s="70">
        <f t="shared" si="34"/>
        <v>2</v>
      </c>
      <c r="I92" s="70">
        <f t="shared" si="34"/>
        <v>2</v>
      </c>
      <c r="J92" s="70">
        <f t="shared" si="34"/>
        <v>2</v>
      </c>
      <c r="K92" s="70">
        <f t="shared" si="34"/>
        <v>2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354.5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5">B93+B94+B95</f>
        <v>0</v>
      </c>
      <c r="C96" s="70">
        <f t="shared" ref="B96:AF96" si="36">C93+C94+C95</f>
        <v>0</v>
      </c>
      <c r="D96" s="70">
        <f t="shared" si="36"/>
        <v>0</v>
      </c>
      <c r="E96" s="70">
        <f t="shared" si="36"/>
        <v>0</v>
      </c>
      <c r="F96" s="70">
        <f t="shared" si="36"/>
        <v>0</v>
      </c>
      <c r="G96" s="70">
        <f t="shared" si="36"/>
        <v>0</v>
      </c>
      <c r="H96" s="70">
        <f t="shared" si="36"/>
        <v>0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-587.70000000000005</v>
      </c>
      <c r="AI97" s="47">
        <f t="shared" si="24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43.4</v>
      </c>
      <c r="AI99" s="47">
        <f t="shared" si="24"/>
        <v>39.299999999999997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60</v>
      </c>
      <c r="AI102" s="47">
        <f t="shared" si="24"/>
        <v>33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7">SUMIF(B97:B107,"&gt;0")</f>
        <v>76.400000000000006</v>
      </c>
      <c r="C108" s="70">
        <f t="shared" ref="B108:AF108" si="38">SUMIF(C97:C107,"&gt;0")</f>
        <v>101</v>
      </c>
      <c r="D108" s="70">
        <f t="shared" si="38"/>
        <v>96.6</v>
      </c>
      <c r="E108" s="70">
        <f t="shared" si="38"/>
        <v>99.1</v>
      </c>
      <c r="F108" s="70">
        <f t="shared" si="38"/>
        <v>96.4</v>
      </c>
      <c r="G108" s="70">
        <f t="shared" si="38"/>
        <v>0</v>
      </c>
      <c r="H108" s="70">
        <f t="shared" si="38"/>
        <v>0</v>
      </c>
      <c r="I108" s="70">
        <f t="shared" si="38"/>
        <v>0</v>
      </c>
      <c r="J108" s="70">
        <f t="shared" si="38"/>
        <v>0</v>
      </c>
      <c r="K108" s="70">
        <f t="shared" si="38"/>
        <v>0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101</v>
      </c>
      <c r="AI108" s="47">
        <f t="shared" si="24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9">B71+B78+B96+B92+B108+B112</f>
        <v>2322.12</v>
      </c>
      <c r="C113" s="108">
        <f t="shared" ref="B113:AG113" si="40">C71+C78+C96+C92+C108+C112</f>
        <v>2346.2199999999998</v>
      </c>
      <c r="D113" s="108">
        <f t="shared" si="40"/>
        <v>2343.2199999999998</v>
      </c>
      <c r="E113" s="108">
        <f t="shared" si="40"/>
        <v>2341.7199999999998</v>
      </c>
      <c r="F113" s="108">
        <f t="shared" si="40"/>
        <v>2333.1</v>
      </c>
      <c r="G113" s="108">
        <f t="shared" si="40"/>
        <v>152</v>
      </c>
      <c r="H113" s="108">
        <f t="shared" si="40"/>
        <v>152</v>
      </c>
      <c r="I113" s="108">
        <f t="shared" si="40"/>
        <v>152</v>
      </c>
      <c r="J113" s="108">
        <f t="shared" si="40"/>
        <v>152</v>
      </c>
      <c r="K113" s="108">
        <f t="shared" si="40"/>
        <v>152</v>
      </c>
      <c r="L113" s="108">
        <f t="shared" si="40"/>
        <v>152</v>
      </c>
      <c r="M113" s="108">
        <f t="shared" si="40"/>
        <v>152</v>
      </c>
      <c r="N113" s="108">
        <f t="shared" si="40"/>
        <v>152</v>
      </c>
      <c r="O113" s="108">
        <f t="shared" si="40"/>
        <v>152</v>
      </c>
      <c r="P113" s="108">
        <f t="shared" si="40"/>
        <v>152</v>
      </c>
      <c r="Q113" s="108">
        <f t="shared" si="40"/>
        <v>152</v>
      </c>
      <c r="R113" s="108">
        <f t="shared" si="40"/>
        <v>152</v>
      </c>
      <c r="S113" s="108">
        <f t="shared" si="40"/>
        <v>152</v>
      </c>
      <c r="T113" s="108">
        <f t="shared" si="40"/>
        <v>152</v>
      </c>
      <c r="U113" s="108">
        <f t="shared" si="40"/>
        <v>152</v>
      </c>
      <c r="V113" s="108">
        <f t="shared" si="40"/>
        <v>152</v>
      </c>
      <c r="W113" s="108">
        <f t="shared" si="40"/>
        <v>152</v>
      </c>
      <c r="X113" s="108">
        <f t="shared" si="40"/>
        <v>152</v>
      </c>
      <c r="Y113" s="108">
        <f t="shared" si="40"/>
        <v>152</v>
      </c>
      <c r="Z113" s="108">
        <f t="shared" si="40"/>
        <v>152</v>
      </c>
      <c r="AA113" s="108">
        <f t="shared" si="40"/>
        <v>152</v>
      </c>
      <c r="AB113" s="108">
        <f t="shared" si="40"/>
        <v>152</v>
      </c>
      <c r="AC113" s="108">
        <f t="shared" si="40"/>
        <v>152</v>
      </c>
      <c r="AD113" s="108">
        <f t="shared" si="40"/>
        <v>152</v>
      </c>
      <c r="AE113" s="108">
        <f t="shared" si="40"/>
        <v>152</v>
      </c>
      <c r="AF113" s="108">
        <f t="shared" si="40"/>
        <v>152</v>
      </c>
      <c r="AG113" s="80">
        <f t="shared" si="40"/>
        <v>3169.915</v>
      </c>
      <c r="AH113" s="46">
        <f t="shared" si="23"/>
        <v>2346.2199999999998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50</v>
      </c>
      <c r="AI114" s="47">
        <f t="shared" si="24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1">B113+B114</f>
        <v>2372.12</v>
      </c>
      <c r="C115" s="108">
        <f t="shared" ref="C115:AF115" si="42">C113+C114</f>
        <v>2346.2199999999998</v>
      </c>
      <c r="D115" s="108">
        <f t="shared" si="42"/>
        <v>2343.2199999999998</v>
      </c>
      <c r="E115" s="108">
        <f t="shared" si="42"/>
        <v>2341.7199999999998</v>
      </c>
      <c r="F115" s="108">
        <f t="shared" si="42"/>
        <v>2333.1</v>
      </c>
      <c r="G115" s="108">
        <f t="shared" si="42"/>
        <v>152</v>
      </c>
      <c r="H115" s="108">
        <f t="shared" si="42"/>
        <v>152</v>
      </c>
      <c r="I115" s="108">
        <f t="shared" si="42"/>
        <v>152</v>
      </c>
      <c r="J115" s="108">
        <f t="shared" si="42"/>
        <v>152</v>
      </c>
      <c r="K115" s="108">
        <f t="shared" si="42"/>
        <v>152</v>
      </c>
      <c r="L115" s="108">
        <f t="shared" si="42"/>
        <v>152</v>
      </c>
      <c r="M115" s="108">
        <f t="shared" si="42"/>
        <v>152</v>
      </c>
      <c r="N115" s="108">
        <f t="shared" si="42"/>
        <v>152</v>
      </c>
      <c r="O115" s="108">
        <f t="shared" si="42"/>
        <v>152</v>
      </c>
      <c r="P115" s="108">
        <f t="shared" si="42"/>
        <v>152</v>
      </c>
      <c r="Q115" s="108">
        <f t="shared" si="42"/>
        <v>152</v>
      </c>
      <c r="R115" s="108">
        <f t="shared" si="42"/>
        <v>152</v>
      </c>
      <c r="S115" s="108">
        <f t="shared" si="42"/>
        <v>152</v>
      </c>
      <c r="T115" s="108">
        <f t="shared" si="42"/>
        <v>152</v>
      </c>
      <c r="U115" s="108">
        <f t="shared" si="42"/>
        <v>152</v>
      </c>
      <c r="V115" s="108">
        <f t="shared" si="42"/>
        <v>152</v>
      </c>
      <c r="W115" s="108">
        <f t="shared" si="42"/>
        <v>152</v>
      </c>
      <c r="X115" s="108">
        <f t="shared" si="42"/>
        <v>152</v>
      </c>
      <c r="Y115" s="108">
        <f t="shared" si="42"/>
        <v>152</v>
      </c>
      <c r="Z115" s="108">
        <f t="shared" si="42"/>
        <v>152</v>
      </c>
      <c r="AA115" s="108">
        <f t="shared" si="42"/>
        <v>152</v>
      </c>
      <c r="AB115" s="108">
        <f t="shared" si="42"/>
        <v>152</v>
      </c>
      <c r="AC115" s="108">
        <f t="shared" si="42"/>
        <v>152</v>
      </c>
      <c r="AD115" s="108">
        <f t="shared" si="42"/>
        <v>152</v>
      </c>
      <c r="AE115" s="108">
        <f t="shared" si="42"/>
        <v>152</v>
      </c>
      <c r="AF115" s="108">
        <f t="shared" si="42"/>
        <v>152</v>
      </c>
      <c r="AG115" s="104">
        <f>AG112+AG108+AG96+AG92+AG71+AG114</f>
        <v>2463.5149999999999</v>
      </c>
      <c r="AH115" s="46">
        <f t="shared" si="23"/>
        <v>2372.12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3">B115-(B123)</f>
        <v>1784.4199999999998</v>
      </c>
      <c r="C116" s="108">
        <f t="shared" ref="C116:AF116" si="44">C115-(C123)</f>
        <v>1710.2199999999998</v>
      </c>
      <c r="D116" s="108">
        <f t="shared" si="44"/>
        <v>1714.2199999999998</v>
      </c>
      <c r="E116" s="108">
        <f t="shared" si="44"/>
        <v>1699.7199999999998</v>
      </c>
      <c r="F116" s="108">
        <f t="shared" si="44"/>
        <v>1694.8999999999999</v>
      </c>
      <c r="G116" s="108">
        <f t="shared" si="44"/>
        <v>152</v>
      </c>
      <c r="H116" s="108">
        <f t="shared" si="44"/>
        <v>152</v>
      </c>
      <c r="I116" s="108">
        <f t="shared" si="44"/>
        <v>152</v>
      </c>
      <c r="J116" s="108">
        <f t="shared" si="44"/>
        <v>152</v>
      </c>
      <c r="K116" s="108">
        <f t="shared" si="44"/>
        <v>152</v>
      </c>
      <c r="L116" s="108">
        <f t="shared" si="44"/>
        <v>152</v>
      </c>
      <c r="M116" s="108">
        <f t="shared" si="44"/>
        <v>152</v>
      </c>
      <c r="N116" s="108">
        <f t="shared" si="44"/>
        <v>152</v>
      </c>
      <c r="O116" s="108">
        <f t="shared" si="44"/>
        <v>152</v>
      </c>
      <c r="P116" s="108">
        <f t="shared" si="44"/>
        <v>152</v>
      </c>
      <c r="Q116" s="108">
        <f t="shared" si="44"/>
        <v>152</v>
      </c>
      <c r="R116" s="108">
        <f t="shared" si="44"/>
        <v>152</v>
      </c>
      <c r="S116" s="108">
        <f t="shared" si="44"/>
        <v>152</v>
      </c>
      <c r="T116" s="108">
        <f t="shared" si="44"/>
        <v>152</v>
      </c>
      <c r="U116" s="108">
        <f t="shared" si="44"/>
        <v>152</v>
      </c>
      <c r="V116" s="108">
        <f t="shared" si="44"/>
        <v>152</v>
      </c>
      <c r="W116" s="108">
        <f t="shared" si="44"/>
        <v>152</v>
      </c>
      <c r="X116" s="108">
        <f t="shared" si="44"/>
        <v>152</v>
      </c>
      <c r="Y116" s="108">
        <f t="shared" si="44"/>
        <v>152</v>
      </c>
      <c r="Z116" s="108">
        <f t="shared" si="44"/>
        <v>152</v>
      </c>
      <c r="AA116" s="108">
        <f t="shared" si="44"/>
        <v>152</v>
      </c>
      <c r="AB116" s="108">
        <f t="shared" si="44"/>
        <v>152</v>
      </c>
      <c r="AC116" s="108">
        <f t="shared" si="44"/>
        <v>152</v>
      </c>
      <c r="AD116" s="108">
        <f t="shared" si="44"/>
        <v>152</v>
      </c>
      <c r="AE116" s="108">
        <f t="shared" si="44"/>
        <v>152</v>
      </c>
      <c r="AF116" s="108">
        <f t="shared" si="44"/>
        <v>152</v>
      </c>
      <c r="AG116" s="104"/>
      <c r="AH116" s="46">
        <f t="shared" si="23"/>
        <v>1784.4199999999998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5">IF(B97&lt;0,B97*-1,0)</f>
        <v>587.70000000000005</v>
      </c>
      <c r="C117" s="93">
        <f t="shared" ref="B117:AF122" si="46">IF(C97&lt;0,C97*-1,0)</f>
        <v>636</v>
      </c>
      <c r="D117" s="93">
        <f t="shared" si="46"/>
        <v>629</v>
      </c>
      <c r="E117" s="93">
        <f t="shared" si="46"/>
        <v>642</v>
      </c>
      <c r="F117" s="93">
        <f t="shared" si="46"/>
        <v>638.20000000000005</v>
      </c>
      <c r="G117" s="93">
        <f t="shared" si="46"/>
        <v>0</v>
      </c>
      <c r="H117" s="93">
        <f t="shared" si="46"/>
        <v>0</v>
      </c>
      <c r="I117" s="93">
        <f t="shared" si="46"/>
        <v>0</v>
      </c>
      <c r="J117" s="93">
        <f t="shared" si="46"/>
        <v>0</v>
      </c>
      <c r="K117" s="93">
        <f t="shared" si="46"/>
        <v>0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642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7">SUM(B117:B122)</f>
        <v>587.70000000000005</v>
      </c>
      <c r="C123" s="70">
        <f t="shared" ref="B123:AF123" si="48">SUM(C117:C122)</f>
        <v>636</v>
      </c>
      <c r="D123" s="70">
        <f t="shared" si="48"/>
        <v>629</v>
      </c>
      <c r="E123" s="70">
        <f t="shared" si="48"/>
        <v>642</v>
      </c>
      <c r="F123" s="70">
        <f t="shared" si="48"/>
        <v>638.20000000000005</v>
      </c>
      <c r="G123" s="70">
        <f t="shared" si="48"/>
        <v>0</v>
      </c>
      <c r="H123" s="70">
        <f t="shared" si="48"/>
        <v>0</v>
      </c>
      <c r="I123" s="70">
        <f t="shared" si="48"/>
        <v>0</v>
      </c>
      <c r="J123" s="70">
        <f t="shared" si="48"/>
        <v>0</v>
      </c>
      <c r="K123" s="70">
        <f t="shared" si="48"/>
        <v>0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642</v>
      </c>
      <c r="AI123" s="47">
        <f t="shared" si="24"/>
        <v>0</v>
      </c>
      <c r="AJ123" s="105">
        <f t="array" ref="AJ123">MIN(IF(B123:AF123&lt;&gt;0,B123:AF123))</f>
        <v>587.70000000000005</v>
      </c>
    </row>
    <row r="124" spans="1:64" ht="15.75" thickBot="1" x14ac:dyDescent="0.3">
      <c r="A124" s="87" t="s">
        <v>146</v>
      </c>
      <c r="B124" s="70">
        <f t="shared" ref="B124" si="49">B108-B123</f>
        <v>-511.30000000000007</v>
      </c>
      <c r="C124" s="70">
        <f t="shared" ref="B124:AF124" si="50">C108-C123</f>
        <v>-535</v>
      </c>
      <c r="D124" s="70">
        <f t="shared" si="50"/>
        <v>-532.4</v>
      </c>
      <c r="E124" s="70">
        <f t="shared" si="50"/>
        <v>-542.9</v>
      </c>
      <c r="F124" s="70">
        <f t="shared" si="50"/>
        <v>-541.80000000000007</v>
      </c>
      <c r="G124" s="70">
        <f t="shared" si="50"/>
        <v>0</v>
      </c>
      <c r="H124" s="70">
        <f t="shared" si="50"/>
        <v>0</v>
      </c>
      <c r="I124" s="70">
        <f t="shared" si="50"/>
        <v>0</v>
      </c>
      <c r="J124" s="70">
        <f t="shared" si="50"/>
        <v>0</v>
      </c>
      <c r="K124" s="70">
        <f t="shared" si="50"/>
        <v>0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50.045000000000002</v>
      </c>
      <c r="AI126" s="47">
        <f t="shared" si="24"/>
        <v>49.963000000000001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134.30000000000001</v>
      </c>
      <c r="AI127" s="47">
        <f t="shared" si="24"/>
        <v>132.1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130.9</v>
      </c>
      <c r="AI128" s="47">
        <f t="shared" si="24"/>
        <v>129.9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133.80000000000001</v>
      </c>
      <c r="AI130" s="47">
        <f t="shared" si="24"/>
        <v>132.6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135</v>
      </c>
      <c r="AI131" s="47">
        <f t="shared" si="24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131.1</v>
      </c>
      <c r="AI132" s="47">
        <f t="shared" si="24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52">SUM(C26,C32,C45:C46,C82,C84:C85,C87,C89,C137:C142,C177,C183,C189,C198,C200,C212,C219,C222:C223,C230,C232,C234,C238:C240,C242:C244,C249,C255:C256,C258:C260,C161,C166)</f>
        <v>165.73999999999995</v>
      </c>
      <c r="D135" s="114">
        <f t="shared" si="52"/>
        <v>162.73999999999998</v>
      </c>
      <c r="E135" s="114">
        <f t="shared" si="52"/>
        <v>160.73999999999998</v>
      </c>
      <c r="F135" s="114">
        <f t="shared" si="52"/>
        <v>170.83999999999995</v>
      </c>
      <c r="G135" s="114">
        <f t="shared" si="52"/>
        <v>0.94</v>
      </c>
      <c r="H135" s="114">
        <f t="shared" si="52"/>
        <v>0.94</v>
      </c>
      <c r="I135" s="114">
        <f t="shared" si="52"/>
        <v>0.94</v>
      </c>
      <c r="J135" s="114">
        <f t="shared" si="52"/>
        <v>0.94</v>
      </c>
      <c r="K135" s="114">
        <f t="shared" si="52"/>
        <v>0.94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190.43999999999997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</v>
      </c>
      <c r="AI137" s="47">
        <f t="shared" si="24"/>
        <v>56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22.5</v>
      </c>
      <c r="AI138" s="47">
        <f t="shared" si="24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-102.2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97.3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17.2</v>
      </c>
      <c r="AI141" s="47">
        <f>MIN(B141:AF141)</f>
        <v>13.8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-67.599999999999994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-375.2</v>
      </c>
      <c r="AI146" s="47">
        <f t="shared" ref="AI146:AI158" si="56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71</v>
      </c>
      <c r="AI147" s="47">
        <f t="shared" si="56"/>
        <v>61.1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-22.4</v>
      </c>
      <c r="AI148" s="47">
        <f t="shared" si="56"/>
        <v>-23.6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v>30.9</v>
      </c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121.5</v>
      </c>
      <c r="AI149" s="47">
        <f t="shared" si="56"/>
        <v>30.9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30.8</v>
      </c>
      <c r="AI150" s="47">
        <f t="shared" si="56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7.2</v>
      </c>
      <c r="AI151" s="47">
        <f t="shared" si="56"/>
        <v>7.1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0</v>
      </c>
      <c r="AI153" s="47">
        <f t="shared" si="5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0</v>
      </c>
      <c r="AI155" s="47">
        <f t="shared" si="5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0</v>
      </c>
      <c r="AI156" s="47">
        <f t="shared" si="5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0</v>
      </c>
      <c r="AI157" s="47">
        <f t="shared" si="5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1517.27</v>
      </c>
      <c r="AI158" s="47">
        <f t="shared" si="56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G11:AA13 AB12:AF13 F82:G90 H84:J90 K85:AF90 B9:AF10 C117:AF125 B113:B115 C109:AF115 B108:AF108 B117:B124 C152:AF152 C154:AF159 B153:AF153 B93:AF96 C134:AF134 G126:AF133 G137:AF151 B76:E90 F76:AF77 B72:L72 F79:F90 C97:AF107">
    <cfRule type="expression" dxfId="172" priority="106">
      <formula>B$9&gt;=20/24</formula>
    </cfRule>
  </conditionalFormatting>
  <conditionalFormatting sqref="B9:AF10 G11:AA13 AB12:AF13 F82:G90 H84:J90 K85:AF90 C117:AF125 B113:B115 C109:AF115 B108:AF108 B117:B124 C152:AF152 C154:AF159 B153:AF153 B93:AF96 C134:AF134 G126:AF133 G137:AF151 B76:E90 F76:AF77 B72:L72 F79:F90 C97:AF107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G14:AF53 B29: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G11:AA13 AB12:AF13 AF92:AF95 AF96:AG96 B71:AG71 B91:AF91 B92:AE96 F78:AG78 B76:E90 B69:AA69 F76:AF77 F79:AC90">
    <cfRule type="expression" dxfId="144" priority="105">
      <formula>B11&gt;$AG11*1</formula>
    </cfRule>
  </conditionalFormatting>
  <conditionalFormatting sqref="F79:I83 J80:J83 K83:O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G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G73:AF75">
    <cfRule type="expression" dxfId="131" priority="35">
      <formula>G$9&gt;=20/24</formula>
    </cfRule>
    <cfRule type="expression" dxfId="130" priority="36">
      <formula>AND(G$9&gt;=14/24,G$9&lt;20/24)</formula>
    </cfRule>
    <cfRule type="expression" dxfId="129" priority="37">
      <formula>AND(G$9&gt;=8/24,G$9&lt;14/24)</formula>
    </cfRule>
    <cfRule type="expression" dxfId="128" priority="38">
      <formula>G$9&lt;8/24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F13 C126:F133 C137:F151">
    <cfRule type="expression" dxfId="22" priority="20">
      <formula>B$9&gt;=20/24</formula>
    </cfRule>
  </conditionalFormatting>
  <conditionalFormatting sqref="B97:B107 B137:B152 B109:B112 B125:B134 B154:B159 B11:F13 C126:F133 C137:F151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F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F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2026-05-21T22:24:50Z</dcterms:modified>
</cp:coreProperties>
</file>