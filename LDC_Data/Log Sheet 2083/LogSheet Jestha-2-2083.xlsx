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AH121" i="75" s="1"/>
  <c r="D121" i="75"/>
  <c r="C121" i="75"/>
  <c r="AI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D120" i="75"/>
  <c r="C120" i="75"/>
  <c r="AI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AH119" i="75" s="1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E123" i="75" s="1"/>
  <c r="AP23" i="75" s="1"/>
  <c r="D117" i="75"/>
  <c r="C117" i="75"/>
  <c r="C123" i="75" s="1"/>
  <c r="D115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108" i="75"/>
  <c r="E124" i="75" s="1"/>
  <c r="D108" i="75"/>
  <c r="C108" i="75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F96" i="75"/>
  <c r="E96" i="75"/>
  <c r="D96" i="75"/>
  <c r="C96" i="75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AI92" i="75" s="1"/>
  <c r="AH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BC90" i="75"/>
  <c r="BB90" i="75"/>
  <c r="AI90" i="75"/>
  <c r="AH90" i="75"/>
  <c r="BT89" i="75"/>
  <c r="BQ89" i="75"/>
  <c r="BM89" i="75"/>
  <c r="BJ89" i="75"/>
  <c r="BI89" i="75"/>
  <c r="BE89" i="75"/>
  <c r="BB89" i="75"/>
  <c r="BA89" i="75"/>
  <c r="AI89" i="75"/>
  <c r="AH89" i="75"/>
  <c r="BT88" i="75"/>
  <c r="BS88" i="75"/>
  <c r="BO88" i="75"/>
  <c r="BL88" i="75"/>
  <c r="BK88" i="75"/>
  <c r="BG88" i="75"/>
  <c r="BD88" i="75"/>
  <c r="BC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BC86" i="75"/>
  <c r="AZ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B83" i="75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A82" i="75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C81" i="75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B79" i="75"/>
  <c r="BB86" i="75" s="1"/>
  <c r="BA79" i="75"/>
  <c r="BA86" i="75" s="1"/>
  <c r="AZ79" i="75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F78" i="75"/>
  <c r="E78" i="75"/>
  <c r="D78" i="75"/>
  <c r="C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F113" i="75" s="1"/>
  <c r="F115" i="75" s="1"/>
  <c r="E71" i="75"/>
  <c r="E113" i="75" s="1"/>
  <c r="E115" i="75" s="1"/>
  <c r="E116" i="75" s="1"/>
  <c r="E7" i="75" s="1"/>
  <c r="D71" i="75"/>
  <c r="D113" i="75" s="1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R20" i="75"/>
  <c r="AQ20" i="75"/>
  <c r="AP20" i="75"/>
  <c r="AO20" i="75"/>
  <c r="AN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Q19" i="75"/>
  <c r="AP19" i="75"/>
  <c r="AO19" i="75"/>
  <c r="AN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R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Q16" i="75"/>
  <c r="AQ22" i="75" s="1"/>
  <c r="AP16" i="75"/>
  <c r="AP22" i="75" s="1"/>
  <c r="AP25" i="75" s="1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E5" i="75"/>
  <c r="D5" i="75"/>
  <c r="C5" i="75"/>
  <c r="B5" i="75"/>
  <c r="AG4" i="75"/>
  <c r="K4" i="75"/>
  <c r="E4" i="75"/>
  <c r="H4" i="75" s="1"/>
  <c r="B4" i="75"/>
  <c r="AL13" i="75" s="1"/>
  <c r="AG3" i="75"/>
  <c r="AG2" i="75"/>
  <c r="AG6" i="75" s="1"/>
  <c r="BA16" i="75" l="1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O22" i="75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D116" i="75"/>
  <c r="D7" i="75" s="1"/>
  <c r="C124" i="75"/>
  <c r="AN23" i="75"/>
  <c r="AQ25" i="75"/>
  <c r="G116" i="75"/>
  <c r="G7" i="75" s="1"/>
  <c r="AE116" i="75"/>
  <c r="AE7" i="75" s="1"/>
  <c r="AH78" i="75"/>
  <c r="AI96" i="75"/>
  <c r="AM20" i="75"/>
  <c r="AH96" i="75"/>
  <c r="F116" i="75"/>
  <c r="F7" i="75" s="1"/>
  <c r="V123" i="75"/>
  <c r="BD23" i="75" s="1"/>
  <c r="F123" i="75"/>
  <c r="AQ23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N25" i="75" s="1"/>
  <c r="AI117" i="75"/>
  <c r="AH118" i="75"/>
  <c r="AH120" i="75"/>
  <c r="F124" i="75"/>
  <c r="AD124" i="75"/>
  <c r="D123" i="75"/>
  <c r="L123" i="75"/>
  <c r="AJ123" i="75" s="1" a="1"/>
  <c r="AJ123" i="75" s="1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BI25" i="75" l="1"/>
  <c r="BG25" i="75"/>
  <c r="L124" i="75"/>
  <c r="AH124" i="75" s="1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E274" i="75" l="1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<sst xmlns="http://schemas.openxmlformats.org/spreadsheetml/2006/main" count="1572" uniqueCount="416">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</sst>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M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86" sqref="AF86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68" sqref="B6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1540.8100000000004</v>
      </c>
      <c r="C7" s="35">
        <f t="shared" si="1"/>
        <v>172</v>
      </c>
      <c r="D7" s="35">
        <f t="shared" si="1"/>
        <v>172</v>
      </c>
      <c r="E7" s="35">
        <f t="shared" si="1"/>
        <v>172</v>
      </c>
      <c r="F7" s="35">
        <f t="shared" si="1"/>
        <v>172</v>
      </c>
      <c r="G7" s="35">
        <f t="shared" si="1"/>
        <v>172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2025.81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1540.81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28.9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45.6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60.8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28.2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170</v>
      </c>
      <c r="AO16" s="57">
        <f t="shared" si="4"/>
        <v>170</v>
      </c>
      <c r="AP16" s="57">
        <f t="shared" si="4"/>
        <v>170</v>
      </c>
      <c r="AQ16" s="57">
        <f t="shared" si="4"/>
        <v>170</v>
      </c>
      <c r="AR16" s="57">
        <f t="shared" si="4"/>
        <v>170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29.9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18.899999999999999</v>
      </c>
      <c r="AK18" s="49"/>
      <c r="AL18" s="52" t="s">
        <v>31</v>
      </c>
      <c r="AM18" s="57">
        <f t="shared" ref="AM18:AR18" si="8">B92</f>
        <v>325.61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2025.8100000000004</v>
      </c>
      <c r="AN22" s="60">
        <f t="shared" si="16"/>
        <v>172</v>
      </c>
      <c r="AO22" s="60">
        <f t="shared" si="16"/>
        <v>172</v>
      </c>
      <c r="AP22" s="60">
        <f t="shared" si="16"/>
        <v>172</v>
      </c>
      <c r="AQ22" s="60">
        <f t="shared" si="16"/>
        <v>172</v>
      </c>
      <c r="AR22" s="60">
        <f t="shared" si="16"/>
        <v>172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1540.8100000000004</v>
      </c>
      <c r="AN25" s="60">
        <f t="shared" si="19"/>
        <v>172</v>
      </c>
      <c r="AO25" s="60">
        <f t="shared" si="19"/>
        <v>172</v>
      </c>
      <c r="AP25" s="60">
        <f t="shared" si="19"/>
        <v>172</v>
      </c>
      <c r="AQ25" s="60">
        <f t="shared" si="19"/>
        <v>172</v>
      </c>
      <c r="AR25" s="60">
        <f t="shared" si="19"/>
        <v>172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144.80000000000001</v>
      </c>
      <c r="AI70" s="47">
        <f t="shared" si="3"/>
        <v>144.80000000000001</v>
      </c>
      <c r="AK70" s="49"/>
    </row>
    <row r="71" spans="1:88" ht="15.75" thickBot="1">
      <c r="A71" s="69" t="s">
        <v>90</v>
      </c>
      <c r="B71" s="70">
        <f t="shared" ref="B71" si="20">SUM(B11:B69)</f>
        <v>1024.7000000000003</v>
      </c>
      <c r="C71" s="70">
        <f>SUM(C11:C69)</f>
        <v>170</v>
      </c>
      <c r="D71" s="70">
        <f t="shared" ref="D71:AG71" si="21">SUM(D11:D69)</f>
        <v>170</v>
      </c>
      <c r="E71" s="70">
        <f t="shared" si="21"/>
        <v>170</v>
      </c>
      <c r="F71" s="70">
        <f t="shared" si="21"/>
        <v>170</v>
      </c>
      <c r="G71" s="70">
        <f t="shared" si="21"/>
        <v>170</v>
      </c>
      <c r="H71" s="70">
        <f t="shared" si="21"/>
        <v>170</v>
      </c>
      <c r="I71" s="70">
        <f t="shared" si="21"/>
        <v>170</v>
      </c>
      <c r="J71" s="70">
        <f t="shared" si="21"/>
        <v>170</v>
      </c>
      <c r="K71" s="70">
        <f t="shared" si="21"/>
        <v>170</v>
      </c>
      <c r="L71" s="70">
        <f t="shared" si="21"/>
        <v>170</v>
      </c>
      <c r="M71" s="70">
        <f t="shared" si="21"/>
        <v>170</v>
      </c>
      <c r="N71" s="70">
        <f t="shared" si="21"/>
        <v>170</v>
      </c>
      <c r="O71" s="70">
        <f t="shared" si="21"/>
        <v>170</v>
      </c>
      <c r="P71" s="70">
        <f t="shared" si="21"/>
        <v>170</v>
      </c>
      <c r="Q71" s="70">
        <f t="shared" si="21"/>
        <v>170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170</v>
      </c>
      <c r="Y71" s="70">
        <f t="shared" si="21"/>
        <v>170</v>
      </c>
      <c r="Z71" s="70">
        <f t="shared" si="21"/>
        <v>170</v>
      </c>
      <c r="AA71" s="70">
        <f t="shared" si="21"/>
        <v>170</v>
      </c>
      <c r="AB71" s="70">
        <f>SUM(AB11:AB69)</f>
        <v>170</v>
      </c>
      <c r="AC71" s="70">
        <f t="shared" si="21"/>
        <v>170</v>
      </c>
      <c r="AD71" s="70">
        <f t="shared" si="21"/>
        <v>170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349</v>
      </c>
      <c r="AI72" s="47">
        <f t="shared" si="3"/>
        <v>349</v>
      </c>
      <c r="AK72" s="49"/>
    </row>
    <row r="73" spans="1:88">
      <c r="A73" s="72" t="s">
        <v>92</v>
      </c>
      <c r="B73" s="43">
        <v>62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61.7</v>
      </c>
      <c r="AK74" s="49"/>
    </row>
    <row r="75" spans="1:88">
      <c r="A75" s="74" t="s">
        <v>94</v>
      </c>
      <c r="B75" s="43">
        <v>29.8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29.8</v>
      </c>
      <c r="AI75" s="47">
        <f t="shared" ref="AI75:AI138" si="23">MIN(B75:AF75)</f>
        <v>29.8</v>
      </c>
      <c r="AK75" s="49"/>
    </row>
    <row r="76" spans="1:88">
      <c r="A76" s="74" t="s">
        <v>95</v>
      </c>
      <c r="B76" s="43">
        <v>13.2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13.2</v>
      </c>
      <c r="AI76" s="47">
        <f t="shared" si="23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9.8000000000000007</v>
      </c>
      <c r="AI77" s="47">
        <f t="shared" si="23"/>
        <v>9.8000000000000007</v>
      </c>
      <c r="AK77" s="49"/>
    </row>
    <row r="78" spans="1:88" ht="15.75" thickBot="1">
      <c r="A78" s="79" t="s">
        <v>97</v>
      </c>
      <c r="B78" s="70">
        <f t="shared" ref="B78" si="24">SUM(B72:B77)</f>
        <v>525.5</v>
      </c>
      <c r="C78" s="70">
        <f>SUM(C72:C77)</f>
        <v>0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525.5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0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35</v>
      </c>
      <c r="AI80" s="47">
        <f t="shared" si="23"/>
        <v>35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70.099999999999994</v>
      </c>
      <c r="AI81" s="47">
        <f t="shared" si="23"/>
        <v>70.099999999999994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60</v>
      </c>
      <c r="AI82" s="47">
        <f t="shared" si="23"/>
        <v>60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14.3</v>
      </c>
      <c r="AI83" s="47">
        <f t="shared" si="23"/>
        <v>14.3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10.3</v>
      </c>
      <c r="AI85" s="47">
        <f t="shared" si="23"/>
        <v>10.3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10.3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10.3</v>
      </c>
      <c r="AI86" s="47">
        <f t="shared" si="23"/>
        <v>10.3</v>
      </c>
      <c r="AK86" s="49"/>
      <c r="AZ86" s="82">
        <f t="shared" ref="AZ86:BW91" si="30">VALUE(AZ79)</f>
        <v>0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-485</v>
      </c>
    </row>
    <row r="87" spans="1:75">
      <c r="A87" s="63" t="s">
        <v>112</v>
      </c>
      <c r="B87" s="43">
        <v>5.1100000000000003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5.1100000000000003</v>
      </c>
      <c r="AI87" s="47">
        <f t="shared" si="23"/>
        <v>5.1100000000000003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>
      <c r="A88" s="84" t="s">
        <v>113</v>
      </c>
      <c r="B88" s="43">
        <v>10.199999999999999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10.199999999999999</v>
      </c>
      <c r="AI88" s="47">
        <f t="shared" si="23"/>
        <v>10.199999999999999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65.099999999999994</v>
      </c>
    </row>
    <row r="89" spans="1:75">
      <c r="A89" s="63" t="s">
        <v>114</v>
      </c>
      <c r="B89" s="43">
        <v>7.7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0</v>
      </c>
    </row>
    <row r="90" spans="1:7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>
      <c r="A92" s="87" t="s">
        <v>117</v>
      </c>
      <c r="B92" s="70">
        <f t="shared" ref="B92" si="31">SUM(B79:B91)</f>
        <v>325.61</v>
      </c>
      <c r="C92" s="70">
        <f t="shared" ref="B92:AG92" si="32">SUM(C79:C91)</f>
        <v>2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325.61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30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30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14</v>
      </c>
      <c r="AI94" s="47">
        <f t="shared" si="23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3">B93+B94+B95</f>
        <v>51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51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-485</v>
      </c>
      <c r="AI97" s="47">
        <f t="shared" si="23"/>
        <v>-485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65.099999999999994</v>
      </c>
      <c r="AI99" s="47">
        <f t="shared" si="23"/>
        <v>65.099999999999994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0</v>
      </c>
      <c r="AI100" s="47">
        <f t="shared" si="23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33.9</v>
      </c>
      <c r="AI102" s="47">
        <f t="shared" si="23"/>
        <v>33.9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5">SUMIF(B97:B107,"&gt;0")</f>
        <v>99</v>
      </c>
      <c r="C108" s="70">
        <f t="shared" ref="B108:AF108" si="36">SUMIF(C97:C107,"&gt;0")</f>
        <v>0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99</v>
      </c>
      <c r="AI108" s="47">
        <f t="shared" si="23"/>
        <v>0</v>
      </c>
      <c r="AJ108" s="105">
        <f t="array" ref="AJ108">MIN(IF(B108:AF108&lt;&gt;0,B108:AF108))</f>
        <v>99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7">B71+B78+B96+B92+B108+B112</f>
        <v>2025.8100000000004</v>
      </c>
      <c r="C113" s="108">
        <f t="shared" ref="B113:AG113" si="38">C71+C78+C96+C92+C108+C112</f>
        <v>172</v>
      </c>
      <c r="D113" s="108">
        <f t="shared" si="38"/>
        <v>172</v>
      </c>
      <c r="E113" s="108">
        <f t="shared" si="38"/>
        <v>172</v>
      </c>
      <c r="F113" s="108">
        <f t="shared" si="38"/>
        <v>172</v>
      </c>
      <c r="G113" s="108">
        <f t="shared" si="38"/>
        <v>172</v>
      </c>
      <c r="H113" s="108">
        <f t="shared" si="38"/>
        <v>172</v>
      </c>
      <c r="I113" s="108">
        <f t="shared" si="38"/>
        <v>172</v>
      </c>
      <c r="J113" s="108">
        <f t="shared" si="38"/>
        <v>172</v>
      </c>
      <c r="K113" s="108">
        <f t="shared" si="38"/>
        <v>172</v>
      </c>
      <c r="L113" s="108">
        <f t="shared" si="38"/>
        <v>172</v>
      </c>
      <c r="M113" s="108">
        <f t="shared" si="38"/>
        <v>172</v>
      </c>
      <c r="N113" s="108">
        <f t="shared" si="38"/>
        <v>172</v>
      </c>
      <c r="O113" s="108">
        <f t="shared" si="38"/>
        <v>172</v>
      </c>
      <c r="P113" s="108">
        <f t="shared" si="38"/>
        <v>172</v>
      </c>
      <c r="Q113" s="108">
        <f t="shared" si="38"/>
        <v>172</v>
      </c>
      <c r="R113" s="108">
        <f t="shared" si="38"/>
        <v>172</v>
      </c>
      <c r="S113" s="108">
        <f t="shared" si="38"/>
        <v>172</v>
      </c>
      <c r="T113" s="108">
        <f t="shared" si="38"/>
        <v>172</v>
      </c>
      <c r="U113" s="108">
        <f t="shared" si="38"/>
        <v>172</v>
      </c>
      <c r="V113" s="108">
        <f t="shared" si="38"/>
        <v>172</v>
      </c>
      <c r="W113" s="108">
        <f t="shared" si="38"/>
        <v>172</v>
      </c>
      <c r="X113" s="108">
        <f t="shared" si="38"/>
        <v>172</v>
      </c>
      <c r="Y113" s="108">
        <f t="shared" si="38"/>
        <v>172</v>
      </c>
      <c r="Z113" s="108">
        <f t="shared" si="38"/>
        <v>172</v>
      </c>
      <c r="AA113" s="108">
        <f t="shared" si="38"/>
        <v>172</v>
      </c>
      <c r="AB113" s="108">
        <f t="shared" si="38"/>
        <v>172</v>
      </c>
      <c r="AC113" s="108">
        <f t="shared" si="38"/>
        <v>172</v>
      </c>
      <c r="AD113" s="108">
        <f t="shared" si="38"/>
        <v>172</v>
      </c>
      <c r="AE113" s="108">
        <f t="shared" si="38"/>
        <v>172</v>
      </c>
      <c r="AF113" s="108">
        <f t="shared" si="38"/>
        <v>172</v>
      </c>
      <c r="AG113" s="80">
        <f t="shared" si="38"/>
        <v>3169.915</v>
      </c>
      <c r="AH113" s="46">
        <f t="shared" si="22"/>
        <v>2025.8100000000004</v>
      </c>
      <c r="AI113" s="47">
        <f t="shared" si="23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39">B113+B114</f>
        <v>2025.8100000000004</v>
      </c>
      <c r="C115" s="108">
        <f t="shared" ref="C115:AF115" si="40">C113+C114</f>
        <v>172</v>
      </c>
      <c r="D115" s="108">
        <f t="shared" si="40"/>
        <v>172</v>
      </c>
      <c r="E115" s="108">
        <f t="shared" si="40"/>
        <v>172</v>
      </c>
      <c r="F115" s="108">
        <f t="shared" si="40"/>
        <v>172</v>
      </c>
      <c r="G115" s="108">
        <f t="shared" si="40"/>
        <v>172</v>
      </c>
      <c r="H115" s="108">
        <f t="shared" si="40"/>
        <v>172</v>
      </c>
      <c r="I115" s="108">
        <f t="shared" si="40"/>
        <v>172</v>
      </c>
      <c r="J115" s="108">
        <f t="shared" si="40"/>
        <v>172</v>
      </c>
      <c r="K115" s="108">
        <f t="shared" si="40"/>
        <v>172</v>
      </c>
      <c r="L115" s="108">
        <f t="shared" si="40"/>
        <v>172</v>
      </c>
      <c r="M115" s="108">
        <f t="shared" si="40"/>
        <v>172</v>
      </c>
      <c r="N115" s="108">
        <f t="shared" si="40"/>
        <v>172</v>
      </c>
      <c r="O115" s="108">
        <f t="shared" si="40"/>
        <v>172</v>
      </c>
      <c r="P115" s="108">
        <f t="shared" si="40"/>
        <v>172</v>
      </c>
      <c r="Q115" s="108">
        <f t="shared" si="40"/>
        <v>172</v>
      </c>
      <c r="R115" s="108">
        <f t="shared" si="40"/>
        <v>172</v>
      </c>
      <c r="S115" s="108">
        <f t="shared" si="40"/>
        <v>172</v>
      </c>
      <c r="T115" s="108">
        <f t="shared" si="40"/>
        <v>172</v>
      </c>
      <c r="U115" s="108">
        <f t="shared" si="40"/>
        <v>172</v>
      </c>
      <c r="V115" s="108">
        <f t="shared" si="40"/>
        <v>172</v>
      </c>
      <c r="W115" s="108">
        <f t="shared" si="40"/>
        <v>172</v>
      </c>
      <c r="X115" s="108">
        <f t="shared" si="40"/>
        <v>172</v>
      </c>
      <c r="Y115" s="108">
        <f t="shared" si="40"/>
        <v>172</v>
      </c>
      <c r="Z115" s="108">
        <f t="shared" si="40"/>
        <v>172</v>
      </c>
      <c r="AA115" s="108">
        <f t="shared" si="40"/>
        <v>172</v>
      </c>
      <c r="AB115" s="108">
        <f t="shared" si="40"/>
        <v>172</v>
      </c>
      <c r="AC115" s="108">
        <f t="shared" si="40"/>
        <v>172</v>
      </c>
      <c r="AD115" s="108">
        <f t="shared" si="40"/>
        <v>172</v>
      </c>
      <c r="AE115" s="108">
        <f t="shared" si="40"/>
        <v>172</v>
      </c>
      <c r="AF115" s="108">
        <f t="shared" si="40"/>
        <v>172</v>
      </c>
      <c r="AG115" s="104">
        <f>AG112+AG108+AG96+AG92+AG71+AG114</f>
        <v>2463.5149999999999</v>
      </c>
      <c r="AH115" s="46">
        <f t="shared" si="22"/>
        <v>2025.8100000000004</v>
      </c>
      <c r="AI115" s="47">
        <f t="shared" si="23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1">B115-(B123)</f>
        <v>1540.8100000000004</v>
      </c>
      <c r="C116" s="108">
        <f t="shared" ref="C116:AF116" si="42">C115-(C123)</f>
        <v>172</v>
      </c>
      <c r="D116" s="108">
        <f t="shared" si="42"/>
        <v>172</v>
      </c>
      <c r="E116" s="108">
        <f t="shared" si="42"/>
        <v>172</v>
      </c>
      <c r="F116" s="108">
        <f t="shared" si="42"/>
        <v>172</v>
      </c>
      <c r="G116" s="108">
        <f t="shared" si="42"/>
        <v>172</v>
      </c>
      <c r="H116" s="108">
        <f t="shared" si="42"/>
        <v>172</v>
      </c>
      <c r="I116" s="108">
        <f t="shared" si="42"/>
        <v>172</v>
      </c>
      <c r="J116" s="108">
        <f t="shared" si="42"/>
        <v>172</v>
      </c>
      <c r="K116" s="108">
        <f t="shared" si="42"/>
        <v>172</v>
      </c>
      <c r="L116" s="108">
        <f t="shared" si="42"/>
        <v>172</v>
      </c>
      <c r="M116" s="108">
        <f t="shared" si="42"/>
        <v>172</v>
      </c>
      <c r="N116" s="108">
        <f t="shared" si="42"/>
        <v>172</v>
      </c>
      <c r="O116" s="108">
        <f t="shared" si="42"/>
        <v>172</v>
      </c>
      <c r="P116" s="108">
        <f t="shared" si="42"/>
        <v>172</v>
      </c>
      <c r="Q116" s="108">
        <f t="shared" si="42"/>
        <v>172</v>
      </c>
      <c r="R116" s="108">
        <f t="shared" si="42"/>
        <v>172</v>
      </c>
      <c r="S116" s="108">
        <f t="shared" si="42"/>
        <v>172</v>
      </c>
      <c r="T116" s="108">
        <f t="shared" si="42"/>
        <v>172</v>
      </c>
      <c r="U116" s="108">
        <f t="shared" si="42"/>
        <v>172</v>
      </c>
      <c r="V116" s="108">
        <f t="shared" si="42"/>
        <v>172</v>
      </c>
      <c r="W116" s="108">
        <f t="shared" si="42"/>
        <v>172</v>
      </c>
      <c r="X116" s="108">
        <f t="shared" si="42"/>
        <v>172</v>
      </c>
      <c r="Y116" s="108">
        <f t="shared" si="42"/>
        <v>172</v>
      </c>
      <c r="Z116" s="108">
        <f t="shared" si="42"/>
        <v>172</v>
      </c>
      <c r="AA116" s="108">
        <f t="shared" si="42"/>
        <v>172</v>
      </c>
      <c r="AB116" s="108">
        <f t="shared" si="42"/>
        <v>172</v>
      </c>
      <c r="AC116" s="108">
        <f t="shared" si="42"/>
        <v>172</v>
      </c>
      <c r="AD116" s="108">
        <f t="shared" si="42"/>
        <v>172</v>
      </c>
      <c r="AE116" s="108">
        <f t="shared" si="42"/>
        <v>172</v>
      </c>
      <c r="AF116" s="108">
        <f t="shared" si="42"/>
        <v>172</v>
      </c>
      <c r="AG116" s="104"/>
      <c r="AH116" s="46">
        <f t="shared" si="22"/>
        <v>1540.8100000000004</v>
      </c>
      <c r="AI116" s="47">
        <f t="shared" si="23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3">IF(B97&lt;0,B97*-1,0)</f>
        <v>485</v>
      </c>
      <c r="C117" s="93">
        <f t="shared" ref="B117:AF122" si="44">IF(C97&lt;0,C97*-1,0)</f>
        <v>0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485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" si="45">SUM(B117:B122)</f>
        <v>485</v>
      </c>
      <c r="C123" s="70">
        <f t="shared" ref="B123:AF123" si="46">SUM(C117:C122)</f>
        <v>0</v>
      </c>
      <c r="D123" s="70">
        <f t="shared" si="46"/>
        <v>0</v>
      </c>
      <c r="E123" s="70">
        <f t="shared" si="46"/>
        <v>0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485</v>
      </c>
      <c r="AI123" s="47">
        <f t="shared" si="23"/>
        <v>0</v>
      </c>
      <c r="AJ123" s="105">
        <f t="array" ref="AJ123">MIN(IF(B123:AF123&lt;&gt;0,B123:AF123))</f>
        <v>485</v>
      </c>
    </row>
    <row r="124" spans="1:64" ht="15.75" thickBot="1">
      <c r="A124" s="87" t="s">
        <v>146</v>
      </c>
      <c r="B124" s="70">
        <f t="shared" ref="B124" si="47">B108-B123</f>
        <v>-386</v>
      </c>
      <c r="C124" s="70">
        <f t="shared" ref="B124:AF124" si="48">C108-C123</f>
        <v>0</v>
      </c>
      <c r="D124" s="70">
        <f t="shared" si="48"/>
        <v>0</v>
      </c>
      <c r="E124" s="70">
        <f t="shared" si="48"/>
        <v>0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-386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49.881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49.881</v>
      </c>
      <c r="AI126" s="47">
        <f t="shared" si="23"/>
        <v>49.881</v>
      </c>
    </row>
    <row r="127" spans="1:64">
      <c r="A127" s="119" t="s">
        <v>149</v>
      </c>
      <c r="B127" s="43">
        <v>132.19999999999999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132.19999999999999</v>
      </c>
      <c r="AI127" s="47">
        <f t="shared" si="23"/>
        <v>132.19999999999999</v>
      </c>
    </row>
    <row r="128" spans="1:64">
      <c r="A128" s="119" t="s">
        <v>150</v>
      </c>
      <c r="B128" s="43">
        <v>130.6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130.6</v>
      </c>
      <c r="AI128" s="47">
        <f t="shared" si="23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134.69999999999999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134.69999999999999</v>
      </c>
      <c r="AI130" s="47">
        <f t="shared" si="23"/>
        <v>134.69999999999999</v>
      </c>
    </row>
    <row r="131" spans="1:35">
      <c r="A131" s="121" t="s">
        <v>153</v>
      </c>
      <c r="B131" s="122">
        <v>131.19999999999999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131.19999999999999</v>
      </c>
      <c r="AI131" s="47">
        <f t="shared" si="23"/>
        <v>131.19999999999999</v>
      </c>
    </row>
    <row r="132" spans="1:35">
      <c r="A132" s="119" t="s">
        <v>154</v>
      </c>
      <c r="B132" s="43">
        <v>124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124</v>
      </c>
      <c r="AI132" s="47">
        <f t="shared" si="23"/>
        <v>124</v>
      </c>
    </row>
    <row r="133" spans="1:35" ht="15.75" thickBot="1">
      <c r="A133" s="119" t="s">
        <v>155</v>
      </c>
      <c r="B133" s="101">
        <v>67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</v>
      </c>
      <c r="AI133" s="47">
        <f t="shared" si="23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f t="shared" ref="B135" si="49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0">SUM(C26,C32,C45:C46,C82,C84:C85,C87,C89,C137:C142,C177,C183,C189,C198,C200,C212,C219,C222:C223,C230,C232,C234,C238:C240,C242:C244,C249,C255:C256,C258:C260,C161,C166)</f>
        <v>0.94</v>
      </c>
      <c r="D135" s="114">
        <f t="shared" si="50"/>
        <v>0.94</v>
      </c>
      <c r="E135" s="114">
        <f t="shared" si="50"/>
        <v>0.94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148.55000000000004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2">
        <v>42.6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42.6</v>
      </c>
      <c r="AI137" s="47">
        <f t="shared" si="23"/>
        <v>42.6</v>
      </c>
    </row>
    <row r="138" spans="1:35">
      <c r="A138" s="135" t="s">
        <v>160</v>
      </c>
      <c r="B138" s="132">
        <v>2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</v>
      </c>
      <c r="AI138" s="47">
        <f t="shared" si="23"/>
        <v>2</v>
      </c>
    </row>
    <row r="139" spans="1:35">
      <c r="A139" s="135" t="s">
        <v>161</v>
      </c>
      <c r="B139" s="132">
        <v>-80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2.2999999999999998</v>
      </c>
    </row>
    <row r="142" spans="1:35">
      <c r="A142" s="135" t="s">
        <v>164</v>
      </c>
      <c r="B142" s="132">
        <v>-44.1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-44.1</v>
      </c>
    </row>
    <row r="143" spans="1:35">
      <c r="A143" s="135" t="s">
        <v>165</v>
      </c>
      <c r="B143" s="132">
        <v>26.9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-41.9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-271.5</v>
      </c>
      <c r="AI146" s="47">
        <f t="shared" ref="AI146:AI158" si="54">MIN(B146:AF146)</f>
        <v>-271.5</v>
      </c>
    </row>
    <row r="147" spans="1:38">
      <c r="A147" s="135" t="s">
        <v>169</v>
      </c>
      <c r="B147" s="132">
        <v>72.599999999999994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72.599999999999994</v>
      </c>
      <c r="AI147" s="47">
        <f t="shared" si="54"/>
        <v>72.599999999999994</v>
      </c>
    </row>
    <row r="148" spans="1:38">
      <c r="A148" s="135" t="s">
        <v>170</v>
      </c>
      <c r="B148" s="132">
        <v>3.5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3.5</v>
      </c>
      <c r="AI148" s="47">
        <f t="shared" si="54"/>
        <v>3.5</v>
      </c>
    </row>
    <row r="149" spans="1:38">
      <c r="A149" s="135" t="s">
        <v>171</v>
      </c>
      <c r="B149" s="132">
        <v>229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229</v>
      </c>
      <c r="AI149" s="47">
        <f t="shared" si="54"/>
        <v>229</v>
      </c>
    </row>
    <row r="150" spans="1:38">
      <c r="A150" s="135" t="s">
        <v>172</v>
      </c>
      <c r="B150" s="132">
        <v>22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22</v>
      </c>
      <c r="AI150" s="47">
        <f t="shared" si="54"/>
        <v>22</v>
      </c>
    </row>
    <row r="151" spans="1:38" ht="15.75" thickBot="1">
      <c r="A151" s="139" t="s">
        <v>173</v>
      </c>
      <c r="B151" s="132">
        <v>3.2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3.2</v>
      </c>
      <c r="AI151" s="47">
        <f t="shared" si="54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92:AE96 B69:AF69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 C69:AF69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2026-05-16T18:22:19Z</dcterms:modified>
</cp:coreProperties>
</file>