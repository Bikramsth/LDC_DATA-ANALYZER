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79" l="1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I273" i="79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C273" i="79"/>
  <c r="D273" i="79" s="1"/>
  <c r="E273" i="79" s="1"/>
  <c r="F273" i="79" s="1"/>
  <c r="G273" i="79" s="1"/>
  <c r="H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D272" i="79"/>
  <c r="E272" i="79" s="1"/>
  <c r="F272" i="79" s="1"/>
  <c r="C272" i="79"/>
  <c r="N271" i="79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M271" i="79"/>
  <c r="F271" i="79"/>
  <c r="G271" i="79" s="1"/>
  <c r="H271" i="79" s="1"/>
  <c r="I271" i="79" s="1"/>
  <c r="J271" i="79" s="1"/>
  <c r="K271" i="79" s="1"/>
  <c r="L271" i="79" s="1"/>
  <c r="E271" i="79"/>
  <c r="D271" i="79"/>
  <c r="C271" i="79"/>
  <c r="D270" i="79"/>
  <c r="E270" i="79" s="1"/>
  <c r="F270" i="79" s="1"/>
  <c r="G270" i="79" s="1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C270" i="79"/>
  <c r="C269" i="79"/>
  <c r="D269" i="79" s="1"/>
  <c r="E269" i="79" s="1"/>
  <c r="F269" i="79" s="1"/>
  <c r="G269" i="79" s="1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S268" i="79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C268" i="79"/>
  <c r="D268" i="79" s="1"/>
  <c r="E268" i="79" s="1"/>
  <c r="F268" i="79" s="1"/>
  <c r="G268" i="79" s="1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F267" i="79"/>
  <c r="G267" i="79" s="1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E267" i="79"/>
  <c r="C267" i="79"/>
  <c r="D267" i="79" s="1"/>
  <c r="L266" i="79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C266" i="79"/>
  <c r="D266" i="79" s="1"/>
  <c r="E266" i="79" s="1"/>
  <c r="F266" i="79" s="1"/>
  <c r="G266" i="79" s="1"/>
  <c r="H266" i="79" s="1"/>
  <c r="I266" i="79" s="1"/>
  <c r="J266" i="79" s="1"/>
  <c r="K266" i="79" s="1"/>
  <c r="Y265" i="79"/>
  <c r="Z265" i="79" s="1"/>
  <c r="AA265" i="79" s="1"/>
  <c r="AB265" i="79" s="1"/>
  <c r="AC265" i="79" s="1"/>
  <c r="AD265" i="79" s="1"/>
  <c r="AE265" i="79" s="1"/>
  <c r="AF265" i="79" s="1"/>
  <c r="U265" i="79"/>
  <c r="V265" i="79" s="1"/>
  <c r="W265" i="79" s="1"/>
  <c r="X265" i="79" s="1"/>
  <c r="E265" i="79"/>
  <c r="F265" i="79" s="1"/>
  <c r="G265" i="79" s="1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D265" i="79"/>
  <c r="C265" i="79"/>
  <c r="S264" i="79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C264" i="79"/>
  <c r="D264" i="79" s="1"/>
  <c r="E264" i="79" s="1"/>
  <c r="F264" i="79" s="1"/>
  <c r="G264" i="79" s="1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E263" i="79"/>
  <c r="F263" i="79" s="1"/>
  <c r="G263" i="79" s="1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C263" i="79"/>
  <c r="D263" i="79" s="1"/>
  <c r="L262" i="79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C262" i="79"/>
  <c r="D262" i="79" s="1"/>
  <c r="E262" i="79" s="1"/>
  <c r="F262" i="79" s="1"/>
  <c r="G262" i="79" s="1"/>
  <c r="H262" i="79" s="1"/>
  <c r="I262" i="79" s="1"/>
  <c r="J262" i="79" s="1"/>
  <c r="K262" i="79" s="1"/>
  <c r="U261" i="79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E261" i="79"/>
  <c r="F261" i="79" s="1"/>
  <c r="G261" i="79" s="1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D261" i="79"/>
  <c r="C261" i="79"/>
  <c r="O260" i="79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C260" i="79"/>
  <c r="D260" i="79" s="1"/>
  <c r="E260" i="79" s="1"/>
  <c r="F260" i="79" s="1"/>
  <c r="G260" i="79" s="1"/>
  <c r="H260" i="79" s="1"/>
  <c r="I260" i="79" s="1"/>
  <c r="J260" i="79" s="1"/>
  <c r="K260" i="79" s="1"/>
  <c r="L260" i="79" s="1"/>
  <c r="M260" i="79" s="1"/>
  <c r="N260" i="79" s="1"/>
  <c r="V259" i="79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C259" i="79"/>
  <c r="D259" i="79" s="1"/>
  <c r="E259" i="79" s="1"/>
  <c r="F259" i="79" s="1"/>
  <c r="G259" i="79" s="1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L258" i="79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C258" i="79"/>
  <c r="D258" i="79" s="1"/>
  <c r="E258" i="79" s="1"/>
  <c r="F258" i="79" s="1"/>
  <c r="G258" i="79" s="1"/>
  <c r="H258" i="79" s="1"/>
  <c r="I258" i="79" s="1"/>
  <c r="J258" i="79" s="1"/>
  <c r="K258" i="79" s="1"/>
  <c r="E257" i="79"/>
  <c r="F257" i="79" s="1"/>
  <c r="G257" i="79" s="1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D257" i="79"/>
  <c r="C257" i="79"/>
  <c r="O256" i="79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C256" i="79"/>
  <c r="D256" i="79" s="1"/>
  <c r="E256" i="79" s="1"/>
  <c r="F256" i="79" s="1"/>
  <c r="G256" i="79" s="1"/>
  <c r="H256" i="79" s="1"/>
  <c r="I256" i="79" s="1"/>
  <c r="J256" i="79" s="1"/>
  <c r="K256" i="79" s="1"/>
  <c r="L256" i="79" s="1"/>
  <c r="M256" i="79" s="1"/>
  <c r="N256" i="79" s="1"/>
  <c r="Y255" i="79"/>
  <c r="Z255" i="79" s="1"/>
  <c r="AA255" i="79" s="1"/>
  <c r="AB255" i="79" s="1"/>
  <c r="AC255" i="79" s="1"/>
  <c r="AD255" i="79" s="1"/>
  <c r="AE255" i="79" s="1"/>
  <c r="AF255" i="79" s="1"/>
  <c r="I255" i="79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C255" i="79"/>
  <c r="D255" i="79" s="1"/>
  <c r="E255" i="79" s="1"/>
  <c r="F255" i="79" s="1"/>
  <c r="G255" i="79" s="1"/>
  <c r="H255" i="79" s="1"/>
  <c r="AA254" i="79"/>
  <c r="AB254" i="79" s="1"/>
  <c r="AC254" i="79" s="1"/>
  <c r="AD254" i="79" s="1"/>
  <c r="AE254" i="79" s="1"/>
  <c r="AF254" i="79" s="1"/>
  <c r="K254" i="79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C254" i="79"/>
  <c r="D254" i="79" s="1"/>
  <c r="E254" i="79" s="1"/>
  <c r="F254" i="79" s="1"/>
  <c r="G254" i="79" s="1"/>
  <c r="H254" i="79" s="1"/>
  <c r="I254" i="79" s="1"/>
  <c r="J254" i="79" s="1"/>
  <c r="F253" i="79"/>
  <c r="G253" i="79" s="1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E253" i="79"/>
  <c r="D253" i="79"/>
  <c r="C253" i="79"/>
  <c r="C252" i="79"/>
  <c r="D252" i="79" s="1"/>
  <c r="E252" i="79" s="1"/>
  <c r="F252" i="79" s="1"/>
  <c r="G252" i="79" s="1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C251" i="79"/>
  <c r="D251" i="79" s="1"/>
  <c r="E251" i="79" s="1"/>
  <c r="F251" i="79" s="1"/>
  <c r="G251" i="79" s="1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U250" i="79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F250" i="79"/>
  <c r="G250" i="79" s="1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E250" i="79"/>
  <c r="C250" i="79"/>
  <c r="D250" i="79" s="1"/>
  <c r="C249" i="79"/>
  <c r="D249" i="79" s="1"/>
  <c r="E249" i="79" s="1"/>
  <c r="F249" i="79" s="1"/>
  <c r="G249" i="79" s="1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C248" i="79"/>
  <c r="D248" i="79" s="1"/>
  <c r="E248" i="79" s="1"/>
  <c r="F248" i="79" s="1"/>
  <c r="G248" i="79" s="1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D247" i="79"/>
  <c r="E247" i="79" s="1"/>
  <c r="F247" i="79" s="1"/>
  <c r="G247" i="79" s="1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C247" i="79"/>
  <c r="C246" i="79"/>
  <c r="D246" i="79" s="1"/>
  <c r="E246" i="79" s="1"/>
  <c r="F246" i="79" s="1"/>
  <c r="G246" i="79" s="1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I245" i="79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H245" i="79"/>
  <c r="F245" i="79"/>
  <c r="G245" i="79" s="1"/>
  <c r="C245" i="79"/>
  <c r="D245" i="79" s="1"/>
  <c r="E245" i="79" s="1"/>
  <c r="K244" i="79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F244" i="79"/>
  <c r="G244" i="79" s="1"/>
  <c r="H244" i="79" s="1"/>
  <c r="I244" i="79" s="1"/>
  <c r="J244" i="79" s="1"/>
  <c r="D244" i="79"/>
  <c r="E244" i="79" s="1"/>
  <c r="C244" i="79"/>
  <c r="D243" i="79"/>
  <c r="E243" i="79" s="1"/>
  <c r="F243" i="79" s="1"/>
  <c r="G243" i="79" s="1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C243" i="79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C242" i="79"/>
  <c r="D242" i="79" s="1"/>
  <c r="E242" i="79" s="1"/>
  <c r="F242" i="79" s="1"/>
  <c r="L241" i="79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C241" i="79"/>
  <c r="D241" i="79" s="1"/>
  <c r="E241" i="79" s="1"/>
  <c r="F241" i="79" s="1"/>
  <c r="G241" i="79" s="1"/>
  <c r="H241" i="79" s="1"/>
  <c r="I241" i="79" s="1"/>
  <c r="J241" i="79" s="1"/>
  <c r="K241" i="79" s="1"/>
  <c r="I240" i="79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D240" i="79"/>
  <c r="E240" i="79" s="1"/>
  <c r="F240" i="79" s="1"/>
  <c r="G240" i="79" s="1"/>
  <c r="H240" i="79" s="1"/>
  <c r="C240" i="79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E239" i="79"/>
  <c r="F239" i="79" s="1"/>
  <c r="D239" i="79"/>
  <c r="C239" i="79"/>
  <c r="F238" i="79"/>
  <c r="G238" i="79" s="1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E238" i="79"/>
  <c r="C238" i="79"/>
  <c r="D238" i="79" s="1"/>
  <c r="K237" i="79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D237" i="79"/>
  <c r="E237" i="79" s="1"/>
  <c r="F237" i="79" s="1"/>
  <c r="G237" i="79" s="1"/>
  <c r="H237" i="79" s="1"/>
  <c r="I237" i="79" s="1"/>
  <c r="J237" i="79" s="1"/>
  <c r="C237" i="79"/>
  <c r="I236" i="79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D236" i="79"/>
  <c r="E236" i="79" s="1"/>
  <c r="F236" i="79" s="1"/>
  <c r="G236" i="79" s="1"/>
  <c r="H236" i="79" s="1"/>
  <c r="C236" i="79"/>
  <c r="H235" i="79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C235" i="79"/>
  <c r="D235" i="79" s="1"/>
  <c r="E235" i="79" s="1"/>
  <c r="F235" i="79" s="1"/>
  <c r="G235" i="79" s="1"/>
  <c r="M234" i="79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F234" i="79"/>
  <c r="G234" i="79" s="1"/>
  <c r="H234" i="79" s="1"/>
  <c r="I234" i="79" s="1"/>
  <c r="J234" i="79" s="1"/>
  <c r="K234" i="79" s="1"/>
  <c r="L234" i="79" s="1"/>
  <c r="D234" i="79"/>
  <c r="E234" i="79" s="1"/>
  <c r="C234" i="79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F233" i="79"/>
  <c r="D233" i="79"/>
  <c r="E233" i="79" s="1"/>
  <c r="C233" i="79"/>
  <c r="D232" i="79"/>
  <c r="E232" i="79" s="1"/>
  <c r="F232" i="79" s="1"/>
  <c r="G232" i="79" s="1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C232" i="79"/>
  <c r="R231" i="79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P231" i="79"/>
  <c r="Q231" i="79" s="1"/>
  <c r="F231" i="79"/>
  <c r="G231" i="79" s="1"/>
  <c r="H231" i="79" s="1"/>
  <c r="I231" i="79" s="1"/>
  <c r="J231" i="79" s="1"/>
  <c r="K231" i="79" s="1"/>
  <c r="L231" i="79" s="1"/>
  <c r="M231" i="79" s="1"/>
  <c r="N231" i="79" s="1"/>
  <c r="O231" i="79" s="1"/>
  <c r="E231" i="79"/>
  <c r="C231" i="79"/>
  <c r="D231" i="79" s="1"/>
  <c r="X230" i="79"/>
  <c r="Y230" i="79" s="1"/>
  <c r="Z230" i="79" s="1"/>
  <c r="AA230" i="79" s="1"/>
  <c r="AB230" i="79" s="1"/>
  <c r="AC230" i="79" s="1"/>
  <c r="AD230" i="79" s="1"/>
  <c r="AE230" i="79" s="1"/>
  <c r="AF230" i="79" s="1"/>
  <c r="S230" i="79"/>
  <c r="T230" i="79" s="1"/>
  <c r="U230" i="79" s="1"/>
  <c r="V230" i="79" s="1"/>
  <c r="W230" i="79" s="1"/>
  <c r="D230" i="79"/>
  <c r="E230" i="79" s="1"/>
  <c r="F230" i="79" s="1"/>
  <c r="G230" i="79" s="1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C230" i="79"/>
  <c r="F229" i="79"/>
  <c r="G229" i="79" s="1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C229" i="79"/>
  <c r="D229" i="79" s="1"/>
  <c r="E229" i="79" s="1"/>
  <c r="D228" i="79"/>
  <c r="E228" i="79" s="1"/>
  <c r="F228" i="79" s="1"/>
  <c r="G228" i="79" s="1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C228" i="79"/>
  <c r="E227" i="79"/>
  <c r="F227" i="79" s="1"/>
  <c r="G227" i="79" s="1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C227" i="79"/>
  <c r="D227" i="79" s="1"/>
  <c r="S226" i="79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C226" i="79"/>
  <c r="D226" i="79" s="1"/>
  <c r="E226" i="79" s="1"/>
  <c r="F226" i="79" s="1"/>
  <c r="N225" i="79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E225" i="79"/>
  <c r="F225" i="79" s="1"/>
  <c r="G225" i="79" s="1"/>
  <c r="H225" i="79" s="1"/>
  <c r="I225" i="79" s="1"/>
  <c r="J225" i="79" s="1"/>
  <c r="K225" i="79" s="1"/>
  <c r="L225" i="79" s="1"/>
  <c r="M225" i="79" s="1"/>
  <c r="D225" i="79"/>
  <c r="C225" i="79"/>
  <c r="S224" i="79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C224" i="79"/>
  <c r="D224" i="79" s="1"/>
  <c r="E224" i="79" s="1"/>
  <c r="F224" i="79" s="1"/>
  <c r="E223" i="79"/>
  <c r="F223" i="79" s="1"/>
  <c r="G223" i="79" s="1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C223" i="79"/>
  <c r="D223" i="79" s="1"/>
  <c r="C222" i="79"/>
  <c r="D222" i="79" s="1"/>
  <c r="E222" i="79" s="1"/>
  <c r="F222" i="79" s="1"/>
  <c r="G222" i="79" s="1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N221" i="79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E221" i="79"/>
  <c r="F221" i="79" s="1"/>
  <c r="G221" i="79" s="1"/>
  <c r="H221" i="79" s="1"/>
  <c r="I221" i="79" s="1"/>
  <c r="J221" i="79" s="1"/>
  <c r="K221" i="79" s="1"/>
  <c r="L221" i="79" s="1"/>
  <c r="M221" i="79" s="1"/>
  <c r="D221" i="79"/>
  <c r="C221" i="79"/>
  <c r="L220" i="79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20" i="79"/>
  <c r="H220" i="79" s="1"/>
  <c r="I220" i="79" s="1"/>
  <c r="J220" i="79" s="1"/>
  <c r="K220" i="79" s="1"/>
  <c r="D220" i="79"/>
  <c r="E220" i="79" s="1"/>
  <c r="F220" i="79" s="1"/>
  <c r="C220" i="79"/>
  <c r="AF219" i="79"/>
  <c r="F219" i="79"/>
  <c r="G219" i="79" s="1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E219" i="79"/>
  <c r="C219" i="79"/>
  <c r="D219" i="79" s="1"/>
  <c r="V218" i="79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P218" i="79"/>
  <c r="Q218" i="79" s="1"/>
  <c r="R218" i="79" s="1"/>
  <c r="S218" i="79" s="1"/>
  <c r="T218" i="79" s="1"/>
  <c r="U218" i="79" s="1"/>
  <c r="F218" i="79"/>
  <c r="G218" i="79" s="1"/>
  <c r="H218" i="79" s="1"/>
  <c r="I218" i="79" s="1"/>
  <c r="J218" i="79" s="1"/>
  <c r="K218" i="79" s="1"/>
  <c r="L218" i="79" s="1"/>
  <c r="M218" i="79" s="1"/>
  <c r="N218" i="79" s="1"/>
  <c r="O218" i="79" s="1"/>
  <c r="D218" i="79"/>
  <c r="E218" i="79" s="1"/>
  <c r="C218" i="79"/>
  <c r="M217" i="79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D217" i="79"/>
  <c r="E217" i="79" s="1"/>
  <c r="F217" i="79" s="1"/>
  <c r="G217" i="79" s="1"/>
  <c r="H217" i="79" s="1"/>
  <c r="I217" i="79" s="1"/>
  <c r="J217" i="79" s="1"/>
  <c r="K217" i="79" s="1"/>
  <c r="L217" i="79" s="1"/>
  <c r="C217" i="79"/>
  <c r="E216" i="79"/>
  <c r="F216" i="79" s="1"/>
  <c r="G216" i="79" s="1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C216" i="79"/>
  <c r="D216" i="79" s="1"/>
  <c r="J215" i="79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F215" i="79"/>
  <c r="G215" i="79" s="1"/>
  <c r="H215" i="79" s="1"/>
  <c r="I215" i="79" s="1"/>
  <c r="C215" i="79"/>
  <c r="D215" i="79" s="1"/>
  <c r="E215" i="79" s="1"/>
  <c r="H214" i="79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4" i="79"/>
  <c r="D214" i="79"/>
  <c r="E214" i="79" s="1"/>
  <c r="F214" i="79" s="1"/>
  <c r="C214" i="79"/>
  <c r="E213" i="79"/>
  <c r="F213" i="79" s="1"/>
  <c r="G213" i="79" s="1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D213" i="79"/>
  <c r="C213" i="79"/>
  <c r="W212" i="79"/>
  <c r="X212" i="79" s="1"/>
  <c r="Y212" i="79" s="1"/>
  <c r="Z212" i="79" s="1"/>
  <c r="AA212" i="79" s="1"/>
  <c r="AB212" i="79" s="1"/>
  <c r="AC212" i="79" s="1"/>
  <c r="AD212" i="79" s="1"/>
  <c r="AE212" i="79" s="1"/>
  <c r="AF212" i="79" s="1"/>
  <c r="T212" i="79"/>
  <c r="U212" i="79" s="1"/>
  <c r="V212" i="79" s="1"/>
  <c r="P212" i="79"/>
  <c r="Q212" i="79" s="1"/>
  <c r="R212" i="79" s="1"/>
  <c r="S212" i="79" s="1"/>
  <c r="E212" i="79"/>
  <c r="F212" i="79" s="1"/>
  <c r="G212" i="79" s="1"/>
  <c r="H212" i="79" s="1"/>
  <c r="I212" i="79" s="1"/>
  <c r="J212" i="79" s="1"/>
  <c r="K212" i="79" s="1"/>
  <c r="L212" i="79" s="1"/>
  <c r="M212" i="79" s="1"/>
  <c r="N212" i="79" s="1"/>
  <c r="O212" i="79" s="1"/>
  <c r="D212" i="79"/>
  <c r="C212" i="79"/>
  <c r="R211" i="79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N211" i="79"/>
  <c r="O211" i="79" s="1"/>
  <c r="P211" i="79" s="1"/>
  <c r="Q211" i="79" s="1"/>
  <c r="C211" i="79"/>
  <c r="D211" i="79" s="1"/>
  <c r="E211" i="79" s="1"/>
  <c r="F211" i="79" s="1"/>
  <c r="G211" i="79" s="1"/>
  <c r="H211" i="79" s="1"/>
  <c r="I211" i="79" s="1"/>
  <c r="J211" i="79" s="1"/>
  <c r="K211" i="79" s="1"/>
  <c r="L211" i="79" s="1"/>
  <c r="M211" i="79" s="1"/>
  <c r="F210" i="79"/>
  <c r="G210" i="79" s="1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C210" i="79"/>
  <c r="D210" i="79" s="1"/>
  <c r="E210" i="79" s="1"/>
  <c r="J209" i="79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F209" i="79"/>
  <c r="G209" i="79" s="1"/>
  <c r="H209" i="79" s="1"/>
  <c r="I209" i="79" s="1"/>
  <c r="D209" i="79"/>
  <c r="E209" i="79" s="1"/>
  <c r="C209" i="79"/>
  <c r="J208" i="79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E208" i="79"/>
  <c r="F208" i="79" s="1"/>
  <c r="G208" i="79" s="1"/>
  <c r="H208" i="79" s="1"/>
  <c r="I208" i="79" s="1"/>
  <c r="C208" i="79"/>
  <c r="D208" i="79" s="1"/>
  <c r="F207" i="79"/>
  <c r="G207" i="79" s="1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C207" i="79"/>
  <c r="D207" i="79" s="1"/>
  <c r="E207" i="79" s="1"/>
  <c r="W206" i="79"/>
  <c r="X206" i="79" s="1"/>
  <c r="Y206" i="79" s="1"/>
  <c r="Z206" i="79" s="1"/>
  <c r="AA206" i="79" s="1"/>
  <c r="AB206" i="79" s="1"/>
  <c r="AC206" i="79" s="1"/>
  <c r="AD206" i="79" s="1"/>
  <c r="AE206" i="79" s="1"/>
  <c r="AF206" i="79" s="1"/>
  <c r="O206" i="79"/>
  <c r="P206" i="79" s="1"/>
  <c r="Q206" i="79" s="1"/>
  <c r="R206" i="79" s="1"/>
  <c r="S206" i="79" s="1"/>
  <c r="T206" i="79" s="1"/>
  <c r="U206" i="79" s="1"/>
  <c r="V206" i="79" s="1"/>
  <c r="I206" i="79"/>
  <c r="J206" i="79" s="1"/>
  <c r="K206" i="79" s="1"/>
  <c r="L206" i="79" s="1"/>
  <c r="M206" i="79" s="1"/>
  <c r="N206" i="79" s="1"/>
  <c r="F206" i="79"/>
  <c r="G206" i="79" s="1"/>
  <c r="H206" i="79" s="1"/>
  <c r="D206" i="79"/>
  <c r="E206" i="79" s="1"/>
  <c r="C206" i="79"/>
  <c r="U205" i="79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O205" i="79"/>
  <c r="P205" i="79" s="1"/>
  <c r="Q205" i="79" s="1"/>
  <c r="R205" i="79" s="1"/>
  <c r="S205" i="79" s="1"/>
  <c r="T205" i="79" s="1"/>
  <c r="M205" i="79"/>
  <c r="N205" i="79" s="1"/>
  <c r="G205" i="79"/>
  <c r="H205" i="79" s="1"/>
  <c r="I205" i="79" s="1"/>
  <c r="J205" i="79" s="1"/>
  <c r="K205" i="79" s="1"/>
  <c r="L205" i="79" s="1"/>
  <c r="D205" i="79"/>
  <c r="E205" i="79" s="1"/>
  <c r="F205" i="79" s="1"/>
  <c r="C205" i="79"/>
  <c r="D204" i="79"/>
  <c r="E204" i="79" s="1"/>
  <c r="F204" i="79" s="1"/>
  <c r="G204" i="79" s="1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C204" i="79"/>
  <c r="E203" i="79"/>
  <c r="F203" i="79" s="1"/>
  <c r="G203" i="79" s="1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C203" i="79"/>
  <c r="D203" i="79" s="1"/>
  <c r="H202" i="79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C202" i="79"/>
  <c r="D202" i="79" s="1"/>
  <c r="E202" i="79" s="1"/>
  <c r="F202" i="79" s="1"/>
  <c r="G202" i="79" s="1"/>
  <c r="L201" i="79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1" i="79"/>
  <c r="H201" i="79" s="1"/>
  <c r="I201" i="79" s="1"/>
  <c r="J201" i="79" s="1"/>
  <c r="K201" i="79" s="1"/>
  <c r="F201" i="79"/>
  <c r="D201" i="79"/>
  <c r="E201" i="79" s="1"/>
  <c r="C201" i="79"/>
  <c r="X200" i="79"/>
  <c r="Y200" i="79" s="1"/>
  <c r="Z200" i="79" s="1"/>
  <c r="AA200" i="79" s="1"/>
  <c r="AB200" i="79" s="1"/>
  <c r="AC200" i="79" s="1"/>
  <c r="AD200" i="79" s="1"/>
  <c r="AE200" i="79" s="1"/>
  <c r="AF200" i="79" s="1"/>
  <c r="S200" i="79"/>
  <c r="T200" i="79" s="1"/>
  <c r="U200" i="79" s="1"/>
  <c r="V200" i="79" s="1"/>
  <c r="W200" i="79" s="1"/>
  <c r="E200" i="79"/>
  <c r="F200" i="79" s="1"/>
  <c r="G200" i="79" s="1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C200" i="79"/>
  <c r="D200" i="79" s="1"/>
  <c r="K199" i="79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C199" i="79"/>
  <c r="D199" i="79" s="1"/>
  <c r="E199" i="79" s="1"/>
  <c r="F199" i="79" s="1"/>
  <c r="G199" i="79" s="1"/>
  <c r="H199" i="79" s="1"/>
  <c r="I199" i="79" s="1"/>
  <c r="J199" i="79" s="1"/>
  <c r="D198" i="79"/>
  <c r="E198" i="79" s="1"/>
  <c r="F198" i="79" s="1"/>
  <c r="G198" i="79" s="1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C198" i="79"/>
  <c r="AE197" i="79"/>
  <c r="AF197" i="79" s="1"/>
  <c r="J197" i="79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G197" i="79"/>
  <c r="H197" i="79" s="1"/>
  <c r="I197" i="79" s="1"/>
  <c r="E197" i="79"/>
  <c r="F197" i="79" s="1"/>
  <c r="D197" i="79"/>
  <c r="C197" i="79"/>
  <c r="R196" i="79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K196" i="79"/>
  <c r="L196" i="79" s="1"/>
  <c r="M196" i="79" s="1"/>
  <c r="N196" i="79" s="1"/>
  <c r="O196" i="79" s="1"/>
  <c r="P196" i="79" s="1"/>
  <c r="Q196" i="79" s="1"/>
  <c r="J196" i="79"/>
  <c r="G196" i="79"/>
  <c r="H196" i="79" s="1"/>
  <c r="I196" i="79" s="1"/>
  <c r="D196" i="79"/>
  <c r="E196" i="79" s="1"/>
  <c r="F196" i="79" s="1"/>
  <c r="C196" i="79"/>
  <c r="H195" i="79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E195" i="79"/>
  <c r="F195" i="79" s="1"/>
  <c r="G195" i="79" s="1"/>
  <c r="C195" i="79"/>
  <c r="D195" i="79" s="1"/>
  <c r="AA194" i="79"/>
  <c r="AB194" i="79" s="1"/>
  <c r="AC194" i="79" s="1"/>
  <c r="AD194" i="79" s="1"/>
  <c r="AE194" i="79" s="1"/>
  <c r="AF194" i="79" s="1"/>
  <c r="I194" i="79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G194" i="79"/>
  <c r="H194" i="79" s="1"/>
  <c r="E194" i="79"/>
  <c r="F194" i="79" s="1"/>
  <c r="C194" i="79"/>
  <c r="D194" i="79" s="1"/>
  <c r="C193" i="79"/>
  <c r="D193" i="79" s="1"/>
  <c r="E193" i="79" s="1"/>
  <c r="F193" i="79" s="1"/>
  <c r="G193" i="79" s="1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E192" i="79"/>
  <c r="F192" i="79" s="1"/>
  <c r="G192" i="79" s="1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C192" i="79"/>
  <c r="D192" i="79" s="1"/>
  <c r="C191" i="79"/>
  <c r="D191" i="79" s="1"/>
  <c r="E191" i="79" s="1"/>
  <c r="F191" i="79" s="1"/>
  <c r="G191" i="79" s="1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E190" i="79"/>
  <c r="F190" i="79" s="1"/>
  <c r="G190" i="79" s="1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D190" i="79"/>
  <c r="C190" i="79"/>
  <c r="C189" i="79"/>
  <c r="D189" i="79" s="1"/>
  <c r="E189" i="79" s="1"/>
  <c r="F189" i="79" s="1"/>
  <c r="G189" i="79" s="1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F188" i="79"/>
  <c r="G188" i="79" s="1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E188" i="79"/>
  <c r="D188" i="79"/>
  <c r="C188" i="79"/>
  <c r="D187" i="79"/>
  <c r="E187" i="79" s="1"/>
  <c r="F187" i="79" s="1"/>
  <c r="G187" i="79" s="1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C187" i="79"/>
  <c r="T186" i="79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D186" i="79"/>
  <c r="E186" i="79" s="1"/>
  <c r="F186" i="79" s="1"/>
  <c r="G186" i="79" s="1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C186" i="79"/>
  <c r="D185" i="79"/>
  <c r="E185" i="79" s="1"/>
  <c r="F185" i="79" s="1"/>
  <c r="G185" i="79" s="1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C185" i="79"/>
  <c r="O184" i="79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F184" i="79"/>
  <c r="G184" i="79" s="1"/>
  <c r="H184" i="79" s="1"/>
  <c r="I184" i="79" s="1"/>
  <c r="J184" i="79" s="1"/>
  <c r="K184" i="79" s="1"/>
  <c r="L184" i="79" s="1"/>
  <c r="M184" i="79" s="1"/>
  <c r="N184" i="79" s="1"/>
  <c r="E184" i="79"/>
  <c r="D184" i="79"/>
  <c r="C184" i="79"/>
  <c r="D183" i="79"/>
  <c r="E183" i="79" s="1"/>
  <c r="F183" i="79" s="1"/>
  <c r="G183" i="79" s="1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C183" i="79"/>
  <c r="F182" i="79"/>
  <c r="G182" i="79" s="1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C182" i="79"/>
  <c r="D182" i="79" s="1"/>
  <c r="E182" i="79" s="1"/>
  <c r="P181" i="79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D181" i="79"/>
  <c r="E181" i="79" s="1"/>
  <c r="F181" i="79" s="1"/>
  <c r="G181" i="79" s="1"/>
  <c r="H181" i="79" s="1"/>
  <c r="I181" i="79" s="1"/>
  <c r="J181" i="79" s="1"/>
  <c r="K181" i="79" s="1"/>
  <c r="L181" i="79" s="1"/>
  <c r="M181" i="79" s="1"/>
  <c r="N181" i="79" s="1"/>
  <c r="O181" i="79" s="1"/>
  <c r="C181" i="79"/>
  <c r="F180" i="79"/>
  <c r="G180" i="79" s="1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E180" i="79"/>
  <c r="D180" i="79"/>
  <c r="C180" i="79"/>
  <c r="E179" i="79"/>
  <c r="F179" i="79" s="1"/>
  <c r="G179" i="79" s="1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D179" i="79"/>
  <c r="C179" i="79"/>
  <c r="C178" i="79"/>
  <c r="D178" i="79" s="1"/>
  <c r="E178" i="79" s="1"/>
  <c r="F178" i="79" s="1"/>
  <c r="G178" i="79" s="1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D177" i="79"/>
  <c r="C177" i="79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F176" i="79"/>
  <c r="E176" i="79"/>
  <c r="D176" i="79"/>
  <c r="C176" i="79"/>
  <c r="F175" i="79"/>
  <c r="G175" i="79" s="1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E175" i="79"/>
  <c r="D175" i="79"/>
  <c r="C175" i="79"/>
  <c r="F174" i="79"/>
  <c r="G174" i="79" s="1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D174" i="79"/>
  <c r="E174" i="79" s="1"/>
  <c r="C174" i="79"/>
  <c r="D173" i="79"/>
  <c r="E173" i="79" s="1"/>
  <c r="F173" i="79" s="1"/>
  <c r="G173" i="79" s="1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C173" i="79"/>
  <c r="H172" i="79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F172" i="79"/>
  <c r="G172" i="79" s="1"/>
  <c r="E172" i="79"/>
  <c r="D172" i="79"/>
  <c r="C172" i="79"/>
  <c r="D171" i="79"/>
  <c r="E171" i="79" s="1"/>
  <c r="F171" i="79" s="1"/>
  <c r="G171" i="79" s="1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C171" i="79"/>
  <c r="C170" i="79"/>
  <c r="D170" i="79" s="1"/>
  <c r="E170" i="79" s="1"/>
  <c r="F170" i="79" s="1"/>
  <c r="G170" i="79" s="1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D169" i="79"/>
  <c r="C169" i="79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E166" i="79"/>
  <c r="F166" i="79" s="1"/>
  <c r="D166" i="79"/>
  <c r="C166" i="79"/>
  <c r="K165" i="79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J165" i="79"/>
  <c r="C165" i="79"/>
  <c r="D165" i="79" s="1"/>
  <c r="E165" i="79" s="1"/>
  <c r="F165" i="79" s="1"/>
  <c r="G165" i="79" s="1"/>
  <c r="H165" i="79" s="1"/>
  <c r="I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E164" i="79"/>
  <c r="F164" i="79" s="1"/>
  <c r="G164" i="79" s="1"/>
  <c r="H164" i="79" s="1"/>
  <c r="I164" i="79" s="1"/>
  <c r="J164" i="79" s="1"/>
  <c r="K164" i="79" s="1"/>
  <c r="L164" i="79" s="1"/>
  <c r="C164" i="79"/>
  <c r="D164" i="79" s="1"/>
  <c r="I163" i="79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3" i="79"/>
  <c r="H163" i="79" s="1"/>
  <c r="F163" i="79"/>
  <c r="C163" i="79"/>
  <c r="D163" i="79" s="1"/>
  <c r="E163" i="79" s="1"/>
  <c r="L162" i="79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I162" i="79"/>
  <c r="J162" i="79" s="1"/>
  <c r="K162" i="79" s="1"/>
  <c r="D162" i="79"/>
  <c r="E162" i="79" s="1"/>
  <c r="F162" i="79" s="1"/>
  <c r="G162" i="79" s="1"/>
  <c r="H162" i="79" s="1"/>
  <c r="C162" i="79"/>
  <c r="C161" i="79"/>
  <c r="C135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G124" i="79"/>
  <c r="AE123" i="79"/>
  <c r="AD123" i="79"/>
  <c r="U123" i="79"/>
  <c r="U124" i="79" s="1"/>
  <c r="M123" i="79"/>
  <c r="M124" i="79" s="1"/>
  <c r="G123" i="79"/>
  <c r="E123" i="79"/>
  <c r="E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AH122" i="79" s="1"/>
  <c r="H122" i="79"/>
  <c r="G122" i="79"/>
  <c r="F122" i="79"/>
  <c r="E122" i="79"/>
  <c r="D122" i="79"/>
  <c r="C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F121" i="79"/>
  <c r="E121" i="79"/>
  <c r="D121" i="79"/>
  <c r="C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F120" i="79"/>
  <c r="E120" i="79"/>
  <c r="D120" i="79"/>
  <c r="C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F119" i="79"/>
  <c r="E119" i="79"/>
  <c r="D119" i="79"/>
  <c r="C119" i="79"/>
  <c r="AI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F118" i="79"/>
  <c r="E118" i="79"/>
  <c r="D118" i="79"/>
  <c r="C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F117" i="79"/>
  <c r="F123" i="79" s="1"/>
  <c r="AQ23" i="79" s="1"/>
  <c r="E117" i="79"/>
  <c r="D117" i="79"/>
  <c r="C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D113" i="79"/>
  <c r="D115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F108" i="79"/>
  <c r="E108" i="79"/>
  <c r="D108" i="79"/>
  <c r="C108" i="79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F96" i="79"/>
  <c r="E96" i="79"/>
  <c r="D96" i="79"/>
  <c r="C96" i="79"/>
  <c r="AI95" i="79"/>
  <c r="AH95" i="79"/>
  <c r="AI94" i="79"/>
  <c r="AH94" i="79"/>
  <c r="AI93" i="79"/>
  <c r="AH93" i="79"/>
  <c r="AI92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F92" i="79"/>
  <c r="E92" i="79"/>
  <c r="D92" i="79"/>
  <c r="C92" i="79"/>
  <c r="AH92" i="79"/>
  <c r="BU91" i="79"/>
  <c r="BT91" i="79"/>
  <c r="BS91" i="79"/>
  <c r="BQ91" i="79"/>
  <c r="BM91" i="79"/>
  <c r="BL91" i="79"/>
  <c r="BI91" i="79"/>
  <c r="BG91" i="79"/>
  <c r="BD91" i="79"/>
  <c r="BA91" i="79"/>
  <c r="AZ91" i="79"/>
  <c r="AI91" i="79"/>
  <c r="AH91" i="79"/>
  <c r="AG91" i="79"/>
  <c r="BV90" i="79"/>
  <c r="BS90" i="79"/>
  <c r="BR90" i="79"/>
  <c r="BG90" i="79"/>
  <c r="BB90" i="79"/>
  <c r="BA90" i="79"/>
  <c r="AI90" i="79"/>
  <c r="AH90" i="79"/>
  <c r="BT89" i="79"/>
  <c r="BS89" i="79"/>
  <c r="BQ89" i="79"/>
  <c r="BP89" i="79"/>
  <c r="BN89" i="79"/>
  <c r="BK89" i="79"/>
  <c r="BI89" i="79"/>
  <c r="BH89" i="79"/>
  <c r="BA89" i="79"/>
  <c r="AZ89" i="79"/>
  <c r="AI89" i="79"/>
  <c r="AH89" i="79"/>
  <c r="BS88" i="79"/>
  <c r="BR88" i="79"/>
  <c r="BP88" i="79"/>
  <c r="BK88" i="79"/>
  <c r="BJ88" i="79"/>
  <c r="BE88" i="79"/>
  <c r="BC88" i="79"/>
  <c r="BB88" i="79"/>
  <c r="AZ88" i="79"/>
  <c r="AI88" i="79"/>
  <c r="AH88" i="79"/>
  <c r="BR87" i="79"/>
  <c r="BO87" i="79"/>
  <c r="BN87" i="79"/>
  <c r="BM87" i="79"/>
  <c r="BG87" i="79"/>
  <c r="BE87" i="79"/>
  <c r="BD87" i="79"/>
  <c r="AZ87" i="79"/>
  <c r="AI87" i="79"/>
  <c r="AH87" i="79"/>
  <c r="BV86" i="79"/>
  <c r="BO86" i="79"/>
  <c r="BL86" i="79"/>
  <c r="BG86" i="79"/>
  <c r="BD86" i="79"/>
  <c r="BC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AZ84" i="79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AZ82" i="79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B81" i="79"/>
  <c r="BA81" i="79"/>
  <c r="BA88" i="79" s="1"/>
  <c r="AZ81" i="79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C80" i="79"/>
  <c r="BC87" i="79" s="1"/>
  <c r="BB80" i="79"/>
  <c r="BB87" i="79" s="1"/>
  <c r="BA80" i="79"/>
  <c r="BA87" i="79" s="1"/>
  <c r="AZ80" i="79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C79" i="79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F78" i="79"/>
  <c r="AQ17" i="79" s="1"/>
  <c r="E78" i="79"/>
  <c r="D78" i="79"/>
  <c r="C78" i="79"/>
  <c r="AN17" i="79" s="1"/>
  <c r="AN22" i="79" s="1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G113" i="79" s="1"/>
  <c r="G115" i="79" s="1"/>
  <c r="G116" i="79" s="1"/>
  <c r="G7" i="79" s="1"/>
  <c r="F71" i="79"/>
  <c r="E71" i="79"/>
  <c r="AP16" i="79" s="1"/>
  <c r="AP22" i="79" s="1"/>
  <c r="D71" i="79"/>
  <c r="C71" i="79"/>
  <c r="AI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R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R19" i="79"/>
  <c r="AQ19" i="79"/>
  <c r="AP19" i="79"/>
  <c r="AO19" i="79"/>
  <c r="AN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P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R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R22" i="79" s="1"/>
  <c r="AR25" i="79" s="1"/>
  <c r="AQ16" i="79"/>
  <c r="AQ22" i="79" s="1"/>
  <c r="AO16" i="79"/>
  <c r="AO22" i="79" s="1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C5" i="79"/>
  <c r="B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M19" i="79" l="1"/>
  <c r="AJ108" i="79" a="1"/>
  <c r="AJ108" i="79" s="1"/>
  <c r="B113" i="79"/>
  <c r="B115" i="79" s="1"/>
  <c r="AF5" i="79"/>
  <c r="B116" i="79"/>
  <c r="AH78" i="79"/>
  <c r="AO25" i="79"/>
  <c r="AQ25" i="79"/>
  <c r="J116" i="79"/>
  <c r="J7" i="79" s="1"/>
  <c r="BF22" i="79"/>
  <c r="BF25" i="79" s="1"/>
  <c r="BA22" i="79"/>
  <c r="BC25" i="79"/>
  <c r="AZ23" i="79"/>
  <c r="R124" i="79"/>
  <c r="AT22" i="79"/>
  <c r="D116" i="79"/>
  <c r="D7" i="79" s="1"/>
  <c r="Z170" i="79"/>
  <c r="Y135" i="79"/>
  <c r="BH22" i="79"/>
  <c r="BH25" i="79" s="1"/>
  <c r="D124" i="79"/>
  <c r="BI22" i="79"/>
  <c r="BI25" i="79" s="1"/>
  <c r="AI121" i="79"/>
  <c r="AH120" i="79"/>
  <c r="BG95" i="79" a="1"/>
  <c r="AZ86" i="79"/>
  <c r="AI96" i="79"/>
  <c r="AH96" i="79"/>
  <c r="D161" i="79"/>
  <c r="AU23" i="79"/>
  <c r="AU25" i="79" s="1"/>
  <c r="BC23" i="79"/>
  <c r="L113" i="79"/>
  <c r="L115" i="79" s="1"/>
  <c r="AB113" i="79"/>
  <c r="AB115" i="79" s="1"/>
  <c r="L124" i="79"/>
  <c r="AH119" i="79"/>
  <c r="C167" i="79"/>
  <c r="C113" i="79"/>
  <c r="C115" i="79" s="1"/>
  <c r="C116" i="79" s="1"/>
  <c r="C7" i="79" s="1"/>
  <c r="J123" i="79"/>
  <c r="J124" i="79" s="1"/>
  <c r="AI118" i="79"/>
  <c r="D274" i="79"/>
  <c r="E169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F124" i="79"/>
  <c r="N124" i="79"/>
  <c r="C123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F113" i="79"/>
  <c r="F115" i="79" s="1"/>
  <c r="F116" i="79" s="1"/>
  <c r="F7" i="79" s="1"/>
  <c r="AV16" i="79"/>
  <c r="AV22" i="79" s="1"/>
  <c r="AV25" i="79" s="1"/>
  <c r="BD16" i="79"/>
  <c r="BD22" i="79" s="1"/>
  <c r="BD25" i="79" s="1"/>
  <c r="AP23" i="79"/>
  <c r="AP25" i="79" s="1"/>
  <c r="AE124" i="79"/>
  <c r="E113" i="79"/>
  <c r="E115" i="79" s="1"/>
  <c r="E116" i="79" s="1"/>
  <c r="E7" i="79" s="1"/>
  <c r="D123" i="79"/>
  <c r="AO23" i="79" s="1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E177" i="79"/>
  <c r="D135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C274" i="79"/>
  <c r="AE113" i="77"/>
  <c r="AE115" i="77" s="1"/>
  <c r="AE116" i="77" s="1"/>
  <c r="AF124" i="77"/>
  <c r="AF113" i="77"/>
  <c r="AF115" i="77" s="1"/>
  <c r="AF116" i="77" s="1"/>
  <c r="AM22" i="79" l="1"/>
  <c r="D167" i="79"/>
  <c r="E161" i="79"/>
  <c r="AA116" i="79"/>
  <c r="AA7" i="79" s="1"/>
  <c r="F177" i="79"/>
  <c r="E135" i="79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E274" i="79"/>
  <c r="F169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C124" i="79"/>
  <c r="AH124" i="79" s="1"/>
  <c r="AN23" i="79"/>
  <c r="AN25" i="79" s="1"/>
  <c r="I116" i="79"/>
  <c r="I7" i="79" s="1"/>
  <c r="AJ123" i="79" a="1"/>
  <c r="AJ123" i="79" s="1"/>
  <c r="AH123" i="79"/>
  <c r="AI123" i="79"/>
  <c r="AM23" i="79"/>
  <c r="AM25" i="79" s="1"/>
  <c r="AT9" i="79" s="1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F274" i="79" l="1"/>
  <c r="G169" i="79"/>
  <c r="AI124" i="79"/>
  <c r="G177" i="79"/>
  <c r="F135" i="79"/>
  <c r="E167" i="79"/>
  <c r="F161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F167" i="79"/>
  <c r="G161" i="79"/>
  <c r="I177" i="79" l="1"/>
  <c r="H135" i="79"/>
  <c r="H161" i="79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35" i="79"/>
  <c r="L161" i="79"/>
  <c r="K167" i="79"/>
  <c r="L167" i="79" l="1"/>
  <c r="M161" i="79"/>
  <c r="N177" i="79"/>
  <c r="M135" i="79"/>
  <c r="M274" i="79"/>
  <c r="N169" i="79"/>
  <c r="N274" i="79" l="1"/>
  <c r="O169" i="79"/>
  <c r="O177" i="79"/>
  <c r="N135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O135" i="79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<sst xmlns="http://schemas.openxmlformats.org/spreadsheetml/2006/main" count="2506" uniqueCount="418">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</sst>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Y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260">
        <v>54.2</v>
      </c>
      <c r="AD137" s="260">
        <v>54.2</v>
      </c>
      <c r="AE137" s="260">
        <v>54.2</v>
      </c>
      <c r="AF137" s="260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261">
        <v>5.4</v>
      </c>
      <c r="AD138" s="261">
        <v>5.4</v>
      </c>
      <c r="AE138" s="261">
        <v>5.4</v>
      </c>
      <c r="AF138" s="261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261">
        <v>-62.5</v>
      </c>
      <c r="AD139" s="261">
        <v>-62.5</v>
      </c>
      <c r="AE139" s="261">
        <v>-62.5</v>
      </c>
      <c r="AF139" s="261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261">
        <v>82.1</v>
      </c>
      <c r="AD140" s="261">
        <v>82.1</v>
      </c>
      <c r="AE140" s="261">
        <v>82.1</v>
      </c>
      <c r="AF140" s="261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261">
        <v>22.1</v>
      </c>
      <c r="AD141" s="261">
        <v>22.1</v>
      </c>
      <c r="AE141" s="261">
        <v>22.1</v>
      </c>
      <c r="AF141" s="261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261">
        <v>77.599999999999994</v>
      </c>
      <c r="AD142" s="261">
        <v>77.599999999999994</v>
      </c>
      <c r="AE142" s="261">
        <v>77.599999999999994</v>
      </c>
      <c r="AF142" s="261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261">
        <v>91.9</v>
      </c>
      <c r="AD143" s="261">
        <v>91.9</v>
      </c>
      <c r="AE143" s="261">
        <v>91.9</v>
      </c>
      <c r="AF143" s="261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262">
        <v>-2.9</v>
      </c>
      <c r="AD144" s="262">
        <v>-2.9</v>
      </c>
      <c r="AE144" s="262">
        <v>-2.9</v>
      </c>
      <c r="AF144" s="262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262">
        <v>-9.8000000000000007</v>
      </c>
      <c r="AD145" s="262">
        <v>-9.8000000000000007</v>
      </c>
      <c r="AE145" s="262">
        <v>-9.8000000000000007</v>
      </c>
      <c r="AF145" s="262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262">
        <v>-257.89999999999998</v>
      </c>
      <c r="AD146" s="262">
        <v>-257.89999999999998</v>
      </c>
      <c r="AE146" s="262">
        <v>-257.89999999999998</v>
      </c>
      <c r="AF146" s="262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262">
        <v>22.2</v>
      </c>
      <c r="AD147" s="262">
        <v>22.2</v>
      </c>
      <c r="AE147" s="262">
        <v>22.2</v>
      </c>
      <c r="AF147" s="262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263">
        <v>-8.3000000000000007</v>
      </c>
      <c r="AD148" s="263">
        <v>-8.3000000000000007</v>
      </c>
      <c r="AE148" s="263">
        <v>-8.3000000000000007</v>
      </c>
      <c r="AF148" s="263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263">
        <v>257</v>
      </c>
      <c r="AD149" s="263">
        <v>257</v>
      </c>
      <c r="AE149" s="263">
        <v>257</v>
      </c>
      <c r="AF149" s="263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263">
        <v>28.8</v>
      </c>
      <c r="AD150" s="263">
        <v>28.8</v>
      </c>
      <c r="AE150" s="263">
        <v>28.8</v>
      </c>
      <c r="AF150" s="263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263">
        <v>-2.6</v>
      </c>
      <c r="AD151" s="263">
        <v>-2.6</v>
      </c>
      <c r="AE151" s="263">
        <v>-2.6</v>
      </c>
      <c r="AF151" s="263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0" sqref="U2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1722.1799999999998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2182.18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1722.18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32.4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32.4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25.98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25.98</v>
      </c>
      <c r="AI12" s="47">
        <f t="shared" si="3"/>
        <v>25.98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67.5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67.5</v>
      </c>
      <c r="AI13" s="47">
        <f t="shared" si="3"/>
        <v>67.5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</v>
      </c>
      <c r="AI14" s="47">
        <f t="shared" si="3"/>
        <v>35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55.4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55.4</v>
      </c>
      <c r="AI15" s="47">
        <f t="shared" si="3"/>
        <v>55.4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49.1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49.1</v>
      </c>
      <c r="AI16" s="47">
        <f t="shared" si="3"/>
        <v>49.1</v>
      </c>
      <c r="AK16" s="49"/>
      <c r="AL16" s="52" t="s">
        <v>7</v>
      </c>
      <c r="AM16" s="57">
        <f t="shared" ref="AM16:AR16" si="4">B71</f>
        <v>1127.58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42.9</v>
      </c>
      <c r="AI17" s="47">
        <f t="shared" si="3"/>
        <v>42.9</v>
      </c>
      <c r="AK17" s="49"/>
      <c r="AL17" s="52" t="s">
        <v>29</v>
      </c>
      <c r="AM17" s="57">
        <f t="shared" ref="AM17:AR17" si="6">B78</f>
        <v>645.20000000000005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24.1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24.1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40.1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40.1</v>
      </c>
      <c r="AI22" s="47">
        <f t="shared" si="3"/>
        <v>40.1</v>
      </c>
      <c r="AK22" s="49"/>
      <c r="AL22" s="59" t="s">
        <v>39</v>
      </c>
      <c r="AM22" s="60">
        <f t="shared" ref="AM22:BJ22" si="16">SUM(AM16:AM21)</f>
        <v>2182.1799999999998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33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33</v>
      </c>
      <c r="AI23" s="47">
        <f t="shared" si="3"/>
        <v>33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27.7</v>
      </c>
      <c r="AI24" s="47">
        <f t="shared" si="3"/>
        <v>27.7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22.7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22.7</v>
      </c>
      <c r="AI25" s="47">
        <f t="shared" si="3"/>
        <v>22.7</v>
      </c>
      <c r="AK25" s="49"/>
      <c r="AL25" s="59" t="s">
        <v>44</v>
      </c>
      <c r="AM25" s="60">
        <f t="shared" ref="AM25:BJ25" si="19">AM22+AM23</f>
        <v>1722.1799999999998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23.5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23.5</v>
      </c>
      <c r="AI27" s="47">
        <f t="shared" si="3"/>
        <v>23.5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33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33</v>
      </c>
      <c r="AI28" s="47">
        <f t="shared" si="3"/>
        <v>33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12.2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11.8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11.8</v>
      </c>
      <c r="AI32" s="47">
        <f t="shared" si="3"/>
        <v>11.8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15.6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15.6</v>
      </c>
      <c r="AI33" s="47">
        <f t="shared" si="3"/>
        <v>15.6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23.5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23.5</v>
      </c>
      <c r="AI37" s="47">
        <f t="shared" si="3"/>
        <v>23.5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19.5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19.5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</v>
      </c>
      <c r="AI46" s="47">
        <f t="shared" si="3"/>
        <v>11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7.3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7.3</v>
      </c>
      <c r="AI52" s="47">
        <f t="shared" si="3"/>
        <v>7.3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4.5999999999999996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4.5999999999999996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60.8+69.1</f>
        <v>129.89999999999998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129.89999999999998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1127.58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1127.58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84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</v>
      </c>
      <c r="AI73" s="47">
        <f t="shared" si="3"/>
        <v>84</v>
      </c>
      <c r="AK73" s="49"/>
    </row>
    <row r="74" spans="1:88" x14ac:dyDescent="0.25">
      <c r="A74" s="73" t="s">
        <v>93</v>
      </c>
      <c r="B74" s="43">
        <v>37.5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37.5</v>
      </c>
      <c r="AI74" s="47">
        <f t="shared" si="3"/>
        <v>37.5</v>
      </c>
      <c r="AK74" s="49"/>
    </row>
    <row r="75" spans="1:88" x14ac:dyDescent="0.25">
      <c r="A75" s="74" t="s">
        <v>94</v>
      </c>
      <c r="B75" s="43">
        <v>29.9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29.9</v>
      </c>
      <c r="AI75" s="47">
        <f t="shared" ref="AI75:AI138" si="24">MIN(B75:AF75)</f>
        <v>29.9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645.20000000000005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645.20000000000005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59.7</v>
      </c>
      <c r="AI80" s="47">
        <f t="shared" si="24"/>
        <v>59.7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53</v>
      </c>
      <c r="AI81" s="47">
        <f t="shared" si="24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30</v>
      </c>
      <c r="AI83" s="47">
        <f t="shared" si="24"/>
        <v>30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9.1</v>
      </c>
      <c r="AI85" s="47">
        <f t="shared" si="24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-460</v>
      </c>
    </row>
    <row r="87" spans="1:75" x14ac:dyDescent="0.25">
      <c r="A87" s="63" t="s">
        <v>112</v>
      </c>
      <c r="B87" s="43">
        <v>6.9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6.9</v>
      </c>
      <c r="AI87" s="47">
        <f t="shared" si="24"/>
        <v>6.9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9.1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9.1</v>
      </c>
      <c r="AI88" s="47">
        <f t="shared" si="24"/>
        <v>9.1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0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22</v>
      </c>
    </row>
    <row r="90" spans="1:75" x14ac:dyDescent="0.2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337.40000000000003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337.40000000000003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-460</v>
      </c>
      <c r="AI97" s="47">
        <f t="shared" si="24"/>
        <v>-460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0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22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22</v>
      </c>
      <c r="AI100" s="47">
        <f t="shared" si="24"/>
        <v>22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50</v>
      </c>
      <c r="AI102" s="47">
        <f t="shared" si="24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72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72</v>
      </c>
      <c r="AI108" s="47">
        <f t="shared" si="24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2182.1799999999998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2182.1799999999998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2182.1799999999998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2182.1799999999998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1722.1799999999998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1722.1799999999998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460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460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460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460</v>
      </c>
      <c r="AI123" s="47">
        <f t="shared" si="24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" si="48">B108-B123</f>
        <v>-388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-388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50.01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50.01</v>
      </c>
      <c r="AI126" s="47">
        <f t="shared" si="24"/>
        <v>50.01</v>
      </c>
    </row>
    <row r="127" spans="1:64" x14ac:dyDescent="0.25">
      <c r="A127" s="119" t="s">
        <v>149</v>
      </c>
      <c r="B127" s="43">
        <v>132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132</v>
      </c>
      <c r="AI127" s="47">
        <f t="shared" si="24"/>
        <v>132</v>
      </c>
    </row>
    <row r="128" spans="1:64" x14ac:dyDescent="0.25">
      <c r="A128" s="119" t="s">
        <v>150</v>
      </c>
      <c r="B128" s="43">
        <v>130.4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130.4</v>
      </c>
      <c r="AI128" s="47">
        <f t="shared" si="24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136.69999999999999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136.69999999999999</v>
      </c>
      <c r="AI130" s="47">
        <f t="shared" si="24"/>
        <v>136.69999999999999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124.6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124.6</v>
      </c>
      <c r="AI132" s="47">
        <f t="shared" si="24"/>
        <v>124.6</v>
      </c>
    </row>
    <row r="133" spans="1:35" ht="15.75" thickBot="1" x14ac:dyDescent="0.3">
      <c r="A133" s="119" t="s">
        <v>155</v>
      </c>
      <c r="B133" s="101">
        <v>66.8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66.8</v>
      </c>
      <c r="AI133" s="47">
        <f t="shared" si="24"/>
        <v>66.8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331.64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331.64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54.2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54.2</v>
      </c>
      <c r="AI137" s="47">
        <f t="shared" si="24"/>
        <v>54.2</v>
      </c>
    </row>
    <row r="138" spans="1:35" x14ac:dyDescent="0.25">
      <c r="A138" s="135" t="s">
        <v>160</v>
      </c>
      <c r="B138" s="132">
        <v>5.4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5.4</v>
      </c>
      <c r="AI138" s="47">
        <f t="shared" si="24"/>
        <v>5.4</v>
      </c>
    </row>
    <row r="139" spans="1:35" x14ac:dyDescent="0.25">
      <c r="A139" s="135" t="s">
        <v>161</v>
      </c>
      <c r="B139" s="132">
        <v>-62.5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-62.5</v>
      </c>
    </row>
    <row r="140" spans="1:35" x14ac:dyDescent="0.25">
      <c r="A140" s="135" t="s">
        <v>162</v>
      </c>
      <c r="B140" s="132">
        <v>82.1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82.1</v>
      </c>
      <c r="AI140" s="47">
        <f>MIN(B140:AF140)</f>
        <v>82.1</v>
      </c>
    </row>
    <row r="141" spans="1:35" x14ac:dyDescent="0.25">
      <c r="A141" s="135" t="s">
        <v>163</v>
      </c>
      <c r="B141" s="132">
        <v>22.1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22.1</v>
      </c>
    </row>
    <row r="142" spans="1:35" x14ac:dyDescent="0.25">
      <c r="A142" s="135" t="s">
        <v>164</v>
      </c>
      <c r="B142" s="132">
        <v>77.599999999999994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77.599999999999994</v>
      </c>
    </row>
    <row r="143" spans="1:35" x14ac:dyDescent="0.25">
      <c r="A143" s="135" t="s">
        <v>165</v>
      </c>
      <c r="B143" s="132">
        <v>91.9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-2.9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-9.8000000000000007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-257.89999999999998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-257.89999999999998</v>
      </c>
      <c r="AI146" s="47">
        <f t="shared" ref="AI146:AI158" si="55">MIN(B146:AF146)</f>
        <v>-257.89999999999998</v>
      </c>
    </row>
    <row r="147" spans="1:38" x14ac:dyDescent="0.25">
      <c r="A147" s="135" t="s">
        <v>169</v>
      </c>
      <c r="B147" s="132">
        <v>22.2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22.2</v>
      </c>
      <c r="AI147" s="47">
        <f t="shared" si="55"/>
        <v>22.2</v>
      </c>
    </row>
    <row r="148" spans="1:38" x14ac:dyDescent="0.25">
      <c r="A148" s="135" t="s">
        <v>170</v>
      </c>
      <c r="B148" s="132">
        <v>-8.3000000000000007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-8.3000000000000007</v>
      </c>
      <c r="AI148" s="47">
        <f t="shared" si="55"/>
        <v>-8.3000000000000007</v>
      </c>
    </row>
    <row r="149" spans="1:38" x14ac:dyDescent="0.25">
      <c r="A149" s="135" t="s">
        <v>171</v>
      </c>
      <c r="B149" s="132">
        <v>257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257</v>
      </c>
      <c r="AI149" s="47">
        <f t="shared" si="55"/>
        <v>257</v>
      </c>
    </row>
    <row r="150" spans="1:38" x14ac:dyDescent="0.25">
      <c r="A150" s="135" t="s">
        <v>172</v>
      </c>
      <c r="B150" s="132">
        <v>28.8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28.8</v>
      </c>
      <c r="AI150" s="47">
        <f t="shared" si="55"/>
        <v>28.8</v>
      </c>
    </row>
    <row r="151" spans="1:38" ht="15.75" thickBot="1" x14ac:dyDescent="0.3">
      <c r="A151" s="139" t="s">
        <v>173</v>
      </c>
      <c r="B151" s="132">
        <v>-2.6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-2.6</v>
      </c>
      <c r="AI151" s="47">
        <f t="shared" si="55"/>
        <v>-2.6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84" sqref="AG84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>
        <v>-65</v>
      </c>
      <c r="D3" s="246">
        <v>-67</v>
      </c>
      <c r="E3" s="246">
        <v>-51</v>
      </c>
      <c r="F3" s="246"/>
      <c r="G3" s="246"/>
      <c r="H3" s="246"/>
      <c r="I3" s="246"/>
      <c r="J3" s="246"/>
      <c r="K3" s="246"/>
      <c r="L3" s="246">
        <v>-34.9</v>
      </c>
      <c r="M3" s="246"/>
      <c r="N3" s="246"/>
      <c r="O3" s="246"/>
      <c r="P3" s="246">
        <v>-80</v>
      </c>
      <c r="Q3" s="246"/>
      <c r="R3" s="246"/>
      <c r="S3" s="246">
        <v>-75</v>
      </c>
      <c r="T3" s="246"/>
      <c r="U3" s="246">
        <f>SUM(B3:T3)</f>
        <v>-372.9</v>
      </c>
      <c r="V3" s="246"/>
      <c r="W3" s="245">
        <v>24</v>
      </c>
      <c r="X3" s="245">
        <v>-140</v>
      </c>
      <c r="Y3" s="237">
        <f>SUM(U3:X3)</f>
        <v>-488.9</v>
      </c>
      <c r="Z3" s="252">
        <v>0</v>
      </c>
      <c r="AA3" s="239">
        <v>0</v>
      </c>
      <c r="AB3" s="240">
        <v>25</v>
      </c>
    </row>
    <row r="4" spans="1:28" x14ac:dyDescent="0.25">
      <c r="A4" s="245" t="s">
        <v>302</v>
      </c>
      <c r="B4" s="246"/>
      <c r="C4" s="246">
        <v>-65</v>
      </c>
      <c r="D4" s="246">
        <v>-67</v>
      </c>
      <c r="E4" s="246">
        <v>-51</v>
      </c>
      <c r="F4" s="246"/>
      <c r="G4" s="246"/>
      <c r="H4" s="246"/>
      <c r="I4" s="246"/>
      <c r="J4" s="246"/>
      <c r="K4" s="246"/>
      <c r="L4" s="246">
        <v>-34.9</v>
      </c>
      <c r="M4" s="246"/>
      <c r="N4" s="246"/>
      <c r="O4" s="246"/>
      <c r="P4" s="246">
        <v>-80</v>
      </c>
      <c r="Q4" s="246"/>
      <c r="R4" s="246"/>
      <c r="S4" s="246">
        <v>-75</v>
      </c>
      <c r="T4" s="246"/>
      <c r="U4" s="246">
        <f>SUM(B4:T4)</f>
        <v>-372.9</v>
      </c>
      <c r="V4" s="246"/>
      <c r="W4" s="245">
        <v>24</v>
      </c>
      <c r="X4" s="245">
        <v>-140</v>
      </c>
      <c r="Y4" s="237">
        <f t="shared" ref="Y4:Y67" si="0">SUM(U4:X4)</f>
        <v>-488.9</v>
      </c>
      <c r="Z4" s="252">
        <v>0</v>
      </c>
      <c r="AA4" s="239">
        <v>0</v>
      </c>
      <c r="AB4" s="240">
        <v>25</v>
      </c>
    </row>
    <row r="5" spans="1:28" x14ac:dyDescent="0.25">
      <c r="A5" s="245" t="s">
        <v>303</v>
      </c>
      <c r="B5" s="246"/>
      <c r="C5" s="246">
        <v>-65</v>
      </c>
      <c r="D5" s="246">
        <v>-67</v>
      </c>
      <c r="E5" s="246">
        <v>-51</v>
      </c>
      <c r="F5" s="246"/>
      <c r="G5" s="246"/>
      <c r="H5" s="246"/>
      <c r="I5" s="246"/>
      <c r="J5" s="246"/>
      <c r="K5" s="246"/>
      <c r="L5" s="246">
        <v>-34.9</v>
      </c>
      <c r="M5" s="246"/>
      <c r="N5" s="246"/>
      <c r="O5" s="246"/>
      <c r="P5" s="246">
        <v>-80</v>
      </c>
      <c r="Q5" s="246"/>
      <c r="R5" s="246"/>
      <c r="S5" s="246">
        <v>-75</v>
      </c>
      <c r="T5" s="246"/>
      <c r="U5" s="246">
        <f>SUM(B5:T5)</f>
        <v>-372.9</v>
      </c>
      <c r="V5" s="246"/>
      <c r="W5" s="245">
        <v>24</v>
      </c>
      <c r="X5" s="245">
        <v>-140</v>
      </c>
      <c r="Y5" s="237">
        <f t="shared" si="0"/>
        <v>-488.9</v>
      </c>
      <c r="Z5" s="252">
        <v>0</v>
      </c>
      <c r="AA5" s="239">
        <v>0</v>
      </c>
      <c r="AB5" s="240">
        <v>25</v>
      </c>
    </row>
    <row r="6" spans="1:28" x14ac:dyDescent="0.25">
      <c r="A6" s="245" t="s">
        <v>304</v>
      </c>
      <c r="B6" s="246"/>
      <c r="C6" s="246">
        <v>-65</v>
      </c>
      <c r="D6" s="246">
        <v>-67</v>
      </c>
      <c r="E6" s="246">
        <v>-51</v>
      </c>
      <c r="F6" s="246"/>
      <c r="G6" s="246"/>
      <c r="H6" s="246"/>
      <c r="I6" s="246"/>
      <c r="J6" s="246"/>
      <c r="K6" s="246"/>
      <c r="L6" s="246">
        <v>-34.9</v>
      </c>
      <c r="M6" s="246"/>
      <c r="N6" s="246"/>
      <c r="O6" s="246"/>
      <c r="P6" s="246">
        <v>-80</v>
      </c>
      <c r="Q6" s="246"/>
      <c r="R6" s="246"/>
      <c r="S6" s="246">
        <v>-75</v>
      </c>
      <c r="T6" s="246"/>
      <c r="U6" s="246">
        <f>SUM(B6:T6)</f>
        <v>-372.9</v>
      </c>
      <c r="V6" s="246"/>
      <c r="W6" s="245">
        <v>24</v>
      </c>
      <c r="X6" s="245">
        <v>-140</v>
      </c>
      <c r="Y6" s="237">
        <f t="shared" si="0"/>
        <v>-488.9</v>
      </c>
      <c r="Z6" s="252">
        <v>0</v>
      </c>
      <c r="AA6" s="239">
        <v>0</v>
      </c>
      <c r="AB6" s="240">
        <v>25</v>
      </c>
    </row>
    <row r="7" spans="1:28" x14ac:dyDescent="0.25">
      <c r="A7" s="245" t="s">
        <v>305</v>
      </c>
      <c r="B7" s="246"/>
      <c r="C7" s="246">
        <v>-65</v>
      </c>
      <c r="D7" s="246">
        <v>-67</v>
      </c>
      <c r="E7" s="246">
        <v>-51</v>
      </c>
      <c r="F7" s="246"/>
      <c r="G7" s="246"/>
      <c r="H7" s="246"/>
      <c r="I7" s="246"/>
      <c r="J7" s="246"/>
      <c r="K7" s="246"/>
      <c r="L7" s="246">
        <v>-34.9</v>
      </c>
      <c r="M7" s="246"/>
      <c r="N7" s="246"/>
      <c r="O7" s="246"/>
      <c r="P7" s="246">
        <v>-80</v>
      </c>
      <c r="Q7" s="246"/>
      <c r="R7" s="246"/>
      <c r="S7" s="246">
        <v>-75</v>
      </c>
      <c r="T7" s="246"/>
      <c r="U7" s="246">
        <f>SUM(B7:T7)</f>
        <v>-372.9</v>
      </c>
      <c r="V7" s="246"/>
      <c r="W7" s="245">
        <v>24</v>
      </c>
      <c r="X7" s="245">
        <v>-140</v>
      </c>
      <c r="Y7" s="237">
        <f t="shared" si="0"/>
        <v>-488.9</v>
      </c>
      <c r="Z7" s="252">
        <v>0</v>
      </c>
      <c r="AA7" s="239">
        <v>0</v>
      </c>
      <c r="AB7" s="240">
        <v>25</v>
      </c>
    </row>
    <row r="8" spans="1:28" x14ac:dyDescent="0.25">
      <c r="A8" s="245" t="s">
        <v>306</v>
      </c>
      <c r="B8" s="246"/>
      <c r="C8" s="246">
        <v>-65</v>
      </c>
      <c r="D8" s="246">
        <v>-67</v>
      </c>
      <c r="E8" s="246">
        <v>-51</v>
      </c>
      <c r="F8" s="246"/>
      <c r="G8" s="246"/>
      <c r="H8" s="246"/>
      <c r="I8" s="246"/>
      <c r="J8" s="246"/>
      <c r="K8" s="246"/>
      <c r="L8" s="246">
        <v>-34.9</v>
      </c>
      <c r="M8" s="246"/>
      <c r="N8" s="246"/>
      <c r="O8" s="246"/>
      <c r="P8" s="246">
        <v>-80</v>
      </c>
      <c r="Q8" s="246"/>
      <c r="R8" s="246"/>
      <c r="S8" s="246">
        <v>-75</v>
      </c>
      <c r="T8" s="246"/>
      <c r="U8" s="246">
        <f>SUM(B8:T8)</f>
        <v>-372.9</v>
      </c>
      <c r="V8" s="246"/>
      <c r="W8" s="245">
        <v>24</v>
      </c>
      <c r="X8" s="245">
        <v>-140</v>
      </c>
      <c r="Y8" s="237">
        <f t="shared" si="0"/>
        <v>-488.9</v>
      </c>
      <c r="Z8" s="252">
        <v>0</v>
      </c>
      <c r="AA8" s="239">
        <v>0</v>
      </c>
      <c r="AB8" s="240">
        <v>25</v>
      </c>
    </row>
    <row r="9" spans="1:28" x14ac:dyDescent="0.25">
      <c r="A9" s="245" t="s">
        <v>307</v>
      </c>
      <c r="B9" s="246"/>
      <c r="C9" s="246">
        <v>-65</v>
      </c>
      <c r="D9" s="246">
        <v>-67</v>
      </c>
      <c r="E9" s="246">
        <v>-51</v>
      </c>
      <c r="F9" s="246"/>
      <c r="G9" s="246"/>
      <c r="H9" s="246"/>
      <c r="I9" s="246"/>
      <c r="J9" s="246"/>
      <c r="K9" s="246"/>
      <c r="L9" s="246">
        <v>-34.9</v>
      </c>
      <c r="M9" s="246"/>
      <c r="N9" s="246"/>
      <c r="O9" s="246"/>
      <c r="P9" s="246">
        <v>-80</v>
      </c>
      <c r="Q9" s="246"/>
      <c r="R9" s="246"/>
      <c r="S9" s="246">
        <v>-75</v>
      </c>
      <c r="T9" s="246"/>
      <c r="U9" s="246">
        <f>SUM(B9:T9)</f>
        <v>-372.9</v>
      </c>
      <c r="V9" s="246"/>
      <c r="W9" s="245">
        <v>24</v>
      </c>
      <c r="X9" s="245">
        <v>-140</v>
      </c>
      <c r="Y9" s="237">
        <f t="shared" si="0"/>
        <v>-488.9</v>
      </c>
      <c r="Z9" s="252">
        <v>0</v>
      </c>
      <c r="AA9" s="239">
        <v>0</v>
      </c>
      <c r="AB9" s="240">
        <v>25</v>
      </c>
    </row>
    <row r="10" spans="1:28" x14ac:dyDescent="0.25">
      <c r="A10" s="245" t="s">
        <v>308</v>
      </c>
      <c r="B10" s="246"/>
      <c r="C10" s="246">
        <v>-65</v>
      </c>
      <c r="D10" s="246">
        <v>-67</v>
      </c>
      <c r="E10" s="246">
        <v>-51</v>
      </c>
      <c r="F10" s="246"/>
      <c r="G10" s="246"/>
      <c r="H10" s="246"/>
      <c r="I10" s="246"/>
      <c r="J10" s="246"/>
      <c r="K10" s="246"/>
      <c r="L10" s="246">
        <v>-34.9</v>
      </c>
      <c r="M10" s="246"/>
      <c r="N10" s="246"/>
      <c r="O10" s="246"/>
      <c r="P10" s="246">
        <v>-80</v>
      </c>
      <c r="Q10" s="246"/>
      <c r="R10" s="246"/>
      <c r="S10" s="246">
        <v>-75</v>
      </c>
      <c r="T10" s="246"/>
      <c r="U10" s="246">
        <f>SUM(B10:T10)</f>
        <v>-372.9</v>
      </c>
      <c r="V10" s="246"/>
      <c r="W10" s="245">
        <v>24</v>
      </c>
      <c r="X10" s="245">
        <v>-140</v>
      </c>
      <c r="Y10" s="237">
        <f t="shared" si="0"/>
        <v>-488.9</v>
      </c>
      <c r="Z10" s="252">
        <v>0</v>
      </c>
      <c r="AA10" s="239">
        <v>0</v>
      </c>
      <c r="AB10" s="240">
        <v>25</v>
      </c>
    </row>
    <row r="11" spans="1:28" x14ac:dyDescent="0.25">
      <c r="A11" s="245" t="s">
        <v>309</v>
      </c>
      <c r="B11" s="246"/>
      <c r="C11" s="246">
        <v>-65</v>
      </c>
      <c r="D11" s="246">
        <v>-67</v>
      </c>
      <c r="E11" s="246">
        <v>-51</v>
      </c>
      <c r="F11" s="246"/>
      <c r="G11" s="246"/>
      <c r="H11" s="246"/>
      <c r="I11" s="246"/>
      <c r="J11" s="246"/>
      <c r="K11" s="246"/>
      <c r="L11" s="246">
        <v>-34.9</v>
      </c>
      <c r="M11" s="246"/>
      <c r="N11" s="246"/>
      <c r="O11" s="246"/>
      <c r="P11" s="246">
        <v>-80</v>
      </c>
      <c r="Q11" s="246"/>
      <c r="R11" s="246"/>
      <c r="S11" s="246">
        <v>-75</v>
      </c>
      <c r="T11" s="246"/>
      <c r="U11" s="246">
        <f>SUM(B11:T11)</f>
        <v>-372.9</v>
      </c>
      <c r="V11" s="246"/>
      <c r="W11" s="245">
        <v>24</v>
      </c>
      <c r="X11" s="245">
        <v>-140</v>
      </c>
      <c r="Y11" s="237">
        <f t="shared" si="0"/>
        <v>-488.9</v>
      </c>
      <c r="Z11" s="252">
        <v>0</v>
      </c>
      <c r="AA11" s="239">
        <v>0</v>
      </c>
      <c r="AB11" s="240">
        <v>25</v>
      </c>
    </row>
    <row r="12" spans="1:28" x14ac:dyDescent="0.25">
      <c r="A12" s="245" t="s">
        <v>310</v>
      </c>
      <c r="B12" s="246"/>
      <c r="C12" s="246">
        <v>-65</v>
      </c>
      <c r="D12" s="246">
        <v>-67</v>
      </c>
      <c r="E12" s="246">
        <v>-51</v>
      </c>
      <c r="F12" s="246"/>
      <c r="G12" s="246"/>
      <c r="H12" s="246"/>
      <c r="I12" s="246"/>
      <c r="J12" s="246"/>
      <c r="K12" s="246"/>
      <c r="L12" s="246">
        <v>-34.9</v>
      </c>
      <c r="M12" s="246"/>
      <c r="N12" s="246"/>
      <c r="O12" s="246"/>
      <c r="P12" s="246">
        <v>-80</v>
      </c>
      <c r="Q12" s="246"/>
      <c r="R12" s="246"/>
      <c r="S12" s="246">
        <v>-75</v>
      </c>
      <c r="T12" s="246"/>
      <c r="U12" s="246">
        <f>SUM(B12:T12)</f>
        <v>-372.9</v>
      </c>
      <c r="V12" s="246"/>
      <c r="W12" s="245">
        <v>24</v>
      </c>
      <c r="X12" s="245">
        <v>-140</v>
      </c>
      <c r="Y12" s="237">
        <f t="shared" si="0"/>
        <v>-488.9</v>
      </c>
      <c r="Z12" s="252">
        <v>0</v>
      </c>
      <c r="AA12" s="239">
        <v>0</v>
      </c>
      <c r="AB12" s="240">
        <v>25</v>
      </c>
    </row>
    <row r="13" spans="1:28" x14ac:dyDescent="0.25">
      <c r="A13" s="245" t="s">
        <v>311</v>
      </c>
      <c r="B13" s="246"/>
      <c r="C13" s="246">
        <v>-65</v>
      </c>
      <c r="D13" s="246">
        <v>-67</v>
      </c>
      <c r="E13" s="246">
        <v>-51</v>
      </c>
      <c r="F13" s="246"/>
      <c r="G13" s="246"/>
      <c r="H13" s="246"/>
      <c r="I13" s="246"/>
      <c r="J13" s="246"/>
      <c r="K13" s="246"/>
      <c r="L13" s="246">
        <v>-34.9</v>
      </c>
      <c r="M13" s="246"/>
      <c r="N13" s="246"/>
      <c r="O13" s="246"/>
      <c r="P13" s="246">
        <v>-80</v>
      </c>
      <c r="Q13" s="246"/>
      <c r="R13" s="246"/>
      <c r="S13" s="246">
        <v>-75</v>
      </c>
      <c r="T13" s="246"/>
      <c r="U13" s="246">
        <f>SUM(B13:T13)</f>
        <v>-372.9</v>
      </c>
      <c r="V13" s="246"/>
      <c r="W13" s="245">
        <v>24</v>
      </c>
      <c r="X13" s="245">
        <v>-140</v>
      </c>
      <c r="Y13" s="237">
        <f t="shared" si="0"/>
        <v>-488.9</v>
      </c>
      <c r="Z13" s="252">
        <v>0</v>
      </c>
      <c r="AA13" s="239">
        <v>0</v>
      </c>
      <c r="AB13" s="240">
        <v>25</v>
      </c>
    </row>
    <row r="14" spans="1:28" x14ac:dyDescent="0.25">
      <c r="A14" s="245" t="s">
        <v>312</v>
      </c>
      <c r="B14" s="246"/>
      <c r="C14" s="246">
        <v>-65</v>
      </c>
      <c r="D14" s="246">
        <v>-67</v>
      </c>
      <c r="E14" s="246">
        <v>-51</v>
      </c>
      <c r="F14" s="246"/>
      <c r="G14" s="246"/>
      <c r="H14" s="246"/>
      <c r="I14" s="246"/>
      <c r="J14" s="246"/>
      <c r="K14" s="246"/>
      <c r="L14" s="246">
        <v>-34.9</v>
      </c>
      <c r="M14" s="246"/>
      <c r="N14" s="246"/>
      <c r="O14" s="246"/>
      <c r="P14" s="246">
        <v>-80</v>
      </c>
      <c r="Q14" s="246"/>
      <c r="R14" s="246"/>
      <c r="S14" s="246">
        <v>-75</v>
      </c>
      <c r="T14" s="246"/>
      <c r="U14" s="246">
        <f>SUM(B14:T14)</f>
        <v>-372.9</v>
      </c>
      <c r="V14" s="246"/>
      <c r="W14" s="245">
        <v>24</v>
      </c>
      <c r="X14" s="245">
        <v>-140</v>
      </c>
      <c r="Y14" s="237">
        <f t="shared" si="0"/>
        <v>-488.9</v>
      </c>
      <c r="Z14" s="252">
        <v>0</v>
      </c>
      <c r="AA14" s="239">
        <v>0</v>
      </c>
      <c r="AB14" s="240">
        <v>25</v>
      </c>
    </row>
    <row r="15" spans="1:28" x14ac:dyDescent="0.25">
      <c r="A15" s="245" t="s">
        <v>313</v>
      </c>
      <c r="B15" s="246"/>
      <c r="C15" s="246">
        <v>-65</v>
      </c>
      <c r="D15" s="246">
        <v>-67</v>
      </c>
      <c r="E15" s="246">
        <v>-51</v>
      </c>
      <c r="F15" s="246"/>
      <c r="G15" s="246"/>
      <c r="H15" s="246"/>
      <c r="I15" s="246"/>
      <c r="J15" s="246"/>
      <c r="K15" s="246"/>
      <c r="L15" s="246">
        <v>-34.9</v>
      </c>
      <c r="M15" s="246"/>
      <c r="N15" s="246"/>
      <c r="O15" s="246"/>
      <c r="P15" s="246">
        <v>-80</v>
      </c>
      <c r="Q15" s="246"/>
      <c r="R15" s="246"/>
      <c r="S15" s="246">
        <v>-75</v>
      </c>
      <c r="T15" s="246"/>
      <c r="U15" s="246">
        <f>SUM(B15:T15)</f>
        <v>-372.9</v>
      </c>
      <c r="V15" s="246"/>
      <c r="W15" s="245">
        <v>24</v>
      </c>
      <c r="X15" s="245">
        <v>-140</v>
      </c>
      <c r="Y15" s="237">
        <f t="shared" si="0"/>
        <v>-488.9</v>
      </c>
      <c r="Z15" s="252">
        <v>0</v>
      </c>
      <c r="AA15" s="239">
        <v>0</v>
      </c>
      <c r="AB15" s="240">
        <v>25</v>
      </c>
    </row>
    <row r="16" spans="1:28" x14ac:dyDescent="0.25">
      <c r="A16" s="245" t="s">
        <v>314</v>
      </c>
      <c r="B16" s="246"/>
      <c r="C16" s="246">
        <v>-65</v>
      </c>
      <c r="D16" s="246">
        <v>-67</v>
      </c>
      <c r="E16" s="246">
        <v>-51</v>
      </c>
      <c r="F16" s="246"/>
      <c r="G16" s="246"/>
      <c r="H16" s="246"/>
      <c r="I16" s="246"/>
      <c r="J16" s="246"/>
      <c r="K16" s="246"/>
      <c r="L16" s="246">
        <v>-34.9</v>
      </c>
      <c r="M16" s="246"/>
      <c r="N16" s="246"/>
      <c r="O16" s="246"/>
      <c r="P16" s="246">
        <v>-80</v>
      </c>
      <c r="Q16" s="246"/>
      <c r="R16" s="246"/>
      <c r="S16" s="246">
        <v>-75</v>
      </c>
      <c r="T16" s="246"/>
      <c r="U16" s="246">
        <f>SUM(B16:T16)</f>
        <v>-372.9</v>
      </c>
      <c r="V16" s="246"/>
      <c r="W16" s="245">
        <v>24</v>
      </c>
      <c r="X16" s="245">
        <v>-140</v>
      </c>
      <c r="Y16" s="237">
        <f t="shared" si="0"/>
        <v>-488.9</v>
      </c>
      <c r="Z16" s="252">
        <v>0</v>
      </c>
      <c r="AA16" s="239">
        <v>0</v>
      </c>
      <c r="AB16" s="240">
        <v>25</v>
      </c>
    </row>
    <row r="17" spans="1:28" x14ac:dyDescent="0.25">
      <c r="A17" s="245" t="s">
        <v>315</v>
      </c>
      <c r="B17" s="246"/>
      <c r="C17" s="246">
        <v>-65</v>
      </c>
      <c r="D17" s="246">
        <v>-67</v>
      </c>
      <c r="E17" s="246">
        <v>-51</v>
      </c>
      <c r="F17" s="246"/>
      <c r="G17" s="246"/>
      <c r="H17" s="246"/>
      <c r="I17" s="246"/>
      <c r="J17" s="246"/>
      <c r="K17" s="246"/>
      <c r="L17" s="246">
        <v>-34.9</v>
      </c>
      <c r="M17" s="246"/>
      <c r="N17" s="246"/>
      <c r="O17" s="246"/>
      <c r="P17" s="246">
        <v>-80</v>
      </c>
      <c r="Q17" s="246"/>
      <c r="R17" s="246"/>
      <c r="S17" s="246">
        <v>-75</v>
      </c>
      <c r="T17" s="246"/>
      <c r="U17" s="246">
        <f>SUM(B17:T17)</f>
        <v>-372.9</v>
      </c>
      <c r="V17" s="246"/>
      <c r="W17" s="245">
        <v>24</v>
      </c>
      <c r="X17" s="245">
        <v>-140</v>
      </c>
      <c r="Y17" s="237">
        <f t="shared" si="0"/>
        <v>-488.9</v>
      </c>
      <c r="Z17" s="252">
        <v>0</v>
      </c>
      <c r="AA17" s="239">
        <v>0</v>
      </c>
      <c r="AB17" s="240">
        <v>25</v>
      </c>
    </row>
    <row r="18" spans="1:28" x14ac:dyDescent="0.25">
      <c r="A18" s="245" t="s">
        <v>316</v>
      </c>
      <c r="B18" s="246"/>
      <c r="C18" s="246">
        <v>-65</v>
      </c>
      <c r="D18" s="246">
        <v>-67</v>
      </c>
      <c r="E18" s="246">
        <v>-51</v>
      </c>
      <c r="F18" s="246"/>
      <c r="G18" s="246"/>
      <c r="H18" s="246"/>
      <c r="I18" s="246"/>
      <c r="J18" s="246"/>
      <c r="K18" s="246"/>
      <c r="L18" s="246">
        <v>-34.9</v>
      </c>
      <c r="M18" s="246"/>
      <c r="N18" s="246"/>
      <c r="O18" s="246"/>
      <c r="P18" s="246">
        <v>-80</v>
      </c>
      <c r="Q18" s="246"/>
      <c r="R18" s="246"/>
      <c r="S18" s="246">
        <v>-75</v>
      </c>
      <c r="T18" s="246"/>
      <c r="U18" s="246">
        <f>SUM(B18:T18)</f>
        <v>-372.9</v>
      </c>
      <c r="V18" s="246"/>
      <c r="W18" s="245">
        <v>24</v>
      </c>
      <c r="X18" s="245">
        <v>-140</v>
      </c>
      <c r="Y18" s="237">
        <f t="shared" si="0"/>
        <v>-488.9</v>
      </c>
      <c r="Z18" s="252">
        <v>0</v>
      </c>
      <c r="AA18" s="239">
        <v>0</v>
      </c>
      <c r="AB18" s="240">
        <v>25</v>
      </c>
    </row>
    <row r="19" spans="1:28" x14ac:dyDescent="0.25">
      <c r="A19" s="245" t="s">
        <v>317</v>
      </c>
      <c r="B19" s="246"/>
      <c r="C19" s="246">
        <v>-65</v>
      </c>
      <c r="D19" s="246">
        <v>-67</v>
      </c>
      <c r="E19" s="246">
        <v>-51</v>
      </c>
      <c r="F19" s="246"/>
      <c r="G19" s="246"/>
      <c r="H19" s="246"/>
      <c r="I19" s="246"/>
      <c r="J19" s="246"/>
      <c r="K19" s="246"/>
      <c r="L19" s="246">
        <v>-34.9</v>
      </c>
      <c r="M19" s="246"/>
      <c r="N19" s="246"/>
      <c r="O19" s="246"/>
      <c r="P19" s="246">
        <v>-80</v>
      </c>
      <c r="Q19" s="246"/>
      <c r="R19" s="246"/>
      <c r="S19" s="246">
        <v>-75</v>
      </c>
      <c r="T19" s="246"/>
      <c r="U19" s="246">
        <f>SUM(B19:T19)</f>
        <v>-372.9</v>
      </c>
      <c r="V19" s="246"/>
      <c r="W19" s="245">
        <v>24</v>
      </c>
      <c r="X19" s="245">
        <v>-140</v>
      </c>
      <c r="Y19" s="237">
        <f t="shared" si="0"/>
        <v>-488.9</v>
      </c>
      <c r="Z19" s="252">
        <v>20</v>
      </c>
      <c r="AA19" s="239">
        <v>50</v>
      </c>
      <c r="AB19" s="240">
        <v>25</v>
      </c>
    </row>
    <row r="20" spans="1:28" x14ac:dyDescent="0.25">
      <c r="A20" s="245" t="s">
        <v>318</v>
      </c>
      <c r="B20" s="246"/>
      <c r="C20" s="246">
        <v>-65</v>
      </c>
      <c r="D20" s="246">
        <v>-67</v>
      </c>
      <c r="E20" s="246">
        <v>-51</v>
      </c>
      <c r="F20" s="246"/>
      <c r="G20" s="246"/>
      <c r="H20" s="246"/>
      <c r="I20" s="246"/>
      <c r="J20" s="246"/>
      <c r="K20" s="246"/>
      <c r="L20" s="246">
        <v>-34.9</v>
      </c>
      <c r="M20" s="246"/>
      <c r="N20" s="246"/>
      <c r="O20" s="246"/>
      <c r="P20" s="246">
        <v>-80</v>
      </c>
      <c r="Q20" s="246"/>
      <c r="R20" s="246"/>
      <c r="S20" s="246">
        <v>-75</v>
      </c>
      <c r="T20" s="246"/>
      <c r="U20" s="246">
        <f>SUM(B20:T20)</f>
        <v>-372.9</v>
      </c>
      <c r="V20" s="246"/>
      <c r="W20" s="245">
        <v>24</v>
      </c>
      <c r="X20" s="245">
        <v>-140</v>
      </c>
      <c r="Y20" s="237">
        <f t="shared" si="0"/>
        <v>-488.9</v>
      </c>
      <c r="Z20" s="252">
        <v>20</v>
      </c>
      <c r="AA20" s="239">
        <v>50</v>
      </c>
      <c r="AB20" s="240">
        <v>25</v>
      </c>
    </row>
    <row r="21" spans="1:28" x14ac:dyDescent="0.25">
      <c r="A21" s="245" t="s">
        <v>319</v>
      </c>
      <c r="B21" s="246"/>
      <c r="C21" s="246">
        <v>-65</v>
      </c>
      <c r="D21" s="246">
        <v>-67</v>
      </c>
      <c r="E21" s="246">
        <v>-51</v>
      </c>
      <c r="F21" s="246"/>
      <c r="G21" s="246"/>
      <c r="H21" s="246"/>
      <c r="I21" s="246"/>
      <c r="J21" s="246"/>
      <c r="K21" s="246"/>
      <c r="L21" s="246">
        <v>-34.9</v>
      </c>
      <c r="M21" s="246"/>
      <c r="N21" s="246"/>
      <c r="O21" s="246"/>
      <c r="P21" s="246">
        <v>-80</v>
      </c>
      <c r="Q21" s="246"/>
      <c r="R21" s="246"/>
      <c r="S21" s="246">
        <v>-75</v>
      </c>
      <c r="T21" s="246"/>
      <c r="U21" s="246">
        <f>SUM(B21:T21)</f>
        <v>-372.9</v>
      </c>
      <c r="V21" s="246"/>
      <c r="W21" s="245">
        <v>24</v>
      </c>
      <c r="X21" s="245">
        <v>-140</v>
      </c>
      <c r="Y21" s="237">
        <f t="shared" si="0"/>
        <v>-488.9</v>
      </c>
      <c r="Z21" s="252">
        <v>20</v>
      </c>
      <c r="AA21" s="239">
        <v>50</v>
      </c>
      <c r="AB21" s="240">
        <v>25</v>
      </c>
    </row>
    <row r="22" spans="1:28" x14ac:dyDescent="0.25">
      <c r="A22" s="245" t="s">
        <v>320</v>
      </c>
      <c r="B22" s="246"/>
      <c r="C22" s="246">
        <v>-65</v>
      </c>
      <c r="D22" s="246">
        <v>-67</v>
      </c>
      <c r="E22" s="246">
        <v>-51</v>
      </c>
      <c r="F22" s="246"/>
      <c r="G22" s="246"/>
      <c r="H22" s="246"/>
      <c r="I22" s="246"/>
      <c r="J22" s="246"/>
      <c r="K22" s="246"/>
      <c r="L22" s="246">
        <v>-34.9</v>
      </c>
      <c r="M22" s="246"/>
      <c r="N22" s="246"/>
      <c r="O22" s="246"/>
      <c r="P22" s="246">
        <v>-80</v>
      </c>
      <c r="Q22" s="246"/>
      <c r="R22" s="246"/>
      <c r="S22" s="246">
        <v>-75</v>
      </c>
      <c r="T22" s="246"/>
      <c r="U22" s="246">
        <f>SUM(B22:T22)</f>
        <v>-372.9</v>
      </c>
      <c r="V22" s="246"/>
      <c r="W22" s="245">
        <v>24</v>
      </c>
      <c r="X22" s="245">
        <v>-140</v>
      </c>
      <c r="Y22" s="237">
        <f t="shared" si="0"/>
        <v>-488.9</v>
      </c>
      <c r="Z22" s="252">
        <v>20</v>
      </c>
      <c r="AA22" s="239">
        <v>50</v>
      </c>
      <c r="AB22" s="240">
        <v>25</v>
      </c>
    </row>
    <row r="23" spans="1:28" x14ac:dyDescent="0.25">
      <c r="A23" s="245" t="s">
        <v>321</v>
      </c>
      <c r="B23" s="246">
        <v>-140</v>
      </c>
      <c r="C23" s="246">
        <v>-65</v>
      </c>
      <c r="D23" s="246">
        <v>-67</v>
      </c>
      <c r="E23" s="246">
        <v>-51</v>
      </c>
      <c r="F23" s="246"/>
      <c r="G23" s="246"/>
      <c r="H23" s="246"/>
      <c r="I23" s="246"/>
      <c r="J23" s="246"/>
      <c r="K23" s="246"/>
      <c r="L23" s="246">
        <v>-34.9</v>
      </c>
      <c r="M23" s="246"/>
      <c r="N23" s="246"/>
      <c r="O23" s="246"/>
      <c r="P23" s="246">
        <v>-80</v>
      </c>
      <c r="Q23" s="246"/>
      <c r="R23" s="246"/>
      <c r="S23" s="246">
        <v>-75</v>
      </c>
      <c r="T23" s="246"/>
      <c r="U23" s="246">
        <f>SUM(B23:T23)</f>
        <v>-512.9</v>
      </c>
      <c r="V23" s="246"/>
      <c r="W23" s="245">
        <v>40</v>
      </c>
      <c r="X23" s="245">
        <v>0</v>
      </c>
      <c r="Y23" s="237">
        <f>SUM(U23:X23)</f>
        <v>-472.9</v>
      </c>
      <c r="Z23" s="252">
        <v>20</v>
      </c>
      <c r="AA23" s="239">
        <v>50</v>
      </c>
      <c r="AB23" s="240">
        <v>43</v>
      </c>
    </row>
    <row r="24" spans="1:28" x14ac:dyDescent="0.25">
      <c r="A24" s="245" t="s">
        <v>322</v>
      </c>
      <c r="B24" s="246">
        <v>-140</v>
      </c>
      <c r="C24" s="246">
        <v>-65</v>
      </c>
      <c r="D24" s="246">
        <v>-67</v>
      </c>
      <c r="E24" s="246">
        <v>-51</v>
      </c>
      <c r="F24" s="246"/>
      <c r="G24" s="246"/>
      <c r="H24" s="246"/>
      <c r="I24" s="246"/>
      <c r="J24" s="246"/>
      <c r="K24" s="246"/>
      <c r="L24" s="246">
        <v>-34.9</v>
      </c>
      <c r="M24" s="246"/>
      <c r="N24" s="246"/>
      <c r="O24" s="246"/>
      <c r="P24" s="246">
        <v>-80</v>
      </c>
      <c r="Q24" s="246"/>
      <c r="R24" s="246"/>
      <c r="S24" s="246">
        <v>-75</v>
      </c>
      <c r="T24" s="246"/>
      <c r="U24" s="246">
        <f>SUM(B24:T24)</f>
        <v>-512.9</v>
      </c>
      <c r="V24" s="246"/>
      <c r="W24" s="245">
        <v>40</v>
      </c>
      <c r="X24" s="245">
        <v>0</v>
      </c>
      <c r="Y24" s="237">
        <f t="shared" si="0"/>
        <v>-472.9</v>
      </c>
      <c r="Z24" s="252">
        <v>20</v>
      </c>
      <c r="AA24" s="239">
        <v>50</v>
      </c>
      <c r="AB24" s="240">
        <v>43</v>
      </c>
    </row>
    <row r="25" spans="1:28" x14ac:dyDescent="0.25">
      <c r="A25" s="245" t="s">
        <v>323</v>
      </c>
      <c r="B25" s="246">
        <v>-140</v>
      </c>
      <c r="C25" s="246">
        <v>-65</v>
      </c>
      <c r="D25" s="246">
        <v>-67</v>
      </c>
      <c r="E25" s="246">
        <v>-51</v>
      </c>
      <c r="F25" s="246"/>
      <c r="G25" s="246"/>
      <c r="H25" s="246"/>
      <c r="I25" s="246"/>
      <c r="J25" s="246"/>
      <c r="K25" s="246"/>
      <c r="L25" s="246">
        <v>-34.9</v>
      </c>
      <c r="M25" s="246"/>
      <c r="N25" s="246"/>
      <c r="O25" s="246"/>
      <c r="P25" s="246">
        <v>-80</v>
      </c>
      <c r="Q25" s="246"/>
      <c r="R25" s="246"/>
      <c r="S25" s="246">
        <v>-75</v>
      </c>
      <c r="T25" s="246"/>
      <c r="U25" s="246">
        <f>SUM(B25:T25)</f>
        <v>-512.9</v>
      </c>
      <c r="V25" s="246"/>
      <c r="W25" s="245">
        <v>40</v>
      </c>
      <c r="X25" s="245">
        <v>0</v>
      </c>
      <c r="Y25" s="237">
        <f t="shared" si="0"/>
        <v>-472.9</v>
      </c>
      <c r="Z25" s="252">
        <v>20</v>
      </c>
      <c r="AA25" s="239">
        <v>50</v>
      </c>
      <c r="AB25" s="240">
        <v>43</v>
      </c>
    </row>
    <row r="26" spans="1:28" x14ac:dyDescent="0.25">
      <c r="A26" s="245" t="s">
        <v>324</v>
      </c>
      <c r="B26" s="246">
        <v>-140</v>
      </c>
      <c r="C26" s="246">
        <v>-65</v>
      </c>
      <c r="D26" s="246">
        <v>-67</v>
      </c>
      <c r="E26" s="246">
        <v>-51</v>
      </c>
      <c r="F26" s="246"/>
      <c r="G26" s="246"/>
      <c r="H26" s="246"/>
      <c r="I26" s="246"/>
      <c r="J26" s="246"/>
      <c r="K26" s="246"/>
      <c r="L26" s="246">
        <v>-34.9</v>
      </c>
      <c r="M26" s="246"/>
      <c r="N26" s="246"/>
      <c r="O26" s="246"/>
      <c r="P26" s="246">
        <v>-30</v>
      </c>
      <c r="Q26" s="246"/>
      <c r="R26" s="246"/>
      <c r="S26" s="246">
        <v>-75</v>
      </c>
      <c r="T26" s="246"/>
      <c r="U26" s="246">
        <f>SUM(B26:T26)</f>
        <v>-462.9</v>
      </c>
      <c r="V26" s="246"/>
      <c r="W26" s="245">
        <v>40</v>
      </c>
      <c r="X26" s="245">
        <v>0</v>
      </c>
      <c r="Y26" s="237">
        <f t="shared" si="0"/>
        <v>-422.9</v>
      </c>
      <c r="Z26" s="252">
        <v>20</v>
      </c>
      <c r="AA26" s="239">
        <v>50</v>
      </c>
      <c r="AB26" s="240">
        <v>43</v>
      </c>
    </row>
    <row r="27" spans="1:28" x14ac:dyDescent="0.25">
      <c r="A27" s="245" t="s">
        <v>325</v>
      </c>
      <c r="B27" s="246">
        <v>-140</v>
      </c>
      <c r="C27" s="246">
        <v>-65</v>
      </c>
      <c r="D27" s="246">
        <v>-67</v>
      </c>
      <c r="E27" s="246">
        <v>-51</v>
      </c>
      <c r="F27" s="246"/>
      <c r="G27" s="246"/>
      <c r="H27" s="246"/>
      <c r="I27" s="246"/>
      <c r="J27" s="246"/>
      <c r="K27" s="246"/>
      <c r="L27" s="246">
        <v>0</v>
      </c>
      <c r="M27" s="246"/>
      <c r="N27" s="246"/>
      <c r="O27" s="246"/>
      <c r="P27" s="246">
        <v>0</v>
      </c>
      <c r="Q27" s="246"/>
      <c r="R27" s="246"/>
      <c r="S27" s="246">
        <v>-75</v>
      </c>
      <c r="T27" s="246"/>
      <c r="U27" s="246">
        <f>SUM(B27:T27)</f>
        <v>-398</v>
      </c>
      <c r="V27" s="246"/>
      <c r="W27" s="245">
        <v>40</v>
      </c>
      <c r="X27" s="245">
        <v>0</v>
      </c>
      <c r="Y27" s="237">
        <f t="shared" si="0"/>
        <v>-358</v>
      </c>
      <c r="Z27" s="252">
        <v>21</v>
      </c>
      <c r="AA27" s="239">
        <v>50</v>
      </c>
      <c r="AB27" s="240">
        <v>43</v>
      </c>
    </row>
    <row r="28" spans="1:28" x14ac:dyDescent="0.25">
      <c r="A28" s="245" t="s">
        <v>326</v>
      </c>
      <c r="B28" s="246">
        <v>-140</v>
      </c>
      <c r="C28" s="246">
        <v>-65</v>
      </c>
      <c r="D28" s="246">
        <v>-67</v>
      </c>
      <c r="E28" s="246">
        <v>-51</v>
      </c>
      <c r="F28" s="246"/>
      <c r="G28" s="246"/>
      <c r="H28" s="246"/>
      <c r="I28" s="246"/>
      <c r="J28" s="246"/>
      <c r="K28" s="246"/>
      <c r="L28" s="246">
        <v>0</v>
      </c>
      <c r="M28" s="246"/>
      <c r="N28" s="246"/>
      <c r="O28" s="246"/>
      <c r="P28" s="246">
        <v>0</v>
      </c>
      <c r="Q28" s="246"/>
      <c r="R28" s="246"/>
      <c r="S28" s="246">
        <v>0</v>
      </c>
      <c r="T28" s="246"/>
      <c r="U28" s="246">
        <f>SUM(B28:T28)</f>
        <v>-323</v>
      </c>
      <c r="V28" s="246"/>
      <c r="W28" s="245">
        <v>40</v>
      </c>
      <c r="X28" s="245">
        <v>0</v>
      </c>
      <c r="Y28" s="237">
        <f t="shared" si="0"/>
        <v>-283</v>
      </c>
      <c r="Z28" s="252">
        <v>22</v>
      </c>
      <c r="AA28" s="239">
        <v>50</v>
      </c>
      <c r="AB28" s="240">
        <v>43</v>
      </c>
    </row>
    <row r="29" spans="1:28" x14ac:dyDescent="0.25">
      <c r="A29" s="245" t="s">
        <v>327</v>
      </c>
      <c r="B29" s="246">
        <v>-140</v>
      </c>
      <c r="C29" s="246">
        <v>-65</v>
      </c>
      <c r="D29" s="246">
        <v>-67</v>
      </c>
      <c r="E29" s="246">
        <v>-51</v>
      </c>
      <c r="F29" s="246"/>
      <c r="G29" s="246"/>
      <c r="H29" s="246"/>
      <c r="I29" s="246"/>
      <c r="J29" s="246"/>
      <c r="K29" s="246"/>
      <c r="L29" s="246">
        <v>0</v>
      </c>
      <c r="M29" s="246"/>
      <c r="N29" s="246"/>
      <c r="O29" s="246"/>
      <c r="P29" s="246">
        <v>0</v>
      </c>
      <c r="Q29" s="246"/>
      <c r="R29" s="246"/>
      <c r="S29" s="246">
        <v>0</v>
      </c>
      <c r="T29" s="246"/>
      <c r="U29" s="246">
        <f>SUM(B29:T29)</f>
        <v>-323</v>
      </c>
      <c r="V29" s="246"/>
      <c r="W29" s="245">
        <v>57</v>
      </c>
      <c r="X29" s="245">
        <v>0</v>
      </c>
      <c r="Y29" s="237">
        <f t="shared" si="0"/>
        <v>-266</v>
      </c>
      <c r="Z29" s="252">
        <v>23</v>
      </c>
      <c r="AA29" s="239">
        <v>50</v>
      </c>
      <c r="AB29" s="240">
        <v>61</v>
      </c>
    </row>
    <row r="30" spans="1:28" x14ac:dyDescent="0.25">
      <c r="A30" s="245" t="s">
        <v>328</v>
      </c>
      <c r="B30" s="246">
        <v>-140</v>
      </c>
      <c r="C30" s="246">
        <v>-65</v>
      </c>
      <c r="D30" s="246">
        <v>-67</v>
      </c>
      <c r="E30" s="246">
        <v>-51</v>
      </c>
      <c r="F30" s="246"/>
      <c r="G30" s="246"/>
      <c r="H30" s="246"/>
      <c r="I30" s="246"/>
      <c r="J30" s="246"/>
      <c r="K30" s="246"/>
      <c r="L30" s="246">
        <v>0</v>
      </c>
      <c r="M30" s="246"/>
      <c r="N30" s="246"/>
      <c r="O30" s="246"/>
      <c r="P30" s="246">
        <v>0</v>
      </c>
      <c r="Q30" s="246"/>
      <c r="R30" s="246"/>
      <c r="S30" s="246">
        <v>0</v>
      </c>
      <c r="T30" s="246"/>
      <c r="U30" s="246">
        <f>SUM(B30:T30)</f>
        <v>-323</v>
      </c>
      <c r="V30" s="246"/>
      <c r="W30" s="245">
        <v>57</v>
      </c>
      <c r="X30" s="245">
        <v>0</v>
      </c>
      <c r="Y30" s="237">
        <f t="shared" si="0"/>
        <v>-266</v>
      </c>
      <c r="Z30" s="252">
        <v>23</v>
      </c>
      <c r="AA30" s="239">
        <v>50</v>
      </c>
      <c r="AB30" s="240">
        <v>61</v>
      </c>
    </row>
    <row r="31" spans="1:28" x14ac:dyDescent="0.25">
      <c r="A31" s="245" t="s">
        <v>329</v>
      </c>
      <c r="B31" s="246">
        <v>-140</v>
      </c>
      <c r="C31" s="246">
        <v>-65</v>
      </c>
      <c r="D31" s="246">
        <v>-67</v>
      </c>
      <c r="E31" s="246">
        <v>-51</v>
      </c>
      <c r="F31" s="246"/>
      <c r="G31" s="246"/>
      <c r="H31" s="246"/>
      <c r="I31" s="246"/>
      <c r="J31" s="246"/>
      <c r="K31" s="246"/>
      <c r="L31" s="246">
        <v>0</v>
      </c>
      <c r="M31" s="246"/>
      <c r="N31" s="246"/>
      <c r="O31" s="246"/>
      <c r="P31" s="246">
        <v>0</v>
      </c>
      <c r="Q31" s="246"/>
      <c r="R31" s="246"/>
      <c r="S31" s="246">
        <v>0</v>
      </c>
      <c r="T31" s="246"/>
      <c r="U31" s="246">
        <f>SUM(B31:T31)</f>
        <v>-323</v>
      </c>
      <c r="V31" s="246"/>
      <c r="W31" s="245">
        <v>57</v>
      </c>
      <c r="X31" s="245">
        <v>0</v>
      </c>
      <c r="Y31" s="237">
        <f t="shared" si="0"/>
        <v>-266</v>
      </c>
      <c r="Z31" s="252">
        <v>23</v>
      </c>
      <c r="AA31" s="239">
        <v>50</v>
      </c>
      <c r="AB31" s="240">
        <v>61</v>
      </c>
    </row>
    <row r="32" spans="1:28" x14ac:dyDescent="0.25">
      <c r="A32" s="245" t="s">
        <v>330</v>
      </c>
      <c r="B32" s="246">
        <v>-140</v>
      </c>
      <c r="C32" s="246">
        <v>-65</v>
      </c>
      <c r="D32" s="246">
        <v>-67</v>
      </c>
      <c r="E32" s="246">
        <v>-51</v>
      </c>
      <c r="F32" s="246"/>
      <c r="G32" s="246"/>
      <c r="H32" s="246"/>
      <c r="I32" s="246"/>
      <c r="J32" s="246"/>
      <c r="K32" s="246"/>
      <c r="L32" s="246">
        <v>0</v>
      </c>
      <c r="M32" s="246"/>
      <c r="N32" s="246"/>
      <c r="O32" s="246"/>
      <c r="P32" s="246">
        <v>0</v>
      </c>
      <c r="Q32" s="246"/>
      <c r="R32" s="246"/>
      <c r="S32" s="246">
        <v>0</v>
      </c>
      <c r="T32" s="246"/>
      <c r="U32" s="246">
        <f>SUM(B32:T32)</f>
        <v>-323</v>
      </c>
      <c r="V32" s="246"/>
      <c r="W32" s="245">
        <v>57</v>
      </c>
      <c r="X32" s="245">
        <v>0</v>
      </c>
      <c r="Y32" s="237">
        <f t="shared" si="0"/>
        <v>-266</v>
      </c>
      <c r="Z32" s="252">
        <v>23</v>
      </c>
      <c r="AA32" s="239">
        <v>50</v>
      </c>
      <c r="AB32" s="240">
        <v>61</v>
      </c>
    </row>
    <row r="33" spans="1:28" x14ac:dyDescent="0.25">
      <c r="A33" s="245" t="s">
        <v>331</v>
      </c>
      <c r="B33" s="246">
        <v>-140</v>
      </c>
      <c r="C33" s="246">
        <v>-65</v>
      </c>
      <c r="D33" s="246">
        <v>-67</v>
      </c>
      <c r="E33" s="246">
        <v>-51</v>
      </c>
      <c r="F33" s="246"/>
      <c r="G33" s="246"/>
      <c r="H33" s="246"/>
      <c r="I33" s="246"/>
      <c r="J33" s="246"/>
      <c r="K33" s="246"/>
      <c r="L33" s="246">
        <v>0</v>
      </c>
      <c r="M33" s="246"/>
      <c r="N33" s="246"/>
      <c r="O33" s="246"/>
      <c r="P33" s="246">
        <v>0</v>
      </c>
      <c r="Q33" s="246"/>
      <c r="R33" s="246"/>
      <c r="S33" s="246">
        <v>0</v>
      </c>
      <c r="T33" s="246"/>
      <c r="U33" s="246">
        <f>SUM(B33:T33)</f>
        <v>-323</v>
      </c>
      <c r="V33" s="246"/>
      <c r="W33" s="245">
        <v>57</v>
      </c>
      <c r="X33" s="245">
        <v>0</v>
      </c>
      <c r="Y33" s="237">
        <f t="shared" si="0"/>
        <v>-266</v>
      </c>
      <c r="Z33" s="252">
        <v>23</v>
      </c>
      <c r="AA33" s="239">
        <v>50</v>
      </c>
      <c r="AB33" s="240">
        <v>61</v>
      </c>
    </row>
    <row r="34" spans="1:28" x14ac:dyDescent="0.25">
      <c r="A34" s="245" t="s">
        <v>332</v>
      </c>
      <c r="B34" s="246">
        <v>-140</v>
      </c>
      <c r="C34" s="246">
        <v>-65</v>
      </c>
      <c r="D34" s="246">
        <v>-67</v>
      </c>
      <c r="E34" s="246">
        <v>-51</v>
      </c>
      <c r="F34" s="246"/>
      <c r="G34" s="246"/>
      <c r="H34" s="246"/>
      <c r="I34" s="246"/>
      <c r="J34" s="246"/>
      <c r="K34" s="246"/>
      <c r="L34" s="246">
        <v>0</v>
      </c>
      <c r="M34" s="246"/>
      <c r="N34" s="246"/>
      <c r="O34" s="246"/>
      <c r="P34" s="246">
        <v>0</v>
      </c>
      <c r="Q34" s="246"/>
      <c r="R34" s="246"/>
      <c r="S34" s="246">
        <v>0</v>
      </c>
      <c r="T34" s="246"/>
      <c r="U34" s="246">
        <f>SUM(B34:T34)</f>
        <v>-323</v>
      </c>
      <c r="V34" s="246"/>
      <c r="W34" s="245">
        <v>57</v>
      </c>
      <c r="X34" s="245">
        <v>0</v>
      </c>
      <c r="Y34" s="237">
        <f t="shared" si="0"/>
        <v>-266</v>
      </c>
      <c r="Z34" s="252">
        <v>23</v>
      </c>
      <c r="AA34" s="239">
        <v>50</v>
      </c>
      <c r="AB34" s="240">
        <v>61</v>
      </c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/>
      <c r="G35" s="246"/>
      <c r="H35" s="246"/>
      <c r="I35" s="246"/>
      <c r="J35" s="246"/>
      <c r="K35" s="246"/>
      <c r="L35" s="246">
        <v>0</v>
      </c>
      <c r="M35" s="246"/>
      <c r="N35" s="246"/>
      <c r="O35" s="246"/>
      <c r="P35" s="246">
        <v>0</v>
      </c>
      <c r="Q35" s="246"/>
      <c r="R35" s="246"/>
      <c r="S35" s="246">
        <v>0</v>
      </c>
      <c r="T35" s="246"/>
      <c r="U35" s="246">
        <f>SUM(B35:T35)</f>
        <v>-323</v>
      </c>
      <c r="V35" s="246"/>
      <c r="W35" s="245">
        <v>57</v>
      </c>
      <c r="X35" s="245">
        <v>0</v>
      </c>
      <c r="Y35" s="237">
        <f t="shared" si="0"/>
        <v>-266</v>
      </c>
      <c r="Z35" s="252">
        <v>23</v>
      </c>
      <c r="AA35" s="239">
        <v>50</v>
      </c>
      <c r="AB35" s="240">
        <v>61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/>
      <c r="G36" s="246"/>
      <c r="H36" s="246"/>
      <c r="I36" s="246"/>
      <c r="J36" s="246"/>
      <c r="K36" s="246"/>
      <c r="L36" s="246">
        <v>0</v>
      </c>
      <c r="M36" s="246"/>
      <c r="N36" s="246"/>
      <c r="O36" s="246"/>
      <c r="P36" s="246">
        <v>0</v>
      </c>
      <c r="Q36" s="246"/>
      <c r="R36" s="246"/>
      <c r="S36" s="246">
        <v>0</v>
      </c>
      <c r="T36" s="246"/>
      <c r="U36" s="246">
        <f>SUM(B36:T36)</f>
        <v>-323</v>
      </c>
      <c r="V36" s="246"/>
      <c r="W36" s="245">
        <v>57</v>
      </c>
      <c r="X36" s="245">
        <v>0</v>
      </c>
      <c r="Y36" s="237">
        <f t="shared" si="0"/>
        <v>-266</v>
      </c>
      <c r="Z36" s="252">
        <v>23</v>
      </c>
      <c r="AA36" s="239">
        <v>50</v>
      </c>
      <c r="AB36" s="240">
        <v>61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5">
        <v>57</v>
      </c>
      <c r="X37" s="248">
        <v>0</v>
      </c>
      <c r="Y37" s="242">
        <f t="shared" si="0"/>
        <v>-266</v>
      </c>
      <c r="Z37" s="253">
        <v>23</v>
      </c>
      <c r="AA37" s="242">
        <v>50</v>
      </c>
      <c r="AB37" s="240">
        <v>61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>
        <v>0</v>
      </c>
      <c r="M38" s="246"/>
      <c r="N38" s="246"/>
      <c r="O38" s="246"/>
      <c r="P38" s="246">
        <v>0</v>
      </c>
      <c r="Q38" s="246"/>
      <c r="R38" s="246"/>
      <c r="S38" s="246">
        <v>0</v>
      </c>
      <c r="T38" s="246"/>
      <c r="U38" s="246">
        <f>SUM(B38:T38)</f>
        <v>-323</v>
      </c>
      <c r="V38" s="246"/>
      <c r="W38" s="245">
        <v>57</v>
      </c>
      <c r="X38" s="245">
        <v>0</v>
      </c>
      <c r="Y38" s="237">
        <f t="shared" si="0"/>
        <v>-266</v>
      </c>
      <c r="Z38" s="252">
        <v>45</v>
      </c>
      <c r="AA38" s="239">
        <v>50</v>
      </c>
      <c r="AB38" s="240">
        <v>61</v>
      </c>
    </row>
    <row r="39" spans="1:28" x14ac:dyDescent="0.25">
      <c r="A39" s="245" t="s">
        <v>337</v>
      </c>
      <c r="B39" s="246">
        <v>-140</v>
      </c>
      <c r="C39" s="246">
        <v>-65</v>
      </c>
      <c r="D39" s="246">
        <v>-67</v>
      </c>
      <c r="E39" s="246">
        <v>0</v>
      </c>
      <c r="F39" s="246"/>
      <c r="G39" s="246"/>
      <c r="H39" s="246"/>
      <c r="I39" s="246"/>
      <c r="J39" s="246"/>
      <c r="K39" s="246"/>
      <c r="L39" s="246">
        <v>0</v>
      </c>
      <c r="M39" s="246"/>
      <c r="N39" s="246"/>
      <c r="O39" s="246"/>
      <c r="P39" s="246">
        <v>0</v>
      </c>
      <c r="Q39" s="246"/>
      <c r="R39" s="246"/>
      <c r="S39" s="246">
        <v>0</v>
      </c>
      <c r="T39" s="246"/>
      <c r="U39" s="246">
        <f>SUM(B39:T39)</f>
        <v>-272</v>
      </c>
      <c r="V39" s="246"/>
      <c r="W39" s="245">
        <v>57</v>
      </c>
      <c r="X39" s="245">
        <v>0</v>
      </c>
      <c r="Y39" s="237">
        <f t="shared" si="0"/>
        <v>-215</v>
      </c>
      <c r="Z39" s="252">
        <v>45</v>
      </c>
      <c r="AA39" s="239">
        <v>50</v>
      </c>
      <c r="AB39" s="240">
        <v>61</v>
      </c>
    </row>
    <row r="40" spans="1:28" x14ac:dyDescent="0.25">
      <c r="A40" s="245" t="s">
        <v>338</v>
      </c>
      <c r="B40" s="246">
        <v>-140</v>
      </c>
      <c r="C40" s="246">
        <v>-65</v>
      </c>
      <c r="D40" s="246">
        <v>-67</v>
      </c>
      <c r="E40" s="246">
        <v>0</v>
      </c>
      <c r="F40" s="246"/>
      <c r="G40" s="246"/>
      <c r="H40" s="246"/>
      <c r="I40" s="246"/>
      <c r="J40" s="246"/>
      <c r="K40" s="246"/>
      <c r="L40" s="246">
        <v>0</v>
      </c>
      <c r="M40" s="246"/>
      <c r="N40" s="246"/>
      <c r="O40" s="246"/>
      <c r="P40" s="246">
        <v>0</v>
      </c>
      <c r="Q40" s="246"/>
      <c r="R40" s="246"/>
      <c r="S40" s="246">
        <v>0</v>
      </c>
      <c r="T40" s="246"/>
      <c r="U40" s="246">
        <f>SUM(B40:T40)</f>
        <v>-272</v>
      </c>
      <c r="V40" s="246"/>
      <c r="W40" s="245">
        <v>57</v>
      </c>
      <c r="X40" s="245">
        <v>0</v>
      </c>
      <c r="Y40" s="237">
        <f t="shared" si="0"/>
        <v>-215</v>
      </c>
      <c r="Z40" s="252">
        <v>45</v>
      </c>
      <c r="AA40" s="239">
        <v>50</v>
      </c>
      <c r="AB40" s="240">
        <v>61</v>
      </c>
    </row>
    <row r="41" spans="1:28" x14ac:dyDescent="0.25">
      <c r="A41" s="245" t="s">
        <v>339</v>
      </c>
      <c r="B41" s="246">
        <v>-140</v>
      </c>
      <c r="C41" s="246">
        <v>-65</v>
      </c>
      <c r="D41" s="246">
        <v>-67</v>
      </c>
      <c r="E41" s="246">
        <v>0</v>
      </c>
      <c r="F41" s="246"/>
      <c r="G41" s="246"/>
      <c r="H41" s="246"/>
      <c r="I41" s="246"/>
      <c r="J41" s="246"/>
      <c r="K41" s="246"/>
      <c r="L41" s="246">
        <v>0</v>
      </c>
      <c r="M41" s="246"/>
      <c r="N41" s="246"/>
      <c r="O41" s="246"/>
      <c r="P41" s="246">
        <v>0</v>
      </c>
      <c r="Q41" s="246"/>
      <c r="R41" s="246"/>
      <c r="S41" s="246">
        <v>0</v>
      </c>
      <c r="T41" s="246"/>
      <c r="U41" s="246">
        <f>SUM(B41:T41)</f>
        <v>-272</v>
      </c>
      <c r="V41" s="246"/>
      <c r="W41" s="245">
        <v>57</v>
      </c>
      <c r="X41" s="245">
        <v>0</v>
      </c>
      <c r="Y41" s="237">
        <f t="shared" si="0"/>
        <v>-215</v>
      </c>
      <c r="Z41" s="252">
        <v>45</v>
      </c>
      <c r="AA41" s="239">
        <v>50</v>
      </c>
      <c r="AB41" s="240">
        <v>61</v>
      </c>
    </row>
    <row r="42" spans="1:28" x14ac:dyDescent="0.25">
      <c r="A42" s="245" t="s">
        <v>340</v>
      </c>
      <c r="B42" s="246">
        <v>-140</v>
      </c>
      <c r="C42" s="246">
        <v>-65</v>
      </c>
      <c r="D42" s="246">
        <v>-67</v>
      </c>
      <c r="E42" s="246">
        <v>0</v>
      </c>
      <c r="F42" s="246"/>
      <c r="G42" s="246"/>
      <c r="H42" s="246"/>
      <c r="I42" s="246"/>
      <c r="J42" s="246"/>
      <c r="K42" s="246"/>
      <c r="L42" s="246">
        <v>0</v>
      </c>
      <c r="M42" s="246"/>
      <c r="N42" s="246"/>
      <c r="O42" s="246"/>
      <c r="P42" s="246">
        <v>0</v>
      </c>
      <c r="Q42" s="246"/>
      <c r="R42" s="246"/>
      <c r="S42" s="246">
        <v>0</v>
      </c>
      <c r="T42" s="246"/>
      <c r="U42" s="246">
        <f>SUM(B42:T42)</f>
        <v>-272</v>
      </c>
      <c r="V42" s="246"/>
      <c r="W42" s="245">
        <v>57</v>
      </c>
      <c r="X42" s="245">
        <v>0</v>
      </c>
      <c r="Y42" s="237">
        <f t="shared" si="0"/>
        <v>-215</v>
      </c>
      <c r="Z42" s="252">
        <v>45</v>
      </c>
      <c r="AA42" s="239">
        <v>50</v>
      </c>
      <c r="AB42" s="240">
        <v>61</v>
      </c>
    </row>
    <row r="43" spans="1:28" x14ac:dyDescent="0.25">
      <c r="A43" s="245" t="s">
        <v>341</v>
      </c>
      <c r="B43" s="246">
        <v>-140</v>
      </c>
      <c r="C43" s="246">
        <v>-65</v>
      </c>
      <c r="D43" s="246">
        <v>-67</v>
      </c>
      <c r="E43" s="246">
        <v>0</v>
      </c>
      <c r="F43" s="246"/>
      <c r="G43" s="246"/>
      <c r="H43" s="246"/>
      <c r="I43" s="246"/>
      <c r="J43" s="246"/>
      <c r="K43" s="246"/>
      <c r="L43" s="246">
        <v>0</v>
      </c>
      <c r="M43" s="246"/>
      <c r="N43" s="246"/>
      <c r="O43" s="246"/>
      <c r="P43" s="246">
        <v>0</v>
      </c>
      <c r="Q43" s="246"/>
      <c r="R43" s="246"/>
      <c r="S43" s="246">
        <v>0</v>
      </c>
      <c r="T43" s="246"/>
      <c r="U43" s="246">
        <f>SUM(B43:T43)</f>
        <v>-272</v>
      </c>
      <c r="V43" s="246"/>
      <c r="W43" s="245">
        <v>57</v>
      </c>
      <c r="X43" s="245">
        <v>0</v>
      </c>
      <c r="Y43" s="237">
        <f t="shared" si="0"/>
        <v>-215</v>
      </c>
      <c r="Z43" s="252">
        <v>45</v>
      </c>
      <c r="AA43" s="239">
        <v>50</v>
      </c>
      <c r="AB43" s="240">
        <v>61</v>
      </c>
    </row>
    <row r="44" spans="1:28" x14ac:dyDescent="0.25">
      <c r="A44" s="245" t="s">
        <v>342</v>
      </c>
      <c r="B44" s="246">
        <v>-140</v>
      </c>
      <c r="C44" s="246">
        <v>-65</v>
      </c>
      <c r="D44" s="246">
        <v>0</v>
      </c>
      <c r="E44" s="246">
        <v>0</v>
      </c>
      <c r="F44" s="246"/>
      <c r="G44" s="246"/>
      <c r="H44" s="246"/>
      <c r="I44" s="246"/>
      <c r="J44" s="246"/>
      <c r="K44" s="246"/>
      <c r="L44" s="246">
        <v>0</v>
      </c>
      <c r="M44" s="246"/>
      <c r="N44" s="246"/>
      <c r="O44" s="246"/>
      <c r="P44" s="246">
        <v>0</v>
      </c>
      <c r="Q44" s="246"/>
      <c r="R44" s="246"/>
      <c r="S44" s="246">
        <v>0</v>
      </c>
      <c r="T44" s="246"/>
      <c r="U44" s="246">
        <f>SUM(B44:T44)</f>
        <v>-205</v>
      </c>
      <c r="V44" s="246"/>
      <c r="W44" s="245">
        <v>57</v>
      </c>
      <c r="X44" s="245">
        <v>0</v>
      </c>
      <c r="Y44" s="237">
        <f t="shared" si="0"/>
        <v>-148</v>
      </c>
      <c r="Z44" s="252">
        <v>45</v>
      </c>
      <c r="AA44" s="239">
        <v>50</v>
      </c>
      <c r="AB44" s="240">
        <v>61</v>
      </c>
    </row>
    <row r="45" spans="1:28" x14ac:dyDescent="0.25">
      <c r="A45" s="245" t="s">
        <v>343</v>
      </c>
      <c r="B45" s="246">
        <v>-140</v>
      </c>
      <c r="C45" s="246">
        <v>0</v>
      </c>
      <c r="D45" s="246">
        <v>0</v>
      </c>
      <c r="E45" s="246">
        <v>0</v>
      </c>
      <c r="F45" s="246"/>
      <c r="G45" s="246"/>
      <c r="H45" s="246"/>
      <c r="I45" s="246"/>
      <c r="J45" s="246"/>
      <c r="K45" s="246"/>
      <c r="L45" s="246">
        <v>0</v>
      </c>
      <c r="M45" s="246"/>
      <c r="N45" s="246"/>
      <c r="O45" s="246"/>
      <c r="P45" s="246">
        <v>0</v>
      </c>
      <c r="Q45" s="246"/>
      <c r="R45" s="246"/>
      <c r="S45" s="246">
        <v>0</v>
      </c>
      <c r="T45" s="246"/>
      <c r="U45" s="246">
        <f t="shared" ref="U45:U98" si="1">SUM(B45:T45)</f>
        <v>-140</v>
      </c>
      <c r="V45" s="246"/>
      <c r="W45" s="245">
        <v>57</v>
      </c>
      <c r="X45" s="245">
        <v>0</v>
      </c>
      <c r="Y45" s="237">
        <f t="shared" si="0"/>
        <v>-83</v>
      </c>
      <c r="Z45" s="252">
        <v>45</v>
      </c>
      <c r="AA45" s="239">
        <v>50</v>
      </c>
      <c r="AB45" s="240">
        <v>61</v>
      </c>
    </row>
    <row r="46" spans="1:28" x14ac:dyDescent="0.25">
      <c r="A46" s="245" t="s">
        <v>344</v>
      </c>
      <c r="B46" s="246">
        <v>-140</v>
      </c>
      <c r="C46" s="246">
        <v>0</v>
      </c>
      <c r="D46" s="246">
        <v>0</v>
      </c>
      <c r="E46" s="246">
        <v>0</v>
      </c>
      <c r="F46" s="246"/>
      <c r="G46" s="246"/>
      <c r="H46" s="246"/>
      <c r="I46" s="246"/>
      <c r="J46" s="246"/>
      <c r="K46" s="246"/>
      <c r="L46" s="246">
        <v>0</v>
      </c>
      <c r="M46" s="246"/>
      <c r="N46" s="246"/>
      <c r="O46" s="246"/>
      <c r="P46" s="246">
        <v>0</v>
      </c>
      <c r="Q46" s="246"/>
      <c r="R46" s="246"/>
      <c r="S46" s="246">
        <v>0</v>
      </c>
      <c r="T46" s="246"/>
      <c r="U46" s="246">
        <f t="shared" si="1"/>
        <v>-140</v>
      </c>
      <c r="V46" s="246"/>
      <c r="W46" s="245">
        <v>57</v>
      </c>
      <c r="X46" s="245">
        <v>0</v>
      </c>
      <c r="Y46" s="237">
        <f t="shared" si="0"/>
        <v>-83</v>
      </c>
      <c r="Z46" s="252">
        <v>45</v>
      </c>
      <c r="AA46" s="239">
        <v>50</v>
      </c>
      <c r="AB46" s="240">
        <v>61</v>
      </c>
    </row>
    <row r="47" spans="1:28" x14ac:dyDescent="0.25">
      <c r="A47" s="245" t="s">
        <v>345</v>
      </c>
      <c r="B47" s="246">
        <v>-140</v>
      </c>
      <c r="C47" s="246">
        <v>0</v>
      </c>
      <c r="D47" s="246">
        <v>0</v>
      </c>
      <c r="E47" s="246">
        <v>0</v>
      </c>
      <c r="F47" s="246"/>
      <c r="G47" s="246"/>
      <c r="H47" s="246"/>
      <c r="I47" s="246"/>
      <c r="J47" s="246"/>
      <c r="K47" s="246"/>
      <c r="L47" s="246">
        <v>0</v>
      </c>
      <c r="M47" s="246"/>
      <c r="N47" s="246"/>
      <c r="O47" s="246"/>
      <c r="P47" s="246">
        <v>0</v>
      </c>
      <c r="Q47" s="246"/>
      <c r="R47" s="246"/>
      <c r="S47" s="246">
        <v>0</v>
      </c>
      <c r="T47" s="246"/>
      <c r="U47" s="246">
        <f t="shared" si="1"/>
        <v>-140</v>
      </c>
      <c r="V47" s="246"/>
      <c r="W47" s="245">
        <v>57</v>
      </c>
      <c r="X47" s="245">
        <v>0</v>
      </c>
      <c r="Y47" s="237">
        <f t="shared" si="0"/>
        <v>-83</v>
      </c>
      <c r="Z47" s="252">
        <v>45</v>
      </c>
      <c r="AA47" s="239">
        <v>50</v>
      </c>
      <c r="AB47" s="240">
        <v>61</v>
      </c>
    </row>
    <row r="48" spans="1:28" x14ac:dyDescent="0.25">
      <c r="A48" s="245" t="s">
        <v>346</v>
      </c>
      <c r="B48" s="246">
        <v>-140</v>
      </c>
      <c r="C48" s="246">
        <v>0</v>
      </c>
      <c r="D48" s="246">
        <v>0</v>
      </c>
      <c r="E48" s="246">
        <v>0</v>
      </c>
      <c r="F48" s="246"/>
      <c r="G48" s="246"/>
      <c r="H48" s="246"/>
      <c r="I48" s="246"/>
      <c r="J48" s="246"/>
      <c r="K48" s="246"/>
      <c r="L48" s="246">
        <v>0</v>
      </c>
      <c r="M48" s="246"/>
      <c r="N48" s="246"/>
      <c r="O48" s="246"/>
      <c r="P48" s="246">
        <v>0</v>
      </c>
      <c r="Q48" s="246"/>
      <c r="R48" s="246"/>
      <c r="S48" s="246">
        <v>0</v>
      </c>
      <c r="T48" s="246"/>
      <c r="U48" s="246">
        <f t="shared" si="1"/>
        <v>-140</v>
      </c>
      <c r="V48" s="246"/>
      <c r="W48" s="245">
        <v>57</v>
      </c>
      <c r="X48" s="245">
        <v>0</v>
      </c>
      <c r="Y48" s="237">
        <f t="shared" si="0"/>
        <v>-83</v>
      </c>
      <c r="Z48" s="252">
        <v>45</v>
      </c>
      <c r="AA48" s="239">
        <v>50</v>
      </c>
      <c r="AB48" s="240">
        <v>61</v>
      </c>
    </row>
    <row r="49" spans="1:28" x14ac:dyDescent="0.25">
      <c r="A49" s="245" t="s">
        <v>347</v>
      </c>
      <c r="B49" s="246">
        <v>-140</v>
      </c>
      <c r="C49" s="246">
        <v>0</v>
      </c>
      <c r="D49" s="246">
        <v>0</v>
      </c>
      <c r="E49" s="246">
        <v>0</v>
      </c>
      <c r="F49" s="246"/>
      <c r="G49" s="246"/>
      <c r="H49" s="246"/>
      <c r="I49" s="246"/>
      <c r="J49" s="246"/>
      <c r="K49" s="246"/>
      <c r="L49" s="246">
        <v>0</v>
      </c>
      <c r="M49" s="246"/>
      <c r="N49" s="246"/>
      <c r="O49" s="246"/>
      <c r="P49" s="246">
        <v>0</v>
      </c>
      <c r="Q49" s="246"/>
      <c r="R49" s="246"/>
      <c r="S49" s="246">
        <v>0</v>
      </c>
      <c r="T49" s="246"/>
      <c r="U49" s="246">
        <f t="shared" si="1"/>
        <v>-140</v>
      </c>
      <c r="V49" s="246"/>
      <c r="W49" s="245">
        <v>57</v>
      </c>
      <c r="X49" s="245">
        <v>0</v>
      </c>
      <c r="Y49" s="237">
        <f t="shared" si="0"/>
        <v>-83</v>
      </c>
      <c r="Z49" s="252">
        <v>45</v>
      </c>
      <c r="AA49" s="239">
        <v>50</v>
      </c>
      <c r="AB49" s="240">
        <v>61</v>
      </c>
    </row>
    <row r="50" spans="1:28" x14ac:dyDescent="0.25">
      <c r="A50" s="245" t="s">
        <v>348</v>
      </c>
      <c r="B50" s="246">
        <v>-140</v>
      </c>
      <c r="C50" s="246">
        <v>0</v>
      </c>
      <c r="D50" s="246">
        <v>0</v>
      </c>
      <c r="E50" s="246">
        <v>0</v>
      </c>
      <c r="F50" s="246"/>
      <c r="G50" s="246"/>
      <c r="H50" s="246"/>
      <c r="I50" s="246"/>
      <c r="J50" s="246"/>
      <c r="K50" s="246"/>
      <c r="L50" s="246">
        <v>0</v>
      </c>
      <c r="M50" s="246"/>
      <c r="N50" s="246"/>
      <c r="O50" s="246"/>
      <c r="P50" s="246">
        <v>0</v>
      </c>
      <c r="Q50" s="246"/>
      <c r="R50" s="246"/>
      <c r="S50" s="246">
        <v>0</v>
      </c>
      <c r="T50" s="246"/>
      <c r="U50" s="246">
        <f t="shared" si="1"/>
        <v>-140</v>
      </c>
      <c r="V50" s="246"/>
      <c r="W50" s="245">
        <v>57</v>
      </c>
      <c r="X50" s="245">
        <v>0</v>
      </c>
      <c r="Y50" s="237">
        <f t="shared" si="0"/>
        <v>-83</v>
      </c>
      <c r="Z50" s="252">
        <v>45</v>
      </c>
      <c r="AA50" s="239">
        <v>50</v>
      </c>
      <c r="AB50" s="240">
        <v>61</v>
      </c>
    </row>
    <row r="51" spans="1:28" x14ac:dyDescent="0.25">
      <c r="A51" s="245" t="s">
        <v>349</v>
      </c>
      <c r="B51" s="246">
        <v>-140</v>
      </c>
      <c r="C51" s="246">
        <v>0</v>
      </c>
      <c r="D51" s="246">
        <v>0</v>
      </c>
      <c r="E51" s="246">
        <v>0</v>
      </c>
      <c r="F51" s="246"/>
      <c r="G51" s="246"/>
      <c r="H51" s="246"/>
      <c r="I51" s="246"/>
      <c r="J51" s="246"/>
      <c r="K51" s="246"/>
      <c r="L51" s="246">
        <v>0</v>
      </c>
      <c r="M51" s="246"/>
      <c r="N51" s="246"/>
      <c r="O51" s="246"/>
      <c r="P51" s="246">
        <v>0</v>
      </c>
      <c r="Q51" s="246"/>
      <c r="R51" s="246"/>
      <c r="S51" s="246">
        <v>0</v>
      </c>
      <c r="T51" s="246"/>
      <c r="U51" s="246">
        <f t="shared" si="1"/>
        <v>-140</v>
      </c>
      <c r="V51" s="246"/>
      <c r="W51" s="245">
        <v>57</v>
      </c>
      <c r="X51" s="245">
        <v>0</v>
      </c>
      <c r="Y51" s="237">
        <f t="shared" si="0"/>
        <v>-83</v>
      </c>
      <c r="Z51" s="252">
        <v>45</v>
      </c>
      <c r="AA51" s="239">
        <v>50</v>
      </c>
      <c r="AB51" s="240">
        <v>61</v>
      </c>
    </row>
    <row r="52" spans="1:28" x14ac:dyDescent="0.25">
      <c r="A52" s="245" t="s">
        <v>350</v>
      </c>
      <c r="B52" s="246">
        <v>-140</v>
      </c>
      <c r="C52" s="246">
        <v>0</v>
      </c>
      <c r="D52" s="246">
        <v>0</v>
      </c>
      <c r="E52" s="246">
        <v>0</v>
      </c>
      <c r="F52" s="246"/>
      <c r="G52" s="246"/>
      <c r="H52" s="246"/>
      <c r="I52" s="246"/>
      <c r="J52" s="246"/>
      <c r="K52" s="246"/>
      <c r="L52" s="246">
        <v>0</v>
      </c>
      <c r="M52" s="246"/>
      <c r="N52" s="246"/>
      <c r="O52" s="246"/>
      <c r="P52" s="246">
        <v>0</v>
      </c>
      <c r="Q52" s="246"/>
      <c r="R52" s="246"/>
      <c r="S52" s="246">
        <v>0</v>
      </c>
      <c r="T52" s="246"/>
      <c r="U52" s="246">
        <f t="shared" si="1"/>
        <v>-140</v>
      </c>
      <c r="V52" s="246"/>
      <c r="W52" s="245">
        <v>57</v>
      </c>
      <c r="X52" s="245">
        <v>0</v>
      </c>
      <c r="Y52" s="237">
        <f t="shared" si="0"/>
        <v>-83</v>
      </c>
      <c r="Z52" s="252">
        <v>45</v>
      </c>
      <c r="AA52" s="239">
        <v>50</v>
      </c>
      <c r="AB52" s="240">
        <v>61</v>
      </c>
    </row>
    <row r="53" spans="1:28" x14ac:dyDescent="0.25">
      <c r="A53" s="245" t="s">
        <v>351</v>
      </c>
      <c r="B53" s="246">
        <v>-140</v>
      </c>
      <c r="C53" s="246">
        <v>0</v>
      </c>
      <c r="D53" s="246">
        <v>0</v>
      </c>
      <c r="E53" s="246">
        <v>0</v>
      </c>
      <c r="F53" s="246"/>
      <c r="G53" s="246"/>
      <c r="H53" s="246"/>
      <c r="I53" s="246"/>
      <c r="J53" s="246"/>
      <c r="K53" s="246"/>
      <c r="L53" s="246">
        <v>0</v>
      </c>
      <c r="M53" s="246"/>
      <c r="N53" s="246"/>
      <c r="O53" s="246"/>
      <c r="P53" s="246">
        <v>0</v>
      </c>
      <c r="Q53" s="246"/>
      <c r="R53" s="246"/>
      <c r="S53" s="246">
        <v>0</v>
      </c>
      <c r="T53" s="246"/>
      <c r="U53" s="246">
        <f t="shared" si="1"/>
        <v>-140</v>
      </c>
      <c r="V53" s="246">
        <v>60</v>
      </c>
      <c r="W53" s="245">
        <v>57</v>
      </c>
      <c r="X53" s="245">
        <v>0</v>
      </c>
      <c r="Y53" s="237">
        <f t="shared" si="0"/>
        <v>-23</v>
      </c>
      <c r="Z53" s="252">
        <v>45</v>
      </c>
      <c r="AA53" s="239">
        <v>50</v>
      </c>
      <c r="AB53" s="240">
        <v>61</v>
      </c>
    </row>
    <row r="54" spans="1:28" x14ac:dyDescent="0.25">
      <c r="A54" s="245" t="s">
        <v>352</v>
      </c>
      <c r="B54" s="246">
        <v>-140</v>
      </c>
      <c r="C54" s="246">
        <v>0</v>
      </c>
      <c r="D54" s="246">
        <v>0</v>
      </c>
      <c r="E54" s="246">
        <v>0</v>
      </c>
      <c r="F54" s="246"/>
      <c r="G54" s="246"/>
      <c r="H54" s="246"/>
      <c r="I54" s="246"/>
      <c r="J54" s="246"/>
      <c r="K54" s="246"/>
      <c r="L54" s="246">
        <v>0</v>
      </c>
      <c r="M54" s="246"/>
      <c r="N54" s="246"/>
      <c r="O54" s="246"/>
      <c r="P54" s="246">
        <v>0</v>
      </c>
      <c r="Q54" s="246"/>
      <c r="R54" s="246"/>
      <c r="S54" s="246">
        <v>0</v>
      </c>
      <c r="T54" s="246"/>
      <c r="U54" s="246">
        <f t="shared" si="1"/>
        <v>-140</v>
      </c>
      <c r="V54" s="246">
        <v>60</v>
      </c>
      <c r="W54" s="245">
        <v>57</v>
      </c>
      <c r="X54" s="245">
        <v>0</v>
      </c>
      <c r="Y54" s="237">
        <f t="shared" si="0"/>
        <v>-23</v>
      </c>
      <c r="Z54" s="252">
        <v>45</v>
      </c>
      <c r="AA54" s="239">
        <v>50</v>
      </c>
      <c r="AB54" s="240">
        <v>61</v>
      </c>
    </row>
    <row r="55" spans="1:28" x14ac:dyDescent="0.25">
      <c r="A55" s="245" t="s">
        <v>353</v>
      </c>
      <c r="B55" s="246">
        <v>-140</v>
      </c>
      <c r="C55" s="246">
        <v>0</v>
      </c>
      <c r="D55" s="246">
        <v>0</v>
      </c>
      <c r="E55" s="246">
        <v>0</v>
      </c>
      <c r="F55" s="246"/>
      <c r="G55" s="246"/>
      <c r="H55" s="246"/>
      <c r="I55" s="246"/>
      <c r="J55" s="246"/>
      <c r="K55" s="246"/>
      <c r="L55" s="246">
        <v>0</v>
      </c>
      <c r="M55" s="246"/>
      <c r="N55" s="246"/>
      <c r="O55" s="246"/>
      <c r="P55" s="246">
        <v>0</v>
      </c>
      <c r="Q55" s="246"/>
      <c r="R55" s="246"/>
      <c r="S55" s="246">
        <v>0</v>
      </c>
      <c r="T55" s="246"/>
      <c r="U55" s="246">
        <f t="shared" si="1"/>
        <v>-140</v>
      </c>
      <c r="V55" s="246">
        <v>60</v>
      </c>
      <c r="W55" s="245">
        <v>57</v>
      </c>
      <c r="X55" s="245">
        <v>0</v>
      </c>
      <c r="Y55" s="237">
        <f t="shared" si="0"/>
        <v>-23</v>
      </c>
      <c r="Z55" s="252">
        <v>45</v>
      </c>
      <c r="AA55" s="239">
        <v>50</v>
      </c>
      <c r="AB55" s="240">
        <v>61</v>
      </c>
    </row>
    <row r="56" spans="1:28" x14ac:dyDescent="0.25">
      <c r="A56" s="245" t="s">
        <v>354</v>
      </c>
      <c r="B56" s="246">
        <v>-140</v>
      </c>
      <c r="C56" s="246">
        <v>0</v>
      </c>
      <c r="D56" s="246">
        <v>0</v>
      </c>
      <c r="E56" s="246">
        <v>0</v>
      </c>
      <c r="F56" s="246"/>
      <c r="G56" s="246"/>
      <c r="H56" s="246"/>
      <c r="I56" s="246"/>
      <c r="J56" s="246"/>
      <c r="K56" s="246"/>
      <c r="L56" s="246">
        <v>0</v>
      </c>
      <c r="M56" s="246"/>
      <c r="N56" s="246"/>
      <c r="O56" s="246"/>
      <c r="P56" s="246">
        <v>0</v>
      </c>
      <c r="Q56" s="246"/>
      <c r="R56" s="246"/>
      <c r="S56" s="246">
        <v>0</v>
      </c>
      <c r="T56" s="246"/>
      <c r="U56" s="246">
        <f t="shared" si="1"/>
        <v>-140</v>
      </c>
      <c r="V56" s="246">
        <v>60</v>
      </c>
      <c r="W56" s="245">
        <v>57</v>
      </c>
      <c r="X56" s="245">
        <v>0</v>
      </c>
      <c r="Y56" s="237">
        <f t="shared" si="0"/>
        <v>-23</v>
      </c>
      <c r="Z56" s="252">
        <v>45</v>
      </c>
      <c r="AA56" s="239">
        <v>50</v>
      </c>
      <c r="AB56" s="240">
        <v>61</v>
      </c>
    </row>
    <row r="57" spans="1:28" x14ac:dyDescent="0.25">
      <c r="A57" s="245" t="s">
        <v>355</v>
      </c>
      <c r="B57" s="246">
        <v>-140</v>
      </c>
      <c r="C57" s="246">
        <v>0</v>
      </c>
      <c r="D57" s="246">
        <v>0</v>
      </c>
      <c r="E57" s="246">
        <v>0</v>
      </c>
      <c r="F57" s="246"/>
      <c r="G57" s="246"/>
      <c r="H57" s="246"/>
      <c r="I57" s="246"/>
      <c r="J57" s="246"/>
      <c r="K57" s="246"/>
      <c r="L57" s="246">
        <v>0</v>
      </c>
      <c r="M57" s="246"/>
      <c r="N57" s="246"/>
      <c r="O57" s="246"/>
      <c r="P57" s="246">
        <v>0</v>
      </c>
      <c r="Q57" s="246"/>
      <c r="R57" s="246"/>
      <c r="S57" s="246">
        <v>0</v>
      </c>
      <c r="T57" s="246"/>
      <c r="U57" s="246">
        <f t="shared" si="1"/>
        <v>-140</v>
      </c>
      <c r="V57" s="246">
        <v>60</v>
      </c>
      <c r="W57" s="245">
        <v>57</v>
      </c>
      <c r="X57" s="245">
        <v>0</v>
      </c>
      <c r="Y57" s="237">
        <f t="shared" si="0"/>
        <v>-23</v>
      </c>
      <c r="Z57" s="252">
        <v>45</v>
      </c>
      <c r="AA57" s="239">
        <v>50</v>
      </c>
      <c r="AB57" s="240">
        <v>61</v>
      </c>
    </row>
    <row r="58" spans="1:28" x14ac:dyDescent="0.25">
      <c r="A58" s="245" t="s">
        <v>356</v>
      </c>
      <c r="B58" s="246">
        <v>-140</v>
      </c>
      <c r="C58" s="246">
        <v>0</v>
      </c>
      <c r="D58" s="246">
        <v>0</v>
      </c>
      <c r="E58" s="246">
        <v>0</v>
      </c>
      <c r="F58" s="246"/>
      <c r="G58" s="246"/>
      <c r="H58" s="246"/>
      <c r="I58" s="246"/>
      <c r="J58" s="246"/>
      <c r="K58" s="246"/>
      <c r="L58" s="246">
        <v>0</v>
      </c>
      <c r="M58" s="246"/>
      <c r="N58" s="246"/>
      <c r="O58" s="246"/>
      <c r="P58" s="246">
        <v>0</v>
      </c>
      <c r="Q58" s="246"/>
      <c r="R58" s="246"/>
      <c r="S58" s="246">
        <v>0</v>
      </c>
      <c r="T58" s="246"/>
      <c r="U58" s="246">
        <f t="shared" si="1"/>
        <v>-140</v>
      </c>
      <c r="V58" s="246">
        <v>60</v>
      </c>
      <c r="W58" s="245">
        <v>57</v>
      </c>
      <c r="X58" s="245">
        <v>0</v>
      </c>
      <c r="Y58" s="237">
        <f t="shared" si="0"/>
        <v>-23</v>
      </c>
      <c r="Z58" s="252">
        <v>45</v>
      </c>
      <c r="AA58" s="239">
        <v>50</v>
      </c>
      <c r="AB58" s="240">
        <v>61</v>
      </c>
    </row>
    <row r="59" spans="1:28" s="251" customFormat="1" x14ac:dyDescent="0.25">
      <c r="A59" s="248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5">
        <v>57</v>
      </c>
      <c r="X59" s="248">
        <v>0</v>
      </c>
      <c r="Y59" s="242">
        <f t="shared" si="0"/>
        <v>-83</v>
      </c>
      <c r="Z59" s="253">
        <v>45</v>
      </c>
      <c r="AA59" s="242">
        <v>50</v>
      </c>
      <c r="AB59" s="240">
        <v>61</v>
      </c>
    </row>
    <row r="60" spans="1:28" x14ac:dyDescent="0.25">
      <c r="A60" s="245" t="s">
        <v>358</v>
      </c>
      <c r="B60" s="246">
        <v>-140</v>
      </c>
      <c r="C60" s="246">
        <v>0</v>
      </c>
      <c r="D60" s="246">
        <v>0</v>
      </c>
      <c r="E60" s="246">
        <v>0</v>
      </c>
      <c r="F60" s="246"/>
      <c r="G60" s="246"/>
      <c r="H60" s="246"/>
      <c r="I60" s="246"/>
      <c r="J60" s="246"/>
      <c r="K60" s="246"/>
      <c r="L60" s="246">
        <v>0</v>
      </c>
      <c r="M60" s="246"/>
      <c r="N60" s="246"/>
      <c r="O60" s="246"/>
      <c r="P60" s="246">
        <v>0</v>
      </c>
      <c r="Q60" s="246"/>
      <c r="R60" s="246"/>
      <c r="S60" s="246">
        <v>0</v>
      </c>
      <c r="T60" s="246"/>
      <c r="U60" s="246">
        <f t="shared" si="1"/>
        <v>-140</v>
      </c>
      <c r="V60" s="246"/>
      <c r="W60" s="245">
        <v>57</v>
      </c>
      <c r="X60" s="245">
        <v>0</v>
      </c>
      <c r="Y60" s="237">
        <f t="shared" si="0"/>
        <v>-83</v>
      </c>
      <c r="Z60" s="252">
        <v>35</v>
      </c>
      <c r="AA60" s="239">
        <v>50</v>
      </c>
      <c r="AB60" s="240">
        <v>61</v>
      </c>
    </row>
    <row r="61" spans="1:28" x14ac:dyDescent="0.25">
      <c r="A61" s="245" t="s">
        <v>359</v>
      </c>
      <c r="B61" s="246">
        <v>-140</v>
      </c>
      <c r="C61" s="246">
        <v>0</v>
      </c>
      <c r="D61" s="246">
        <v>0</v>
      </c>
      <c r="E61" s="246">
        <v>0</v>
      </c>
      <c r="F61" s="246"/>
      <c r="G61" s="246"/>
      <c r="H61" s="246"/>
      <c r="I61" s="246"/>
      <c r="J61" s="246"/>
      <c r="K61" s="246"/>
      <c r="L61" s="246">
        <v>0</v>
      </c>
      <c r="M61" s="246"/>
      <c r="N61" s="246"/>
      <c r="O61" s="246"/>
      <c r="P61" s="246">
        <v>0</v>
      </c>
      <c r="Q61" s="246"/>
      <c r="R61" s="246"/>
      <c r="S61" s="246">
        <v>0</v>
      </c>
      <c r="T61" s="246"/>
      <c r="U61" s="246">
        <f t="shared" si="1"/>
        <v>-140</v>
      </c>
      <c r="V61" s="246"/>
      <c r="W61" s="245">
        <v>57</v>
      </c>
      <c r="X61" s="245">
        <v>0</v>
      </c>
      <c r="Y61" s="237">
        <f t="shared" si="0"/>
        <v>-83</v>
      </c>
      <c r="Z61" s="252">
        <v>35</v>
      </c>
      <c r="AA61" s="239">
        <v>50</v>
      </c>
      <c r="AB61" s="240">
        <v>61</v>
      </c>
    </row>
    <row r="62" spans="1:28" x14ac:dyDescent="0.25">
      <c r="A62" s="245" t="s">
        <v>360</v>
      </c>
      <c r="B62" s="246">
        <v>-140</v>
      </c>
      <c r="C62" s="246">
        <v>0</v>
      </c>
      <c r="D62" s="246">
        <v>0</v>
      </c>
      <c r="E62" s="246">
        <v>0</v>
      </c>
      <c r="F62" s="246"/>
      <c r="G62" s="246"/>
      <c r="H62" s="246"/>
      <c r="I62" s="246"/>
      <c r="J62" s="246"/>
      <c r="K62" s="246"/>
      <c r="L62" s="246">
        <v>0</v>
      </c>
      <c r="M62" s="246"/>
      <c r="N62" s="246"/>
      <c r="O62" s="246"/>
      <c r="P62" s="246">
        <v>0</v>
      </c>
      <c r="Q62" s="246"/>
      <c r="R62" s="246"/>
      <c r="S62" s="246">
        <v>0</v>
      </c>
      <c r="T62" s="246"/>
      <c r="U62" s="246">
        <f t="shared" si="1"/>
        <v>-140</v>
      </c>
      <c r="V62" s="246"/>
      <c r="W62" s="245">
        <v>57</v>
      </c>
      <c r="X62" s="245">
        <v>0</v>
      </c>
      <c r="Y62" s="237">
        <f t="shared" si="0"/>
        <v>-83</v>
      </c>
      <c r="Z62" s="252">
        <v>35</v>
      </c>
      <c r="AA62" s="239">
        <v>50</v>
      </c>
      <c r="AB62" s="240">
        <v>61</v>
      </c>
    </row>
    <row r="63" spans="1:28" x14ac:dyDescent="0.25">
      <c r="A63" s="245" t="s">
        <v>361</v>
      </c>
      <c r="B63" s="246">
        <v>-140</v>
      </c>
      <c r="C63" s="246">
        <v>0</v>
      </c>
      <c r="D63" s="246">
        <v>0</v>
      </c>
      <c r="E63" s="246">
        <v>0</v>
      </c>
      <c r="F63" s="246"/>
      <c r="G63" s="246"/>
      <c r="H63" s="246"/>
      <c r="I63" s="246"/>
      <c r="J63" s="246"/>
      <c r="K63" s="246"/>
      <c r="L63" s="246">
        <v>0</v>
      </c>
      <c r="M63" s="246"/>
      <c r="N63" s="246"/>
      <c r="O63" s="246"/>
      <c r="P63" s="246">
        <v>0</v>
      </c>
      <c r="Q63" s="246"/>
      <c r="R63" s="246"/>
      <c r="S63" s="246">
        <v>0</v>
      </c>
      <c r="T63" s="246"/>
      <c r="U63" s="246">
        <f t="shared" si="1"/>
        <v>-140</v>
      </c>
      <c r="V63" s="246"/>
      <c r="W63" s="245">
        <v>57</v>
      </c>
      <c r="X63" s="245">
        <v>0</v>
      </c>
      <c r="Y63" s="237">
        <f t="shared" si="0"/>
        <v>-83</v>
      </c>
      <c r="Z63" s="252">
        <v>35</v>
      </c>
      <c r="AA63" s="239">
        <v>50</v>
      </c>
      <c r="AB63" s="240">
        <v>61</v>
      </c>
    </row>
    <row r="64" spans="1:28" x14ac:dyDescent="0.25">
      <c r="A64" s="245" t="s">
        <v>362</v>
      </c>
      <c r="B64" s="246">
        <v>-140</v>
      </c>
      <c r="C64" s="246">
        <v>0</v>
      </c>
      <c r="D64" s="246">
        <v>0</v>
      </c>
      <c r="E64" s="246">
        <v>0</v>
      </c>
      <c r="F64" s="246"/>
      <c r="G64" s="246"/>
      <c r="H64" s="246"/>
      <c r="I64" s="246"/>
      <c r="J64" s="246"/>
      <c r="K64" s="246"/>
      <c r="L64" s="246">
        <v>0</v>
      </c>
      <c r="M64" s="246"/>
      <c r="N64" s="246"/>
      <c r="O64" s="246"/>
      <c r="P64" s="246">
        <v>0</v>
      </c>
      <c r="Q64" s="246"/>
      <c r="R64" s="246"/>
      <c r="S64" s="246">
        <v>0</v>
      </c>
      <c r="T64" s="246"/>
      <c r="U64" s="246">
        <f t="shared" si="1"/>
        <v>-140</v>
      </c>
      <c r="V64" s="246"/>
      <c r="W64" s="245">
        <v>57</v>
      </c>
      <c r="X64" s="245">
        <v>0</v>
      </c>
      <c r="Y64" s="237">
        <f t="shared" si="0"/>
        <v>-83</v>
      </c>
      <c r="Z64" s="252">
        <v>35</v>
      </c>
      <c r="AA64" s="239">
        <v>50</v>
      </c>
      <c r="AB64" s="240">
        <v>61</v>
      </c>
    </row>
    <row r="65" spans="1:28" x14ac:dyDescent="0.25">
      <c r="A65" s="245" t="s">
        <v>363</v>
      </c>
      <c r="B65" s="246">
        <v>-140</v>
      </c>
      <c r="C65" s="246">
        <v>0</v>
      </c>
      <c r="D65" s="246">
        <v>0</v>
      </c>
      <c r="E65" s="246">
        <v>0</v>
      </c>
      <c r="F65" s="246"/>
      <c r="G65" s="246"/>
      <c r="H65" s="246"/>
      <c r="I65" s="246"/>
      <c r="J65" s="246"/>
      <c r="K65" s="246"/>
      <c r="L65" s="246">
        <v>0</v>
      </c>
      <c r="M65" s="246"/>
      <c r="N65" s="246"/>
      <c r="O65" s="246"/>
      <c r="P65" s="246">
        <v>0</v>
      </c>
      <c r="Q65" s="246"/>
      <c r="R65" s="246"/>
      <c r="S65" s="246">
        <v>0</v>
      </c>
      <c r="T65" s="246"/>
      <c r="U65" s="246">
        <f t="shared" si="1"/>
        <v>-140</v>
      </c>
      <c r="V65" s="246"/>
      <c r="W65" s="245">
        <v>57</v>
      </c>
      <c r="X65" s="245">
        <v>0</v>
      </c>
      <c r="Y65" s="237">
        <f t="shared" si="0"/>
        <v>-83</v>
      </c>
      <c r="Z65" s="252">
        <v>35</v>
      </c>
      <c r="AA65" s="239">
        <v>50</v>
      </c>
      <c r="AB65" s="240">
        <v>61</v>
      </c>
    </row>
    <row r="66" spans="1:28" x14ac:dyDescent="0.25">
      <c r="A66" s="245" t="s">
        <v>364</v>
      </c>
      <c r="B66" s="246">
        <v>-140</v>
      </c>
      <c r="C66" s="246">
        <v>0</v>
      </c>
      <c r="D66" s="246">
        <v>0</v>
      </c>
      <c r="E66" s="246">
        <v>0</v>
      </c>
      <c r="F66" s="246"/>
      <c r="G66" s="246"/>
      <c r="H66" s="246"/>
      <c r="I66" s="246"/>
      <c r="J66" s="246"/>
      <c r="K66" s="246"/>
      <c r="L66" s="246">
        <v>0</v>
      </c>
      <c r="M66" s="246"/>
      <c r="N66" s="246"/>
      <c r="O66" s="246"/>
      <c r="P66" s="246">
        <v>0</v>
      </c>
      <c r="Q66" s="246"/>
      <c r="R66" s="246"/>
      <c r="S66" s="246">
        <v>0</v>
      </c>
      <c r="T66" s="246"/>
      <c r="U66" s="246">
        <f t="shared" si="1"/>
        <v>-140</v>
      </c>
      <c r="V66" s="246"/>
      <c r="W66" s="245">
        <v>57</v>
      </c>
      <c r="X66" s="245">
        <v>0</v>
      </c>
      <c r="Y66" s="237">
        <f t="shared" si="0"/>
        <v>-83</v>
      </c>
      <c r="Z66" s="252">
        <v>35</v>
      </c>
      <c r="AA66" s="239">
        <v>50</v>
      </c>
      <c r="AB66" s="240">
        <v>61</v>
      </c>
    </row>
    <row r="67" spans="1:28" x14ac:dyDescent="0.25">
      <c r="A67" s="245" t="s">
        <v>365</v>
      </c>
      <c r="B67" s="246">
        <v>-140</v>
      </c>
      <c r="C67" s="246">
        <v>0</v>
      </c>
      <c r="D67" s="246">
        <v>0</v>
      </c>
      <c r="E67" s="246">
        <v>0</v>
      </c>
      <c r="F67" s="246"/>
      <c r="G67" s="246"/>
      <c r="H67" s="246"/>
      <c r="I67" s="246"/>
      <c r="J67" s="246"/>
      <c r="K67" s="246"/>
      <c r="L67" s="246">
        <v>0</v>
      </c>
      <c r="M67" s="246"/>
      <c r="N67" s="246"/>
      <c r="O67" s="246"/>
      <c r="P67" s="246">
        <v>0</v>
      </c>
      <c r="Q67" s="246"/>
      <c r="R67" s="246"/>
      <c r="S67" s="246">
        <v>0</v>
      </c>
      <c r="T67" s="246"/>
      <c r="U67" s="246">
        <f t="shared" si="1"/>
        <v>-140</v>
      </c>
      <c r="V67" s="246"/>
      <c r="W67" s="245">
        <v>57</v>
      </c>
      <c r="X67" s="245">
        <v>0</v>
      </c>
      <c r="Y67" s="237">
        <f t="shared" si="0"/>
        <v>-83</v>
      </c>
      <c r="Z67" s="252">
        <v>35</v>
      </c>
      <c r="AA67" s="239">
        <v>50</v>
      </c>
      <c r="AB67" s="240">
        <v>61</v>
      </c>
    </row>
    <row r="68" spans="1:28" x14ac:dyDescent="0.25">
      <c r="A68" s="245" t="s">
        <v>366</v>
      </c>
      <c r="B68" s="246">
        <v>-140</v>
      </c>
      <c r="C68" s="246">
        <v>0</v>
      </c>
      <c r="D68" s="246">
        <v>0</v>
      </c>
      <c r="E68" s="246">
        <v>0</v>
      </c>
      <c r="F68" s="246"/>
      <c r="G68" s="246"/>
      <c r="H68" s="246"/>
      <c r="I68" s="246"/>
      <c r="J68" s="246"/>
      <c r="K68" s="246"/>
      <c r="L68" s="246">
        <v>0</v>
      </c>
      <c r="M68" s="246"/>
      <c r="N68" s="246"/>
      <c r="O68" s="246"/>
      <c r="P68" s="246">
        <v>0</v>
      </c>
      <c r="Q68" s="246"/>
      <c r="R68" s="246"/>
      <c r="S68" s="246">
        <v>0</v>
      </c>
      <c r="T68" s="246"/>
      <c r="U68" s="246">
        <f t="shared" si="1"/>
        <v>-140</v>
      </c>
      <c r="V68" s="246"/>
      <c r="W68" s="245">
        <v>57</v>
      </c>
      <c r="X68" s="245">
        <v>0</v>
      </c>
      <c r="Y68" s="237">
        <f t="shared" ref="Y68:Y98" si="2">SUM(U68:X68)</f>
        <v>-83</v>
      </c>
      <c r="Z68" s="252">
        <v>35</v>
      </c>
      <c r="AA68" s="239">
        <v>50</v>
      </c>
      <c r="AB68" s="240">
        <v>61</v>
      </c>
    </row>
    <row r="69" spans="1:28" x14ac:dyDescent="0.25">
      <c r="A69" s="245" t="s">
        <v>367</v>
      </c>
      <c r="B69" s="246">
        <v>-140</v>
      </c>
      <c r="C69" s="246">
        <v>0</v>
      </c>
      <c r="D69" s="246">
        <v>0</v>
      </c>
      <c r="E69" s="246">
        <v>0</v>
      </c>
      <c r="F69" s="246"/>
      <c r="G69" s="246"/>
      <c r="H69" s="246"/>
      <c r="I69" s="246"/>
      <c r="J69" s="246"/>
      <c r="K69" s="246"/>
      <c r="L69" s="246">
        <v>0</v>
      </c>
      <c r="M69" s="246"/>
      <c r="N69" s="246"/>
      <c r="O69" s="246"/>
      <c r="P69" s="246">
        <v>0</v>
      </c>
      <c r="Q69" s="246"/>
      <c r="R69" s="246"/>
      <c r="S69" s="246">
        <v>0</v>
      </c>
      <c r="T69" s="246"/>
      <c r="U69" s="246">
        <f t="shared" si="1"/>
        <v>-140</v>
      </c>
      <c r="V69" s="246"/>
      <c r="W69" s="245">
        <v>57</v>
      </c>
      <c r="X69" s="245">
        <v>0</v>
      </c>
      <c r="Y69" s="237">
        <f t="shared" si="2"/>
        <v>-83</v>
      </c>
      <c r="Z69" s="252">
        <v>35</v>
      </c>
      <c r="AA69" s="239">
        <v>50</v>
      </c>
      <c r="AB69" s="240">
        <v>61</v>
      </c>
    </row>
    <row r="70" spans="1:28" s="251" customFormat="1" x14ac:dyDescent="0.25">
      <c r="A70" s="248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5">
        <v>57</v>
      </c>
      <c r="X70" s="248">
        <v>0</v>
      </c>
      <c r="Y70" s="242">
        <f t="shared" si="2"/>
        <v>-83</v>
      </c>
      <c r="Z70" s="253">
        <v>35</v>
      </c>
      <c r="AA70" s="242">
        <v>50</v>
      </c>
      <c r="AB70" s="240">
        <v>61</v>
      </c>
    </row>
    <row r="71" spans="1:28" x14ac:dyDescent="0.25">
      <c r="A71" s="245" t="s">
        <v>369</v>
      </c>
      <c r="B71" s="246">
        <v>-140</v>
      </c>
      <c r="C71" s="246">
        <v>0</v>
      </c>
      <c r="D71" s="246">
        <v>0</v>
      </c>
      <c r="E71" s="246">
        <v>0</v>
      </c>
      <c r="F71" s="246"/>
      <c r="G71" s="246"/>
      <c r="H71" s="246"/>
      <c r="I71" s="246"/>
      <c r="J71" s="246"/>
      <c r="K71" s="246"/>
      <c r="L71" s="246">
        <v>0</v>
      </c>
      <c r="M71" s="246"/>
      <c r="N71" s="246"/>
      <c r="O71" s="246"/>
      <c r="P71" s="246">
        <v>0</v>
      </c>
      <c r="Q71" s="246"/>
      <c r="R71" s="246"/>
      <c r="S71" s="246">
        <v>0</v>
      </c>
      <c r="T71" s="246"/>
      <c r="U71" s="246">
        <f t="shared" si="1"/>
        <v>-140</v>
      </c>
      <c r="V71" s="246"/>
      <c r="W71" s="245">
        <v>57</v>
      </c>
      <c r="X71" s="245">
        <v>0</v>
      </c>
      <c r="Y71" s="237">
        <f t="shared" si="2"/>
        <v>-83</v>
      </c>
      <c r="Z71" s="252">
        <v>35</v>
      </c>
      <c r="AA71" s="239">
        <v>50</v>
      </c>
      <c r="AB71" s="240">
        <v>61</v>
      </c>
    </row>
    <row r="72" spans="1:28" x14ac:dyDescent="0.25">
      <c r="A72" s="245" t="s">
        <v>370</v>
      </c>
      <c r="B72" s="246">
        <v>-140</v>
      </c>
      <c r="C72" s="246">
        <v>0</v>
      </c>
      <c r="D72" s="246">
        <v>0</v>
      </c>
      <c r="E72" s="246">
        <v>0</v>
      </c>
      <c r="F72" s="246"/>
      <c r="G72" s="246"/>
      <c r="H72" s="246"/>
      <c r="I72" s="246"/>
      <c r="J72" s="246"/>
      <c r="K72" s="246"/>
      <c r="L72" s="246">
        <v>0</v>
      </c>
      <c r="M72" s="246"/>
      <c r="N72" s="246"/>
      <c r="O72" s="246"/>
      <c r="P72" s="246">
        <v>0</v>
      </c>
      <c r="Q72" s="246"/>
      <c r="R72" s="246"/>
      <c r="S72" s="246">
        <v>0</v>
      </c>
      <c r="T72" s="246"/>
      <c r="U72" s="246">
        <f t="shared" si="1"/>
        <v>-140</v>
      </c>
      <c r="V72" s="246"/>
      <c r="W72" s="245">
        <v>57</v>
      </c>
      <c r="X72" s="245">
        <v>0</v>
      </c>
      <c r="Y72" s="237">
        <f t="shared" si="2"/>
        <v>-83</v>
      </c>
      <c r="Z72" s="252">
        <v>35</v>
      </c>
      <c r="AA72" s="239">
        <v>50</v>
      </c>
      <c r="AB72" s="240">
        <v>61</v>
      </c>
    </row>
    <row r="73" spans="1:28" x14ac:dyDescent="0.25">
      <c r="A73" s="245" t="s">
        <v>371</v>
      </c>
      <c r="B73" s="246">
        <v>-140</v>
      </c>
      <c r="C73" s="246">
        <v>0</v>
      </c>
      <c r="D73" s="246">
        <v>-67</v>
      </c>
      <c r="E73" s="246">
        <v>0</v>
      </c>
      <c r="F73" s="246"/>
      <c r="G73" s="246"/>
      <c r="H73" s="246"/>
      <c r="I73" s="246"/>
      <c r="J73" s="246"/>
      <c r="K73" s="246"/>
      <c r="L73" s="246">
        <v>0</v>
      </c>
      <c r="M73" s="246"/>
      <c r="N73" s="246"/>
      <c r="O73" s="246"/>
      <c r="P73" s="246">
        <v>0</v>
      </c>
      <c r="Q73" s="246"/>
      <c r="R73" s="246"/>
      <c r="S73" s="246">
        <v>0</v>
      </c>
      <c r="T73" s="246"/>
      <c r="U73" s="246">
        <f t="shared" si="1"/>
        <v>-207</v>
      </c>
      <c r="V73" s="246"/>
      <c r="W73" s="245">
        <v>57</v>
      </c>
      <c r="X73" s="245">
        <v>0</v>
      </c>
      <c r="Y73" s="237">
        <f t="shared" si="2"/>
        <v>-150</v>
      </c>
      <c r="Z73" s="252">
        <v>35</v>
      </c>
      <c r="AA73" s="239">
        <v>50</v>
      </c>
      <c r="AB73" s="240">
        <v>61</v>
      </c>
    </row>
    <row r="74" spans="1:28" x14ac:dyDescent="0.25">
      <c r="A74" s="245" t="s">
        <v>372</v>
      </c>
      <c r="B74" s="246">
        <v>-140</v>
      </c>
      <c r="C74" s="246">
        <v>0</v>
      </c>
      <c r="D74" s="246">
        <v>-67</v>
      </c>
      <c r="E74" s="246">
        <v>0</v>
      </c>
      <c r="F74" s="246"/>
      <c r="G74" s="246"/>
      <c r="H74" s="246"/>
      <c r="I74" s="246"/>
      <c r="J74" s="246"/>
      <c r="K74" s="246"/>
      <c r="L74" s="246">
        <v>0</v>
      </c>
      <c r="M74" s="246"/>
      <c r="N74" s="246"/>
      <c r="O74" s="246"/>
      <c r="P74" s="246">
        <v>0</v>
      </c>
      <c r="Q74" s="246"/>
      <c r="R74" s="246"/>
      <c r="S74" s="246">
        <v>0</v>
      </c>
      <c r="T74" s="246"/>
      <c r="U74" s="246">
        <f t="shared" si="1"/>
        <v>-207</v>
      </c>
      <c r="V74" s="246"/>
      <c r="W74" s="245">
        <v>57</v>
      </c>
      <c r="X74" s="245">
        <v>0</v>
      </c>
      <c r="Y74" s="237">
        <f t="shared" si="2"/>
        <v>-150</v>
      </c>
      <c r="Z74" s="252">
        <v>35</v>
      </c>
      <c r="AA74" s="239">
        <v>50</v>
      </c>
      <c r="AB74" s="240">
        <v>61</v>
      </c>
    </row>
    <row r="75" spans="1:28" x14ac:dyDescent="0.25">
      <c r="A75" s="245" t="s">
        <v>373</v>
      </c>
      <c r="B75" s="246">
        <v>-140</v>
      </c>
      <c r="C75" s="246">
        <v>0</v>
      </c>
      <c r="D75" s="246">
        <v>-67</v>
      </c>
      <c r="E75" s="246">
        <v>0</v>
      </c>
      <c r="F75" s="246"/>
      <c r="G75" s="246"/>
      <c r="H75" s="246"/>
      <c r="I75" s="246"/>
      <c r="J75" s="246"/>
      <c r="K75" s="246"/>
      <c r="L75" s="246">
        <v>0</v>
      </c>
      <c r="M75" s="246"/>
      <c r="N75" s="246"/>
      <c r="O75" s="246"/>
      <c r="P75" s="246">
        <v>0</v>
      </c>
      <c r="Q75" s="246"/>
      <c r="R75" s="246"/>
      <c r="S75" s="246">
        <v>0</v>
      </c>
      <c r="T75" s="246"/>
      <c r="U75" s="246">
        <f t="shared" si="1"/>
        <v>-207</v>
      </c>
      <c r="V75" s="246"/>
      <c r="W75" s="245">
        <v>57</v>
      </c>
      <c r="X75" s="245">
        <v>0</v>
      </c>
      <c r="Y75" s="237">
        <f t="shared" si="2"/>
        <v>-150</v>
      </c>
      <c r="Z75" s="252">
        <v>36</v>
      </c>
      <c r="AA75" s="239">
        <v>50</v>
      </c>
      <c r="AB75" s="240">
        <v>61</v>
      </c>
    </row>
    <row r="76" spans="1:28" x14ac:dyDescent="0.25">
      <c r="A76" s="245" t="s">
        <v>374</v>
      </c>
      <c r="B76" s="246">
        <v>-140</v>
      </c>
      <c r="C76" s="246">
        <v>-67</v>
      </c>
      <c r="D76" s="246">
        <v>-67</v>
      </c>
      <c r="E76" s="246">
        <v>0</v>
      </c>
      <c r="F76" s="246"/>
      <c r="G76" s="246"/>
      <c r="H76" s="246"/>
      <c r="I76" s="246"/>
      <c r="J76" s="246"/>
      <c r="K76" s="246"/>
      <c r="L76" s="246">
        <v>0</v>
      </c>
      <c r="M76" s="246"/>
      <c r="N76" s="246"/>
      <c r="O76" s="246"/>
      <c r="P76" s="246">
        <v>0</v>
      </c>
      <c r="Q76" s="246"/>
      <c r="R76" s="246"/>
      <c r="S76" s="246">
        <v>0</v>
      </c>
      <c r="T76" s="246"/>
      <c r="U76" s="246">
        <f t="shared" si="1"/>
        <v>-274</v>
      </c>
      <c r="V76" s="246"/>
      <c r="W76" s="245">
        <v>40.700000000000003</v>
      </c>
      <c r="X76" s="245">
        <v>0</v>
      </c>
      <c r="Y76" s="237">
        <f t="shared" si="2"/>
        <v>-233.3</v>
      </c>
      <c r="Z76" s="252">
        <v>37</v>
      </c>
      <c r="AA76" s="239">
        <v>50</v>
      </c>
      <c r="AB76" s="247">
        <v>43</v>
      </c>
    </row>
    <row r="77" spans="1:28" x14ac:dyDescent="0.25">
      <c r="A77" s="245" t="s">
        <v>375</v>
      </c>
      <c r="B77" s="246"/>
      <c r="C77" s="246">
        <v>-67</v>
      </c>
      <c r="D77" s="246">
        <v>-67</v>
      </c>
      <c r="E77" s="246">
        <v>0</v>
      </c>
      <c r="F77" s="246"/>
      <c r="G77" s="246"/>
      <c r="H77" s="246"/>
      <c r="I77" s="246"/>
      <c r="J77" s="246"/>
      <c r="K77" s="246"/>
      <c r="L77" s="246">
        <v>0</v>
      </c>
      <c r="M77" s="246"/>
      <c r="N77" s="246"/>
      <c r="O77" s="246"/>
      <c r="P77" s="246">
        <v>0</v>
      </c>
      <c r="Q77" s="246"/>
      <c r="R77" s="246"/>
      <c r="S77" s="246">
        <v>0</v>
      </c>
      <c r="T77" s="246"/>
      <c r="U77" s="246">
        <f t="shared" si="1"/>
        <v>-134</v>
      </c>
      <c r="V77" s="246"/>
      <c r="W77" s="245">
        <v>40.700000000000003</v>
      </c>
      <c r="X77" s="245">
        <v>-140</v>
      </c>
      <c r="Y77" s="237">
        <f t="shared" si="2"/>
        <v>-233.3</v>
      </c>
      <c r="Z77" s="252">
        <v>38</v>
      </c>
      <c r="AA77" s="239">
        <v>50</v>
      </c>
      <c r="AB77" s="247">
        <v>43</v>
      </c>
    </row>
    <row r="78" spans="1:28" x14ac:dyDescent="0.25">
      <c r="A78" s="245" t="s">
        <v>376</v>
      </c>
      <c r="B78" s="246"/>
      <c r="C78" s="246">
        <v>-67</v>
      </c>
      <c r="D78" s="246">
        <v>-67</v>
      </c>
      <c r="E78" s="246">
        <v>0</v>
      </c>
      <c r="F78" s="246"/>
      <c r="G78" s="246"/>
      <c r="H78" s="246"/>
      <c r="I78" s="246"/>
      <c r="J78" s="246"/>
      <c r="K78" s="246"/>
      <c r="L78" s="246">
        <v>0</v>
      </c>
      <c r="M78" s="246"/>
      <c r="N78" s="246"/>
      <c r="O78" s="246"/>
      <c r="P78" s="246">
        <v>0</v>
      </c>
      <c r="Q78" s="246"/>
      <c r="R78" s="246"/>
      <c r="S78" s="246">
        <v>0</v>
      </c>
      <c r="T78" s="246"/>
      <c r="U78" s="246">
        <f t="shared" si="1"/>
        <v>-134</v>
      </c>
      <c r="V78" s="246"/>
      <c r="W78" s="245">
        <v>40.700000000000003</v>
      </c>
      <c r="X78" s="245">
        <v>-140</v>
      </c>
      <c r="Y78" s="237">
        <f t="shared" si="2"/>
        <v>-233.3</v>
      </c>
      <c r="Z78" s="252">
        <v>40</v>
      </c>
      <c r="AA78" s="239">
        <v>50</v>
      </c>
      <c r="AB78" s="247">
        <v>43</v>
      </c>
    </row>
    <row r="79" spans="1:28" x14ac:dyDescent="0.25">
      <c r="A79" s="245" t="s">
        <v>377</v>
      </c>
      <c r="B79" s="246"/>
      <c r="C79" s="246">
        <v>-67</v>
      </c>
      <c r="D79" s="246">
        <v>-67</v>
      </c>
      <c r="E79" s="246">
        <v>0</v>
      </c>
      <c r="F79" s="246"/>
      <c r="G79" s="246"/>
      <c r="H79" s="246"/>
      <c r="I79" s="246"/>
      <c r="J79" s="246"/>
      <c r="K79" s="246"/>
      <c r="L79" s="246">
        <v>0</v>
      </c>
      <c r="M79" s="246"/>
      <c r="N79" s="246"/>
      <c r="O79" s="246"/>
      <c r="P79" s="246">
        <v>0</v>
      </c>
      <c r="Q79" s="246"/>
      <c r="R79" s="246"/>
      <c r="S79" s="246">
        <v>0</v>
      </c>
      <c r="T79" s="246"/>
      <c r="U79" s="246">
        <f t="shared" si="1"/>
        <v>-134</v>
      </c>
      <c r="V79" s="246"/>
      <c r="W79" s="245">
        <v>25</v>
      </c>
      <c r="X79" s="245">
        <v>-140</v>
      </c>
      <c r="Y79" s="237">
        <f t="shared" si="2"/>
        <v>-249</v>
      </c>
      <c r="Z79" s="252">
        <v>42</v>
      </c>
      <c r="AA79" s="239">
        <v>50</v>
      </c>
      <c r="AB79" s="247">
        <v>26</v>
      </c>
    </row>
    <row r="80" spans="1:28" x14ac:dyDescent="0.25">
      <c r="A80" s="245" t="s">
        <v>378</v>
      </c>
      <c r="B80" s="246"/>
      <c r="C80" s="246">
        <v>-67</v>
      </c>
      <c r="D80" s="246">
        <v>-67</v>
      </c>
      <c r="E80" s="246">
        <v>0</v>
      </c>
      <c r="F80" s="246"/>
      <c r="G80" s="246"/>
      <c r="H80" s="246"/>
      <c r="I80" s="246"/>
      <c r="J80" s="246"/>
      <c r="K80" s="246"/>
      <c r="L80" s="246">
        <v>0</v>
      </c>
      <c r="M80" s="246"/>
      <c r="N80" s="246"/>
      <c r="O80" s="246"/>
      <c r="P80" s="246">
        <v>0</v>
      </c>
      <c r="Q80" s="246"/>
      <c r="R80" s="246"/>
      <c r="S80" s="246">
        <v>0</v>
      </c>
      <c r="T80" s="246"/>
      <c r="U80" s="246">
        <f t="shared" si="1"/>
        <v>-134</v>
      </c>
      <c r="V80" s="246"/>
      <c r="W80" s="245">
        <v>25</v>
      </c>
      <c r="X80" s="245">
        <v>-140</v>
      </c>
      <c r="Y80" s="237">
        <f t="shared" si="2"/>
        <v>-249</v>
      </c>
      <c r="Z80" s="252">
        <v>43</v>
      </c>
      <c r="AA80" s="239">
        <v>50</v>
      </c>
      <c r="AB80" s="247">
        <v>26</v>
      </c>
    </row>
    <row r="81" spans="1:28" x14ac:dyDescent="0.25">
      <c r="A81" s="245" t="s">
        <v>379</v>
      </c>
      <c r="B81" s="246"/>
      <c r="C81" s="246">
        <v>-67</v>
      </c>
      <c r="D81" s="246">
        <v>-67</v>
      </c>
      <c r="E81" s="246">
        <v>0</v>
      </c>
      <c r="F81" s="246"/>
      <c r="G81" s="246"/>
      <c r="H81" s="246"/>
      <c r="I81" s="246"/>
      <c r="J81" s="246"/>
      <c r="K81" s="246"/>
      <c r="L81" s="246">
        <v>0</v>
      </c>
      <c r="M81" s="246"/>
      <c r="N81" s="246"/>
      <c r="O81" s="246"/>
      <c r="P81" s="246">
        <v>0</v>
      </c>
      <c r="Q81" s="246"/>
      <c r="R81" s="246"/>
      <c r="S81" s="246">
        <v>0</v>
      </c>
      <c r="T81" s="246"/>
      <c r="U81" s="246">
        <f t="shared" si="1"/>
        <v>-134</v>
      </c>
      <c r="V81" s="246"/>
      <c r="W81" s="245">
        <v>25</v>
      </c>
      <c r="X81" s="245">
        <v>-140</v>
      </c>
      <c r="Y81" s="237">
        <f t="shared" si="2"/>
        <v>-249</v>
      </c>
      <c r="Z81" s="252">
        <v>45</v>
      </c>
      <c r="AA81" s="239">
        <v>50</v>
      </c>
      <c r="AB81" s="247">
        <v>26</v>
      </c>
    </row>
    <row r="82" spans="1:28" x14ac:dyDescent="0.25">
      <c r="A82" s="245" t="s">
        <v>380</v>
      </c>
      <c r="B82" s="246"/>
      <c r="C82" s="246">
        <v>-67</v>
      </c>
      <c r="D82" s="246">
        <v>-67</v>
      </c>
      <c r="E82" s="246">
        <v>0</v>
      </c>
      <c r="F82" s="246"/>
      <c r="G82" s="246"/>
      <c r="H82" s="246"/>
      <c r="I82" s="246"/>
      <c r="J82" s="246"/>
      <c r="K82" s="246"/>
      <c r="L82" s="246">
        <v>0</v>
      </c>
      <c r="M82" s="246"/>
      <c r="N82" s="246"/>
      <c r="O82" s="246"/>
      <c r="P82" s="246">
        <v>0</v>
      </c>
      <c r="Q82" s="246"/>
      <c r="R82" s="246"/>
      <c r="S82" s="246">
        <v>0</v>
      </c>
      <c r="T82" s="246"/>
      <c r="U82" s="246">
        <f t="shared" si="1"/>
        <v>-134</v>
      </c>
      <c r="V82" s="246"/>
      <c r="W82" s="245">
        <v>25</v>
      </c>
      <c r="X82" s="245">
        <v>-140</v>
      </c>
      <c r="Y82" s="237">
        <f t="shared" si="2"/>
        <v>-249</v>
      </c>
      <c r="Z82" s="252">
        <v>45</v>
      </c>
      <c r="AA82" s="239">
        <v>50</v>
      </c>
      <c r="AB82" s="247">
        <v>26</v>
      </c>
    </row>
    <row r="83" spans="1:28" x14ac:dyDescent="0.25">
      <c r="A83" s="245" t="s">
        <v>381</v>
      </c>
      <c r="B83" s="246"/>
      <c r="C83" s="246">
        <v>-67</v>
      </c>
      <c r="D83" s="246">
        <v>-67</v>
      </c>
      <c r="E83" s="246">
        <v>0</v>
      </c>
      <c r="F83" s="246"/>
      <c r="G83" s="246"/>
      <c r="H83" s="246"/>
      <c r="I83" s="246"/>
      <c r="J83" s="246"/>
      <c r="K83" s="246"/>
      <c r="L83" s="246">
        <v>0</v>
      </c>
      <c r="M83" s="246"/>
      <c r="N83" s="246"/>
      <c r="O83" s="246"/>
      <c r="P83" s="246">
        <v>0</v>
      </c>
      <c r="Q83" s="246"/>
      <c r="R83" s="246"/>
      <c r="S83" s="246">
        <v>0</v>
      </c>
      <c r="T83" s="246"/>
      <c r="U83" s="246">
        <f t="shared" si="1"/>
        <v>-134</v>
      </c>
      <c r="V83" s="246"/>
      <c r="W83" s="245">
        <v>25</v>
      </c>
      <c r="X83" s="245">
        <v>-140</v>
      </c>
      <c r="Y83" s="237">
        <f t="shared" si="2"/>
        <v>-249</v>
      </c>
      <c r="Z83" s="252"/>
      <c r="AA83" s="239">
        <v>0</v>
      </c>
      <c r="AB83" s="247">
        <v>26</v>
      </c>
    </row>
    <row r="84" spans="1:28" x14ac:dyDescent="0.25">
      <c r="A84" s="245" t="s">
        <v>382</v>
      </c>
      <c r="B84" s="246"/>
      <c r="C84" s="246">
        <v>-67</v>
      </c>
      <c r="D84" s="246">
        <v>-67</v>
      </c>
      <c r="E84" s="246">
        <v>0</v>
      </c>
      <c r="F84" s="246"/>
      <c r="G84" s="246"/>
      <c r="H84" s="246"/>
      <c r="I84" s="246"/>
      <c r="J84" s="246"/>
      <c r="K84" s="246"/>
      <c r="L84" s="246">
        <v>0</v>
      </c>
      <c r="M84" s="246"/>
      <c r="N84" s="246"/>
      <c r="O84" s="246"/>
      <c r="P84" s="246">
        <v>0</v>
      </c>
      <c r="Q84" s="246"/>
      <c r="R84" s="246"/>
      <c r="S84" s="246">
        <v>0</v>
      </c>
      <c r="T84" s="246"/>
      <c r="U84" s="246">
        <f t="shared" si="1"/>
        <v>-134</v>
      </c>
      <c r="V84" s="246"/>
      <c r="W84" s="245">
        <v>25</v>
      </c>
      <c r="X84" s="245">
        <v>-140</v>
      </c>
      <c r="Y84" s="237">
        <f t="shared" si="2"/>
        <v>-249</v>
      </c>
      <c r="Z84" s="252"/>
      <c r="AA84" s="239">
        <v>0</v>
      </c>
      <c r="AB84" s="247">
        <v>26</v>
      </c>
    </row>
    <row r="85" spans="1:28" x14ac:dyDescent="0.25">
      <c r="A85" s="245" t="s">
        <v>383</v>
      </c>
      <c r="B85" s="246"/>
      <c r="C85" s="246">
        <v>-67</v>
      </c>
      <c r="D85" s="246">
        <v>-67</v>
      </c>
      <c r="E85" s="246">
        <v>0</v>
      </c>
      <c r="F85" s="246"/>
      <c r="G85" s="246"/>
      <c r="H85" s="246"/>
      <c r="I85" s="246"/>
      <c r="J85" s="246"/>
      <c r="K85" s="246"/>
      <c r="L85" s="246">
        <v>0</v>
      </c>
      <c r="M85" s="246"/>
      <c r="N85" s="246"/>
      <c r="O85" s="246"/>
      <c r="P85" s="246">
        <v>0</v>
      </c>
      <c r="Q85" s="246"/>
      <c r="R85" s="246"/>
      <c r="S85" s="246">
        <v>0</v>
      </c>
      <c r="T85" s="246"/>
      <c r="U85" s="246">
        <f t="shared" si="1"/>
        <v>-134</v>
      </c>
      <c r="V85" s="246"/>
      <c r="W85" s="245">
        <v>25</v>
      </c>
      <c r="X85" s="245">
        <v>-140</v>
      </c>
      <c r="Y85" s="237">
        <f t="shared" si="2"/>
        <v>-249</v>
      </c>
      <c r="Z85" s="252"/>
      <c r="AA85" s="239">
        <v>0</v>
      </c>
      <c r="AB85" s="247">
        <v>26</v>
      </c>
    </row>
    <row r="86" spans="1:28" x14ac:dyDescent="0.25">
      <c r="A86" s="245" t="s">
        <v>384</v>
      </c>
      <c r="B86" s="246"/>
      <c r="C86" s="246">
        <v>-67</v>
      </c>
      <c r="D86" s="246">
        <v>-67</v>
      </c>
      <c r="E86" s="246">
        <v>0</v>
      </c>
      <c r="F86" s="246"/>
      <c r="G86" s="246"/>
      <c r="H86" s="246"/>
      <c r="I86" s="246"/>
      <c r="J86" s="246"/>
      <c r="K86" s="246"/>
      <c r="L86" s="246">
        <v>0</v>
      </c>
      <c r="M86" s="246"/>
      <c r="N86" s="246"/>
      <c r="O86" s="246"/>
      <c r="P86" s="246">
        <v>0</v>
      </c>
      <c r="Q86" s="246"/>
      <c r="R86" s="246"/>
      <c r="S86" s="246">
        <v>-50</v>
      </c>
      <c r="T86" s="246"/>
      <c r="U86" s="246">
        <f t="shared" si="1"/>
        <v>-184</v>
      </c>
      <c r="V86" s="246"/>
      <c r="W86" s="245">
        <v>25</v>
      </c>
      <c r="X86" s="245">
        <v>-140</v>
      </c>
      <c r="Y86" s="237">
        <f t="shared" si="2"/>
        <v>-299</v>
      </c>
      <c r="Z86" s="252"/>
      <c r="AA86" s="239">
        <v>0</v>
      </c>
      <c r="AB86" s="247">
        <v>26</v>
      </c>
    </row>
    <row r="87" spans="1:28" x14ac:dyDescent="0.25">
      <c r="A87" s="245" t="s">
        <v>385</v>
      </c>
      <c r="B87" s="246"/>
      <c r="C87" s="246">
        <v>-67</v>
      </c>
      <c r="D87" s="246">
        <v>-67</v>
      </c>
      <c r="E87" s="246">
        <v>0</v>
      </c>
      <c r="F87" s="246"/>
      <c r="G87" s="246"/>
      <c r="H87" s="246"/>
      <c r="I87" s="246"/>
      <c r="J87" s="246"/>
      <c r="K87" s="246"/>
      <c r="L87" s="246">
        <v>0</v>
      </c>
      <c r="M87" s="246"/>
      <c r="N87" s="246"/>
      <c r="O87" s="246"/>
      <c r="P87" s="246">
        <v>0</v>
      </c>
      <c r="Q87" s="246"/>
      <c r="R87" s="246"/>
      <c r="S87" s="246">
        <v>-75</v>
      </c>
      <c r="T87" s="246"/>
      <c r="U87" s="246">
        <f t="shared" si="1"/>
        <v>-209</v>
      </c>
      <c r="V87" s="246"/>
      <c r="W87" s="245">
        <v>25</v>
      </c>
      <c r="X87" s="245">
        <v>-140</v>
      </c>
      <c r="Y87" s="237">
        <f t="shared" si="2"/>
        <v>-324</v>
      </c>
      <c r="Z87" s="252"/>
      <c r="AA87" s="239">
        <v>0</v>
      </c>
      <c r="AB87" s="247">
        <v>26</v>
      </c>
    </row>
    <row r="88" spans="1:28" x14ac:dyDescent="0.25">
      <c r="A88" s="245" t="s">
        <v>386</v>
      </c>
      <c r="B88" s="246"/>
      <c r="C88" s="246">
        <v>-67</v>
      </c>
      <c r="D88" s="246">
        <v>-67</v>
      </c>
      <c r="E88" s="246">
        <v>0</v>
      </c>
      <c r="F88" s="246"/>
      <c r="G88" s="246"/>
      <c r="H88" s="246"/>
      <c r="I88" s="246"/>
      <c r="J88" s="246"/>
      <c r="K88" s="246"/>
      <c r="L88" s="246">
        <v>0</v>
      </c>
      <c r="M88" s="246"/>
      <c r="N88" s="246"/>
      <c r="O88" s="246"/>
      <c r="P88" s="246">
        <v>-50</v>
      </c>
      <c r="Q88" s="246"/>
      <c r="R88" s="246"/>
      <c r="S88" s="246">
        <v>-75</v>
      </c>
      <c r="T88" s="246"/>
      <c r="U88" s="246">
        <f t="shared" si="1"/>
        <v>-259</v>
      </c>
      <c r="V88" s="246"/>
      <c r="W88" s="245">
        <v>25</v>
      </c>
      <c r="X88" s="245">
        <v>-140</v>
      </c>
      <c r="Y88" s="237">
        <f t="shared" si="2"/>
        <v>-374</v>
      </c>
      <c r="Z88" s="252"/>
      <c r="AA88" s="239">
        <v>0</v>
      </c>
      <c r="AB88" s="247">
        <v>26</v>
      </c>
    </row>
    <row r="89" spans="1:28" x14ac:dyDescent="0.25">
      <c r="A89" s="245" t="s">
        <v>387</v>
      </c>
      <c r="B89" s="246"/>
      <c r="C89" s="246">
        <v>-67</v>
      </c>
      <c r="D89" s="246">
        <v>-67</v>
      </c>
      <c r="E89" s="246">
        <v>0</v>
      </c>
      <c r="F89" s="246"/>
      <c r="G89" s="246"/>
      <c r="H89" s="246"/>
      <c r="I89" s="246"/>
      <c r="J89" s="246"/>
      <c r="K89" s="246"/>
      <c r="L89" s="246">
        <v>0</v>
      </c>
      <c r="M89" s="246"/>
      <c r="N89" s="246"/>
      <c r="O89" s="246"/>
      <c r="P89" s="246">
        <v>-80</v>
      </c>
      <c r="Q89" s="246"/>
      <c r="R89" s="246"/>
      <c r="S89" s="246">
        <v>-75</v>
      </c>
      <c r="T89" s="246"/>
      <c r="U89" s="246">
        <f t="shared" si="1"/>
        <v>-289</v>
      </c>
      <c r="V89" s="246"/>
      <c r="W89" s="245">
        <v>25</v>
      </c>
      <c r="X89" s="245">
        <v>-140</v>
      </c>
      <c r="Y89" s="237">
        <f t="shared" si="2"/>
        <v>-404</v>
      </c>
      <c r="Z89" s="252"/>
      <c r="AA89" s="239">
        <v>0</v>
      </c>
      <c r="AB89" s="247">
        <v>26</v>
      </c>
    </row>
    <row r="90" spans="1:28" x14ac:dyDescent="0.25">
      <c r="A90" s="245" t="s">
        <v>388</v>
      </c>
      <c r="B90" s="246"/>
      <c r="C90" s="246">
        <v>-67</v>
      </c>
      <c r="D90" s="246">
        <v>-67</v>
      </c>
      <c r="E90" s="246">
        <v>0</v>
      </c>
      <c r="F90" s="246"/>
      <c r="G90" s="246"/>
      <c r="H90" s="246"/>
      <c r="I90" s="246"/>
      <c r="J90" s="246"/>
      <c r="K90" s="246"/>
      <c r="L90" s="246">
        <v>-34.9</v>
      </c>
      <c r="M90" s="246"/>
      <c r="N90" s="246"/>
      <c r="O90" s="246"/>
      <c r="P90" s="246">
        <v>-80</v>
      </c>
      <c r="Q90" s="246"/>
      <c r="R90" s="246"/>
      <c r="S90" s="246">
        <v>-75</v>
      </c>
      <c r="T90" s="246"/>
      <c r="U90" s="246">
        <f t="shared" si="1"/>
        <v>-323.89999999999998</v>
      </c>
      <c r="V90" s="246"/>
      <c r="W90" s="245">
        <v>25</v>
      </c>
      <c r="X90" s="245">
        <v>-140</v>
      </c>
      <c r="Y90" s="237">
        <f t="shared" si="2"/>
        <v>-438.9</v>
      </c>
      <c r="Z90" s="252"/>
      <c r="AA90" s="239">
        <v>0</v>
      </c>
      <c r="AB90" s="247">
        <v>26</v>
      </c>
    </row>
    <row r="91" spans="1:28" x14ac:dyDescent="0.25">
      <c r="A91" s="245" t="s">
        <v>389</v>
      </c>
      <c r="B91" s="246"/>
      <c r="C91" s="246">
        <v>-67</v>
      </c>
      <c r="D91" s="246">
        <v>-67</v>
      </c>
      <c r="E91" s="246">
        <v>-51</v>
      </c>
      <c r="F91" s="246"/>
      <c r="G91" s="246"/>
      <c r="H91" s="246"/>
      <c r="I91" s="246"/>
      <c r="J91" s="246"/>
      <c r="K91" s="246"/>
      <c r="L91" s="246">
        <v>-34.9</v>
      </c>
      <c r="M91" s="246"/>
      <c r="N91" s="246"/>
      <c r="O91" s="246"/>
      <c r="P91" s="246">
        <v>-80</v>
      </c>
      <c r="Q91" s="246"/>
      <c r="R91" s="246"/>
      <c r="S91" s="246">
        <v>-75</v>
      </c>
      <c r="T91" s="246"/>
      <c r="U91" s="246">
        <f t="shared" si="1"/>
        <v>-374.9</v>
      </c>
      <c r="V91" s="246"/>
      <c r="W91" s="245">
        <v>25</v>
      </c>
      <c r="X91" s="245">
        <v>-140</v>
      </c>
      <c r="Y91" s="237">
        <f t="shared" si="2"/>
        <v>-489.9</v>
      </c>
      <c r="Z91" s="252"/>
      <c r="AA91" s="239">
        <v>0</v>
      </c>
      <c r="AB91" s="247">
        <v>26</v>
      </c>
    </row>
    <row r="92" spans="1:28" x14ac:dyDescent="0.25">
      <c r="A92" s="245" t="s">
        <v>390</v>
      </c>
      <c r="B92" s="246"/>
      <c r="C92" s="246">
        <v>-67</v>
      </c>
      <c r="D92" s="246">
        <v>-67</v>
      </c>
      <c r="E92" s="246">
        <v>-51</v>
      </c>
      <c r="F92" s="246"/>
      <c r="G92" s="246"/>
      <c r="H92" s="246"/>
      <c r="I92" s="246"/>
      <c r="J92" s="246"/>
      <c r="K92" s="246"/>
      <c r="L92" s="246">
        <v>-34.9</v>
      </c>
      <c r="M92" s="246"/>
      <c r="N92" s="246"/>
      <c r="O92" s="246"/>
      <c r="P92" s="246">
        <v>-80</v>
      </c>
      <c r="Q92" s="246"/>
      <c r="R92" s="246"/>
      <c r="S92" s="246">
        <v>-75</v>
      </c>
      <c r="T92" s="246"/>
      <c r="U92" s="246">
        <f t="shared" si="1"/>
        <v>-374.9</v>
      </c>
      <c r="V92" s="246"/>
      <c r="W92" s="245">
        <v>25</v>
      </c>
      <c r="X92" s="245">
        <v>-140</v>
      </c>
      <c r="Y92" s="237">
        <f t="shared" si="2"/>
        <v>-489.9</v>
      </c>
      <c r="Z92" s="252"/>
      <c r="AA92" s="239">
        <v>0</v>
      </c>
      <c r="AB92" s="247">
        <v>26</v>
      </c>
    </row>
    <row r="93" spans="1:28" x14ac:dyDescent="0.25">
      <c r="A93" s="245" t="s">
        <v>391</v>
      </c>
      <c r="B93" s="246"/>
      <c r="C93" s="246">
        <v>-67</v>
      </c>
      <c r="D93" s="246">
        <v>-67</v>
      </c>
      <c r="E93" s="246">
        <v>-51</v>
      </c>
      <c r="F93" s="246"/>
      <c r="G93" s="246"/>
      <c r="H93" s="246"/>
      <c r="I93" s="246"/>
      <c r="J93" s="246"/>
      <c r="K93" s="246"/>
      <c r="L93" s="246">
        <v>-34.9</v>
      </c>
      <c r="M93" s="246"/>
      <c r="N93" s="246"/>
      <c r="O93" s="246"/>
      <c r="P93" s="246">
        <v>-80</v>
      </c>
      <c r="Q93" s="246"/>
      <c r="R93" s="246"/>
      <c r="S93" s="246">
        <v>-75</v>
      </c>
      <c r="T93" s="246"/>
      <c r="U93" s="246">
        <f t="shared" si="1"/>
        <v>-374.9</v>
      </c>
      <c r="V93" s="246"/>
      <c r="W93" s="245">
        <v>25</v>
      </c>
      <c r="X93" s="245">
        <v>-140</v>
      </c>
      <c r="Y93" s="237">
        <f t="shared" si="2"/>
        <v>-489.9</v>
      </c>
      <c r="Z93" s="252"/>
      <c r="AA93" s="239">
        <v>0</v>
      </c>
      <c r="AB93" s="247">
        <v>26</v>
      </c>
    </row>
    <row r="94" spans="1:28" x14ac:dyDescent="0.25">
      <c r="A94" s="245" t="s">
        <v>392</v>
      </c>
      <c r="B94" s="246"/>
      <c r="C94" s="246">
        <v>-67</v>
      </c>
      <c r="D94" s="246">
        <v>-67</v>
      </c>
      <c r="E94" s="246">
        <v>-51</v>
      </c>
      <c r="F94" s="246"/>
      <c r="G94" s="246"/>
      <c r="H94" s="246"/>
      <c r="I94" s="246"/>
      <c r="J94" s="246"/>
      <c r="K94" s="246"/>
      <c r="L94" s="246">
        <v>-34.9</v>
      </c>
      <c r="M94" s="246"/>
      <c r="N94" s="246"/>
      <c r="O94" s="246"/>
      <c r="P94" s="246">
        <v>-80</v>
      </c>
      <c r="Q94" s="246"/>
      <c r="R94" s="246"/>
      <c r="S94" s="246">
        <v>-75</v>
      </c>
      <c r="T94" s="246"/>
      <c r="U94" s="246">
        <f t="shared" si="1"/>
        <v>-374.9</v>
      </c>
      <c r="V94" s="246"/>
      <c r="W94" s="245">
        <v>25</v>
      </c>
      <c r="X94" s="245">
        <v>-140</v>
      </c>
      <c r="Y94" s="237">
        <f t="shared" si="2"/>
        <v>-489.9</v>
      </c>
      <c r="Z94" s="252"/>
      <c r="AA94" s="239">
        <v>0</v>
      </c>
      <c r="AB94" s="247">
        <v>26</v>
      </c>
    </row>
    <row r="95" spans="1:28" x14ac:dyDescent="0.25">
      <c r="A95" s="245" t="s">
        <v>393</v>
      </c>
      <c r="B95" s="246"/>
      <c r="C95" s="246">
        <v>-67</v>
      </c>
      <c r="D95" s="246">
        <v>-67</v>
      </c>
      <c r="E95" s="246">
        <v>-51</v>
      </c>
      <c r="F95" s="246"/>
      <c r="G95" s="246"/>
      <c r="H95" s="246"/>
      <c r="I95" s="246"/>
      <c r="J95" s="246"/>
      <c r="K95" s="246"/>
      <c r="L95" s="246">
        <v>-34.9</v>
      </c>
      <c r="M95" s="246"/>
      <c r="N95" s="246"/>
      <c r="O95" s="246"/>
      <c r="P95" s="246">
        <v>-80</v>
      </c>
      <c r="Q95" s="246"/>
      <c r="R95" s="246"/>
      <c r="S95" s="246">
        <v>-75</v>
      </c>
      <c r="T95" s="246"/>
      <c r="U95" s="246">
        <f t="shared" si="1"/>
        <v>-374.9</v>
      </c>
      <c r="V95" s="246"/>
      <c r="W95" s="245">
        <v>25</v>
      </c>
      <c r="X95" s="245">
        <v>-140</v>
      </c>
      <c r="Y95" s="237">
        <f t="shared" si="2"/>
        <v>-489.9</v>
      </c>
      <c r="Z95" s="252"/>
      <c r="AA95" s="239">
        <v>0</v>
      </c>
      <c r="AB95" s="247">
        <v>26</v>
      </c>
    </row>
    <row r="96" spans="1:28" x14ac:dyDescent="0.25">
      <c r="A96" s="245" t="s">
        <v>394</v>
      </c>
      <c r="B96" s="246"/>
      <c r="C96" s="246">
        <v>-67</v>
      </c>
      <c r="D96" s="246">
        <v>-67</v>
      </c>
      <c r="E96" s="246">
        <v>-51</v>
      </c>
      <c r="F96" s="246"/>
      <c r="G96" s="246"/>
      <c r="H96" s="246"/>
      <c r="I96" s="246"/>
      <c r="J96" s="246"/>
      <c r="K96" s="246"/>
      <c r="L96" s="246">
        <v>-34.9</v>
      </c>
      <c r="M96" s="246"/>
      <c r="N96" s="246"/>
      <c r="O96" s="246"/>
      <c r="P96" s="246">
        <v>-80</v>
      </c>
      <c r="Q96" s="246"/>
      <c r="R96" s="246"/>
      <c r="S96" s="246">
        <v>-75</v>
      </c>
      <c r="T96" s="246"/>
      <c r="U96" s="246">
        <f t="shared" si="1"/>
        <v>-374.9</v>
      </c>
      <c r="V96" s="246"/>
      <c r="W96" s="245">
        <v>25</v>
      </c>
      <c r="X96" s="245">
        <v>-140</v>
      </c>
      <c r="Y96" s="237">
        <f t="shared" si="2"/>
        <v>-489.9</v>
      </c>
      <c r="Z96" s="252"/>
      <c r="AA96" s="239">
        <v>0</v>
      </c>
      <c r="AB96" s="247">
        <v>26</v>
      </c>
    </row>
    <row r="97" spans="1:28" x14ac:dyDescent="0.25">
      <c r="A97" s="245" t="s">
        <v>395</v>
      </c>
      <c r="B97" s="246"/>
      <c r="C97" s="246">
        <v>-67</v>
      </c>
      <c r="D97" s="246">
        <v>-67</v>
      </c>
      <c r="E97" s="246">
        <v>-51</v>
      </c>
      <c r="F97" s="246"/>
      <c r="G97" s="246"/>
      <c r="H97" s="246"/>
      <c r="I97" s="246"/>
      <c r="J97" s="246"/>
      <c r="K97" s="246"/>
      <c r="L97" s="246">
        <v>-34.9</v>
      </c>
      <c r="M97" s="246"/>
      <c r="N97" s="246"/>
      <c r="O97" s="246"/>
      <c r="P97" s="246">
        <v>-80</v>
      </c>
      <c r="Q97" s="246"/>
      <c r="R97" s="246"/>
      <c r="S97" s="246">
        <v>-75</v>
      </c>
      <c r="T97" s="246"/>
      <c r="U97" s="246">
        <f t="shared" si="1"/>
        <v>-374.9</v>
      </c>
      <c r="V97" s="246"/>
      <c r="W97" s="245">
        <v>25</v>
      </c>
      <c r="X97" s="245">
        <v>-140</v>
      </c>
      <c r="Y97" s="237">
        <f t="shared" si="2"/>
        <v>-489.9</v>
      </c>
      <c r="Z97" s="252"/>
      <c r="AA97" s="239">
        <v>0</v>
      </c>
      <c r="AB97" s="247">
        <v>26</v>
      </c>
    </row>
    <row r="98" spans="1:28" x14ac:dyDescent="0.25">
      <c r="A98" s="245" t="s">
        <v>396</v>
      </c>
      <c r="B98" s="246"/>
      <c r="C98" s="246">
        <v>-67</v>
      </c>
      <c r="D98" s="246">
        <v>-67</v>
      </c>
      <c r="E98" s="246">
        <v>-51</v>
      </c>
      <c r="F98" s="246"/>
      <c r="G98" s="246"/>
      <c r="H98" s="246"/>
      <c r="I98" s="246"/>
      <c r="J98" s="246"/>
      <c r="K98" s="246"/>
      <c r="L98" s="246">
        <v>-34.9</v>
      </c>
      <c r="M98" s="246"/>
      <c r="N98" s="246"/>
      <c r="O98" s="246"/>
      <c r="P98" s="246">
        <v>-80</v>
      </c>
      <c r="Q98" s="246"/>
      <c r="R98" s="246"/>
      <c r="S98" s="246">
        <v>-75</v>
      </c>
      <c r="T98" s="246"/>
      <c r="U98" s="246">
        <f t="shared" si="1"/>
        <v>-374.9</v>
      </c>
      <c r="V98" s="246"/>
      <c r="W98" s="245">
        <v>25</v>
      </c>
      <c r="X98" s="245">
        <v>-140</v>
      </c>
      <c r="Y98" s="237">
        <f t="shared" si="2"/>
        <v>-489.9</v>
      </c>
      <c r="Z98" s="254"/>
      <c r="AA98" s="249">
        <v>0</v>
      </c>
      <c r="AB98" s="247">
        <v>26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2026-05-19T18:29:58Z</dcterms:modified>
</cp:coreProperties>
</file>