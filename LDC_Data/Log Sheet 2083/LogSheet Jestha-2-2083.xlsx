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6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07" sheetId="81" r:id="rId7"/>
    <sheet name="Sample" sheetId="1" r:id="rId8"/>
    <sheet name="Schedule dont delete " sheetId="73" r:id="rId9"/>
    <sheet name="Schedule dont delete  (2)" sheetId="80" r:id="rId10"/>
    <sheet name="Calc" sheetId="3" r:id="rId11"/>
    <sheet name="Schedule 2026.5.11 BG" sheetId="67" state="hidden" r:id="rId12"/>
    <sheet name="Schedule 2026.5.11" sheetId="64" state="hidden" r:id="rId13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12">#REF!</definedName>
    <definedName name="a" localSheetId="11">#REF!</definedName>
    <definedName name="a" localSheetId="8">#REF!</definedName>
    <definedName name="a" localSheetId="9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12">#REF!</definedName>
    <definedName name="IPP" localSheetId="11">#REF!</definedName>
    <definedName name="IPP" localSheetId="8">#REF!</definedName>
    <definedName name="IPP" localSheetId="9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12">#REF!</definedName>
    <definedName name="ippp" localSheetId="11">#REF!</definedName>
    <definedName name="ippp" localSheetId="8">#REF!</definedName>
    <definedName name="ippp" localSheetId="9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12">#REF!</definedName>
    <definedName name="samolea" localSheetId="11">#REF!</definedName>
    <definedName name="samolea" localSheetId="8">#REF!</definedName>
    <definedName name="samolea" localSheetId="9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12">#REF!</definedName>
    <definedName name="sampke1" localSheetId="11">#REF!</definedName>
    <definedName name="sampke1" localSheetId="8">#REF!</definedName>
    <definedName name="sampke1" localSheetId="9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12">#REF!</definedName>
    <definedName name="sample" localSheetId="11">#REF!</definedName>
    <definedName name="sample" localSheetId="8">#REF!</definedName>
    <definedName name="sample" localSheetId="9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12">#REF!</definedName>
    <definedName name="SAMPLE1" localSheetId="11">#REF!</definedName>
    <definedName name="SAMPLE1" localSheetId="8">#REF!</definedName>
    <definedName name="SAMPLE1" localSheetId="9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12">#REF!</definedName>
    <definedName name="sdasdf" localSheetId="11">#REF!</definedName>
    <definedName name="sdasdf" localSheetId="8">#REF!</definedName>
    <definedName name="sdasdf" localSheetId="9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49" i="81" l="1"/>
  <c r="E71" i="81"/>
  <c r="E78" i="81"/>
  <c r="E92" i="81"/>
  <c r="D149" i="81"/>
  <c r="D71" i="81"/>
  <c r="D78" i="81"/>
  <c r="C135" i="81"/>
  <c r="D135" i="81"/>
  <c r="E135" i="81"/>
  <c r="F135" i="81"/>
  <c r="G135" i="81"/>
  <c r="H135" i="81"/>
  <c r="I135" i="81"/>
  <c r="J135" i="81"/>
  <c r="K135" i="81"/>
  <c r="L135" i="81"/>
  <c r="M135" i="81"/>
  <c r="N135" i="81"/>
  <c r="O135" i="81"/>
  <c r="C149" i="81"/>
  <c r="AH145" i="81"/>
  <c r="AI145" i="81"/>
  <c r="AH144" i="81"/>
  <c r="AI144" i="81"/>
  <c r="AH143" i="81"/>
  <c r="AI143" i="81"/>
  <c r="B149" i="81"/>
  <c r="B135" i="81"/>
  <c r="B123" i="81"/>
  <c r="B108" i="81"/>
  <c r="B96" i="81"/>
  <c r="B92" i="81"/>
  <c r="B78" i="81"/>
  <c r="B71" i="81"/>
  <c r="AM16" i="81" s="1"/>
  <c r="AG274" i="81"/>
  <c r="B274" i="81"/>
  <c r="D273" i="81"/>
  <c r="E273" i="81" s="1"/>
  <c r="F273" i="81" s="1"/>
  <c r="G273" i="81" s="1"/>
  <c r="H273" i="81" s="1"/>
  <c r="I273" i="81" s="1"/>
  <c r="J273" i="81" s="1"/>
  <c r="K273" i="81" s="1"/>
  <c r="L273" i="81" s="1"/>
  <c r="M273" i="81" s="1"/>
  <c r="N273" i="81" s="1"/>
  <c r="O273" i="81" s="1"/>
  <c r="P273" i="81" s="1"/>
  <c r="Q273" i="81" s="1"/>
  <c r="R273" i="81" s="1"/>
  <c r="S273" i="81" s="1"/>
  <c r="T273" i="81" s="1"/>
  <c r="U273" i="81" s="1"/>
  <c r="V273" i="81" s="1"/>
  <c r="W273" i="81" s="1"/>
  <c r="X273" i="81" s="1"/>
  <c r="Y273" i="81" s="1"/>
  <c r="Z273" i="81" s="1"/>
  <c r="AA273" i="81" s="1"/>
  <c r="AB273" i="81" s="1"/>
  <c r="AC273" i="81" s="1"/>
  <c r="AD273" i="81" s="1"/>
  <c r="AE273" i="81" s="1"/>
  <c r="AF273" i="81" s="1"/>
  <c r="C273" i="81"/>
  <c r="H272" i="81"/>
  <c r="I272" i="81" s="1"/>
  <c r="J272" i="81" s="1"/>
  <c r="K272" i="81" s="1"/>
  <c r="L272" i="81" s="1"/>
  <c r="M272" i="81" s="1"/>
  <c r="N272" i="81" s="1"/>
  <c r="O272" i="81" s="1"/>
  <c r="P272" i="81" s="1"/>
  <c r="Q272" i="81" s="1"/>
  <c r="R272" i="81" s="1"/>
  <c r="S272" i="81" s="1"/>
  <c r="T272" i="81" s="1"/>
  <c r="U272" i="81" s="1"/>
  <c r="V272" i="81" s="1"/>
  <c r="W272" i="81" s="1"/>
  <c r="X272" i="81" s="1"/>
  <c r="Y272" i="81" s="1"/>
  <c r="Z272" i="81" s="1"/>
  <c r="AA272" i="81" s="1"/>
  <c r="AB272" i="81" s="1"/>
  <c r="AC272" i="81" s="1"/>
  <c r="AD272" i="81" s="1"/>
  <c r="AE272" i="81" s="1"/>
  <c r="AF272" i="81" s="1"/>
  <c r="C272" i="81"/>
  <c r="D272" i="81" s="1"/>
  <c r="E272" i="81" s="1"/>
  <c r="F272" i="81" s="1"/>
  <c r="G272" i="81" s="1"/>
  <c r="AD271" i="81"/>
  <c r="AE271" i="81" s="1"/>
  <c r="AF271" i="81" s="1"/>
  <c r="F271" i="81"/>
  <c r="G271" i="81" s="1"/>
  <c r="H271" i="81" s="1"/>
  <c r="I271" i="81" s="1"/>
  <c r="J271" i="81" s="1"/>
  <c r="K271" i="81" s="1"/>
  <c r="L271" i="81" s="1"/>
  <c r="M271" i="81" s="1"/>
  <c r="N271" i="81" s="1"/>
  <c r="O271" i="81" s="1"/>
  <c r="P271" i="81" s="1"/>
  <c r="Q271" i="81" s="1"/>
  <c r="R271" i="81" s="1"/>
  <c r="S271" i="81" s="1"/>
  <c r="T271" i="81" s="1"/>
  <c r="U271" i="81" s="1"/>
  <c r="V271" i="81" s="1"/>
  <c r="W271" i="81" s="1"/>
  <c r="X271" i="81" s="1"/>
  <c r="Y271" i="81" s="1"/>
  <c r="Z271" i="81" s="1"/>
  <c r="AA271" i="81" s="1"/>
  <c r="AB271" i="81" s="1"/>
  <c r="AC271" i="81" s="1"/>
  <c r="D271" i="81"/>
  <c r="E271" i="81" s="1"/>
  <c r="C271" i="81"/>
  <c r="AD270" i="81"/>
  <c r="AE270" i="81" s="1"/>
  <c r="AF270" i="81" s="1"/>
  <c r="N270" i="81"/>
  <c r="O270" i="81" s="1"/>
  <c r="P270" i="81" s="1"/>
  <c r="Q270" i="81" s="1"/>
  <c r="R270" i="81" s="1"/>
  <c r="S270" i="81" s="1"/>
  <c r="T270" i="81" s="1"/>
  <c r="U270" i="81" s="1"/>
  <c r="V270" i="81" s="1"/>
  <c r="W270" i="81" s="1"/>
  <c r="X270" i="81" s="1"/>
  <c r="Y270" i="81" s="1"/>
  <c r="Z270" i="81" s="1"/>
  <c r="AA270" i="81" s="1"/>
  <c r="AB270" i="81" s="1"/>
  <c r="AC270" i="81" s="1"/>
  <c r="D270" i="81"/>
  <c r="E270" i="81" s="1"/>
  <c r="F270" i="81" s="1"/>
  <c r="G270" i="81" s="1"/>
  <c r="H270" i="81" s="1"/>
  <c r="I270" i="81" s="1"/>
  <c r="J270" i="81" s="1"/>
  <c r="K270" i="81" s="1"/>
  <c r="L270" i="81" s="1"/>
  <c r="M270" i="81" s="1"/>
  <c r="C270" i="81"/>
  <c r="E269" i="81"/>
  <c r="F269" i="81" s="1"/>
  <c r="G269" i="81" s="1"/>
  <c r="H269" i="81" s="1"/>
  <c r="I269" i="81" s="1"/>
  <c r="J269" i="81" s="1"/>
  <c r="K269" i="81" s="1"/>
  <c r="L269" i="81" s="1"/>
  <c r="M269" i="81" s="1"/>
  <c r="N269" i="81" s="1"/>
  <c r="O269" i="81" s="1"/>
  <c r="P269" i="81" s="1"/>
  <c r="Q269" i="81" s="1"/>
  <c r="R269" i="81" s="1"/>
  <c r="S269" i="81" s="1"/>
  <c r="T269" i="81" s="1"/>
  <c r="U269" i="81" s="1"/>
  <c r="V269" i="81" s="1"/>
  <c r="W269" i="81" s="1"/>
  <c r="X269" i="81" s="1"/>
  <c r="Y269" i="81" s="1"/>
  <c r="Z269" i="81" s="1"/>
  <c r="AA269" i="81" s="1"/>
  <c r="AB269" i="81" s="1"/>
  <c r="AC269" i="81" s="1"/>
  <c r="AD269" i="81" s="1"/>
  <c r="AE269" i="81" s="1"/>
  <c r="AF269" i="81" s="1"/>
  <c r="C269" i="81"/>
  <c r="D269" i="81" s="1"/>
  <c r="C268" i="81"/>
  <c r="D268" i="81" s="1"/>
  <c r="E268" i="81" s="1"/>
  <c r="F268" i="81" s="1"/>
  <c r="G268" i="81" s="1"/>
  <c r="H268" i="81" s="1"/>
  <c r="I268" i="81" s="1"/>
  <c r="J268" i="81" s="1"/>
  <c r="K268" i="81" s="1"/>
  <c r="L268" i="81" s="1"/>
  <c r="M268" i="81" s="1"/>
  <c r="N268" i="81" s="1"/>
  <c r="O268" i="81" s="1"/>
  <c r="P268" i="81" s="1"/>
  <c r="Q268" i="81" s="1"/>
  <c r="R268" i="81" s="1"/>
  <c r="S268" i="81" s="1"/>
  <c r="T268" i="81" s="1"/>
  <c r="U268" i="81" s="1"/>
  <c r="V268" i="81" s="1"/>
  <c r="W268" i="81" s="1"/>
  <c r="X268" i="81" s="1"/>
  <c r="Y268" i="81" s="1"/>
  <c r="Z268" i="81" s="1"/>
  <c r="AA268" i="81" s="1"/>
  <c r="AB268" i="81" s="1"/>
  <c r="AC268" i="81" s="1"/>
  <c r="AD268" i="81" s="1"/>
  <c r="AE268" i="81" s="1"/>
  <c r="AF268" i="81" s="1"/>
  <c r="Y267" i="81"/>
  <c r="Z267" i="81" s="1"/>
  <c r="AA267" i="81" s="1"/>
  <c r="AB267" i="81" s="1"/>
  <c r="AC267" i="81" s="1"/>
  <c r="AD267" i="81" s="1"/>
  <c r="AE267" i="81" s="1"/>
  <c r="AF267" i="81" s="1"/>
  <c r="O267" i="81"/>
  <c r="P267" i="81" s="1"/>
  <c r="Q267" i="81" s="1"/>
  <c r="R267" i="81" s="1"/>
  <c r="S267" i="81" s="1"/>
  <c r="T267" i="81" s="1"/>
  <c r="U267" i="81" s="1"/>
  <c r="V267" i="81" s="1"/>
  <c r="W267" i="81" s="1"/>
  <c r="X267" i="81" s="1"/>
  <c r="I267" i="81"/>
  <c r="J267" i="81" s="1"/>
  <c r="K267" i="81" s="1"/>
  <c r="L267" i="81" s="1"/>
  <c r="M267" i="81" s="1"/>
  <c r="N267" i="81" s="1"/>
  <c r="D267" i="81"/>
  <c r="E267" i="81" s="1"/>
  <c r="F267" i="81" s="1"/>
  <c r="G267" i="81" s="1"/>
  <c r="H267" i="81" s="1"/>
  <c r="C267" i="81"/>
  <c r="U266" i="81"/>
  <c r="V266" i="81" s="1"/>
  <c r="W266" i="81" s="1"/>
  <c r="X266" i="81" s="1"/>
  <c r="Y266" i="81" s="1"/>
  <c r="Z266" i="81" s="1"/>
  <c r="AA266" i="81" s="1"/>
  <c r="AB266" i="81" s="1"/>
  <c r="AC266" i="81" s="1"/>
  <c r="AD266" i="81" s="1"/>
  <c r="AE266" i="81" s="1"/>
  <c r="AF266" i="81" s="1"/>
  <c r="M266" i="81"/>
  <c r="N266" i="81" s="1"/>
  <c r="O266" i="81" s="1"/>
  <c r="P266" i="81" s="1"/>
  <c r="Q266" i="81" s="1"/>
  <c r="R266" i="81" s="1"/>
  <c r="S266" i="81" s="1"/>
  <c r="T266" i="81" s="1"/>
  <c r="E266" i="81"/>
  <c r="F266" i="81" s="1"/>
  <c r="G266" i="81" s="1"/>
  <c r="H266" i="81" s="1"/>
  <c r="I266" i="81" s="1"/>
  <c r="J266" i="81" s="1"/>
  <c r="K266" i="81" s="1"/>
  <c r="L266" i="81" s="1"/>
  <c r="D266" i="81"/>
  <c r="C266" i="81"/>
  <c r="D265" i="81"/>
  <c r="E265" i="81" s="1"/>
  <c r="F265" i="81" s="1"/>
  <c r="G265" i="81" s="1"/>
  <c r="H265" i="81" s="1"/>
  <c r="I265" i="81" s="1"/>
  <c r="J265" i="81" s="1"/>
  <c r="K265" i="81" s="1"/>
  <c r="L265" i="81" s="1"/>
  <c r="M265" i="81" s="1"/>
  <c r="N265" i="81" s="1"/>
  <c r="O265" i="81" s="1"/>
  <c r="P265" i="81" s="1"/>
  <c r="Q265" i="81" s="1"/>
  <c r="R265" i="81" s="1"/>
  <c r="S265" i="81" s="1"/>
  <c r="T265" i="81" s="1"/>
  <c r="U265" i="81" s="1"/>
  <c r="V265" i="81" s="1"/>
  <c r="W265" i="81" s="1"/>
  <c r="X265" i="81" s="1"/>
  <c r="Y265" i="81" s="1"/>
  <c r="Z265" i="81" s="1"/>
  <c r="AA265" i="81" s="1"/>
  <c r="AB265" i="81" s="1"/>
  <c r="AC265" i="81" s="1"/>
  <c r="AD265" i="81" s="1"/>
  <c r="AE265" i="81" s="1"/>
  <c r="AF265" i="81" s="1"/>
  <c r="C265" i="81"/>
  <c r="J264" i="81"/>
  <c r="K264" i="81" s="1"/>
  <c r="L264" i="81" s="1"/>
  <c r="M264" i="81" s="1"/>
  <c r="N264" i="81" s="1"/>
  <c r="O264" i="81" s="1"/>
  <c r="P264" i="81" s="1"/>
  <c r="Q264" i="81" s="1"/>
  <c r="R264" i="81" s="1"/>
  <c r="S264" i="81" s="1"/>
  <c r="T264" i="81" s="1"/>
  <c r="U264" i="81" s="1"/>
  <c r="V264" i="81" s="1"/>
  <c r="W264" i="81" s="1"/>
  <c r="X264" i="81" s="1"/>
  <c r="Y264" i="81" s="1"/>
  <c r="Z264" i="81" s="1"/>
  <c r="AA264" i="81" s="1"/>
  <c r="AB264" i="81" s="1"/>
  <c r="AC264" i="81" s="1"/>
  <c r="AD264" i="81" s="1"/>
  <c r="AE264" i="81" s="1"/>
  <c r="AF264" i="81" s="1"/>
  <c r="C264" i="81"/>
  <c r="D264" i="81" s="1"/>
  <c r="E264" i="81" s="1"/>
  <c r="F264" i="81" s="1"/>
  <c r="G264" i="81" s="1"/>
  <c r="H264" i="81" s="1"/>
  <c r="I264" i="81" s="1"/>
  <c r="F263" i="81"/>
  <c r="G263" i="81" s="1"/>
  <c r="H263" i="81" s="1"/>
  <c r="I263" i="81" s="1"/>
  <c r="J263" i="81" s="1"/>
  <c r="K263" i="81" s="1"/>
  <c r="L263" i="81" s="1"/>
  <c r="M263" i="81" s="1"/>
  <c r="N263" i="81" s="1"/>
  <c r="O263" i="81" s="1"/>
  <c r="P263" i="81" s="1"/>
  <c r="Q263" i="81" s="1"/>
  <c r="R263" i="81" s="1"/>
  <c r="S263" i="81" s="1"/>
  <c r="T263" i="81" s="1"/>
  <c r="U263" i="81" s="1"/>
  <c r="V263" i="81" s="1"/>
  <c r="W263" i="81" s="1"/>
  <c r="X263" i="81" s="1"/>
  <c r="Y263" i="81" s="1"/>
  <c r="Z263" i="81" s="1"/>
  <c r="AA263" i="81" s="1"/>
  <c r="AB263" i="81" s="1"/>
  <c r="AC263" i="81" s="1"/>
  <c r="AD263" i="81" s="1"/>
  <c r="AE263" i="81" s="1"/>
  <c r="AF263" i="81" s="1"/>
  <c r="D263" i="81"/>
  <c r="E263" i="81" s="1"/>
  <c r="C263" i="81"/>
  <c r="G262" i="81"/>
  <c r="H262" i="81" s="1"/>
  <c r="I262" i="81" s="1"/>
  <c r="J262" i="81" s="1"/>
  <c r="K262" i="81" s="1"/>
  <c r="L262" i="81" s="1"/>
  <c r="M262" i="81" s="1"/>
  <c r="N262" i="81" s="1"/>
  <c r="O262" i="81" s="1"/>
  <c r="P262" i="81" s="1"/>
  <c r="Q262" i="81" s="1"/>
  <c r="R262" i="81" s="1"/>
  <c r="S262" i="81" s="1"/>
  <c r="T262" i="81" s="1"/>
  <c r="U262" i="81" s="1"/>
  <c r="V262" i="81" s="1"/>
  <c r="W262" i="81" s="1"/>
  <c r="X262" i="81" s="1"/>
  <c r="Y262" i="81" s="1"/>
  <c r="Z262" i="81" s="1"/>
  <c r="AA262" i="81" s="1"/>
  <c r="AB262" i="81" s="1"/>
  <c r="AC262" i="81" s="1"/>
  <c r="AD262" i="81" s="1"/>
  <c r="AE262" i="81" s="1"/>
  <c r="AF262" i="81" s="1"/>
  <c r="E262" i="81"/>
  <c r="F262" i="81" s="1"/>
  <c r="D262" i="81"/>
  <c r="C262" i="81"/>
  <c r="D261" i="81"/>
  <c r="E261" i="81" s="1"/>
  <c r="F261" i="81" s="1"/>
  <c r="G261" i="81" s="1"/>
  <c r="H261" i="81" s="1"/>
  <c r="I261" i="81" s="1"/>
  <c r="J261" i="81" s="1"/>
  <c r="K261" i="81" s="1"/>
  <c r="L261" i="81" s="1"/>
  <c r="M261" i="81" s="1"/>
  <c r="N261" i="81" s="1"/>
  <c r="O261" i="81" s="1"/>
  <c r="P261" i="81" s="1"/>
  <c r="Q261" i="81" s="1"/>
  <c r="R261" i="81" s="1"/>
  <c r="S261" i="81" s="1"/>
  <c r="T261" i="81" s="1"/>
  <c r="U261" i="81" s="1"/>
  <c r="V261" i="81" s="1"/>
  <c r="W261" i="81" s="1"/>
  <c r="X261" i="81" s="1"/>
  <c r="Y261" i="81" s="1"/>
  <c r="Z261" i="81" s="1"/>
  <c r="AA261" i="81" s="1"/>
  <c r="AB261" i="81" s="1"/>
  <c r="AC261" i="81" s="1"/>
  <c r="AD261" i="81" s="1"/>
  <c r="AE261" i="81" s="1"/>
  <c r="AF261" i="81" s="1"/>
  <c r="C261" i="81"/>
  <c r="F260" i="81"/>
  <c r="G260" i="81" s="1"/>
  <c r="H260" i="81" s="1"/>
  <c r="I260" i="81" s="1"/>
  <c r="J260" i="81" s="1"/>
  <c r="K260" i="81" s="1"/>
  <c r="L260" i="81" s="1"/>
  <c r="M260" i="81" s="1"/>
  <c r="N260" i="81" s="1"/>
  <c r="O260" i="81" s="1"/>
  <c r="P260" i="81" s="1"/>
  <c r="Q260" i="81" s="1"/>
  <c r="R260" i="81" s="1"/>
  <c r="S260" i="81" s="1"/>
  <c r="T260" i="81" s="1"/>
  <c r="U260" i="81" s="1"/>
  <c r="V260" i="81" s="1"/>
  <c r="W260" i="81" s="1"/>
  <c r="X260" i="81" s="1"/>
  <c r="Y260" i="81" s="1"/>
  <c r="Z260" i="81" s="1"/>
  <c r="AA260" i="81" s="1"/>
  <c r="AB260" i="81" s="1"/>
  <c r="AC260" i="81" s="1"/>
  <c r="AD260" i="81" s="1"/>
  <c r="AE260" i="81" s="1"/>
  <c r="AF260" i="81" s="1"/>
  <c r="C260" i="81"/>
  <c r="D260" i="81" s="1"/>
  <c r="E260" i="81" s="1"/>
  <c r="N259" i="81"/>
  <c r="O259" i="81" s="1"/>
  <c r="P259" i="81" s="1"/>
  <c r="Q259" i="81" s="1"/>
  <c r="R259" i="81" s="1"/>
  <c r="S259" i="81" s="1"/>
  <c r="T259" i="81" s="1"/>
  <c r="U259" i="81" s="1"/>
  <c r="V259" i="81" s="1"/>
  <c r="W259" i="81" s="1"/>
  <c r="X259" i="81" s="1"/>
  <c r="Y259" i="81" s="1"/>
  <c r="Z259" i="81" s="1"/>
  <c r="AA259" i="81" s="1"/>
  <c r="AB259" i="81" s="1"/>
  <c r="AC259" i="81" s="1"/>
  <c r="AD259" i="81" s="1"/>
  <c r="AE259" i="81" s="1"/>
  <c r="AF259" i="81" s="1"/>
  <c r="G259" i="81"/>
  <c r="H259" i="81" s="1"/>
  <c r="I259" i="81" s="1"/>
  <c r="J259" i="81" s="1"/>
  <c r="K259" i="81" s="1"/>
  <c r="L259" i="81" s="1"/>
  <c r="M259" i="81" s="1"/>
  <c r="F259" i="81"/>
  <c r="D259" i="81"/>
  <c r="E259" i="81" s="1"/>
  <c r="C259" i="81"/>
  <c r="O258" i="81"/>
  <c r="P258" i="81" s="1"/>
  <c r="Q258" i="81" s="1"/>
  <c r="R258" i="81" s="1"/>
  <c r="S258" i="81" s="1"/>
  <c r="T258" i="81" s="1"/>
  <c r="U258" i="81" s="1"/>
  <c r="V258" i="81" s="1"/>
  <c r="W258" i="81" s="1"/>
  <c r="X258" i="81" s="1"/>
  <c r="Y258" i="81" s="1"/>
  <c r="Z258" i="81" s="1"/>
  <c r="AA258" i="81" s="1"/>
  <c r="AB258" i="81" s="1"/>
  <c r="AC258" i="81" s="1"/>
  <c r="AD258" i="81" s="1"/>
  <c r="AE258" i="81" s="1"/>
  <c r="AF258" i="81" s="1"/>
  <c r="D258" i="81"/>
  <c r="E258" i="81" s="1"/>
  <c r="F258" i="81" s="1"/>
  <c r="G258" i="81" s="1"/>
  <c r="H258" i="81" s="1"/>
  <c r="I258" i="81" s="1"/>
  <c r="J258" i="81" s="1"/>
  <c r="K258" i="81" s="1"/>
  <c r="L258" i="81" s="1"/>
  <c r="M258" i="81" s="1"/>
  <c r="N258" i="81" s="1"/>
  <c r="C258" i="81"/>
  <c r="E257" i="81"/>
  <c r="F257" i="81" s="1"/>
  <c r="G257" i="81" s="1"/>
  <c r="H257" i="81" s="1"/>
  <c r="I257" i="81" s="1"/>
  <c r="J257" i="81" s="1"/>
  <c r="K257" i="81" s="1"/>
  <c r="L257" i="81" s="1"/>
  <c r="M257" i="81" s="1"/>
  <c r="N257" i="81" s="1"/>
  <c r="O257" i="81" s="1"/>
  <c r="P257" i="81" s="1"/>
  <c r="Q257" i="81" s="1"/>
  <c r="R257" i="81" s="1"/>
  <c r="S257" i="81" s="1"/>
  <c r="T257" i="81" s="1"/>
  <c r="U257" i="81" s="1"/>
  <c r="V257" i="81" s="1"/>
  <c r="W257" i="81" s="1"/>
  <c r="X257" i="81" s="1"/>
  <c r="Y257" i="81" s="1"/>
  <c r="Z257" i="81" s="1"/>
  <c r="AA257" i="81" s="1"/>
  <c r="AB257" i="81" s="1"/>
  <c r="AC257" i="81" s="1"/>
  <c r="AD257" i="81" s="1"/>
  <c r="AE257" i="81" s="1"/>
  <c r="AF257" i="81" s="1"/>
  <c r="D257" i="81"/>
  <c r="C257" i="81"/>
  <c r="AD256" i="81"/>
  <c r="AE256" i="81" s="1"/>
  <c r="AF256" i="81" s="1"/>
  <c r="X256" i="81"/>
  <c r="Y256" i="81" s="1"/>
  <c r="Z256" i="81" s="1"/>
  <c r="AA256" i="81" s="1"/>
  <c r="AB256" i="81" s="1"/>
  <c r="AC256" i="81" s="1"/>
  <c r="C256" i="81"/>
  <c r="D256" i="81" s="1"/>
  <c r="E256" i="81" s="1"/>
  <c r="F256" i="81" s="1"/>
  <c r="G256" i="81" s="1"/>
  <c r="H256" i="81" s="1"/>
  <c r="I256" i="81" s="1"/>
  <c r="J256" i="81" s="1"/>
  <c r="K256" i="81" s="1"/>
  <c r="L256" i="81" s="1"/>
  <c r="M256" i="81" s="1"/>
  <c r="N256" i="81" s="1"/>
  <c r="O256" i="81" s="1"/>
  <c r="P256" i="81" s="1"/>
  <c r="Q256" i="81" s="1"/>
  <c r="R256" i="81" s="1"/>
  <c r="S256" i="81" s="1"/>
  <c r="T256" i="81" s="1"/>
  <c r="U256" i="81" s="1"/>
  <c r="V256" i="81" s="1"/>
  <c r="W256" i="81" s="1"/>
  <c r="D255" i="81"/>
  <c r="E255" i="81" s="1"/>
  <c r="F255" i="81" s="1"/>
  <c r="G255" i="81" s="1"/>
  <c r="H255" i="81" s="1"/>
  <c r="I255" i="81" s="1"/>
  <c r="J255" i="81" s="1"/>
  <c r="K255" i="81" s="1"/>
  <c r="L255" i="81" s="1"/>
  <c r="M255" i="81" s="1"/>
  <c r="N255" i="81" s="1"/>
  <c r="O255" i="81" s="1"/>
  <c r="P255" i="81" s="1"/>
  <c r="Q255" i="81" s="1"/>
  <c r="R255" i="81" s="1"/>
  <c r="S255" i="81" s="1"/>
  <c r="T255" i="81" s="1"/>
  <c r="U255" i="81" s="1"/>
  <c r="V255" i="81" s="1"/>
  <c r="W255" i="81" s="1"/>
  <c r="X255" i="81" s="1"/>
  <c r="Y255" i="81" s="1"/>
  <c r="Z255" i="81" s="1"/>
  <c r="AA255" i="81" s="1"/>
  <c r="AB255" i="81" s="1"/>
  <c r="AC255" i="81" s="1"/>
  <c r="AD255" i="81" s="1"/>
  <c r="AE255" i="81" s="1"/>
  <c r="AF255" i="81" s="1"/>
  <c r="C255" i="81"/>
  <c r="M254" i="81"/>
  <c r="N254" i="81" s="1"/>
  <c r="O254" i="81" s="1"/>
  <c r="P254" i="81" s="1"/>
  <c r="Q254" i="81" s="1"/>
  <c r="R254" i="81" s="1"/>
  <c r="S254" i="81" s="1"/>
  <c r="T254" i="81" s="1"/>
  <c r="U254" i="81" s="1"/>
  <c r="V254" i="81" s="1"/>
  <c r="W254" i="81" s="1"/>
  <c r="X254" i="81" s="1"/>
  <c r="Y254" i="81" s="1"/>
  <c r="Z254" i="81" s="1"/>
  <c r="AA254" i="81" s="1"/>
  <c r="AB254" i="81" s="1"/>
  <c r="AC254" i="81" s="1"/>
  <c r="AD254" i="81" s="1"/>
  <c r="AE254" i="81" s="1"/>
  <c r="AF254" i="81" s="1"/>
  <c r="F254" i="81"/>
  <c r="G254" i="81" s="1"/>
  <c r="H254" i="81" s="1"/>
  <c r="I254" i="81" s="1"/>
  <c r="J254" i="81" s="1"/>
  <c r="K254" i="81" s="1"/>
  <c r="L254" i="81" s="1"/>
  <c r="D254" i="81"/>
  <c r="E254" i="81" s="1"/>
  <c r="C254" i="81"/>
  <c r="P253" i="81"/>
  <c r="Q253" i="81" s="1"/>
  <c r="R253" i="81" s="1"/>
  <c r="S253" i="81" s="1"/>
  <c r="T253" i="81" s="1"/>
  <c r="U253" i="81" s="1"/>
  <c r="V253" i="81" s="1"/>
  <c r="W253" i="81" s="1"/>
  <c r="X253" i="81" s="1"/>
  <c r="Y253" i="81" s="1"/>
  <c r="Z253" i="81" s="1"/>
  <c r="AA253" i="81" s="1"/>
  <c r="AB253" i="81" s="1"/>
  <c r="AC253" i="81" s="1"/>
  <c r="AD253" i="81" s="1"/>
  <c r="AE253" i="81" s="1"/>
  <c r="AF253" i="81" s="1"/>
  <c r="C253" i="81"/>
  <c r="D253" i="81" s="1"/>
  <c r="E253" i="81" s="1"/>
  <c r="F253" i="81" s="1"/>
  <c r="G253" i="81" s="1"/>
  <c r="H253" i="81" s="1"/>
  <c r="I253" i="81" s="1"/>
  <c r="J253" i="81" s="1"/>
  <c r="K253" i="81" s="1"/>
  <c r="L253" i="81" s="1"/>
  <c r="M253" i="81" s="1"/>
  <c r="N253" i="81" s="1"/>
  <c r="O253" i="81" s="1"/>
  <c r="AC252" i="81"/>
  <c r="AD252" i="81" s="1"/>
  <c r="AE252" i="81" s="1"/>
  <c r="AF252" i="81" s="1"/>
  <c r="N252" i="81"/>
  <c r="O252" i="81" s="1"/>
  <c r="P252" i="81" s="1"/>
  <c r="Q252" i="81" s="1"/>
  <c r="R252" i="81" s="1"/>
  <c r="S252" i="81" s="1"/>
  <c r="T252" i="81" s="1"/>
  <c r="U252" i="81" s="1"/>
  <c r="V252" i="81" s="1"/>
  <c r="W252" i="81" s="1"/>
  <c r="X252" i="81" s="1"/>
  <c r="Y252" i="81" s="1"/>
  <c r="Z252" i="81" s="1"/>
  <c r="AA252" i="81" s="1"/>
  <c r="AB252" i="81" s="1"/>
  <c r="K252" i="81"/>
  <c r="L252" i="81" s="1"/>
  <c r="M252" i="81" s="1"/>
  <c r="C252" i="81"/>
  <c r="D252" i="81" s="1"/>
  <c r="E252" i="81" s="1"/>
  <c r="F252" i="81" s="1"/>
  <c r="G252" i="81" s="1"/>
  <c r="H252" i="81" s="1"/>
  <c r="I252" i="81" s="1"/>
  <c r="J252" i="81" s="1"/>
  <c r="I251" i="81"/>
  <c r="J251" i="81" s="1"/>
  <c r="K251" i="81" s="1"/>
  <c r="L251" i="81" s="1"/>
  <c r="M251" i="81" s="1"/>
  <c r="N251" i="81" s="1"/>
  <c r="O251" i="81" s="1"/>
  <c r="P251" i="81" s="1"/>
  <c r="Q251" i="81" s="1"/>
  <c r="R251" i="81" s="1"/>
  <c r="S251" i="81" s="1"/>
  <c r="T251" i="81" s="1"/>
  <c r="U251" i="81" s="1"/>
  <c r="V251" i="81" s="1"/>
  <c r="W251" i="81" s="1"/>
  <c r="X251" i="81" s="1"/>
  <c r="Y251" i="81" s="1"/>
  <c r="Z251" i="81" s="1"/>
  <c r="AA251" i="81" s="1"/>
  <c r="AB251" i="81" s="1"/>
  <c r="AC251" i="81" s="1"/>
  <c r="AD251" i="81" s="1"/>
  <c r="AE251" i="81" s="1"/>
  <c r="AF251" i="81" s="1"/>
  <c r="H251" i="81"/>
  <c r="D251" i="81"/>
  <c r="E251" i="81" s="1"/>
  <c r="F251" i="81" s="1"/>
  <c r="G251" i="81" s="1"/>
  <c r="C251" i="81"/>
  <c r="C250" i="81"/>
  <c r="D250" i="81" s="1"/>
  <c r="E250" i="81" s="1"/>
  <c r="F250" i="81" s="1"/>
  <c r="G250" i="81" s="1"/>
  <c r="H250" i="81" s="1"/>
  <c r="I250" i="81" s="1"/>
  <c r="J250" i="81" s="1"/>
  <c r="K250" i="81" s="1"/>
  <c r="L250" i="81" s="1"/>
  <c r="M250" i="81" s="1"/>
  <c r="N250" i="81" s="1"/>
  <c r="O250" i="81" s="1"/>
  <c r="P250" i="81" s="1"/>
  <c r="Q250" i="81" s="1"/>
  <c r="R250" i="81" s="1"/>
  <c r="S250" i="81" s="1"/>
  <c r="T250" i="81" s="1"/>
  <c r="U250" i="81" s="1"/>
  <c r="V250" i="81" s="1"/>
  <c r="W250" i="81" s="1"/>
  <c r="X250" i="81" s="1"/>
  <c r="Y250" i="81" s="1"/>
  <c r="Z250" i="81" s="1"/>
  <c r="AA250" i="81" s="1"/>
  <c r="AB250" i="81" s="1"/>
  <c r="AC250" i="81" s="1"/>
  <c r="AD250" i="81" s="1"/>
  <c r="AE250" i="81" s="1"/>
  <c r="AF250" i="81" s="1"/>
  <c r="X249" i="81"/>
  <c r="Y249" i="81" s="1"/>
  <c r="Z249" i="81" s="1"/>
  <c r="AA249" i="81" s="1"/>
  <c r="AB249" i="81" s="1"/>
  <c r="AC249" i="81" s="1"/>
  <c r="AD249" i="81" s="1"/>
  <c r="AE249" i="81" s="1"/>
  <c r="AF249" i="81" s="1"/>
  <c r="C249" i="81"/>
  <c r="D249" i="81" s="1"/>
  <c r="E249" i="81" s="1"/>
  <c r="F249" i="81" s="1"/>
  <c r="G249" i="81" s="1"/>
  <c r="H249" i="81" s="1"/>
  <c r="I249" i="81" s="1"/>
  <c r="J249" i="81" s="1"/>
  <c r="K249" i="81" s="1"/>
  <c r="L249" i="81" s="1"/>
  <c r="M249" i="81" s="1"/>
  <c r="N249" i="81" s="1"/>
  <c r="O249" i="81" s="1"/>
  <c r="P249" i="81" s="1"/>
  <c r="Q249" i="81" s="1"/>
  <c r="R249" i="81" s="1"/>
  <c r="S249" i="81" s="1"/>
  <c r="T249" i="81" s="1"/>
  <c r="U249" i="81" s="1"/>
  <c r="V249" i="81" s="1"/>
  <c r="W249" i="81" s="1"/>
  <c r="C248" i="81"/>
  <c r="D248" i="81" s="1"/>
  <c r="E248" i="81" s="1"/>
  <c r="F248" i="81" s="1"/>
  <c r="G248" i="81" s="1"/>
  <c r="H248" i="81" s="1"/>
  <c r="I248" i="81" s="1"/>
  <c r="J248" i="81" s="1"/>
  <c r="K248" i="81" s="1"/>
  <c r="L248" i="81" s="1"/>
  <c r="M248" i="81" s="1"/>
  <c r="N248" i="81" s="1"/>
  <c r="O248" i="81" s="1"/>
  <c r="P248" i="81" s="1"/>
  <c r="Q248" i="81" s="1"/>
  <c r="R248" i="81" s="1"/>
  <c r="S248" i="81" s="1"/>
  <c r="T248" i="81" s="1"/>
  <c r="U248" i="81" s="1"/>
  <c r="V248" i="81" s="1"/>
  <c r="W248" i="81" s="1"/>
  <c r="X248" i="81" s="1"/>
  <c r="Y248" i="81" s="1"/>
  <c r="Z248" i="81" s="1"/>
  <c r="AA248" i="81" s="1"/>
  <c r="AB248" i="81" s="1"/>
  <c r="AC248" i="81" s="1"/>
  <c r="AD248" i="81" s="1"/>
  <c r="AE248" i="81" s="1"/>
  <c r="AF248" i="81" s="1"/>
  <c r="H247" i="81"/>
  <c r="I247" i="81" s="1"/>
  <c r="J247" i="81" s="1"/>
  <c r="K247" i="81" s="1"/>
  <c r="L247" i="81" s="1"/>
  <c r="M247" i="81" s="1"/>
  <c r="N247" i="81" s="1"/>
  <c r="O247" i="81" s="1"/>
  <c r="P247" i="81" s="1"/>
  <c r="Q247" i="81" s="1"/>
  <c r="R247" i="81" s="1"/>
  <c r="S247" i="81" s="1"/>
  <c r="T247" i="81" s="1"/>
  <c r="U247" i="81" s="1"/>
  <c r="V247" i="81" s="1"/>
  <c r="W247" i="81" s="1"/>
  <c r="X247" i="81" s="1"/>
  <c r="Y247" i="81" s="1"/>
  <c r="Z247" i="81" s="1"/>
  <c r="AA247" i="81" s="1"/>
  <c r="AB247" i="81" s="1"/>
  <c r="AC247" i="81" s="1"/>
  <c r="AD247" i="81" s="1"/>
  <c r="AE247" i="81" s="1"/>
  <c r="AF247" i="81" s="1"/>
  <c r="G247" i="81"/>
  <c r="D247" i="81"/>
  <c r="E247" i="81" s="1"/>
  <c r="F247" i="81" s="1"/>
  <c r="C247" i="81"/>
  <c r="AD246" i="81"/>
  <c r="AE246" i="81" s="1"/>
  <c r="AF246" i="81" s="1"/>
  <c r="C246" i="81"/>
  <c r="D246" i="81" s="1"/>
  <c r="E246" i="81" s="1"/>
  <c r="F246" i="81" s="1"/>
  <c r="G246" i="81" s="1"/>
  <c r="H246" i="81" s="1"/>
  <c r="I246" i="81" s="1"/>
  <c r="J246" i="81" s="1"/>
  <c r="K246" i="81" s="1"/>
  <c r="L246" i="81" s="1"/>
  <c r="M246" i="81" s="1"/>
  <c r="N246" i="81" s="1"/>
  <c r="O246" i="81" s="1"/>
  <c r="P246" i="81" s="1"/>
  <c r="Q246" i="81" s="1"/>
  <c r="R246" i="81" s="1"/>
  <c r="S246" i="81" s="1"/>
  <c r="T246" i="81" s="1"/>
  <c r="U246" i="81" s="1"/>
  <c r="V246" i="81" s="1"/>
  <c r="W246" i="81" s="1"/>
  <c r="X246" i="81" s="1"/>
  <c r="Y246" i="81" s="1"/>
  <c r="Z246" i="81" s="1"/>
  <c r="AA246" i="81" s="1"/>
  <c r="AB246" i="81" s="1"/>
  <c r="AC246" i="81" s="1"/>
  <c r="AB245" i="81"/>
  <c r="AC245" i="81" s="1"/>
  <c r="AD245" i="81" s="1"/>
  <c r="AE245" i="81" s="1"/>
  <c r="AF245" i="81" s="1"/>
  <c r="I245" i="81"/>
  <c r="J245" i="81" s="1"/>
  <c r="K245" i="81" s="1"/>
  <c r="L245" i="81" s="1"/>
  <c r="M245" i="81" s="1"/>
  <c r="N245" i="81" s="1"/>
  <c r="O245" i="81" s="1"/>
  <c r="P245" i="81" s="1"/>
  <c r="Q245" i="81" s="1"/>
  <c r="R245" i="81" s="1"/>
  <c r="S245" i="81" s="1"/>
  <c r="T245" i="81" s="1"/>
  <c r="U245" i="81" s="1"/>
  <c r="V245" i="81" s="1"/>
  <c r="W245" i="81" s="1"/>
  <c r="X245" i="81" s="1"/>
  <c r="Y245" i="81" s="1"/>
  <c r="Z245" i="81" s="1"/>
  <c r="AA245" i="81" s="1"/>
  <c r="C245" i="81"/>
  <c r="D245" i="81" s="1"/>
  <c r="E245" i="81" s="1"/>
  <c r="F245" i="81" s="1"/>
  <c r="G245" i="81" s="1"/>
  <c r="H245" i="81" s="1"/>
  <c r="C244" i="81"/>
  <c r="D244" i="81" s="1"/>
  <c r="E244" i="81" s="1"/>
  <c r="F244" i="81" s="1"/>
  <c r="G244" i="81" s="1"/>
  <c r="H244" i="81" s="1"/>
  <c r="I244" i="81" s="1"/>
  <c r="J244" i="81" s="1"/>
  <c r="K244" i="81" s="1"/>
  <c r="L244" i="81" s="1"/>
  <c r="M244" i="81" s="1"/>
  <c r="N244" i="81" s="1"/>
  <c r="O244" i="81" s="1"/>
  <c r="P244" i="81" s="1"/>
  <c r="Q244" i="81" s="1"/>
  <c r="R244" i="81" s="1"/>
  <c r="S244" i="81" s="1"/>
  <c r="T244" i="81" s="1"/>
  <c r="U244" i="81" s="1"/>
  <c r="V244" i="81" s="1"/>
  <c r="W244" i="81" s="1"/>
  <c r="X244" i="81" s="1"/>
  <c r="Y244" i="81" s="1"/>
  <c r="Z244" i="81" s="1"/>
  <c r="AA244" i="81" s="1"/>
  <c r="AB244" i="81" s="1"/>
  <c r="AC244" i="81" s="1"/>
  <c r="AD244" i="81" s="1"/>
  <c r="AE244" i="81" s="1"/>
  <c r="AF244" i="81" s="1"/>
  <c r="O243" i="81"/>
  <c r="P243" i="81" s="1"/>
  <c r="Q243" i="81" s="1"/>
  <c r="R243" i="81" s="1"/>
  <c r="S243" i="81" s="1"/>
  <c r="T243" i="81" s="1"/>
  <c r="U243" i="81" s="1"/>
  <c r="V243" i="81" s="1"/>
  <c r="W243" i="81" s="1"/>
  <c r="X243" i="81" s="1"/>
  <c r="Y243" i="81" s="1"/>
  <c r="Z243" i="81" s="1"/>
  <c r="AA243" i="81" s="1"/>
  <c r="AB243" i="81" s="1"/>
  <c r="AC243" i="81" s="1"/>
  <c r="AD243" i="81" s="1"/>
  <c r="AE243" i="81" s="1"/>
  <c r="AF243" i="81" s="1"/>
  <c r="H243" i="81"/>
  <c r="I243" i="81" s="1"/>
  <c r="J243" i="81" s="1"/>
  <c r="K243" i="81" s="1"/>
  <c r="L243" i="81" s="1"/>
  <c r="M243" i="81" s="1"/>
  <c r="N243" i="81" s="1"/>
  <c r="E243" i="81"/>
  <c r="F243" i="81" s="1"/>
  <c r="G243" i="81" s="1"/>
  <c r="D243" i="81"/>
  <c r="C243" i="81"/>
  <c r="S242" i="81"/>
  <c r="T242" i="81" s="1"/>
  <c r="U242" i="81" s="1"/>
  <c r="V242" i="81" s="1"/>
  <c r="W242" i="81" s="1"/>
  <c r="X242" i="81" s="1"/>
  <c r="Y242" i="81" s="1"/>
  <c r="Z242" i="81" s="1"/>
  <c r="AA242" i="81" s="1"/>
  <c r="AB242" i="81" s="1"/>
  <c r="AC242" i="81" s="1"/>
  <c r="AD242" i="81" s="1"/>
  <c r="AE242" i="81" s="1"/>
  <c r="AF242" i="81" s="1"/>
  <c r="C242" i="81"/>
  <c r="D242" i="81" s="1"/>
  <c r="E242" i="81" s="1"/>
  <c r="F242" i="81" s="1"/>
  <c r="G242" i="81" s="1"/>
  <c r="H242" i="81" s="1"/>
  <c r="I242" i="81" s="1"/>
  <c r="J242" i="81" s="1"/>
  <c r="K242" i="81" s="1"/>
  <c r="L242" i="81" s="1"/>
  <c r="M242" i="81" s="1"/>
  <c r="N242" i="81" s="1"/>
  <c r="O242" i="81" s="1"/>
  <c r="P242" i="81" s="1"/>
  <c r="Q242" i="81" s="1"/>
  <c r="R242" i="81" s="1"/>
  <c r="Q241" i="81"/>
  <c r="R241" i="81" s="1"/>
  <c r="S241" i="81" s="1"/>
  <c r="T241" i="81" s="1"/>
  <c r="U241" i="81" s="1"/>
  <c r="V241" i="81" s="1"/>
  <c r="W241" i="81" s="1"/>
  <c r="X241" i="81" s="1"/>
  <c r="Y241" i="81" s="1"/>
  <c r="Z241" i="81" s="1"/>
  <c r="AA241" i="81" s="1"/>
  <c r="AB241" i="81" s="1"/>
  <c r="AC241" i="81" s="1"/>
  <c r="AD241" i="81" s="1"/>
  <c r="AE241" i="81" s="1"/>
  <c r="AF241" i="81" s="1"/>
  <c r="C241" i="81"/>
  <c r="D241" i="81" s="1"/>
  <c r="E241" i="81" s="1"/>
  <c r="F241" i="81" s="1"/>
  <c r="G241" i="81" s="1"/>
  <c r="H241" i="81" s="1"/>
  <c r="I241" i="81" s="1"/>
  <c r="J241" i="81" s="1"/>
  <c r="K241" i="81" s="1"/>
  <c r="L241" i="81" s="1"/>
  <c r="M241" i="81" s="1"/>
  <c r="N241" i="81" s="1"/>
  <c r="O241" i="81" s="1"/>
  <c r="P241" i="81" s="1"/>
  <c r="Q240" i="81"/>
  <c r="R240" i="81" s="1"/>
  <c r="S240" i="81" s="1"/>
  <c r="T240" i="81" s="1"/>
  <c r="U240" i="81" s="1"/>
  <c r="V240" i="81" s="1"/>
  <c r="W240" i="81" s="1"/>
  <c r="X240" i="81" s="1"/>
  <c r="Y240" i="81" s="1"/>
  <c r="Z240" i="81" s="1"/>
  <c r="AA240" i="81" s="1"/>
  <c r="AB240" i="81" s="1"/>
  <c r="AC240" i="81" s="1"/>
  <c r="AD240" i="81" s="1"/>
  <c r="AE240" i="81" s="1"/>
  <c r="AF240" i="81" s="1"/>
  <c r="O240" i="81"/>
  <c r="P240" i="81" s="1"/>
  <c r="C240" i="81"/>
  <c r="D240" i="81" s="1"/>
  <c r="E240" i="81" s="1"/>
  <c r="F240" i="81" s="1"/>
  <c r="G240" i="81" s="1"/>
  <c r="H240" i="81" s="1"/>
  <c r="I240" i="81" s="1"/>
  <c r="J240" i="81" s="1"/>
  <c r="K240" i="81" s="1"/>
  <c r="L240" i="81" s="1"/>
  <c r="M240" i="81" s="1"/>
  <c r="N240" i="81" s="1"/>
  <c r="E239" i="81"/>
  <c r="F239" i="81" s="1"/>
  <c r="G239" i="81" s="1"/>
  <c r="H239" i="81" s="1"/>
  <c r="I239" i="81" s="1"/>
  <c r="J239" i="81" s="1"/>
  <c r="K239" i="81" s="1"/>
  <c r="L239" i="81" s="1"/>
  <c r="M239" i="81" s="1"/>
  <c r="N239" i="81" s="1"/>
  <c r="O239" i="81" s="1"/>
  <c r="P239" i="81" s="1"/>
  <c r="Q239" i="81" s="1"/>
  <c r="R239" i="81" s="1"/>
  <c r="S239" i="81" s="1"/>
  <c r="T239" i="81" s="1"/>
  <c r="U239" i="81" s="1"/>
  <c r="V239" i="81" s="1"/>
  <c r="W239" i="81" s="1"/>
  <c r="X239" i="81" s="1"/>
  <c r="Y239" i="81" s="1"/>
  <c r="Z239" i="81" s="1"/>
  <c r="AA239" i="81" s="1"/>
  <c r="AB239" i="81" s="1"/>
  <c r="AC239" i="81" s="1"/>
  <c r="AD239" i="81" s="1"/>
  <c r="AE239" i="81" s="1"/>
  <c r="AF239" i="81" s="1"/>
  <c r="D239" i="81"/>
  <c r="C239" i="81"/>
  <c r="AA238" i="81"/>
  <c r="AB238" i="81" s="1"/>
  <c r="AC238" i="81" s="1"/>
  <c r="AD238" i="81" s="1"/>
  <c r="AE238" i="81" s="1"/>
  <c r="AF238" i="81" s="1"/>
  <c r="U238" i="81"/>
  <c r="V238" i="81" s="1"/>
  <c r="W238" i="81" s="1"/>
  <c r="X238" i="81" s="1"/>
  <c r="Y238" i="81" s="1"/>
  <c r="Z238" i="81" s="1"/>
  <c r="E238" i="81"/>
  <c r="F238" i="81" s="1"/>
  <c r="G238" i="81" s="1"/>
  <c r="H238" i="81" s="1"/>
  <c r="I238" i="81" s="1"/>
  <c r="J238" i="81" s="1"/>
  <c r="K238" i="81" s="1"/>
  <c r="L238" i="81" s="1"/>
  <c r="M238" i="81" s="1"/>
  <c r="N238" i="81" s="1"/>
  <c r="O238" i="81" s="1"/>
  <c r="P238" i="81" s="1"/>
  <c r="Q238" i="81" s="1"/>
  <c r="R238" i="81" s="1"/>
  <c r="S238" i="81" s="1"/>
  <c r="T238" i="81" s="1"/>
  <c r="C238" i="81"/>
  <c r="D238" i="81" s="1"/>
  <c r="C237" i="81"/>
  <c r="D237" i="81" s="1"/>
  <c r="E237" i="81" s="1"/>
  <c r="F237" i="81" s="1"/>
  <c r="G237" i="81" s="1"/>
  <c r="H237" i="81" s="1"/>
  <c r="I237" i="81" s="1"/>
  <c r="J237" i="81" s="1"/>
  <c r="K237" i="81" s="1"/>
  <c r="L237" i="81" s="1"/>
  <c r="M237" i="81" s="1"/>
  <c r="N237" i="81" s="1"/>
  <c r="O237" i="81" s="1"/>
  <c r="P237" i="81" s="1"/>
  <c r="Q237" i="81" s="1"/>
  <c r="R237" i="81" s="1"/>
  <c r="S237" i="81" s="1"/>
  <c r="T237" i="81" s="1"/>
  <c r="U237" i="81" s="1"/>
  <c r="V237" i="81" s="1"/>
  <c r="W237" i="81" s="1"/>
  <c r="X237" i="81" s="1"/>
  <c r="Y237" i="81" s="1"/>
  <c r="Z237" i="81" s="1"/>
  <c r="AA237" i="81" s="1"/>
  <c r="AB237" i="81" s="1"/>
  <c r="AC237" i="81" s="1"/>
  <c r="AD237" i="81" s="1"/>
  <c r="AE237" i="81" s="1"/>
  <c r="AF237" i="81" s="1"/>
  <c r="Q236" i="81"/>
  <c r="R236" i="81" s="1"/>
  <c r="S236" i="81" s="1"/>
  <c r="T236" i="81" s="1"/>
  <c r="U236" i="81" s="1"/>
  <c r="V236" i="81" s="1"/>
  <c r="W236" i="81" s="1"/>
  <c r="X236" i="81" s="1"/>
  <c r="Y236" i="81" s="1"/>
  <c r="Z236" i="81" s="1"/>
  <c r="AA236" i="81" s="1"/>
  <c r="AB236" i="81" s="1"/>
  <c r="AC236" i="81" s="1"/>
  <c r="AD236" i="81" s="1"/>
  <c r="AE236" i="81" s="1"/>
  <c r="AF236" i="81" s="1"/>
  <c r="C236" i="81"/>
  <c r="D236" i="81" s="1"/>
  <c r="E236" i="81" s="1"/>
  <c r="F236" i="81" s="1"/>
  <c r="G236" i="81" s="1"/>
  <c r="H236" i="81" s="1"/>
  <c r="I236" i="81" s="1"/>
  <c r="J236" i="81" s="1"/>
  <c r="K236" i="81" s="1"/>
  <c r="L236" i="81" s="1"/>
  <c r="M236" i="81" s="1"/>
  <c r="N236" i="81" s="1"/>
  <c r="O236" i="81" s="1"/>
  <c r="P236" i="81" s="1"/>
  <c r="U235" i="81"/>
  <c r="V235" i="81" s="1"/>
  <c r="W235" i="81" s="1"/>
  <c r="X235" i="81" s="1"/>
  <c r="Y235" i="81" s="1"/>
  <c r="Z235" i="81" s="1"/>
  <c r="AA235" i="81" s="1"/>
  <c r="AB235" i="81" s="1"/>
  <c r="AC235" i="81" s="1"/>
  <c r="AD235" i="81" s="1"/>
  <c r="AE235" i="81" s="1"/>
  <c r="AF235" i="81" s="1"/>
  <c r="E235" i="81"/>
  <c r="F235" i="81" s="1"/>
  <c r="G235" i="81" s="1"/>
  <c r="H235" i="81" s="1"/>
  <c r="I235" i="81" s="1"/>
  <c r="J235" i="81" s="1"/>
  <c r="K235" i="81" s="1"/>
  <c r="L235" i="81" s="1"/>
  <c r="M235" i="81" s="1"/>
  <c r="N235" i="81" s="1"/>
  <c r="O235" i="81" s="1"/>
  <c r="P235" i="81" s="1"/>
  <c r="Q235" i="81" s="1"/>
  <c r="R235" i="81" s="1"/>
  <c r="S235" i="81" s="1"/>
  <c r="T235" i="81" s="1"/>
  <c r="D235" i="81"/>
  <c r="C235" i="81"/>
  <c r="AA234" i="81"/>
  <c r="AB234" i="81" s="1"/>
  <c r="AC234" i="81" s="1"/>
  <c r="AD234" i="81" s="1"/>
  <c r="AE234" i="81" s="1"/>
  <c r="AF234" i="81" s="1"/>
  <c r="K234" i="81"/>
  <c r="L234" i="81" s="1"/>
  <c r="M234" i="81" s="1"/>
  <c r="N234" i="81" s="1"/>
  <c r="O234" i="81" s="1"/>
  <c r="P234" i="81" s="1"/>
  <c r="Q234" i="81" s="1"/>
  <c r="R234" i="81" s="1"/>
  <c r="S234" i="81" s="1"/>
  <c r="T234" i="81" s="1"/>
  <c r="U234" i="81" s="1"/>
  <c r="V234" i="81" s="1"/>
  <c r="W234" i="81" s="1"/>
  <c r="X234" i="81" s="1"/>
  <c r="Y234" i="81" s="1"/>
  <c r="Z234" i="81" s="1"/>
  <c r="E234" i="81"/>
  <c r="F234" i="81" s="1"/>
  <c r="G234" i="81" s="1"/>
  <c r="H234" i="81" s="1"/>
  <c r="I234" i="81" s="1"/>
  <c r="J234" i="81" s="1"/>
  <c r="C234" i="81"/>
  <c r="D234" i="81" s="1"/>
  <c r="I233" i="81"/>
  <c r="J233" i="81" s="1"/>
  <c r="K233" i="81" s="1"/>
  <c r="L233" i="81" s="1"/>
  <c r="M233" i="81" s="1"/>
  <c r="N233" i="81" s="1"/>
  <c r="O233" i="81" s="1"/>
  <c r="P233" i="81" s="1"/>
  <c r="Q233" i="81" s="1"/>
  <c r="R233" i="81" s="1"/>
  <c r="S233" i="81" s="1"/>
  <c r="T233" i="81" s="1"/>
  <c r="U233" i="81" s="1"/>
  <c r="V233" i="81" s="1"/>
  <c r="W233" i="81" s="1"/>
  <c r="X233" i="81" s="1"/>
  <c r="Y233" i="81" s="1"/>
  <c r="Z233" i="81" s="1"/>
  <c r="AA233" i="81" s="1"/>
  <c r="AB233" i="81" s="1"/>
  <c r="AC233" i="81" s="1"/>
  <c r="AD233" i="81" s="1"/>
  <c r="AE233" i="81" s="1"/>
  <c r="AF233" i="81" s="1"/>
  <c r="C233" i="81"/>
  <c r="D233" i="81" s="1"/>
  <c r="E233" i="81" s="1"/>
  <c r="F233" i="81" s="1"/>
  <c r="G233" i="81" s="1"/>
  <c r="H233" i="81" s="1"/>
  <c r="Y232" i="81"/>
  <c r="Z232" i="81" s="1"/>
  <c r="AA232" i="81" s="1"/>
  <c r="AB232" i="81" s="1"/>
  <c r="AC232" i="81" s="1"/>
  <c r="AD232" i="81" s="1"/>
  <c r="AE232" i="81" s="1"/>
  <c r="AF232" i="81" s="1"/>
  <c r="W232" i="81"/>
  <c r="X232" i="81" s="1"/>
  <c r="G232" i="81"/>
  <c r="H232" i="81" s="1"/>
  <c r="I232" i="81" s="1"/>
  <c r="J232" i="81" s="1"/>
  <c r="K232" i="81" s="1"/>
  <c r="L232" i="81" s="1"/>
  <c r="M232" i="81" s="1"/>
  <c r="N232" i="81" s="1"/>
  <c r="O232" i="81" s="1"/>
  <c r="P232" i="81" s="1"/>
  <c r="Q232" i="81" s="1"/>
  <c r="R232" i="81" s="1"/>
  <c r="S232" i="81" s="1"/>
  <c r="T232" i="81" s="1"/>
  <c r="U232" i="81" s="1"/>
  <c r="V232" i="81" s="1"/>
  <c r="C232" i="81"/>
  <c r="D232" i="81" s="1"/>
  <c r="E232" i="81" s="1"/>
  <c r="F232" i="81" s="1"/>
  <c r="E231" i="81"/>
  <c r="F231" i="81" s="1"/>
  <c r="G231" i="81" s="1"/>
  <c r="H231" i="81" s="1"/>
  <c r="I231" i="81" s="1"/>
  <c r="J231" i="81" s="1"/>
  <c r="K231" i="81" s="1"/>
  <c r="L231" i="81" s="1"/>
  <c r="M231" i="81" s="1"/>
  <c r="N231" i="81" s="1"/>
  <c r="O231" i="81" s="1"/>
  <c r="P231" i="81" s="1"/>
  <c r="Q231" i="81" s="1"/>
  <c r="R231" i="81" s="1"/>
  <c r="S231" i="81" s="1"/>
  <c r="T231" i="81" s="1"/>
  <c r="U231" i="81" s="1"/>
  <c r="V231" i="81" s="1"/>
  <c r="W231" i="81" s="1"/>
  <c r="X231" i="81" s="1"/>
  <c r="Y231" i="81" s="1"/>
  <c r="Z231" i="81" s="1"/>
  <c r="AA231" i="81" s="1"/>
  <c r="AB231" i="81" s="1"/>
  <c r="AC231" i="81" s="1"/>
  <c r="AD231" i="81" s="1"/>
  <c r="AE231" i="81" s="1"/>
  <c r="AF231" i="81" s="1"/>
  <c r="D231" i="81"/>
  <c r="C231" i="81"/>
  <c r="J230" i="81"/>
  <c r="K230" i="81" s="1"/>
  <c r="L230" i="81" s="1"/>
  <c r="M230" i="81" s="1"/>
  <c r="N230" i="81" s="1"/>
  <c r="O230" i="81" s="1"/>
  <c r="P230" i="81" s="1"/>
  <c r="Q230" i="81" s="1"/>
  <c r="R230" i="81" s="1"/>
  <c r="S230" i="81" s="1"/>
  <c r="T230" i="81" s="1"/>
  <c r="U230" i="81" s="1"/>
  <c r="V230" i="81" s="1"/>
  <c r="W230" i="81" s="1"/>
  <c r="X230" i="81" s="1"/>
  <c r="Y230" i="81" s="1"/>
  <c r="Z230" i="81" s="1"/>
  <c r="AA230" i="81" s="1"/>
  <c r="AB230" i="81" s="1"/>
  <c r="AC230" i="81" s="1"/>
  <c r="AD230" i="81" s="1"/>
  <c r="AE230" i="81" s="1"/>
  <c r="AF230" i="81" s="1"/>
  <c r="C230" i="81"/>
  <c r="D230" i="81" s="1"/>
  <c r="E230" i="81" s="1"/>
  <c r="F230" i="81" s="1"/>
  <c r="G230" i="81" s="1"/>
  <c r="H230" i="81" s="1"/>
  <c r="I230" i="81" s="1"/>
  <c r="AF229" i="81"/>
  <c r="D229" i="81"/>
  <c r="E229" i="81" s="1"/>
  <c r="F229" i="81" s="1"/>
  <c r="G229" i="81" s="1"/>
  <c r="H229" i="81" s="1"/>
  <c r="I229" i="81" s="1"/>
  <c r="J229" i="81" s="1"/>
  <c r="K229" i="81" s="1"/>
  <c r="L229" i="81" s="1"/>
  <c r="M229" i="81" s="1"/>
  <c r="N229" i="81" s="1"/>
  <c r="O229" i="81" s="1"/>
  <c r="P229" i="81" s="1"/>
  <c r="Q229" i="81" s="1"/>
  <c r="R229" i="81" s="1"/>
  <c r="S229" i="81" s="1"/>
  <c r="T229" i="81" s="1"/>
  <c r="U229" i="81" s="1"/>
  <c r="V229" i="81" s="1"/>
  <c r="W229" i="81" s="1"/>
  <c r="X229" i="81" s="1"/>
  <c r="Y229" i="81" s="1"/>
  <c r="Z229" i="81" s="1"/>
  <c r="AA229" i="81" s="1"/>
  <c r="AB229" i="81" s="1"/>
  <c r="AC229" i="81" s="1"/>
  <c r="AD229" i="81" s="1"/>
  <c r="AE229" i="81" s="1"/>
  <c r="C229" i="81"/>
  <c r="F228" i="81"/>
  <c r="G228" i="81" s="1"/>
  <c r="H228" i="81" s="1"/>
  <c r="I228" i="81" s="1"/>
  <c r="J228" i="81" s="1"/>
  <c r="K228" i="81" s="1"/>
  <c r="L228" i="81" s="1"/>
  <c r="M228" i="81" s="1"/>
  <c r="N228" i="81" s="1"/>
  <c r="O228" i="81" s="1"/>
  <c r="P228" i="81" s="1"/>
  <c r="Q228" i="81" s="1"/>
  <c r="R228" i="81" s="1"/>
  <c r="S228" i="81" s="1"/>
  <c r="T228" i="81" s="1"/>
  <c r="U228" i="81" s="1"/>
  <c r="V228" i="81" s="1"/>
  <c r="W228" i="81" s="1"/>
  <c r="X228" i="81" s="1"/>
  <c r="Y228" i="81" s="1"/>
  <c r="Z228" i="81" s="1"/>
  <c r="AA228" i="81" s="1"/>
  <c r="AB228" i="81" s="1"/>
  <c r="AC228" i="81" s="1"/>
  <c r="AD228" i="81" s="1"/>
  <c r="AE228" i="81" s="1"/>
  <c r="AF228" i="81" s="1"/>
  <c r="C228" i="81"/>
  <c r="D228" i="81" s="1"/>
  <c r="E228" i="81" s="1"/>
  <c r="L227" i="81"/>
  <c r="M227" i="81" s="1"/>
  <c r="N227" i="81" s="1"/>
  <c r="O227" i="81" s="1"/>
  <c r="P227" i="81" s="1"/>
  <c r="Q227" i="81" s="1"/>
  <c r="R227" i="81" s="1"/>
  <c r="S227" i="81" s="1"/>
  <c r="T227" i="81" s="1"/>
  <c r="U227" i="81" s="1"/>
  <c r="V227" i="81" s="1"/>
  <c r="W227" i="81" s="1"/>
  <c r="X227" i="81" s="1"/>
  <c r="Y227" i="81" s="1"/>
  <c r="Z227" i="81" s="1"/>
  <c r="AA227" i="81" s="1"/>
  <c r="AB227" i="81" s="1"/>
  <c r="AC227" i="81" s="1"/>
  <c r="AD227" i="81" s="1"/>
  <c r="AE227" i="81" s="1"/>
  <c r="AF227" i="81" s="1"/>
  <c r="E227" i="81"/>
  <c r="F227" i="81" s="1"/>
  <c r="G227" i="81" s="1"/>
  <c r="H227" i="81" s="1"/>
  <c r="I227" i="81" s="1"/>
  <c r="J227" i="81" s="1"/>
  <c r="K227" i="81" s="1"/>
  <c r="D227" i="81"/>
  <c r="C227" i="81"/>
  <c r="K226" i="81"/>
  <c r="L226" i="81" s="1"/>
  <c r="M226" i="81" s="1"/>
  <c r="N226" i="81" s="1"/>
  <c r="O226" i="81" s="1"/>
  <c r="P226" i="81" s="1"/>
  <c r="Q226" i="81" s="1"/>
  <c r="R226" i="81" s="1"/>
  <c r="S226" i="81" s="1"/>
  <c r="T226" i="81" s="1"/>
  <c r="U226" i="81" s="1"/>
  <c r="V226" i="81" s="1"/>
  <c r="W226" i="81" s="1"/>
  <c r="X226" i="81" s="1"/>
  <c r="Y226" i="81" s="1"/>
  <c r="Z226" i="81" s="1"/>
  <c r="AA226" i="81" s="1"/>
  <c r="AB226" i="81" s="1"/>
  <c r="AC226" i="81" s="1"/>
  <c r="AD226" i="81" s="1"/>
  <c r="AE226" i="81" s="1"/>
  <c r="AF226" i="81" s="1"/>
  <c r="J226" i="81"/>
  <c r="C226" i="81"/>
  <c r="D226" i="81" s="1"/>
  <c r="E226" i="81" s="1"/>
  <c r="F226" i="81" s="1"/>
  <c r="G226" i="81" s="1"/>
  <c r="H226" i="81" s="1"/>
  <c r="I226" i="81" s="1"/>
  <c r="P225" i="81"/>
  <c r="Q225" i="81" s="1"/>
  <c r="R225" i="81" s="1"/>
  <c r="S225" i="81" s="1"/>
  <c r="T225" i="81" s="1"/>
  <c r="U225" i="81" s="1"/>
  <c r="V225" i="81" s="1"/>
  <c r="W225" i="81" s="1"/>
  <c r="X225" i="81" s="1"/>
  <c r="Y225" i="81" s="1"/>
  <c r="Z225" i="81" s="1"/>
  <c r="AA225" i="81" s="1"/>
  <c r="AB225" i="81" s="1"/>
  <c r="AC225" i="81" s="1"/>
  <c r="AD225" i="81" s="1"/>
  <c r="AE225" i="81" s="1"/>
  <c r="AF225" i="81" s="1"/>
  <c r="I225" i="81"/>
  <c r="J225" i="81" s="1"/>
  <c r="K225" i="81" s="1"/>
  <c r="L225" i="81" s="1"/>
  <c r="M225" i="81" s="1"/>
  <c r="N225" i="81" s="1"/>
  <c r="O225" i="81" s="1"/>
  <c r="H225" i="81"/>
  <c r="D225" i="81"/>
  <c r="E225" i="81" s="1"/>
  <c r="F225" i="81" s="1"/>
  <c r="G225" i="81" s="1"/>
  <c r="C225" i="81"/>
  <c r="C224" i="81"/>
  <c r="D224" i="81" s="1"/>
  <c r="E224" i="81" s="1"/>
  <c r="F224" i="81" s="1"/>
  <c r="G224" i="81" s="1"/>
  <c r="H224" i="81" s="1"/>
  <c r="I224" i="81" s="1"/>
  <c r="J224" i="81" s="1"/>
  <c r="K224" i="81" s="1"/>
  <c r="L224" i="81" s="1"/>
  <c r="M224" i="81" s="1"/>
  <c r="N224" i="81" s="1"/>
  <c r="O224" i="81" s="1"/>
  <c r="P224" i="81" s="1"/>
  <c r="Q224" i="81" s="1"/>
  <c r="R224" i="81" s="1"/>
  <c r="S224" i="81" s="1"/>
  <c r="T224" i="81" s="1"/>
  <c r="U224" i="81" s="1"/>
  <c r="V224" i="81" s="1"/>
  <c r="W224" i="81" s="1"/>
  <c r="X224" i="81" s="1"/>
  <c r="Y224" i="81" s="1"/>
  <c r="Z224" i="81" s="1"/>
  <c r="AA224" i="81" s="1"/>
  <c r="AB224" i="81" s="1"/>
  <c r="AC224" i="81" s="1"/>
  <c r="AD224" i="81" s="1"/>
  <c r="AE224" i="81" s="1"/>
  <c r="AF224" i="81" s="1"/>
  <c r="C223" i="81"/>
  <c r="D223" i="81" s="1"/>
  <c r="E223" i="81" s="1"/>
  <c r="F223" i="81" s="1"/>
  <c r="G223" i="81" s="1"/>
  <c r="H223" i="81" s="1"/>
  <c r="I223" i="81" s="1"/>
  <c r="J223" i="81" s="1"/>
  <c r="K223" i="81" s="1"/>
  <c r="L223" i="81" s="1"/>
  <c r="M223" i="81" s="1"/>
  <c r="N223" i="81" s="1"/>
  <c r="O223" i="81" s="1"/>
  <c r="P223" i="81" s="1"/>
  <c r="Q223" i="81" s="1"/>
  <c r="R223" i="81" s="1"/>
  <c r="S223" i="81" s="1"/>
  <c r="T223" i="81" s="1"/>
  <c r="U223" i="81" s="1"/>
  <c r="V223" i="81" s="1"/>
  <c r="W223" i="81" s="1"/>
  <c r="X223" i="81" s="1"/>
  <c r="Y223" i="81" s="1"/>
  <c r="Z223" i="81" s="1"/>
  <c r="AA223" i="81" s="1"/>
  <c r="AB223" i="81" s="1"/>
  <c r="AC223" i="81" s="1"/>
  <c r="AD223" i="81" s="1"/>
  <c r="AE223" i="81" s="1"/>
  <c r="AF223" i="81" s="1"/>
  <c r="S222" i="81"/>
  <c r="T222" i="81" s="1"/>
  <c r="U222" i="81" s="1"/>
  <c r="V222" i="81" s="1"/>
  <c r="W222" i="81" s="1"/>
  <c r="X222" i="81" s="1"/>
  <c r="Y222" i="81" s="1"/>
  <c r="Z222" i="81" s="1"/>
  <c r="AA222" i="81" s="1"/>
  <c r="AB222" i="81" s="1"/>
  <c r="AC222" i="81" s="1"/>
  <c r="AD222" i="81" s="1"/>
  <c r="AE222" i="81" s="1"/>
  <c r="AF222" i="81" s="1"/>
  <c r="N222" i="81"/>
  <c r="O222" i="81" s="1"/>
  <c r="P222" i="81" s="1"/>
  <c r="Q222" i="81" s="1"/>
  <c r="R222" i="81" s="1"/>
  <c r="C222" i="81"/>
  <c r="D222" i="81" s="1"/>
  <c r="E222" i="81" s="1"/>
  <c r="F222" i="81" s="1"/>
  <c r="G222" i="81" s="1"/>
  <c r="H222" i="81" s="1"/>
  <c r="I222" i="81" s="1"/>
  <c r="J222" i="81" s="1"/>
  <c r="K222" i="81" s="1"/>
  <c r="L222" i="81" s="1"/>
  <c r="M222" i="81" s="1"/>
  <c r="L221" i="81"/>
  <c r="M221" i="81" s="1"/>
  <c r="N221" i="81" s="1"/>
  <c r="O221" i="81" s="1"/>
  <c r="P221" i="81" s="1"/>
  <c r="Q221" i="81" s="1"/>
  <c r="R221" i="81" s="1"/>
  <c r="S221" i="81" s="1"/>
  <c r="T221" i="81" s="1"/>
  <c r="U221" i="81" s="1"/>
  <c r="V221" i="81" s="1"/>
  <c r="W221" i="81" s="1"/>
  <c r="X221" i="81" s="1"/>
  <c r="Y221" i="81" s="1"/>
  <c r="Z221" i="81" s="1"/>
  <c r="AA221" i="81" s="1"/>
  <c r="AB221" i="81" s="1"/>
  <c r="AC221" i="81" s="1"/>
  <c r="AD221" i="81" s="1"/>
  <c r="AE221" i="81" s="1"/>
  <c r="AF221" i="81" s="1"/>
  <c r="G221" i="81"/>
  <c r="H221" i="81" s="1"/>
  <c r="I221" i="81" s="1"/>
  <c r="J221" i="81" s="1"/>
  <c r="K221" i="81" s="1"/>
  <c r="D221" i="81"/>
  <c r="E221" i="81" s="1"/>
  <c r="F221" i="81" s="1"/>
  <c r="C221" i="81"/>
  <c r="C220" i="81"/>
  <c r="D220" i="81" s="1"/>
  <c r="E220" i="81" s="1"/>
  <c r="F220" i="81" s="1"/>
  <c r="G220" i="81" s="1"/>
  <c r="H220" i="81" s="1"/>
  <c r="I220" i="81" s="1"/>
  <c r="J220" i="81" s="1"/>
  <c r="K220" i="81" s="1"/>
  <c r="L220" i="81" s="1"/>
  <c r="M220" i="81" s="1"/>
  <c r="N220" i="81" s="1"/>
  <c r="O220" i="81" s="1"/>
  <c r="P220" i="81" s="1"/>
  <c r="Q220" i="81" s="1"/>
  <c r="R220" i="81" s="1"/>
  <c r="S220" i="81" s="1"/>
  <c r="T220" i="81" s="1"/>
  <c r="U220" i="81" s="1"/>
  <c r="V220" i="81" s="1"/>
  <c r="W220" i="81" s="1"/>
  <c r="X220" i="81" s="1"/>
  <c r="Y220" i="81" s="1"/>
  <c r="Z220" i="81" s="1"/>
  <c r="AA220" i="81" s="1"/>
  <c r="AB220" i="81" s="1"/>
  <c r="AC220" i="81" s="1"/>
  <c r="AD220" i="81" s="1"/>
  <c r="AE220" i="81" s="1"/>
  <c r="AF220" i="81" s="1"/>
  <c r="C219" i="81"/>
  <c r="D219" i="81" s="1"/>
  <c r="E219" i="81" s="1"/>
  <c r="F219" i="81" s="1"/>
  <c r="G219" i="81" s="1"/>
  <c r="H219" i="81" s="1"/>
  <c r="I219" i="81" s="1"/>
  <c r="J219" i="81" s="1"/>
  <c r="K219" i="81" s="1"/>
  <c r="L219" i="81" s="1"/>
  <c r="M219" i="81" s="1"/>
  <c r="N219" i="81" s="1"/>
  <c r="O219" i="81" s="1"/>
  <c r="P219" i="81" s="1"/>
  <c r="Q219" i="81" s="1"/>
  <c r="R219" i="81" s="1"/>
  <c r="S219" i="81" s="1"/>
  <c r="T219" i="81" s="1"/>
  <c r="U219" i="81" s="1"/>
  <c r="V219" i="81" s="1"/>
  <c r="W219" i="81" s="1"/>
  <c r="X219" i="81" s="1"/>
  <c r="Y219" i="81" s="1"/>
  <c r="Z219" i="81" s="1"/>
  <c r="AA219" i="81" s="1"/>
  <c r="AB219" i="81" s="1"/>
  <c r="AC219" i="81" s="1"/>
  <c r="AD219" i="81" s="1"/>
  <c r="AE219" i="81" s="1"/>
  <c r="AF219" i="81" s="1"/>
  <c r="J218" i="81"/>
  <c r="K218" i="81" s="1"/>
  <c r="L218" i="81" s="1"/>
  <c r="M218" i="81" s="1"/>
  <c r="N218" i="81" s="1"/>
  <c r="O218" i="81" s="1"/>
  <c r="P218" i="81" s="1"/>
  <c r="Q218" i="81" s="1"/>
  <c r="R218" i="81" s="1"/>
  <c r="S218" i="81" s="1"/>
  <c r="T218" i="81" s="1"/>
  <c r="U218" i="81" s="1"/>
  <c r="V218" i="81" s="1"/>
  <c r="W218" i="81" s="1"/>
  <c r="X218" i="81" s="1"/>
  <c r="Y218" i="81" s="1"/>
  <c r="Z218" i="81" s="1"/>
  <c r="AA218" i="81" s="1"/>
  <c r="AB218" i="81" s="1"/>
  <c r="AC218" i="81" s="1"/>
  <c r="AD218" i="81" s="1"/>
  <c r="AE218" i="81" s="1"/>
  <c r="AF218" i="81" s="1"/>
  <c r="C218" i="81"/>
  <c r="D218" i="81" s="1"/>
  <c r="E218" i="81" s="1"/>
  <c r="F218" i="81" s="1"/>
  <c r="G218" i="81" s="1"/>
  <c r="H218" i="81" s="1"/>
  <c r="I218" i="81" s="1"/>
  <c r="I217" i="81"/>
  <c r="J217" i="81" s="1"/>
  <c r="K217" i="81" s="1"/>
  <c r="L217" i="81" s="1"/>
  <c r="M217" i="81" s="1"/>
  <c r="N217" i="81" s="1"/>
  <c r="O217" i="81" s="1"/>
  <c r="P217" i="81" s="1"/>
  <c r="Q217" i="81" s="1"/>
  <c r="R217" i="81" s="1"/>
  <c r="S217" i="81" s="1"/>
  <c r="T217" i="81" s="1"/>
  <c r="U217" i="81" s="1"/>
  <c r="V217" i="81" s="1"/>
  <c r="W217" i="81" s="1"/>
  <c r="X217" i="81" s="1"/>
  <c r="Y217" i="81" s="1"/>
  <c r="Z217" i="81" s="1"/>
  <c r="AA217" i="81" s="1"/>
  <c r="AB217" i="81" s="1"/>
  <c r="AC217" i="81" s="1"/>
  <c r="AD217" i="81" s="1"/>
  <c r="AE217" i="81" s="1"/>
  <c r="AF217" i="81" s="1"/>
  <c r="H217" i="81"/>
  <c r="G217" i="81"/>
  <c r="D217" i="81"/>
  <c r="E217" i="81" s="1"/>
  <c r="F217" i="81" s="1"/>
  <c r="C217" i="81"/>
  <c r="C216" i="81"/>
  <c r="D216" i="81" s="1"/>
  <c r="E216" i="81" s="1"/>
  <c r="F216" i="81" s="1"/>
  <c r="G216" i="81" s="1"/>
  <c r="H216" i="81" s="1"/>
  <c r="I216" i="81" s="1"/>
  <c r="J216" i="81" s="1"/>
  <c r="K216" i="81" s="1"/>
  <c r="L216" i="81" s="1"/>
  <c r="M216" i="81" s="1"/>
  <c r="N216" i="81" s="1"/>
  <c r="O216" i="81" s="1"/>
  <c r="P216" i="81" s="1"/>
  <c r="Q216" i="81" s="1"/>
  <c r="R216" i="81" s="1"/>
  <c r="S216" i="81" s="1"/>
  <c r="T216" i="81" s="1"/>
  <c r="U216" i="81" s="1"/>
  <c r="V216" i="81" s="1"/>
  <c r="W216" i="81" s="1"/>
  <c r="X216" i="81" s="1"/>
  <c r="Y216" i="81" s="1"/>
  <c r="Z216" i="81" s="1"/>
  <c r="AA216" i="81" s="1"/>
  <c r="AB216" i="81" s="1"/>
  <c r="AC216" i="81" s="1"/>
  <c r="AD216" i="81" s="1"/>
  <c r="AE216" i="81" s="1"/>
  <c r="AF216" i="81" s="1"/>
  <c r="AB215" i="81"/>
  <c r="AC215" i="81" s="1"/>
  <c r="AD215" i="81" s="1"/>
  <c r="AE215" i="81" s="1"/>
  <c r="AF215" i="81" s="1"/>
  <c r="C215" i="81"/>
  <c r="D215" i="81" s="1"/>
  <c r="E215" i="81" s="1"/>
  <c r="F215" i="81" s="1"/>
  <c r="G215" i="81" s="1"/>
  <c r="H215" i="81" s="1"/>
  <c r="I215" i="81" s="1"/>
  <c r="J215" i="81" s="1"/>
  <c r="K215" i="81" s="1"/>
  <c r="L215" i="81" s="1"/>
  <c r="M215" i="81" s="1"/>
  <c r="N215" i="81" s="1"/>
  <c r="O215" i="81" s="1"/>
  <c r="P215" i="81" s="1"/>
  <c r="Q215" i="81" s="1"/>
  <c r="R215" i="81" s="1"/>
  <c r="S215" i="81" s="1"/>
  <c r="T215" i="81" s="1"/>
  <c r="U215" i="81" s="1"/>
  <c r="V215" i="81" s="1"/>
  <c r="W215" i="81" s="1"/>
  <c r="X215" i="81" s="1"/>
  <c r="Y215" i="81" s="1"/>
  <c r="Z215" i="81" s="1"/>
  <c r="AA215" i="81" s="1"/>
  <c r="K214" i="81"/>
  <c r="L214" i="81" s="1"/>
  <c r="M214" i="81" s="1"/>
  <c r="N214" i="81" s="1"/>
  <c r="O214" i="81" s="1"/>
  <c r="P214" i="81" s="1"/>
  <c r="Q214" i="81" s="1"/>
  <c r="R214" i="81" s="1"/>
  <c r="S214" i="81" s="1"/>
  <c r="T214" i="81" s="1"/>
  <c r="U214" i="81" s="1"/>
  <c r="V214" i="81" s="1"/>
  <c r="W214" i="81" s="1"/>
  <c r="X214" i="81" s="1"/>
  <c r="Y214" i="81" s="1"/>
  <c r="Z214" i="81" s="1"/>
  <c r="AA214" i="81" s="1"/>
  <c r="AB214" i="81" s="1"/>
  <c r="AC214" i="81" s="1"/>
  <c r="AD214" i="81" s="1"/>
  <c r="AE214" i="81" s="1"/>
  <c r="AF214" i="81" s="1"/>
  <c r="F214" i="81"/>
  <c r="G214" i="81" s="1"/>
  <c r="H214" i="81" s="1"/>
  <c r="I214" i="81" s="1"/>
  <c r="J214" i="81" s="1"/>
  <c r="C214" i="81"/>
  <c r="D214" i="81" s="1"/>
  <c r="E214" i="81" s="1"/>
  <c r="C213" i="81"/>
  <c r="D213" i="81" s="1"/>
  <c r="E213" i="81" s="1"/>
  <c r="F213" i="81" s="1"/>
  <c r="G213" i="81" s="1"/>
  <c r="H213" i="81" s="1"/>
  <c r="I213" i="81" s="1"/>
  <c r="J213" i="81" s="1"/>
  <c r="K213" i="81" s="1"/>
  <c r="L213" i="81" s="1"/>
  <c r="M213" i="81" s="1"/>
  <c r="N213" i="81" s="1"/>
  <c r="O213" i="81" s="1"/>
  <c r="P213" i="81" s="1"/>
  <c r="Q213" i="81" s="1"/>
  <c r="R213" i="81" s="1"/>
  <c r="S213" i="81" s="1"/>
  <c r="T213" i="81" s="1"/>
  <c r="U213" i="81" s="1"/>
  <c r="V213" i="81" s="1"/>
  <c r="W213" i="81" s="1"/>
  <c r="X213" i="81" s="1"/>
  <c r="Y213" i="81" s="1"/>
  <c r="Z213" i="81" s="1"/>
  <c r="AA213" i="81" s="1"/>
  <c r="AB213" i="81" s="1"/>
  <c r="AC213" i="81" s="1"/>
  <c r="AD213" i="81" s="1"/>
  <c r="AE213" i="81" s="1"/>
  <c r="AF213" i="81" s="1"/>
  <c r="G212" i="81"/>
  <c r="H212" i="81" s="1"/>
  <c r="I212" i="81" s="1"/>
  <c r="J212" i="81" s="1"/>
  <c r="K212" i="81" s="1"/>
  <c r="L212" i="81" s="1"/>
  <c r="M212" i="81" s="1"/>
  <c r="N212" i="81" s="1"/>
  <c r="O212" i="81" s="1"/>
  <c r="P212" i="81" s="1"/>
  <c r="Q212" i="81" s="1"/>
  <c r="R212" i="81" s="1"/>
  <c r="S212" i="81" s="1"/>
  <c r="T212" i="81" s="1"/>
  <c r="U212" i="81" s="1"/>
  <c r="V212" i="81" s="1"/>
  <c r="W212" i="81" s="1"/>
  <c r="X212" i="81" s="1"/>
  <c r="Y212" i="81" s="1"/>
  <c r="Z212" i="81" s="1"/>
  <c r="AA212" i="81" s="1"/>
  <c r="AB212" i="81" s="1"/>
  <c r="AC212" i="81" s="1"/>
  <c r="AD212" i="81" s="1"/>
  <c r="AE212" i="81" s="1"/>
  <c r="AF212" i="81" s="1"/>
  <c r="F212" i="81"/>
  <c r="C212" i="81"/>
  <c r="D212" i="81" s="1"/>
  <c r="E212" i="81" s="1"/>
  <c r="E211" i="81"/>
  <c r="F211" i="81" s="1"/>
  <c r="G211" i="81" s="1"/>
  <c r="H211" i="81" s="1"/>
  <c r="I211" i="81" s="1"/>
  <c r="J211" i="81" s="1"/>
  <c r="K211" i="81" s="1"/>
  <c r="L211" i="81" s="1"/>
  <c r="M211" i="81" s="1"/>
  <c r="N211" i="81" s="1"/>
  <c r="O211" i="81" s="1"/>
  <c r="P211" i="81" s="1"/>
  <c r="Q211" i="81" s="1"/>
  <c r="R211" i="81" s="1"/>
  <c r="S211" i="81" s="1"/>
  <c r="T211" i="81" s="1"/>
  <c r="U211" i="81" s="1"/>
  <c r="V211" i="81" s="1"/>
  <c r="W211" i="81" s="1"/>
  <c r="X211" i="81" s="1"/>
  <c r="Y211" i="81" s="1"/>
  <c r="Z211" i="81" s="1"/>
  <c r="AA211" i="81" s="1"/>
  <c r="AB211" i="81" s="1"/>
  <c r="AC211" i="81" s="1"/>
  <c r="AD211" i="81" s="1"/>
  <c r="AE211" i="81" s="1"/>
  <c r="AF211" i="81" s="1"/>
  <c r="D211" i="81"/>
  <c r="C211" i="81"/>
  <c r="D210" i="81"/>
  <c r="E210" i="81" s="1"/>
  <c r="F210" i="81" s="1"/>
  <c r="G210" i="81" s="1"/>
  <c r="H210" i="81" s="1"/>
  <c r="I210" i="81" s="1"/>
  <c r="J210" i="81" s="1"/>
  <c r="K210" i="81" s="1"/>
  <c r="L210" i="81" s="1"/>
  <c r="M210" i="81" s="1"/>
  <c r="N210" i="81" s="1"/>
  <c r="O210" i="81" s="1"/>
  <c r="P210" i="81" s="1"/>
  <c r="Q210" i="81" s="1"/>
  <c r="R210" i="81" s="1"/>
  <c r="S210" i="81" s="1"/>
  <c r="T210" i="81" s="1"/>
  <c r="U210" i="81" s="1"/>
  <c r="V210" i="81" s="1"/>
  <c r="W210" i="81" s="1"/>
  <c r="X210" i="81" s="1"/>
  <c r="Y210" i="81" s="1"/>
  <c r="Z210" i="81" s="1"/>
  <c r="AA210" i="81" s="1"/>
  <c r="AB210" i="81" s="1"/>
  <c r="AC210" i="81" s="1"/>
  <c r="AD210" i="81" s="1"/>
  <c r="AE210" i="81" s="1"/>
  <c r="AF210" i="81" s="1"/>
  <c r="C210" i="81"/>
  <c r="C209" i="81"/>
  <c r="D209" i="81" s="1"/>
  <c r="E209" i="81" s="1"/>
  <c r="F209" i="81" s="1"/>
  <c r="G209" i="81" s="1"/>
  <c r="H209" i="81" s="1"/>
  <c r="I209" i="81" s="1"/>
  <c r="J209" i="81" s="1"/>
  <c r="K209" i="81" s="1"/>
  <c r="L209" i="81" s="1"/>
  <c r="M209" i="81" s="1"/>
  <c r="N209" i="81" s="1"/>
  <c r="O209" i="81" s="1"/>
  <c r="P209" i="81" s="1"/>
  <c r="Q209" i="81" s="1"/>
  <c r="R209" i="81" s="1"/>
  <c r="S209" i="81" s="1"/>
  <c r="T209" i="81" s="1"/>
  <c r="U209" i="81" s="1"/>
  <c r="V209" i="81" s="1"/>
  <c r="W209" i="81" s="1"/>
  <c r="X209" i="81" s="1"/>
  <c r="Y209" i="81" s="1"/>
  <c r="Z209" i="81" s="1"/>
  <c r="AA209" i="81" s="1"/>
  <c r="AB209" i="81" s="1"/>
  <c r="AC209" i="81" s="1"/>
  <c r="AD209" i="81" s="1"/>
  <c r="AE209" i="81" s="1"/>
  <c r="AF209" i="81" s="1"/>
  <c r="E208" i="81"/>
  <c r="F208" i="81" s="1"/>
  <c r="G208" i="81" s="1"/>
  <c r="H208" i="81" s="1"/>
  <c r="I208" i="81" s="1"/>
  <c r="J208" i="81" s="1"/>
  <c r="K208" i="81" s="1"/>
  <c r="L208" i="81" s="1"/>
  <c r="M208" i="81" s="1"/>
  <c r="N208" i="81" s="1"/>
  <c r="O208" i="81" s="1"/>
  <c r="P208" i="81" s="1"/>
  <c r="Q208" i="81" s="1"/>
  <c r="R208" i="81" s="1"/>
  <c r="S208" i="81" s="1"/>
  <c r="T208" i="81" s="1"/>
  <c r="U208" i="81" s="1"/>
  <c r="V208" i="81" s="1"/>
  <c r="W208" i="81" s="1"/>
  <c r="X208" i="81" s="1"/>
  <c r="Y208" i="81" s="1"/>
  <c r="Z208" i="81" s="1"/>
  <c r="AA208" i="81" s="1"/>
  <c r="AB208" i="81" s="1"/>
  <c r="AC208" i="81" s="1"/>
  <c r="AD208" i="81" s="1"/>
  <c r="AE208" i="81" s="1"/>
  <c r="AF208" i="81" s="1"/>
  <c r="C208" i="81"/>
  <c r="D208" i="81" s="1"/>
  <c r="L207" i="81"/>
  <c r="M207" i="81" s="1"/>
  <c r="N207" i="81" s="1"/>
  <c r="O207" i="81" s="1"/>
  <c r="P207" i="81" s="1"/>
  <c r="Q207" i="81" s="1"/>
  <c r="R207" i="81" s="1"/>
  <c r="S207" i="81" s="1"/>
  <c r="T207" i="81" s="1"/>
  <c r="U207" i="81" s="1"/>
  <c r="V207" i="81" s="1"/>
  <c r="W207" i="81" s="1"/>
  <c r="X207" i="81" s="1"/>
  <c r="Y207" i="81" s="1"/>
  <c r="Z207" i="81" s="1"/>
  <c r="AA207" i="81" s="1"/>
  <c r="AB207" i="81" s="1"/>
  <c r="AC207" i="81" s="1"/>
  <c r="AD207" i="81" s="1"/>
  <c r="AE207" i="81" s="1"/>
  <c r="AF207" i="81" s="1"/>
  <c r="D207" i="81"/>
  <c r="E207" i="81" s="1"/>
  <c r="F207" i="81" s="1"/>
  <c r="G207" i="81" s="1"/>
  <c r="H207" i="81" s="1"/>
  <c r="I207" i="81" s="1"/>
  <c r="J207" i="81" s="1"/>
  <c r="K207" i="81" s="1"/>
  <c r="C207" i="81"/>
  <c r="J206" i="81"/>
  <c r="K206" i="81" s="1"/>
  <c r="L206" i="81" s="1"/>
  <c r="M206" i="81" s="1"/>
  <c r="N206" i="81" s="1"/>
  <c r="O206" i="81" s="1"/>
  <c r="P206" i="81" s="1"/>
  <c r="Q206" i="81" s="1"/>
  <c r="R206" i="81" s="1"/>
  <c r="S206" i="81" s="1"/>
  <c r="T206" i="81" s="1"/>
  <c r="U206" i="81" s="1"/>
  <c r="V206" i="81" s="1"/>
  <c r="W206" i="81" s="1"/>
  <c r="X206" i="81" s="1"/>
  <c r="Y206" i="81" s="1"/>
  <c r="Z206" i="81" s="1"/>
  <c r="AA206" i="81" s="1"/>
  <c r="AB206" i="81" s="1"/>
  <c r="AC206" i="81" s="1"/>
  <c r="AD206" i="81" s="1"/>
  <c r="AE206" i="81" s="1"/>
  <c r="AF206" i="81" s="1"/>
  <c r="I206" i="81"/>
  <c r="C206" i="81"/>
  <c r="D206" i="81" s="1"/>
  <c r="E206" i="81" s="1"/>
  <c r="F206" i="81" s="1"/>
  <c r="G206" i="81" s="1"/>
  <c r="H206" i="81" s="1"/>
  <c r="G205" i="81"/>
  <c r="H205" i="81" s="1"/>
  <c r="I205" i="81" s="1"/>
  <c r="J205" i="81" s="1"/>
  <c r="K205" i="81" s="1"/>
  <c r="L205" i="81" s="1"/>
  <c r="M205" i="81" s="1"/>
  <c r="N205" i="81" s="1"/>
  <c r="O205" i="81" s="1"/>
  <c r="P205" i="81" s="1"/>
  <c r="Q205" i="81" s="1"/>
  <c r="R205" i="81" s="1"/>
  <c r="S205" i="81" s="1"/>
  <c r="T205" i="81" s="1"/>
  <c r="U205" i="81" s="1"/>
  <c r="V205" i="81" s="1"/>
  <c r="W205" i="81" s="1"/>
  <c r="X205" i="81" s="1"/>
  <c r="Y205" i="81" s="1"/>
  <c r="Z205" i="81" s="1"/>
  <c r="AA205" i="81" s="1"/>
  <c r="AB205" i="81" s="1"/>
  <c r="AC205" i="81" s="1"/>
  <c r="AD205" i="81" s="1"/>
  <c r="AE205" i="81" s="1"/>
  <c r="AF205" i="81" s="1"/>
  <c r="C205" i="81"/>
  <c r="D205" i="81" s="1"/>
  <c r="E205" i="81" s="1"/>
  <c r="F205" i="81" s="1"/>
  <c r="F204" i="81"/>
  <c r="G204" i="81" s="1"/>
  <c r="H204" i="81" s="1"/>
  <c r="I204" i="81" s="1"/>
  <c r="J204" i="81" s="1"/>
  <c r="K204" i="81" s="1"/>
  <c r="L204" i="81" s="1"/>
  <c r="M204" i="81" s="1"/>
  <c r="N204" i="81" s="1"/>
  <c r="O204" i="81" s="1"/>
  <c r="P204" i="81" s="1"/>
  <c r="Q204" i="81" s="1"/>
  <c r="R204" i="81" s="1"/>
  <c r="S204" i="81" s="1"/>
  <c r="T204" i="81" s="1"/>
  <c r="U204" i="81" s="1"/>
  <c r="V204" i="81" s="1"/>
  <c r="W204" i="81" s="1"/>
  <c r="X204" i="81" s="1"/>
  <c r="Y204" i="81" s="1"/>
  <c r="Z204" i="81" s="1"/>
  <c r="AA204" i="81" s="1"/>
  <c r="AB204" i="81" s="1"/>
  <c r="AC204" i="81" s="1"/>
  <c r="AD204" i="81" s="1"/>
  <c r="AE204" i="81" s="1"/>
  <c r="AF204" i="81" s="1"/>
  <c r="E204" i="81"/>
  <c r="C204" i="81"/>
  <c r="D204" i="81" s="1"/>
  <c r="K203" i="81"/>
  <c r="L203" i="81" s="1"/>
  <c r="M203" i="81" s="1"/>
  <c r="N203" i="81" s="1"/>
  <c r="O203" i="81" s="1"/>
  <c r="P203" i="81" s="1"/>
  <c r="Q203" i="81" s="1"/>
  <c r="R203" i="81" s="1"/>
  <c r="S203" i="81" s="1"/>
  <c r="T203" i="81" s="1"/>
  <c r="U203" i="81" s="1"/>
  <c r="V203" i="81" s="1"/>
  <c r="W203" i="81" s="1"/>
  <c r="X203" i="81" s="1"/>
  <c r="Y203" i="81" s="1"/>
  <c r="Z203" i="81" s="1"/>
  <c r="AA203" i="81" s="1"/>
  <c r="AB203" i="81" s="1"/>
  <c r="AC203" i="81" s="1"/>
  <c r="AD203" i="81" s="1"/>
  <c r="AE203" i="81" s="1"/>
  <c r="AF203" i="81" s="1"/>
  <c r="C203" i="81"/>
  <c r="D203" i="81" s="1"/>
  <c r="E203" i="81" s="1"/>
  <c r="F203" i="81" s="1"/>
  <c r="G203" i="81" s="1"/>
  <c r="H203" i="81" s="1"/>
  <c r="I203" i="81" s="1"/>
  <c r="J203" i="81" s="1"/>
  <c r="Q202" i="81"/>
  <c r="R202" i="81" s="1"/>
  <c r="S202" i="81" s="1"/>
  <c r="T202" i="81" s="1"/>
  <c r="U202" i="81" s="1"/>
  <c r="V202" i="81" s="1"/>
  <c r="W202" i="81" s="1"/>
  <c r="X202" i="81" s="1"/>
  <c r="Y202" i="81" s="1"/>
  <c r="Z202" i="81" s="1"/>
  <c r="AA202" i="81" s="1"/>
  <c r="AB202" i="81" s="1"/>
  <c r="AC202" i="81" s="1"/>
  <c r="AD202" i="81" s="1"/>
  <c r="AE202" i="81" s="1"/>
  <c r="AF202" i="81" s="1"/>
  <c r="D202" i="81"/>
  <c r="E202" i="81" s="1"/>
  <c r="F202" i="81" s="1"/>
  <c r="G202" i="81" s="1"/>
  <c r="H202" i="81" s="1"/>
  <c r="I202" i="81" s="1"/>
  <c r="J202" i="81" s="1"/>
  <c r="K202" i="81" s="1"/>
  <c r="L202" i="81" s="1"/>
  <c r="M202" i="81" s="1"/>
  <c r="N202" i="81" s="1"/>
  <c r="O202" i="81" s="1"/>
  <c r="P202" i="81" s="1"/>
  <c r="C202" i="81"/>
  <c r="I201" i="81"/>
  <c r="J201" i="81" s="1"/>
  <c r="K201" i="81" s="1"/>
  <c r="L201" i="81" s="1"/>
  <c r="M201" i="81" s="1"/>
  <c r="N201" i="81" s="1"/>
  <c r="O201" i="81" s="1"/>
  <c r="P201" i="81" s="1"/>
  <c r="Q201" i="81" s="1"/>
  <c r="R201" i="81" s="1"/>
  <c r="S201" i="81" s="1"/>
  <c r="T201" i="81" s="1"/>
  <c r="U201" i="81" s="1"/>
  <c r="V201" i="81" s="1"/>
  <c r="W201" i="81" s="1"/>
  <c r="X201" i="81" s="1"/>
  <c r="Y201" i="81" s="1"/>
  <c r="Z201" i="81" s="1"/>
  <c r="AA201" i="81" s="1"/>
  <c r="AB201" i="81" s="1"/>
  <c r="AC201" i="81" s="1"/>
  <c r="AD201" i="81" s="1"/>
  <c r="AE201" i="81" s="1"/>
  <c r="AF201" i="81" s="1"/>
  <c r="H201" i="81"/>
  <c r="G201" i="81"/>
  <c r="C201" i="81"/>
  <c r="D201" i="81" s="1"/>
  <c r="E201" i="81" s="1"/>
  <c r="F201" i="81" s="1"/>
  <c r="E200" i="81"/>
  <c r="F200" i="81" s="1"/>
  <c r="G200" i="81" s="1"/>
  <c r="H200" i="81" s="1"/>
  <c r="I200" i="81" s="1"/>
  <c r="J200" i="81" s="1"/>
  <c r="K200" i="81" s="1"/>
  <c r="L200" i="81" s="1"/>
  <c r="M200" i="81" s="1"/>
  <c r="N200" i="81" s="1"/>
  <c r="O200" i="81" s="1"/>
  <c r="P200" i="81" s="1"/>
  <c r="Q200" i="81" s="1"/>
  <c r="R200" i="81" s="1"/>
  <c r="S200" i="81" s="1"/>
  <c r="T200" i="81" s="1"/>
  <c r="U200" i="81" s="1"/>
  <c r="V200" i="81" s="1"/>
  <c r="W200" i="81" s="1"/>
  <c r="X200" i="81" s="1"/>
  <c r="Y200" i="81" s="1"/>
  <c r="Z200" i="81" s="1"/>
  <c r="AA200" i="81" s="1"/>
  <c r="AB200" i="81" s="1"/>
  <c r="AC200" i="81" s="1"/>
  <c r="AD200" i="81" s="1"/>
  <c r="AE200" i="81" s="1"/>
  <c r="AF200" i="81" s="1"/>
  <c r="D200" i="81"/>
  <c r="C200" i="81"/>
  <c r="J199" i="81"/>
  <c r="K199" i="81" s="1"/>
  <c r="L199" i="81" s="1"/>
  <c r="M199" i="81" s="1"/>
  <c r="N199" i="81" s="1"/>
  <c r="O199" i="81" s="1"/>
  <c r="P199" i="81" s="1"/>
  <c r="Q199" i="81" s="1"/>
  <c r="R199" i="81" s="1"/>
  <c r="S199" i="81" s="1"/>
  <c r="T199" i="81" s="1"/>
  <c r="U199" i="81" s="1"/>
  <c r="V199" i="81" s="1"/>
  <c r="W199" i="81" s="1"/>
  <c r="X199" i="81" s="1"/>
  <c r="Y199" i="81" s="1"/>
  <c r="Z199" i="81" s="1"/>
  <c r="AA199" i="81" s="1"/>
  <c r="AB199" i="81" s="1"/>
  <c r="AC199" i="81" s="1"/>
  <c r="AD199" i="81" s="1"/>
  <c r="AE199" i="81" s="1"/>
  <c r="AF199" i="81" s="1"/>
  <c r="C199" i="81"/>
  <c r="D199" i="81" s="1"/>
  <c r="E199" i="81" s="1"/>
  <c r="F199" i="81" s="1"/>
  <c r="G199" i="81" s="1"/>
  <c r="H199" i="81" s="1"/>
  <c r="I199" i="81" s="1"/>
  <c r="F198" i="81"/>
  <c r="G198" i="81" s="1"/>
  <c r="H198" i="81" s="1"/>
  <c r="I198" i="81" s="1"/>
  <c r="J198" i="81" s="1"/>
  <c r="K198" i="81" s="1"/>
  <c r="L198" i="81" s="1"/>
  <c r="M198" i="81" s="1"/>
  <c r="N198" i="81" s="1"/>
  <c r="O198" i="81" s="1"/>
  <c r="P198" i="81" s="1"/>
  <c r="Q198" i="81" s="1"/>
  <c r="R198" i="81" s="1"/>
  <c r="S198" i="81" s="1"/>
  <c r="T198" i="81" s="1"/>
  <c r="U198" i="81" s="1"/>
  <c r="V198" i="81" s="1"/>
  <c r="W198" i="81" s="1"/>
  <c r="X198" i="81" s="1"/>
  <c r="Y198" i="81" s="1"/>
  <c r="Z198" i="81" s="1"/>
  <c r="AA198" i="81" s="1"/>
  <c r="AB198" i="81" s="1"/>
  <c r="AC198" i="81" s="1"/>
  <c r="AD198" i="81" s="1"/>
  <c r="AE198" i="81" s="1"/>
  <c r="AF198" i="81" s="1"/>
  <c r="D198" i="81"/>
  <c r="E198" i="81" s="1"/>
  <c r="C198" i="81"/>
  <c r="D197" i="81"/>
  <c r="E197" i="81" s="1"/>
  <c r="F197" i="81" s="1"/>
  <c r="G197" i="81" s="1"/>
  <c r="H197" i="81" s="1"/>
  <c r="I197" i="81" s="1"/>
  <c r="J197" i="81" s="1"/>
  <c r="K197" i="81" s="1"/>
  <c r="L197" i="81" s="1"/>
  <c r="M197" i="81" s="1"/>
  <c r="N197" i="81" s="1"/>
  <c r="O197" i="81" s="1"/>
  <c r="P197" i="81" s="1"/>
  <c r="Q197" i="81" s="1"/>
  <c r="R197" i="81" s="1"/>
  <c r="S197" i="81" s="1"/>
  <c r="T197" i="81" s="1"/>
  <c r="U197" i="81" s="1"/>
  <c r="V197" i="81" s="1"/>
  <c r="W197" i="81" s="1"/>
  <c r="X197" i="81" s="1"/>
  <c r="Y197" i="81" s="1"/>
  <c r="Z197" i="81" s="1"/>
  <c r="AA197" i="81" s="1"/>
  <c r="AB197" i="81" s="1"/>
  <c r="AC197" i="81" s="1"/>
  <c r="AD197" i="81" s="1"/>
  <c r="AE197" i="81" s="1"/>
  <c r="AF197" i="81" s="1"/>
  <c r="C197" i="81"/>
  <c r="P196" i="81"/>
  <c r="Q196" i="81" s="1"/>
  <c r="R196" i="81" s="1"/>
  <c r="S196" i="81" s="1"/>
  <c r="T196" i="81" s="1"/>
  <c r="U196" i="81" s="1"/>
  <c r="V196" i="81" s="1"/>
  <c r="W196" i="81" s="1"/>
  <c r="X196" i="81" s="1"/>
  <c r="Y196" i="81" s="1"/>
  <c r="Z196" i="81" s="1"/>
  <c r="AA196" i="81" s="1"/>
  <c r="AB196" i="81" s="1"/>
  <c r="AC196" i="81" s="1"/>
  <c r="AD196" i="81" s="1"/>
  <c r="AE196" i="81" s="1"/>
  <c r="AF196" i="81" s="1"/>
  <c r="J196" i="81"/>
  <c r="K196" i="81" s="1"/>
  <c r="L196" i="81" s="1"/>
  <c r="M196" i="81" s="1"/>
  <c r="N196" i="81" s="1"/>
  <c r="O196" i="81" s="1"/>
  <c r="G196" i="81"/>
  <c r="H196" i="81" s="1"/>
  <c r="I196" i="81" s="1"/>
  <c r="D196" i="81"/>
  <c r="E196" i="81" s="1"/>
  <c r="F196" i="81" s="1"/>
  <c r="C196" i="81"/>
  <c r="G195" i="81"/>
  <c r="H195" i="81" s="1"/>
  <c r="I195" i="81" s="1"/>
  <c r="J195" i="81" s="1"/>
  <c r="K195" i="81" s="1"/>
  <c r="L195" i="81" s="1"/>
  <c r="M195" i="81" s="1"/>
  <c r="N195" i="81" s="1"/>
  <c r="O195" i="81" s="1"/>
  <c r="P195" i="81" s="1"/>
  <c r="Q195" i="81" s="1"/>
  <c r="R195" i="81" s="1"/>
  <c r="S195" i="81" s="1"/>
  <c r="T195" i="81" s="1"/>
  <c r="U195" i="81" s="1"/>
  <c r="V195" i="81" s="1"/>
  <c r="W195" i="81" s="1"/>
  <c r="X195" i="81" s="1"/>
  <c r="Y195" i="81" s="1"/>
  <c r="Z195" i="81" s="1"/>
  <c r="AA195" i="81" s="1"/>
  <c r="AB195" i="81" s="1"/>
  <c r="AC195" i="81" s="1"/>
  <c r="AD195" i="81" s="1"/>
  <c r="AE195" i="81" s="1"/>
  <c r="AF195" i="81" s="1"/>
  <c r="E195" i="81"/>
  <c r="F195" i="81" s="1"/>
  <c r="C195" i="81"/>
  <c r="D195" i="81" s="1"/>
  <c r="C194" i="81"/>
  <c r="D194" i="81" s="1"/>
  <c r="E194" i="81" s="1"/>
  <c r="F194" i="81" s="1"/>
  <c r="G194" i="81" s="1"/>
  <c r="H194" i="81" s="1"/>
  <c r="I194" i="81" s="1"/>
  <c r="J194" i="81" s="1"/>
  <c r="K194" i="81" s="1"/>
  <c r="L194" i="81" s="1"/>
  <c r="M194" i="81" s="1"/>
  <c r="N194" i="81" s="1"/>
  <c r="O194" i="81" s="1"/>
  <c r="P194" i="81" s="1"/>
  <c r="Q194" i="81" s="1"/>
  <c r="R194" i="81" s="1"/>
  <c r="S194" i="81" s="1"/>
  <c r="T194" i="81" s="1"/>
  <c r="U194" i="81" s="1"/>
  <c r="V194" i="81" s="1"/>
  <c r="W194" i="81" s="1"/>
  <c r="X194" i="81" s="1"/>
  <c r="Y194" i="81" s="1"/>
  <c r="Z194" i="81" s="1"/>
  <c r="AA194" i="81" s="1"/>
  <c r="AB194" i="81" s="1"/>
  <c r="AC194" i="81" s="1"/>
  <c r="AD194" i="81" s="1"/>
  <c r="AE194" i="81" s="1"/>
  <c r="AF194" i="81" s="1"/>
  <c r="V193" i="81"/>
  <c r="W193" i="81" s="1"/>
  <c r="X193" i="81" s="1"/>
  <c r="Y193" i="81" s="1"/>
  <c r="Z193" i="81" s="1"/>
  <c r="AA193" i="81" s="1"/>
  <c r="AB193" i="81" s="1"/>
  <c r="AC193" i="81" s="1"/>
  <c r="AD193" i="81" s="1"/>
  <c r="AE193" i="81" s="1"/>
  <c r="AF193" i="81" s="1"/>
  <c r="D193" i="81"/>
  <c r="E193" i="81" s="1"/>
  <c r="F193" i="81" s="1"/>
  <c r="G193" i="81" s="1"/>
  <c r="H193" i="81" s="1"/>
  <c r="I193" i="81" s="1"/>
  <c r="J193" i="81" s="1"/>
  <c r="K193" i="81" s="1"/>
  <c r="L193" i="81" s="1"/>
  <c r="M193" i="81" s="1"/>
  <c r="N193" i="81" s="1"/>
  <c r="O193" i="81" s="1"/>
  <c r="P193" i="81" s="1"/>
  <c r="Q193" i="81" s="1"/>
  <c r="R193" i="81" s="1"/>
  <c r="S193" i="81" s="1"/>
  <c r="T193" i="81" s="1"/>
  <c r="U193" i="81" s="1"/>
  <c r="C193" i="81"/>
  <c r="L192" i="81"/>
  <c r="M192" i="81" s="1"/>
  <c r="N192" i="81" s="1"/>
  <c r="O192" i="81" s="1"/>
  <c r="P192" i="81" s="1"/>
  <c r="Q192" i="81" s="1"/>
  <c r="R192" i="81" s="1"/>
  <c r="S192" i="81" s="1"/>
  <c r="T192" i="81" s="1"/>
  <c r="U192" i="81" s="1"/>
  <c r="V192" i="81" s="1"/>
  <c r="W192" i="81" s="1"/>
  <c r="X192" i="81" s="1"/>
  <c r="Y192" i="81" s="1"/>
  <c r="Z192" i="81" s="1"/>
  <c r="AA192" i="81" s="1"/>
  <c r="AB192" i="81" s="1"/>
  <c r="AC192" i="81" s="1"/>
  <c r="AD192" i="81" s="1"/>
  <c r="AE192" i="81" s="1"/>
  <c r="AF192" i="81" s="1"/>
  <c r="G192" i="81"/>
  <c r="H192" i="81" s="1"/>
  <c r="I192" i="81" s="1"/>
  <c r="J192" i="81" s="1"/>
  <c r="K192" i="81" s="1"/>
  <c r="C192" i="81"/>
  <c r="D192" i="81" s="1"/>
  <c r="E192" i="81" s="1"/>
  <c r="F192" i="81" s="1"/>
  <c r="F191" i="81"/>
  <c r="G191" i="81" s="1"/>
  <c r="H191" i="81" s="1"/>
  <c r="I191" i="81" s="1"/>
  <c r="J191" i="81" s="1"/>
  <c r="K191" i="81" s="1"/>
  <c r="L191" i="81" s="1"/>
  <c r="M191" i="81" s="1"/>
  <c r="N191" i="81" s="1"/>
  <c r="O191" i="81" s="1"/>
  <c r="P191" i="81" s="1"/>
  <c r="Q191" i="81" s="1"/>
  <c r="R191" i="81" s="1"/>
  <c r="S191" i="81" s="1"/>
  <c r="T191" i="81" s="1"/>
  <c r="U191" i="81" s="1"/>
  <c r="V191" i="81" s="1"/>
  <c r="W191" i="81" s="1"/>
  <c r="X191" i="81" s="1"/>
  <c r="Y191" i="81" s="1"/>
  <c r="Z191" i="81" s="1"/>
  <c r="AA191" i="81" s="1"/>
  <c r="AB191" i="81" s="1"/>
  <c r="AC191" i="81" s="1"/>
  <c r="AD191" i="81" s="1"/>
  <c r="AE191" i="81" s="1"/>
  <c r="AF191" i="81" s="1"/>
  <c r="E191" i="81"/>
  <c r="D191" i="81"/>
  <c r="C191" i="81"/>
  <c r="T190" i="81"/>
  <c r="U190" i="81" s="1"/>
  <c r="V190" i="81" s="1"/>
  <c r="W190" i="81" s="1"/>
  <c r="X190" i="81" s="1"/>
  <c r="Y190" i="81" s="1"/>
  <c r="Z190" i="81" s="1"/>
  <c r="AA190" i="81" s="1"/>
  <c r="AB190" i="81" s="1"/>
  <c r="AC190" i="81" s="1"/>
  <c r="AD190" i="81" s="1"/>
  <c r="AE190" i="81" s="1"/>
  <c r="AF190" i="81" s="1"/>
  <c r="C190" i="81"/>
  <c r="D190" i="81" s="1"/>
  <c r="E190" i="81" s="1"/>
  <c r="F190" i="81" s="1"/>
  <c r="G190" i="81" s="1"/>
  <c r="H190" i="81" s="1"/>
  <c r="I190" i="81" s="1"/>
  <c r="J190" i="81" s="1"/>
  <c r="K190" i="81" s="1"/>
  <c r="L190" i="81" s="1"/>
  <c r="M190" i="81" s="1"/>
  <c r="N190" i="81" s="1"/>
  <c r="O190" i="81" s="1"/>
  <c r="P190" i="81" s="1"/>
  <c r="Q190" i="81" s="1"/>
  <c r="R190" i="81" s="1"/>
  <c r="S190" i="81" s="1"/>
  <c r="M189" i="81"/>
  <c r="N189" i="81" s="1"/>
  <c r="O189" i="81" s="1"/>
  <c r="P189" i="81" s="1"/>
  <c r="Q189" i="81" s="1"/>
  <c r="R189" i="81" s="1"/>
  <c r="S189" i="81" s="1"/>
  <c r="T189" i="81" s="1"/>
  <c r="U189" i="81" s="1"/>
  <c r="V189" i="81" s="1"/>
  <c r="W189" i="81" s="1"/>
  <c r="X189" i="81" s="1"/>
  <c r="Y189" i="81" s="1"/>
  <c r="Z189" i="81" s="1"/>
  <c r="AA189" i="81" s="1"/>
  <c r="AB189" i="81" s="1"/>
  <c r="AC189" i="81" s="1"/>
  <c r="AD189" i="81" s="1"/>
  <c r="AE189" i="81" s="1"/>
  <c r="AF189" i="81" s="1"/>
  <c r="D189" i="81"/>
  <c r="E189" i="81" s="1"/>
  <c r="F189" i="81" s="1"/>
  <c r="G189" i="81" s="1"/>
  <c r="H189" i="81" s="1"/>
  <c r="I189" i="81" s="1"/>
  <c r="J189" i="81" s="1"/>
  <c r="K189" i="81" s="1"/>
  <c r="L189" i="81" s="1"/>
  <c r="C189" i="81"/>
  <c r="D188" i="81"/>
  <c r="E188" i="81" s="1"/>
  <c r="F188" i="81" s="1"/>
  <c r="G188" i="81" s="1"/>
  <c r="H188" i="81" s="1"/>
  <c r="I188" i="81" s="1"/>
  <c r="J188" i="81" s="1"/>
  <c r="K188" i="81" s="1"/>
  <c r="L188" i="81" s="1"/>
  <c r="M188" i="81" s="1"/>
  <c r="N188" i="81" s="1"/>
  <c r="O188" i="81" s="1"/>
  <c r="P188" i="81" s="1"/>
  <c r="Q188" i="81" s="1"/>
  <c r="R188" i="81" s="1"/>
  <c r="S188" i="81" s="1"/>
  <c r="T188" i="81" s="1"/>
  <c r="U188" i="81" s="1"/>
  <c r="V188" i="81" s="1"/>
  <c r="W188" i="81" s="1"/>
  <c r="X188" i="81" s="1"/>
  <c r="Y188" i="81" s="1"/>
  <c r="Z188" i="81" s="1"/>
  <c r="AA188" i="81" s="1"/>
  <c r="AB188" i="81" s="1"/>
  <c r="AC188" i="81" s="1"/>
  <c r="AD188" i="81" s="1"/>
  <c r="AE188" i="81" s="1"/>
  <c r="AF188" i="81" s="1"/>
  <c r="C188" i="81"/>
  <c r="N187" i="81"/>
  <c r="O187" i="81" s="1"/>
  <c r="P187" i="81" s="1"/>
  <c r="Q187" i="81" s="1"/>
  <c r="R187" i="81" s="1"/>
  <c r="S187" i="81" s="1"/>
  <c r="T187" i="81" s="1"/>
  <c r="U187" i="81" s="1"/>
  <c r="V187" i="81" s="1"/>
  <c r="W187" i="81" s="1"/>
  <c r="X187" i="81" s="1"/>
  <c r="Y187" i="81" s="1"/>
  <c r="Z187" i="81" s="1"/>
  <c r="AA187" i="81" s="1"/>
  <c r="AB187" i="81" s="1"/>
  <c r="AC187" i="81" s="1"/>
  <c r="AD187" i="81" s="1"/>
  <c r="AE187" i="81" s="1"/>
  <c r="AF187" i="81" s="1"/>
  <c r="I187" i="81"/>
  <c r="J187" i="81" s="1"/>
  <c r="K187" i="81" s="1"/>
  <c r="L187" i="81" s="1"/>
  <c r="M187" i="81" s="1"/>
  <c r="G187" i="81"/>
  <c r="H187" i="81" s="1"/>
  <c r="F187" i="81"/>
  <c r="E187" i="81"/>
  <c r="D187" i="81"/>
  <c r="C187" i="81"/>
  <c r="H186" i="81"/>
  <c r="I186" i="81" s="1"/>
  <c r="J186" i="81" s="1"/>
  <c r="K186" i="81" s="1"/>
  <c r="L186" i="81" s="1"/>
  <c r="M186" i="81" s="1"/>
  <c r="N186" i="81" s="1"/>
  <c r="O186" i="81" s="1"/>
  <c r="P186" i="81" s="1"/>
  <c r="Q186" i="81" s="1"/>
  <c r="R186" i="81" s="1"/>
  <c r="S186" i="81" s="1"/>
  <c r="T186" i="81" s="1"/>
  <c r="U186" i="81" s="1"/>
  <c r="V186" i="81" s="1"/>
  <c r="W186" i="81" s="1"/>
  <c r="X186" i="81" s="1"/>
  <c r="Y186" i="81" s="1"/>
  <c r="Z186" i="81" s="1"/>
  <c r="AA186" i="81" s="1"/>
  <c r="AB186" i="81" s="1"/>
  <c r="AC186" i="81" s="1"/>
  <c r="AD186" i="81" s="1"/>
  <c r="AE186" i="81" s="1"/>
  <c r="AF186" i="81" s="1"/>
  <c r="G186" i="81"/>
  <c r="D186" i="81"/>
  <c r="E186" i="81" s="1"/>
  <c r="F186" i="81" s="1"/>
  <c r="C186" i="81"/>
  <c r="F185" i="81"/>
  <c r="G185" i="81" s="1"/>
  <c r="H185" i="81" s="1"/>
  <c r="I185" i="81" s="1"/>
  <c r="J185" i="81" s="1"/>
  <c r="K185" i="81" s="1"/>
  <c r="L185" i="81" s="1"/>
  <c r="M185" i="81" s="1"/>
  <c r="N185" i="81" s="1"/>
  <c r="O185" i="81" s="1"/>
  <c r="P185" i="81" s="1"/>
  <c r="Q185" i="81" s="1"/>
  <c r="R185" i="81" s="1"/>
  <c r="S185" i="81" s="1"/>
  <c r="T185" i="81" s="1"/>
  <c r="U185" i="81" s="1"/>
  <c r="V185" i="81" s="1"/>
  <c r="W185" i="81" s="1"/>
  <c r="X185" i="81" s="1"/>
  <c r="Y185" i="81" s="1"/>
  <c r="Z185" i="81" s="1"/>
  <c r="AA185" i="81" s="1"/>
  <c r="AB185" i="81" s="1"/>
  <c r="AC185" i="81" s="1"/>
  <c r="AD185" i="81" s="1"/>
  <c r="AE185" i="81" s="1"/>
  <c r="AF185" i="81" s="1"/>
  <c r="D185" i="81"/>
  <c r="E185" i="81" s="1"/>
  <c r="C185" i="81"/>
  <c r="G184" i="81"/>
  <c r="H184" i="81" s="1"/>
  <c r="I184" i="81" s="1"/>
  <c r="J184" i="81" s="1"/>
  <c r="K184" i="81" s="1"/>
  <c r="L184" i="81" s="1"/>
  <c r="M184" i="81" s="1"/>
  <c r="N184" i="81" s="1"/>
  <c r="O184" i="81" s="1"/>
  <c r="P184" i="81" s="1"/>
  <c r="Q184" i="81" s="1"/>
  <c r="R184" i="81" s="1"/>
  <c r="S184" i="81" s="1"/>
  <c r="T184" i="81" s="1"/>
  <c r="U184" i="81" s="1"/>
  <c r="V184" i="81" s="1"/>
  <c r="W184" i="81" s="1"/>
  <c r="X184" i="81" s="1"/>
  <c r="Y184" i="81" s="1"/>
  <c r="Z184" i="81" s="1"/>
  <c r="AA184" i="81" s="1"/>
  <c r="AB184" i="81" s="1"/>
  <c r="AC184" i="81" s="1"/>
  <c r="AD184" i="81" s="1"/>
  <c r="AE184" i="81" s="1"/>
  <c r="AF184" i="81" s="1"/>
  <c r="C184" i="81"/>
  <c r="D184" i="81" s="1"/>
  <c r="E184" i="81" s="1"/>
  <c r="F184" i="81" s="1"/>
  <c r="W183" i="81"/>
  <c r="X183" i="81" s="1"/>
  <c r="Y183" i="81" s="1"/>
  <c r="Z183" i="81" s="1"/>
  <c r="AA183" i="81" s="1"/>
  <c r="AB183" i="81" s="1"/>
  <c r="AC183" i="81" s="1"/>
  <c r="AD183" i="81" s="1"/>
  <c r="AE183" i="81" s="1"/>
  <c r="AF183" i="81" s="1"/>
  <c r="E183" i="81"/>
  <c r="F183" i="81" s="1"/>
  <c r="G183" i="81" s="1"/>
  <c r="H183" i="81" s="1"/>
  <c r="I183" i="81" s="1"/>
  <c r="J183" i="81" s="1"/>
  <c r="K183" i="81" s="1"/>
  <c r="L183" i="81" s="1"/>
  <c r="M183" i="81" s="1"/>
  <c r="N183" i="81" s="1"/>
  <c r="O183" i="81" s="1"/>
  <c r="P183" i="81" s="1"/>
  <c r="Q183" i="81" s="1"/>
  <c r="R183" i="81" s="1"/>
  <c r="S183" i="81" s="1"/>
  <c r="T183" i="81" s="1"/>
  <c r="U183" i="81" s="1"/>
  <c r="V183" i="81" s="1"/>
  <c r="D183" i="81"/>
  <c r="C183" i="81"/>
  <c r="U182" i="81"/>
  <c r="V182" i="81" s="1"/>
  <c r="W182" i="81" s="1"/>
  <c r="X182" i="81" s="1"/>
  <c r="Y182" i="81" s="1"/>
  <c r="Z182" i="81" s="1"/>
  <c r="AA182" i="81" s="1"/>
  <c r="AB182" i="81" s="1"/>
  <c r="AC182" i="81" s="1"/>
  <c r="AD182" i="81" s="1"/>
  <c r="AE182" i="81" s="1"/>
  <c r="AF182" i="81" s="1"/>
  <c r="C182" i="81"/>
  <c r="D182" i="81" s="1"/>
  <c r="E182" i="81" s="1"/>
  <c r="F182" i="81" s="1"/>
  <c r="G182" i="81" s="1"/>
  <c r="H182" i="81" s="1"/>
  <c r="I182" i="81" s="1"/>
  <c r="J182" i="81" s="1"/>
  <c r="K182" i="81" s="1"/>
  <c r="L182" i="81" s="1"/>
  <c r="M182" i="81" s="1"/>
  <c r="N182" i="81" s="1"/>
  <c r="O182" i="81" s="1"/>
  <c r="P182" i="81" s="1"/>
  <c r="Q182" i="81" s="1"/>
  <c r="R182" i="81" s="1"/>
  <c r="S182" i="81" s="1"/>
  <c r="T182" i="81" s="1"/>
  <c r="N181" i="81"/>
  <c r="O181" i="81" s="1"/>
  <c r="P181" i="81" s="1"/>
  <c r="Q181" i="81" s="1"/>
  <c r="R181" i="81" s="1"/>
  <c r="S181" i="81" s="1"/>
  <c r="T181" i="81" s="1"/>
  <c r="U181" i="81" s="1"/>
  <c r="V181" i="81" s="1"/>
  <c r="W181" i="81" s="1"/>
  <c r="X181" i="81" s="1"/>
  <c r="Y181" i="81" s="1"/>
  <c r="Z181" i="81" s="1"/>
  <c r="AA181" i="81" s="1"/>
  <c r="AB181" i="81" s="1"/>
  <c r="AC181" i="81" s="1"/>
  <c r="AD181" i="81" s="1"/>
  <c r="AE181" i="81" s="1"/>
  <c r="AF181" i="81" s="1"/>
  <c r="C181" i="81"/>
  <c r="D181" i="81" s="1"/>
  <c r="E181" i="81" s="1"/>
  <c r="F181" i="81" s="1"/>
  <c r="G181" i="81" s="1"/>
  <c r="H181" i="81" s="1"/>
  <c r="I181" i="81" s="1"/>
  <c r="J181" i="81" s="1"/>
  <c r="K181" i="81" s="1"/>
  <c r="L181" i="81" s="1"/>
  <c r="M181" i="81" s="1"/>
  <c r="H180" i="81"/>
  <c r="I180" i="81" s="1"/>
  <c r="J180" i="81" s="1"/>
  <c r="K180" i="81" s="1"/>
  <c r="L180" i="81" s="1"/>
  <c r="M180" i="81" s="1"/>
  <c r="N180" i="81" s="1"/>
  <c r="O180" i="81" s="1"/>
  <c r="P180" i="81" s="1"/>
  <c r="Q180" i="81" s="1"/>
  <c r="R180" i="81" s="1"/>
  <c r="S180" i="81" s="1"/>
  <c r="T180" i="81" s="1"/>
  <c r="U180" i="81" s="1"/>
  <c r="V180" i="81" s="1"/>
  <c r="W180" i="81" s="1"/>
  <c r="X180" i="81" s="1"/>
  <c r="Y180" i="81" s="1"/>
  <c r="Z180" i="81" s="1"/>
  <c r="AA180" i="81" s="1"/>
  <c r="AB180" i="81" s="1"/>
  <c r="AC180" i="81" s="1"/>
  <c r="AD180" i="81" s="1"/>
  <c r="AE180" i="81" s="1"/>
  <c r="AF180" i="81" s="1"/>
  <c r="C180" i="81"/>
  <c r="D180" i="81" s="1"/>
  <c r="E180" i="81" s="1"/>
  <c r="F180" i="81" s="1"/>
  <c r="G180" i="81" s="1"/>
  <c r="E179" i="81"/>
  <c r="F179" i="81" s="1"/>
  <c r="G179" i="81" s="1"/>
  <c r="H179" i="81" s="1"/>
  <c r="I179" i="81" s="1"/>
  <c r="J179" i="81" s="1"/>
  <c r="K179" i="81" s="1"/>
  <c r="L179" i="81" s="1"/>
  <c r="M179" i="81" s="1"/>
  <c r="N179" i="81" s="1"/>
  <c r="O179" i="81" s="1"/>
  <c r="P179" i="81" s="1"/>
  <c r="Q179" i="81" s="1"/>
  <c r="R179" i="81" s="1"/>
  <c r="S179" i="81" s="1"/>
  <c r="T179" i="81" s="1"/>
  <c r="U179" i="81" s="1"/>
  <c r="V179" i="81" s="1"/>
  <c r="W179" i="81" s="1"/>
  <c r="X179" i="81" s="1"/>
  <c r="Y179" i="81" s="1"/>
  <c r="Z179" i="81" s="1"/>
  <c r="AA179" i="81" s="1"/>
  <c r="AB179" i="81" s="1"/>
  <c r="AC179" i="81" s="1"/>
  <c r="AD179" i="81" s="1"/>
  <c r="AE179" i="81" s="1"/>
  <c r="AF179" i="81" s="1"/>
  <c r="D179" i="81"/>
  <c r="C179" i="81"/>
  <c r="M178" i="81"/>
  <c r="N178" i="81" s="1"/>
  <c r="O178" i="81" s="1"/>
  <c r="P178" i="81" s="1"/>
  <c r="Q178" i="81" s="1"/>
  <c r="R178" i="81" s="1"/>
  <c r="S178" i="81" s="1"/>
  <c r="T178" i="81" s="1"/>
  <c r="U178" i="81" s="1"/>
  <c r="V178" i="81" s="1"/>
  <c r="W178" i="81" s="1"/>
  <c r="X178" i="81" s="1"/>
  <c r="Y178" i="81" s="1"/>
  <c r="Z178" i="81" s="1"/>
  <c r="AA178" i="81" s="1"/>
  <c r="AB178" i="81" s="1"/>
  <c r="AC178" i="81" s="1"/>
  <c r="AD178" i="81" s="1"/>
  <c r="AE178" i="81" s="1"/>
  <c r="AF178" i="81" s="1"/>
  <c r="C178" i="81"/>
  <c r="D178" i="81" s="1"/>
  <c r="E178" i="81" s="1"/>
  <c r="F178" i="81" s="1"/>
  <c r="G178" i="81" s="1"/>
  <c r="H178" i="81" s="1"/>
  <c r="I178" i="81" s="1"/>
  <c r="J178" i="81" s="1"/>
  <c r="K178" i="81" s="1"/>
  <c r="L178" i="81" s="1"/>
  <c r="C177" i="81"/>
  <c r="D177" i="81" s="1"/>
  <c r="E177" i="81" s="1"/>
  <c r="F177" i="81" s="1"/>
  <c r="G177" i="81" s="1"/>
  <c r="P176" i="81"/>
  <c r="Q176" i="81" s="1"/>
  <c r="R176" i="81" s="1"/>
  <c r="S176" i="81" s="1"/>
  <c r="T176" i="81" s="1"/>
  <c r="U176" i="81" s="1"/>
  <c r="V176" i="81" s="1"/>
  <c r="W176" i="81" s="1"/>
  <c r="X176" i="81" s="1"/>
  <c r="Y176" i="81" s="1"/>
  <c r="Z176" i="81" s="1"/>
  <c r="AA176" i="81" s="1"/>
  <c r="AB176" i="81" s="1"/>
  <c r="AC176" i="81" s="1"/>
  <c r="AD176" i="81" s="1"/>
  <c r="AE176" i="81" s="1"/>
  <c r="AF176" i="81" s="1"/>
  <c r="C176" i="81"/>
  <c r="D176" i="81" s="1"/>
  <c r="E176" i="81" s="1"/>
  <c r="F176" i="81" s="1"/>
  <c r="G176" i="81" s="1"/>
  <c r="H176" i="81" s="1"/>
  <c r="I176" i="81" s="1"/>
  <c r="J176" i="81" s="1"/>
  <c r="K176" i="81" s="1"/>
  <c r="L176" i="81" s="1"/>
  <c r="M176" i="81" s="1"/>
  <c r="N176" i="81" s="1"/>
  <c r="O176" i="81" s="1"/>
  <c r="D175" i="81"/>
  <c r="E175" i="81" s="1"/>
  <c r="F175" i="81" s="1"/>
  <c r="G175" i="81" s="1"/>
  <c r="H175" i="81" s="1"/>
  <c r="I175" i="81" s="1"/>
  <c r="J175" i="81" s="1"/>
  <c r="K175" i="81" s="1"/>
  <c r="L175" i="81" s="1"/>
  <c r="M175" i="81" s="1"/>
  <c r="N175" i="81" s="1"/>
  <c r="O175" i="81" s="1"/>
  <c r="P175" i="81" s="1"/>
  <c r="Q175" i="81" s="1"/>
  <c r="R175" i="81" s="1"/>
  <c r="S175" i="81" s="1"/>
  <c r="T175" i="81" s="1"/>
  <c r="U175" i="81" s="1"/>
  <c r="V175" i="81" s="1"/>
  <c r="W175" i="81" s="1"/>
  <c r="X175" i="81" s="1"/>
  <c r="Y175" i="81" s="1"/>
  <c r="Z175" i="81" s="1"/>
  <c r="AA175" i="81" s="1"/>
  <c r="AB175" i="81" s="1"/>
  <c r="AC175" i="81" s="1"/>
  <c r="AD175" i="81" s="1"/>
  <c r="AE175" i="81" s="1"/>
  <c r="AF175" i="81" s="1"/>
  <c r="C175" i="81"/>
  <c r="U174" i="81"/>
  <c r="V174" i="81" s="1"/>
  <c r="W174" i="81" s="1"/>
  <c r="X174" i="81" s="1"/>
  <c r="Y174" i="81" s="1"/>
  <c r="Z174" i="81" s="1"/>
  <c r="AA174" i="81" s="1"/>
  <c r="AB174" i="81" s="1"/>
  <c r="AC174" i="81" s="1"/>
  <c r="AD174" i="81" s="1"/>
  <c r="AE174" i="81" s="1"/>
  <c r="AF174" i="81" s="1"/>
  <c r="E174" i="81"/>
  <c r="F174" i="81" s="1"/>
  <c r="G174" i="81" s="1"/>
  <c r="H174" i="81" s="1"/>
  <c r="I174" i="81" s="1"/>
  <c r="J174" i="81" s="1"/>
  <c r="K174" i="81" s="1"/>
  <c r="L174" i="81" s="1"/>
  <c r="M174" i="81" s="1"/>
  <c r="N174" i="81" s="1"/>
  <c r="O174" i="81" s="1"/>
  <c r="P174" i="81" s="1"/>
  <c r="Q174" i="81" s="1"/>
  <c r="R174" i="81" s="1"/>
  <c r="S174" i="81" s="1"/>
  <c r="T174" i="81" s="1"/>
  <c r="D174" i="81"/>
  <c r="C174" i="81"/>
  <c r="S173" i="81"/>
  <c r="T173" i="81" s="1"/>
  <c r="U173" i="81" s="1"/>
  <c r="V173" i="81" s="1"/>
  <c r="W173" i="81" s="1"/>
  <c r="X173" i="81" s="1"/>
  <c r="Y173" i="81" s="1"/>
  <c r="Z173" i="81" s="1"/>
  <c r="AA173" i="81" s="1"/>
  <c r="AB173" i="81" s="1"/>
  <c r="AC173" i="81" s="1"/>
  <c r="AD173" i="81" s="1"/>
  <c r="AE173" i="81" s="1"/>
  <c r="AF173" i="81" s="1"/>
  <c r="F173" i="81"/>
  <c r="G173" i="81" s="1"/>
  <c r="H173" i="81" s="1"/>
  <c r="I173" i="81" s="1"/>
  <c r="J173" i="81" s="1"/>
  <c r="K173" i="81" s="1"/>
  <c r="L173" i="81" s="1"/>
  <c r="M173" i="81" s="1"/>
  <c r="N173" i="81" s="1"/>
  <c r="O173" i="81" s="1"/>
  <c r="P173" i="81" s="1"/>
  <c r="Q173" i="81" s="1"/>
  <c r="R173" i="81" s="1"/>
  <c r="E173" i="81"/>
  <c r="C173" i="81"/>
  <c r="D173" i="81" s="1"/>
  <c r="V172" i="81"/>
  <c r="W172" i="81" s="1"/>
  <c r="X172" i="81" s="1"/>
  <c r="Y172" i="81" s="1"/>
  <c r="Z172" i="81" s="1"/>
  <c r="AA172" i="81" s="1"/>
  <c r="AB172" i="81" s="1"/>
  <c r="AC172" i="81" s="1"/>
  <c r="AD172" i="81" s="1"/>
  <c r="AE172" i="81" s="1"/>
  <c r="AF172" i="81" s="1"/>
  <c r="I172" i="81"/>
  <c r="J172" i="81" s="1"/>
  <c r="K172" i="81" s="1"/>
  <c r="L172" i="81" s="1"/>
  <c r="M172" i="81" s="1"/>
  <c r="N172" i="81" s="1"/>
  <c r="O172" i="81" s="1"/>
  <c r="P172" i="81" s="1"/>
  <c r="Q172" i="81" s="1"/>
  <c r="R172" i="81" s="1"/>
  <c r="S172" i="81" s="1"/>
  <c r="T172" i="81" s="1"/>
  <c r="U172" i="81" s="1"/>
  <c r="H172" i="81"/>
  <c r="C172" i="81"/>
  <c r="D172" i="81" s="1"/>
  <c r="E172" i="81" s="1"/>
  <c r="F172" i="81" s="1"/>
  <c r="G172" i="81" s="1"/>
  <c r="D171" i="81"/>
  <c r="E171" i="81" s="1"/>
  <c r="F171" i="81" s="1"/>
  <c r="G171" i="81" s="1"/>
  <c r="H171" i="81" s="1"/>
  <c r="I171" i="81" s="1"/>
  <c r="J171" i="81" s="1"/>
  <c r="K171" i="81" s="1"/>
  <c r="L171" i="81" s="1"/>
  <c r="M171" i="81" s="1"/>
  <c r="N171" i="81" s="1"/>
  <c r="O171" i="81" s="1"/>
  <c r="P171" i="81" s="1"/>
  <c r="Q171" i="81" s="1"/>
  <c r="R171" i="81" s="1"/>
  <c r="S171" i="81" s="1"/>
  <c r="T171" i="81" s="1"/>
  <c r="U171" i="81" s="1"/>
  <c r="V171" i="81" s="1"/>
  <c r="W171" i="81" s="1"/>
  <c r="X171" i="81" s="1"/>
  <c r="Y171" i="81" s="1"/>
  <c r="Z171" i="81" s="1"/>
  <c r="AA171" i="81" s="1"/>
  <c r="AB171" i="81" s="1"/>
  <c r="AC171" i="81" s="1"/>
  <c r="AD171" i="81" s="1"/>
  <c r="AE171" i="81" s="1"/>
  <c r="AF171" i="81" s="1"/>
  <c r="C171" i="81"/>
  <c r="J170" i="81"/>
  <c r="K170" i="81" s="1"/>
  <c r="L170" i="81" s="1"/>
  <c r="M170" i="81" s="1"/>
  <c r="N170" i="81" s="1"/>
  <c r="O170" i="81" s="1"/>
  <c r="P170" i="81" s="1"/>
  <c r="Q170" i="81" s="1"/>
  <c r="R170" i="81" s="1"/>
  <c r="S170" i="81" s="1"/>
  <c r="T170" i="81" s="1"/>
  <c r="U170" i="81" s="1"/>
  <c r="V170" i="81" s="1"/>
  <c r="W170" i="81" s="1"/>
  <c r="X170" i="81" s="1"/>
  <c r="Y170" i="81" s="1"/>
  <c r="F170" i="81"/>
  <c r="G170" i="81" s="1"/>
  <c r="H170" i="81" s="1"/>
  <c r="I170" i="81" s="1"/>
  <c r="E170" i="81"/>
  <c r="C170" i="81"/>
  <c r="D170" i="81" s="1"/>
  <c r="C169" i="81"/>
  <c r="AG167" i="81"/>
  <c r="E166" i="81"/>
  <c r="F166" i="81" s="1"/>
  <c r="G166" i="81" s="1"/>
  <c r="H166" i="81" s="1"/>
  <c r="I166" i="81" s="1"/>
  <c r="J166" i="81" s="1"/>
  <c r="K166" i="81" s="1"/>
  <c r="L166" i="81" s="1"/>
  <c r="M166" i="81" s="1"/>
  <c r="N166" i="81" s="1"/>
  <c r="O166" i="81" s="1"/>
  <c r="P166" i="81" s="1"/>
  <c r="Q166" i="81" s="1"/>
  <c r="R166" i="81" s="1"/>
  <c r="S166" i="81" s="1"/>
  <c r="T166" i="81" s="1"/>
  <c r="U166" i="81" s="1"/>
  <c r="V166" i="81" s="1"/>
  <c r="W166" i="81" s="1"/>
  <c r="X166" i="81" s="1"/>
  <c r="Y166" i="81" s="1"/>
  <c r="Z166" i="81" s="1"/>
  <c r="AA166" i="81" s="1"/>
  <c r="AB166" i="81" s="1"/>
  <c r="AC166" i="81" s="1"/>
  <c r="AD166" i="81" s="1"/>
  <c r="AE166" i="81" s="1"/>
  <c r="AF166" i="81" s="1"/>
  <c r="C166" i="81"/>
  <c r="D166" i="81" s="1"/>
  <c r="C165" i="81"/>
  <c r="D164" i="81"/>
  <c r="E164" i="81" s="1"/>
  <c r="F164" i="81" s="1"/>
  <c r="G164" i="81" s="1"/>
  <c r="H164" i="81" s="1"/>
  <c r="I164" i="81" s="1"/>
  <c r="J164" i="81" s="1"/>
  <c r="K164" i="81" s="1"/>
  <c r="L164" i="81" s="1"/>
  <c r="M164" i="81" s="1"/>
  <c r="N164" i="81" s="1"/>
  <c r="O164" i="81" s="1"/>
  <c r="P164" i="81" s="1"/>
  <c r="Q164" i="81" s="1"/>
  <c r="R164" i="81" s="1"/>
  <c r="S164" i="81" s="1"/>
  <c r="T164" i="81" s="1"/>
  <c r="U164" i="81" s="1"/>
  <c r="V164" i="81" s="1"/>
  <c r="W164" i="81" s="1"/>
  <c r="X164" i="81" s="1"/>
  <c r="Y164" i="81" s="1"/>
  <c r="Z164" i="81" s="1"/>
  <c r="AA164" i="81" s="1"/>
  <c r="AB164" i="81" s="1"/>
  <c r="AC164" i="81" s="1"/>
  <c r="AD164" i="81" s="1"/>
  <c r="AE164" i="81" s="1"/>
  <c r="AF164" i="81" s="1"/>
  <c r="C164" i="81"/>
  <c r="G163" i="81"/>
  <c r="H163" i="81" s="1"/>
  <c r="I163" i="81" s="1"/>
  <c r="J163" i="81" s="1"/>
  <c r="K163" i="81" s="1"/>
  <c r="L163" i="81" s="1"/>
  <c r="M163" i="81" s="1"/>
  <c r="N163" i="81" s="1"/>
  <c r="O163" i="81" s="1"/>
  <c r="P163" i="81" s="1"/>
  <c r="Q163" i="81" s="1"/>
  <c r="R163" i="81" s="1"/>
  <c r="S163" i="81" s="1"/>
  <c r="T163" i="81" s="1"/>
  <c r="U163" i="81" s="1"/>
  <c r="V163" i="81" s="1"/>
  <c r="W163" i="81" s="1"/>
  <c r="X163" i="81" s="1"/>
  <c r="Y163" i="81" s="1"/>
  <c r="Z163" i="81" s="1"/>
  <c r="AA163" i="81" s="1"/>
  <c r="AB163" i="81" s="1"/>
  <c r="AC163" i="81" s="1"/>
  <c r="AD163" i="81" s="1"/>
  <c r="AE163" i="81" s="1"/>
  <c r="AF163" i="81" s="1"/>
  <c r="E163" i="81"/>
  <c r="F163" i="81" s="1"/>
  <c r="D163" i="81"/>
  <c r="C163" i="81"/>
  <c r="I162" i="81"/>
  <c r="J162" i="81" s="1"/>
  <c r="K162" i="81" s="1"/>
  <c r="L162" i="81" s="1"/>
  <c r="M162" i="81" s="1"/>
  <c r="N162" i="81" s="1"/>
  <c r="O162" i="81" s="1"/>
  <c r="P162" i="81" s="1"/>
  <c r="Q162" i="81" s="1"/>
  <c r="R162" i="81" s="1"/>
  <c r="S162" i="81" s="1"/>
  <c r="T162" i="81" s="1"/>
  <c r="U162" i="81" s="1"/>
  <c r="V162" i="81" s="1"/>
  <c r="W162" i="81" s="1"/>
  <c r="X162" i="81" s="1"/>
  <c r="Y162" i="81" s="1"/>
  <c r="Z162" i="81" s="1"/>
  <c r="AA162" i="81" s="1"/>
  <c r="AB162" i="81" s="1"/>
  <c r="AC162" i="81" s="1"/>
  <c r="AD162" i="81" s="1"/>
  <c r="AE162" i="81" s="1"/>
  <c r="AF162" i="81" s="1"/>
  <c r="H162" i="81"/>
  <c r="G162" i="81"/>
  <c r="C162" i="81"/>
  <c r="D162" i="81" s="1"/>
  <c r="E162" i="81" s="1"/>
  <c r="F162" i="81" s="1"/>
  <c r="C161" i="81"/>
  <c r="D161" i="81" s="1"/>
  <c r="E161" i="81" s="1"/>
  <c r="AI158" i="81"/>
  <c r="AH158" i="81"/>
  <c r="A158" i="81" a="1"/>
  <c r="A158" i="81" s="1"/>
  <c r="AI157" i="81"/>
  <c r="AH157" i="81"/>
  <c r="AI156" i="81"/>
  <c r="AH156" i="81"/>
  <c r="AI155" i="81"/>
  <c r="AH155" i="81"/>
  <c r="AI154" i="81"/>
  <c r="AH154" i="81"/>
  <c r="AL153" i="81"/>
  <c r="AI153" i="81"/>
  <c r="AH153" i="81"/>
  <c r="A153" i="81" a="1"/>
  <c r="A153" i="81" s="1"/>
  <c r="AI152" i="81"/>
  <c r="AH152" i="81"/>
  <c r="AI151" i="81"/>
  <c r="AH151" i="81"/>
  <c r="AI150" i="81"/>
  <c r="AH150" i="81"/>
  <c r="AI149" i="81"/>
  <c r="AH149" i="81"/>
  <c r="AI148" i="81"/>
  <c r="AH148" i="81"/>
  <c r="AI147" i="81"/>
  <c r="AH147" i="81"/>
  <c r="AI146" i="81"/>
  <c r="AH146" i="81"/>
  <c r="AI142" i="81"/>
  <c r="AH142" i="81"/>
  <c r="AI141" i="81"/>
  <c r="AH141" i="81"/>
  <c r="AI140" i="81"/>
  <c r="AH140" i="81"/>
  <c r="AI139" i="81"/>
  <c r="AH139" i="81"/>
  <c r="AI138" i="81"/>
  <c r="AH138" i="81"/>
  <c r="AI137" i="81"/>
  <c r="AH137" i="81"/>
  <c r="AI136" i="81"/>
  <c r="AH136" i="81"/>
  <c r="AI134" i="81"/>
  <c r="AH134" i="81"/>
  <c r="AI133" i="81"/>
  <c r="AH133" i="81"/>
  <c r="AI132" i="81"/>
  <c r="AH132" i="81"/>
  <c r="AI131" i="81"/>
  <c r="AH131" i="81"/>
  <c r="AI130" i="81"/>
  <c r="AH130" i="81"/>
  <c r="AI129" i="81"/>
  <c r="AH129" i="81"/>
  <c r="AI128" i="81"/>
  <c r="AH128" i="81"/>
  <c r="AI127" i="81"/>
  <c r="AH127" i="81"/>
  <c r="AI126" i="81"/>
  <c r="AH126" i="81"/>
  <c r="AI125" i="81"/>
  <c r="AH125" i="81"/>
  <c r="K123" i="81"/>
  <c r="AF122" i="81"/>
  <c r="AE122" i="81"/>
  <c r="AD122" i="81"/>
  <c r="AC122" i="81"/>
  <c r="AB122" i="81"/>
  <c r="AA122" i="81"/>
  <c r="Z122" i="81"/>
  <c r="Y122" i="81"/>
  <c r="X122" i="81"/>
  <c r="W122" i="81"/>
  <c r="V122" i="81"/>
  <c r="U122" i="81"/>
  <c r="T122" i="81"/>
  <c r="S122" i="81"/>
  <c r="R122" i="81"/>
  <c r="Q122" i="81"/>
  <c r="P122" i="81"/>
  <c r="O122" i="81"/>
  <c r="N122" i="81"/>
  <c r="M122" i="81"/>
  <c r="L122" i="81"/>
  <c r="K122" i="81"/>
  <c r="J122" i="81"/>
  <c r="I122" i="81"/>
  <c r="H122" i="81"/>
  <c r="G122" i="81"/>
  <c r="F122" i="81"/>
  <c r="E122" i="81"/>
  <c r="AI122" i="81" s="1"/>
  <c r="D122" i="81"/>
  <c r="C122" i="81"/>
  <c r="AF121" i="81"/>
  <c r="AE121" i="81"/>
  <c r="AD121" i="81"/>
  <c r="AC121" i="81"/>
  <c r="AB121" i="81"/>
  <c r="AA121" i="81"/>
  <c r="Z121" i="81"/>
  <c r="Y121" i="81"/>
  <c r="X121" i="81"/>
  <c r="W121" i="81"/>
  <c r="V121" i="81"/>
  <c r="U121" i="81"/>
  <c r="T121" i="81"/>
  <c r="S121" i="81"/>
  <c r="R121" i="81"/>
  <c r="Q121" i="81"/>
  <c r="P121" i="81"/>
  <c r="O121" i="81"/>
  <c r="N121" i="81"/>
  <c r="M121" i="81"/>
  <c r="L121" i="81"/>
  <c r="L123" i="81" s="1"/>
  <c r="K121" i="81"/>
  <c r="J121" i="81"/>
  <c r="I121" i="81"/>
  <c r="H121" i="81"/>
  <c r="G121" i="81"/>
  <c r="F121" i="81"/>
  <c r="E121" i="81"/>
  <c r="D121" i="81"/>
  <c r="C121" i="81"/>
  <c r="AF120" i="81"/>
  <c r="AE120" i="81"/>
  <c r="AD120" i="81"/>
  <c r="AC120" i="81"/>
  <c r="AB120" i="81"/>
  <c r="AA120" i="81"/>
  <c r="Z120" i="81"/>
  <c r="Y120" i="81"/>
  <c r="X120" i="81"/>
  <c r="W120" i="81"/>
  <c r="V120" i="81"/>
  <c r="U120" i="81"/>
  <c r="T120" i="81"/>
  <c r="S120" i="81"/>
  <c r="R120" i="81"/>
  <c r="Q120" i="81"/>
  <c r="P120" i="81"/>
  <c r="O120" i="81"/>
  <c r="N120" i="81"/>
  <c r="M120" i="81"/>
  <c r="L120" i="81"/>
  <c r="K120" i="81"/>
  <c r="J120" i="81"/>
  <c r="I120" i="81"/>
  <c r="H120" i="81"/>
  <c r="G120" i="81"/>
  <c r="F120" i="81"/>
  <c r="E120" i="81"/>
  <c r="D120" i="81"/>
  <c r="C120" i="81"/>
  <c r="AF119" i="81"/>
  <c r="AE119" i="81"/>
  <c r="AD119" i="81"/>
  <c r="AC119" i="81"/>
  <c r="AB119" i="81"/>
  <c r="AA119" i="81"/>
  <c r="Z119" i="81"/>
  <c r="Y119" i="81"/>
  <c r="X119" i="81"/>
  <c r="W119" i="81"/>
  <c r="V119" i="81"/>
  <c r="U119" i="81"/>
  <c r="U123" i="81" s="1"/>
  <c r="BC23" i="81" s="1"/>
  <c r="T119" i="81"/>
  <c r="T123" i="81" s="1"/>
  <c r="BB23" i="81" s="1"/>
  <c r="S119" i="81"/>
  <c r="R119" i="81"/>
  <c r="Q119" i="81"/>
  <c r="P119" i="81"/>
  <c r="O119" i="81"/>
  <c r="N119" i="81"/>
  <c r="M119" i="81"/>
  <c r="M123" i="81" s="1"/>
  <c r="AU23" i="81" s="1"/>
  <c r="L119" i="81"/>
  <c r="K119" i="81"/>
  <c r="J119" i="81"/>
  <c r="I119" i="81"/>
  <c r="H119" i="81"/>
  <c r="G119" i="81"/>
  <c r="F119" i="81"/>
  <c r="E119" i="81"/>
  <c r="D119" i="81"/>
  <c r="C119" i="81"/>
  <c r="AF118" i="81"/>
  <c r="AF123" i="81" s="1"/>
  <c r="AE118" i="81"/>
  <c r="AD118" i="81"/>
  <c r="AC118" i="81"/>
  <c r="AB118" i="81"/>
  <c r="AA118" i="81"/>
  <c r="Z118" i="81"/>
  <c r="Y118" i="81"/>
  <c r="X118" i="81"/>
  <c r="W118" i="81"/>
  <c r="V118" i="81"/>
  <c r="U118" i="81"/>
  <c r="T118" i="81"/>
  <c r="S118" i="81"/>
  <c r="R118" i="81"/>
  <c r="Q118" i="81"/>
  <c r="P118" i="81"/>
  <c r="P123" i="81" s="1"/>
  <c r="O118" i="81"/>
  <c r="N118" i="81"/>
  <c r="M118" i="81"/>
  <c r="L118" i="81"/>
  <c r="K118" i="81"/>
  <c r="J118" i="81"/>
  <c r="I118" i="81"/>
  <c r="H118" i="81"/>
  <c r="G118" i="81"/>
  <c r="F118" i="81"/>
  <c r="AH118" i="81" s="1"/>
  <c r="E118" i="81"/>
  <c r="D118" i="81"/>
  <c r="C118" i="81"/>
  <c r="AI118" i="81"/>
  <c r="AF117" i="81"/>
  <c r="AE117" i="81"/>
  <c r="AD117" i="81"/>
  <c r="AC117" i="81"/>
  <c r="AB117" i="81"/>
  <c r="AA117" i="81"/>
  <c r="AA123" i="81" s="1"/>
  <c r="Z117" i="81"/>
  <c r="Z123" i="81" s="1"/>
  <c r="BF23" i="81" s="1"/>
  <c r="Y117" i="81"/>
  <c r="Y123" i="81" s="1"/>
  <c r="Y124" i="81" s="1"/>
  <c r="X117" i="81"/>
  <c r="X123" i="81" s="1"/>
  <c r="W117" i="81"/>
  <c r="V117" i="81"/>
  <c r="U117" i="81"/>
  <c r="T117" i="81"/>
  <c r="S117" i="81"/>
  <c r="R117" i="81"/>
  <c r="R123" i="81" s="1"/>
  <c r="Q117" i="81"/>
  <c r="Q123" i="81" s="1"/>
  <c r="P117" i="81"/>
  <c r="O117" i="81"/>
  <c r="N117" i="81"/>
  <c r="M117" i="81"/>
  <c r="L117" i="81"/>
  <c r="K117" i="81"/>
  <c r="J117" i="81"/>
  <c r="J123" i="81" s="1"/>
  <c r="I117" i="81"/>
  <c r="I123" i="81" s="1"/>
  <c r="AS23" i="81" s="1"/>
  <c r="H117" i="81"/>
  <c r="G117" i="81"/>
  <c r="F117" i="81"/>
  <c r="E117" i="81"/>
  <c r="D117" i="81"/>
  <c r="C117" i="81"/>
  <c r="AI114" i="81"/>
  <c r="AH114" i="81"/>
  <c r="AI112" i="81"/>
  <c r="AH112" i="81"/>
  <c r="AG112" i="81"/>
  <c r="AG115" i="81" s="1"/>
  <c r="AI111" i="81"/>
  <c r="AH111" i="81"/>
  <c r="AI110" i="81"/>
  <c r="AH110" i="81"/>
  <c r="AI109" i="81"/>
  <c r="AH109" i="81"/>
  <c r="AG108" i="81"/>
  <c r="AF108" i="81"/>
  <c r="AE108" i="81"/>
  <c r="AD108" i="81"/>
  <c r="AC108" i="81"/>
  <c r="AB108" i="81"/>
  <c r="AA108" i="81"/>
  <c r="Z108" i="81"/>
  <c r="BF19" i="81" s="1"/>
  <c r="Y108" i="81"/>
  <c r="X108" i="81"/>
  <c r="W108" i="81"/>
  <c r="V108" i="81"/>
  <c r="U108" i="81"/>
  <c r="T108" i="81"/>
  <c r="S108" i="81"/>
  <c r="R108" i="81"/>
  <c r="R124" i="81" s="1"/>
  <c r="Q108" i="81"/>
  <c r="P108" i="81"/>
  <c r="O108" i="81"/>
  <c r="N108" i="81"/>
  <c r="M108" i="81"/>
  <c r="L108" i="81"/>
  <c r="K108" i="81"/>
  <c r="J108" i="81"/>
  <c r="I108" i="81"/>
  <c r="H108" i="81"/>
  <c r="G108" i="81"/>
  <c r="F108" i="81"/>
  <c r="E108" i="81"/>
  <c r="D108" i="81"/>
  <c r="C108" i="81"/>
  <c r="AI107" i="81"/>
  <c r="AH107" i="81"/>
  <c r="AI106" i="81"/>
  <c r="AH106" i="81"/>
  <c r="AI105" i="81"/>
  <c r="AH105" i="81"/>
  <c r="AI104" i="81"/>
  <c r="AH104" i="81"/>
  <c r="AI103" i="81"/>
  <c r="AH103" i="81"/>
  <c r="AI102" i="81"/>
  <c r="AH102" i="81"/>
  <c r="AI101" i="81"/>
  <c r="AH101" i="81"/>
  <c r="AI100" i="81"/>
  <c r="AH100" i="81"/>
  <c r="AI99" i="81"/>
  <c r="AH99" i="81"/>
  <c r="AI98" i="81"/>
  <c r="AH98" i="81"/>
  <c r="AI97" i="81"/>
  <c r="AH97" i="81"/>
  <c r="AG96" i="81"/>
  <c r="AF96" i="81"/>
  <c r="AE96" i="81"/>
  <c r="AD96" i="81"/>
  <c r="AC96" i="81"/>
  <c r="AB96" i="81"/>
  <c r="BG20" i="81" s="1"/>
  <c r="AA96" i="81"/>
  <c r="Z96" i="81"/>
  <c r="Y96" i="81"/>
  <c r="X96" i="81"/>
  <c r="W96" i="81"/>
  <c r="V96" i="81"/>
  <c r="U96" i="81"/>
  <c r="T96" i="81"/>
  <c r="S96" i="81"/>
  <c r="R96" i="81"/>
  <c r="Q96" i="81"/>
  <c r="P96" i="81"/>
  <c r="O96" i="81"/>
  <c r="N96" i="81"/>
  <c r="M96" i="81"/>
  <c r="L96" i="81"/>
  <c r="K96" i="81"/>
  <c r="J96" i="81"/>
  <c r="I96" i="81"/>
  <c r="H96" i="81"/>
  <c r="G96" i="81"/>
  <c r="F96" i="81"/>
  <c r="E96" i="81"/>
  <c r="AP20" i="81" s="1"/>
  <c r="D96" i="81"/>
  <c r="AO20" i="81" s="1"/>
  <c r="C96" i="81"/>
  <c r="AN20" i="81" s="1"/>
  <c r="AI95" i="81"/>
  <c r="AH95" i="81"/>
  <c r="AI94" i="81"/>
  <c r="AH94" i="81"/>
  <c r="AI93" i="81"/>
  <c r="AH93" i="81"/>
  <c r="AF92" i="81"/>
  <c r="AE92" i="81"/>
  <c r="AD92" i="81"/>
  <c r="BH18" i="81" s="1"/>
  <c r="AC92" i="81"/>
  <c r="AB92" i="81"/>
  <c r="AA92" i="81"/>
  <c r="Z92" i="81"/>
  <c r="Y92" i="81"/>
  <c r="X92" i="81"/>
  <c r="BE18" i="81" s="1"/>
  <c r="BE22" i="81" s="1"/>
  <c r="W92" i="81"/>
  <c r="V92" i="81"/>
  <c r="U92" i="81"/>
  <c r="T92" i="81"/>
  <c r="S92" i="81"/>
  <c r="R92" i="81"/>
  <c r="AZ18" i="81" s="1"/>
  <c r="Q92" i="81"/>
  <c r="P92" i="81"/>
  <c r="O92" i="81"/>
  <c r="N92" i="81"/>
  <c r="M92" i="81"/>
  <c r="L92" i="81"/>
  <c r="K92" i="81"/>
  <c r="J92" i="81"/>
  <c r="I92" i="81"/>
  <c r="H92" i="81"/>
  <c r="G92" i="81"/>
  <c r="F92" i="81"/>
  <c r="AQ18" i="81" s="1"/>
  <c r="D92" i="81"/>
  <c r="AO18" i="81" s="1"/>
  <c r="C92" i="81"/>
  <c r="AN18" i="81" s="1"/>
  <c r="BN91" i="81"/>
  <c r="BL91" i="81"/>
  <c r="BJ91" i="81"/>
  <c r="BE91" i="81"/>
  <c r="BD91" i="81"/>
  <c r="BA91" i="81"/>
  <c r="AI91" i="81"/>
  <c r="AH91" i="81"/>
  <c r="AG91" i="81"/>
  <c r="AG92" i="81" s="1"/>
  <c r="AG3" i="81" s="1"/>
  <c r="BV90" i="81"/>
  <c r="BT90" i="81"/>
  <c r="BO90" i="81"/>
  <c r="BN90" i="81"/>
  <c r="BK90" i="81"/>
  <c r="BF90" i="81"/>
  <c r="BD90" i="81"/>
  <c r="AI90" i="81"/>
  <c r="AH90" i="81"/>
  <c r="BW89" i="81"/>
  <c r="BV89" i="81"/>
  <c r="BU89" i="81"/>
  <c r="BR89" i="81"/>
  <c r="BP89" i="81"/>
  <c r="BN89" i="81"/>
  <c r="BM89" i="81"/>
  <c r="BI89" i="81"/>
  <c r="BH89" i="81"/>
  <c r="BF89" i="81"/>
  <c r="BE89" i="81"/>
  <c r="BA89" i="81"/>
  <c r="AI89" i="81"/>
  <c r="AH89" i="81"/>
  <c r="BS88" i="81"/>
  <c r="BR88" i="81"/>
  <c r="BP88" i="81"/>
  <c r="BO88" i="81"/>
  <c r="BK88" i="81"/>
  <c r="BJ88" i="81"/>
  <c r="BH88" i="81"/>
  <c r="BG88" i="81"/>
  <c r="BC88" i="81"/>
  <c r="AZ88" i="81"/>
  <c r="AI88" i="81"/>
  <c r="AH88" i="81"/>
  <c r="BU87" i="81"/>
  <c r="BT87" i="81"/>
  <c r="BR87" i="81"/>
  <c r="BQ87" i="81"/>
  <c r="BM87" i="81"/>
  <c r="BL87" i="81"/>
  <c r="BJ87" i="81"/>
  <c r="BI87" i="81"/>
  <c r="BE87" i="81"/>
  <c r="BD87" i="81"/>
  <c r="AI87" i="81"/>
  <c r="AH87" i="81"/>
  <c r="BV86" i="81"/>
  <c r="BT86" i="81"/>
  <c r="BS86" i="81"/>
  <c r="BO86" i="81"/>
  <c r="BN86" i="81"/>
  <c r="BL86" i="81"/>
  <c r="BK86" i="81"/>
  <c r="BG86" i="81"/>
  <c r="BF86" i="81"/>
  <c r="BD86" i="81"/>
  <c r="BC86" i="81"/>
  <c r="AI86" i="81"/>
  <c r="AH86" i="81"/>
  <c r="AI85" i="81"/>
  <c r="AH85" i="81"/>
  <c r="BW84" i="81"/>
  <c r="BW91" i="81" s="1"/>
  <c r="BV84" i="81"/>
  <c r="BV91" i="81" s="1"/>
  <c r="BU84" i="81"/>
  <c r="BU91" i="81" s="1"/>
  <c r="BT84" i="81"/>
  <c r="BT91" i="81" s="1"/>
  <c r="BS84" i="81"/>
  <c r="BS91" i="81" s="1"/>
  <c r="BR84" i="81"/>
  <c r="BR91" i="81" s="1"/>
  <c r="BQ84" i="81"/>
  <c r="BQ91" i="81" s="1"/>
  <c r="BP84" i="81"/>
  <c r="BP91" i="81" s="1"/>
  <c r="BO84" i="81"/>
  <c r="BO91" i="81" s="1"/>
  <c r="BN84" i="81"/>
  <c r="BM84" i="81"/>
  <c r="BM91" i="81" s="1"/>
  <c r="BL84" i="81"/>
  <c r="BK84" i="81"/>
  <c r="BK91" i="81" s="1"/>
  <c r="BJ84" i="81"/>
  <c r="BI84" i="81"/>
  <c r="BI91" i="81" s="1"/>
  <c r="BH84" i="81"/>
  <c r="BH91" i="81" s="1"/>
  <c r="BG84" i="81"/>
  <c r="BG91" i="81" s="1"/>
  <c r="BF84" i="81"/>
  <c r="BF91" i="81" s="1"/>
  <c r="BE84" i="81"/>
  <c r="BD84" i="81"/>
  <c r="BC84" i="81"/>
  <c r="BC91" i="81" s="1"/>
  <c r="BB84" i="81"/>
  <c r="BB91" i="81" s="1"/>
  <c r="BA84" i="81"/>
  <c r="AZ84" i="81"/>
  <c r="AZ91" i="81" s="1"/>
  <c r="AI84" i="81"/>
  <c r="AH84" i="81"/>
  <c r="BW83" i="81"/>
  <c r="BW90" i="81" s="1"/>
  <c r="BV83" i="81"/>
  <c r="BU83" i="81"/>
  <c r="BU90" i="81" s="1"/>
  <c r="BT83" i="81"/>
  <c r="BS83" i="81"/>
  <c r="BS90" i="81" s="1"/>
  <c r="BR83" i="81"/>
  <c r="BR90" i="81" s="1"/>
  <c r="BQ83" i="81"/>
  <c r="BQ90" i="81" s="1"/>
  <c r="BP83" i="81"/>
  <c r="BP90" i="81" s="1"/>
  <c r="BO83" i="81"/>
  <c r="BN83" i="81"/>
  <c r="BM83" i="81"/>
  <c r="BM90" i="81" s="1"/>
  <c r="BL83" i="81"/>
  <c r="BL90" i="81" s="1"/>
  <c r="BK83" i="81"/>
  <c r="BJ83" i="81"/>
  <c r="BJ90" i="81" s="1"/>
  <c r="BI83" i="81"/>
  <c r="BI90" i="81" s="1"/>
  <c r="BH83" i="81"/>
  <c r="BH90" i="81" s="1"/>
  <c r="BG83" i="81"/>
  <c r="BG90" i="81" s="1"/>
  <c r="BF83" i="81"/>
  <c r="BE83" i="81"/>
  <c r="BE90" i="81" s="1"/>
  <c r="BD83" i="81"/>
  <c r="BC83" i="81"/>
  <c r="BC90" i="81" s="1"/>
  <c r="BB83" i="81"/>
  <c r="BB90" i="81" s="1"/>
  <c r="BA83" i="81"/>
  <c r="BA90" i="81" s="1"/>
  <c r="AZ83" i="81"/>
  <c r="AZ90" i="81" s="1"/>
  <c r="AI83" i="81"/>
  <c r="AH83" i="81"/>
  <c r="BW82" i="81"/>
  <c r="BV82" i="81"/>
  <c r="BU82" i="81"/>
  <c r="BT82" i="81"/>
  <c r="BT89" i="81" s="1"/>
  <c r="BS82" i="81"/>
  <c r="BS89" i="81" s="1"/>
  <c r="BR82" i="81"/>
  <c r="BQ82" i="81"/>
  <c r="BQ89" i="81" s="1"/>
  <c r="BP82" i="81"/>
  <c r="BO82" i="81"/>
  <c r="BO89" i="81" s="1"/>
  <c r="BN82" i="81"/>
  <c r="BM82" i="81"/>
  <c r="BL82" i="81"/>
  <c r="BL89" i="81" s="1"/>
  <c r="BK82" i="81"/>
  <c r="BK89" i="81" s="1"/>
  <c r="BJ82" i="81"/>
  <c r="BJ89" i="81" s="1"/>
  <c r="BI82" i="81"/>
  <c r="BH82" i="81"/>
  <c r="BG82" i="81"/>
  <c r="BG89" i="81" s="1"/>
  <c r="BF82" i="81"/>
  <c r="BE82" i="81"/>
  <c r="BD82" i="81"/>
  <c r="BD89" i="81" s="1"/>
  <c r="BC82" i="81"/>
  <c r="BC89" i="81" s="1"/>
  <c r="BB82" i="81"/>
  <c r="BB89" i="81" s="1"/>
  <c r="BA82" i="81"/>
  <c r="AZ82" i="81"/>
  <c r="AZ89" i="81" s="1"/>
  <c r="AI82" i="81"/>
  <c r="AH82" i="81"/>
  <c r="BW81" i="81"/>
  <c r="BW88" i="81" s="1"/>
  <c r="BV81" i="81"/>
  <c r="BV88" i="81" s="1"/>
  <c r="BU81" i="81"/>
  <c r="BU88" i="81" s="1"/>
  <c r="BT81" i="81"/>
  <c r="BT88" i="81" s="1"/>
  <c r="BS81" i="81"/>
  <c r="BR81" i="81"/>
  <c r="BQ81" i="81"/>
  <c r="BQ88" i="81" s="1"/>
  <c r="BP81" i="81"/>
  <c r="BO81" i="81"/>
  <c r="BN81" i="81"/>
  <c r="BN88" i="81" s="1"/>
  <c r="BM81" i="81"/>
  <c r="BM88" i="81" s="1"/>
  <c r="BL81" i="81"/>
  <c r="BL88" i="81" s="1"/>
  <c r="BK81" i="81"/>
  <c r="BJ81" i="81"/>
  <c r="BI81" i="81"/>
  <c r="BI88" i="81" s="1"/>
  <c r="BH81" i="81"/>
  <c r="BG81" i="81"/>
  <c r="BF81" i="81"/>
  <c r="BF88" i="81" s="1"/>
  <c r="BE81" i="81"/>
  <c r="BE88" i="81" s="1"/>
  <c r="BD81" i="81"/>
  <c r="BD88" i="81" s="1"/>
  <c r="BC81" i="81"/>
  <c r="BB81" i="81"/>
  <c r="BB88" i="81" s="1"/>
  <c r="BA81" i="81"/>
  <c r="BA88" i="81" s="1"/>
  <c r="AZ81" i="81"/>
  <c r="AI81" i="81"/>
  <c r="AH81" i="81"/>
  <c r="BW80" i="81"/>
  <c r="BW87" i="81" s="1"/>
  <c r="BV80" i="81"/>
  <c r="BV87" i="81" s="1"/>
  <c r="BU80" i="81"/>
  <c r="BT80" i="81"/>
  <c r="BS80" i="81"/>
  <c r="BS87" i="81" s="1"/>
  <c r="BR80" i="81"/>
  <c r="BQ80" i="81"/>
  <c r="BP80" i="81"/>
  <c r="BP87" i="81" s="1"/>
  <c r="BO80" i="81"/>
  <c r="BO87" i="81" s="1"/>
  <c r="BN80" i="81"/>
  <c r="BN87" i="81" s="1"/>
  <c r="BM80" i="81"/>
  <c r="BL80" i="81"/>
  <c r="BK80" i="81"/>
  <c r="BK87" i="81" s="1"/>
  <c r="BJ80" i="81"/>
  <c r="BI80" i="81"/>
  <c r="BH80" i="81"/>
  <c r="BH87" i="81" s="1"/>
  <c r="BG80" i="81"/>
  <c r="BG87" i="81" s="1"/>
  <c r="BF80" i="81"/>
  <c r="BF87" i="81" s="1"/>
  <c r="BE80" i="81"/>
  <c r="BD80" i="81"/>
  <c r="BC80" i="81"/>
  <c r="BC87" i="81" s="1"/>
  <c r="BB80" i="81"/>
  <c r="BB87" i="81" s="1"/>
  <c r="BA80" i="81"/>
  <c r="BA87" i="81" s="1"/>
  <c r="AZ80" i="81"/>
  <c r="AZ87" i="81" s="1"/>
  <c r="AI80" i="81"/>
  <c r="AH80" i="81"/>
  <c r="BW79" i="81"/>
  <c r="BW86" i="81" s="1"/>
  <c r="BV79" i="81"/>
  <c r="BU79" i="81"/>
  <c r="BU86" i="81" s="1"/>
  <c r="BT79" i="81"/>
  <c r="BS79" i="81"/>
  <c r="BR79" i="81"/>
  <c r="BR86" i="81" s="1"/>
  <c r="BQ79" i="81"/>
  <c r="BQ86" i="81" s="1"/>
  <c r="BP79" i="81"/>
  <c r="BP86" i="81" s="1"/>
  <c r="BO79" i="81"/>
  <c r="BN79" i="81"/>
  <c r="BM79" i="81"/>
  <c r="BM86" i="81" s="1"/>
  <c r="BL79" i="81"/>
  <c r="BK79" i="81"/>
  <c r="BJ79" i="81"/>
  <c r="BJ86" i="81" s="1"/>
  <c r="BI79" i="81"/>
  <c r="BI86" i="81" s="1"/>
  <c r="BH79" i="81"/>
  <c r="BH86" i="81" s="1"/>
  <c r="BG79" i="81"/>
  <c r="BF79" i="81"/>
  <c r="BE79" i="81"/>
  <c r="BE86" i="81" s="1"/>
  <c r="BD79" i="81"/>
  <c r="BC79" i="81"/>
  <c r="BB79" i="81"/>
  <c r="BB86" i="81" s="1"/>
  <c r="BA79" i="81"/>
  <c r="BA86" i="81" s="1"/>
  <c r="AZ79" i="81"/>
  <c r="AI79" i="81"/>
  <c r="AH79" i="81"/>
  <c r="AG78" i="81"/>
  <c r="AF78" i="81"/>
  <c r="AE78" i="81"/>
  <c r="BI17" i="81" s="1"/>
  <c r="AD78" i="81"/>
  <c r="AC78" i="81"/>
  <c r="AB78" i="81"/>
  <c r="AA78" i="81"/>
  <c r="Z78" i="81"/>
  <c r="Y78" i="81"/>
  <c r="X78" i="81"/>
  <c r="W78" i="81"/>
  <c r="V78" i="81"/>
  <c r="U78" i="81"/>
  <c r="BC17" i="81" s="1"/>
  <c r="T78" i="81"/>
  <c r="S78" i="81"/>
  <c r="BA17" i="81" s="1"/>
  <c r="R78" i="81"/>
  <c r="Q78" i="81"/>
  <c r="P78" i="81"/>
  <c r="O78" i="81"/>
  <c r="AW17" i="81" s="1"/>
  <c r="AW22" i="81" s="1"/>
  <c r="N78" i="81"/>
  <c r="M78" i="81"/>
  <c r="AU17" i="81" s="1"/>
  <c r="L78" i="81"/>
  <c r="K78" i="81"/>
  <c r="AT17" i="81" s="1"/>
  <c r="J78" i="81"/>
  <c r="I78" i="81"/>
  <c r="H78" i="81"/>
  <c r="G78" i="81"/>
  <c r="G113" i="81" s="1"/>
  <c r="G115" i="81" s="1"/>
  <c r="F78" i="81"/>
  <c r="C78" i="81"/>
  <c r="AI78" i="81" s="1"/>
  <c r="AH78" i="81"/>
  <c r="AI77" i="81"/>
  <c r="AH77" i="81"/>
  <c r="AI76" i="81"/>
  <c r="AH76" i="81"/>
  <c r="AI75" i="81"/>
  <c r="AH75" i="81"/>
  <c r="AI74" i="81"/>
  <c r="AH74" i="81"/>
  <c r="AI73" i="81"/>
  <c r="AH73" i="81"/>
  <c r="AI72" i="81"/>
  <c r="AH72" i="81"/>
  <c r="AG71" i="81"/>
  <c r="AG113" i="81" s="1"/>
  <c r="AF71" i="81"/>
  <c r="AF113" i="81" s="1"/>
  <c r="AF115" i="81" s="1"/>
  <c r="AF116" i="81" s="1"/>
  <c r="AF7" i="81" s="1"/>
  <c r="AE71" i="81"/>
  <c r="AD71" i="81"/>
  <c r="AD113" i="81" s="1"/>
  <c r="AD115" i="81" s="1"/>
  <c r="AC71" i="81"/>
  <c r="AC113" i="81" s="1"/>
  <c r="AC115" i="81" s="1"/>
  <c r="AB71" i="81"/>
  <c r="AA71" i="81"/>
  <c r="Z71" i="81"/>
  <c r="Z113" i="81" s="1"/>
  <c r="Z115" i="81" s="1"/>
  <c r="Z116" i="81" s="1"/>
  <c r="Z7" i="81" s="1"/>
  <c r="Y71" i="81"/>
  <c r="Y113" i="81" s="1"/>
  <c r="Y115" i="81" s="1"/>
  <c r="Y116" i="81" s="1"/>
  <c r="Y7" i="81" s="1"/>
  <c r="X71" i="81"/>
  <c r="X113" i="81" s="1"/>
  <c r="X115" i="81" s="1"/>
  <c r="W71" i="81"/>
  <c r="W113" i="81" s="1"/>
  <c r="W115" i="81" s="1"/>
  <c r="V71" i="81"/>
  <c r="V113" i="81" s="1"/>
  <c r="V115" i="81" s="1"/>
  <c r="U71" i="81"/>
  <c r="BC16" i="81" s="1"/>
  <c r="BC22" i="81" s="1"/>
  <c r="T71" i="81"/>
  <c r="S71" i="81"/>
  <c r="R71" i="81"/>
  <c r="R113" i="81" s="1"/>
  <c r="R115" i="81" s="1"/>
  <c r="R116" i="81" s="1"/>
  <c r="R7" i="81" s="1"/>
  <c r="Q71" i="81"/>
  <c r="Q113" i="81" s="1"/>
  <c r="Q115" i="81" s="1"/>
  <c r="Q116" i="81" s="1"/>
  <c r="Q7" i="81" s="1"/>
  <c r="P71" i="81"/>
  <c r="P113" i="81" s="1"/>
  <c r="P115" i="81" s="1"/>
  <c r="P116" i="81" s="1"/>
  <c r="P7" i="81" s="1"/>
  <c r="O71" i="81"/>
  <c r="N71" i="81"/>
  <c r="N113" i="81" s="1"/>
  <c r="N115" i="81" s="1"/>
  <c r="M71" i="81"/>
  <c r="M113" i="81" s="1"/>
  <c r="M115" i="81" s="1"/>
  <c r="L71" i="81"/>
  <c r="K71" i="81"/>
  <c r="J71" i="81"/>
  <c r="J113" i="81" s="1"/>
  <c r="J115" i="81" s="1"/>
  <c r="J116" i="81" s="1"/>
  <c r="J7" i="81" s="1"/>
  <c r="I71" i="81"/>
  <c r="AS16" i="81" s="1"/>
  <c r="AS22" i="81" s="1"/>
  <c r="AS25" i="81" s="1"/>
  <c r="H71" i="81"/>
  <c r="H113" i="81" s="1"/>
  <c r="H115" i="81" s="1"/>
  <c r="G71" i="81"/>
  <c r="F71" i="81"/>
  <c r="F113" i="81" s="1"/>
  <c r="F115" i="81" s="1"/>
  <c r="AP16" i="81"/>
  <c r="C71" i="81"/>
  <c r="AN16" i="81" s="1"/>
  <c r="AH71" i="81"/>
  <c r="AI70" i="81"/>
  <c r="AH70" i="81"/>
  <c r="AI69" i="81"/>
  <c r="AH69" i="81"/>
  <c r="AI68" i="81"/>
  <c r="AH68" i="81"/>
  <c r="AI67" i="81"/>
  <c r="AH67" i="81"/>
  <c r="AI66" i="81"/>
  <c r="AH66" i="81"/>
  <c r="AI65" i="81"/>
  <c r="AH65" i="81"/>
  <c r="AI64" i="81"/>
  <c r="AH64" i="81"/>
  <c r="AI63" i="81"/>
  <c r="AH63" i="81"/>
  <c r="AI62" i="81"/>
  <c r="AH62" i="81"/>
  <c r="AI61" i="81"/>
  <c r="AH61" i="81"/>
  <c r="AI60" i="81"/>
  <c r="AH60" i="81"/>
  <c r="AI59" i="81"/>
  <c r="AH59" i="81"/>
  <c r="AI58" i="81"/>
  <c r="AH58" i="81"/>
  <c r="AI57" i="81"/>
  <c r="AH57" i="81"/>
  <c r="AI56" i="81"/>
  <c r="AH56" i="81"/>
  <c r="AI55" i="81"/>
  <c r="AH55" i="81"/>
  <c r="AI54" i="81"/>
  <c r="AH54" i="81"/>
  <c r="AI53" i="81"/>
  <c r="AH53" i="81"/>
  <c r="AI52" i="81"/>
  <c r="AH52" i="81"/>
  <c r="AI51" i="81"/>
  <c r="AH51" i="81"/>
  <c r="AI50" i="81"/>
  <c r="AH50" i="81"/>
  <c r="AI49" i="81"/>
  <c r="AH49" i="81"/>
  <c r="AI48" i="81"/>
  <c r="AH48" i="81"/>
  <c r="AI47" i="81"/>
  <c r="AH47" i="81"/>
  <c r="AI46" i="81"/>
  <c r="AH46" i="81"/>
  <c r="AI45" i="81"/>
  <c r="AH45" i="81"/>
  <c r="AI44" i="81"/>
  <c r="AH44" i="81"/>
  <c r="AI43" i="81"/>
  <c r="AH43" i="81"/>
  <c r="AI42" i="81"/>
  <c r="AH42" i="81"/>
  <c r="AI41" i="81"/>
  <c r="AH41" i="81"/>
  <c r="AI40" i="81"/>
  <c r="AH40" i="81"/>
  <c r="AI39" i="81"/>
  <c r="AH39" i="81"/>
  <c r="AI38" i="81"/>
  <c r="AH38" i="81"/>
  <c r="AI37" i="81"/>
  <c r="AH37" i="81"/>
  <c r="AI36" i="81"/>
  <c r="AH36" i="81"/>
  <c r="AI35" i="81"/>
  <c r="AH35" i="81"/>
  <c r="AI34" i="81"/>
  <c r="AH34" i="81"/>
  <c r="AI33" i="81"/>
  <c r="AH33" i="81"/>
  <c r="AI32" i="81"/>
  <c r="AH32" i="81"/>
  <c r="AI31" i="81"/>
  <c r="AH31" i="81"/>
  <c r="AI30" i="81"/>
  <c r="AH30" i="81"/>
  <c r="AI29" i="81"/>
  <c r="AH29" i="81"/>
  <c r="AI28" i="81"/>
  <c r="AH28" i="81"/>
  <c r="AI27" i="81"/>
  <c r="AH27" i="81"/>
  <c r="AI26" i="81"/>
  <c r="AH26" i="81"/>
  <c r="AI25" i="81"/>
  <c r="AH25" i="81"/>
  <c r="AI24" i="81"/>
  <c r="AH24" i="81"/>
  <c r="AZ23" i="81"/>
  <c r="AT23" i="81"/>
  <c r="AI23" i="81"/>
  <c r="AH23" i="81"/>
  <c r="AI22" i="81"/>
  <c r="AH22" i="81"/>
  <c r="BJ21" i="81"/>
  <c r="BI21" i="81"/>
  <c r="BH21" i="81"/>
  <c r="BG21" i="81"/>
  <c r="BF21" i="81"/>
  <c r="BE21" i="81"/>
  <c r="BD21" i="81"/>
  <c r="BC21" i="81"/>
  <c r="BB21" i="81"/>
  <c r="BA21" i="81"/>
  <c r="AZ21" i="81"/>
  <c r="AY21" i="81"/>
  <c r="AX21" i="81"/>
  <c r="AW21" i="81"/>
  <c r="AV21" i="81"/>
  <c r="AU21" i="81"/>
  <c r="AT21" i="81"/>
  <c r="AS21" i="81"/>
  <c r="AR21" i="81"/>
  <c r="AQ21" i="81"/>
  <c r="AP21" i="81"/>
  <c r="AO21" i="81"/>
  <c r="AN21" i="81"/>
  <c r="AM21" i="81"/>
  <c r="AI21" i="81"/>
  <c r="AH21" i="81"/>
  <c r="BJ20" i="81"/>
  <c r="BI20" i="81"/>
  <c r="BH20" i="81"/>
  <c r="BF20" i="81"/>
  <c r="BE20" i="81"/>
  <c r="BD20" i="81"/>
  <c r="BC20" i="81"/>
  <c r="BB20" i="81"/>
  <c r="BA20" i="81"/>
  <c r="AZ20" i="81"/>
  <c r="AY20" i="81"/>
  <c r="AX20" i="81"/>
  <c r="AW20" i="81"/>
  <c r="AV20" i="81"/>
  <c r="AU20" i="81"/>
  <c r="AT20" i="81"/>
  <c r="AS20" i="81"/>
  <c r="AR20" i="81"/>
  <c r="AQ20" i="81"/>
  <c r="AI20" i="81"/>
  <c r="AH20" i="81"/>
  <c r="BJ19" i="81"/>
  <c r="BI19" i="81"/>
  <c r="BH19" i="81"/>
  <c r="BE19" i="81"/>
  <c r="BD19" i="81"/>
  <c r="BC19" i="81"/>
  <c r="BB19" i="81"/>
  <c r="BA19" i="81"/>
  <c r="AZ19" i="81"/>
  <c r="AY19" i="81"/>
  <c r="AX19" i="81"/>
  <c r="AW19" i="81"/>
  <c r="AV19" i="81"/>
  <c r="AU19" i="81"/>
  <c r="AT19" i="81"/>
  <c r="AS19" i="81"/>
  <c r="AR19" i="81"/>
  <c r="AQ19" i="81"/>
  <c r="AP19" i="81"/>
  <c r="AN19" i="81"/>
  <c r="AI19" i="81"/>
  <c r="AH19" i="81"/>
  <c r="BJ18" i="81"/>
  <c r="BI18" i="81"/>
  <c r="BG18" i="81"/>
  <c r="BF18" i="81"/>
  <c r="BF22" i="81" s="1"/>
  <c r="BF25" i="81" s="1"/>
  <c r="BD18" i="81"/>
  <c r="BC18" i="81"/>
  <c r="BB18" i="81"/>
  <c r="BA18" i="81"/>
  <c r="AY18" i="81"/>
  <c r="AX18" i="81"/>
  <c r="AX22" i="81" s="1"/>
  <c r="AW18" i="81"/>
  <c r="AV18" i="81"/>
  <c r="AU18" i="81"/>
  <c r="AT18" i="81"/>
  <c r="AS18" i="81"/>
  <c r="AR18" i="81"/>
  <c r="AP18" i="81"/>
  <c r="AI18" i="81"/>
  <c r="AH18" i="81"/>
  <c r="BJ17" i="81"/>
  <c r="BH17" i="81"/>
  <c r="BG17" i="81"/>
  <c r="BF17" i="81"/>
  <c r="BE17" i="81"/>
  <c r="BD17" i="81"/>
  <c r="BD22" i="81" s="1"/>
  <c r="BB17" i="81"/>
  <c r="AZ17" i="81"/>
  <c r="AY17" i="81"/>
  <c r="AX17" i="81"/>
  <c r="AV17" i="81"/>
  <c r="AV22" i="81" s="1"/>
  <c r="AS17" i="81"/>
  <c r="AR17" i="81"/>
  <c r="AQ17" i="81"/>
  <c r="AP17" i="81"/>
  <c r="AO17" i="81"/>
  <c r="AN17" i="81"/>
  <c r="AM17" i="81"/>
  <c r="AI17" i="81"/>
  <c r="AH17" i="81"/>
  <c r="BJ16" i="81"/>
  <c r="BJ22" i="81" s="1"/>
  <c r="BI16" i="81"/>
  <c r="BI22" i="81" s="1"/>
  <c r="BH16" i="81"/>
  <c r="BH22" i="81" s="1"/>
  <c r="BG16" i="81"/>
  <c r="BF16" i="81"/>
  <c r="BE16" i="81"/>
  <c r="BD16" i="81"/>
  <c r="BB16" i="81"/>
  <c r="BB22" i="81" s="1"/>
  <c r="BB25" i="81" s="1"/>
  <c r="AZ16" i="81"/>
  <c r="AZ22" i="81" s="1"/>
  <c r="AZ25" i="81" s="1"/>
  <c r="AX16" i="81"/>
  <c r="AW16" i="81"/>
  <c r="AV16" i="81"/>
  <c r="AT16" i="81"/>
  <c r="AR16" i="81"/>
  <c r="AR22" i="81" s="1"/>
  <c r="AQ16" i="81"/>
  <c r="AO16" i="81"/>
  <c r="AI16" i="81"/>
  <c r="AH16" i="81"/>
  <c r="AI15" i="81"/>
  <c r="AH15" i="81"/>
  <c r="AI14" i="81"/>
  <c r="AH14" i="81"/>
  <c r="AI13" i="81"/>
  <c r="AH13" i="81"/>
  <c r="AL12" i="81"/>
  <c r="AI12" i="81"/>
  <c r="AH12" i="81"/>
  <c r="AI11" i="81"/>
  <c r="AH11" i="81"/>
  <c r="K6" i="81"/>
  <c r="AE5" i="81"/>
  <c r="AD5" i="81"/>
  <c r="AC5" i="81"/>
  <c r="AB5" i="81"/>
  <c r="Z5" i="81"/>
  <c r="Y5" i="81"/>
  <c r="X5" i="81"/>
  <c r="W5" i="81"/>
  <c r="V5" i="81"/>
  <c r="U5" i="81"/>
  <c r="T5" i="81"/>
  <c r="R5" i="81"/>
  <c r="Q5" i="81"/>
  <c r="P5" i="81"/>
  <c r="O5" i="81"/>
  <c r="N5" i="81"/>
  <c r="M5" i="81"/>
  <c r="L5" i="81"/>
  <c r="J5" i="81"/>
  <c r="I5" i="81"/>
  <c r="H5" i="81"/>
  <c r="G5" i="81"/>
  <c r="F5" i="81"/>
  <c r="E5" i="81"/>
  <c r="D5" i="81"/>
  <c r="B5" i="81"/>
  <c r="AG4" i="81"/>
  <c r="K4" i="81"/>
  <c r="E4" i="81"/>
  <c r="H4" i="81" s="1"/>
  <c r="B4" i="81"/>
  <c r="AL13" i="81" s="1"/>
  <c r="AE71" i="79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AH122" i="81" l="1"/>
  <c r="E123" i="81"/>
  <c r="AP23" i="81" s="1"/>
  <c r="D123" i="81"/>
  <c r="AO23" i="81" s="1"/>
  <c r="AI121" i="81"/>
  <c r="AJ108" i="81" a="1"/>
  <c r="AJ108" i="81" s="1"/>
  <c r="AI96" i="81"/>
  <c r="AQ22" i="81"/>
  <c r="AP22" i="81"/>
  <c r="AP25" i="81" s="1"/>
  <c r="AH92" i="81"/>
  <c r="AN22" i="81"/>
  <c r="B113" i="81"/>
  <c r="B115" i="81" s="1"/>
  <c r="B116" i="81" s="1"/>
  <c r="AM19" i="81"/>
  <c r="BG95" i="81" a="1"/>
  <c r="BK114" i="81" s="1"/>
  <c r="AF5" i="81"/>
  <c r="B124" i="81"/>
  <c r="AI108" i="81"/>
  <c r="X124" i="81"/>
  <c r="BE23" i="81"/>
  <c r="M116" i="81"/>
  <c r="M7" i="81" s="1"/>
  <c r="BE25" i="81"/>
  <c r="M124" i="81"/>
  <c r="U124" i="81"/>
  <c r="Q124" i="81"/>
  <c r="AY23" i="81"/>
  <c r="Y135" i="81"/>
  <c r="Z170" i="81"/>
  <c r="BC25" i="81"/>
  <c r="AM23" i="81"/>
  <c r="BJ25" i="81"/>
  <c r="AR25" i="81"/>
  <c r="AT22" i="81"/>
  <c r="AT25" i="81" s="1"/>
  <c r="X116" i="81"/>
  <c r="X7" i="81" s="1"/>
  <c r="J124" i="81"/>
  <c r="G116" i="81"/>
  <c r="G7" i="81" s="1"/>
  <c r="P124" i="81"/>
  <c r="AX23" i="81"/>
  <c r="AX25" i="81" s="1"/>
  <c r="BJ23" i="81"/>
  <c r="AF124" i="81"/>
  <c r="D124" i="81"/>
  <c r="L124" i="81"/>
  <c r="AB124" i="81"/>
  <c r="I113" i="81"/>
  <c r="I115" i="81" s="1"/>
  <c r="I116" i="81" s="1"/>
  <c r="I7" i="81" s="1"/>
  <c r="U113" i="81"/>
  <c r="U115" i="81" s="1"/>
  <c r="U116" i="81" s="1"/>
  <c r="U7" i="81" s="1"/>
  <c r="AE113" i="81"/>
  <c r="AE115" i="81" s="1"/>
  <c r="AE116" i="81" s="1"/>
  <c r="AE7" i="81" s="1"/>
  <c r="AH117" i="81"/>
  <c r="AI92" i="81"/>
  <c r="T124" i="81"/>
  <c r="AU16" i="81"/>
  <c r="AU22" i="81" s="1"/>
  <c r="AU25" i="81" s="1"/>
  <c r="AO19" i="81"/>
  <c r="AO22" i="81" s="1"/>
  <c r="AO25" i="81" s="1"/>
  <c r="AM20" i="81"/>
  <c r="E124" i="81"/>
  <c r="AI117" i="81"/>
  <c r="F161" i="81"/>
  <c r="AG2" i="81"/>
  <c r="AG6" i="81" s="1"/>
  <c r="C5" i="81"/>
  <c r="K5" i="81"/>
  <c r="S5" i="81"/>
  <c r="AA5" i="81"/>
  <c r="F124" i="81"/>
  <c r="S123" i="81"/>
  <c r="BA23" i="81" s="1"/>
  <c r="AH119" i="81"/>
  <c r="AH121" i="81"/>
  <c r="BG19" i="81"/>
  <c r="BG22" i="81" s="1"/>
  <c r="BG25" i="81" s="1"/>
  <c r="O124" i="81"/>
  <c r="AI119" i="81"/>
  <c r="AI120" i="81"/>
  <c r="I124" i="81"/>
  <c r="E113" i="81"/>
  <c r="E115" i="81" s="1"/>
  <c r="E116" i="81" s="1"/>
  <c r="E7" i="81" s="1"/>
  <c r="O113" i="81"/>
  <c r="O115" i="81" s="1"/>
  <c r="O116" i="81" s="1"/>
  <c r="O7" i="81" s="1"/>
  <c r="AH120" i="81"/>
  <c r="C123" i="81"/>
  <c r="AN23" i="81" s="1"/>
  <c r="AY16" i="81"/>
  <c r="AY22" i="81" s="1"/>
  <c r="AY25" i="81" s="1"/>
  <c r="AM18" i="81"/>
  <c r="AZ86" i="81"/>
  <c r="F123" i="81"/>
  <c r="AQ23" i="81" s="1"/>
  <c r="AQ25" i="81" s="1"/>
  <c r="N123" i="81"/>
  <c r="V123" i="81"/>
  <c r="BD23" i="81" s="1"/>
  <c r="BD25" i="81" s="1"/>
  <c r="AD123" i="81"/>
  <c r="AC123" i="81"/>
  <c r="AC124" i="81" s="1"/>
  <c r="AB123" i="81"/>
  <c r="BG23" i="81" s="1"/>
  <c r="D165" i="81"/>
  <c r="E165" i="81" s="1"/>
  <c r="F165" i="81" s="1"/>
  <c r="G165" i="81" s="1"/>
  <c r="H165" i="81" s="1"/>
  <c r="I165" i="81" s="1"/>
  <c r="J165" i="81" s="1"/>
  <c r="K165" i="81" s="1"/>
  <c r="L165" i="81" s="1"/>
  <c r="M165" i="81" s="1"/>
  <c r="N165" i="81" s="1"/>
  <c r="O165" i="81" s="1"/>
  <c r="P165" i="81" s="1"/>
  <c r="Q165" i="81" s="1"/>
  <c r="R165" i="81" s="1"/>
  <c r="S165" i="81" s="1"/>
  <c r="T165" i="81" s="1"/>
  <c r="U165" i="81" s="1"/>
  <c r="V165" i="81" s="1"/>
  <c r="W165" i="81" s="1"/>
  <c r="X165" i="81" s="1"/>
  <c r="Y165" i="81" s="1"/>
  <c r="Z165" i="81" s="1"/>
  <c r="AA165" i="81" s="1"/>
  <c r="AB165" i="81" s="1"/>
  <c r="AC165" i="81" s="1"/>
  <c r="AD165" i="81" s="1"/>
  <c r="AE165" i="81" s="1"/>
  <c r="AF165" i="81" s="1"/>
  <c r="C167" i="81"/>
  <c r="C113" i="81"/>
  <c r="C115" i="81" s="1"/>
  <c r="K113" i="81"/>
  <c r="K115" i="81" s="1"/>
  <c r="K116" i="81" s="1"/>
  <c r="K7" i="81" s="1"/>
  <c r="S113" i="81"/>
  <c r="S115" i="81" s="1"/>
  <c r="S116" i="81" s="1"/>
  <c r="S7" i="81" s="1"/>
  <c r="AA113" i="81"/>
  <c r="AA115" i="81" s="1"/>
  <c r="AA116" i="81" s="1"/>
  <c r="AA7" i="81" s="1"/>
  <c r="AI71" i="81"/>
  <c r="AH96" i="81"/>
  <c r="Z124" i="81"/>
  <c r="AH108" i="81"/>
  <c r="G123" i="81"/>
  <c r="AR23" i="81" s="1"/>
  <c r="O123" i="81"/>
  <c r="AW23" i="81" s="1"/>
  <c r="AW25" i="81" s="1"/>
  <c r="W123" i="81"/>
  <c r="W124" i="81" s="1"/>
  <c r="AE123" i="81"/>
  <c r="BI23" i="81" s="1"/>
  <c r="BI25" i="81" s="1"/>
  <c r="H177" i="81"/>
  <c r="BA16" i="81"/>
  <c r="BA22" i="81" s="1"/>
  <c r="BA25" i="81" s="1"/>
  <c r="D113" i="81"/>
  <c r="D115" i="81" s="1"/>
  <c r="D116" i="81" s="1"/>
  <c r="D7" i="81" s="1"/>
  <c r="L113" i="81"/>
  <c r="L115" i="81" s="1"/>
  <c r="L116" i="81" s="1"/>
  <c r="L7" i="81" s="1"/>
  <c r="T113" i="81"/>
  <c r="T115" i="81" s="1"/>
  <c r="T116" i="81" s="1"/>
  <c r="T7" i="81" s="1"/>
  <c r="AB113" i="81"/>
  <c r="AB115" i="81" s="1"/>
  <c r="AB116" i="81" s="1"/>
  <c r="AB7" i="81" s="1"/>
  <c r="K124" i="81"/>
  <c r="AA124" i="81"/>
  <c r="H123" i="81"/>
  <c r="H124" i="81" s="1"/>
  <c r="D167" i="81"/>
  <c r="C274" i="81"/>
  <c r="D169" i="81"/>
  <c r="AF113" i="79"/>
  <c r="AF115" i="79" s="1"/>
  <c r="AF116" i="79" s="1"/>
  <c r="AE113" i="79"/>
  <c r="AE115" i="79" s="1"/>
  <c r="AE116" i="79" s="1"/>
  <c r="AN25" i="81" l="1"/>
  <c r="BK108" i="81"/>
  <c r="BJ103" i="81"/>
  <c r="BJ102" i="81"/>
  <c r="BL105" i="81"/>
  <c r="BJ110" i="81"/>
  <c r="BI115" i="81"/>
  <c r="BL95" i="81"/>
  <c r="BH99" i="81"/>
  <c r="BL100" i="81"/>
  <c r="BI105" i="81"/>
  <c r="BH104" i="81"/>
  <c r="BI110" i="81"/>
  <c r="BH115" i="81"/>
  <c r="BK95" i="81"/>
  <c r="BG99" i="81"/>
  <c r="BK103" i="81"/>
  <c r="BJ105" i="81"/>
  <c r="BG108" i="81"/>
  <c r="BG98" i="81"/>
  <c r="BH113" i="81"/>
  <c r="BI95" i="81"/>
  <c r="BJ98" i="81"/>
  <c r="BI103" i="81"/>
  <c r="BG105" i="81"/>
  <c r="BL106" i="81"/>
  <c r="BG113" i="81"/>
  <c r="BJ95" i="81"/>
  <c r="BJ108" i="81"/>
  <c r="BL114" i="81"/>
  <c r="BH95" i="81"/>
  <c r="BI98" i="81"/>
  <c r="BH103" i="81"/>
  <c r="BL104" i="81"/>
  <c r="BJ106" i="81"/>
  <c r="BI111" i="81"/>
  <c r="BG96" i="81"/>
  <c r="BG115" i="81"/>
  <c r="BL98" i="81"/>
  <c r="BH105" i="81"/>
  <c r="BG112" i="81"/>
  <c r="BG103" i="81"/>
  <c r="BL115" i="81"/>
  <c r="BJ99" i="81"/>
  <c r="BL102" i="81"/>
  <c r="BJ104" i="81"/>
  <c r="BH106" i="81"/>
  <c r="BG111" i="81"/>
  <c r="BK115" i="81"/>
  <c r="BI96" i="81"/>
  <c r="BK98" i="81"/>
  <c r="BG95" i="81"/>
  <c r="BH98" i="81"/>
  <c r="BK104" i="81"/>
  <c r="BI106" i="81"/>
  <c r="BH111" i="81"/>
  <c r="BI97" i="81"/>
  <c r="BG101" i="81"/>
  <c r="BI104" i="81"/>
  <c r="BG106" i="81"/>
  <c r="BL110" i="81"/>
  <c r="BJ115" i="81"/>
  <c r="BH96" i="81"/>
  <c r="BL97" i="81"/>
  <c r="BI101" i="81"/>
  <c r="AM22" i="81"/>
  <c r="AT8" i="81" s="1"/>
  <c r="BK117" i="81"/>
  <c r="BI116" i="81"/>
  <c r="BJ116" i="81"/>
  <c r="BK116" i="81"/>
  <c r="BL116" i="81"/>
  <c r="BG117" i="81"/>
  <c r="BH117" i="81"/>
  <c r="BJ117" i="81"/>
  <c r="BG107" i="81"/>
  <c r="BK106" i="81"/>
  <c r="BI117" i="81"/>
  <c r="BL117" i="81"/>
  <c r="BG118" i="81"/>
  <c r="BH118" i="81"/>
  <c r="BI118" i="81"/>
  <c r="BJ118" i="81"/>
  <c r="BL118" i="81"/>
  <c r="BK118" i="81"/>
  <c r="BI107" i="81"/>
  <c r="BJ107" i="81"/>
  <c r="BK107" i="81"/>
  <c r="BL107" i="81"/>
  <c r="BH108" i="81"/>
  <c r="BI108" i="81"/>
  <c r="BG110" i="81"/>
  <c r="BI109" i="81"/>
  <c r="BH107" i="81"/>
  <c r="BK105" i="81"/>
  <c r="BK96" i="81"/>
  <c r="BL108" i="81"/>
  <c r="BL96" i="81"/>
  <c r="BG109" i="81"/>
  <c r="BG97" i="81"/>
  <c r="BH109" i="81"/>
  <c r="BH97" i="81"/>
  <c r="BJ109" i="81"/>
  <c r="BJ97" i="81"/>
  <c r="BK109" i="81"/>
  <c r="BK97" i="81"/>
  <c r="BL109" i="81"/>
  <c r="BI99" i="81"/>
  <c r="BJ111" i="81"/>
  <c r="BG100" i="81"/>
  <c r="BK110" i="81"/>
  <c r="BG116" i="81"/>
  <c r="BH110" i="81"/>
  <c r="BK99" i="81"/>
  <c r="BL111" i="81"/>
  <c r="BL99" i="81"/>
  <c r="BH112" i="81"/>
  <c r="BH100" i="81"/>
  <c r="BI112" i="81"/>
  <c r="BI100" i="81"/>
  <c r="BJ112" i="81"/>
  <c r="BJ100" i="81"/>
  <c r="BK112" i="81"/>
  <c r="BK100" i="81"/>
  <c r="BL112" i="81"/>
  <c r="BI102" i="81"/>
  <c r="BJ114" i="81"/>
  <c r="BK102" i="81"/>
  <c r="BI113" i="81"/>
  <c r="BJ96" i="81"/>
  <c r="BK111" i="81"/>
  <c r="BH101" i="81"/>
  <c r="BJ113" i="81"/>
  <c r="BJ101" i="81"/>
  <c r="BK113" i="81"/>
  <c r="BK101" i="81"/>
  <c r="BL113" i="81"/>
  <c r="BL101" i="81"/>
  <c r="BG114" i="81"/>
  <c r="BG102" i="81"/>
  <c r="BH114" i="81"/>
  <c r="BH102" i="81"/>
  <c r="BI114" i="81"/>
  <c r="BL103" i="81"/>
  <c r="BH116" i="81"/>
  <c r="BG104" i="81"/>
  <c r="AM25" i="81"/>
  <c r="AJ123" i="81" a="1"/>
  <c r="AJ123" i="81" s="1"/>
  <c r="C124" i="81"/>
  <c r="AI124" i="81" s="1"/>
  <c r="AD124" i="81"/>
  <c r="BH23" i="81"/>
  <c r="BH25" i="81" s="1"/>
  <c r="H116" i="81"/>
  <c r="H7" i="81" s="1"/>
  <c r="AE124" i="81"/>
  <c r="W116" i="81"/>
  <c r="W7" i="81" s="1"/>
  <c r="V124" i="81"/>
  <c r="N124" i="81"/>
  <c r="AV23" i="81"/>
  <c r="AV25" i="81" s="1"/>
  <c r="G124" i="81"/>
  <c r="AD116" i="81"/>
  <c r="AD7" i="81" s="1"/>
  <c r="D274" i="81"/>
  <c r="E169" i="81"/>
  <c r="C116" i="81"/>
  <c r="C7" i="81" s="1"/>
  <c r="E167" i="81"/>
  <c r="V116" i="81"/>
  <c r="V7" i="81" s="1"/>
  <c r="Z135" i="81"/>
  <c r="AA170" i="81"/>
  <c r="AB170" i="81" s="1"/>
  <c r="AC170" i="81" s="1"/>
  <c r="AD170" i="81" s="1"/>
  <c r="AE170" i="81" s="1"/>
  <c r="AF170" i="81" s="1"/>
  <c r="AC116" i="81"/>
  <c r="AC7" i="81" s="1"/>
  <c r="F167" i="81"/>
  <c r="G161" i="81"/>
  <c r="N116" i="81"/>
  <c r="N7" i="81" s="1"/>
  <c r="AH123" i="81"/>
  <c r="F116" i="81"/>
  <c r="F7" i="81" s="1"/>
  <c r="S124" i="81"/>
  <c r="I177" i="81"/>
  <c r="AI113" i="81"/>
  <c r="AH113" i="81"/>
  <c r="AI123" i="81"/>
  <c r="AD71" i="79"/>
  <c r="AD78" i="79"/>
  <c r="AD92" i="79"/>
  <c r="AD96" i="79"/>
  <c r="AD108" i="79"/>
  <c r="AD124" i="79" s="1"/>
  <c r="AD123" i="79"/>
  <c r="AD135" i="79"/>
  <c r="AD149" i="79"/>
  <c r="AH124" i="81" l="1"/>
  <c r="AI115" i="81"/>
  <c r="AH115" i="81"/>
  <c r="AT9" i="81"/>
  <c r="J177" i="81"/>
  <c r="H161" i="81"/>
  <c r="G167" i="81"/>
  <c r="E274" i="81"/>
  <c r="F169" i="81"/>
  <c r="AD113" i="79"/>
  <c r="AD115" i="79" s="1"/>
  <c r="AD116" i="79" s="1"/>
  <c r="H167" i="81" l="1"/>
  <c r="I161" i="81"/>
  <c r="K177" i="81"/>
  <c r="F274" i="81"/>
  <c r="G169" i="81"/>
  <c r="AH116" i="81"/>
  <c r="B7" i="81"/>
  <c r="A7" i="81" s="1"/>
  <c r="AI116" i="81"/>
  <c r="U98" i="80"/>
  <c r="Y98" i="80" s="1"/>
  <c r="U97" i="80"/>
  <c r="Y97" i="80" s="1"/>
  <c r="U96" i="80"/>
  <c r="Y96" i="80" s="1"/>
  <c r="U95" i="80"/>
  <c r="Y95" i="80" s="1"/>
  <c r="Y94" i="80"/>
  <c r="U94" i="80"/>
  <c r="U93" i="80"/>
  <c r="Y93" i="80" s="1"/>
  <c r="U92" i="80"/>
  <c r="Y92" i="80" s="1"/>
  <c r="U91" i="80"/>
  <c r="Y91" i="80" s="1"/>
  <c r="U90" i="80"/>
  <c r="Y90" i="80" s="1"/>
  <c r="U89" i="80"/>
  <c r="Y89" i="80" s="1"/>
  <c r="U88" i="80"/>
  <c r="Y88" i="80" s="1"/>
  <c r="U87" i="80"/>
  <c r="Y87" i="80" s="1"/>
  <c r="Y86" i="80"/>
  <c r="U86" i="80"/>
  <c r="U85" i="80"/>
  <c r="Y85" i="80" s="1"/>
  <c r="U84" i="80"/>
  <c r="Y84" i="80" s="1"/>
  <c r="U83" i="80"/>
  <c r="Y83" i="80" s="1"/>
  <c r="U82" i="80"/>
  <c r="Y82" i="80" s="1"/>
  <c r="U81" i="80"/>
  <c r="Y81" i="80" s="1"/>
  <c r="U80" i="80"/>
  <c r="Y80" i="80" s="1"/>
  <c r="U79" i="80"/>
  <c r="Y79" i="80" s="1"/>
  <c r="U78" i="80"/>
  <c r="Y78" i="80" s="1"/>
  <c r="U77" i="80"/>
  <c r="Y77" i="80" s="1"/>
  <c r="U76" i="80"/>
  <c r="Y76" i="80" s="1"/>
  <c r="U75" i="80"/>
  <c r="Y75" i="80" s="1"/>
  <c r="U74" i="80"/>
  <c r="Y74" i="80" s="1"/>
  <c r="U73" i="80"/>
  <c r="Y73" i="80" s="1"/>
  <c r="U72" i="80"/>
  <c r="Y72" i="80" s="1"/>
  <c r="U71" i="80"/>
  <c r="Y71" i="80" s="1"/>
  <c r="U70" i="80"/>
  <c r="Y70" i="80" s="1"/>
  <c r="U69" i="80"/>
  <c r="Y69" i="80" s="1"/>
  <c r="U68" i="80"/>
  <c r="Y68" i="80" s="1"/>
  <c r="U67" i="80"/>
  <c r="Y67" i="80" s="1"/>
  <c r="U66" i="80"/>
  <c r="Y66" i="80" s="1"/>
  <c r="U65" i="80"/>
  <c r="Y65" i="80" s="1"/>
  <c r="U64" i="80"/>
  <c r="Y64" i="80" s="1"/>
  <c r="U63" i="80"/>
  <c r="Y63" i="80" s="1"/>
  <c r="U62" i="80"/>
  <c r="Y62" i="80" s="1"/>
  <c r="U61" i="80"/>
  <c r="Y61" i="80" s="1"/>
  <c r="U60" i="80"/>
  <c r="Y60" i="80" s="1"/>
  <c r="U59" i="80"/>
  <c r="Y59" i="80" s="1"/>
  <c r="U58" i="80"/>
  <c r="Y58" i="80" s="1"/>
  <c r="U57" i="80"/>
  <c r="Y57" i="80" s="1"/>
  <c r="U56" i="80"/>
  <c r="Y56" i="80" s="1"/>
  <c r="U55" i="80"/>
  <c r="Y55" i="80" s="1"/>
  <c r="U54" i="80"/>
  <c r="Y54" i="80" s="1"/>
  <c r="U53" i="80"/>
  <c r="Y53" i="80" s="1"/>
  <c r="U52" i="80"/>
  <c r="Y52" i="80" s="1"/>
  <c r="U51" i="80"/>
  <c r="Y51" i="80" s="1"/>
  <c r="Y50" i="80"/>
  <c r="U50" i="80"/>
  <c r="U49" i="80"/>
  <c r="Y49" i="80" s="1"/>
  <c r="U48" i="80"/>
  <c r="Y48" i="80" s="1"/>
  <c r="U47" i="80"/>
  <c r="Y47" i="80" s="1"/>
  <c r="U46" i="80"/>
  <c r="Y46" i="80" s="1"/>
  <c r="U45" i="80"/>
  <c r="Y45" i="80" s="1"/>
  <c r="U44" i="80"/>
  <c r="Y44" i="80" s="1"/>
  <c r="U43" i="80"/>
  <c r="Y43" i="80" s="1"/>
  <c r="U42" i="80"/>
  <c r="Y42" i="80" s="1"/>
  <c r="U41" i="80"/>
  <c r="Y41" i="80" s="1"/>
  <c r="U40" i="80"/>
  <c r="Y40" i="80" s="1"/>
  <c r="U39" i="80"/>
  <c r="Y39" i="80" s="1"/>
  <c r="U38" i="80"/>
  <c r="Y38" i="80" s="1"/>
  <c r="U37" i="80"/>
  <c r="Y37" i="80" s="1"/>
  <c r="U36" i="80"/>
  <c r="Y36" i="80" s="1"/>
  <c r="U35" i="80"/>
  <c r="Y35" i="80" s="1"/>
  <c r="U34" i="80"/>
  <c r="Y34" i="80" s="1"/>
  <c r="U33" i="80"/>
  <c r="Y33" i="80" s="1"/>
  <c r="U32" i="80"/>
  <c r="Y32" i="80" s="1"/>
  <c r="U31" i="80"/>
  <c r="Y31" i="80" s="1"/>
  <c r="U30" i="80"/>
  <c r="Y30" i="80" s="1"/>
  <c r="U29" i="80"/>
  <c r="Y29" i="80" s="1"/>
  <c r="U28" i="80"/>
  <c r="Y28" i="80" s="1"/>
  <c r="U27" i="80"/>
  <c r="Y27" i="80" s="1"/>
  <c r="U26" i="80"/>
  <c r="Y26" i="80" s="1"/>
  <c r="U25" i="80"/>
  <c r="Y25" i="80" s="1"/>
  <c r="U24" i="80"/>
  <c r="Y24" i="80" s="1"/>
  <c r="U23" i="80"/>
  <c r="Y23" i="80" s="1"/>
  <c r="U22" i="80"/>
  <c r="Y22" i="80" s="1"/>
  <c r="U21" i="80"/>
  <c r="Y21" i="80" s="1"/>
  <c r="U20" i="80"/>
  <c r="Y20" i="80" s="1"/>
  <c r="U19" i="80"/>
  <c r="Y19" i="80" s="1"/>
  <c r="U18" i="80"/>
  <c r="Y18" i="80" s="1"/>
  <c r="U17" i="80"/>
  <c r="Y17" i="80" s="1"/>
  <c r="U16" i="80"/>
  <c r="Y16" i="80" s="1"/>
  <c r="U15" i="80"/>
  <c r="Y15" i="80" s="1"/>
  <c r="Y14" i="80"/>
  <c r="U14" i="80"/>
  <c r="U13" i="80"/>
  <c r="Y13" i="80" s="1"/>
  <c r="U12" i="80"/>
  <c r="Y12" i="80" s="1"/>
  <c r="U11" i="80"/>
  <c r="Y11" i="80" s="1"/>
  <c r="U10" i="80"/>
  <c r="Y10" i="80" s="1"/>
  <c r="U9" i="80"/>
  <c r="Y9" i="80" s="1"/>
  <c r="U8" i="80"/>
  <c r="Y8" i="80" s="1"/>
  <c r="U7" i="80"/>
  <c r="Y7" i="80" s="1"/>
  <c r="U6" i="80"/>
  <c r="Y6" i="80" s="1"/>
  <c r="U5" i="80"/>
  <c r="Y5" i="80" s="1"/>
  <c r="U4" i="80"/>
  <c r="Y4" i="80" s="1"/>
  <c r="U3" i="80"/>
  <c r="Y3" i="80" s="1"/>
  <c r="L177" i="81" l="1"/>
  <c r="I167" i="81"/>
  <c r="J161" i="81"/>
  <c r="G274" i="81"/>
  <c r="H169" i="81"/>
  <c r="AB71" i="79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H274" i="81" l="1"/>
  <c r="I169" i="81"/>
  <c r="J167" i="81"/>
  <c r="K161" i="81"/>
  <c r="M177" i="81"/>
  <c r="AB113" i="79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I274" i="81" l="1"/>
  <c r="J169" i="81"/>
  <c r="N177" i="81"/>
  <c r="L161" i="81"/>
  <c r="K167" i="81"/>
  <c r="O123" i="79"/>
  <c r="O124" i="79" s="1"/>
  <c r="O113" i="79"/>
  <c r="O115" i="79" s="1"/>
  <c r="O116" i="79" s="1"/>
  <c r="L167" i="81" l="1"/>
  <c r="M161" i="81"/>
  <c r="J274" i="81"/>
  <c r="K169" i="81"/>
  <c r="O177" i="81"/>
  <c r="P177" i="81" l="1"/>
  <c r="Q177" i="81" s="1"/>
  <c r="K274" i="81"/>
  <c r="L169" i="81"/>
  <c r="M167" i="81"/>
  <c r="N161" i="81"/>
  <c r="N71" i="79"/>
  <c r="N78" i="79"/>
  <c r="N92" i="79"/>
  <c r="N96" i="79"/>
  <c r="N108" i="79"/>
  <c r="N117" i="79"/>
  <c r="N118" i="79"/>
  <c r="N119" i="79"/>
  <c r="N120" i="79"/>
  <c r="N121" i="79"/>
  <c r="N122" i="79"/>
  <c r="N135" i="79"/>
  <c r="R177" i="81" l="1"/>
  <c r="N167" i="81"/>
  <c r="O161" i="81"/>
  <c r="L274" i="81"/>
  <c r="M169" i="81"/>
  <c r="N123" i="79"/>
  <c r="N124" i="79" s="1"/>
  <c r="N113" i="79"/>
  <c r="N115" i="79" s="1"/>
  <c r="N116" i="79" s="1"/>
  <c r="P161" i="81" l="1"/>
  <c r="O167" i="81"/>
  <c r="M274" i="81"/>
  <c r="N169" i="81"/>
  <c r="S177" i="81"/>
  <c r="T177" i="81" l="1"/>
  <c r="N274" i="81"/>
  <c r="O169" i="81"/>
  <c r="Q161" i="81"/>
  <c r="P167" i="81"/>
  <c r="Q167" i="81" l="1"/>
  <c r="R161" i="81"/>
  <c r="Q135" i="81"/>
  <c r="O274" i="81"/>
  <c r="P169" i="81"/>
  <c r="U177" i="81"/>
  <c r="V177" i="81" l="1"/>
  <c r="P274" i="81"/>
  <c r="Q169" i="81"/>
  <c r="R167" i="81"/>
  <c r="S161" i="81"/>
  <c r="R135" i="81"/>
  <c r="M71" i="79"/>
  <c r="M78" i="79"/>
  <c r="M92" i="79"/>
  <c r="M96" i="79"/>
  <c r="M108" i="79"/>
  <c r="M117" i="79"/>
  <c r="M118" i="79"/>
  <c r="M119" i="79"/>
  <c r="M120" i="79"/>
  <c r="M121" i="79"/>
  <c r="M122" i="79"/>
  <c r="M135" i="79"/>
  <c r="Q274" i="81" l="1"/>
  <c r="R169" i="81"/>
  <c r="S167" i="81"/>
  <c r="T161" i="81"/>
  <c r="S135" i="81"/>
  <c r="W177" i="81"/>
  <c r="M123" i="79"/>
  <c r="M124" i="79" s="1"/>
  <c r="M113" i="79"/>
  <c r="M115" i="79" s="1"/>
  <c r="X177" i="81" l="1"/>
  <c r="T167" i="81"/>
  <c r="U161" i="81"/>
  <c r="T135" i="81"/>
  <c r="R274" i="81"/>
  <c r="S169" i="81"/>
  <c r="M116" i="79"/>
  <c r="V161" i="81" l="1"/>
  <c r="U167" i="81"/>
  <c r="U135" i="81"/>
  <c r="S274" i="81"/>
  <c r="T169" i="81"/>
  <c r="Y177" i="81"/>
  <c r="Z177" i="81" s="1"/>
  <c r="AA177" i="81" s="1"/>
  <c r="AH145" i="79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B177" i="81" l="1"/>
  <c r="T274" i="81"/>
  <c r="U169" i="81"/>
  <c r="V167" i="81"/>
  <c r="W161" i="81"/>
  <c r="V135" i="81"/>
  <c r="BJ22" i="79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W167" i="81" l="1"/>
  <c r="X161" i="81"/>
  <c r="W135" i="81"/>
  <c r="U274" i="81"/>
  <c r="V169" i="81"/>
  <c r="AC177" i="81"/>
  <c r="Z124" i="79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D177" i="81" l="1"/>
  <c r="V274" i="81"/>
  <c r="W169" i="81"/>
  <c r="Y161" i="81"/>
  <c r="X167" i="81"/>
  <c r="X135" i="81"/>
  <c r="AH124" i="79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Z161" i="81" l="1"/>
  <c r="Y167" i="81"/>
  <c r="AE177" i="81"/>
  <c r="W274" i="81"/>
  <c r="X169" i="81"/>
  <c r="H177" i="79"/>
  <c r="G274" i="79"/>
  <c r="H169" i="79"/>
  <c r="AI116" i="79"/>
  <c r="AH116" i="79"/>
  <c r="B7" i="79"/>
  <c r="A7" i="79" s="1"/>
  <c r="G161" i="79"/>
  <c r="X274" i="81" l="1"/>
  <c r="Y169" i="81"/>
  <c r="AF177" i="81"/>
  <c r="AA161" i="81"/>
  <c r="Z167" i="81"/>
  <c r="I177" i="79"/>
  <c r="H161" i="79"/>
  <c r="H135" i="79" s="1"/>
  <c r="G167" i="79"/>
  <c r="H274" i="79"/>
  <c r="I169" i="79"/>
  <c r="G135" i="79"/>
  <c r="Y274" i="81" l="1"/>
  <c r="Z169" i="81"/>
  <c r="AB161" i="81"/>
  <c r="AA167" i="81"/>
  <c r="AA135" i="81"/>
  <c r="I161" i="79"/>
  <c r="H167" i="79"/>
  <c r="I274" i="79"/>
  <c r="J169" i="79"/>
  <c r="J177" i="79"/>
  <c r="I135" i="79"/>
  <c r="AB167" i="81" l="1"/>
  <c r="AC161" i="81"/>
  <c r="AB135" i="81"/>
  <c r="Z274" i="81"/>
  <c r="AA169" i="81"/>
  <c r="K177" i="79"/>
  <c r="J274" i="79"/>
  <c r="K169" i="79"/>
  <c r="I167" i="79"/>
  <c r="J161" i="79"/>
  <c r="AA274" i="81" l="1"/>
  <c r="AB169" i="81"/>
  <c r="AC167" i="81"/>
  <c r="AD161" i="81"/>
  <c r="AC135" i="81"/>
  <c r="J167" i="79"/>
  <c r="K161" i="79"/>
  <c r="K274" i="79"/>
  <c r="L169" i="79"/>
  <c r="J135" i="79"/>
  <c r="L177" i="79"/>
  <c r="K135" i="79"/>
  <c r="AD167" i="81" l="1"/>
  <c r="AE161" i="81"/>
  <c r="AD135" i="81"/>
  <c r="AB274" i="81"/>
  <c r="AC169" i="81"/>
  <c r="L274" i="79"/>
  <c r="M169" i="79"/>
  <c r="M177" i="79"/>
  <c r="L161" i="79"/>
  <c r="L135" i="79" s="1"/>
  <c r="K167" i="79"/>
  <c r="AC274" i="81" l="1"/>
  <c r="AD169" i="81"/>
  <c r="AE167" i="81"/>
  <c r="AF161" i="81"/>
  <c r="AE135" i="81"/>
  <c r="L167" i="79"/>
  <c r="M161" i="79"/>
  <c r="N177" i="79"/>
  <c r="M274" i="79"/>
  <c r="N169" i="79"/>
  <c r="AF167" i="81" l="1"/>
  <c r="AF135" i="81"/>
  <c r="AD274" i="81"/>
  <c r="AE169" i="81"/>
  <c r="N274" i="79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AH135" i="81" l="1"/>
  <c r="AI135" i="81"/>
  <c r="AE274" i="81"/>
  <c r="AF169" i="81"/>
  <c r="AF274" i="81" s="1"/>
  <c r="P177" i="79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<sst xmlns="http://schemas.openxmlformats.org/spreadsheetml/2006/main" count="3168" uniqueCount="431">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</sst>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574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573" priority="47">
      <formula>$AH11=0</formula>
    </cfRule>
  </conditionalFormatting>
  <conditionalFormatting sqref="A101:A102">
    <cfRule type="expression" dxfId="1572" priority="215">
      <formula>$AH106=0</formula>
    </cfRule>
  </conditionalFormatting>
  <conditionalFormatting sqref="A103:A107">
    <cfRule type="expression" dxfId="1571" priority="163">
      <formula>$AH102=0</formula>
    </cfRule>
  </conditionalFormatting>
  <conditionalFormatting sqref="A160:A167">
    <cfRule type="expression" dxfId="1570" priority="216">
      <formula>$AH267=0</formula>
    </cfRule>
  </conditionalFormatting>
  <conditionalFormatting sqref="A168:A275">
    <cfRule type="expression" dxfId="1569" priority="86">
      <formula>$AH168=0</formula>
    </cfRule>
  </conditionalFormatting>
  <conditionalFormatting sqref="B8">
    <cfRule type="expression" dxfId="1568" priority="211">
      <formula>AND(C$9&gt;=14/24,C$9&lt;20/24)</formula>
    </cfRule>
    <cfRule type="expression" dxfId="1567" priority="212">
      <formula>AND(C$9&gt;=8/24,C$9&lt;14/24)</formula>
    </cfRule>
    <cfRule type="expression" dxfId="1566" priority="213">
      <formula>C$9&lt;8/24</formula>
    </cfRule>
    <cfRule type="expression" dxfId="1565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564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563" priority="129">
      <formula>AND(B$9&gt;=14/24,B$9&lt;20/24)</formula>
    </cfRule>
    <cfRule type="expression" dxfId="1562" priority="130">
      <formula>AND(B$9&gt;=8/24,B$9&lt;14/24)</formula>
    </cfRule>
    <cfRule type="expression" dxfId="1561" priority="131">
      <formula>B$9&lt;8/24</formula>
    </cfRule>
  </conditionalFormatting>
  <conditionalFormatting sqref="B29:Y53">
    <cfRule type="expression" dxfId="1560" priority="71">
      <formula>B29&gt;$AG29*1</formula>
    </cfRule>
    <cfRule type="expression" dxfId="1559" priority="72">
      <formula>B$9&gt;=20/24</formula>
    </cfRule>
    <cfRule type="expression" dxfId="1558" priority="73">
      <formula>AND(B$9&gt;=14/24,B$9&lt;20/24)</formula>
    </cfRule>
    <cfRule type="expression" dxfId="1557" priority="74">
      <formula>AND(B$9&gt;=8/24,B$9&lt;14/24)</formula>
    </cfRule>
    <cfRule type="expression" dxfId="1556" priority="75">
      <formula>B$9&lt;8/24</formula>
    </cfRule>
  </conditionalFormatting>
  <conditionalFormatting sqref="B54:Y68">
    <cfRule type="expression" dxfId="1555" priority="64">
      <formula>B$9&lt;8/24</formula>
    </cfRule>
  </conditionalFormatting>
  <conditionalFormatting sqref="B54:Y70">
    <cfRule type="expression" dxfId="1554" priority="61">
      <formula>B$9&gt;=20/24</formula>
    </cfRule>
    <cfRule type="expression" dxfId="1553" priority="62">
      <formula>AND(B$9&gt;=14/24,B$9&lt;20/24)</formula>
    </cfRule>
    <cfRule type="expression" dxfId="1552" priority="63">
      <formula>AND(B$9&gt;=8/24,B$9&lt;14/24)</formula>
    </cfRule>
  </conditionalFormatting>
  <conditionalFormatting sqref="B63:Y65">
    <cfRule type="expression" dxfId="1551" priority="65">
      <formula>B63&gt;$AG63</formula>
    </cfRule>
  </conditionalFormatting>
  <conditionalFormatting sqref="B69:Y70">
    <cfRule type="expression" dxfId="1550" priority="136">
      <formula>B$9&lt;8/24</formula>
    </cfRule>
  </conditionalFormatting>
  <conditionalFormatting sqref="B72:AF75">
    <cfRule type="expression" dxfId="1549" priority="52">
      <formula>B72&gt;$AG72*1</formula>
    </cfRule>
  </conditionalFormatting>
  <conditionalFormatting sqref="B73:AF75">
    <cfRule type="expression" dxfId="1548" priority="53">
      <formula>B$9&gt;=20/24</formula>
    </cfRule>
    <cfRule type="expression" dxfId="1547" priority="54">
      <formula>AND(B$9&gt;=14/24,B$9&lt;20/24)</formula>
    </cfRule>
    <cfRule type="expression" dxfId="1546" priority="55">
      <formula>AND(B$9&gt;=8/24,B$9&lt;14/24)</formula>
    </cfRule>
    <cfRule type="expression" dxfId="1545" priority="56">
      <formula>B$9&lt;8/24</formula>
    </cfRule>
  </conditionalFormatting>
  <conditionalFormatting sqref="F161:AF167">
    <cfRule type="expression" dxfId="1544" priority="87">
      <formula>F$9&gt;=20/24</formula>
    </cfRule>
    <cfRule type="expression" dxfId="1543" priority="88">
      <formula>AND(F$9&gt;=14/24,F$9&lt;20/24)</formula>
    </cfRule>
    <cfRule type="expression" dxfId="1542" priority="89">
      <formula>AND(F$9&gt;=8/24,F$9&lt;14/24)</formula>
    </cfRule>
    <cfRule type="expression" dxfId="1541" priority="90">
      <formula>F$9&lt;8/24</formula>
    </cfRule>
  </conditionalFormatting>
  <conditionalFormatting sqref="F169:AF274">
    <cfRule type="expression" dxfId="1540" priority="48">
      <formula>F$9&gt;=20/24</formula>
    </cfRule>
    <cfRule type="expression" dxfId="1539" priority="49">
      <formula>AND(F$9&gt;=14/24,F$9&lt;20/24)</formula>
    </cfRule>
    <cfRule type="expression" dxfId="1538" priority="50">
      <formula>AND(F$9&gt;=8/24,F$9&lt;14/24)</formula>
    </cfRule>
    <cfRule type="expression" dxfId="1537" priority="51">
      <formula>F$9&lt;8/24</formula>
    </cfRule>
  </conditionalFormatting>
  <conditionalFormatting sqref="AF96:AG96 B71:AG71 Z78:AG78 X91:AF91 B76:W96 B69:Y69 X76:Y90 X92:AE96 Z76:AF77 Z79:AF90 AF92:AF95">
    <cfRule type="expression" dxfId="1536" priority="127">
      <formula>B69&gt;$AG69*1</formula>
    </cfRule>
  </conditionalFormatting>
  <conditionalFormatting sqref="F79:Y83">
    <cfRule type="expression" dxfId="1535" priority="137">
      <formula>F$9&gt;=20/24</formula>
    </cfRule>
    <cfRule type="expression" dxfId="1534" priority="138">
      <formula>AND(F$9&gt;=14/24,F$9&lt;20/24)</formula>
    </cfRule>
    <cfRule type="expression" dxfId="1533" priority="139">
      <formula>AND(F$9&gt;=8/24,F$9&lt;14/24)</formula>
    </cfRule>
    <cfRule type="expression" dxfId="1532" priority="140">
      <formula>F$9&lt;8/24</formula>
    </cfRule>
  </conditionalFormatting>
  <conditionalFormatting sqref="F84:Y84">
    <cfRule type="expression" dxfId="1531" priority="132">
      <formula>F$9&gt;=20/24</formula>
    </cfRule>
    <cfRule type="expression" dxfId="1530" priority="133">
      <formula>AND(F$9&gt;=14/24,F$9&lt;20/24)</formula>
    </cfRule>
    <cfRule type="expression" dxfId="1529" priority="134">
      <formula>AND(F$9&gt;=8/24,F$9&lt;14/24)</formula>
    </cfRule>
    <cfRule type="expression" dxfId="1528" priority="135">
      <formula>F$9&lt;8/24</formula>
    </cfRule>
  </conditionalFormatting>
  <conditionalFormatting sqref="F78:AF78 B72:AF72">
    <cfRule type="expression" dxfId="1527" priority="147">
      <formula>B$9&gt;=20/24</formula>
    </cfRule>
    <cfRule type="expression" dxfId="1526" priority="148">
      <formula>AND(B$9&gt;=14/24,B$9&lt;20/24)</formula>
    </cfRule>
    <cfRule type="expression" dxfId="1525" priority="149">
      <formula>AND(B$9&gt;=8/24,B$9&lt;14/24)</formula>
    </cfRule>
    <cfRule type="expression" dxfId="1524" priority="150">
      <formula>B$9&lt;8/24</formula>
    </cfRule>
  </conditionalFormatting>
  <conditionalFormatting sqref="F79:Y81">
    <cfRule type="expression" dxfId="1523" priority="155">
      <formula>F$9&gt;=20/24</formula>
    </cfRule>
    <cfRule type="expression" dxfId="1522" priority="156">
      <formula>AND(F$9&gt;=14/24,F$9&lt;20/24)</formula>
    </cfRule>
    <cfRule type="expression" dxfId="1521" priority="157">
      <formula>AND(F$9&gt;=8/24,F$9&lt;14/24)</formula>
    </cfRule>
    <cfRule type="expression" dxfId="1520" priority="158">
      <formula>F$9&lt;8/24</formula>
    </cfRule>
  </conditionalFormatting>
  <conditionalFormatting sqref="L84:AF84">
    <cfRule type="expression" dxfId="1519" priority="151">
      <formula>L$9&gt;=20/24</formula>
    </cfRule>
    <cfRule type="expression" dxfId="1518" priority="152">
      <formula>AND(L$9&gt;=14/24,L$9&lt;20/24)</formula>
    </cfRule>
    <cfRule type="expression" dxfId="1517" priority="153">
      <formula>AND(L$9&gt;=8/24,L$9&lt;14/24)</formula>
    </cfRule>
    <cfRule type="expression" dxfId="1516" priority="154">
      <formula>L$9&lt;8/24</formula>
    </cfRule>
  </conditionalFormatting>
  <conditionalFormatting sqref="M8 S8 AB8">
    <cfRule type="expression" dxfId="1515" priority="204">
      <formula>AND(N$9&gt;=14/24,N$9&lt;20/24)</formula>
    </cfRule>
    <cfRule type="expression" dxfId="1514" priority="205">
      <formula>AND(N$9&gt;=8/24,N$9&lt;14/24)</formula>
    </cfRule>
    <cfRule type="expression" dxfId="1513" priority="206">
      <formula>N$9&lt;8/24</formula>
    </cfRule>
  </conditionalFormatting>
  <conditionalFormatting sqref="T79:Y83 Z80:AF83">
    <cfRule type="expression" dxfId="1512" priority="159">
      <formula>T$9&gt;=20/24</formula>
    </cfRule>
    <cfRule type="expression" dxfId="1511" priority="160">
      <formula>AND(T$9&gt;=14/24,T$9&lt;20/24)</formula>
    </cfRule>
    <cfRule type="expression" dxfId="1510" priority="161">
      <formula>AND(T$9&gt;=8/24,T$9&lt;14/24)</formula>
    </cfRule>
    <cfRule type="expression" dxfId="1509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08" priority="203">
      <formula>N$9&gt;=20/24</formula>
    </cfRule>
  </conditionalFormatting>
  <conditionalFormatting sqref="S8">
    <cfRule type="expression" dxfId="1507" priority="194">
      <formula>U$9&gt;=20/24</formula>
    </cfRule>
    <cfRule type="expression" dxfId="1506" priority="195">
      <formula>AND(U$9&gt;=14/24,U$9&lt;20/24)</formula>
    </cfRule>
    <cfRule type="expression" dxfId="1505" priority="196">
      <formula>AND(U$9&gt;=8/24,U$9&lt;14/24)</formula>
    </cfRule>
    <cfRule type="expression" dxfId="1504" priority="197">
      <formula>U$9&lt;8/24</formula>
    </cfRule>
  </conditionalFormatting>
  <conditionalFormatting sqref="T79:AF84">
    <cfRule type="expression" dxfId="1503" priority="81">
      <formula>T$9&gt;=20/24</formula>
    </cfRule>
    <cfRule type="expression" dxfId="1502" priority="82">
      <formula>AND(T$9&gt;=14/24,T$9&lt;20/24)</formula>
    </cfRule>
    <cfRule type="expression" dxfId="1501" priority="83">
      <formula>AND(T$9&gt;=8/24,T$9&lt;14/24)</formula>
    </cfRule>
    <cfRule type="expression" dxfId="1500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499" priority="141">
      <formula>B54&gt;$AG54</formula>
    </cfRule>
  </conditionalFormatting>
  <conditionalFormatting sqref="AB8">
    <cfRule type="expression" dxfId="1498" priority="190">
      <formula>AD$9&gt;=20/24</formula>
    </cfRule>
    <cfRule type="expression" dxfId="1497" priority="191">
      <formula>AND(AD$9&gt;=14/24,AD$9&lt;20/24)</formula>
    </cfRule>
    <cfRule type="expression" dxfId="1496" priority="192">
      <formula>AND(AD$9&gt;=8/24,AD$9&lt;14/24)</formula>
    </cfRule>
    <cfRule type="expression" dxfId="1495" priority="193">
      <formula>AD$9&lt;8/24</formula>
    </cfRule>
  </conditionalFormatting>
  <conditionalFormatting sqref="AG78">
    <cfRule type="expression" dxfId="1494" priority="169">
      <formula>AG$9&gt;=20/24</formula>
    </cfRule>
    <cfRule type="expression" dxfId="1493" priority="170">
      <formula>AND(AG$9&gt;=14/24,AG$9&lt;20/24)</formula>
    </cfRule>
    <cfRule type="expression" dxfId="1492" priority="171">
      <formula>AND(AG$9&gt;=8/24,AG$9&lt;14/24)</formula>
    </cfRule>
    <cfRule type="expression" dxfId="1491" priority="172">
      <formula>AG$9&lt;8/24</formula>
    </cfRule>
  </conditionalFormatting>
  <conditionalFormatting sqref="AG91:AG92">
    <cfRule type="expression" dxfId="1490" priority="164">
      <formula>AG91&gt;$AG91</formula>
    </cfRule>
  </conditionalFormatting>
  <conditionalFormatting sqref="AG96">
    <cfRule type="expression" dxfId="1489" priority="165">
      <formula>AG$9&gt;=20/24</formula>
    </cfRule>
    <cfRule type="expression" dxfId="1488" priority="166">
      <formula>AND(AG$9&gt;=14/24,AG$9&lt;20/24)</formula>
    </cfRule>
    <cfRule type="expression" dxfId="1487" priority="167">
      <formula>AND(AG$9&gt;=8/24,AG$9&lt;14/24)</formula>
    </cfRule>
    <cfRule type="expression" dxfId="1486" priority="168">
      <formula>AG$9&lt;8/24</formula>
    </cfRule>
  </conditionalFormatting>
  <conditionalFormatting sqref="AG113">
    <cfRule type="expression" dxfId="1485" priority="186">
      <formula>AG$9&gt;=20/24</formula>
    </cfRule>
    <cfRule type="expression" dxfId="1484" priority="187">
      <formula>AND(AG$9&gt;=14/24,AG$9&lt;20/24)</formula>
    </cfRule>
    <cfRule type="expression" dxfId="1483" priority="188">
      <formula>AND(AG$9&gt;=8/24,AG$9&lt;14/24)</formula>
    </cfRule>
    <cfRule type="expression" dxfId="1482" priority="189">
      <formula>AG$9&lt;8/24</formula>
    </cfRule>
  </conditionalFormatting>
  <conditionalFormatting sqref="AH8:AI10">
    <cfRule type="expression" dxfId="1481" priority="77">
      <formula>AH$9&gt;=20/24</formula>
    </cfRule>
    <cfRule type="expression" dxfId="1480" priority="78">
      <formula>AND(AH$9&gt;=14/24,AH$9&lt;20/24)</formula>
    </cfRule>
    <cfRule type="expression" dxfId="1479" priority="79">
      <formula>AND(AH$9&gt;=8/24,AH$9&lt;14/24)</formula>
    </cfRule>
    <cfRule type="expression" dxfId="1478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477" priority="207">
      <formula>AJ$9&gt;=20/24</formula>
    </cfRule>
    <cfRule type="expression" dxfId="1476" priority="208">
      <formula>AND(AJ$9&gt;=14/24,AJ$9&lt;20/24)</formula>
    </cfRule>
    <cfRule type="expression" dxfId="1475" priority="209">
      <formula>AND(AJ$9&gt;=8/24,AJ$9&lt;14/24)</formula>
    </cfRule>
    <cfRule type="expression" dxfId="1474" priority="210">
      <formula>AJ$9&lt;8/24</formula>
    </cfRule>
  </conditionalFormatting>
  <conditionalFormatting sqref="AL99:AN99 AL105:AN105">
    <cfRule type="expression" dxfId="1473" priority="179">
      <formula>AL$9&gt;=20/24</formula>
    </cfRule>
    <cfRule type="expression" dxfId="1472" priority="180">
      <formula>AND(AL$9&gt;=14/24,AL$9&lt;20/24)</formula>
    </cfRule>
    <cfRule type="expression" dxfId="1471" priority="181">
      <formula>AND(AL$9&gt;=8/24,AL$9&lt;14/24)</formula>
    </cfRule>
    <cfRule type="expression" dxfId="1470" priority="182">
      <formula>AL$9&lt;8/24</formula>
    </cfRule>
  </conditionalFormatting>
  <conditionalFormatting sqref="AM15:AM21 AN16:AR21">
    <cfRule type="expression" dxfId="1469" priority="103">
      <formula>AX$9&gt;=20/24</formula>
    </cfRule>
    <cfRule type="expression" dxfId="1468" priority="104">
      <formula>AND(AX$9&gt;=14/24,AX$9&lt;20/24)</formula>
    </cfRule>
    <cfRule type="expression" dxfId="1467" priority="105">
      <formula>AND(AX$9&gt;=8/24,AX$9&lt;14/24)</formula>
    </cfRule>
    <cfRule type="expression" dxfId="1466" priority="106">
      <formula>AX$9&lt;8/24</formula>
    </cfRule>
  </conditionalFormatting>
  <conditionalFormatting sqref="AN100:AN103">
    <cfRule type="expression" dxfId="1465" priority="175">
      <formula>AN$9&gt;=20/24</formula>
    </cfRule>
    <cfRule type="expression" dxfId="1464" priority="176">
      <formula>AND(AN$9&gt;=14/24,AN$9&lt;20/24)</formula>
    </cfRule>
    <cfRule type="expression" dxfId="1463" priority="177">
      <formula>AND(AN$9&gt;=8/24,AN$9&lt;14/24)</formula>
    </cfRule>
    <cfRule type="expression" dxfId="1462" priority="178">
      <formula>AN$9&lt;8/24</formula>
    </cfRule>
  </conditionalFormatting>
  <conditionalFormatting sqref="AN15:AR15">
    <cfRule type="expression" dxfId="1461" priority="91">
      <formula>U$9&gt;=20/24</formula>
    </cfRule>
    <cfRule type="expression" dxfId="1460" priority="92">
      <formula>AND(U$9&gt;=14/24,U$9&lt;20/24)</formula>
    </cfRule>
    <cfRule type="expression" dxfId="1459" priority="93">
      <formula>AND(U$9&gt;=8/24,U$9&lt;14/24)</formula>
    </cfRule>
    <cfRule type="expression" dxfId="1458" priority="94">
      <formula>U$9&lt;8/24</formula>
    </cfRule>
  </conditionalFormatting>
  <conditionalFormatting sqref="AS15">
    <cfRule type="expression" dxfId="1457" priority="99">
      <formula>AA$9&gt;=20/24</formula>
    </cfRule>
    <cfRule type="expression" dxfId="1456" priority="100">
      <formula>AND(AA$9&gt;=14/24,AA$9&lt;20/24)</formula>
    </cfRule>
    <cfRule type="expression" dxfId="1455" priority="101">
      <formula>AND(AA$9&gt;=8/24,AA$9&lt;14/24)</formula>
    </cfRule>
    <cfRule type="expression" dxfId="1454" priority="102">
      <formula>AA$9&lt;8/24</formula>
    </cfRule>
  </conditionalFormatting>
  <conditionalFormatting sqref="AS16:AS21">
    <cfRule type="expression" dxfId="1453" priority="107">
      <formula>BE$9&gt;=20/24</formula>
    </cfRule>
    <cfRule type="expression" dxfId="1452" priority="108">
      <formula>AND(BE$9&gt;=14/24,BE$9&lt;20/24)</formula>
    </cfRule>
    <cfRule type="expression" dxfId="1451" priority="109">
      <formula>AND(BE$9&gt;=8/24,BE$9&lt;14/24)</formula>
    </cfRule>
    <cfRule type="expression" dxfId="1450" priority="110">
      <formula>BE$9&lt;8/24</formula>
    </cfRule>
  </conditionalFormatting>
  <conditionalFormatting sqref="AT15 AX15:BJ15">
    <cfRule type="expression" dxfId="1449" priority="111">
      <formula>AC$9&gt;=20/24</formula>
    </cfRule>
    <cfRule type="expression" dxfId="1448" priority="112">
      <formula>AND(AC$9&gt;=14/24,AC$9&lt;20/24)</formula>
    </cfRule>
    <cfRule type="expression" dxfId="1447" priority="113">
      <formula>AND(AC$9&gt;=8/24,AC$9&lt;14/24)</formula>
    </cfRule>
    <cfRule type="expression" dxfId="1446" priority="114">
      <formula>AC$9&lt;8/24</formula>
    </cfRule>
  </conditionalFormatting>
  <conditionalFormatting sqref="AT16:AT21">
    <cfRule type="expression" dxfId="1445" priority="115">
      <formula>BG$9&gt;=20/24</formula>
    </cfRule>
    <cfRule type="expression" dxfId="1444" priority="116">
      <formula>AND(BG$9&gt;=14/24,BG$9&lt;20/24)</formula>
    </cfRule>
    <cfRule type="expression" dxfId="1443" priority="117">
      <formula>AND(BG$9&gt;=8/24,BG$9&lt;14/24)</formula>
    </cfRule>
    <cfRule type="expression" dxfId="1442" priority="118">
      <formula>BG$9&lt;8/24</formula>
    </cfRule>
  </conditionalFormatting>
  <conditionalFormatting sqref="AU15:AV15">
    <cfRule type="expression" dxfId="1441" priority="119">
      <formula>AE$9&gt;=20/24</formula>
    </cfRule>
    <cfRule type="expression" dxfId="1440" priority="120">
      <formula>AND(AE$9&gt;=14/24,AE$9&lt;20/24)</formula>
    </cfRule>
    <cfRule type="expression" dxfId="1439" priority="121">
      <formula>AND(AE$9&gt;=8/24,AE$9&lt;14/24)</formula>
    </cfRule>
    <cfRule type="expression" dxfId="1438" priority="122">
      <formula>AE$9&lt;8/24</formula>
    </cfRule>
  </conditionalFormatting>
  <conditionalFormatting sqref="AU16:BJ21">
    <cfRule type="expression" dxfId="1437" priority="123">
      <formula>BI$9&gt;=20/24</formula>
    </cfRule>
    <cfRule type="expression" dxfId="1436" priority="124">
      <formula>AND(BI$9&gt;=14/24,BI$9&lt;20/24)</formula>
    </cfRule>
    <cfRule type="expression" dxfId="1435" priority="125">
      <formula>AND(BI$9&gt;=8/24,BI$9&lt;14/24)</formula>
    </cfRule>
    <cfRule type="expression" dxfId="1434" priority="126">
      <formula>BI$9&lt;8/24</formula>
    </cfRule>
  </conditionalFormatting>
  <conditionalFormatting sqref="AW15">
    <cfRule type="expression" dxfId="1433" priority="95">
      <formula>B$9&gt;=20/24</formula>
    </cfRule>
    <cfRule type="expression" dxfId="1432" priority="96">
      <formula>AND(B$9&gt;=14/24,B$9&lt;20/24)</formula>
    </cfRule>
    <cfRule type="expression" dxfId="1431" priority="97">
      <formula>AND(B$9&gt;=8/24,B$9&lt;14/24)</formula>
    </cfRule>
    <cfRule type="expression" dxfId="1430" priority="98">
      <formula>B$9&lt;8/24</formula>
    </cfRule>
  </conditionalFormatting>
  <conditionalFormatting sqref="A73">
    <cfRule type="expression" dxfId="1429" priority="46">
      <formula>$AH73=0</formula>
    </cfRule>
  </conditionalFormatting>
  <conditionalFormatting sqref="B97:E107 B137:E152 B109:E112 B125:E134 B154:E159 F97:F102 G98:G102 F126:G133 F137:G151 B11:Y13 AA11:AF13">
    <cfRule type="expression" dxfId="1428" priority="42">
      <formula>B$9&gt;=20/24</formula>
    </cfRule>
  </conditionalFormatting>
  <conditionalFormatting sqref="B97:E107 B137:E152 B109:E112 B125:E134 B154:E159 F97:F102 G98:G102 F126:G133 F137:G151 B11:Y13 AA11:AF13">
    <cfRule type="expression" dxfId="1427" priority="43">
      <formula>AND(B$9&gt;=14/24,B$9&lt;20/24)</formula>
    </cfRule>
    <cfRule type="expression" dxfId="1426" priority="44">
      <formula>AND(B$9&gt;=8/24,B$9&lt;14/24)</formula>
    </cfRule>
    <cfRule type="expression" dxfId="1425" priority="45">
      <formula>B$9&lt;8/24</formula>
    </cfRule>
  </conditionalFormatting>
  <conditionalFormatting sqref="B14:Y28 AA14:AF16">
    <cfRule type="expression" dxfId="1424" priority="32">
      <formula>B14&gt;$AG14*1</formula>
    </cfRule>
    <cfRule type="expression" dxfId="1423" priority="33">
      <formula>B$9&gt;=20/24</formula>
    </cfRule>
    <cfRule type="expression" dxfId="1422" priority="34">
      <formula>AND(B$9&gt;=14/24,B$9&lt;20/24)</formula>
    </cfRule>
    <cfRule type="expression" dxfId="1421" priority="35">
      <formula>AND(B$9&gt;=8/24,B$9&lt;14/24)</formula>
    </cfRule>
    <cfRule type="expression" dxfId="1420" priority="36">
      <formula>B$9&lt;8/24</formula>
    </cfRule>
  </conditionalFormatting>
  <conditionalFormatting sqref="B161:E167">
    <cfRule type="expression" dxfId="1419" priority="37">
      <formula>B$9&gt;=20/24</formula>
    </cfRule>
    <cfRule type="expression" dxfId="1418" priority="38">
      <formula>AND(B$9&gt;=14/24,B$9&lt;20/24)</formula>
    </cfRule>
    <cfRule type="expression" dxfId="1417" priority="39">
      <formula>AND(B$9&gt;=8/24,B$9&lt;14/24)</formula>
    </cfRule>
    <cfRule type="expression" dxfId="1416" priority="40">
      <formula>B$9&lt;8/24</formula>
    </cfRule>
  </conditionalFormatting>
  <conditionalFormatting sqref="B169:E274">
    <cfRule type="expression" dxfId="1415" priority="28">
      <formula>B$9&gt;=20/24</formula>
    </cfRule>
    <cfRule type="expression" dxfId="1414" priority="29">
      <formula>AND(B$9&gt;=14/24,B$9&lt;20/24)</formula>
    </cfRule>
    <cfRule type="expression" dxfId="1413" priority="30">
      <formula>AND(B$9&gt;=8/24,B$9&lt;14/24)</formula>
    </cfRule>
    <cfRule type="expression" dxfId="1412" priority="31">
      <formula>B$9&lt;8/24</formula>
    </cfRule>
  </conditionalFormatting>
  <conditionalFormatting sqref="B11:Y13 AA11:AF13">
    <cfRule type="expression" dxfId="1411" priority="41">
      <formula>B11&gt;$AG11*1</formula>
    </cfRule>
  </conditionalFormatting>
  <conditionalFormatting sqref="A153">
    <cfRule type="expression" dxfId="1410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409" priority="23">
      <formula>AL$9&gt;=20/24</formula>
    </cfRule>
  </conditionalFormatting>
  <conditionalFormatting sqref="AL153">
    <cfRule type="expression" dxfId="1408" priority="24">
      <formula>AND(AL$9&gt;=14/24,AL$9&lt;20/24)</formula>
    </cfRule>
    <cfRule type="expression" dxfId="1407" priority="25">
      <formula>AND(AL$9&gt;=8/24,AL$9&lt;14/24)</formula>
    </cfRule>
    <cfRule type="expression" dxfId="1406" priority="26">
      <formula>AL$9&lt;8/24</formula>
    </cfRule>
  </conditionalFormatting>
  <conditionalFormatting sqref="Z56:AF68">
    <cfRule type="expression" dxfId="1405" priority="1">
      <formula>Z$9&gt;=20/24</formula>
    </cfRule>
    <cfRule type="expression" dxfId="1404" priority="2">
      <formula>AND(Z$9&gt;=14/24,Z$9&lt;20/24)</formula>
    </cfRule>
    <cfRule type="expression" dxfId="1403" priority="3">
      <formula>AND(Z$9&gt;=8/24,Z$9&lt;14/24)</formula>
    </cfRule>
  </conditionalFormatting>
  <conditionalFormatting sqref="Z11:Z13">
    <cfRule type="expression" dxfId="1402" priority="17">
      <formula>Z$9&gt;=20/24</formula>
    </cfRule>
  </conditionalFormatting>
  <conditionalFormatting sqref="Z11:Z13">
    <cfRule type="expression" dxfId="1401" priority="18">
      <formula>AND(Z$9&gt;=14/24,Z$9&lt;20/24)</formula>
    </cfRule>
    <cfRule type="expression" dxfId="1400" priority="19">
      <formula>AND(Z$9&gt;=8/24,Z$9&lt;14/24)</formula>
    </cfRule>
    <cfRule type="expression" dxfId="1399" priority="20">
      <formula>Z$9&lt;8/24</formula>
    </cfRule>
  </conditionalFormatting>
  <conditionalFormatting sqref="Z14:Z53 AA17:AF53">
    <cfRule type="expression" dxfId="1398" priority="11">
      <formula>Z14&gt;$AG14*1</formula>
    </cfRule>
    <cfRule type="expression" dxfId="1397" priority="12">
      <formula>Z$9&gt;=20/24</formula>
    </cfRule>
    <cfRule type="expression" dxfId="1396" priority="13">
      <formula>AND(Z$9&gt;=14/24,Z$9&lt;20/24)</formula>
    </cfRule>
    <cfRule type="expression" dxfId="1395" priority="14">
      <formula>AND(Z$9&gt;=8/24,Z$9&lt;14/24)</formula>
    </cfRule>
    <cfRule type="expression" dxfId="1394" priority="15">
      <formula>Z$9&lt;8/24</formula>
    </cfRule>
  </conditionalFormatting>
  <conditionalFormatting sqref="Z54:AF55">
    <cfRule type="expression" dxfId="1393" priority="10">
      <formula>Z$9&lt;8/24</formula>
    </cfRule>
  </conditionalFormatting>
  <conditionalFormatting sqref="Z54:AF55 Z69:AF70">
    <cfRule type="expression" dxfId="1392" priority="7">
      <formula>Z$9&gt;=20/24</formula>
    </cfRule>
    <cfRule type="expression" dxfId="1391" priority="8">
      <formula>AND(Z$9&gt;=14/24,Z$9&lt;20/24)</formula>
    </cfRule>
    <cfRule type="expression" dxfId="1390" priority="9">
      <formula>AND(Z$9&gt;=8/24,Z$9&lt;14/24)</formula>
    </cfRule>
  </conditionalFormatting>
  <conditionalFormatting sqref="Z69:AF70">
    <cfRule type="expression" dxfId="1389" priority="21">
      <formula>Z$9&lt;8/24</formula>
    </cfRule>
  </conditionalFormatting>
  <conditionalFormatting sqref="Z11:Z13 Z69:AF69">
    <cfRule type="expression" dxfId="1388" priority="16">
      <formula>Z11&gt;$AG11*1</formula>
    </cfRule>
  </conditionalFormatting>
  <conditionalFormatting sqref="Z54:AF55 Z69:AF70">
    <cfRule type="expression" dxfId="1387" priority="22">
      <formula>Z54&gt;$AG54</formula>
    </cfRule>
  </conditionalFormatting>
  <conditionalFormatting sqref="Z56:AF68">
    <cfRule type="expression" dxfId="1386" priority="4">
      <formula>Z$9&lt;8/24</formula>
    </cfRule>
  </conditionalFormatting>
  <conditionalFormatting sqref="Z63:AF65">
    <cfRule type="expression" dxfId="1385" priority="5">
      <formula>Z63&gt;$AG63</formula>
    </cfRule>
  </conditionalFormatting>
  <conditionalFormatting sqref="Z66:AF68 Z56:AF62">
    <cfRule type="expression" dxfId="1384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383" priority="97">
      <formula>$AH11=0</formula>
    </cfRule>
  </conditionalFormatting>
  <conditionalFormatting sqref="A101:A102">
    <cfRule type="expression" dxfId="1382" priority="265">
      <formula>$AH106=0</formula>
    </cfRule>
  </conditionalFormatting>
  <conditionalFormatting sqref="A103:A107">
    <cfRule type="expression" dxfId="1381" priority="213">
      <formula>$AH102=0</formula>
    </cfRule>
  </conditionalFormatting>
  <conditionalFormatting sqref="A160:A167">
    <cfRule type="expression" dxfId="1380" priority="266">
      <formula>$AH267=0</formula>
    </cfRule>
  </conditionalFormatting>
  <conditionalFormatting sqref="A168:A275">
    <cfRule type="expression" dxfId="1379" priority="136">
      <formula>$AH168=0</formula>
    </cfRule>
  </conditionalFormatting>
  <conditionalFormatting sqref="B8">
    <cfRule type="expression" dxfId="1378" priority="261">
      <formula>AND(C$9&gt;=14/24,C$9&lt;20/24)</formula>
    </cfRule>
    <cfRule type="expression" dxfId="1377" priority="262">
      <formula>AND(C$9&gt;=8/24,C$9&lt;14/24)</formula>
    </cfRule>
    <cfRule type="expression" dxfId="1376" priority="263">
      <formula>C$9&lt;8/24</formula>
    </cfRule>
    <cfRule type="expression" dxfId="1375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374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373" priority="179">
      <formula>AND(B$9&gt;=14/24,B$9&lt;20/24)</formula>
    </cfRule>
    <cfRule type="expression" dxfId="1372" priority="180">
      <formula>AND(B$9&gt;=8/24,B$9&lt;14/24)</formula>
    </cfRule>
    <cfRule type="expression" dxfId="1371" priority="181">
      <formula>B$9&lt;8/24</formula>
    </cfRule>
  </conditionalFormatting>
  <conditionalFormatting sqref="AA14:AF53">
    <cfRule type="expression" dxfId="1370" priority="121">
      <formula>AA14&gt;$AG14*1</formula>
    </cfRule>
    <cfRule type="expression" dxfId="1369" priority="122">
      <formula>AA$9&gt;=20/24</formula>
    </cfRule>
    <cfRule type="expression" dxfId="1368" priority="123">
      <formula>AND(AA$9&gt;=14/24,AA$9&lt;20/24)</formula>
    </cfRule>
    <cfRule type="expression" dxfId="1367" priority="124">
      <formula>AND(AA$9&gt;=8/24,AA$9&lt;14/24)</formula>
    </cfRule>
    <cfRule type="expression" dxfId="1366" priority="125">
      <formula>AA$9&lt;8/24</formula>
    </cfRule>
  </conditionalFormatting>
  <conditionalFormatting sqref="AA54:AF68">
    <cfRule type="expression" dxfId="1365" priority="114">
      <formula>AA$9&lt;8/24</formula>
    </cfRule>
  </conditionalFormatting>
  <conditionalFormatting sqref="AA54:AF70">
    <cfRule type="expression" dxfId="1364" priority="111">
      <formula>AA$9&gt;=20/24</formula>
    </cfRule>
    <cfRule type="expression" dxfId="1363" priority="112">
      <formula>AND(AA$9&gt;=14/24,AA$9&lt;20/24)</formula>
    </cfRule>
    <cfRule type="expression" dxfId="1362" priority="113">
      <formula>AND(AA$9&gt;=8/24,AA$9&lt;14/24)</formula>
    </cfRule>
  </conditionalFormatting>
  <conditionalFormatting sqref="AA63:AF65">
    <cfRule type="expression" dxfId="1361" priority="115">
      <formula>AA63&gt;$AG63</formula>
    </cfRule>
  </conditionalFormatting>
  <conditionalFormatting sqref="AA69:AF70">
    <cfRule type="expression" dxfId="1360" priority="186">
      <formula>AA$9&lt;8/24</formula>
    </cfRule>
  </conditionalFormatting>
  <conditionalFormatting sqref="AA72:AF75">
    <cfRule type="expression" dxfId="1359" priority="102">
      <formula>AA72&gt;$AG72*1</formula>
    </cfRule>
  </conditionalFormatting>
  <conditionalFormatting sqref="AA73:AF75">
    <cfRule type="expression" dxfId="1358" priority="103">
      <formula>AA$9&gt;=20/24</formula>
    </cfRule>
    <cfRule type="expression" dxfId="1357" priority="104">
      <formula>AND(AA$9&gt;=14/24,AA$9&lt;20/24)</formula>
    </cfRule>
    <cfRule type="expression" dxfId="1356" priority="105">
      <formula>AND(AA$9&gt;=8/24,AA$9&lt;14/24)</formula>
    </cfRule>
    <cfRule type="expression" dxfId="1355" priority="106">
      <formula>AA$9&lt;8/24</formula>
    </cfRule>
  </conditionalFormatting>
  <conditionalFormatting sqref="C161:AF167">
    <cfRule type="expression" dxfId="1354" priority="137">
      <formula>C$9&gt;=20/24</formula>
    </cfRule>
    <cfRule type="expression" dxfId="1353" priority="138">
      <formula>AND(C$9&gt;=14/24,C$9&lt;20/24)</formula>
    </cfRule>
    <cfRule type="expression" dxfId="1352" priority="139">
      <formula>AND(C$9&gt;=8/24,C$9&lt;14/24)</formula>
    </cfRule>
    <cfRule type="expression" dxfId="1351" priority="140">
      <formula>C$9&lt;8/24</formula>
    </cfRule>
  </conditionalFormatting>
  <conditionalFormatting sqref="C169:AF274">
    <cfRule type="expression" dxfId="1350" priority="98">
      <formula>C$9&gt;=20/24</formula>
    </cfRule>
    <cfRule type="expression" dxfId="1349" priority="99">
      <formula>AND(C$9&gt;=14/24,C$9&lt;20/24)</formula>
    </cfRule>
    <cfRule type="expression" dxfId="1348" priority="100">
      <formula>AND(C$9&gt;=8/24,C$9&lt;14/24)</formula>
    </cfRule>
    <cfRule type="expression" dxfId="1347" priority="101">
      <formula>C$9&lt;8/24</formula>
    </cfRule>
  </conditionalFormatting>
  <conditionalFormatting sqref="B96:M96 B91:D92 E91:M95 AA96:AG96 N91:Z96 B71:AG71 B78:AG78 AA11:AF13 AA69:AF70 AA76:AF77 AA79:AF95">
    <cfRule type="expression" dxfId="1346" priority="177">
      <formula>B11&gt;$AG11*1</formula>
    </cfRule>
  </conditionalFormatting>
  <conditionalFormatting sqref="G78:AF78 AA72:AF72 AA76:AF77">
    <cfRule type="expression" dxfId="1345" priority="197">
      <formula>G$9&gt;=20/24</formula>
    </cfRule>
    <cfRule type="expression" dxfId="1344" priority="198">
      <formula>AND(G$9&gt;=14/24,G$9&lt;20/24)</formula>
    </cfRule>
    <cfRule type="expression" dxfId="1343" priority="199">
      <formula>AND(G$9&gt;=8/24,G$9&lt;14/24)</formula>
    </cfRule>
    <cfRule type="expression" dxfId="1342" priority="200">
      <formula>G$9&lt;8/24</formula>
    </cfRule>
  </conditionalFormatting>
  <conditionalFormatting sqref="AA73:AF75">
    <cfRule type="expression" dxfId="1341" priority="107">
      <formula>AA$9&gt;=20/24</formula>
    </cfRule>
    <cfRule type="expression" dxfId="1340" priority="108">
      <formula>AND(AA$9&gt;=14/24,AA$9&lt;20/24)</formula>
    </cfRule>
    <cfRule type="expression" dxfId="1339" priority="109">
      <formula>AND(AA$9&gt;=8/24,AA$9&lt;14/24)</formula>
    </cfRule>
    <cfRule type="expression" dxfId="1338" priority="110">
      <formula>AA$9&lt;8/24</formula>
    </cfRule>
  </conditionalFormatting>
  <conditionalFormatting sqref="AA84:AF84">
    <cfRule type="expression" dxfId="1337" priority="201">
      <formula>AA$9&gt;=20/24</formula>
    </cfRule>
    <cfRule type="expression" dxfId="1336" priority="202">
      <formula>AND(AA$9&gt;=14/24,AA$9&lt;20/24)</formula>
    </cfRule>
    <cfRule type="expression" dxfId="1335" priority="203">
      <formula>AND(AA$9&gt;=8/24,AA$9&lt;14/24)</formula>
    </cfRule>
    <cfRule type="expression" dxfId="1334" priority="204">
      <formula>AA$9&lt;8/24</formula>
    </cfRule>
  </conditionalFormatting>
  <conditionalFormatting sqref="M8 S8 AB8">
    <cfRule type="expression" dxfId="1333" priority="254">
      <formula>AND(N$9&gt;=14/24,N$9&lt;20/24)</formula>
    </cfRule>
    <cfRule type="expression" dxfId="1332" priority="255">
      <formula>AND(N$9&gt;=8/24,N$9&lt;14/24)</formula>
    </cfRule>
    <cfRule type="expression" dxfId="1331" priority="256">
      <formula>N$9&lt;8/24</formula>
    </cfRule>
  </conditionalFormatting>
  <conditionalFormatting sqref="AA80:AF83">
    <cfRule type="expression" dxfId="1330" priority="209">
      <formula>AA$9&gt;=20/24</formula>
    </cfRule>
    <cfRule type="expression" dxfId="1329" priority="210">
      <formula>AND(AA$9&gt;=14/24,AA$9&lt;20/24)</formula>
    </cfRule>
    <cfRule type="expression" dxfId="1328" priority="211">
      <formula>AND(AA$9&gt;=8/24,AA$9&lt;14/24)</formula>
    </cfRule>
    <cfRule type="expression" dxfId="1327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326" priority="253">
      <formula>N$9&gt;=20/24</formula>
    </cfRule>
  </conditionalFormatting>
  <conditionalFormatting sqref="S8">
    <cfRule type="expression" dxfId="1325" priority="244">
      <formula>U$9&gt;=20/24</formula>
    </cfRule>
    <cfRule type="expression" dxfId="1324" priority="245">
      <formula>AND(U$9&gt;=14/24,U$9&lt;20/24)</formula>
    </cfRule>
    <cfRule type="expression" dxfId="1323" priority="246">
      <formula>AND(U$9&gt;=8/24,U$9&lt;14/24)</formula>
    </cfRule>
    <cfRule type="expression" dxfId="1322" priority="247">
      <formula>U$9&lt;8/24</formula>
    </cfRule>
  </conditionalFormatting>
  <conditionalFormatting sqref="AA79:AF84">
    <cfRule type="expression" dxfId="1321" priority="131">
      <formula>AA$9&gt;=20/24</formula>
    </cfRule>
    <cfRule type="expression" dxfId="1320" priority="132">
      <formula>AND(AA$9&gt;=14/24,AA$9&lt;20/24)</formula>
    </cfRule>
    <cfRule type="expression" dxfId="1319" priority="133">
      <formula>AND(AA$9&gt;=8/24,AA$9&lt;14/24)</formula>
    </cfRule>
    <cfRule type="expression" dxfId="1318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317" priority="116">
      <formula>AA$9&gt;=20/24</formula>
    </cfRule>
    <cfRule type="expression" dxfId="1316" priority="117">
      <formula>AND(AA$9&gt;=14/24,AA$9&lt;20/24)</formula>
    </cfRule>
    <cfRule type="expression" dxfId="1315" priority="118">
      <formula>AND(AA$9&gt;=8/24,AA$9&lt;14/24)</formula>
    </cfRule>
    <cfRule type="expression" dxfId="1314" priority="119">
      <formula>AA$9&lt;8/24</formula>
    </cfRule>
  </conditionalFormatting>
  <conditionalFormatting sqref="AA54:AF62 AA66:AF69">
    <cfRule type="expression" dxfId="1312" priority="191">
      <formula>AA54&gt;$AG54</formula>
    </cfRule>
  </conditionalFormatting>
  <conditionalFormatting sqref="AB8">
    <cfRule type="expression" dxfId="1311" priority="240">
      <formula>AD$9&gt;=20/24</formula>
    </cfRule>
    <cfRule type="expression" dxfId="1310" priority="241">
      <formula>AND(AD$9&gt;=14/24,AD$9&lt;20/24)</formula>
    </cfRule>
    <cfRule type="expression" dxfId="1309" priority="242">
      <formula>AND(AD$9&gt;=8/24,AD$9&lt;14/24)</formula>
    </cfRule>
    <cfRule type="expression" dxfId="1308" priority="243">
      <formula>AD$9&lt;8/24</formula>
    </cfRule>
  </conditionalFormatting>
  <conditionalFormatting sqref="AG78">
    <cfRule type="expression" dxfId="1302" priority="219">
      <formula>AG$9&gt;=20/24</formula>
    </cfRule>
    <cfRule type="expression" dxfId="1301" priority="220">
      <formula>AND(AG$9&gt;=14/24,AG$9&lt;20/24)</formula>
    </cfRule>
    <cfRule type="expression" dxfId="1300" priority="221">
      <formula>AND(AG$9&gt;=8/24,AG$9&lt;14/24)</formula>
    </cfRule>
    <cfRule type="expression" dxfId="1299" priority="222">
      <formula>AG$9&lt;8/24</formula>
    </cfRule>
  </conditionalFormatting>
  <conditionalFormatting sqref="AG91:AG92">
    <cfRule type="expression" dxfId="1298" priority="214">
      <formula>AG91&gt;$AG91</formula>
    </cfRule>
  </conditionalFormatting>
  <conditionalFormatting sqref="AG96">
    <cfRule type="expression" dxfId="1297" priority="215">
      <formula>AG$9&gt;=20/24</formula>
    </cfRule>
    <cfRule type="expression" dxfId="1296" priority="216">
      <formula>AND(AG$9&gt;=14/24,AG$9&lt;20/24)</formula>
    </cfRule>
    <cfRule type="expression" dxfId="1295" priority="217">
      <formula>AND(AG$9&gt;=8/24,AG$9&lt;14/24)</formula>
    </cfRule>
    <cfRule type="expression" dxfId="1294" priority="218">
      <formula>AG$9&lt;8/24</formula>
    </cfRule>
  </conditionalFormatting>
  <conditionalFormatting sqref="AG113">
    <cfRule type="expression" dxfId="1293" priority="236">
      <formula>AG$9&gt;=20/24</formula>
    </cfRule>
    <cfRule type="expression" dxfId="1292" priority="237">
      <formula>AND(AG$9&gt;=14/24,AG$9&lt;20/24)</formula>
    </cfRule>
    <cfRule type="expression" dxfId="1291" priority="238">
      <formula>AND(AG$9&gt;=8/24,AG$9&lt;14/24)</formula>
    </cfRule>
    <cfRule type="expression" dxfId="1290" priority="239">
      <formula>AG$9&lt;8/24</formula>
    </cfRule>
  </conditionalFormatting>
  <conditionalFormatting sqref="AH8:AI10">
    <cfRule type="expression" dxfId="1289" priority="127">
      <formula>AH$9&gt;=20/24</formula>
    </cfRule>
    <cfRule type="expression" dxfId="1288" priority="128">
      <formula>AND(AH$9&gt;=14/24,AH$9&lt;20/24)</formula>
    </cfRule>
    <cfRule type="expression" dxfId="1287" priority="129">
      <formula>AND(AH$9&gt;=8/24,AH$9&lt;14/24)</formula>
    </cfRule>
    <cfRule type="expression" dxfId="1286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85" priority="257">
      <formula>AJ$9&gt;=20/24</formula>
    </cfRule>
    <cfRule type="expression" dxfId="1284" priority="258">
      <formula>AND(AJ$9&gt;=14/24,AJ$9&lt;20/24)</formula>
    </cfRule>
    <cfRule type="expression" dxfId="1283" priority="259">
      <formula>AND(AJ$9&gt;=8/24,AJ$9&lt;14/24)</formula>
    </cfRule>
    <cfRule type="expression" dxfId="1282" priority="260">
      <formula>AJ$9&lt;8/24</formula>
    </cfRule>
  </conditionalFormatting>
  <conditionalFormatting sqref="AL99:AN99 AL105:AN105">
    <cfRule type="expression" dxfId="1281" priority="229">
      <formula>AL$9&gt;=20/24</formula>
    </cfRule>
    <cfRule type="expression" dxfId="1280" priority="230">
      <formula>AND(AL$9&gt;=14/24,AL$9&lt;20/24)</formula>
    </cfRule>
    <cfRule type="expression" dxfId="1279" priority="231">
      <formula>AND(AL$9&gt;=8/24,AL$9&lt;14/24)</formula>
    </cfRule>
    <cfRule type="expression" dxfId="1278" priority="232">
      <formula>AL$9&lt;8/24</formula>
    </cfRule>
  </conditionalFormatting>
  <conditionalFormatting sqref="AM15:AM21 AN16:AR21">
    <cfRule type="expression" dxfId="1277" priority="153">
      <formula>AX$9&gt;=20/24</formula>
    </cfRule>
    <cfRule type="expression" dxfId="1276" priority="154">
      <formula>AND(AX$9&gt;=14/24,AX$9&lt;20/24)</formula>
    </cfRule>
    <cfRule type="expression" dxfId="1275" priority="155">
      <formula>AND(AX$9&gt;=8/24,AX$9&lt;14/24)</formula>
    </cfRule>
    <cfRule type="expression" dxfId="1274" priority="156">
      <formula>AX$9&lt;8/24</formula>
    </cfRule>
  </conditionalFormatting>
  <conditionalFormatting sqref="AN100:AN103">
    <cfRule type="expression" dxfId="1273" priority="225">
      <formula>AN$9&gt;=20/24</formula>
    </cfRule>
    <cfRule type="expression" dxfId="1272" priority="226">
      <formula>AND(AN$9&gt;=14/24,AN$9&lt;20/24)</formula>
    </cfRule>
    <cfRule type="expression" dxfId="1271" priority="227">
      <formula>AND(AN$9&gt;=8/24,AN$9&lt;14/24)</formula>
    </cfRule>
    <cfRule type="expression" dxfId="1270" priority="228">
      <formula>AN$9&lt;8/24</formula>
    </cfRule>
  </conditionalFormatting>
  <conditionalFormatting sqref="AN15:AR15">
    <cfRule type="expression" dxfId="1269" priority="141">
      <formula>U$9&gt;=20/24</formula>
    </cfRule>
    <cfRule type="expression" dxfId="1268" priority="142">
      <formula>AND(U$9&gt;=14/24,U$9&lt;20/24)</formula>
    </cfRule>
    <cfRule type="expression" dxfId="1267" priority="143">
      <formula>AND(U$9&gt;=8/24,U$9&lt;14/24)</formula>
    </cfRule>
    <cfRule type="expression" dxfId="1266" priority="144">
      <formula>U$9&lt;8/24</formula>
    </cfRule>
  </conditionalFormatting>
  <conditionalFormatting sqref="AS15">
    <cfRule type="expression" dxfId="1265" priority="149">
      <formula>AA$9&gt;=20/24</formula>
    </cfRule>
    <cfRule type="expression" dxfId="1264" priority="150">
      <formula>AND(AA$9&gt;=14/24,AA$9&lt;20/24)</formula>
    </cfRule>
    <cfRule type="expression" dxfId="1263" priority="151">
      <formula>AND(AA$9&gt;=8/24,AA$9&lt;14/24)</formula>
    </cfRule>
    <cfRule type="expression" dxfId="1262" priority="152">
      <formula>AA$9&lt;8/24</formula>
    </cfRule>
  </conditionalFormatting>
  <conditionalFormatting sqref="AS16:AS21">
    <cfRule type="expression" dxfId="1261" priority="157">
      <formula>BE$9&gt;=20/24</formula>
    </cfRule>
    <cfRule type="expression" dxfId="1260" priority="158">
      <formula>AND(BE$9&gt;=14/24,BE$9&lt;20/24)</formula>
    </cfRule>
    <cfRule type="expression" dxfId="1259" priority="159">
      <formula>AND(BE$9&gt;=8/24,BE$9&lt;14/24)</formula>
    </cfRule>
    <cfRule type="expression" dxfId="1258" priority="160">
      <formula>BE$9&lt;8/24</formula>
    </cfRule>
  </conditionalFormatting>
  <conditionalFormatting sqref="AT15 AX15:BJ15">
    <cfRule type="expression" dxfId="1257" priority="161">
      <formula>AC$9&gt;=20/24</formula>
    </cfRule>
    <cfRule type="expression" dxfId="1256" priority="162">
      <formula>AND(AC$9&gt;=14/24,AC$9&lt;20/24)</formula>
    </cfRule>
    <cfRule type="expression" dxfId="1255" priority="163">
      <formula>AND(AC$9&gt;=8/24,AC$9&lt;14/24)</formula>
    </cfRule>
    <cfRule type="expression" dxfId="1254" priority="164">
      <formula>AC$9&lt;8/24</formula>
    </cfRule>
  </conditionalFormatting>
  <conditionalFormatting sqref="AT16:AT21">
    <cfRule type="expression" dxfId="1253" priority="165">
      <formula>BG$9&gt;=20/24</formula>
    </cfRule>
    <cfRule type="expression" dxfId="1252" priority="166">
      <formula>AND(BG$9&gt;=14/24,BG$9&lt;20/24)</formula>
    </cfRule>
    <cfRule type="expression" dxfId="1251" priority="167">
      <formula>AND(BG$9&gt;=8/24,BG$9&lt;14/24)</formula>
    </cfRule>
    <cfRule type="expression" dxfId="1250" priority="168">
      <formula>BG$9&lt;8/24</formula>
    </cfRule>
  </conditionalFormatting>
  <conditionalFormatting sqref="AU15:AV15">
    <cfRule type="expression" dxfId="1249" priority="169">
      <formula>AE$9&gt;=20/24</formula>
    </cfRule>
    <cfRule type="expression" dxfId="1248" priority="170">
      <formula>AND(AE$9&gt;=14/24,AE$9&lt;20/24)</formula>
    </cfRule>
    <cfRule type="expression" dxfId="1247" priority="171">
      <formula>AND(AE$9&gt;=8/24,AE$9&lt;14/24)</formula>
    </cfRule>
    <cfRule type="expression" dxfId="1246" priority="172">
      <formula>AE$9&lt;8/24</formula>
    </cfRule>
  </conditionalFormatting>
  <conditionalFormatting sqref="AU16:BJ21">
    <cfRule type="expression" dxfId="1245" priority="173">
      <formula>BI$9&gt;=20/24</formula>
    </cfRule>
    <cfRule type="expression" dxfId="1244" priority="174">
      <formula>AND(BI$9&gt;=14/24,BI$9&lt;20/24)</formula>
    </cfRule>
    <cfRule type="expression" dxfId="1243" priority="175">
      <formula>AND(BI$9&gt;=8/24,BI$9&lt;14/24)</formula>
    </cfRule>
    <cfRule type="expression" dxfId="1242" priority="176">
      <formula>BI$9&lt;8/24</formula>
    </cfRule>
  </conditionalFormatting>
  <conditionalFormatting sqref="AW15">
    <cfRule type="expression" dxfId="1241" priority="145">
      <formula>B$9&gt;=20/24</formula>
    </cfRule>
    <cfRule type="expression" dxfId="1240" priority="146">
      <formula>AND(B$9&gt;=14/24,B$9&lt;20/24)</formula>
    </cfRule>
    <cfRule type="expression" dxfId="1239" priority="147">
      <formula>AND(B$9&gt;=8/24,B$9&lt;14/24)</formula>
    </cfRule>
    <cfRule type="expression" dxfId="1238" priority="148">
      <formula>B$9&lt;8/24</formula>
    </cfRule>
  </conditionalFormatting>
  <conditionalFormatting sqref="A73">
    <cfRule type="expression" dxfId="1237" priority="96">
      <formula>$AH73=0</formula>
    </cfRule>
  </conditionalFormatting>
  <conditionalFormatting sqref="B97:B107 B152 B109:B112 B125 B154:B159 B134">
    <cfRule type="expression" dxfId="1236" priority="92">
      <formula>B$9&gt;=20/24</formula>
    </cfRule>
  </conditionalFormatting>
  <conditionalFormatting sqref="B97:B107 B152 B109:B112 B125 B154:B159 B134">
    <cfRule type="expression" dxfId="1235" priority="93">
      <formula>AND(B$9&gt;=14/24,B$9&lt;20/24)</formula>
    </cfRule>
    <cfRule type="expression" dxfId="1234" priority="94">
      <formula>AND(B$9&gt;=8/24,B$9&lt;14/24)</formula>
    </cfRule>
    <cfRule type="expression" dxfId="1233" priority="95">
      <formula>B$9&lt;8/24</formula>
    </cfRule>
  </conditionalFormatting>
  <conditionalFormatting sqref="B161:B167">
    <cfRule type="expression" dxfId="1232" priority="87">
      <formula>B$9&gt;=20/24</formula>
    </cfRule>
    <cfRule type="expression" dxfId="1231" priority="88">
      <formula>AND(B$9&gt;=14/24,B$9&lt;20/24)</formula>
    </cfRule>
    <cfRule type="expression" dxfId="1230" priority="89">
      <formula>AND(B$9&gt;=8/24,B$9&lt;14/24)</formula>
    </cfRule>
    <cfRule type="expression" dxfId="1229" priority="90">
      <formula>B$9&lt;8/24</formula>
    </cfRule>
  </conditionalFormatting>
  <conditionalFormatting sqref="B169:B274">
    <cfRule type="expression" dxfId="1228" priority="78">
      <formula>B$9&gt;=20/24</formula>
    </cfRule>
    <cfRule type="expression" dxfId="1227" priority="79">
      <formula>AND(B$9&gt;=14/24,B$9&lt;20/24)</formula>
    </cfRule>
    <cfRule type="expression" dxfId="1226" priority="80">
      <formula>AND(B$9&gt;=8/24,B$9&lt;14/24)</formula>
    </cfRule>
    <cfRule type="expression" dxfId="1225" priority="81">
      <formula>B$9&lt;8/24</formula>
    </cfRule>
  </conditionalFormatting>
  <conditionalFormatting sqref="A153">
    <cfRule type="expression" dxfId="1224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223" priority="73">
      <formula>AL$9&gt;=20/24</formula>
    </cfRule>
  </conditionalFormatting>
  <conditionalFormatting sqref="AL153">
    <cfRule type="expression" dxfId="1222" priority="74">
      <formula>AND(AL$9&gt;=14/24,AL$9&lt;20/24)</formula>
    </cfRule>
    <cfRule type="expression" dxfId="1221" priority="75">
      <formula>AND(AL$9&gt;=8/24,AL$9&lt;14/24)</formula>
    </cfRule>
    <cfRule type="expression" dxfId="1220" priority="76">
      <formula>AL$9&lt;8/24</formula>
    </cfRule>
  </conditionalFormatting>
  <conditionalFormatting sqref="B11:Z13">
    <cfRule type="expression" dxfId="1219" priority="69">
      <formula>B$9&gt;=20/24</formula>
    </cfRule>
  </conditionalFormatting>
  <conditionalFormatting sqref="B11:Z13">
    <cfRule type="expression" dxfId="1218" priority="70">
      <formula>AND(B$9&gt;=14/24,B$9&lt;20/24)</formula>
    </cfRule>
    <cfRule type="expression" dxfId="1217" priority="71">
      <formula>AND(B$9&gt;=8/24,B$9&lt;14/24)</formula>
    </cfRule>
    <cfRule type="expression" dxfId="1216" priority="72">
      <formula>B$9&lt;8/24</formula>
    </cfRule>
  </conditionalFormatting>
  <conditionalFormatting sqref="B14:Z16">
    <cfRule type="expression" dxfId="1215" priority="63">
      <formula>B14&gt;$AG14*1</formula>
    </cfRule>
    <cfRule type="expression" dxfId="1214" priority="64">
      <formula>B$9&gt;=20/24</formula>
    </cfRule>
    <cfRule type="expression" dxfId="1213" priority="65">
      <formula>AND(B$9&gt;=14/24,B$9&lt;20/24)</formula>
    </cfRule>
    <cfRule type="expression" dxfId="1212" priority="66">
      <formula>AND(B$9&gt;=8/24,B$9&lt;14/24)</formula>
    </cfRule>
    <cfRule type="expression" dxfId="1211" priority="67">
      <formula>B$9&lt;8/24</formula>
    </cfRule>
  </conditionalFormatting>
  <conditionalFormatting sqref="B11:Z13">
    <cfRule type="expression" dxfId="1210" priority="68">
      <formula>B11&gt;$AG11*1</formula>
    </cfRule>
  </conditionalFormatting>
  <conditionalFormatting sqref="B17:Z53">
    <cfRule type="expression" dxfId="1209" priority="55">
      <formula>B17&gt;$AG17*1</formula>
    </cfRule>
    <cfRule type="expression" dxfId="1208" priority="56">
      <formula>B$9&gt;=20/24</formula>
    </cfRule>
    <cfRule type="expression" dxfId="1207" priority="57">
      <formula>AND(B$9&gt;=14/24,B$9&lt;20/24)</formula>
    </cfRule>
    <cfRule type="expression" dxfId="1206" priority="58">
      <formula>AND(B$9&gt;=8/24,B$9&lt;14/24)</formula>
    </cfRule>
    <cfRule type="expression" dxfId="1205" priority="59">
      <formula>B$9&lt;8/24</formula>
    </cfRule>
  </conditionalFormatting>
  <conditionalFormatting sqref="B54:Z55">
    <cfRule type="expression" dxfId="1204" priority="54">
      <formula>B$9&lt;8/24</formula>
    </cfRule>
  </conditionalFormatting>
  <conditionalFormatting sqref="B54:Z55 B69:Z70">
    <cfRule type="expression" dxfId="1203" priority="51">
      <formula>B$9&gt;=20/24</formula>
    </cfRule>
    <cfRule type="expression" dxfId="1202" priority="52">
      <formula>AND(B$9&gt;=14/24,B$9&lt;20/24)</formula>
    </cfRule>
    <cfRule type="expression" dxfId="1201" priority="53">
      <formula>AND(B$9&gt;=8/24,B$9&lt;14/24)</formula>
    </cfRule>
  </conditionalFormatting>
  <conditionalFormatting sqref="B69:Z70">
    <cfRule type="expression" dxfId="1200" priority="61">
      <formula>B$9&lt;8/24</formula>
    </cfRule>
  </conditionalFormatting>
  <conditionalFormatting sqref="B69:Z69">
    <cfRule type="expression" dxfId="1199" priority="60">
      <formula>B69&gt;$AG69*1</formula>
    </cfRule>
  </conditionalFormatting>
  <conditionalFormatting sqref="B54:Z55 B69:Z70">
    <cfRule type="expression" dxfId="1198" priority="62">
      <formula>B54&gt;$AG54</formula>
    </cfRule>
  </conditionalFormatting>
  <conditionalFormatting sqref="B56:Z68">
    <cfRule type="expression" dxfId="1197" priority="48">
      <formula>B$9&lt;8/24</formula>
    </cfRule>
  </conditionalFormatting>
  <conditionalFormatting sqref="B56:Z68">
    <cfRule type="expression" dxfId="1196" priority="45">
      <formula>B$9&gt;=20/24</formula>
    </cfRule>
    <cfRule type="expression" dxfId="1195" priority="46">
      <formula>AND(B$9&gt;=14/24,B$9&lt;20/24)</formula>
    </cfRule>
    <cfRule type="expression" dxfId="1194" priority="47">
      <formula>AND(B$9&gt;=8/24,B$9&lt;14/24)</formula>
    </cfRule>
  </conditionalFormatting>
  <conditionalFormatting sqref="B63:Z65">
    <cfRule type="expression" dxfId="1193" priority="49">
      <formula>B63&gt;$AG63</formula>
    </cfRule>
  </conditionalFormatting>
  <conditionalFormatting sqref="B56:Z62 B66:Z68">
    <cfRule type="expression" dxfId="1192" priority="50">
      <formula>B56&gt;$AG56</formula>
    </cfRule>
  </conditionalFormatting>
  <conditionalFormatting sqref="B76:Z77">
    <cfRule type="expression" dxfId="1191" priority="37">
      <formula>B$9&gt;=20/24</formula>
    </cfRule>
  </conditionalFormatting>
  <conditionalFormatting sqref="B76:Z77">
    <cfRule type="expression" dxfId="1190" priority="38">
      <formula>AND(B$9&gt;=14/24,B$9&lt;20/24)</formula>
    </cfRule>
    <cfRule type="expression" dxfId="1189" priority="39">
      <formula>AND(B$9&gt;=8/24,B$9&lt;14/24)</formula>
    </cfRule>
    <cfRule type="expression" dxfId="1188" priority="40">
      <formula>B$9&lt;8/24</formula>
    </cfRule>
  </conditionalFormatting>
  <conditionalFormatting sqref="B72:Z75">
    <cfRule type="expression" dxfId="1187" priority="31">
      <formula>B72&gt;$AG72*1</formula>
    </cfRule>
  </conditionalFormatting>
  <conditionalFormatting sqref="B73:Z75">
    <cfRule type="expression" dxfId="1186" priority="32">
      <formula>B$9&gt;=20/24</formula>
    </cfRule>
    <cfRule type="expression" dxfId="1185" priority="33">
      <formula>AND(B$9&gt;=14/24,B$9&lt;20/24)</formula>
    </cfRule>
    <cfRule type="expression" dxfId="1184" priority="34">
      <formula>AND(B$9&gt;=8/24,B$9&lt;14/24)</formula>
    </cfRule>
    <cfRule type="expression" dxfId="1183" priority="35">
      <formula>B$9&lt;8/24</formula>
    </cfRule>
  </conditionalFormatting>
  <conditionalFormatting sqref="B76:Z77">
    <cfRule type="expression" dxfId="1182" priority="36">
      <formula>B76&gt;$AG76*1</formula>
    </cfRule>
  </conditionalFormatting>
  <conditionalFormatting sqref="B72:Z72">
    <cfRule type="expression" dxfId="1181" priority="41">
      <formula>B$9&gt;=20/24</formula>
    </cfRule>
    <cfRule type="expression" dxfId="1180" priority="42">
      <formula>AND(B$9&gt;=14/24,B$9&lt;20/24)</formula>
    </cfRule>
    <cfRule type="expression" dxfId="1179" priority="43">
      <formula>AND(B$9&gt;=8/24,B$9&lt;14/24)</formula>
    </cfRule>
    <cfRule type="expression" dxfId="1178" priority="44">
      <formula>B$9&lt;8/24</formula>
    </cfRule>
  </conditionalFormatting>
  <conditionalFormatting sqref="B85:Z90">
    <cfRule type="expression" dxfId="1177" priority="19">
      <formula>B$9&gt;=20/24</formula>
    </cfRule>
  </conditionalFormatting>
  <conditionalFormatting sqref="B85:Z90">
    <cfRule type="expression" dxfId="1176" priority="20">
      <formula>AND(B$9&gt;=14/24,B$9&lt;20/24)</formula>
    </cfRule>
    <cfRule type="expression" dxfId="1175" priority="21">
      <formula>AND(B$9&gt;=8/24,B$9&lt;14/24)</formula>
    </cfRule>
    <cfRule type="expression" dxfId="1174" priority="22">
      <formula>B$9&lt;8/24</formula>
    </cfRule>
  </conditionalFormatting>
  <conditionalFormatting sqref="B79:Z90">
    <cfRule type="expression" dxfId="1173" priority="18">
      <formula>B79&gt;$AG79*1</formula>
    </cfRule>
  </conditionalFormatting>
  <conditionalFormatting sqref="B84:Z84">
    <cfRule type="expression" dxfId="1172" priority="23">
      <formula>B$9&gt;=20/24</formula>
    </cfRule>
    <cfRule type="expression" dxfId="1171" priority="24">
      <formula>AND(B$9&gt;=14/24,B$9&lt;20/24)</formula>
    </cfRule>
    <cfRule type="expression" dxfId="1170" priority="25">
      <formula>AND(B$9&gt;=8/24,B$9&lt;14/24)</formula>
    </cfRule>
    <cfRule type="expression" dxfId="1169" priority="26">
      <formula>B$9&lt;8/24</formula>
    </cfRule>
  </conditionalFormatting>
  <conditionalFormatting sqref="B80:Z83">
    <cfRule type="expression" dxfId="1168" priority="27">
      <formula>B$9&gt;=20/24</formula>
    </cfRule>
    <cfRule type="expression" dxfId="1167" priority="28">
      <formula>AND(B$9&gt;=14/24,B$9&lt;20/24)</formula>
    </cfRule>
    <cfRule type="expression" dxfId="1166" priority="29">
      <formula>AND(B$9&gt;=8/24,B$9&lt;14/24)</formula>
    </cfRule>
    <cfRule type="expression" dxfId="1165" priority="30">
      <formula>B$9&lt;8/24</formula>
    </cfRule>
  </conditionalFormatting>
  <conditionalFormatting sqref="B79:Z84">
    <cfRule type="expression" dxfId="1164" priority="14">
      <formula>B$9&gt;=20/24</formula>
    </cfRule>
    <cfRule type="expression" dxfId="1163" priority="15">
      <formula>AND(B$9&gt;=14/24,B$9&lt;20/24)</formula>
    </cfRule>
    <cfRule type="expression" dxfId="1162" priority="16">
      <formula>AND(B$9&gt;=8/24,B$9&lt;14/24)</formula>
    </cfRule>
    <cfRule type="expression" dxfId="1161" priority="17">
      <formula>B$9&lt;8/24</formula>
    </cfRule>
  </conditionalFormatting>
  <conditionalFormatting sqref="B93:D95">
    <cfRule type="expression" dxfId="1160" priority="10">
      <formula>B$9&gt;=20/24</formula>
    </cfRule>
  </conditionalFormatting>
  <conditionalFormatting sqref="B93:D95">
    <cfRule type="expression" dxfId="1159" priority="11">
      <formula>AND(B$9&gt;=14/24,B$9&lt;20/24)</formula>
    </cfRule>
    <cfRule type="expression" dxfId="1158" priority="12">
      <formula>AND(B$9&gt;=8/24,B$9&lt;14/24)</formula>
    </cfRule>
    <cfRule type="expression" dxfId="1157" priority="13">
      <formula>B$9&lt;8/24</formula>
    </cfRule>
  </conditionalFormatting>
  <conditionalFormatting sqref="B93:D95">
    <cfRule type="expression" dxfId="1156" priority="9">
      <formula>B93&gt;$AG93*1</formula>
    </cfRule>
  </conditionalFormatting>
  <conditionalFormatting sqref="B126:C133">
    <cfRule type="expression" dxfId="1155" priority="5">
      <formula>B$9&gt;=20/24</formula>
    </cfRule>
  </conditionalFormatting>
  <conditionalFormatting sqref="B126:C133">
    <cfRule type="expression" dxfId="1154" priority="6">
      <formula>AND(B$9&gt;=14/24,B$9&lt;20/24)</formula>
    </cfRule>
    <cfRule type="expression" dxfId="1153" priority="7">
      <formula>AND(B$9&gt;=8/24,B$9&lt;14/24)</formula>
    </cfRule>
    <cfRule type="expression" dxfId="1152" priority="8">
      <formula>B$9&lt;8/24</formula>
    </cfRule>
  </conditionalFormatting>
  <conditionalFormatting sqref="B137:C151">
    <cfRule type="expression" dxfId="1151" priority="1">
      <formula>B$9&gt;=20/24</formula>
    </cfRule>
  </conditionalFormatting>
  <conditionalFormatting sqref="B137:C151">
    <cfRule type="expression" dxfId="1150" priority="2">
      <formula>AND(B$9&gt;=14/24,B$9&lt;20/24)</formula>
    </cfRule>
    <cfRule type="expression" dxfId="1149" priority="3">
      <formula>AND(B$9&gt;=8/24,B$9&lt;14/24)</formula>
    </cfRule>
    <cfRule type="expression" dxfId="1148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Drain Time: 4.75 Hrs)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147" priority="25">
      <formula>$AH11=0</formula>
    </cfRule>
  </conditionalFormatting>
  <conditionalFormatting sqref="A101:A102">
    <cfRule type="expression" dxfId="1146" priority="193">
      <formula>$AH106=0</formula>
    </cfRule>
  </conditionalFormatting>
  <conditionalFormatting sqref="A103:A107">
    <cfRule type="expression" dxfId="1145" priority="141">
      <formula>$AH102=0</formula>
    </cfRule>
  </conditionalFormatting>
  <conditionalFormatting sqref="A160:A167">
    <cfRule type="expression" dxfId="1144" priority="194">
      <formula>$AH267=0</formula>
    </cfRule>
  </conditionalFormatting>
  <conditionalFormatting sqref="A168:A275">
    <cfRule type="expression" dxfId="1143" priority="64">
      <formula>$AH168=0</formula>
    </cfRule>
  </conditionalFormatting>
  <conditionalFormatting sqref="B8">
    <cfRule type="expression" dxfId="1142" priority="189">
      <formula>AND(C$9&gt;=14/24,C$9&lt;20/24)</formula>
    </cfRule>
    <cfRule type="expression" dxfId="1141" priority="190">
      <formula>AND(C$9&gt;=8/24,C$9&lt;14/24)</formula>
    </cfRule>
    <cfRule type="expression" dxfId="1140" priority="191">
      <formula>C$9&lt;8/24</formula>
    </cfRule>
    <cfRule type="expression" dxfId="1139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138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137" priority="107">
      <formula>AND(B$9&gt;=14/24,B$9&lt;20/24)</formula>
    </cfRule>
    <cfRule type="expression" dxfId="1136" priority="108">
      <formula>AND(B$9&gt;=8/24,B$9&lt;14/24)</formula>
    </cfRule>
    <cfRule type="expression" dxfId="1135" priority="109">
      <formula>B$9&lt;8/24</formula>
    </cfRule>
  </conditionalFormatting>
  <conditionalFormatting sqref="B29:Y53 Z14:AF53">
    <cfRule type="expression" dxfId="1134" priority="49">
      <formula>B14&gt;$AG14*1</formula>
    </cfRule>
    <cfRule type="expression" dxfId="1133" priority="50">
      <formula>B$9&gt;=20/24</formula>
    </cfRule>
    <cfRule type="expression" dxfId="1132" priority="51">
      <formula>AND(B$9&gt;=14/24,B$9&lt;20/24)</formula>
    </cfRule>
    <cfRule type="expression" dxfId="1131" priority="52">
      <formula>AND(B$9&gt;=8/24,B$9&lt;14/24)</formula>
    </cfRule>
    <cfRule type="expression" dxfId="1130" priority="53">
      <formula>B$9&lt;8/24</formula>
    </cfRule>
  </conditionalFormatting>
  <conditionalFormatting sqref="B54:AF68">
    <cfRule type="expression" dxfId="1129" priority="42">
      <formula>B$9&lt;8/24</formula>
    </cfRule>
  </conditionalFormatting>
  <conditionalFormatting sqref="B54:AF70">
    <cfRule type="expression" dxfId="1128" priority="39">
      <formula>B$9&gt;=20/24</formula>
    </cfRule>
    <cfRule type="expression" dxfId="1127" priority="40">
      <formula>AND(B$9&gt;=14/24,B$9&lt;20/24)</formula>
    </cfRule>
    <cfRule type="expression" dxfId="1126" priority="41">
      <formula>AND(B$9&gt;=8/24,B$9&lt;14/24)</formula>
    </cfRule>
  </conditionalFormatting>
  <conditionalFormatting sqref="B63:AF65">
    <cfRule type="expression" dxfId="1125" priority="43">
      <formula>B63&gt;$AG63</formula>
    </cfRule>
  </conditionalFormatting>
  <conditionalFormatting sqref="B69:AF70">
    <cfRule type="expression" dxfId="1124" priority="114">
      <formula>B$9&lt;8/24</formula>
    </cfRule>
  </conditionalFormatting>
  <conditionalFormatting sqref="B72:AF75">
    <cfRule type="expression" dxfId="1123" priority="30">
      <formula>B72&gt;$AG72*1</formula>
    </cfRule>
  </conditionalFormatting>
  <conditionalFormatting sqref="B73:AF75">
    <cfRule type="expression" dxfId="1122" priority="31">
      <formula>B$9&gt;=20/24</formula>
    </cfRule>
    <cfRule type="expression" dxfId="1121" priority="32">
      <formula>AND(B$9&gt;=14/24,B$9&lt;20/24)</formula>
    </cfRule>
    <cfRule type="expression" dxfId="1120" priority="33">
      <formula>AND(B$9&gt;=8/24,B$9&lt;14/24)</formula>
    </cfRule>
    <cfRule type="expression" dxfId="1119" priority="34">
      <formula>B$9&lt;8/24</formula>
    </cfRule>
  </conditionalFormatting>
  <conditionalFormatting sqref="C161:AF167">
    <cfRule type="expression" dxfId="1118" priority="65">
      <formula>C$9&gt;=20/24</formula>
    </cfRule>
    <cfRule type="expression" dxfId="1117" priority="66">
      <formula>AND(C$9&gt;=14/24,C$9&lt;20/24)</formula>
    </cfRule>
    <cfRule type="expression" dxfId="1116" priority="67">
      <formula>AND(C$9&gt;=8/24,C$9&lt;14/24)</formula>
    </cfRule>
    <cfRule type="expression" dxfId="1115" priority="68">
      <formula>C$9&lt;8/24</formula>
    </cfRule>
  </conditionalFormatting>
  <conditionalFormatting sqref="C169:AF274">
    <cfRule type="expression" dxfId="1114" priority="26">
      <formula>C$9&gt;=20/24</formula>
    </cfRule>
    <cfRule type="expression" dxfId="1113" priority="27">
      <formula>AND(C$9&gt;=14/24,C$9&lt;20/24)</formula>
    </cfRule>
    <cfRule type="expression" dxfId="1112" priority="28">
      <formula>AND(C$9&gt;=8/24,C$9&lt;14/24)</formula>
    </cfRule>
    <cfRule type="expression" dxfId="1111" priority="29">
      <formula>C$9&lt;8/24</formula>
    </cfRule>
  </conditionalFormatting>
  <conditionalFormatting sqref="AA70 AG96 B71:AA71 B69:AA69 AG78 AG71 AB69:AF71 B76:AF96 Z11:AF13">
    <cfRule type="expression" dxfId="1110" priority="105">
      <formula>B11&gt;$AG11*1</formula>
    </cfRule>
  </conditionalFormatting>
  <conditionalFormatting sqref="F79:Y83">
    <cfRule type="expression" dxfId="1109" priority="115">
      <formula>F$9&gt;=20/24</formula>
    </cfRule>
    <cfRule type="expression" dxfId="1108" priority="116">
      <formula>AND(F$9&gt;=14/24,F$9&lt;20/24)</formula>
    </cfRule>
    <cfRule type="expression" dxfId="1107" priority="117">
      <formula>AND(F$9&gt;=8/24,F$9&lt;14/24)</formula>
    </cfRule>
    <cfRule type="expression" dxfId="1106" priority="118">
      <formula>F$9&lt;8/24</formula>
    </cfRule>
  </conditionalFormatting>
  <conditionalFormatting sqref="F84:Y84">
    <cfRule type="expression" dxfId="1105" priority="110">
      <formula>F$9&gt;=20/24</formula>
    </cfRule>
    <cfRule type="expression" dxfId="1104" priority="111">
      <formula>AND(F$9&gt;=14/24,F$9&lt;20/24)</formula>
    </cfRule>
    <cfRule type="expression" dxfId="1103" priority="112">
      <formula>AND(F$9&gt;=8/24,F$9&lt;14/24)</formula>
    </cfRule>
    <cfRule type="expression" dxfId="1102" priority="113">
      <formula>F$9&lt;8/24</formula>
    </cfRule>
  </conditionalFormatting>
  <conditionalFormatting sqref="F78:AC78 Z76:AC77 B72:AF72 AD76:AF78">
    <cfRule type="expression" dxfId="1101" priority="125">
      <formula>B$9&gt;=20/24</formula>
    </cfRule>
    <cfRule type="expression" dxfId="1100" priority="126">
      <formula>AND(B$9&gt;=14/24,B$9&lt;20/24)</formula>
    </cfRule>
    <cfRule type="expression" dxfId="1099" priority="127">
      <formula>AND(B$9&gt;=8/24,B$9&lt;14/24)</formula>
    </cfRule>
    <cfRule type="expression" dxfId="1098" priority="128">
      <formula>B$9&lt;8/24</formula>
    </cfRule>
  </conditionalFormatting>
  <conditionalFormatting sqref="Z73:AF75">
    <cfRule type="expression" dxfId="1097" priority="35">
      <formula>Z$9&gt;=20/24</formula>
    </cfRule>
    <cfRule type="expression" dxfId="1096" priority="36">
      <formula>AND(Z$9&gt;=14/24,Z$9&lt;20/24)</formula>
    </cfRule>
    <cfRule type="expression" dxfId="1095" priority="37">
      <formula>AND(Z$9&gt;=8/24,Z$9&lt;14/24)</formula>
    </cfRule>
    <cfRule type="expression" dxfId="1094" priority="38">
      <formula>Z$9&lt;8/24</formula>
    </cfRule>
  </conditionalFormatting>
  <conditionalFormatting sqref="F79:Y81">
    <cfRule type="expression" dxfId="1093" priority="133">
      <formula>F$9&gt;=20/24</formula>
    </cfRule>
    <cfRule type="expression" dxfId="1092" priority="134">
      <formula>AND(F$9&gt;=14/24,F$9&lt;20/24)</formula>
    </cfRule>
    <cfRule type="expression" dxfId="1091" priority="135">
      <formula>AND(F$9&gt;=8/24,F$9&lt;14/24)</formula>
    </cfRule>
    <cfRule type="expression" dxfId="1090" priority="136">
      <formula>F$9&lt;8/24</formula>
    </cfRule>
  </conditionalFormatting>
  <conditionalFormatting sqref="L84:AF84">
    <cfRule type="expression" dxfId="1089" priority="129">
      <formula>L$9&gt;=20/24</formula>
    </cfRule>
    <cfRule type="expression" dxfId="1088" priority="130">
      <formula>AND(L$9&gt;=14/24,L$9&lt;20/24)</formula>
    </cfRule>
    <cfRule type="expression" dxfId="1087" priority="131">
      <formula>AND(L$9&gt;=8/24,L$9&lt;14/24)</formula>
    </cfRule>
    <cfRule type="expression" dxfId="1086" priority="132">
      <formula>L$9&lt;8/24</formula>
    </cfRule>
  </conditionalFormatting>
  <conditionalFormatting sqref="M8 S8 AB8">
    <cfRule type="expression" dxfId="1085" priority="182">
      <formula>AND(N$9&gt;=14/24,N$9&lt;20/24)</formula>
    </cfRule>
    <cfRule type="expression" dxfId="1084" priority="183">
      <formula>AND(N$9&gt;=8/24,N$9&lt;14/24)</formula>
    </cfRule>
    <cfRule type="expression" dxfId="1083" priority="184">
      <formula>N$9&lt;8/24</formula>
    </cfRule>
  </conditionalFormatting>
  <conditionalFormatting sqref="R79:Y83 Z80:AF83">
    <cfRule type="expression" dxfId="1082" priority="137">
      <formula>R$9&gt;=20/24</formula>
    </cfRule>
    <cfRule type="expression" dxfId="1081" priority="138">
      <formula>AND(R$9&gt;=14/24,R$9&lt;20/24)</formula>
    </cfRule>
    <cfRule type="expression" dxfId="1080" priority="139">
      <formula>AND(R$9&gt;=8/24,R$9&lt;14/24)</formula>
    </cfRule>
    <cfRule type="expression" dxfId="1079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78" priority="181">
      <formula>N$9&gt;=20/24</formula>
    </cfRule>
  </conditionalFormatting>
  <conditionalFormatting sqref="S8">
    <cfRule type="expression" dxfId="1077" priority="172">
      <formula>U$9&gt;=20/24</formula>
    </cfRule>
    <cfRule type="expression" dxfId="1076" priority="173">
      <formula>AND(U$9&gt;=14/24,U$9&lt;20/24)</formula>
    </cfRule>
    <cfRule type="expression" dxfId="1075" priority="174">
      <formula>AND(U$9&gt;=8/24,U$9&lt;14/24)</formula>
    </cfRule>
    <cfRule type="expression" dxfId="1074" priority="175">
      <formula>U$9&lt;8/24</formula>
    </cfRule>
  </conditionalFormatting>
  <conditionalFormatting sqref="Z79:AF84">
    <cfRule type="expression" dxfId="1073" priority="59">
      <formula>Z$9&gt;=20/24</formula>
    </cfRule>
    <cfRule type="expression" dxfId="1072" priority="60">
      <formula>AND(Z$9&gt;=14/24,Z$9&lt;20/24)</formula>
    </cfRule>
    <cfRule type="expression" dxfId="1071" priority="61">
      <formula>AND(Z$9&gt;=8/24,Z$9&lt;14/24)</formula>
    </cfRule>
    <cfRule type="expression" dxfId="1070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069" priority="44">
      <formula>Z$9&gt;=20/24</formula>
    </cfRule>
    <cfRule type="expression" dxfId="1068" priority="45">
      <formula>AND(Z$9&gt;=14/24,Z$9&lt;20/24)</formula>
    </cfRule>
    <cfRule type="expression" dxfId="1067" priority="46">
      <formula>AND(Z$9&gt;=8/24,Z$9&lt;14/24)</formula>
    </cfRule>
    <cfRule type="expression" dxfId="1066" priority="47">
      <formula>Z$9&lt;8/24</formula>
    </cfRule>
  </conditionalFormatting>
  <conditionalFormatting sqref="Z69:Z70">
    <cfRule type="expression" dxfId="1065" priority="124">
      <formula>Z69&gt;$AG69</formula>
    </cfRule>
  </conditionalFormatting>
  <conditionalFormatting sqref="B66:Y70 B54:AF62 Z66:AF69">
    <cfRule type="expression" dxfId="1064" priority="119">
      <formula>B54&gt;$AG54</formula>
    </cfRule>
  </conditionalFormatting>
  <conditionalFormatting sqref="AB8">
    <cfRule type="expression" dxfId="1063" priority="168">
      <formula>AD$9&gt;=20/24</formula>
    </cfRule>
    <cfRule type="expression" dxfId="1062" priority="169">
      <formula>AND(AD$9&gt;=14/24,AD$9&lt;20/24)</formula>
    </cfRule>
    <cfRule type="expression" dxfId="1061" priority="170">
      <formula>AND(AD$9&gt;=8/24,AD$9&lt;14/24)</formula>
    </cfRule>
    <cfRule type="expression" dxfId="1060" priority="171">
      <formula>AD$9&lt;8/24</formula>
    </cfRule>
  </conditionalFormatting>
  <conditionalFormatting sqref="AG78">
    <cfRule type="expression" dxfId="1054" priority="147">
      <formula>AG$9&gt;=20/24</formula>
    </cfRule>
    <cfRule type="expression" dxfId="1053" priority="148">
      <formula>AND(AG$9&gt;=14/24,AG$9&lt;20/24)</formula>
    </cfRule>
    <cfRule type="expression" dxfId="1052" priority="149">
      <formula>AND(AG$9&gt;=8/24,AG$9&lt;14/24)</formula>
    </cfRule>
    <cfRule type="expression" dxfId="1051" priority="150">
      <formula>AG$9&lt;8/24</formula>
    </cfRule>
  </conditionalFormatting>
  <conditionalFormatting sqref="AG91:AG92">
    <cfRule type="expression" dxfId="1050" priority="142">
      <formula>AG91&gt;$AG91</formula>
    </cfRule>
  </conditionalFormatting>
  <conditionalFormatting sqref="AG96">
    <cfRule type="expression" dxfId="1049" priority="143">
      <formula>AG$9&gt;=20/24</formula>
    </cfRule>
    <cfRule type="expression" dxfId="1048" priority="144">
      <formula>AND(AG$9&gt;=14/24,AG$9&lt;20/24)</formula>
    </cfRule>
    <cfRule type="expression" dxfId="1047" priority="145">
      <formula>AND(AG$9&gt;=8/24,AG$9&lt;14/24)</formula>
    </cfRule>
    <cfRule type="expression" dxfId="1046" priority="146">
      <formula>AG$9&lt;8/24</formula>
    </cfRule>
  </conditionalFormatting>
  <conditionalFormatting sqref="AG113">
    <cfRule type="expression" dxfId="1045" priority="164">
      <formula>AG$9&gt;=20/24</formula>
    </cfRule>
    <cfRule type="expression" dxfId="1044" priority="165">
      <formula>AND(AG$9&gt;=14/24,AG$9&lt;20/24)</formula>
    </cfRule>
    <cfRule type="expression" dxfId="1043" priority="166">
      <formula>AND(AG$9&gt;=8/24,AG$9&lt;14/24)</formula>
    </cfRule>
    <cfRule type="expression" dxfId="1042" priority="167">
      <formula>AG$9&lt;8/24</formula>
    </cfRule>
  </conditionalFormatting>
  <conditionalFormatting sqref="AH8:AI10">
    <cfRule type="expression" dxfId="1041" priority="55">
      <formula>AH$9&gt;=20/24</formula>
    </cfRule>
    <cfRule type="expression" dxfId="1040" priority="56">
      <formula>AND(AH$9&gt;=14/24,AH$9&lt;20/24)</formula>
    </cfRule>
    <cfRule type="expression" dxfId="1039" priority="57">
      <formula>AND(AH$9&gt;=8/24,AH$9&lt;14/24)</formula>
    </cfRule>
    <cfRule type="expression" dxfId="1038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37" priority="185">
      <formula>AJ$9&gt;=20/24</formula>
    </cfRule>
    <cfRule type="expression" dxfId="1036" priority="186">
      <formula>AND(AJ$9&gt;=14/24,AJ$9&lt;20/24)</formula>
    </cfRule>
    <cfRule type="expression" dxfId="1035" priority="187">
      <formula>AND(AJ$9&gt;=8/24,AJ$9&lt;14/24)</formula>
    </cfRule>
    <cfRule type="expression" dxfId="1034" priority="188">
      <formula>AJ$9&lt;8/24</formula>
    </cfRule>
  </conditionalFormatting>
  <conditionalFormatting sqref="AL99:AN99 AL105:AN105">
    <cfRule type="expression" dxfId="1033" priority="157">
      <formula>AL$9&gt;=20/24</formula>
    </cfRule>
    <cfRule type="expression" dxfId="1032" priority="158">
      <formula>AND(AL$9&gt;=14/24,AL$9&lt;20/24)</formula>
    </cfRule>
    <cfRule type="expression" dxfId="1031" priority="159">
      <formula>AND(AL$9&gt;=8/24,AL$9&lt;14/24)</formula>
    </cfRule>
    <cfRule type="expression" dxfId="1030" priority="160">
      <formula>AL$9&lt;8/24</formula>
    </cfRule>
  </conditionalFormatting>
  <conditionalFormatting sqref="AM15:AM21 AN16:AR21">
    <cfRule type="expression" dxfId="1029" priority="81">
      <formula>AX$9&gt;=20/24</formula>
    </cfRule>
    <cfRule type="expression" dxfId="1028" priority="82">
      <formula>AND(AX$9&gt;=14/24,AX$9&lt;20/24)</formula>
    </cfRule>
    <cfRule type="expression" dxfId="1027" priority="83">
      <formula>AND(AX$9&gt;=8/24,AX$9&lt;14/24)</formula>
    </cfRule>
    <cfRule type="expression" dxfId="1026" priority="84">
      <formula>AX$9&lt;8/24</formula>
    </cfRule>
  </conditionalFormatting>
  <conditionalFormatting sqref="AN100:AN103">
    <cfRule type="expression" dxfId="1025" priority="153">
      <formula>AN$9&gt;=20/24</formula>
    </cfRule>
    <cfRule type="expression" dxfId="1024" priority="154">
      <formula>AND(AN$9&gt;=14/24,AN$9&lt;20/24)</formula>
    </cfRule>
    <cfRule type="expression" dxfId="1023" priority="155">
      <formula>AND(AN$9&gt;=8/24,AN$9&lt;14/24)</formula>
    </cfRule>
    <cfRule type="expression" dxfId="1022" priority="156">
      <formula>AN$9&lt;8/24</formula>
    </cfRule>
  </conditionalFormatting>
  <conditionalFormatting sqref="AN15:AR15">
    <cfRule type="expression" dxfId="1021" priority="69">
      <formula>U$9&gt;=20/24</formula>
    </cfRule>
    <cfRule type="expression" dxfId="1020" priority="70">
      <formula>AND(U$9&gt;=14/24,U$9&lt;20/24)</formula>
    </cfRule>
    <cfRule type="expression" dxfId="1019" priority="71">
      <formula>AND(U$9&gt;=8/24,U$9&lt;14/24)</formula>
    </cfRule>
    <cfRule type="expression" dxfId="1018" priority="72">
      <formula>U$9&lt;8/24</formula>
    </cfRule>
  </conditionalFormatting>
  <conditionalFormatting sqref="AS15">
    <cfRule type="expression" dxfId="1017" priority="77">
      <formula>AA$9&gt;=20/24</formula>
    </cfRule>
    <cfRule type="expression" dxfId="1016" priority="78">
      <formula>AND(AA$9&gt;=14/24,AA$9&lt;20/24)</formula>
    </cfRule>
    <cfRule type="expression" dxfId="1015" priority="79">
      <formula>AND(AA$9&gt;=8/24,AA$9&lt;14/24)</formula>
    </cfRule>
    <cfRule type="expression" dxfId="1014" priority="80">
      <formula>AA$9&lt;8/24</formula>
    </cfRule>
  </conditionalFormatting>
  <conditionalFormatting sqref="AS16:AS21">
    <cfRule type="expression" dxfId="1013" priority="85">
      <formula>BE$9&gt;=20/24</formula>
    </cfRule>
    <cfRule type="expression" dxfId="1012" priority="86">
      <formula>AND(BE$9&gt;=14/24,BE$9&lt;20/24)</formula>
    </cfRule>
    <cfRule type="expression" dxfId="1011" priority="87">
      <formula>AND(BE$9&gt;=8/24,BE$9&lt;14/24)</formula>
    </cfRule>
    <cfRule type="expression" dxfId="1010" priority="88">
      <formula>BE$9&lt;8/24</formula>
    </cfRule>
  </conditionalFormatting>
  <conditionalFormatting sqref="AT15 AX15:BJ15">
    <cfRule type="expression" dxfId="1009" priority="89">
      <formula>AC$9&gt;=20/24</formula>
    </cfRule>
    <cfRule type="expression" dxfId="1008" priority="90">
      <formula>AND(AC$9&gt;=14/24,AC$9&lt;20/24)</formula>
    </cfRule>
    <cfRule type="expression" dxfId="1007" priority="91">
      <formula>AND(AC$9&gt;=8/24,AC$9&lt;14/24)</formula>
    </cfRule>
    <cfRule type="expression" dxfId="1006" priority="92">
      <formula>AC$9&lt;8/24</formula>
    </cfRule>
  </conditionalFormatting>
  <conditionalFormatting sqref="AT16:AT21">
    <cfRule type="expression" dxfId="1005" priority="93">
      <formula>BG$9&gt;=20/24</formula>
    </cfRule>
    <cfRule type="expression" dxfId="1004" priority="94">
      <formula>AND(BG$9&gt;=14/24,BG$9&lt;20/24)</formula>
    </cfRule>
    <cfRule type="expression" dxfId="1003" priority="95">
      <formula>AND(BG$9&gt;=8/24,BG$9&lt;14/24)</formula>
    </cfRule>
    <cfRule type="expression" dxfId="1002" priority="96">
      <formula>BG$9&lt;8/24</formula>
    </cfRule>
  </conditionalFormatting>
  <conditionalFormatting sqref="AU15:AV15">
    <cfRule type="expression" dxfId="1001" priority="97">
      <formula>AE$9&gt;=20/24</formula>
    </cfRule>
    <cfRule type="expression" dxfId="1000" priority="98">
      <formula>AND(AE$9&gt;=14/24,AE$9&lt;20/24)</formula>
    </cfRule>
    <cfRule type="expression" dxfId="999" priority="99">
      <formula>AND(AE$9&gt;=8/24,AE$9&lt;14/24)</formula>
    </cfRule>
    <cfRule type="expression" dxfId="998" priority="100">
      <formula>AE$9&lt;8/24</formula>
    </cfRule>
  </conditionalFormatting>
  <conditionalFormatting sqref="AU16:BJ21">
    <cfRule type="expression" dxfId="997" priority="101">
      <formula>BI$9&gt;=20/24</formula>
    </cfRule>
    <cfRule type="expression" dxfId="996" priority="102">
      <formula>AND(BI$9&gt;=14/24,BI$9&lt;20/24)</formula>
    </cfRule>
    <cfRule type="expression" dxfId="995" priority="103">
      <formula>AND(BI$9&gt;=8/24,BI$9&lt;14/24)</formula>
    </cfRule>
    <cfRule type="expression" dxfId="994" priority="104">
      <formula>BI$9&lt;8/24</formula>
    </cfRule>
  </conditionalFormatting>
  <conditionalFormatting sqref="AW15">
    <cfRule type="expression" dxfId="993" priority="73">
      <formula>B$9&gt;=20/24</formula>
    </cfRule>
    <cfRule type="expression" dxfId="992" priority="74">
      <formula>AND(B$9&gt;=14/24,B$9&lt;20/24)</formula>
    </cfRule>
    <cfRule type="expression" dxfId="991" priority="75">
      <formula>AND(B$9&gt;=8/24,B$9&lt;14/24)</formula>
    </cfRule>
    <cfRule type="expression" dxfId="990" priority="76">
      <formula>B$9&lt;8/24</formula>
    </cfRule>
  </conditionalFormatting>
  <conditionalFormatting sqref="A73">
    <cfRule type="expression" dxfId="989" priority="24">
      <formula>$AH73=0</formula>
    </cfRule>
  </conditionalFormatting>
  <conditionalFormatting sqref="B97:B107 B137:B152 B109:B112 B125:B134 B154:B159 C137:E151 C126:Q133 B11:Y13">
    <cfRule type="expression" dxfId="988" priority="20">
      <formula>B$9&gt;=20/24</formula>
    </cfRule>
  </conditionalFormatting>
  <conditionalFormatting sqref="B97:B107 B137:B152 B109:B112 B125:B134 B154:B159 C137:E151 C126:Q133 B11:Y13">
    <cfRule type="expression" dxfId="987" priority="21">
      <formula>AND(B$9&gt;=14/24,B$9&lt;20/24)</formula>
    </cfRule>
    <cfRule type="expression" dxfId="986" priority="22">
      <formula>AND(B$9&gt;=8/24,B$9&lt;14/24)</formula>
    </cfRule>
    <cfRule type="expression" dxfId="985" priority="23">
      <formula>B$9&lt;8/24</formula>
    </cfRule>
  </conditionalFormatting>
  <conditionalFormatting sqref="B14:Y28">
    <cfRule type="expression" dxfId="984" priority="10">
      <formula>B14&gt;$AG14*1</formula>
    </cfRule>
    <cfRule type="expression" dxfId="983" priority="11">
      <formula>B$9&gt;=20/24</formula>
    </cfRule>
    <cfRule type="expression" dxfId="982" priority="12">
      <formula>AND(B$9&gt;=14/24,B$9&lt;20/24)</formula>
    </cfRule>
    <cfRule type="expression" dxfId="981" priority="13">
      <formula>AND(B$9&gt;=8/24,B$9&lt;14/24)</formula>
    </cfRule>
    <cfRule type="expression" dxfId="980" priority="14">
      <formula>B$9&lt;8/24</formula>
    </cfRule>
  </conditionalFormatting>
  <conditionalFormatting sqref="B161:B167">
    <cfRule type="expression" dxfId="979" priority="15">
      <formula>B$9&gt;=20/24</formula>
    </cfRule>
    <cfRule type="expression" dxfId="978" priority="16">
      <formula>AND(B$9&gt;=14/24,B$9&lt;20/24)</formula>
    </cfRule>
    <cfRule type="expression" dxfId="977" priority="17">
      <formula>AND(B$9&gt;=8/24,B$9&lt;14/24)</formula>
    </cfRule>
    <cfRule type="expression" dxfId="976" priority="18">
      <formula>B$9&lt;8/24</formula>
    </cfRule>
  </conditionalFormatting>
  <conditionalFormatting sqref="B169:B274">
    <cfRule type="expression" dxfId="975" priority="6">
      <formula>B$9&gt;=20/24</formula>
    </cfRule>
    <cfRule type="expression" dxfId="974" priority="7">
      <formula>AND(B$9&gt;=14/24,B$9&lt;20/24)</formula>
    </cfRule>
    <cfRule type="expression" dxfId="973" priority="8">
      <formula>AND(B$9&gt;=8/24,B$9&lt;14/24)</formula>
    </cfRule>
    <cfRule type="expression" dxfId="972" priority="9">
      <formula>B$9&lt;8/24</formula>
    </cfRule>
  </conditionalFormatting>
  <conditionalFormatting sqref="B11:Y13">
    <cfRule type="expression" dxfId="971" priority="19">
      <formula>B11&gt;$AG11*1</formula>
    </cfRule>
  </conditionalFormatting>
  <conditionalFormatting sqref="A153">
    <cfRule type="expression" dxfId="970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69" priority="1">
      <formula>AL$9&gt;=20/24</formula>
    </cfRule>
  </conditionalFormatting>
  <conditionalFormatting sqref="AL153">
    <cfRule type="expression" dxfId="968" priority="2">
      <formula>AND(AL$9&gt;=14/24,AL$9&lt;20/24)</formula>
    </cfRule>
    <cfRule type="expression" dxfId="967" priority="3">
      <formula>AND(AL$9&gt;=8/24,AL$9&lt;14/24)</formula>
    </cfRule>
    <cfRule type="expression" dxfId="966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3.26 Hrs)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65" priority="25">
      <formula>$AH11=0</formula>
    </cfRule>
  </conditionalFormatting>
  <conditionalFormatting sqref="A101:A102">
    <cfRule type="expression" dxfId="964" priority="193">
      <formula>$AH106=0</formula>
    </cfRule>
  </conditionalFormatting>
  <conditionalFormatting sqref="A103:A107">
    <cfRule type="expression" dxfId="963" priority="141">
      <formula>$AH102=0</formula>
    </cfRule>
  </conditionalFormatting>
  <conditionalFormatting sqref="A160:A167">
    <cfRule type="expression" dxfId="962" priority="194">
      <formula>$AH267=0</formula>
    </cfRule>
  </conditionalFormatting>
  <conditionalFormatting sqref="A168:A275">
    <cfRule type="expression" dxfId="961" priority="64">
      <formula>$AH168=0</formula>
    </cfRule>
  </conditionalFormatting>
  <conditionalFormatting sqref="B8">
    <cfRule type="expression" dxfId="960" priority="189">
      <formula>AND(C$9&gt;=14/24,C$9&lt;20/24)</formula>
    </cfRule>
    <cfRule type="expression" dxfId="959" priority="190">
      <formula>AND(C$9&gt;=8/24,C$9&lt;14/24)</formula>
    </cfRule>
    <cfRule type="expression" dxfId="958" priority="191">
      <formula>C$9&lt;8/24</formula>
    </cfRule>
    <cfRule type="expression" dxfId="957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956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955" priority="107">
      <formula>AND(B$9&gt;=14/24,B$9&lt;20/24)</formula>
    </cfRule>
    <cfRule type="expression" dxfId="954" priority="108">
      <formula>AND(B$9&gt;=8/24,B$9&lt;14/24)</formula>
    </cfRule>
    <cfRule type="expression" dxfId="953" priority="109">
      <formula>B$9&lt;8/24</formula>
    </cfRule>
  </conditionalFormatting>
  <conditionalFormatting sqref="B29:AF53">
    <cfRule type="expression" dxfId="952" priority="49">
      <formula>B29&gt;$AG29*1</formula>
    </cfRule>
    <cfRule type="expression" dxfId="951" priority="50">
      <formula>B$9&gt;=20/24</formula>
    </cfRule>
    <cfRule type="expression" dxfId="950" priority="51">
      <formula>AND(B$9&gt;=14/24,B$9&lt;20/24)</formula>
    </cfRule>
    <cfRule type="expression" dxfId="949" priority="52">
      <formula>AND(B$9&gt;=8/24,B$9&lt;14/24)</formula>
    </cfRule>
    <cfRule type="expression" dxfId="948" priority="53">
      <formula>B$9&lt;8/24</formula>
    </cfRule>
  </conditionalFormatting>
  <conditionalFormatting sqref="B54:AF68">
    <cfRule type="expression" dxfId="947" priority="42">
      <formula>B$9&lt;8/24</formula>
    </cfRule>
  </conditionalFormatting>
  <conditionalFormatting sqref="B54:AF70">
    <cfRule type="expression" dxfId="946" priority="39">
      <formula>B$9&gt;=20/24</formula>
    </cfRule>
    <cfRule type="expression" dxfId="945" priority="40">
      <formula>AND(B$9&gt;=14/24,B$9&lt;20/24)</formula>
    </cfRule>
    <cfRule type="expression" dxfId="944" priority="41">
      <formula>AND(B$9&gt;=8/24,B$9&lt;14/24)</formula>
    </cfRule>
  </conditionalFormatting>
  <conditionalFormatting sqref="B63:AF65">
    <cfRule type="expression" dxfId="943" priority="43">
      <formula>B63&gt;$AG63</formula>
    </cfRule>
  </conditionalFormatting>
  <conditionalFormatting sqref="B69:AF70">
    <cfRule type="expression" dxfId="942" priority="114">
      <formula>B$9&lt;8/24</formula>
    </cfRule>
  </conditionalFormatting>
  <conditionalFormatting sqref="B72:AF75">
    <cfRule type="expression" dxfId="941" priority="30">
      <formula>B72&gt;$AG72*1</formula>
    </cfRule>
  </conditionalFormatting>
  <conditionalFormatting sqref="B73:AF75">
    <cfRule type="expression" dxfId="940" priority="31">
      <formula>B$9&gt;=20/24</formula>
    </cfRule>
    <cfRule type="expression" dxfId="939" priority="32">
      <formula>AND(B$9&gt;=14/24,B$9&lt;20/24)</formula>
    </cfRule>
    <cfRule type="expression" dxfId="938" priority="33">
      <formula>AND(B$9&gt;=8/24,B$9&lt;14/24)</formula>
    </cfRule>
    <cfRule type="expression" dxfId="937" priority="34">
      <formula>B$9&lt;8/24</formula>
    </cfRule>
  </conditionalFormatting>
  <conditionalFormatting sqref="C161:AF167">
    <cfRule type="expression" dxfId="936" priority="65">
      <formula>C$9&gt;=20/24</formula>
    </cfRule>
    <cfRule type="expression" dxfId="935" priority="66">
      <formula>AND(C$9&gt;=14/24,C$9&lt;20/24)</formula>
    </cfRule>
    <cfRule type="expression" dxfId="934" priority="67">
      <formula>AND(C$9&gt;=8/24,C$9&lt;14/24)</formula>
    </cfRule>
    <cfRule type="expression" dxfId="933" priority="68">
      <formula>C$9&lt;8/24</formula>
    </cfRule>
  </conditionalFormatting>
  <conditionalFormatting sqref="C169:AF274">
    <cfRule type="expression" dxfId="932" priority="26">
      <formula>C$9&gt;=20/24</formula>
    </cfRule>
    <cfRule type="expression" dxfId="931" priority="27">
      <formula>AND(C$9&gt;=14/24,C$9&lt;20/24)</formula>
    </cfRule>
    <cfRule type="expression" dxfId="930" priority="28">
      <formula>AND(C$9&gt;=8/24,C$9&lt;14/24)</formula>
    </cfRule>
    <cfRule type="expression" dxfId="929" priority="29">
      <formula>C$9&lt;8/24</formula>
    </cfRule>
  </conditionalFormatting>
  <conditionalFormatting sqref="AG78 AG96 B71:AG71 B69:AF69 B76:AF96">
    <cfRule type="expression" dxfId="928" priority="105">
      <formula>B69&gt;$AG69*1</formula>
    </cfRule>
  </conditionalFormatting>
  <conditionalFormatting sqref="G79:AF83">
    <cfRule type="expression" dxfId="927" priority="115">
      <formula>G$9&gt;=20/24</formula>
    </cfRule>
    <cfRule type="expression" dxfId="926" priority="116">
      <formula>AND(G$9&gt;=14/24,G$9&lt;20/24)</formula>
    </cfRule>
    <cfRule type="expression" dxfId="925" priority="117">
      <formula>AND(G$9&gt;=8/24,G$9&lt;14/24)</formula>
    </cfRule>
    <cfRule type="expression" dxfId="924" priority="118">
      <formula>G$9&lt;8/24</formula>
    </cfRule>
  </conditionalFormatting>
  <conditionalFormatting sqref="G84:AF84">
    <cfRule type="expression" dxfId="923" priority="110">
      <formula>G$9&gt;=20/24</formula>
    </cfRule>
    <cfRule type="expression" dxfId="922" priority="111">
      <formula>AND(G$9&gt;=14/24,G$9&lt;20/24)</formula>
    </cfRule>
    <cfRule type="expression" dxfId="921" priority="112">
      <formula>AND(G$9&gt;=8/24,G$9&lt;14/24)</formula>
    </cfRule>
    <cfRule type="expression" dxfId="920" priority="113">
      <formula>G$9&lt;8/24</formula>
    </cfRule>
  </conditionalFormatting>
  <conditionalFormatting sqref="G78:AF78 B72:AF72">
    <cfRule type="expression" dxfId="919" priority="125">
      <formula>B$9&gt;=20/24</formula>
    </cfRule>
    <cfRule type="expression" dxfId="918" priority="126">
      <formula>AND(B$9&gt;=14/24,B$9&lt;20/24)</formula>
    </cfRule>
    <cfRule type="expression" dxfId="917" priority="127">
      <formula>AND(B$9&gt;=8/24,B$9&lt;14/24)</formula>
    </cfRule>
    <cfRule type="expression" dxfId="916" priority="128">
      <formula>B$9&lt;8/24</formula>
    </cfRule>
  </conditionalFormatting>
  <conditionalFormatting sqref="G79:AF81">
    <cfRule type="expression" dxfId="911" priority="133">
      <formula>G$9&gt;=20/24</formula>
    </cfRule>
    <cfRule type="expression" dxfId="910" priority="134">
      <formula>AND(G$9&gt;=14/24,G$9&lt;20/24)</formula>
    </cfRule>
    <cfRule type="expression" dxfId="909" priority="135">
      <formula>AND(G$9&gt;=8/24,G$9&lt;14/24)</formula>
    </cfRule>
    <cfRule type="expression" dxfId="908" priority="136">
      <formula>G$9&lt;8/24</formula>
    </cfRule>
  </conditionalFormatting>
  <conditionalFormatting sqref="L84:AF84">
    <cfRule type="expression" dxfId="907" priority="129">
      <formula>L$9&gt;=20/24</formula>
    </cfRule>
    <cfRule type="expression" dxfId="906" priority="130">
      <formula>AND(L$9&gt;=14/24,L$9&lt;20/24)</formula>
    </cfRule>
    <cfRule type="expression" dxfId="905" priority="131">
      <formula>AND(L$9&gt;=8/24,L$9&lt;14/24)</formula>
    </cfRule>
    <cfRule type="expression" dxfId="904" priority="132">
      <formula>L$9&lt;8/24</formula>
    </cfRule>
  </conditionalFormatting>
  <conditionalFormatting sqref="M8 S8 AB8">
    <cfRule type="expression" dxfId="903" priority="182">
      <formula>AND(N$9&gt;=14/24,N$9&lt;20/24)</formula>
    </cfRule>
    <cfRule type="expression" dxfId="902" priority="183">
      <formula>AND(N$9&gt;=8/24,N$9&lt;14/24)</formula>
    </cfRule>
    <cfRule type="expression" dxfId="901" priority="184">
      <formula>N$9&lt;8/24</formula>
    </cfRule>
  </conditionalFormatting>
  <conditionalFormatting sqref="Y79:AF83">
    <cfRule type="expression" dxfId="900" priority="137">
      <formula>Y$9&gt;=20/24</formula>
    </cfRule>
    <cfRule type="expression" dxfId="899" priority="138">
      <formula>AND(Y$9&gt;=14/24,Y$9&lt;20/24)</formula>
    </cfRule>
    <cfRule type="expression" dxfId="898" priority="139">
      <formula>AND(Y$9&gt;=8/24,Y$9&lt;14/24)</formula>
    </cfRule>
    <cfRule type="expression" dxfId="89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96" priority="181">
      <formula>N$9&gt;=20/24</formula>
    </cfRule>
  </conditionalFormatting>
  <conditionalFormatting sqref="S8">
    <cfRule type="expression" dxfId="895" priority="172">
      <formula>U$9&gt;=20/24</formula>
    </cfRule>
    <cfRule type="expression" dxfId="894" priority="173">
      <formula>AND(U$9&gt;=14/24,U$9&lt;20/24)</formula>
    </cfRule>
    <cfRule type="expression" dxfId="893" priority="174">
      <formula>AND(U$9&gt;=8/24,U$9&lt;14/24)</formula>
    </cfRule>
    <cfRule type="expression" dxfId="892" priority="175">
      <formula>U$9&lt;8/24</formula>
    </cfRule>
  </conditionalFormatting>
  <conditionalFormatting sqref="Y79:AF84">
    <cfRule type="expression" dxfId="891" priority="59">
      <formula>Y$9&gt;=20/24</formula>
    </cfRule>
    <cfRule type="expression" dxfId="890" priority="60">
      <formula>AND(Y$9&gt;=14/24,Y$9&lt;20/24)</formula>
    </cfRule>
    <cfRule type="expression" dxfId="889" priority="61">
      <formula>AND(Y$9&gt;=8/24,Y$9&lt;14/24)</formula>
    </cfRule>
    <cfRule type="expression" dxfId="88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882" priority="119">
      <formula>B54&gt;$AG54</formula>
    </cfRule>
  </conditionalFormatting>
  <conditionalFormatting sqref="AB8">
    <cfRule type="expression" dxfId="881" priority="168">
      <formula>AD$9&gt;=20/24</formula>
    </cfRule>
    <cfRule type="expression" dxfId="880" priority="169">
      <formula>AND(AD$9&gt;=14/24,AD$9&lt;20/24)</formula>
    </cfRule>
    <cfRule type="expression" dxfId="879" priority="170">
      <formula>AND(AD$9&gt;=8/24,AD$9&lt;14/24)</formula>
    </cfRule>
    <cfRule type="expression" dxfId="878" priority="171">
      <formula>AD$9&lt;8/24</formula>
    </cfRule>
  </conditionalFormatting>
  <conditionalFormatting sqref="AG78">
    <cfRule type="expression" dxfId="872" priority="147">
      <formula>AG$9&gt;=20/24</formula>
    </cfRule>
    <cfRule type="expression" dxfId="871" priority="148">
      <formula>AND(AG$9&gt;=14/24,AG$9&lt;20/24)</formula>
    </cfRule>
    <cfRule type="expression" dxfId="870" priority="149">
      <formula>AND(AG$9&gt;=8/24,AG$9&lt;14/24)</formula>
    </cfRule>
    <cfRule type="expression" dxfId="869" priority="150">
      <formula>AG$9&lt;8/24</formula>
    </cfRule>
  </conditionalFormatting>
  <conditionalFormatting sqref="AG91:AG92">
    <cfRule type="expression" dxfId="868" priority="142">
      <formula>AG91&gt;$AG91</formula>
    </cfRule>
  </conditionalFormatting>
  <conditionalFormatting sqref="AG96">
    <cfRule type="expression" dxfId="867" priority="143">
      <formula>AG$9&gt;=20/24</formula>
    </cfRule>
    <cfRule type="expression" dxfId="866" priority="144">
      <formula>AND(AG$9&gt;=14/24,AG$9&lt;20/24)</formula>
    </cfRule>
    <cfRule type="expression" dxfId="865" priority="145">
      <formula>AND(AG$9&gt;=8/24,AG$9&lt;14/24)</formula>
    </cfRule>
    <cfRule type="expression" dxfId="864" priority="146">
      <formula>AG$9&lt;8/24</formula>
    </cfRule>
  </conditionalFormatting>
  <conditionalFormatting sqref="AG113">
    <cfRule type="expression" dxfId="863" priority="164">
      <formula>AG$9&gt;=20/24</formula>
    </cfRule>
    <cfRule type="expression" dxfId="862" priority="165">
      <formula>AND(AG$9&gt;=14/24,AG$9&lt;20/24)</formula>
    </cfRule>
    <cfRule type="expression" dxfId="861" priority="166">
      <formula>AND(AG$9&gt;=8/24,AG$9&lt;14/24)</formula>
    </cfRule>
    <cfRule type="expression" dxfId="860" priority="167">
      <formula>AG$9&lt;8/24</formula>
    </cfRule>
  </conditionalFormatting>
  <conditionalFormatting sqref="AH8:AI10">
    <cfRule type="expression" dxfId="859" priority="55">
      <formula>AH$9&gt;=20/24</formula>
    </cfRule>
    <cfRule type="expression" dxfId="858" priority="56">
      <formula>AND(AH$9&gt;=14/24,AH$9&lt;20/24)</formula>
    </cfRule>
    <cfRule type="expression" dxfId="857" priority="57">
      <formula>AND(AH$9&gt;=8/24,AH$9&lt;14/24)</formula>
    </cfRule>
    <cfRule type="expression" dxfId="85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55" priority="185">
      <formula>AJ$9&gt;=20/24</formula>
    </cfRule>
    <cfRule type="expression" dxfId="854" priority="186">
      <formula>AND(AJ$9&gt;=14/24,AJ$9&lt;20/24)</formula>
    </cfRule>
    <cfRule type="expression" dxfId="853" priority="187">
      <formula>AND(AJ$9&gt;=8/24,AJ$9&lt;14/24)</formula>
    </cfRule>
    <cfRule type="expression" dxfId="852" priority="188">
      <formula>AJ$9&lt;8/24</formula>
    </cfRule>
  </conditionalFormatting>
  <conditionalFormatting sqref="AL99:AN99 AL105:AN105">
    <cfRule type="expression" dxfId="851" priority="157">
      <formula>AL$9&gt;=20/24</formula>
    </cfRule>
    <cfRule type="expression" dxfId="850" priority="158">
      <formula>AND(AL$9&gt;=14/24,AL$9&lt;20/24)</formula>
    </cfRule>
    <cfRule type="expression" dxfId="849" priority="159">
      <formula>AND(AL$9&gt;=8/24,AL$9&lt;14/24)</formula>
    </cfRule>
    <cfRule type="expression" dxfId="848" priority="160">
      <formula>AL$9&lt;8/24</formula>
    </cfRule>
  </conditionalFormatting>
  <conditionalFormatting sqref="AM15:AM21 AN16:AR21">
    <cfRule type="expression" dxfId="847" priority="81">
      <formula>AX$9&gt;=20/24</formula>
    </cfRule>
    <cfRule type="expression" dxfId="846" priority="82">
      <formula>AND(AX$9&gt;=14/24,AX$9&lt;20/24)</formula>
    </cfRule>
    <cfRule type="expression" dxfId="845" priority="83">
      <formula>AND(AX$9&gt;=8/24,AX$9&lt;14/24)</formula>
    </cfRule>
    <cfRule type="expression" dxfId="844" priority="84">
      <formula>AX$9&lt;8/24</formula>
    </cfRule>
  </conditionalFormatting>
  <conditionalFormatting sqref="AN100:AN103">
    <cfRule type="expression" dxfId="843" priority="153">
      <formula>AN$9&gt;=20/24</formula>
    </cfRule>
    <cfRule type="expression" dxfId="842" priority="154">
      <formula>AND(AN$9&gt;=14/24,AN$9&lt;20/24)</formula>
    </cfRule>
    <cfRule type="expression" dxfId="841" priority="155">
      <formula>AND(AN$9&gt;=8/24,AN$9&lt;14/24)</formula>
    </cfRule>
    <cfRule type="expression" dxfId="840" priority="156">
      <formula>AN$9&lt;8/24</formula>
    </cfRule>
  </conditionalFormatting>
  <conditionalFormatting sqref="AN15:AR15">
    <cfRule type="expression" dxfId="839" priority="69">
      <formula>U$9&gt;=20/24</formula>
    </cfRule>
    <cfRule type="expression" dxfId="838" priority="70">
      <formula>AND(U$9&gt;=14/24,U$9&lt;20/24)</formula>
    </cfRule>
    <cfRule type="expression" dxfId="837" priority="71">
      <formula>AND(U$9&gt;=8/24,U$9&lt;14/24)</formula>
    </cfRule>
    <cfRule type="expression" dxfId="836" priority="72">
      <formula>U$9&lt;8/24</formula>
    </cfRule>
  </conditionalFormatting>
  <conditionalFormatting sqref="AS15">
    <cfRule type="expression" dxfId="835" priority="77">
      <formula>AA$9&gt;=20/24</formula>
    </cfRule>
    <cfRule type="expression" dxfId="834" priority="78">
      <formula>AND(AA$9&gt;=14/24,AA$9&lt;20/24)</formula>
    </cfRule>
    <cfRule type="expression" dxfId="833" priority="79">
      <formula>AND(AA$9&gt;=8/24,AA$9&lt;14/24)</formula>
    </cfRule>
    <cfRule type="expression" dxfId="832" priority="80">
      <formula>AA$9&lt;8/24</formula>
    </cfRule>
  </conditionalFormatting>
  <conditionalFormatting sqref="AS16:AS21">
    <cfRule type="expression" dxfId="831" priority="85">
      <formula>BE$9&gt;=20/24</formula>
    </cfRule>
    <cfRule type="expression" dxfId="830" priority="86">
      <formula>AND(BE$9&gt;=14/24,BE$9&lt;20/24)</formula>
    </cfRule>
    <cfRule type="expression" dxfId="829" priority="87">
      <formula>AND(BE$9&gt;=8/24,BE$9&lt;14/24)</formula>
    </cfRule>
    <cfRule type="expression" dxfId="828" priority="88">
      <formula>BE$9&lt;8/24</formula>
    </cfRule>
  </conditionalFormatting>
  <conditionalFormatting sqref="AT15 AX15:BJ15">
    <cfRule type="expression" dxfId="827" priority="89">
      <formula>AC$9&gt;=20/24</formula>
    </cfRule>
    <cfRule type="expression" dxfId="826" priority="90">
      <formula>AND(AC$9&gt;=14/24,AC$9&lt;20/24)</formula>
    </cfRule>
    <cfRule type="expression" dxfId="825" priority="91">
      <formula>AND(AC$9&gt;=8/24,AC$9&lt;14/24)</formula>
    </cfRule>
    <cfRule type="expression" dxfId="824" priority="92">
      <formula>AC$9&lt;8/24</formula>
    </cfRule>
  </conditionalFormatting>
  <conditionalFormatting sqref="AT16:AT21">
    <cfRule type="expression" dxfId="823" priority="93">
      <formula>BG$9&gt;=20/24</formula>
    </cfRule>
    <cfRule type="expression" dxfId="822" priority="94">
      <formula>AND(BG$9&gt;=14/24,BG$9&lt;20/24)</formula>
    </cfRule>
    <cfRule type="expression" dxfId="821" priority="95">
      <formula>AND(BG$9&gt;=8/24,BG$9&lt;14/24)</formula>
    </cfRule>
    <cfRule type="expression" dxfId="820" priority="96">
      <formula>BG$9&lt;8/24</formula>
    </cfRule>
  </conditionalFormatting>
  <conditionalFormatting sqref="AU15:AV15">
    <cfRule type="expression" dxfId="819" priority="97">
      <formula>AE$9&gt;=20/24</formula>
    </cfRule>
    <cfRule type="expression" dxfId="818" priority="98">
      <formula>AND(AE$9&gt;=14/24,AE$9&lt;20/24)</formula>
    </cfRule>
    <cfRule type="expression" dxfId="817" priority="99">
      <formula>AND(AE$9&gt;=8/24,AE$9&lt;14/24)</formula>
    </cfRule>
    <cfRule type="expression" dxfId="816" priority="100">
      <formula>AE$9&lt;8/24</formula>
    </cfRule>
  </conditionalFormatting>
  <conditionalFormatting sqref="AU16:BJ21">
    <cfRule type="expression" dxfId="815" priority="101">
      <formula>BI$9&gt;=20/24</formula>
    </cfRule>
    <cfRule type="expression" dxfId="814" priority="102">
      <formula>AND(BI$9&gt;=14/24,BI$9&lt;20/24)</formula>
    </cfRule>
    <cfRule type="expression" dxfId="813" priority="103">
      <formula>AND(BI$9&gt;=8/24,BI$9&lt;14/24)</formula>
    </cfRule>
    <cfRule type="expression" dxfId="812" priority="104">
      <formula>BI$9&lt;8/24</formula>
    </cfRule>
  </conditionalFormatting>
  <conditionalFormatting sqref="AW15">
    <cfRule type="expression" dxfId="811" priority="73">
      <formula>B$9&gt;=20/24</formula>
    </cfRule>
    <cfRule type="expression" dxfId="810" priority="74">
      <formula>AND(B$9&gt;=14/24,B$9&lt;20/24)</formula>
    </cfRule>
    <cfRule type="expression" dxfId="809" priority="75">
      <formula>AND(B$9&gt;=8/24,B$9&lt;14/24)</formula>
    </cfRule>
    <cfRule type="expression" dxfId="808" priority="76">
      <formula>B$9&lt;8/24</formula>
    </cfRule>
  </conditionalFormatting>
  <conditionalFormatting sqref="A73">
    <cfRule type="expression" dxfId="807" priority="24">
      <formula>$AH73=0</formula>
    </cfRule>
  </conditionalFormatting>
  <conditionalFormatting sqref="B137:B152 B154:B159 B97:F107 C137:F151 B109:F112 B125:F134 G131:R133 B11:AF13">
    <cfRule type="expression" dxfId="806" priority="20">
      <formula>B$9&gt;=20/24</formula>
    </cfRule>
  </conditionalFormatting>
  <conditionalFormatting sqref="B137:B152 B154:B159 B97:F107 C137:F151 B109:F112 B125:F134 G131:R133 B11:AF13">
    <cfRule type="expression" dxfId="805" priority="21">
      <formula>AND(B$9&gt;=14/24,B$9&lt;20/24)</formula>
    </cfRule>
    <cfRule type="expression" dxfId="804" priority="22">
      <formula>AND(B$9&gt;=8/24,B$9&lt;14/24)</formula>
    </cfRule>
    <cfRule type="expression" dxfId="803" priority="23">
      <formula>B$9&lt;8/24</formula>
    </cfRule>
  </conditionalFormatting>
  <conditionalFormatting sqref="B14:AF28">
    <cfRule type="expression" dxfId="802" priority="10">
      <formula>B14&gt;$AG14*1</formula>
    </cfRule>
    <cfRule type="expression" dxfId="801" priority="11">
      <formula>B$9&gt;=20/24</formula>
    </cfRule>
    <cfRule type="expression" dxfId="800" priority="12">
      <formula>AND(B$9&gt;=14/24,B$9&lt;20/24)</formula>
    </cfRule>
    <cfRule type="expression" dxfId="799" priority="13">
      <formula>AND(B$9&gt;=8/24,B$9&lt;14/24)</formula>
    </cfRule>
    <cfRule type="expression" dxfId="798" priority="14">
      <formula>B$9&lt;8/24</formula>
    </cfRule>
  </conditionalFormatting>
  <conditionalFormatting sqref="B161:B167">
    <cfRule type="expression" dxfId="797" priority="15">
      <formula>B$9&gt;=20/24</formula>
    </cfRule>
    <cfRule type="expression" dxfId="796" priority="16">
      <formula>AND(B$9&gt;=14/24,B$9&lt;20/24)</formula>
    </cfRule>
    <cfRule type="expression" dxfId="795" priority="17">
      <formula>AND(B$9&gt;=8/24,B$9&lt;14/24)</formula>
    </cfRule>
    <cfRule type="expression" dxfId="794" priority="18">
      <formula>B$9&lt;8/24</formula>
    </cfRule>
  </conditionalFormatting>
  <conditionalFormatting sqref="B169:B274">
    <cfRule type="expression" dxfId="793" priority="6">
      <formula>B$9&gt;=20/24</formula>
    </cfRule>
    <cfRule type="expression" dxfId="792" priority="7">
      <formula>AND(B$9&gt;=14/24,B$9&lt;20/24)</formula>
    </cfRule>
    <cfRule type="expression" dxfId="791" priority="8">
      <formula>AND(B$9&gt;=8/24,B$9&lt;14/24)</formula>
    </cfRule>
    <cfRule type="expression" dxfId="790" priority="9">
      <formula>B$9&lt;8/24</formula>
    </cfRule>
  </conditionalFormatting>
  <conditionalFormatting sqref="B11:AF13">
    <cfRule type="expression" dxfId="789" priority="19">
      <formula>B11&gt;$AG11*1</formula>
    </cfRule>
  </conditionalFormatting>
  <conditionalFormatting sqref="A153">
    <cfRule type="expression" dxfId="78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87" priority="1">
      <formula>AL$9&gt;=20/24</formula>
    </cfRule>
  </conditionalFormatting>
  <conditionalFormatting sqref="AL153">
    <cfRule type="expression" dxfId="786" priority="2">
      <formula>AND(AL$9&gt;=14/24,AL$9&lt;20/24)</formula>
    </cfRule>
    <cfRule type="expression" dxfId="785" priority="3">
      <formula>AND(AL$9&gt;=8/24,AL$9&lt;14/24)</formula>
    </cfRule>
    <cfRule type="expression" dxfId="78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T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601" priority="29">
      <formula>$AH11=0</formula>
    </cfRule>
  </conditionalFormatting>
  <conditionalFormatting sqref="A101:A102">
    <cfRule type="expression" dxfId="600" priority="197">
      <formula>$AH106=0</formula>
    </cfRule>
  </conditionalFormatting>
  <conditionalFormatting sqref="A103:A107">
    <cfRule type="expression" dxfId="599" priority="145">
      <formula>$AH102=0</formula>
    </cfRule>
  </conditionalFormatting>
  <conditionalFormatting sqref="A160:A167">
    <cfRule type="expression" dxfId="598" priority="198">
      <formula>$AH267=0</formula>
    </cfRule>
  </conditionalFormatting>
  <conditionalFormatting sqref="A168:A275">
    <cfRule type="expression" dxfId="597" priority="68">
      <formula>$AH168=0</formula>
    </cfRule>
  </conditionalFormatting>
  <conditionalFormatting sqref="B8">
    <cfRule type="expression" dxfId="596" priority="193">
      <formula>AND(C$9&gt;=14/24,C$9&lt;20/24)</formula>
    </cfRule>
    <cfRule type="expression" dxfId="595" priority="194">
      <formula>AND(C$9&gt;=8/24,C$9&lt;14/24)</formula>
    </cfRule>
    <cfRule type="expression" dxfId="594" priority="195">
      <formula>C$9&lt;8/24</formula>
    </cfRule>
    <cfRule type="expression" dxfId="593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592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591" priority="111">
      <formula>AND(B$9&gt;=14/24,B$9&lt;20/24)</formula>
    </cfRule>
    <cfRule type="expression" dxfId="590" priority="112">
      <formula>AND(B$9&gt;=8/24,B$9&lt;14/24)</formula>
    </cfRule>
    <cfRule type="expression" dxfId="589" priority="113">
      <formula>B$9&lt;8/24</formula>
    </cfRule>
  </conditionalFormatting>
  <conditionalFormatting sqref="B29:Y53 Z14:AF53">
    <cfRule type="expression" dxfId="588" priority="53">
      <formula>B14&gt;$AG14*1</formula>
    </cfRule>
    <cfRule type="expression" dxfId="587" priority="54">
      <formula>B$9&gt;=20/24</formula>
    </cfRule>
    <cfRule type="expression" dxfId="586" priority="55">
      <formula>AND(B$9&gt;=14/24,B$9&lt;20/24)</formula>
    </cfRule>
    <cfRule type="expression" dxfId="585" priority="56">
      <formula>AND(B$9&gt;=8/24,B$9&lt;14/24)</formula>
    </cfRule>
    <cfRule type="expression" dxfId="584" priority="57">
      <formula>B$9&lt;8/24</formula>
    </cfRule>
  </conditionalFormatting>
  <conditionalFormatting sqref="B54:AF68">
    <cfRule type="expression" dxfId="583" priority="46">
      <formula>B$9&lt;8/24</formula>
    </cfRule>
  </conditionalFormatting>
  <conditionalFormatting sqref="B54:AF70">
    <cfRule type="expression" dxfId="582" priority="43">
      <formula>B$9&gt;=20/24</formula>
    </cfRule>
    <cfRule type="expression" dxfId="581" priority="44">
      <formula>AND(B$9&gt;=14/24,B$9&lt;20/24)</formula>
    </cfRule>
    <cfRule type="expression" dxfId="580" priority="45">
      <formula>AND(B$9&gt;=8/24,B$9&lt;14/24)</formula>
    </cfRule>
  </conditionalFormatting>
  <conditionalFormatting sqref="B63:AF65">
    <cfRule type="expression" dxfId="579" priority="47">
      <formula>B63&gt;$AG63</formula>
    </cfRule>
  </conditionalFormatting>
  <conditionalFormatting sqref="B69:AF70">
    <cfRule type="expression" dxfId="578" priority="118">
      <formula>B$9&lt;8/24</formula>
    </cfRule>
  </conditionalFormatting>
  <conditionalFormatting sqref="B72:AF75">
    <cfRule type="expression" dxfId="577" priority="34">
      <formula>B72&gt;$AG72*1</formula>
    </cfRule>
  </conditionalFormatting>
  <conditionalFormatting sqref="B73:AF75">
    <cfRule type="expression" dxfId="576" priority="35">
      <formula>B$9&gt;=20/24</formula>
    </cfRule>
    <cfRule type="expression" dxfId="575" priority="36">
      <formula>AND(B$9&gt;=14/24,B$9&lt;20/24)</formula>
    </cfRule>
    <cfRule type="expression" dxfId="574" priority="37">
      <formula>AND(B$9&gt;=8/24,B$9&lt;14/24)</formula>
    </cfRule>
    <cfRule type="expression" dxfId="573" priority="38">
      <formula>B$9&lt;8/24</formula>
    </cfRule>
  </conditionalFormatting>
  <conditionalFormatting sqref="D161:AF167">
    <cfRule type="expression" dxfId="572" priority="69">
      <formula>D$9&gt;=20/24</formula>
    </cfRule>
    <cfRule type="expression" dxfId="571" priority="70">
      <formula>AND(D$9&gt;=14/24,D$9&lt;20/24)</formula>
    </cfRule>
    <cfRule type="expression" dxfId="570" priority="71">
      <formula>AND(D$9&gt;=8/24,D$9&lt;14/24)</formula>
    </cfRule>
    <cfRule type="expression" dxfId="569" priority="72">
      <formula>D$9&lt;8/24</formula>
    </cfRule>
  </conditionalFormatting>
  <conditionalFormatting sqref="C207:AA274 D169:S174 C175:S206 T169:AA206 AB169:AF274">
    <cfRule type="expression" dxfId="568" priority="30">
      <formula>C$9&gt;=20/24</formula>
    </cfRule>
    <cfRule type="expression" dxfId="567" priority="31">
      <formula>AND(C$9&gt;=14/24,C$9&lt;20/24)</formula>
    </cfRule>
    <cfRule type="expression" dxfId="566" priority="32">
      <formula>AND(C$9&gt;=8/24,C$9&lt;14/24)</formula>
    </cfRule>
    <cfRule type="expression" dxfId="565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564" priority="109">
      <formula>B11&gt;$AG11*1</formula>
    </cfRule>
  </conditionalFormatting>
  <conditionalFormatting sqref="E79:AF83">
    <cfRule type="expression" dxfId="563" priority="119">
      <formula>E$9&gt;=20/24</formula>
    </cfRule>
    <cfRule type="expression" dxfId="562" priority="120">
      <formula>AND(E$9&gt;=14/24,E$9&lt;20/24)</formula>
    </cfRule>
    <cfRule type="expression" dxfId="561" priority="121">
      <formula>AND(E$9&gt;=8/24,E$9&lt;14/24)</formula>
    </cfRule>
    <cfRule type="expression" dxfId="560" priority="122">
      <formula>E$9&lt;8/24</formula>
    </cfRule>
  </conditionalFormatting>
  <conditionalFormatting sqref="E84:AF84">
    <cfRule type="expression" dxfId="559" priority="114">
      <formula>E$9&gt;=20/24</formula>
    </cfRule>
    <cfRule type="expression" dxfId="558" priority="115">
      <formula>AND(E$9&gt;=14/24,E$9&lt;20/24)</formula>
    </cfRule>
    <cfRule type="expression" dxfId="557" priority="116">
      <formula>AND(E$9&gt;=8/24,E$9&lt;14/24)</formula>
    </cfRule>
    <cfRule type="expression" dxfId="556" priority="117">
      <formula>E$9&lt;8/24</formula>
    </cfRule>
  </conditionalFormatting>
  <conditionalFormatting sqref="E78:Y78 Z76:AF78 B72:AF72">
    <cfRule type="expression" dxfId="555" priority="129">
      <formula>B$9&gt;=20/24</formula>
    </cfRule>
    <cfRule type="expression" dxfId="554" priority="130">
      <formula>AND(B$9&gt;=14/24,B$9&lt;20/24)</formula>
    </cfRule>
    <cfRule type="expression" dxfId="553" priority="131">
      <formula>AND(B$9&gt;=8/24,B$9&lt;14/24)</formula>
    </cfRule>
    <cfRule type="expression" dxfId="552" priority="132">
      <formula>B$9&lt;8/24</formula>
    </cfRule>
  </conditionalFormatting>
  <conditionalFormatting sqref="J73:Y73 Z73:AF75">
    <cfRule type="expression" dxfId="551" priority="39">
      <formula>J$9&gt;=20/24</formula>
    </cfRule>
    <cfRule type="expression" dxfId="550" priority="40">
      <formula>AND(J$9&gt;=14/24,J$9&lt;20/24)</formula>
    </cfRule>
    <cfRule type="expression" dxfId="549" priority="41">
      <formula>AND(J$9&gt;=8/24,J$9&lt;14/24)</formula>
    </cfRule>
    <cfRule type="expression" dxfId="548" priority="42">
      <formula>J$9&lt;8/24</formula>
    </cfRule>
  </conditionalFormatting>
  <conditionalFormatting sqref="F79:AF81">
    <cfRule type="expression" dxfId="547" priority="137">
      <formula>F$9&gt;=20/24</formula>
    </cfRule>
    <cfRule type="expression" dxfId="546" priority="138">
      <formula>AND(F$9&gt;=14/24,F$9&lt;20/24)</formula>
    </cfRule>
    <cfRule type="expression" dxfId="545" priority="139">
      <formula>AND(F$9&gt;=8/24,F$9&lt;14/24)</formula>
    </cfRule>
    <cfRule type="expression" dxfId="544" priority="140">
      <formula>F$9&lt;8/24</formula>
    </cfRule>
  </conditionalFormatting>
  <conditionalFormatting sqref="L84:AF84">
    <cfRule type="expression" dxfId="543" priority="133">
      <formula>L$9&gt;=20/24</formula>
    </cfRule>
    <cfRule type="expression" dxfId="542" priority="134">
      <formula>AND(L$9&gt;=14/24,L$9&lt;20/24)</formula>
    </cfRule>
    <cfRule type="expression" dxfId="541" priority="135">
      <formula>AND(L$9&gt;=8/24,L$9&lt;14/24)</formula>
    </cfRule>
    <cfRule type="expression" dxfId="540" priority="136">
      <formula>L$9&lt;8/24</formula>
    </cfRule>
  </conditionalFormatting>
  <conditionalFormatting sqref="M8 S8 AB8">
    <cfRule type="expression" dxfId="539" priority="186">
      <formula>AND(N$9&gt;=14/24,N$9&lt;20/24)</formula>
    </cfRule>
    <cfRule type="expression" dxfId="538" priority="187">
      <formula>AND(N$9&gt;=8/24,N$9&lt;14/24)</formula>
    </cfRule>
    <cfRule type="expression" dxfId="537" priority="188">
      <formula>N$9&lt;8/24</formula>
    </cfRule>
  </conditionalFormatting>
  <conditionalFormatting sqref="R79:AF83">
    <cfRule type="expression" dxfId="536" priority="141">
      <formula>R$9&gt;=20/24</formula>
    </cfRule>
    <cfRule type="expression" dxfId="535" priority="142">
      <formula>AND(R$9&gt;=14/24,R$9&lt;20/24)</formula>
    </cfRule>
    <cfRule type="expression" dxfId="534" priority="143">
      <formula>AND(R$9&gt;=8/24,R$9&lt;14/24)</formula>
    </cfRule>
    <cfRule type="expression" dxfId="533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32" priority="185">
      <formula>N$9&gt;=20/24</formula>
    </cfRule>
  </conditionalFormatting>
  <conditionalFormatting sqref="S8">
    <cfRule type="expression" dxfId="531" priority="176">
      <formula>U$9&gt;=20/24</formula>
    </cfRule>
    <cfRule type="expression" dxfId="530" priority="177">
      <formula>AND(U$9&gt;=14/24,U$9&lt;20/24)</formula>
    </cfRule>
    <cfRule type="expression" dxfId="529" priority="178">
      <formula>AND(U$9&gt;=8/24,U$9&lt;14/24)</formula>
    </cfRule>
    <cfRule type="expression" dxfId="528" priority="179">
      <formula>U$9&lt;8/24</formula>
    </cfRule>
  </conditionalFormatting>
  <conditionalFormatting sqref="X79:AF84">
    <cfRule type="expression" dxfId="527" priority="63">
      <formula>X$9&gt;=20/24</formula>
    </cfRule>
    <cfRule type="expression" dxfId="526" priority="64">
      <formula>AND(X$9&gt;=14/24,X$9&lt;20/24)</formula>
    </cfRule>
    <cfRule type="expression" dxfId="525" priority="65">
      <formula>AND(X$9&gt;=8/24,X$9&lt;14/24)</formula>
    </cfRule>
    <cfRule type="expression" dxfId="524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523" priority="48">
      <formula>Z$9&gt;=20/24</formula>
    </cfRule>
    <cfRule type="expression" dxfId="522" priority="49">
      <formula>AND(Z$9&gt;=14/24,Z$9&lt;20/24)</formula>
    </cfRule>
    <cfRule type="expression" dxfId="521" priority="50">
      <formula>AND(Z$9&gt;=8/24,Z$9&lt;14/24)</formula>
    </cfRule>
    <cfRule type="expression" dxfId="520" priority="51">
      <formula>Z$9&lt;8/24</formula>
    </cfRule>
  </conditionalFormatting>
  <conditionalFormatting sqref="Z69:AF70">
    <cfRule type="expression" dxfId="519" priority="128">
      <formula>Z69&gt;$AG69</formula>
    </cfRule>
  </conditionalFormatting>
  <conditionalFormatting sqref="B66:Y70 B54:AF62 Z66:AF69">
    <cfRule type="expression" dxfId="518" priority="123">
      <formula>B54&gt;$AG54</formula>
    </cfRule>
  </conditionalFormatting>
  <conditionalFormatting sqref="AB8">
    <cfRule type="expression" dxfId="517" priority="172">
      <formula>AD$9&gt;=20/24</formula>
    </cfRule>
    <cfRule type="expression" dxfId="516" priority="173">
      <formula>AND(AD$9&gt;=14/24,AD$9&lt;20/24)</formula>
    </cfRule>
    <cfRule type="expression" dxfId="515" priority="174">
      <formula>AND(AD$9&gt;=8/24,AD$9&lt;14/24)</formula>
    </cfRule>
    <cfRule type="expression" dxfId="514" priority="175">
      <formula>AD$9&lt;8/24</formula>
    </cfRule>
  </conditionalFormatting>
  <conditionalFormatting sqref="AG78">
    <cfRule type="expression" dxfId="508" priority="151">
      <formula>AG$9&gt;=20/24</formula>
    </cfRule>
    <cfRule type="expression" dxfId="507" priority="152">
      <formula>AND(AG$9&gt;=14/24,AG$9&lt;20/24)</formula>
    </cfRule>
    <cfRule type="expression" dxfId="506" priority="153">
      <formula>AND(AG$9&gt;=8/24,AG$9&lt;14/24)</formula>
    </cfRule>
    <cfRule type="expression" dxfId="505" priority="154">
      <formula>AG$9&lt;8/24</formula>
    </cfRule>
  </conditionalFormatting>
  <conditionalFormatting sqref="AG91:AG92">
    <cfRule type="expression" dxfId="504" priority="146">
      <formula>AG91&gt;$AG91</formula>
    </cfRule>
  </conditionalFormatting>
  <conditionalFormatting sqref="AG96">
    <cfRule type="expression" dxfId="503" priority="147">
      <formula>AG$9&gt;=20/24</formula>
    </cfRule>
    <cfRule type="expression" dxfId="502" priority="148">
      <formula>AND(AG$9&gt;=14/24,AG$9&lt;20/24)</formula>
    </cfRule>
    <cfRule type="expression" dxfId="501" priority="149">
      <formula>AND(AG$9&gt;=8/24,AG$9&lt;14/24)</formula>
    </cfRule>
    <cfRule type="expression" dxfId="500" priority="150">
      <formula>AG$9&lt;8/24</formula>
    </cfRule>
  </conditionalFormatting>
  <conditionalFormatting sqref="AG113">
    <cfRule type="expression" dxfId="499" priority="168">
      <formula>AG$9&gt;=20/24</formula>
    </cfRule>
    <cfRule type="expression" dxfId="498" priority="169">
      <formula>AND(AG$9&gt;=14/24,AG$9&lt;20/24)</formula>
    </cfRule>
    <cfRule type="expression" dxfId="497" priority="170">
      <formula>AND(AG$9&gt;=8/24,AG$9&lt;14/24)</formula>
    </cfRule>
    <cfRule type="expression" dxfId="496" priority="171">
      <formula>AG$9&lt;8/24</formula>
    </cfRule>
  </conditionalFormatting>
  <conditionalFormatting sqref="AH8:AI10">
    <cfRule type="expression" dxfId="495" priority="59">
      <formula>AH$9&gt;=20/24</formula>
    </cfRule>
    <cfRule type="expression" dxfId="494" priority="60">
      <formula>AND(AH$9&gt;=14/24,AH$9&lt;20/24)</formula>
    </cfRule>
    <cfRule type="expression" dxfId="493" priority="61">
      <formula>AND(AH$9&gt;=8/24,AH$9&lt;14/24)</formula>
    </cfRule>
    <cfRule type="expression" dxfId="492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91" priority="189">
      <formula>AJ$9&gt;=20/24</formula>
    </cfRule>
    <cfRule type="expression" dxfId="490" priority="190">
      <formula>AND(AJ$9&gt;=14/24,AJ$9&lt;20/24)</formula>
    </cfRule>
    <cfRule type="expression" dxfId="489" priority="191">
      <formula>AND(AJ$9&gt;=8/24,AJ$9&lt;14/24)</formula>
    </cfRule>
    <cfRule type="expression" dxfId="488" priority="192">
      <formula>AJ$9&lt;8/24</formula>
    </cfRule>
  </conditionalFormatting>
  <conditionalFormatting sqref="AL99:AN99 AL105:AN105">
    <cfRule type="expression" dxfId="487" priority="161">
      <formula>AL$9&gt;=20/24</formula>
    </cfRule>
    <cfRule type="expression" dxfId="486" priority="162">
      <formula>AND(AL$9&gt;=14/24,AL$9&lt;20/24)</formula>
    </cfRule>
    <cfRule type="expression" dxfId="485" priority="163">
      <formula>AND(AL$9&gt;=8/24,AL$9&lt;14/24)</formula>
    </cfRule>
    <cfRule type="expression" dxfId="484" priority="164">
      <formula>AL$9&lt;8/24</formula>
    </cfRule>
  </conditionalFormatting>
  <conditionalFormatting sqref="AM15:AM21 AN16:AR21">
    <cfRule type="expression" dxfId="483" priority="85">
      <formula>AX$9&gt;=20/24</formula>
    </cfRule>
    <cfRule type="expression" dxfId="482" priority="86">
      <formula>AND(AX$9&gt;=14/24,AX$9&lt;20/24)</formula>
    </cfRule>
    <cfRule type="expression" dxfId="481" priority="87">
      <formula>AND(AX$9&gt;=8/24,AX$9&lt;14/24)</formula>
    </cfRule>
    <cfRule type="expression" dxfId="480" priority="88">
      <formula>AX$9&lt;8/24</formula>
    </cfRule>
  </conditionalFormatting>
  <conditionalFormatting sqref="AN100:AN103">
    <cfRule type="expression" dxfId="479" priority="157">
      <formula>AN$9&gt;=20/24</formula>
    </cfRule>
    <cfRule type="expression" dxfId="478" priority="158">
      <formula>AND(AN$9&gt;=14/24,AN$9&lt;20/24)</formula>
    </cfRule>
    <cfRule type="expression" dxfId="477" priority="159">
      <formula>AND(AN$9&gt;=8/24,AN$9&lt;14/24)</formula>
    </cfRule>
    <cfRule type="expression" dxfId="476" priority="160">
      <formula>AN$9&lt;8/24</formula>
    </cfRule>
  </conditionalFormatting>
  <conditionalFormatting sqref="AN15:AR15">
    <cfRule type="expression" dxfId="475" priority="73">
      <formula>U$9&gt;=20/24</formula>
    </cfRule>
    <cfRule type="expression" dxfId="474" priority="74">
      <formula>AND(U$9&gt;=14/24,U$9&lt;20/24)</formula>
    </cfRule>
    <cfRule type="expression" dxfId="473" priority="75">
      <formula>AND(U$9&gt;=8/24,U$9&lt;14/24)</formula>
    </cfRule>
    <cfRule type="expression" dxfId="472" priority="76">
      <formula>U$9&lt;8/24</formula>
    </cfRule>
  </conditionalFormatting>
  <conditionalFormatting sqref="AS15">
    <cfRule type="expression" dxfId="471" priority="81">
      <formula>AA$9&gt;=20/24</formula>
    </cfRule>
    <cfRule type="expression" dxfId="470" priority="82">
      <formula>AND(AA$9&gt;=14/24,AA$9&lt;20/24)</formula>
    </cfRule>
    <cfRule type="expression" dxfId="469" priority="83">
      <formula>AND(AA$9&gt;=8/24,AA$9&lt;14/24)</formula>
    </cfRule>
    <cfRule type="expression" dxfId="468" priority="84">
      <formula>AA$9&lt;8/24</formula>
    </cfRule>
  </conditionalFormatting>
  <conditionalFormatting sqref="AS16:AS21">
    <cfRule type="expression" dxfId="467" priority="89">
      <formula>BE$9&gt;=20/24</formula>
    </cfRule>
    <cfRule type="expression" dxfId="466" priority="90">
      <formula>AND(BE$9&gt;=14/24,BE$9&lt;20/24)</formula>
    </cfRule>
    <cfRule type="expression" dxfId="465" priority="91">
      <formula>AND(BE$9&gt;=8/24,BE$9&lt;14/24)</formula>
    </cfRule>
    <cfRule type="expression" dxfId="464" priority="92">
      <formula>BE$9&lt;8/24</formula>
    </cfRule>
  </conditionalFormatting>
  <conditionalFormatting sqref="AT15 AX15:BJ15">
    <cfRule type="expression" dxfId="463" priority="93">
      <formula>AC$9&gt;=20/24</formula>
    </cfRule>
    <cfRule type="expression" dxfId="462" priority="94">
      <formula>AND(AC$9&gt;=14/24,AC$9&lt;20/24)</formula>
    </cfRule>
    <cfRule type="expression" dxfId="461" priority="95">
      <formula>AND(AC$9&gt;=8/24,AC$9&lt;14/24)</formula>
    </cfRule>
    <cfRule type="expression" dxfId="460" priority="96">
      <formula>AC$9&lt;8/24</formula>
    </cfRule>
  </conditionalFormatting>
  <conditionalFormatting sqref="AT16:AT21">
    <cfRule type="expression" dxfId="459" priority="97">
      <formula>BG$9&gt;=20/24</formula>
    </cfRule>
    <cfRule type="expression" dxfId="458" priority="98">
      <formula>AND(BG$9&gt;=14/24,BG$9&lt;20/24)</formula>
    </cfRule>
    <cfRule type="expression" dxfId="457" priority="99">
      <formula>AND(BG$9&gt;=8/24,BG$9&lt;14/24)</formula>
    </cfRule>
    <cfRule type="expression" dxfId="456" priority="100">
      <formula>BG$9&lt;8/24</formula>
    </cfRule>
  </conditionalFormatting>
  <conditionalFormatting sqref="AU15:AV15">
    <cfRule type="expression" dxfId="455" priority="101">
      <formula>AE$9&gt;=20/24</formula>
    </cfRule>
    <cfRule type="expression" dxfId="454" priority="102">
      <formula>AND(AE$9&gt;=14/24,AE$9&lt;20/24)</formula>
    </cfRule>
    <cfRule type="expression" dxfId="453" priority="103">
      <formula>AND(AE$9&gt;=8/24,AE$9&lt;14/24)</formula>
    </cfRule>
    <cfRule type="expression" dxfId="452" priority="104">
      <formula>AE$9&lt;8/24</formula>
    </cfRule>
  </conditionalFormatting>
  <conditionalFormatting sqref="AU16:BJ21">
    <cfRule type="expression" dxfId="451" priority="105">
      <formula>BI$9&gt;=20/24</formula>
    </cfRule>
    <cfRule type="expression" dxfId="450" priority="106">
      <formula>AND(BI$9&gt;=14/24,BI$9&lt;20/24)</formula>
    </cfRule>
    <cfRule type="expression" dxfId="449" priority="107">
      <formula>AND(BI$9&gt;=8/24,BI$9&lt;14/24)</formula>
    </cfRule>
    <cfRule type="expression" dxfId="448" priority="108">
      <formula>BI$9&lt;8/24</formula>
    </cfRule>
  </conditionalFormatting>
  <conditionalFormatting sqref="AW15">
    <cfRule type="expression" dxfId="447" priority="77">
      <formula>B$9&gt;=20/24</formula>
    </cfRule>
    <cfRule type="expression" dxfId="446" priority="78">
      <formula>AND(B$9&gt;=14/24,B$9&lt;20/24)</formula>
    </cfRule>
    <cfRule type="expression" dxfId="445" priority="79">
      <formula>AND(B$9&gt;=8/24,B$9&lt;14/24)</formula>
    </cfRule>
    <cfRule type="expression" dxfId="444" priority="80">
      <formula>B$9&lt;8/24</formula>
    </cfRule>
  </conditionalFormatting>
  <conditionalFormatting sqref="A73">
    <cfRule type="expression" dxfId="443" priority="28">
      <formula>$AH73=0</formula>
    </cfRule>
  </conditionalFormatting>
  <conditionalFormatting sqref="B97:C107 B137:C152 B109:C112 B125:C134 B154:C159 B11:Q13 R11:Y12">
    <cfRule type="expression" dxfId="442" priority="24">
      <formula>B$9&gt;=20/24</formula>
    </cfRule>
  </conditionalFormatting>
  <conditionalFormatting sqref="B97:C107 B137:C152 B109:C112 B125:C134 B154:C159 B11:Q13 R11:Y12">
    <cfRule type="expression" dxfId="441" priority="25">
      <formula>AND(B$9&gt;=14/24,B$9&lt;20/24)</formula>
    </cfRule>
    <cfRule type="expression" dxfId="440" priority="26">
      <formula>AND(B$9&gt;=8/24,B$9&lt;14/24)</formula>
    </cfRule>
    <cfRule type="expression" dxfId="439" priority="27">
      <formula>B$9&lt;8/24</formula>
    </cfRule>
  </conditionalFormatting>
  <conditionalFormatting sqref="B14:Y28">
    <cfRule type="expression" dxfId="438" priority="14">
      <formula>B14&gt;$AG14*1</formula>
    </cfRule>
    <cfRule type="expression" dxfId="437" priority="15">
      <formula>B$9&gt;=20/24</formula>
    </cfRule>
    <cfRule type="expression" dxfId="436" priority="16">
      <formula>AND(B$9&gt;=14/24,B$9&lt;20/24)</formula>
    </cfRule>
    <cfRule type="expression" dxfId="435" priority="17">
      <formula>AND(B$9&gt;=8/24,B$9&lt;14/24)</formula>
    </cfRule>
    <cfRule type="expression" dxfId="434" priority="18">
      <formula>B$9&lt;8/24</formula>
    </cfRule>
  </conditionalFormatting>
  <conditionalFormatting sqref="B161:C167">
    <cfRule type="expression" dxfId="433" priority="19">
      <formula>B$9&gt;=20/24</formula>
    </cfRule>
    <cfRule type="expression" dxfId="432" priority="20">
      <formula>AND(B$9&gt;=14/24,B$9&lt;20/24)</formula>
    </cfRule>
    <cfRule type="expression" dxfId="431" priority="21">
      <formula>AND(B$9&gt;=8/24,B$9&lt;14/24)</formula>
    </cfRule>
    <cfRule type="expression" dxfId="430" priority="22">
      <formula>B$9&lt;8/24</formula>
    </cfRule>
  </conditionalFormatting>
  <conditionalFormatting sqref="B169:B274 C169:C174">
    <cfRule type="expression" dxfId="429" priority="10">
      <formula>B$9&gt;=20/24</formula>
    </cfRule>
    <cfRule type="expression" dxfId="428" priority="11">
      <formula>AND(B$9&gt;=14/24,B$9&lt;20/24)</formula>
    </cfRule>
    <cfRule type="expression" dxfId="427" priority="12">
      <formula>AND(B$9&gt;=8/24,B$9&lt;14/24)</formula>
    </cfRule>
    <cfRule type="expression" dxfId="426" priority="13">
      <formula>B$9&lt;8/24</formula>
    </cfRule>
  </conditionalFormatting>
  <conditionalFormatting sqref="B11:Q13 R11:Y12">
    <cfRule type="expression" dxfId="425" priority="23">
      <formula>B11&gt;$AG11*1</formula>
    </cfRule>
  </conditionalFormatting>
  <conditionalFormatting sqref="A153">
    <cfRule type="expression" dxfId="424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23" priority="5">
      <formula>AL$9&gt;=20/24</formula>
    </cfRule>
  </conditionalFormatting>
  <conditionalFormatting sqref="AL153">
    <cfRule type="expression" dxfId="422" priority="6">
      <formula>AND(AL$9&gt;=14/24,AL$9&lt;20/24)</formula>
    </cfRule>
    <cfRule type="expression" dxfId="421" priority="7">
      <formula>AND(AL$9&gt;=8/24,AL$9&lt;14/24)</formula>
    </cfRule>
    <cfRule type="expression" dxfId="420" priority="8">
      <formula>AL$9&lt;8/24</formula>
    </cfRule>
  </conditionalFormatting>
  <conditionalFormatting sqref="AA137:AF151">
    <cfRule type="expression" dxfId="419" priority="1">
      <formula>AA$9&gt;=20/24</formula>
    </cfRule>
    <cfRule type="expression" dxfId="418" priority="2">
      <formula>AND(AA$9&gt;=14/24,AA$9&lt;20/24)</formula>
    </cfRule>
    <cfRule type="expression" dxfId="417" priority="3">
      <formula>AND(AA$9&gt;=8/24,AA$9&lt;14/24)</formula>
    </cfRule>
    <cfRule type="expression" dxfId="416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Q32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F96" sqref="AF9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1887.3700000000001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2265.5700000000002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1887.3700000000001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14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8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3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25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2210.5700000000002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2265.5700000000002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1887.3700000000001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15" priority="25">
      <formula>$AH11=0</formula>
    </cfRule>
  </conditionalFormatting>
  <conditionalFormatting sqref="A101:A102">
    <cfRule type="expression" dxfId="414" priority="193">
      <formula>$AH106=0</formula>
    </cfRule>
  </conditionalFormatting>
  <conditionalFormatting sqref="A103:A107">
    <cfRule type="expression" dxfId="413" priority="141">
      <formula>$AH102=0</formula>
    </cfRule>
  </conditionalFormatting>
  <conditionalFormatting sqref="A160:A167">
    <cfRule type="expression" dxfId="412" priority="194">
      <formula>$AH267=0</formula>
    </cfRule>
  </conditionalFormatting>
  <conditionalFormatting sqref="A168:A275">
    <cfRule type="expression" dxfId="411" priority="64">
      <formula>$AH168=0</formula>
    </cfRule>
  </conditionalFormatting>
  <conditionalFormatting sqref="B8">
    <cfRule type="expression" dxfId="410" priority="189">
      <formula>AND(C$9&gt;=14/24,C$9&lt;20/24)</formula>
    </cfRule>
    <cfRule type="expression" dxfId="409" priority="190">
      <formula>AND(C$9&gt;=8/24,C$9&lt;14/24)</formula>
    </cfRule>
    <cfRule type="expression" dxfId="408" priority="191">
      <formula>C$9&lt;8/24</formula>
    </cfRule>
    <cfRule type="expression" dxfId="407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406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405" priority="107">
      <formula>AND(B$9&gt;=14/24,B$9&lt;20/24)</formula>
    </cfRule>
    <cfRule type="expression" dxfId="404" priority="108">
      <formula>AND(B$9&gt;=8/24,B$9&lt;14/24)</formula>
    </cfRule>
    <cfRule type="expression" dxfId="403" priority="109">
      <formula>B$9&lt;8/24</formula>
    </cfRule>
  </conditionalFormatting>
  <conditionalFormatting sqref="B29:O53 P14:R32 R33:R53 P11:Q151 S14:AF53">
    <cfRule type="expression" dxfId="186" priority="49">
      <formula>B11&gt;$AG11*1</formula>
    </cfRule>
    <cfRule type="expression" dxfId="185" priority="50">
      <formula>B$9&gt;=20/24</formula>
    </cfRule>
    <cfRule type="expression" dxfId="184" priority="51">
      <formula>AND(B$9&gt;=14/24,B$9&lt;20/24)</formula>
    </cfRule>
    <cfRule type="expression" dxfId="183" priority="52">
      <formula>AND(B$9&gt;=8/24,B$9&lt;14/24)</formula>
    </cfRule>
    <cfRule type="expression" dxfId="182" priority="53">
      <formula>B$9&lt;8/24</formula>
    </cfRule>
  </conditionalFormatting>
  <conditionalFormatting sqref="B54:O68 R54:AF68">
    <cfRule type="expression" dxfId="402" priority="42">
      <formula>B$9&lt;8/24</formula>
    </cfRule>
  </conditionalFormatting>
  <conditionalFormatting sqref="B54:O70 R54:AF70">
    <cfRule type="expression" dxfId="401" priority="39">
      <formula>B$9&gt;=20/24</formula>
    </cfRule>
    <cfRule type="expression" dxfId="400" priority="40">
      <formula>AND(B$9&gt;=14/24,B$9&lt;20/24)</formula>
    </cfRule>
    <cfRule type="expression" dxfId="399" priority="41">
      <formula>AND(B$9&gt;=8/24,B$9&lt;14/24)</formula>
    </cfRule>
  </conditionalFormatting>
  <conditionalFormatting sqref="B63:O65 R63:AF65">
    <cfRule type="expression" dxfId="398" priority="43">
      <formula>B63&gt;$AG63</formula>
    </cfRule>
  </conditionalFormatting>
  <conditionalFormatting sqref="B69:O70 R69:AF70">
    <cfRule type="expression" dxfId="397" priority="114">
      <formula>B$9&lt;8/24</formula>
    </cfRule>
  </conditionalFormatting>
  <conditionalFormatting sqref="B72:O75 R72:AF75">
    <cfRule type="expression" dxfId="396" priority="30">
      <formula>B72&gt;$AG72*1</formula>
    </cfRule>
  </conditionalFormatting>
  <conditionalFormatting sqref="B73:O75 R73:AF75">
    <cfRule type="expression" dxfId="395" priority="31">
      <formula>B$9&gt;=20/24</formula>
    </cfRule>
    <cfRule type="expression" dxfId="394" priority="32">
      <formula>AND(B$9&gt;=14/24,B$9&lt;20/24)</formula>
    </cfRule>
    <cfRule type="expression" dxfId="393" priority="33">
      <formula>AND(B$9&gt;=8/24,B$9&lt;14/24)</formula>
    </cfRule>
    <cfRule type="expression" dxfId="392" priority="34">
      <formula>B$9&lt;8/24</formula>
    </cfRule>
  </conditionalFormatting>
  <conditionalFormatting sqref="G161:AF167">
    <cfRule type="expression" dxfId="391" priority="65">
      <formula>G$9&gt;=20/24</formula>
    </cfRule>
    <cfRule type="expression" dxfId="390" priority="66">
      <formula>AND(G$9&gt;=14/24,G$9&lt;20/24)</formula>
    </cfRule>
    <cfRule type="expression" dxfId="389" priority="67">
      <formula>AND(G$9&gt;=8/24,G$9&lt;14/24)</formula>
    </cfRule>
    <cfRule type="expression" dxfId="388" priority="68">
      <formula>G$9&lt;8/24</formula>
    </cfRule>
  </conditionalFormatting>
  <conditionalFormatting sqref="G169:AF274">
    <cfRule type="expression" dxfId="387" priority="26">
      <formula>G$9&gt;=20/24</formula>
    </cfRule>
    <cfRule type="expression" dxfId="386" priority="27">
      <formula>AND(G$9&gt;=14/24,G$9&lt;20/24)</formula>
    </cfRule>
    <cfRule type="expression" dxfId="385" priority="28">
      <formula>AND(G$9&gt;=8/24,G$9&lt;14/24)</formula>
    </cfRule>
    <cfRule type="expression" dxfId="384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383" priority="105">
      <formula>B11&gt;$AG11*1</formula>
    </cfRule>
  </conditionalFormatting>
  <conditionalFormatting sqref="G79:O83">
    <cfRule type="expression" dxfId="382" priority="115">
      <formula>G$9&gt;=20/24</formula>
    </cfRule>
    <cfRule type="expression" dxfId="381" priority="116">
      <formula>AND(G$9&gt;=14/24,G$9&lt;20/24)</formula>
    </cfRule>
    <cfRule type="expression" dxfId="380" priority="117">
      <formula>AND(G$9&gt;=8/24,G$9&lt;14/24)</formula>
    </cfRule>
    <cfRule type="expression" dxfId="379" priority="118">
      <formula>G$9&lt;8/24</formula>
    </cfRule>
  </conditionalFormatting>
  <conditionalFormatting sqref="G84:O84">
    <cfRule type="expression" dxfId="378" priority="110">
      <formula>G$9&gt;=20/24</formula>
    </cfRule>
    <cfRule type="expression" dxfId="377" priority="111">
      <formula>AND(G$9&gt;=14/24,G$9&lt;20/24)</formula>
    </cfRule>
    <cfRule type="expression" dxfId="376" priority="112">
      <formula>AND(G$9&gt;=8/24,G$9&lt;14/24)</formula>
    </cfRule>
    <cfRule type="expression" dxfId="375" priority="113">
      <formula>G$9&lt;8/24</formula>
    </cfRule>
  </conditionalFormatting>
  <conditionalFormatting sqref="G78:O78 B72:O72 R72:AF72 R76:AF78">
    <cfRule type="expression" dxfId="374" priority="125">
      <formula>B$9&gt;=20/24</formula>
    </cfRule>
    <cfRule type="expression" dxfId="373" priority="126">
      <formula>AND(B$9&gt;=14/24,B$9&lt;20/24)</formula>
    </cfRule>
    <cfRule type="expression" dxfId="372" priority="127">
      <formula>AND(B$9&gt;=8/24,B$9&lt;14/24)</formula>
    </cfRule>
    <cfRule type="expression" dxfId="371" priority="128">
      <formula>B$9&lt;8/24</formula>
    </cfRule>
  </conditionalFormatting>
  <conditionalFormatting sqref="R73:AF75">
    <cfRule type="expression" dxfId="370" priority="35">
      <formula>R$9&gt;=20/24</formula>
    </cfRule>
    <cfRule type="expression" dxfId="369" priority="36">
      <formula>AND(R$9&gt;=14/24,R$9&lt;20/24)</formula>
    </cfRule>
    <cfRule type="expression" dxfId="368" priority="37">
      <formula>AND(R$9&gt;=8/24,R$9&lt;14/24)</formula>
    </cfRule>
    <cfRule type="expression" dxfId="367" priority="38">
      <formula>R$9&lt;8/24</formula>
    </cfRule>
  </conditionalFormatting>
  <conditionalFormatting sqref="G79:O81">
    <cfRule type="expression" dxfId="366" priority="133">
      <formula>G$9&gt;=20/24</formula>
    </cfRule>
    <cfRule type="expression" dxfId="365" priority="134">
      <formula>AND(G$9&gt;=14/24,G$9&lt;20/24)</formula>
    </cfRule>
    <cfRule type="expression" dxfId="364" priority="135">
      <formula>AND(G$9&gt;=8/24,G$9&lt;14/24)</formula>
    </cfRule>
    <cfRule type="expression" dxfId="363" priority="136">
      <formula>G$9&lt;8/24</formula>
    </cfRule>
  </conditionalFormatting>
  <conditionalFormatting sqref="L84:O84 R84:AF84">
    <cfRule type="expression" dxfId="362" priority="129">
      <formula>L$9&gt;=20/24</formula>
    </cfRule>
    <cfRule type="expression" dxfId="361" priority="130">
      <formula>AND(L$9&gt;=14/24,L$9&lt;20/24)</formula>
    </cfRule>
    <cfRule type="expression" dxfId="360" priority="131">
      <formula>AND(L$9&gt;=8/24,L$9&lt;14/24)</formula>
    </cfRule>
    <cfRule type="expression" dxfId="359" priority="132">
      <formula>L$9&lt;8/24</formula>
    </cfRule>
  </conditionalFormatting>
  <conditionalFormatting sqref="M8 S8 AB8">
    <cfRule type="expression" dxfId="358" priority="182">
      <formula>AND(N$9&gt;=14/24,N$9&lt;20/24)</formula>
    </cfRule>
    <cfRule type="expression" dxfId="357" priority="183">
      <formula>AND(N$9&gt;=8/24,N$9&lt;14/24)</formula>
    </cfRule>
    <cfRule type="expression" dxfId="356" priority="184">
      <formula>N$9&lt;8/24</formula>
    </cfRule>
  </conditionalFormatting>
  <conditionalFormatting sqref="R79:Z83 Z80:AF83">
    <cfRule type="expression" dxfId="355" priority="137">
      <formula>R$9&gt;=20/24</formula>
    </cfRule>
    <cfRule type="expression" dxfId="354" priority="138">
      <formula>AND(R$9&gt;=14/24,R$9&lt;20/24)</formula>
    </cfRule>
    <cfRule type="expression" dxfId="353" priority="139">
      <formula>AND(R$9&gt;=8/24,R$9&lt;14/24)</formula>
    </cfRule>
    <cfRule type="expression" dxfId="352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51" priority="181">
      <formula>N$9&gt;=20/24</formula>
    </cfRule>
  </conditionalFormatting>
  <conditionalFormatting sqref="S8">
    <cfRule type="expression" dxfId="350" priority="172">
      <formula>U$9&gt;=20/24</formula>
    </cfRule>
    <cfRule type="expression" dxfId="349" priority="173">
      <formula>AND(U$9&gt;=14/24,U$9&lt;20/24)</formula>
    </cfRule>
    <cfRule type="expression" dxfId="348" priority="174">
      <formula>AND(U$9&gt;=8/24,U$9&lt;14/24)</formula>
    </cfRule>
    <cfRule type="expression" dxfId="347" priority="175">
      <formula>U$9&lt;8/24</formula>
    </cfRule>
  </conditionalFormatting>
  <conditionalFormatting sqref="Z79:AF84">
    <cfRule type="expression" dxfId="346" priority="59">
      <formula>Z$9&gt;=20/24</formula>
    </cfRule>
    <cfRule type="expression" dxfId="345" priority="60">
      <formula>AND(Z$9&gt;=14/24,Z$9&lt;20/24)</formula>
    </cfRule>
    <cfRule type="expression" dxfId="344" priority="61">
      <formula>AND(Z$9&gt;=8/24,Z$9&lt;14/24)</formula>
    </cfRule>
    <cfRule type="expression" dxfId="343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337" priority="119">
      <formula>B54&gt;$AG54</formula>
    </cfRule>
  </conditionalFormatting>
  <conditionalFormatting sqref="AB8">
    <cfRule type="expression" dxfId="336" priority="168">
      <formula>AD$9&gt;=20/24</formula>
    </cfRule>
    <cfRule type="expression" dxfId="335" priority="169">
      <formula>AND(AD$9&gt;=14/24,AD$9&lt;20/24)</formula>
    </cfRule>
    <cfRule type="expression" dxfId="334" priority="170">
      <formula>AND(AD$9&gt;=8/24,AD$9&lt;14/24)</formula>
    </cfRule>
    <cfRule type="expression" dxfId="333" priority="171">
      <formula>AD$9&lt;8/24</formula>
    </cfRule>
  </conditionalFormatting>
  <conditionalFormatting sqref="AG78">
    <cfRule type="expression" dxfId="327" priority="147">
      <formula>AG$9&gt;=20/24</formula>
    </cfRule>
    <cfRule type="expression" dxfId="326" priority="148">
      <formula>AND(AG$9&gt;=14/24,AG$9&lt;20/24)</formula>
    </cfRule>
    <cfRule type="expression" dxfId="325" priority="149">
      <formula>AND(AG$9&gt;=8/24,AG$9&lt;14/24)</formula>
    </cfRule>
    <cfRule type="expression" dxfId="324" priority="150">
      <formula>AG$9&lt;8/24</formula>
    </cfRule>
  </conditionalFormatting>
  <conditionalFormatting sqref="AG91:AG92">
    <cfRule type="expression" dxfId="323" priority="142">
      <formula>AG91&gt;$AG91</formula>
    </cfRule>
  </conditionalFormatting>
  <conditionalFormatting sqref="AG96">
    <cfRule type="expression" dxfId="322" priority="143">
      <formula>AG$9&gt;=20/24</formula>
    </cfRule>
    <cfRule type="expression" dxfId="321" priority="144">
      <formula>AND(AG$9&gt;=14/24,AG$9&lt;20/24)</formula>
    </cfRule>
    <cfRule type="expression" dxfId="320" priority="145">
      <formula>AND(AG$9&gt;=8/24,AG$9&lt;14/24)</formula>
    </cfRule>
    <cfRule type="expression" dxfId="319" priority="146">
      <formula>AG$9&lt;8/24</formula>
    </cfRule>
  </conditionalFormatting>
  <conditionalFormatting sqref="AG113">
    <cfRule type="expression" dxfId="318" priority="164">
      <formula>AG$9&gt;=20/24</formula>
    </cfRule>
    <cfRule type="expression" dxfId="317" priority="165">
      <formula>AND(AG$9&gt;=14/24,AG$9&lt;20/24)</formula>
    </cfRule>
    <cfRule type="expression" dxfId="316" priority="166">
      <formula>AND(AG$9&gt;=8/24,AG$9&lt;14/24)</formula>
    </cfRule>
    <cfRule type="expression" dxfId="315" priority="167">
      <formula>AG$9&lt;8/24</formula>
    </cfRule>
  </conditionalFormatting>
  <conditionalFormatting sqref="AH8:AI10">
    <cfRule type="expression" dxfId="314" priority="55">
      <formula>AH$9&gt;=20/24</formula>
    </cfRule>
    <cfRule type="expression" dxfId="313" priority="56">
      <formula>AND(AH$9&gt;=14/24,AH$9&lt;20/24)</formula>
    </cfRule>
    <cfRule type="expression" dxfId="312" priority="57">
      <formula>AND(AH$9&gt;=8/24,AH$9&lt;14/24)</formula>
    </cfRule>
    <cfRule type="expression" dxfId="311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10" priority="185">
      <formula>AJ$9&gt;=20/24</formula>
    </cfRule>
    <cfRule type="expression" dxfId="309" priority="186">
      <formula>AND(AJ$9&gt;=14/24,AJ$9&lt;20/24)</formula>
    </cfRule>
    <cfRule type="expression" dxfId="308" priority="187">
      <formula>AND(AJ$9&gt;=8/24,AJ$9&lt;14/24)</formula>
    </cfRule>
    <cfRule type="expression" dxfId="307" priority="188">
      <formula>AJ$9&lt;8/24</formula>
    </cfRule>
  </conditionalFormatting>
  <conditionalFormatting sqref="AL99:AN99 AL105:AN105">
    <cfRule type="expression" dxfId="306" priority="157">
      <formula>AL$9&gt;=20/24</formula>
    </cfRule>
    <cfRule type="expression" dxfId="305" priority="158">
      <formula>AND(AL$9&gt;=14/24,AL$9&lt;20/24)</formula>
    </cfRule>
    <cfRule type="expression" dxfId="304" priority="159">
      <formula>AND(AL$9&gt;=8/24,AL$9&lt;14/24)</formula>
    </cfRule>
    <cfRule type="expression" dxfId="303" priority="160">
      <formula>AL$9&lt;8/24</formula>
    </cfRule>
  </conditionalFormatting>
  <conditionalFormatting sqref="AM15:AM21 AN16:AR21">
    <cfRule type="expression" dxfId="302" priority="81">
      <formula>AX$9&gt;=20/24</formula>
    </cfRule>
    <cfRule type="expression" dxfId="301" priority="82">
      <formula>AND(AX$9&gt;=14/24,AX$9&lt;20/24)</formula>
    </cfRule>
    <cfRule type="expression" dxfId="300" priority="83">
      <formula>AND(AX$9&gt;=8/24,AX$9&lt;14/24)</formula>
    </cfRule>
    <cfRule type="expression" dxfId="299" priority="84">
      <formula>AX$9&lt;8/24</formula>
    </cfRule>
  </conditionalFormatting>
  <conditionalFormatting sqref="AN100:AN103">
    <cfRule type="expression" dxfId="298" priority="153">
      <formula>AN$9&gt;=20/24</formula>
    </cfRule>
    <cfRule type="expression" dxfId="297" priority="154">
      <formula>AND(AN$9&gt;=14/24,AN$9&lt;20/24)</formula>
    </cfRule>
    <cfRule type="expression" dxfId="296" priority="155">
      <formula>AND(AN$9&gt;=8/24,AN$9&lt;14/24)</formula>
    </cfRule>
    <cfRule type="expression" dxfId="295" priority="156">
      <formula>AN$9&lt;8/24</formula>
    </cfRule>
  </conditionalFormatting>
  <conditionalFormatting sqref="AN15:AR15">
    <cfRule type="expression" dxfId="294" priority="69">
      <formula>U$9&gt;=20/24</formula>
    </cfRule>
    <cfRule type="expression" dxfId="293" priority="70">
      <formula>AND(U$9&gt;=14/24,U$9&lt;20/24)</formula>
    </cfRule>
    <cfRule type="expression" dxfId="292" priority="71">
      <formula>AND(U$9&gt;=8/24,U$9&lt;14/24)</formula>
    </cfRule>
    <cfRule type="expression" dxfId="291" priority="72">
      <formula>U$9&lt;8/24</formula>
    </cfRule>
  </conditionalFormatting>
  <conditionalFormatting sqref="AS15">
    <cfRule type="expression" dxfId="290" priority="77">
      <formula>AA$9&gt;=20/24</formula>
    </cfRule>
    <cfRule type="expression" dxfId="289" priority="78">
      <formula>AND(AA$9&gt;=14/24,AA$9&lt;20/24)</formula>
    </cfRule>
    <cfRule type="expression" dxfId="288" priority="79">
      <formula>AND(AA$9&gt;=8/24,AA$9&lt;14/24)</formula>
    </cfRule>
    <cfRule type="expression" dxfId="287" priority="80">
      <formula>AA$9&lt;8/24</formula>
    </cfRule>
  </conditionalFormatting>
  <conditionalFormatting sqref="AS16:AS21">
    <cfRule type="expression" dxfId="286" priority="85">
      <formula>BE$9&gt;=20/24</formula>
    </cfRule>
    <cfRule type="expression" dxfId="285" priority="86">
      <formula>AND(BE$9&gt;=14/24,BE$9&lt;20/24)</formula>
    </cfRule>
    <cfRule type="expression" dxfId="284" priority="87">
      <formula>AND(BE$9&gt;=8/24,BE$9&lt;14/24)</formula>
    </cfRule>
    <cfRule type="expression" dxfId="283" priority="88">
      <formula>BE$9&lt;8/24</formula>
    </cfRule>
  </conditionalFormatting>
  <conditionalFormatting sqref="AT15 AX15:BJ15">
    <cfRule type="expression" dxfId="282" priority="89">
      <formula>AC$9&gt;=20/24</formula>
    </cfRule>
    <cfRule type="expression" dxfId="281" priority="90">
      <formula>AND(AC$9&gt;=14/24,AC$9&lt;20/24)</formula>
    </cfRule>
    <cfRule type="expression" dxfId="280" priority="91">
      <formula>AND(AC$9&gt;=8/24,AC$9&lt;14/24)</formula>
    </cfRule>
    <cfRule type="expression" dxfId="279" priority="92">
      <formula>AC$9&lt;8/24</formula>
    </cfRule>
  </conditionalFormatting>
  <conditionalFormatting sqref="AT16:AT21">
    <cfRule type="expression" dxfId="278" priority="93">
      <formula>BG$9&gt;=20/24</formula>
    </cfRule>
    <cfRule type="expression" dxfId="277" priority="94">
      <formula>AND(BG$9&gt;=14/24,BG$9&lt;20/24)</formula>
    </cfRule>
    <cfRule type="expression" dxfId="276" priority="95">
      <formula>AND(BG$9&gt;=8/24,BG$9&lt;14/24)</formula>
    </cfRule>
    <cfRule type="expression" dxfId="275" priority="96">
      <formula>BG$9&lt;8/24</formula>
    </cfRule>
  </conditionalFormatting>
  <conditionalFormatting sqref="AU15:AV15">
    <cfRule type="expression" dxfId="274" priority="97">
      <formula>AE$9&gt;=20/24</formula>
    </cfRule>
    <cfRule type="expression" dxfId="273" priority="98">
      <formula>AND(AE$9&gt;=14/24,AE$9&lt;20/24)</formula>
    </cfRule>
    <cfRule type="expression" dxfId="272" priority="99">
      <formula>AND(AE$9&gt;=8/24,AE$9&lt;14/24)</formula>
    </cfRule>
    <cfRule type="expression" dxfId="271" priority="100">
      <formula>AE$9&lt;8/24</formula>
    </cfRule>
  </conditionalFormatting>
  <conditionalFormatting sqref="AU16:BJ21">
    <cfRule type="expression" dxfId="270" priority="101">
      <formula>BI$9&gt;=20/24</formula>
    </cfRule>
    <cfRule type="expression" dxfId="269" priority="102">
      <formula>AND(BI$9&gt;=14/24,BI$9&lt;20/24)</formula>
    </cfRule>
    <cfRule type="expression" dxfId="268" priority="103">
      <formula>AND(BI$9&gt;=8/24,BI$9&lt;14/24)</formula>
    </cfRule>
    <cfRule type="expression" dxfId="267" priority="104">
      <formula>BI$9&lt;8/24</formula>
    </cfRule>
  </conditionalFormatting>
  <conditionalFormatting sqref="AW15">
    <cfRule type="expression" dxfId="266" priority="73">
      <formula>B$9&gt;=20/24</formula>
    </cfRule>
    <cfRule type="expression" dxfId="265" priority="74">
      <formula>AND(B$9&gt;=14/24,B$9&lt;20/24)</formula>
    </cfRule>
    <cfRule type="expression" dxfId="264" priority="75">
      <formula>AND(B$9&gt;=8/24,B$9&lt;14/24)</formula>
    </cfRule>
    <cfRule type="expression" dxfId="263" priority="76">
      <formula>B$9&lt;8/24</formula>
    </cfRule>
  </conditionalFormatting>
  <conditionalFormatting sqref="A73">
    <cfRule type="expression" dxfId="262" priority="24">
      <formula>$AH73=0</formula>
    </cfRule>
  </conditionalFormatting>
  <conditionalFormatting sqref="B97:F107 B137:F152 B109:F112 B125:F134 B154:F159 B11:O13">
    <cfRule type="expression" dxfId="261" priority="20">
      <formula>B$9&gt;=20/24</formula>
    </cfRule>
  </conditionalFormatting>
  <conditionalFormatting sqref="B97:F107 B137:F152 B109:F112 B125:F134 B154:F159 B11:O13">
    <cfRule type="expression" dxfId="260" priority="21">
      <formula>AND(B$9&gt;=14/24,B$9&lt;20/24)</formula>
    </cfRule>
    <cfRule type="expression" dxfId="259" priority="22">
      <formula>AND(B$9&gt;=8/24,B$9&lt;14/24)</formula>
    </cfRule>
    <cfRule type="expression" dxfId="258" priority="23">
      <formula>B$9&lt;8/24</formula>
    </cfRule>
  </conditionalFormatting>
  <conditionalFormatting sqref="B14:O28">
    <cfRule type="expression" dxfId="257" priority="10">
      <formula>B14&gt;$AG14*1</formula>
    </cfRule>
    <cfRule type="expression" dxfId="256" priority="11">
      <formula>B$9&gt;=20/24</formula>
    </cfRule>
    <cfRule type="expression" dxfId="255" priority="12">
      <formula>AND(B$9&gt;=14/24,B$9&lt;20/24)</formula>
    </cfRule>
    <cfRule type="expression" dxfId="254" priority="13">
      <formula>AND(B$9&gt;=8/24,B$9&lt;14/24)</formula>
    </cfRule>
    <cfRule type="expression" dxfId="253" priority="14">
      <formula>B$9&lt;8/24</formula>
    </cfRule>
  </conditionalFormatting>
  <conditionalFormatting sqref="B161:F167">
    <cfRule type="expression" dxfId="252" priority="15">
      <formula>B$9&gt;=20/24</formula>
    </cfRule>
    <cfRule type="expression" dxfId="251" priority="16">
      <formula>AND(B$9&gt;=14/24,B$9&lt;20/24)</formula>
    </cfRule>
    <cfRule type="expression" dxfId="250" priority="17">
      <formula>AND(B$9&gt;=8/24,B$9&lt;14/24)</formula>
    </cfRule>
    <cfRule type="expression" dxfId="249" priority="18">
      <formula>B$9&lt;8/24</formula>
    </cfRule>
  </conditionalFormatting>
  <conditionalFormatting sqref="B169:F274">
    <cfRule type="expression" dxfId="248" priority="6">
      <formula>B$9&gt;=20/24</formula>
    </cfRule>
    <cfRule type="expression" dxfId="247" priority="7">
      <formula>AND(B$9&gt;=14/24,B$9&lt;20/24)</formula>
    </cfRule>
    <cfRule type="expression" dxfId="246" priority="8">
      <formula>AND(B$9&gt;=8/24,B$9&lt;14/24)</formula>
    </cfRule>
    <cfRule type="expression" dxfId="245" priority="9">
      <formula>B$9&lt;8/24</formula>
    </cfRule>
  </conditionalFormatting>
  <conditionalFormatting sqref="B11:O13">
    <cfRule type="expression" dxfId="244" priority="19">
      <formula>B11&gt;$AG11*1</formula>
    </cfRule>
  </conditionalFormatting>
  <conditionalFormatting sqref="A153">
    <cfRule type="expression" dxfId="243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42" priority="1">
      <formula>AL$9&gt;=20/24</formula>
    </cfRule>
  </conditionalFormatting>
  <conditionalFormatting sqref="AL153">
    <cfRule type="expression" dxfId="241" priority="2">
      <formula>AND(AL$9&gt;=14/24,AL$9&lt;20/24)</formula>
    </cfRule>
    <cfRule type="expression" dxfId="240" priority="3">
      <formula>AND(AL$9&gt;=8/24,AL$9&lt;14/24)</formula>
    </cfRule>
    <cfRule type="expression" dxfId="239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tabSelected="1" zoomScale="112" zoomScaleNormal="112" workbookViewId="0">
      <pane xSplit="1" ySplit="10" topLeftCell="B122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E152" sqref="E152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2080/10/7</v>
      </c>
      <c r="C4" s="213"/>
      <c r="D4" s="213"/>
      <c r="E4" s="214" t="str">
        <f ca="1">"2080/"&amp;"10/"&amp;INT(MID(CELL("filename",G6),FIND("]",CELL("filename",G6))+1,200))</f>
        <v>2080/10/7</v>
      </c>
      <c r="F4" s="214"/>
      <c r="G4" s="214"/>
      <c r="H4" s="214" t="str">
        <f ca="1">TEXT(E4,"dddd")</f>
        <v>Monday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111.8</v>
      </c>
      <c r="C5" s="30">
        <f t="shared" si="0"/>
        <v>112</v>
      </c>
      <c r="D5" s="30">
        <f t="shared" si="0"/>
        <v>106.8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62.2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1890.3700000000001</v>
      </c>
      <c r="C7" s="35">
        <f t="shared" si="1"/>
        <v>1748.06</v>
      </c>
      <c r="D7" s="35">
        <f t="shared" si="1"/>
        <v>1649.6599999999999</v>
      </c>
      <c r="E7" s="35">
        <f t="shared" si="1"/>
        <v>1649.0600000000002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2324.16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1890.37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30.1</v>
      </c>
      <c r="C11" s="43">
        <v>32.1</v>
      </c>
      <c r="D11" s="43">
        <v>32.1</v>
      </c>
      <c r="E11" s="43">
        <v>32.1</v>
      </c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32.1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25.9</v>
      </c>
      <c r="D12" s="43">
        <v>25.9</v>
      </c>
      <c r="E12" s="43">
        <v>25.9</v>
      </c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25.9</v>
      </c>
      <c r="AI12" s="47">
        <f t="shared" si="3"/>
        <v>25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66.900000000000006</v>
      </c>
      <c r="C13" s="43">
        <v>66.900000000000006</v>
      </c>
      <c r="D13" s="43">
        <v>66.900000000000006</v>
      </c>
      <c r="E13" s="43">
        <v>66.900000000000006</v>
      </c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66.900000000000006</v>
      </c>
      <c r="AI13" s="47">
        <f t="shared" si="3"/>
        <v>66.900000000000006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32.6</v>
      </c>
      <c r="C14" s="43">
        <v>34.6</v>
      </c>
      <c r="D14" s="43">
        <v>34.6</v>
      </c>
      <c r="E14" s="43">
        <v>34.6</v>
      </c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34.6</v>
      </c>
      <c r="AI14" s="47">
        <f t="shared" si="3"/>
        <v>32.6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60.7</v>
      </c>
      <c r="C15" s="43">
        <v>71.400000000000006</v>
      </c>
      <c r="D15" s="43">
        <v>71.400000000000006</v>
      </c>
      <c r="E15" s="43">
        <v>71.400000000000006</v>
      </c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71.400000000000006</v>
      </c>
      <c r="AI15" s="47">
        <f t="shared" si="3"/>
        <v>60.7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58.9</v>
      </c>
      <c r="C16" s="43">
        <v>48.5</v>
      </c>
      <c r="D16" s="43">
        <v>48.5</v>
      </c>
      <c r="E16" s="43">
        <v>48.5</v>
      </c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58.9</v>
      </c>
      <c r="AI16" s="47">
        <f t="shared" si="3"/>
        <v>48.5</v>
      </c>
      <c r="AK16" s="49"/>
      <c r="AL16" s="52" t="s">
        <v>7</v>
      </c>
      <c r="AM16" s="57">
        <f t="shared" ref="AM16:AR16" si="4">B71</f>
        <v>1141.17</v>
      </c>
      <c r="AN16" s="57">
        <f t="shared" si="4"/>
        <v>1163.1599999999999</v>
      </c>
      <c r="AO16" s="57">
        <f t="shared" si="4"/>
        <v>1118.1600000000001</v>
      </c>
      <c r="AP16" s="57">
        <f t="shared" si="4"/>
        <v>1118.1600000000001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42.8</v>
      </c>
      <c r="C17" s="44">
        <v>38.9</v>
      </c>
      <c r="D17" s="44">
        <v>38.9</v>
      </c>
      <c r="E17" s="44">
        <v>38.9</v>
      </c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42.8</v>
      </c>
      <c r="AI17" s="47">
        <f t="shared" si="3"/>
        <v>38.9</v>
      </c>
      <c r="AK17" s="49"/>
      <c r="AL17" s="52" t="s">
        <v>29</v>
      </c>
      <c r="AM17" s="57">
        <f t="shared" ref="AM17:AR17" si="6">B78</f>
        <v>658.30000000000007</v>
      </c>
      <c r="AN17" s="57">
        <f t="shared" si="6"/>
        <v>663.5</v>
      </c>
      <c r="AO17" s="57">
        <f t="shared" si="6"/>
        <v>660.8</v>
      </c>
      <c r="AP17" s="57">
        <f t="shared" si="6"/>
        <v>608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>
        <v>20.5</v>
      </c>
      <c r="D18" s="44">
        <v>20.5</v>
      </c>
      <c r="E18" s="44">
        <v>20.5</v>
      </c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20.5</v>
      </c>
      <c r="AI18" s="47">
        <f t="shared" si="3"/>
        <v>19.5</v>
      </c>
      <c r="AK18" s="49"/>
      <c r="AL18" s="52" t="s">
        <v>31</v>
      </c>
      <c r="AM18" s="57">
        <f t="shared" ref="AM18:AR18" si="8">B92</f>
        <v>351.9</v>
      </c>
      <c r="AN18" s="57">
        <f t="shared" si="8"/>
        <v>345.7</v>
      </c>
      <c r="AO18" s="57">
        <f t="shared" si="8"/>
        <v>345.7</v>
      </c>
      <c r="AP18" s="57">
        <f t="shared" si="8"/>
        <v>353.90000000000003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62.2</v>
      </c>
      <c r="AN19" s="57">
        <f t="shared" si="10"/>
        <v>111.8</v>
      </c>
      <c r="AO19" s="57">
        <f t="shared" si="10"/>
        <v>112</v>
      </c>
      <c r="AP19" s="57">
        <f t="shared" si="10"/>
        <v>106.8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45</v>
      </c>
      <c r="D21" s="44">
        <v>0</v>
      </c>
      <c r="E21" s="44">
        <v>0</v>
      </c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45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55</v>
      </c>
      <c r="AN21" s="57">
        <f t="shared" si="14"/>
        <v>40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41.7</v>
      </c>
      <c r="C22" s="44">
        <v>40.9</v>
      </c>
      <c r="D22" s="44">
        <v>40.9</v>
      </c>
      <c r="E22" s="44">
        <v>40.9</v>
      </c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41.7</v>
      </c>
      <c r="AI22" s="47">
        <f t="shared" si="3"/>
        <v>40.9</v>
      </c>
      <c r="AK22" s="49"/>
      <c r="AL22" s="59" t="s">
        <v>39</v>
      </c>
      <c r="AM22" s="60">
        <f t="shared" ref="AM22:BJ22" si="16">SUM(AM16:AM21)</f>
        <v>2268.5700000000002</v>
      </c>
      <c r="AN22" s="60">
        <f t="shared" si="16"/>
        <v>2324.16</v>
      </c>
      <c r="AO22" s="60">
        <f t="shared" si="16"/>
        <v>2236.66</v>
      </c>
      <c r="AP22" s="60">
        <f t="shared" si="16"/>
        <v>2186.86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35</v>
      </c>
      <c r="C23" s="44">
        <v>30.96</v>
      </c>
      <c r="D23" s="44">
        <v>30.96</v>
      </c>
      <c r="E23" s="44">
        <v>30.96</v>
      </c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35</v>
      </c>
      <c r="AI23" s="47">
        <f t="shared" si="3"/>
        <v>30.96</v>
      </c>
      <c r="AK23" s="49"/>
      <c r="AL23" s="59" t="s">
        <v>41</v>
      </c>
      <c r="AM23" s="60">
        <f t="shared" ref="AM23:AR23" si="17">B123*-1</f>
        <v>-378.2</v>
      </c>
      <c r="AN23" s="60">
        <f t="shared" si="17"/>
        <v>-576.1</v>
      </c>
      <c r="AO23" s="60">
        <f t="shared" si="17"/>
        <v>-587</v>
      </c>
      <c r="AP23" s="60">
        <f t="shared" si="17"/>
        <v>-537.79999999999995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32.1</v>
      </c>
      <c r="C24" s="44">
        <v>35.1</v>
      </c>
      <c r="D24" s="44">
        <v>35.1</v>
      </c>
      <c r="E24" s="44">
        <v>35.1</v>
      </c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35.1</v>
      </c>
      <c r="AI24" s="47">
        <f t="shared" si="3"/>
        <v>32.1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27.4</v>
      </c>
      <c r="C25" s="44">
        <v>31.9</v>
      </c>
      <c r="D25" s="44">
        <v>31.9</v>
      </c>
      <c r="E25" s="44">
        <v>31.9</v>
      </c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31.9</v>
      </c>
      <c r="AI25" s="47">
        <f t="shared" si="3"/>
        <v>27.4</v>
      </c>
      <c r="AK25" s="49"/>
      <c r="AL25" s="59" t="s">
        <v>44</v>
      </c>
      <c r="AM25" s="60">
        <f t="shared" ref="AM25:BJ25" si="19">AM22+AM23</f>
        <v>1890.3700000000001</v>
      </c>
      <c r="AN25" s="60">
        <f t="shared" si="19"/>
        <v>1748.06</v>
      </c>
      <c r="AO25" s="60">
        <f t="shared" si="19"/>
        <v>1649.6599999999999</v>
      </c>
      <c r="AP25" s="60">
        <f t="shared" si="19"/>
        <v>1649.0600000000002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>
        <v>27.1</v>
      </c>
      <c r="D26" s="44">
        <v>27.1</v>
      </c>
      <c r="E26" s="44">
        <v>27.1</v>
      </c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33.1</v>
      </c>
      <c r="AI26" s="47">
        <f t="shared" si="3"/>
        <v>27.1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25.7</v>
      </c>
      <c r="C27" s="44">
        <v>28.4</v>
      </c>
      <c r="D27" s="44">
        <v>28.4</v>
      </c>
      <c r="E27" s="44">
        <v>28.4</v>
      </c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28.4</v>
      </c>
      <c r="AI27" s="47">
        <f t="shared" si="3"/>
        <v>25.7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34.6</v>
      </c>
      <c r="C28" s="44">
        <v>34.4</v>
      </c>
      <c r="D28" s="44">
        <v>34.4</v>
      </c>
      <c r="E28" s="44">
        <v>34.4</v>
      </c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34.6</v>
      </c>
      <c r="AI28" s="47">
        <f t="shared" si="3"/>
        <v>34.4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11.5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14.5</v>
      </c>
      <c r="D31" s="44">
        <v>14.5</v>
      </c>
      <c r="E31" s="44">
        <v>14.5</v>
      </c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14.5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>
        <v>13.6</v>
      </c>
      <c r="D32" s="44">
        <v>13.6</v>
      </c>
      <c r="E32" s="44">
        <v>13.6</v>
      </c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</v>
      </c>
      <c r="AI32" s="47">
        <f t="shared" si="3"/>
        <v>13.6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18.77</v>
      </c>
      <c r="C33" s="44">
        <v>17.399999999999999</v>
      </c>
      <c r="D33" s="44">
        <v>17.399999999999999</v>
      </c>
      <c r="E33" s="44">
        <v>17.399999999999999</v>
      </c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18.77</v>
      </c>
      <c r="AI33" s="47">
        <f t="shared" si="3"/>
        <v>17.399999999999999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15.7</v>
      </c>
      <c r="C37" s="44">
        <v>15.7</v>
      </c>
      <c r="D37" s="44">
        <v>15.7</v>
      </c>
      <c r="E37" s="44">
        <v>15.7</v>
      </c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15.7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5.0999999999999996</v>
      </c>
      <c r="C42" s="44">
        <v>5.0999999999999996</v>
      </c>
      <c r="D42" s="44">
        <v>5.0999999999999996</v>
      </c>
      <c r="E42" s="44">
        <v>5.0999999999999996</v>
      </c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5.0999999999999996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19.5</v>
      </c>
      <c r="C44" s="44">
        <v>19.5</v>
      </c>
      <c r="D44" s="44">
        <v>19.5</v>
      </c>
      <c r="E44" s="44">
        <v>19.5</v>
      </c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19.5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19.5</v>
      </c>
      <c r="C45" s="44">
        <v>19.5</v>
      </c>
      <c r="D45" s="44">
        <v>19.5</v>
      </c>
      <c r="E45" s="44">
        <v>19.5</v>
      </c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19.5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14.8</v>
      </c>
      <c r="C46" s="44">
        <v>14.8</v>
      </c>
      <c r="D46" s="44">
        <v>14.8</v>
      </c>
      <c r="E46" s="44">
        <v>14.8</v>
      </c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14.8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6.2</v>
      </c>
      <c r="C47" s="44">
        <v>6.2</v>
      </c>
      <c r="D47" s="44">
        <v>6.2</v>
      </c>
      <c r="E47" s="44">
        <v>6.2</v>
      </c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6.2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11.3</v>
      </c>
      <c r="C48" s="44">
        <v>11.3</v>
      </c>
      <c r="D48" s="44">
        <v>11.3</v>
      </c>
      <c r="E48" s="44">
        <v>11.3</v>
      </c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11.3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8.4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>
        <v>4.2</v>
      </c>
      <c r="E53" s="44">
        <v>4.2</v>
      </c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4.2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>
        <v>11.1</v>
      </c>
      <c r="D55" s="44">
        <v>11.1</v>
      </c>
      <c r="E55" s="44">
        <v>11.1</v>
      </c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11.1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>
        <v>4.2</v>
      </c>
      <c r="D57" s="44">
        <v>4.2</v>
      </c>
      <c r="E57" s="44">
        <v>4.2</v>
      </c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4.2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v>145.19999999999999</v>
      </c>
      <c r="C70" s="66">
        <v>145.19999999999999</v>
      </c>
      <c r="D70" s="66">
        <v>145.19999999999999</v>
      </c>
      <c r="E70" s="66">
        <v>145.19999999999999</v>
      </c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145.19999999999999</v>
      </c>
      <c r="AI70" s="47">
        <f t="shared" si="3"/>
        <v>145.19999999999999</v>
      </c>
      <c r="AK70" s="49"/>
    </row>
    <row r="71" spans="1:88" ht="15.75" thickBot="1" x14ac:dyDescent="0.3">
      <c r="A71" s="69" t="s">
        <v>90</v>
      </c>
      <c r="B71" s="70">
        <f t="shared" ref="B71" si="20">SUM(B11:B69)</f>
        <v>1141.17</v>
      </c>
      <c r="C71" s="70">
        <f>SUM(C11:C69)</f>
        <v>1163.1599999999999</v>
      </c>
      <c r="D71" s="70">
        <f>SUM(D11:D69)</f>
        <v>1118.1600000000001</v>
      </c>
      <c r="E71" s="70">
        <f>SUM(E11:E69)</f>
        <v>1118.1600000000001</v>
      </c>
      <c r="F71" s="70">
        <f t="shared" ref="D71:AG71" si="21">SUM(F11:F69)</f>
        <v>150</v>
      </c>
      <c r="G71" s="70">
        <f t="shared" si="21"/>
        <v>150</v>
      </c>
      <c r="H71" s="70">
        <f t="shared" si="21"/>
        <v>150</v>
      </c>
      <c r="I71" s="70">
        <f t="shared" si="21"/>
        <v>150</v>
      </c>
      <c r="J71" s="70">
        <f t="shared" si="21"/>
        <v>150</v>
      </c>
      <c r="K71" s="70">
        <f t="shared" si="21"/>
        <v>150</v>
      </c>
      <c r="L71" s="70">
        <f t="shared" si="21"/>
        <v>150</v>
      </c>
      <c r="M71" s="70">
        <f t="shared" si="21"/>
        <v>150</v>
      </c>
      <c r="N71" s="70">
        <f t="shared" si="21"/>
        <v>150</v>
      </c>
      <c r="O71" s="70">
        <f t="shared" si="21"/>
        <v>150</v>
      </c>
      <c r="P71" s="70">
        <f t="shared" si="21"/>
        <v>150</v>
      </c>
      <c r="Q71" s="70">
        <f t="shared" si="21"/>
        <v>150</v>
      </c>
      <c r="R71" s="70">
        <f t="shared" si="21"/>
        <v>150</v>
      </c>
      <c r="S71" s="70">
        <f t="shared" si="21"/>
        <v>150</v>
      </c>
      <c r="T71" s="70">
        <f t="shared" si="21"/>
        <v>150</v>
      </c>
      <c r="U71" s="70">
        <f t="shared" si="21"/>
        <v>150</v>
      </c>
      <c r="V71" s="70">
        <f t="shared" si="21"/>
        <v>150</v>
      </c>
      <c r="W71" s="70">
        <f t="shared" si="21"/>
        <v>150</v>
      </c>
      <c r="X71" s="70">
        <f t="shared" si="21"/>
        <v>150</v>
      </c>
      <c r="Y71" s="70">
        <f t="shared" si="21"/>
        <v>150</v>
      </c>
      <c r="Z71" s="70">
        <f t="shared" si="21"/>
        <v>150</v>
      </c>
      <c r="AA71" s="70">
        <f t="shared" si="21"/>
        <v>150</v>
      </c>
      <c r="AB71" s="70">
        <f>SUM(AB11:AB69)</f>
        <v>150</v>
      </c>
      <c r="AC71" s="70">
        <f t="shared" si="21"/>
        <v>150</v>
      </c>
      <c r="AD71" s="70">
        <f t="shared" si="21"/>
        <v>150</v>
      </c>
      <c r="AE71" s="70">
        <f t="shared" si="21"/>
        <v>150</v>
      </c>
      <c r="AF71" s="70">
        <f t="shared" si="21"/>
        <v>150</v>
      </c>
      <c r="AG71" s="70">
        <f t="shared" si="21"/>
        <v>1812.2049999999999</v>
      </c>
      <c r="AH71" s="46">
        <f t="shared" si="2"/>
        <v>1163.1599999999999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458.1</v>
      </c>
      <c r="C72" s="44">
        <v>460.9</v>
      </c>
      <c r="D72" s="44">
        <v>458.2</v>
      </c>
      <c r="E72" s="44">
        <v>458</v>
      </c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460.9</v>
      </c>
      <c r="AI72" s="47">
        <f t="shared" si="3"/>
        <v>458</v>
      </c>
      <c r="AK72" s="49"/>
    </row>
    <row r="73" spans="1:88" x14ac:dyDescent="0.25">
      <c r="A73" s="72" t="s">
        <v>92</v>
      </c>
      <c r="B73" s="43">
        <v>84.4</v>
      </c>
      <c r="C73" s="43">
        <v>84.1</v>
      </c>
      <c r="D73" s="43">
        <v>84.1</v>
      </c>
      <c r="E73" s="43">
        <v>33</v>
      </c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84.4</v>
      </c>
      <c r="AI73" s="47">
        <f t="shared" si="3"/>
        <v>33</v>
      </c>
      <c r="AK73" s="49"/>
    </row>
    <row r="74" spans="1:88" x14ac:dyDescent="0.25">
      <c r="A74" s="73" t="s">
        <v>93</v>
      </c>
      <c r="B74" s="43">
        <v>50.1</v>
      </c>
      <c r="C74" s="43">
        <v>53</v>
      </c>
      <c r="D74" s="43">
        <v>53</v>
      </c>
      <c r="E74" s="43">
        <v>51.5</v>
      </c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53</v>
      </c>
      <c r="AI74" s="47">
        <f t="shared" si="3"/>
        <v>50.1</v>
      </c>
      <c r="AK74" s="49"/>
    </row>
    <row r="75" spans="1:88" x14ac:dyDescent="0.25">
      <c r="A75" s="74" t="s">
        <v>94</v>
      </c>
      <c r="B75" s="43">
        <v>29.8</v>
      </c>
      <c r="C75" s="43">
        <v>29.9</v>
      </c>
      <c r="D75" s="43">
        <v>29.9</v>
      </c>
      <c r="E75" s="43">
        <v>29.9</v>
      </c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2">MAX(B75:AF75)</f>
        <v>29.9</v>
      </c>
      <c r="AI75" s="47">
        <f t="shared" ref="AI75:AI138" si="23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2"/>
        <v>22.2</v>
      </c>
      <c r="AI76" s="47">
        <f t="shared" si="23"/>
        <v>22.2</v>
      </c>
      <c r="AK76" s="49"/>
    </row>
    <row r="77" spans="1:88" ht="15.75" thickBot="1" x14ac:dyDescent="0.3">
      <c r="A77" s="76" t="s">
        <v>96</v>
      </c>
      <c r="B77" s="77">
        <v>13.7</v>
      </c>
      <c r="C77" s="77">
        <v>13.4</v>
      </c>
      <c r="D77" s="77">
        <v>13.4</v>
      </c>
      <c r="E77" s="77">
        <v>13.4</v>
      </c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2"/>
        <v>13.7</v>
      </c>
      <c r="AI77" s="47">
        <f t="shared" si="23"/>
        <v>13.4</v>
      </c>
      <c r="AK77" s="49"/>
    </row>
    <row r="78" spans="1:88" ht="15.75" thickBot="1" x14ac:dyDescent="0.3">
      <c r="A78" s="79" t="s">
        <v>97</v>
      </c>
      <c r="B78" s="70">
        <f t="shared" ref="B78" si="24">SUM(B72:B77)</f>
        <v>658.30000000000007</v>
      </c>
      <c r="C78" s="70">
        <f>SUM(C72:C77)</f>
        <v>663.5</v>
      </c>
      <c r="D78" s="70">
        <f>SUM(D72:D77)</f>
        <v>660.8</v>
      </c>
      <c r="E78" s="70">
        <f>SUM(E72:E77)</f>
        <v>608</v>
      </c>
      <c r="F78" s="70">
        <f t="shared" ref="D78:AG78" si="25">SUM(F72:F77)</f>
        <v>0</v>
      </c>
      <c r="G78" s="70">
        <f t="shared" si="25"/>
        <v>0</v>
      </c>
      <c r="H78" s="70">
        <f t="shared" si="25"/>
        <v>0</v>
      </c>
      <c r="I78" s="70">
        <f t="shared" si="25"/>
        <v>0</v>
      </c>
      <c r="J78" s="70">
        <f t="shared" si="25"/>
        <v>0</v>
      </c>
      <c r="K78" s="70">
        <f t="shared" si="25"/>
        <v>0</v>
      </c>
      <c r="L78" s="70">
        <f t="shared" si="25"/>
        <v>0</v>
      </c>
      <c r="M78" s="70">
        <f t="shared" si="25"/>
        <v>0</v>
      </c>
      <c r="N78" s="70">
        <f t="shared" si="25"/>
        <v>0</v>
      </c>
      <c r="O78" s="70">
        <f t="shared" si="25"/>
        <v>0</v>
      </c>
      <c r="P78" s="70">
        <f t="shared" si="25"/>
        <v>0</v>
      </c>
      <c r="Q78" s="70">
        <f t="shared" si="25"/>
        <v>0</v>
      </c>
      <c r="R78" s="70">
        <f t="shared" si="25"/>
        <v>0</v>
      </c>
      <c r="S78" s="70">
        <f t="shared" si="25"/>
        <v>0</v>
      </c>
      <c r="T78" s="70">
        <f t="shared" si="25"/>
        <v>0</v>
      </c>
      <c r="U78" s="70">
        <f t="shared" si="25"/>
        <v>0</v>
      </c>
      <c r="V78" s="70">
        <f t="shared" si="25"/>
        <v>0</v>
      </c>
      <c r="W78" s="70">
        <f t="shared" si="25"/>
        <v>0</v>
      </c>
      <c r="X78" s="70">
        <f t="shared" si="25"/>
        <v>0</v>
      </c>
      <c r="Y78" s="70">
        <f t="shared" si="25"/>
        <v>0</v>
      </c>
      <c r="Z78" s="70">
        <f t="shared" si="25"/>
        <v>0</v>
      </c>
      <c r="AA78" s="70">
        <f t="shared" si="25"/>
        <v>0</v>
      </c>
      <c r="AB78" s="70">
        <f t="shared" si="25"/>
        <v>0</v>
      </c>
      <c r="AC78" s="70">
        <f t="shared" si="25"/>
        <v>0</v>
      </c>
      <c r="AD78" s="70">
        <f t="shared" si="25"/>
        <v>0</v>
      </c>
      <c r="AE78" s="70">
        <f t="shared" si="25"/>
        <v>0</v>
      </c>
      <c r="AF78" s="70">
        <f t="shared" si="25"/>
        <v>0</v>
      </c>
      <c r="AG78" s="80">
        <f t="shared" si="25"/>
        <v>706.4</v>
      </c>
      <c r="AH78" s="46">
        <f t="shared" si="22"/>
        <v>663.5</v>
      </c>
      <c r="AI78" s="47">
        <f t="shared" si="23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96.5</v>
      </c>
      <c r="C79" s="44">
        <v>94</v>
      </c>
      <c r="D79" s="44">
        <v>94</v>
      </c>
      <c r="E79" s="44">
        <v>94</v>
      </c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2"/>
        <v>96.5</v>
      </c>
      <c r="AI79" s="47">
        <f t="shared" si="23"/>
        <v>94</v>
      </c>
      <c r="AK79" s="49"/>
      <c r="AY79" s="1" t="s">
        <v>99</v>
      </c>
      <c r="AZ79" s="82">
        <f>ROUND(C97,0)</f>
        <v>-576</v>
      </c>
      <c r="BA79" s="81">
        <f t="shared" ref="BA79:BD83" si="26">D97</f>
        <v>-587</v>
      </c>
      <c r="BB79" s="81">
        <f t="shared" si="26"/>
        <v>-537.79999999999995</v>
      </c>
      <c r="BC79" s="81">
        <f t="shared" si="26"/>
        <v>0</v>
      </c>
      <c r="BD79" s="81">
        <f t="shared" si="26"/>
        <v>0</v>
      </c>
      <c r="BE79" s="82">
        <f>I97</f>
        <v>0</v>
      </c>
      <c r="BF79" s="82">
        <f>K97</f>
        <v>0</v>
      </c>
      <c r="BG79" s="82">
        <f t="shared" ref="BG79:BP83" si="27">M97</f>
        <v>0</v>
      </c>
      <c r="BH79" s="82">
        <f t="shared" si="27"/>
        <v>0</v>
      </c>
      <c r="BI79" s="82">
        <f t="shared" si="27"/>
        <v>0</v>
      </c>
      <c r="BJ79" s="82">
        <f t="shared" si="27"/>
        <v>0</v>
      </c>
      <c r="BK79" s="82">
        <f t="shared" si="27"/>
        <v>0</v>
      </c>
      <c r="BL79" s="82">
        <f t="shared" si="27"/>
        <v>0</v>
      </c>
      <c r="BM79" s="82">
        <f t="shared" si="27"/>
        <v>0</v>
      </c>
      <c r="BN79" s="82">
        <f t="shared" si="27"/>
        <v>0</v>
      </c>
      <c r="BO79" s="82">
        <f t="shared" si="27"/>
        <v>0</v>
      </c>
      <c r="BP79" s="82">
        <f t="shared" si="27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8">AD97</f>
        <v>0</v>
      </c>
      <c r="BU79" s="81">
        <f t="shared" si="28"/>
        <v>0</v>
      </c>
      <c r="BV79" s="81">
        <f t="shared" si="28"/>
        <v>0</v>
      </c>
      <c r="BW79" s="81">
        <f>B97</f>
        <v>-483</v>
      </c>
    </row>
    <row r="80" spans="1:88" x14ac:dyDescent="0.25">
      <c r="A80" s="63" t="s">
        <v>100</v>
      </c>
      <c r="B80" s="43">
        <v>68.900000000000006</v>
      </c>
      <c r="C80" s="43">
        <v>69.2</v>
      </c>
      <c r="D80" s="43">
        <v>69.2</v>
      </c>
      <c r="E80" s="43">
        <v>69.2</v>
      </c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2"/>
        <v>69.2</v>
      </c>
      <c r="AI80" s="47">
        <f t="shared" si="23"/>
        <v>68.900000000000006</v>
      </c>
      <c r="AK80" s="49"/>
      <c r="AY80" s="1" t="s">
        <v>101</v>
      </c>
      <c r="AZ80" s="82">
        <f>ROUND(C98,0)</f>
        <v>31</v>
      </c>
      <c r="BA80" s="81">
        <f t="shared" si="26"/>
        <v>31.5</v>
      </c>
      <c r="BB80" s="81">
        <f t="shared" si="26"/>
        <v>30.9</v>
      </c>
      <c r="BC80" s="81">
        <f t="shared" si="26"/>
        <v>0</v>
      </c>
      <c r="BD80" s="81">
        <f t="shared" si="26"/>
        <v>0</v>
      </c>
      <c r="BE80" s="82">
        <f>I98</f>
        <v>0</v>
      </c>
      <c r="BF80" s="82">
        <f>K98</f>
        <v>0</v>
      </c>
      <c r="BG80" s="82">
        <f t="shared" si="27"/>
        <v>0</v>
      </c>
      <c r="BH80" s="82">
        <f t="shared" si="27"/>
        <v>0</v>
      </c>
      <c r="BI80" s="82">
        <f t="shared" si="27"/>
        <v>0</v>
      </c>
      <c r="BJ80" s="82">
        <f t="shared" si="27"/>
        <v>0</v>
      </c>
      <c r="BK80" s="82">
        <f t="shared" si="27"/>
        <v>0</v>
      </c>
      <c r="BL80" s="82">
        <f t="shared" si="27"/>
        <v>0</v>
      </c>
      <c r="BM80" s="82">
        <f t="shared" si="27"/>
        <v>0</v>
      </c>
      <c r="BN80" s="82">
        <f t="shared" si="27"/>
        <v>0</v>
      </c>
      <c r="BO80" s="82">
        <f t="shared" si="27"/>
        <v>0</v>
      </c>
      <c r="BP80" s="82">
        <f t="shared" si="27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8"/>
        <v>0</v>
      </c>
      <c r="BU80" s="81">
        <f t="shared" si="28"/>
        <v>0</v>
      </c>
      <c r="BV80" s="81">
        <f t="shared" si="28"/>
        <v>0</v>
      </c>
      <c r="BW80" s="81">
        <f>B98</f>
        <v>6.2</v>
      </c>
    </row>
    <row r="81" spans="1:75" x14ac:dyDescent="0.25">
      <c r="A81" s="63" t="s">
        <v>102</v>
      </c>
      <c r="B81" s="43">
        <v>70.3</v>
      </c>
      <c r="C81" s="43">
        <v>61.6</v>
      </c>
      <c r="D81" s="43">
        <v>61.6</v>
      </c>
      <c r="E81" s="43">
        <v>69.8</v>
      </c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2"/>
        <v>70.3</v>
      </c>
      <c r="AI81" s="47">
        <f t="shared" si="23"/>
        <v>61.6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6"/>
        <v>0</v>
      </c>
      <c r="BB81" s="81">
        <f t="shared" si="26"/>
        <v>0</v>
      </c>
      <c r="BC81" s="81">
        <f t="shared" si="26"/>
        <v>0</v>
      </c>
      <c r="BD81" s="81">
        <f t="shared" si="26"/>
        <v>0</v>
      </c>
      <c r="BE81" s="82">
        <f>I99</f>
        <v>0</v>
      </c>
      <c r="BF81" s="82">
        <f>K99</f>
        <v>0</v>
      </c>
      <c r="BG81" s="82">
        <f t="shared" si="27"/>
        <v>0</v>
      </c>
      <c r="BH81" s="82">
        <f t="shared" si="27"/>
        <v>0</v>
      </c>
      <c r="BI81" s="82">
        <f t="shared" si="27"/>
        <v>0</v>
      </c>
      <c r="BJ81" s="82">
        <f t="shared" si="27"/>
        <v>0</v>
      </c>
      <c r="BK81" s="82">
        <f t="shared" si="27"/>
        <v>0</v>
      </c>
      <c r="BL81" s="82">
        <f t="shared" si="27"/>
        <v>0</v>
      </c>
      <c r="BM81" s="82">
        <f t="shared" si="27"/>
        <v>0</v>
      </c>
      <c r="BN81" s="82">
        <f t="shared" si="27"/>
        <v>0</v>
      </c>
      <c r="BO81" s="82">
        <f t="shared" si="27"/>
        <v>0</v>
      </c>
      <c r="BP81" s="82">
        <f t="shared" si="27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8"/>
        <v>0</v>
      </c>
      <c r="BU81" s="81">
        <f t="shared" si="28"/>
        <v>0</v>
      </c>
      <c r="BV81" s="81">
        <f t="shared" si="28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2"/>
        <v>58</v>
      </c>
      <c r="AI82" s="47">
        <f t="shared" si="2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26"/>
        <v>20.5</v>
      </c>
      <c r="BB82" s="81">
        <f t="shared" si="26"/>
        <v>18.399999999999999</v>
      </c>
      <c r="BC82" s="81">
        <f t="shared" si="26"/>
        <v>0</v>
      </c>
      <c r="BD82" s="81">
        <f t="shared" si="26"/>
        <v>0</v>
      </c>
      <c r="BE82" s="82">
        <f>I100</f>
        <v>0</v>
      </c>
      <c r="BF82" s="82">
        <f>K100</f>
        <v>0</v>
      </c>
      <c r="BG82" s="82">
        <f t="shared" si="27"/>
        <v>0</v>
      </c>
      <c r="BH82" s="82">
        <f t="shared" si="27"/>
        <v>0</v>
      </c>
      <c r="BI82" s="82">
        <f t="shared" si="27"/>
        <v>0</v>
      </c>
      <c r="BJ82" s="82">
        <f t="shared" si="27"/>
        <v>0</v>
      </c>
      <c r="BK82" s="82">
        <f t="shared" si="27"/>
        <v>0</v>
      </c>
      <c r="BL82" s="82">
        <f t="shared" si="27"/>
        <v>0</v>
      </c>
      <c r="BM82" s="82">
        <f t="shared" si="27"/>
        <v>0</v>
      </c>
      <c r="BN82" s="82">
        <f t="shared" si="27"/>
        <v>0</v>
      </c>
      <c r="BO82" s="82">
        <f t="shared" si="27"/>
        <v>0</v>
      </c>
      <c r="BP82" s="82">
        <f t="shared" si="2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8"/>
        <v>0</v>
      </c>
      <c r="BU82" s="81">
        <f t="shared" si="28"/>
        <v>0</v>
      </c>
      <c r="BV82" s="81">
        <f t="shared" si="28"/>
        <v>0</v>
      </c>
      <c r="BW82" s="81">
        <f>B100</f>
        <v>20</v>
      </c>
    </row>
    <row r="83" spans="1:75" x14ac:dyDescent="0.25">
      <c r="A83" s="63" t="s">
        <v>106</v>
      </c>
      <c r="B83" s="44">
        <v>14.6</v>
      </c>
      <c r="C83" s="44">
        <v>15.2</v>
      </c>
      <c r="D83" s="44">
        <v>15.2</v>
      </c>
      <c r="E83" s="44">
        <v>15.2</v>
      </c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2"/>
        <v>15.2</v>
      </c>
      <c r="AI83" s="47">
        <f t="shared" si="23"/>
        <v>14.6</v>
      </c>
      <c r="AK83" s="49"/>
      <c r="AY83" s="1" t="s">
        <v>107</v>
      </c>
      <c r="AZ83" s="82">
        <f>ROUND(C101,0)</f>
        <v>0</v>
      </c>
      <c r="BA83" s="81">
        <f t="shared" si="26"/>
        <v>0</v>
      </c>
      <c r="BB83" s="81">
        <f t="shared" si="26"/>
        <v>0</v>
      </c>
      <c r="BC83" s="81">
        <f t="shared" si="26"/>
        <v>0</v>
      </c>
      <c r="BD83" s="81">
        <f t="shared" si="26"/>
        <v>0</v>
      </c>
      <c r="BE83" s="82">
        <f>I101</f>
        <v>0</v>
      </c>
      <c r="BF83" s="82">
        <f>K101</f>
        <v>0</v>
      </c>
      <c r="BG83" s="82">
        <f t="shared" si="27"/>
        <v>0</v>
      </c>
      <c r="BH83" s="82">
        <f t="shared" si="27"/>
        <v>0</v>
      </c>
      <c r="BI83" s="82">
        <f t="shared" si="27"/>
        <v>0</v>
      </c>
      <c r="BJ83" s="82">
        <f t="shared" si="27"/>
        <v>0</v>
      </c>
      <c r="BK83" s="82">
        <f t="shared" si="27"/>
        <v>0</v>
      </c>
      <c r="BL83" s="82">
        <f t="shared" si="27"/>
        <v>0</v>
      </c>
      <c r="BM83" s="82">
        <f t="shared" si="27"/>
        <v>0</v>
      </c>
      <c r="BN83" s="82">
        <f t="shared" si="27"/>
        <v>0</v>
      </c>
      <c r="BO83" s="82">
        <f t="shared" si="27"/>
        <v>0</v>
      </c>
      <c r="BP83" s="82">
        <f t="shared" si="27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8"/>
        <v>0</v>
      </c>
      <c r="BU83" s="81">
        <f t="shared" si="28"/>
        <v>0</v>
      </c>
      <c r="BV83" s="81">
        <f t="shared" si="2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2"/>
        <v>0</v>
      </c>
      <c r="AI84" s="47">
        <f t="shared" si="2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9">M107</f>
        <v>0</v>
      </c>
      <c r="BH84" s="82">
        <f t="shared" si="29"/>
        <v>0</v>
      </c>
      <c r="BI84" s="82">
        <f t="shared" si="29"/>
        <v>0</v>
      </c>
      <c r="BJ84" s="82">
        <f t="shared" si="29"/>
        <v>0</v>
      </c>
      <c r="BK84" s="82">
        <f t="shared" si="29"/>
        <v>0</v>
      </c>
      <c r="BL84" s="82">
        <f t="shared" si="29"/>
        <v>0</v>
      </c>
      <c r="BM84" s="82">
        <f t="shared" si="29"/>
        <v>0</v>
      </c>
      <c r="BN84" s="82">
        <f t="shared" si="29"/>
        <v>0</v>
      </c>
      <c r="BO84" s="82">
        <f t="shared" si="29"/>
        <v>0</v>
      </c>
      <c r="BP84" s="82">
        <f t="shared" si="2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>
        <v>9.6</v>
      </c>
      <c r="D85" s="43">
        <v>9.6</v>
      </c>
      <c r="E85" s="43">
        <v>9.6</v>
      </c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2"/>
        <v>10.9</v>
      </c>
      <c r="AI85" s="47">
        <f t="shared" si="23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2"/>
        <v>0</v>
      </c>
      <c r="AI86" s="47">
        <f t="shared" si="23"/>
        <v>0</v>
      </c>
      <c r="AK86" s="49"/>
      <c r="AZ86" s="82">
        <f t="shared" ref="AZ86:BW91" si="30">VALUE(AZ79)</f>
        <v>-576</v>
      </c>
      <c r="BA86" s="82">
        <f t="shared" si="30"/>
        <v>-587</v>
      </c>
      <c r="BB86" s="82">
        <f t="shared" si="30"/>
        <v>-537.79999999999995</v>
      </c>
      <c r="BC86" s="82">
        <f t="shared" si="30"/>
        <v>0</v>
      </c>
      <c r="BD86" s="82">
        <f t="shared" si="30"/>
        <v>0</v>
      </c>
      <c r="BE86" s="82">
        <f t="shared" si="30"/>
        <v>0</v>
      </c>
      <c r="BF86" s="82">
        <f t="shared" si="30"/>
        <v>0</v>
      </c>
      <c r="BG86" s="82">
        <f t="shared" si="30"/>
        <v>0</v>
      </c>
      <c r="BH86" s="82">
        <f t="shared" si="30"/>
        <v>0</v>
      </c>
      <c r="BI86" s="82">
        <f t="shared" si="30"/>
        <v>0</v>
      </c>
      <c r="BJ86" s="82">
        <f t="shared" si="30"/>
        <v>0</v>
      </c>
      <c r="BK86" s="82">
        <f t="shared" si="30"/>
        <v>0</v>
      </c>
      <c r="BL86" s="82">
        <f t="shared" si="30"/>
        <v>0</v>
      </c>
      <c r="BM86" s="82">
        <f t="shared" si="30"/>
        <v>0</v>
      </c>
      <c r="BN86" s="82">
        <f t="shared" si="30"/>
        <v>0</v>
      </c>
      <c r="BO86" s="82">
        <f t="shared" si="30"/>
        <v>0</v>
      </c>
      <c r="BP86" s="82">
        <f t="shared" si="30"/>
        <v>0</v>
      </c>
      <c r="BQ86" s="82">
        <f t="shared" si="30"/>
        <v>0</v>
      </c>
      <c r="BR86" s="82">
        <f t="shared" si="30"/>
        <v>0</v>
      </c>
      <c r="BS86" s="82">
        <f t="shared" si="30"/>
        <v>0</v>
      </c>
      <c r="BT86" s="82">
        <f t="shared" si="30"/>
        <v>0</v>
      </c>
      <c r="BU86" s="82">
        <f t="shared" si="30"/>
        <v>0</v>
      </c>
      <c r="BV86" s="82">
        <f t="shared" si="30"/>
        <v>0</v>
      </c>
      <c r="BW86" s="82">
        <f t="shared" si="30"/>
        <v>-483</v>
      </c>
    </row>
    <row r="87" spans="1:75" x14ac:dyDescent="0.25">
      <c r="A87" s="63" t="s">
        <v>112</v>
      </c>
      <c r="B87" s="43">
        <v>6.7</v>
      </c>
      <c r="C87" s="43">
        <v>8.1</v>
      </c>
      <c r="D87" s="43">
        <v>8.1</v>
      </c>
      <c r="E87" s="43">
        <v>8.1</v>
      </c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2"/>
        <v>8.1</v>
      </c>
      <c r="AI87" s="47">
        <f t="shared" si="23"/>
        <v>6.7</v>
      </c>
      <c r="AK87" s="49"/>
      <c r="AZ87" s="82">
        <f t="shared" si="30"/>
        <v>31</v>
      </c>
      <c r="BA87" s="82">
        <f t="shared" si="30"/>
        <v>31.5</v>
      </c>
      <c r="BB87" s="82">
        <f t="shared" si="30"/>
        <v>30.9</v>
      </c>
      <c r="BC87" s="82">
        <f t="shared" si="30"/>
        <v>0</v>
      </c>
      <c r="BD87" s="82">
        <f t="shared" si="30"/>
        <v>0</v>
      </c>
      <c r="BE87" s="82">
        <f t="shared" si="30"/>
        <v>0</v>
      </c>
      <c r="BF87" s="82">
        <f t="shared" si="30"/>
        <v>0</v>
      </c>
      <c r="BG87" s="82">
        <f t="shared" si="30"/>
        <v>0</v>
      </c>
      <c r="BH87" s="82">
        <f t="shared" si="30"/>
        <v>0</v>
      </c>
      <c r="BI87" s="82">
        <f t="shared" si="30"/>
        <v>0</v>
      </c>
      <c r="BJ87" s="82">
        <f t="shared" si="30"/>
        <v>0</v>
      </c>
      <c r="BK87" s="82">
        <f t="shared" si="30"/>
        <v>0</v>
      </c>
      <c r="BL87" s="82">
        <f t="shared" si="30"/>
        <v>0</v>
      </c>
      <c r="BM87" s="82">
        <f t="shared" si="30"/>
        <v>0</v>
      </c>
      <c r="BN87" s="82">
        <f t="shared" si="30"/>
        <v>0</v>
      </c>
      <c r="BO87" s="82">
        <f t="shared" si="30"/>
        <v>0</v>
      </c>
      <c r="BP87" s="82">
        <f t="shared" si="30"/>
        <v>0</v>
      </c>
      <c r="BQ87" s="82">
        <f t="shared" si="30"/>
        <v>0</v>
      </c>
      <c r="BR87" s="82">
        <f t="shared" si="30"/>
        <v>0</v>
      </c>
      <c r="BS87" s="82">
        <f t="shared" si="30"/>
        <v>0</v>
      </c>
      <c r="BT87" s="82">
        <f t="shared" si="30"/>
        <v>0</v>
      </c>
      <c r="BU87" s="82">
        <f t="shared" si="30"/>
        <v>0</v>
      </c>
      <c r="BV87" s="82">
        <f t="shared" si="30"/>
        <v>0</v>
      </c>
      <c r="BW87" s="82">
        <f t="shared" si="30"/>
        <v>6.2</v>
      </c>
    </row>
    <row r="88" spans="1:75" x14ac:dyDescent="0.25">
      <c r="A88" s="84" t="s">
        <v>113</v>
      </c>
      <c r="B88" s="43">
        <v>9</v>
      </c>
      <c r="C88" s="43">
        <v>13.6</v>
      </c>
      <c r="D88" s="43">
        <v>13.6</v>
      </c>
      <c r="E88" s="43">
        <v>13.6</v>
      </c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2"/>
        <v>13.6</v>
      </c>
      <c r="AI88" s="47">
        <f t="shared" si="23"/>
        <v>9</v>
      </c>
      <c r="AK88" s="49"/>
      <c r="AZ88" s="82">
        <f t="shared" si="30"/>
        <v>0</v>
      </c>
      <c r="BA88" s="82">
        <f t="shared" si="30"/>
        <v>0</v>
      </c>
      <c r="BB88" s="82">
        <f t="shared" si="30"/>
        <v>0</v>
      </c>
      <c r="BC88" s="82">
        <f t="shared" si="30"/>
        <v>0</v>
      </c>
      <c r="BD88" s="82">
        <f t="shared" si="30"/>
        <v>0</v>
      </c>
      <c r="BE88" s="82">
        <f t="shared" si="30"/>
        <v>0</v>
      </c>
      <c r="BF88" s="82">
        <f t="shared" si="30"/>
        <v>0</v>
      </c>
      <c r="BG88" s="82">
        <f t="shared" si="30"/>
        <v>0</v>
      </c>
      <c r="BH88" s="82">
        <f t="shared" si="30"/>
        <v>0</v>
      </c>
      <c r="BI88" s="82">
        <f t="shared" si="30"/>
        <v>0</v>
      </c>
      <c r="BJ88" s="82">
        <f t="shared" si="30"/>
        <v>0</v>
      </c>
      <c r="BK88" s="82">
        <f t="shared" si="30"/>
        <v>0</v>
      </c>
      <c r="BL88" s="82">
        <f t="shared" si="30"/>
        <v>0</v>
      </c>
      <c r="BM88" s="82">
        <f t="shared" si="30"/>
        <v>0</v>
      </c>
      <c r="BN88" s="82">
        <f t="shared" si="30"/>
        <v>0</v>
      </c>
      <c r="BO88" s="82">
        <f t="shared" si="30"/>
        <v>0</v>
      </c>
      <c r="BP88" s="82">
        <f t="shared" si="30"/>
        <v>0</v>
      </c>
      <c r="BQ88" s="82">
        <f t="shared" si="30"/>
        <v>0</v>
      </c>
      <c r="BR88" s="82">
        <f t="shared" si="30"/>
        <v>0</v>
      </c>
      <c r="BS88" s="82">
        <f t="shared" si="30"/>
        <v>0</v>
      </c>
      <c r="BT88" s="82">
        <f t="shared" si="30"/>
        <v>0</v>
      </c>
      <c r="BU88" s="82">
        <f t="shared" si="30"/>
        <v>0</v>
      </c>
      <c r="BV88" s="82">
        <f t="shared" si="30"/>
        <v>0</v>
      </c>
      <c r="BW88" s="82">
        <f t="shared" si="30"/>
        <v>0</v>
      </c>
    </row>
    <row r="89" spans="1:75" x14ac:dyDescent="0.25">
      <c r="A89" s="63" t="s">
        <v>114</v>
      </c>
      <c r="B89" s="43">
        <v>9</v>
      </c>
      <c r="C89" s="43">
        <v>8.9</v>
      </c>
      <c r="D89" s="43">
        <v>8.9</v>
      </c>
      <c r="E89" s="43">
        <v>8.9</v>
      </c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2"/>
        <v>9</v>
      </c>
      <c r="AI89" s="47">
        <f t="shared" si="23"/>
        <v>8.9</v>
      </c>
      <c r="AK89" s="49"/>
      <c r="AZ89" s="82">
        <f t="shared" si="30"/>
        <v>20</v>
      </c>
      <c r="BA89" s="82">
        <f t="shared" si="30"/>
        <v>20.5</v>
      </c>
      <c r="BB89" s="82">
        <f t="shared" si="30"/>
        <v>18.399999999999999</v>
      </c>
      <c r="BC89" s="82">
        <f t="shared" si="30"/>
        <v>0</v>
      </c>
      <c r="BD89" s="82">
        <f t="shared" si="30"/>
        <v>0</v>
      </c>
      <c r="BE89" s="82">
        <f t="shared" si="30"/>
        <v>0</v>
      </c>
      <c r="BF89" s="82">
        <f t="shared" si="30"/>
        <v>0</v>
      </c>
      <c r="BG89" s="82">
        <f t="shared" si="30"/>
        <v>0</v>
      </c>
      <c r="BH89" s="82">
        <f t="shared" si="30"/>
        <v>0</v>
      </c>
      <c r="BI89" s="82">
        <f t="shared" si="30"/>
        <v>0</v>
      </c>
      <c r="BJ89" s="82">
        <f t="shared" si="30"/>
        <v>0</v>
      </c>
      <c r="BK89" s="82">
        <f t="shared" si="30"/>
        <v>0</v>
      </c>
      <c r="BL89" s="82">
        <f t="shared" si="30"/>
        <v>0</v>
      </c>
      <c r="BM89" s="82">
        <f t="shared" si="30"/>
        <v>0</v>
      </c>
      <c r="BN89" s="82">
        <f t="shared" si="30"/>
        <v>0</v>
      </c>
      <c r="BO89" s="82">
        <f t="shared" si="30"/>
        <v>0</v>
      </c>
      <c r="BP89" s="82">
        <f t="shared" si="30"/>
        <v>0</v>
      </c>
      <c r="BQ89" s="82">
        <f t="shared" si="30"/>
        <v>0</v>
      </c>
      <c r="BR89" s="82">
        <f t="shared" si="30"/>
        <v>0</v>
      </c>
      <c r="BS89" s="82">
        <f t="shared" si="30"/>
        <v>0</v>
      </c>
      <c r="BT89" s="82">
        <f t="shared" si="30"/>
        <v>0</v>
      </c>
      <c r="BU89" s="82">
        <f t="shared" si="30"/>
        <v>0</v>
      </c>
      <c r="BV89" s="82">
        <f t="shared" si="30"/>
        <v>0</v>
      </c>
      <c r="BW89" s="82">
        <f t="shared" si="30"/>
        <v>20</v>
      </c>
    </row>
    <row r="90" spans="1:75" x14ac:dyDescent="0.25">
      <c r="A90" s="63" t="s">
        <v>115</v>
      </c>
      <c r="B90" s="43">
        <v>6</v>
      </c>
      <c r="C90" s="43">
        <v>5.5</v>
      </c>
      <c r="D90" s="43">
        <v>5.5</v>
      </c>
      <c r="E90" s="43">
        <v>5.5</v>
      </c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2"/>
        <v>6</v>
      </c>
      <c r="AI90" s="47">
        <f t="shared" si="23"/>
        <v>5.5</v>
      </c>
      <c r="AK90" s="49"/>
      <c r="AZ90" s="82">
        <f t="shared" si="30"/>
        <v>0</v>
      </c>
      <c r="BA90" s="82">
        <f t="shared" si="30"/>
        <v>0</v>
      </c>
      <c r="BB90" s="82">
        <f t="shared" si="30"/>
        <v>0</v>
      </c>
      <c r="BC90" s="82">
        <f t="shared" si="30"/>
        <v>0</v>
      </c>
      <c r="BD90" s="82">
        <f t="shared" si="30"/>
        <v>0</v>
      </c>
      <c r="BE90" s="82">
        <f t="shared" si="30"/>
        <v>0</v>
      </c>
      <c r="BF90" s="82">
        <f t="shared" si="30"/>
        <v>0</v>
      </c>
      <c r="BG90" s="82">
        <f t="shared" si="30"/>
        <v>0</v>
      </c>
      <c r="BH90" s="82">
        <f t="shared" si="30"/>
        <v>0</v>
      </c>
      <c r="BI90" s="82">
        <f t="shared" si="30"/>
        <v>0</v>
      </c>
      <c r="BJ90" s="82">
        <f t="shared" si="30"/>
        <v>0</v>
      </c>
      <c r="BK90" s="82">
        <f t="shared" si="30"/>
        <v>0</v>
      </c>
      <c r="BL90" s="82">
        <f t="shared" si="30"/>
        <v>0</v>
      </c>
      <c r="BM90" s="82">
        <f t="shared" si="30"/>
        <v>0</v>
      </c>
      <c r="BN90" s="82">
        <f t="shared" si="30"/>
        <v>0</v>
      </c>
      <c r="BO90" s="82">
        <f t="shared" si="30"/>
        <v>0</v>
      </c>
      <c r="BP90" s="82">
        <f t="shared" si="30"/>
        <v>0</v>
      </c>
      <c r="BQ90" s="82">
        <f t="shared" si="30"/>
        <v>0</v>
      </c>
      <c r="BR90" s="82">
        <f t="shared" si="30"/>
        <v>0</v>
      </c>
      <c r="BS90" s="82">
        <f t="shared" si="30"/>
        <v>0</v>
      </c>
      <c r="BT90" s="82">
        <f t="shared" si="30"/>
        <v>0</v>
      </c>
      <c r="BU90" s="82">
        <f t="shared" si="30"/>
        <v>0</v>
      </c>
      <c r="BV90" s="82">
        <f t="shared" si="30"/>
        <v>0</v>
      </c>
      <c r="BW90" s="82">
        <f t="shared" si="3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2"/>
        <v>2</v>
      </c>
      <c r="AI91" s="47">
        <f t="shared" si="23"/>
        <v>2</v>
      </c>
      <c r="AK91" s="49"/>
      <c r="AZ91" s="82">
        <f t="shared" si="30"/>
        <v>0</v>
      </c>
      <c r="BA91" s="82">
        <f t="shared" si="30"/>
        <v>0</v>
      </c>
      <c r="BB91" s="82">
        <f t="shared" si="30"/>
        <v>0</v>
      </c>
      <c r="BC91" s="82">
        <f t="shared" si="30"/>
        <v>0</v>
      </c>
      <c r="BD91" s="82">
        <f t="shared" si="30"/>
        <v>0</v>
      </c>
      <c r="BE91" s="82">
        <f t="shared" si="30"/>
        <v>0</v>
      </c>
      <c r="BF91" s="82">
        <f t="shared" si="30"/>
        <v>0</v>
      </c>
      <c r="BG91" s="82">
        <f t="shared" si="30"/>
        <v>0</v>
      </c>
      <c r="BH91" s="82">
        <f t="shared" si="30"/>
        <v>0</v>
      </c>
      <c r="BI91" s="82">
        <f t="shared" si="30"/>
        <v>0</v>
      </c>
      <c r="BJ91" s="82">
        <f t="shared" si="30"/>
        <v>0</v>
      </c>
      <c r="BK91" s="82">
        <f t="shared" si="30"/>
        <v>0</v>
      </c>
      <c r="BL91" s="82">
        <f t="shared" si="30"/>
        <v>0</v>
      </c>
      <c r="BM91" s="82">
        <f t="shared" si="30"/>
        <v>0</v>
      </c>
      <c r="BN91" s="82">
        <f t="shared" si="30"/>
        <v>0</v>
      </c>
      <c r="BO91" s="82">
        <f t="shared" si="30"/>
        <v>0</v>
      </c>
      <c r="BP91" s="82">
        <f t="shared" si="30"/>
        <v>0</v>
      </c>
      <c r="BQ91" s="82">
        <f t="shared" si="30"/>
        <v>0</v>
      </c>
      <c r="BR91" s="82">
        <f t="shared" si="30"/>
        <v>0</v>
      </c>
      <c r="BS91" s="82">
        <f t="shared" si="30"/>
        <v>0</v>
      </c>
      <c r="BT91" s="82">
        <f t="shared" si="30"/>
        <v>0</v>
      </c>
      <c r="BU91" s="82">
        <f t="shared" si="30"/>
        <v>0</v>
      </c>
      <c r="BV91" s="82">
        <f t="shared" si="30"/>
        <v>0</v>
      </c>
      <c r="BW91" s="82">
        <f t="shared" si="30"/>
        <v>0</v>
      </c>
    </row>
    <row r="92" spans="1:75" ht="15.75" thickBot="1" x14ac:dyDescent="0.3">
      <c r="A92" s="87" t="s">
        <v>117</v>
      </c>
      <c r="B92" s="70">
        <f t="shared" ref="B92" si="31">SUM(B79:B91)</f>
        <v>351.9</v>
      </c>
      <c r="C92" s="70">
        <f t="shared" ref="B92:AG92" si="32">SUM(C79:C91)</f>
        <v>345.7</v>
      </c>
      <c r="D92" s="70">
        <f t="shared" si="32"/>
        <v>345.7</v>
      </c>
      <c r="E92" s="70">
        <f t="shared" ref="E92" si="33">SUM(E79:E91)</f>
        <v>353.90000000000003</v>
      </c>
      <c r="F92" s="70">
        <f t="shared" si="32"/>
        <v>2</v>
      </c>
      <c r="G92" s="70">
        <f t="shared" si="32"/>
        <v>2</v>
      </c>
      <c r="H92" s="70">
        <f t="shared" si="32"/>
        <v>2</v>
      </c>
      <c r="I92" s="70">
        <f t="shared" si="32"/>
        <v>2</v>
      </c>
      <c r="J92" s="70">
        <f t="shared" si="32"/>
        <v>2</v>
      </c>
      <c r="K92" s="70">
        <f t="shared" si="32"/>
        <v>2</v>
      </c>
      <c r="L92" s="70">
        <f t="shared" si="32"/>
        <v>2</v>
      </c>
      <c r="M92" s="70">
        <f t="shared" si="32"/>
        <v>2</v>
      </c>
      <c r="N92" s="70">
        <f t="shared" si="32"/>
        <v>2</v>
      </c>
      <c r="O92" s="70">
        <f t="shared" si="32"/>
        <v>2</v>
      </c>
      <c r="P92" s="70">
        <f t="shared" si="32"/>
        <v>2</v>
      </c>
      <c r="Q92" s="70">
        <f t="shared" si="32"/>
        <v>2</v>
      </c>
      <c r="R92" s="70">
        <f t="shared" si="32"/>
        <v>2</v>
      </c>
      <c r="S92" s="70">
        <f t="shared" si="32"/>
        <v>2</v>
      </c>
      <c r="T92" s="70">
        <f t="shared" si="32"/>
        <v>2</v>
      </c>
      <c r="U92" s="70">
        <f t="shared" si="32"/>
        <v>2</v>
      </c>
      <c r="V92" s="70">
        <f t="shared" si="32"/>
        <v>2</v>
      </c>
      <c r="W92" s="70">
        <f t="shared" si="32"/>
        <v>2</v>
      </c>
      <c r="X92" s="70">
        <f t="shared" si="32"/>
        <v>2</v>
      </c>
      <c r="Y92" s="70">
        <f t="shared" si="32"/>
        <v>2</v>
      </c>
      <c r="Z92" s="70">
        <f t="shared" si="32"/>
        <v>2</v>
      </c>
      <c r="AA92" s="70">
        <f t="shared" si="32"/>
        <v>2</v>
      </c>
      <c r="AB92" s="70">
        <f t="shared" si="32"/>
        <v>2</v>
      </c>
      <c r="AC92" s="70">
        <f t="shared" si="32"/>
        <v>2</v>
      </c>
      <c r="AD92" s="70">
        <f t="shared" si="32"/>
        <v>2</v>
      </c>
      <c r="AE92" s="70">
        <f t="shared" si="32"/>
        <v>2</v>
      </c>
      <c r="AF92" s="70">
        <f t="shared" si="32"/>
        <v>2</v>
      </c>
      <c r="AG92" s="80">
        <f t="shared" si="32"/>
        <v>489.91</v>
      </c>
      <c r="AH92" s="46">
        <f t="shared" si="22"/>
        <v>353.90000000000003</v>
      </c>
      <c r="AI92" s="47">
        <f t="shared" si="23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2"/>
        <v>0</v>
      </c>
      <c r="AI93" s="47">
        <f t="shared" si="2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4">
        <v>0</v>
      </c>
      <c r="C94" s="44">
        <v>0</v>
      </c>
      <c r="D94" s="44">
        <v>0</v>
      </c>
      <c r="E94" s="44">
        <v>0</v>
      </c>
      <c r="F94" s="44">
        <v>0</v>
      </c>
      <c r="G94" s="44">
        <v>0</v>
      </c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2"/>
        <v>0</v>
      </c>
      <c r="AI94" s="47">
        <f t="shared" si="2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44">
        <v>0</v>
      </c>
      <c r="C95" s="44">
        <v>0</v>
      </c>
      <c r="D95" s="44">
        <v>0</v>
      </c>
      <c r="E95" s="44">
        <v>0</v>
      </c>
      <c r="F95" s="44">
        <v>0</v>
      </c>
      <c r="G95" s="44">
        <v>0</v>
      </c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2"/>
        <v>0</v>
      </c>
      <c r="AI95" s="47">
        <f t="shared" si="23"/>
        <v>0</v>
      </c>
      <c r="AK95" s="49"/>
      <c r="AY95" s="82"/>
      <c r="BF95" s="81"/>
      <c r="BG95" s="82">
        <f t="array" ref="BG95:BL118">TRANSPOSE(AZ79:BW84)</f>
        <v>-576</v>
      </c>
      <c r="BH95" s="82">
        <v>31</v>
      </c>
      <c r="BI95" s="82">
        <v>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34">B93+B94+B95</f>
        <v>0</v>
      </c>
      <c r="C96" s="70">
        <f t="shared" ref="B96:AF96" si="35">C93+C94+C95</f>
        <v>0</v>
      </c>
      <c r="D96" s="70">
        <f t="shared" si="35"/>
        <v>0</v>
      </c>
      <c r="E96" s="70">
        <f t="shared" si="35"/>
        <v>0</v>
      </c>
      <c r="F96" s="70">
        <f t="shared" si="35"/>
        <v>0</v>
      </c>
      <c r="G96" s="70">
        <f t="shared" si="35"/>
        <v>0</v>
      </c>
      <c r="H96" s="70">
        <f t="shared" si="35"/>
        <v>0</v>
      </c>
      <c r="I96" s="70">
        <f t="shared" si="35"/>
        <v>0</v>
      </c>
      <c r="J96" s="70">
        <f t="shared" si="35"/>
        <v>0</v>
      </c>
      <c r="K96" s="70">
        <f t="shared" si="35"/>
        <v>0</v>
      </c>
      <c r="L96" s="70">
        <f t="shared" si="35"/>
        <v>0</v>
      </c>
      <c r="M96" s="70">
        <f t="shared" si="35"/>
        <v>0</v>
      </c>
      <c r="N96" s="70">
        <f t="shared" si="35"/>
        <v>0</v>
      </c>
      <c r="O96" s="70">
        <f t="shared" si="35"/>
        <v>0</v>
      </c>
      <c r="P96" s="70">
        <f t="shared" si="35"/>
        <v>0</v>
      </c>
      <c r="Q96" s="70">
        <f t="shared" si="35"/>
        <v>0</v>
      </c>
      <c r="R96" s="70">
        <f t="shared" si="35"/>
        <v>0</v>
      </c>
      <c r="S96" s="70">
        <f t="shared" si="35"/>
        <v>0</v>
      </c>
      <c r="T96" s="70">
        <f t="shared" si="35"/>
        <v>0</v>
      </c>
      <c r="U96" s="70">
        <f t="shared" si="35"/>
        <v>0</v>
      </c>
      <c r="V96" s="70">
        <f t="shared" si="35"/>
        <v>0</v>
      </c>
      <c r="W96" s="70">
        <f t="shared" si="35"/>
        <v>0</v>
      </c>
      <c r="X96" s="70">
        <f t="shared" si="35"/>
        <v>0</v>
      </c>
      <c r="Y96" s="70">
        <f t="shared" si="35"/>
        <v>0</v>
      </c>
      <c r="Z96" s="70">
        <f t="shared" si="35"/>
        <v>0</v>
      </c>
      <c r="AA96" s="70">
        <f t="shared" si="35"/>
        <v>0</v>
      </c>
      <c r="AB96" s="70">
        <f t="shared" si="35"/>
        <v>0</v>
      </c>
      <c r="AC96" s="70">
        <f t="shared" si="35"/>
        <v>0</v>
      </c>
      <c r="AD96" s="70">
        <f t="shared" si="35"/>
        <v>0</v>
      </c>
      <c r="AE96" s="70">
        <f t="shared" si="35"/>
        <v>0</v>
      </c>
      <c r="AF96" s="70">
        <f t="shared" si="35"/>
        <v>0</v>
      </c>
      <c r="AG96" s="80">
        <f>SUM(AG93:AG95)</f>
        <v>106</v>
      </c>
      <c r="AH96" s="46">
        <f t="shared" si="22"/>
        <v>0</v>
      </c>
      <c r="AI96" s="47">
        <f t="shared" si="23"/>
        <v>0</v>
      </c>
      <c r="AK96" s="49"/>
      <c r="AY96" s="82"/>
      <c r="BF96" s="81"/>
      <c r="BG96" s="82">
        <v>-587</v>
      </c>
      <c r="BH96" s="82">
        <v>31.5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-483</v>
      </c>
      <c r="C97" s="44">
        <v>-576.1</v>
      </c>
      <c r="D97" s="44">
        <v>-587</v>
      </c>
      <c r="E97" s="44">
        <v>-537.79999999999995</v>
      </c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2"/>
        <v>-483</v>
      </c>
      <c r="AI97" s="47">
        <f t="shared" si="23"/>
        <v>-587</v>
      </c>
      <c r="AK97" s="49"/>
      <c r="AY97" s="82"/>
      <c r="BF97" s="81"/>
      <c r="BG97" s="82">
        <v>-537.79999999999995</v>
      </c>
      <c r="BH97" s="82">
        <v>30.9</v>
      </c>
      <c r="BI97" s="82">
        <v>0</v>
      </c>
      <c r="BJ97" s="82">
        <v>18.399999999999999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6.2</v>
      </c>
      <c r="C98" s="43">
        <v>30.8</v>
      </c>
      <c r="D98" s="43">
        <v>31.5</v>
      </c>
      <c r="E98" s="43">
        <v>30.9</v>
      </c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2"/>
        <v>31.5</v>
      </c>
      <c r="AI98" s="47">
        <f t="shared" si="23"/>
        <v>6.2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2"/>
        <v>0</v>
      </c>
      <c r="AI99" s="47">
        <f t="shared" si="23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20</v>
      </c>
      <c r="D100" s="43">
        <v>20.5</v>
      </c>
      <c r="E100" s="93">
        <v>18.399999999999999</v>
      </c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2"/>
        <v>20.5</v>
      </c>
      <c r="AI100" s="47">
        <f t="shared" si="23"/>
        <v>18.399999999999999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2"/>
        <v>0</v>
      </c>
      <c r="AI101" s="47">
        <f t="shared" si="23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36</v>
      </c>
      <c r="C102" s="97">
        <v>61</v>
      </c>
      <c r="D102" s="97">
        <v>60</v>
      </c>
      <c r="E102" s="97">
        <v>57.5</v>
      </c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2"/>
        <v>61</v>
      </c>
      <c r="AI102" s="47">
        <f t="shared" si="23"/>
        <v>36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2"/>
        <v>0</v>
      </c>
      <c r="AI103" s="47">
        <f t="shared" si="23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2"/>
        <v>0</v>
      </c>
      <c r="AI104" s="47">
        <f t="shared" si="23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2"/>
        <v>0</v>
      </c>
      <c r="AI105" s="47">
        <f t="shared" si="23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2"/>
        <v>0</v>
      </c>
      <c r="AI106" s="47">
        <f t="shared" si="23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2"/>
        <v>0</v>
      </c>
      <c r="AI107" s="47">
        <f t="shared" si="23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36">SUMIF(B97:B107,"&gt;0")</f>
        <v>62.2</v>
      </c>
      <c r="C108" s="70">
        <f t="shared" ref="B108:AF108" si="37">SUMIF(C97:C107,"&gt;0")</f>
        <v>111.8</v>
      </c>
      <c r="D108" s="70">
        <f t="shared" si="37"/>
        <v>112</v>
      </c>
      <c r="E108" s="70">
        <f t="shared" si="37"/>
        <v>106.8</v>
      </c>
      <c r="F108" s="70">
        <f t="shared" si="37"/>
        <v>0</v>
      </c>
      <c r="G108" s="70">
        <f t="shared" si="37"/>
        <v>0</v>
      </c>
      <c r="H108" s="70">
        <f t="shared" si="37"/>
        <v>0</v>
      </c>
      <c r="I108" s="70">
        <f t="shared" si="37"/>
        <v>0</v>
      </c>
      <c r="J108" s="70">
        <f t="shared" si="37"/>
        <v>0</v>
      </c>
      <c r="K108" s="70">
        <f t="shared" si="37"/>
        <v>0</v>
      </c>
      <c r="L108" s="70">
        <f t="shared" si="37"/>
        <v>0</v>
      </c>
      <c r="M108" s="70">
        <f t="shared" si="37"/>
        <v>0</v>
      </c>
      <c r="N108" s="70">
        <f t="shared" si="37"/>
        <v>0</v>
      </c>
      <c r="O108" s="70">
        <f t="shared" si="37"/>
        <v>0</v>
      </c>
      <c r="P108" s="70">
        <f t="shared" si="37"/>
        <v>0</v>
      </c>
      <c r="Q108" s="70">
        <f t="shared" si="37"/>
        <v>0</v>
      </c>
      <c r="R108" s="70">
        <f t="shared" si="37"/>
        <v>0</v>
      </c>
      <c r="S108" s="70">
        <f t="shared" si="37"/>
        <v>0</v>
      </c>
      <c r="T108" s="70">
        <f t="shared" si="37"/>
        <v>0</v>
      </c>
      <c r="U108" s="70">
        <f t="shared" si="37"/>
        <v>0</v>
      </c>
      <c r="V108" s="70">
        <f t="shared" si="37"/>
        <v>0</v>
      </c>
      <c r="W108" s="70">
        <f t="shared" si="37"/>
        <v>0</v>
      </c>
      <c r="X108" s="70">
        <f t="shared" si="37"/>
        <v>0</v>
      </c>
      <c r="Y108" s="70">
        <f t="shared" si="37"/>
        <v>0</v>
      </c>
      <c r="Z108" s="70">
        <f t="shared" si="37"/>
        <v>0</v>
      </c>
      <c r="AA108" s="70">
        <f t="shared" si="37"/>
        <v>0</v>
      </c>
      <c r="AB108" s="70">
        <f t="shared" si="37"/>
        <v>0</v>
      </c>
      <c r="AC108" s="70">
        <f t="shared" si="37"/>
        <v>0</v>
      </c>
      <c r="AD108" s="70">
        <f t="shared" si="37"/>
        <v>0</v>
      </c>
      <c r="AE108" s="70">
        <f t="shared" si="37"/>
        <v>0</v>
      </c>
      <c r="AF108" s="70">
        <f t="shared" si="37"/>
        <v>0</v>
      </c>
      <c r="AG108" s="104">
        <f>SUM(AG97:AG107)</f>
        <v>0</v>
      </c>
      <c r="AH108" s="46">
        <f t="shared" si="22"/>
        <v>112</v>
      </c>
      <c r="AI108" s="47">
        <f t="shared" si="23"/>
        <v>0</v>
      </c>
      <c r="AJ108" s="105">
        <f t="array" ref="AJ108">MIN(IF(B108:AF108&lt;&gt;0,B108:AF108))</f>
        <v>62.2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2"/>
        <v>0</v>
      </c>
      <c r="AI109" s="47">
        <f t="shared" si="23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2"/>
        <v>0</v>
      </c>
      <c r="AI110" s="47">
        <f t="shared" si="23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2"/>
        <v>0</v>
      </c>
      <c r="AI111" s="47">
        <f t="shared" si="23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2"/>
        <v>0</v>
      </c>
      <c r="AI112" s="47">
        <f t="shared" si="23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38">B71+B78+B96+B92+B108+B112</f>
        <v>2213.5700000000002</v>
      </c>
      <c r="C113" s="108">
        <f t="shared" ref="B113:AG113" si="39">C71+C78+C96+C92+C108+C112</f>
        <v>2284.16</v>
      </c>
      <c r="D113" s="108">
        <f t="shared" si="39"/>
        <v>2236.66</v>
      </c>
      <c r="E113" s="108">
        <f t="shared" si="39"/>
        <v>2186.86</v>
      </c>
      <c r="F113" s="108">
        <f t="shared" si="39"/>
        <v>152</v>
      </c>
      <c r="G113" s="108">
        <f t="shared" si="39"/>
        <v>152</v>
      </c>
      <c r="H113" s="108">
        <f t="shared" si="39"/>
        <v>152</v>
      </c>
      <c r="I113" s="108">
        <f t="shared" si="39"/>
        <v>152</v>
      </c>
      <c r="J113" s="108">
        <f t="shared" si="39"/>
        <v>152</v>
      </c>
      <c r="K113" s="108">
        <f t="shared" si="39"/>
        <v>152</v>
      </c>
      <c r="L113" s="108">
        <f t="shared" si="39"/>
        <v>152</v>
      </c>
      <c r="M113" s="108">
        <f t="shared" si="39"/>
        <v>152</v>
      </c>
      <c r="N113" s="108">
        <f t="shared" si="39"/>
        <v>152</v>
      </c>
      <c r="O113" s="108">
        <f t="shared" si="39"/>
        <v>152</v>
      </c>
      <c r="P113" s="108">
        <f t="shared" si="39"/>
        <v>152</v>
      </c>
      <c r="Q113" s="108">
        <f t="shared" si="39"/>
        <v>152</v>
      </c>
      <c r="R113" s="108">
        <f t="shared" si="39"/>
        <v>152</v>
      </c>
      <c r="S113" s="108">
        <f t="shared" si="39"/>
        <v>152</v>
      </c>
      <c r="T113" s="108">
        <f t="shared" si="39"/>
        <v>152</v>
      </c>
      <c r="U113" s="108">
        <f t="shared" si="39"/>
        <v>152</v>
      </c>
      <c r="V113" s="108">
        <f t="shared" si="39"/>
        <v>152</v>
      </c>
      <c r="W113" s="108">
        <f t="shared" si="39"/>
        <v>152</v>
      </c>
      <c r="X113" s="108">
        <f t="shared" si="39"/>
        <v>152</v>
      </c>
      <c r="Y113" s="108">
        <f t="shared" si="39"/>
        <v>152</v>
      </c>
      <c r="Z113" s="108">
        <f t="shared" si="39"/>
        <v>152</v>
      </c>
      <c r="AA113" s="108">
        <f t="shared" si="39"/>
        <v>152</v>
      </c>
      <c r="AB113" s="108">
        <f t="shared" si="39"/>
        <v>152</v>
      </c>
      <c r="AC113" s="108">
        <f t="shared" si="39"/>
        <v>152</v>
      </c>
      <c r="AD113" s="108">
        <f t="shared" si="39"/>
        <v>152</v>
      </c>
      <c r="AE113" s="108">
        <f t="shared" si="39"/>
        <v>152</v>
      </c>
      <c r="AF113" s="108">
        <f t="shared" si="39"/>
        <v>152</v>
      </c>
      <c r="AG113" s="80">
        <f t="shared" si="39"/>
        <v>3169.915</v>
      </c>
      <c r="AH113" s="46">
        <f t="shared" si="22"/>
        <v>2284.16</v>
      </c>
      <c r="AI113" s="47">
        <f t="shared" si="23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55</v>
      </c>
      <c r="C114" s="110">
        <v>40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2"/>
        <v>55</v>
      </c>
      <c r="AI114" s="47">
        <f t="shared" si="23"/>
        <v>40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40">B113+B114</f>
        <v>2268.5700000000002</v>
      </c>
      <c r="C115" s="108">
        <f t="shared" ref="C115:AF115" si="41">C113+C114</f>
        <v>2324.16</v>
      </c>
      <c r="D115" s="108">
        <f t="shared" si="41"/>
        <v>2236.66</v>
      </c>
      <c r="E115" s="108">
        <f t="shared" si="41"/>
        <v>2186.86</v>
      </c>
      <c r="F115" s="108">
        <f t="shared" si="41"/>
        <v>152</v>
      </c>
      <c r="G115" s="108">
        <f t="shared" si="41"/>
        <v>152</v>
      </c>
      <c r="H115" s="108">
        <f t="shared" si="41"/>
        <v>152</v>
      </c>
      <c r="I115" s="108">
        <f t="shared" si="41"/>
        <v>152</v>
      </c>
      <c r="J115" s="108">
        <f t="shared" si="41"/>
        <v>152</v>
      </c>
      <c r="K115" s="108">
        <f t="shared" si="41"/>
        <v>152</v>
      </c>
      <c r="L115" s="108">
        <f t="shared" si="41"/>
        <v>152</v>
      </c>
      <c r="M115" s="108">
        <f t="shared" si="41"/>
        <v>152</v>
      </c>
      <c r="N115" s="108">
        <f t="shared" si="41"/>
        <v>152</v>
      </c>
      <c r="O115" s="108">
        <f t="shared" si="41"/>
        <v>152</v>
      </c>
      <c r="P115" s="108">
        <f t="shared" si="41"/>
        <v>152</v>
      </c>
      <c r="Q115" s="108">
        <f t="shared" si="41"/>
        <v>152</v>
      </c>
      <c r="R115" s="108">
        <f t="shared" si="41"/>
        <v>152</v>
      </c>
      <c r="S115" s="108">
        <f t="shared" si="41"/>
        <v>152</v>
      </c>
      <c r="T115" s="108">
        <f t="shared" si="41"/>
        <v>152</v>
      </c>
      <c r="U115" s="108">
        <f t="shared" si="41"/>
        <v>152</v>
      </c>
      <c r="V115" s="108">
        <f t="shared" si="41"/>
        <v>152</v>
      </c>
      <c r="W115" s="108">
        <f t="shared" si="41"/>
        <v>152</v>
      </c>
      <c r="X115" s="108">
        <f t="shared" si="41"/>
        <v>152</v>
      </c>
      <c r="Y115" s="108">
        <f t="shared" si="41"/>
        <v>152</v>
      </c>
      <c r="Z115" s="108">
        <f t="shared" si="41"/>
        <v>152</v>
      </c>
      <c r="AA115" s="108">
        <f t="shared" si="41"/>
        <v>152</v>
      </c>
      <c r="AB115" s="108">
        <f t="shared" si="41"/>
        <v>152</v>
      </c>
      <c r="AC115" s="108">
        <f t="shared" si="41"/>
        <v>152</v>
      </c>
      <c r="AD115" s="108">
        <f t="shared" si="41"/>
        <v>152</v>
      </c>
      <c r="AE115" s="108">
        <f t="shared" si="41"/>
        <v>152</v>
      </c>
      <c r="AF115" s="108">
        <f t="shared" si="41"/>
        <v>152</v>
      </c>
      <c r="AG115" s="104">
        <f>AG112+AG108+AG96+AG92+AG71+AG114</f>
        <v>2463.5149999999999</v>
      </c>
      <c r="AH115" s="46">
        <f t="shared" si="22"/>
        <v>2324.16</v>
      </c>
      <c r="AI115" s="47">
        <f t="shared" si="23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42">B115-(B123)</f>
        <v>1890.3700000000001</v>
      </c>
      <c r="C116" s="108">
        <f t="shared" ref="C116:AF116" si="43">C115-(C123)</f>
        <v>1748.06</v>
      </c>
      <c r="D116" s="108">
        <f t="shared" si="43"/>
        <v>1649.6599999999999</v>
      </c>
      <c r="E116" s="108">
        <f t="shared" si="43"/>
        <v>1649.0600000000002</v>
      </c>
      <c r="F116" s="108">
        <f t="shared" si="43"/>
        <v>152</v>
      </c>
      <c r="G116" s="108">
        <f t="shared" si="43"/>
        <v>152</v>
      </c>
      <c r="H116" s="108">
        <f t="shared" si="43"/>
        <v>152</v>
      </c>
      <c r="I116" s="108">
        <f t="shared" si="43"/>
        <v>152</v>
      </c>
      <c r="J116" s="108">
        <f t="shared" si="43"/>
        <v>152</v>
      </c>
      <c r="K116" s="108">
        <f t="shared" si="43"/>
        <v>152</v>
      </c>
      <c r="L116" s="108">
        <f t="shared" si="43"/>
        <v>152</v>
      </c>
      <c r="M116" s="108">
        <f t="shared" si="43"/>
        <v>152</v>
      </c>
      <c r="N116" s="108">
        <f t="shared" si="43"/>
        <v>152</v>
      </c>
      <c r="O116" s="108">
        <f t="shared" si="43"/>
        <v>152</v>
      </c>
      <c r="P116" s="108">
        <f t="shared" si="43"/>
        <v>152</v>
      </c>
      <c r="Q116" s="108">
        <f t="shared" si="43"/>
        <v>152</v>
      </c>
      <c r="R116" s="108">
        <f t="shared" si="43"/>
        <v>152</v>
      </c>
      <c r="S116" s="108">
        <f t="shared" si="43"/>
        <v>152</v>
      </c>
      <c r="T116" s="108">
        <f t="shared" si="43"/>
        <v>152</v>
      </c>
      <c r="U116" s="108">
        <f t="shared" si="43"/>
        <v>152</v>
      </c>
      <c r="V116" s="108">
        <f t="shared" si="43"/>
        <v>152</v>
      </c>
      <c r="W116" s="108">
        <f t="shared" si="43"/>
        <v>152</v>
      </c>
      <c r="X116" s="108">
        <f t="shared" si="43"/>
        <v>152</v>
      </c>
      <c r="Y116" s="108">
        <f t="shared" si="43"/>
        <v>152</v>
      </c>
      <c r="Z116" s="108">
        <f t="shared" si="43"/>
        <v>152</v>
      </c>
      <c r="AA116" s="108">
        <f t="shared" si="43"/>
        <v>152</v>
      </c>
      <c r="AB116" s="108">
        <f t="shared" si="43"/>
        <v>152</v>
      </c>
      <c r="AC116" s="108">
        <f t="shared" si="43"/>
        <v>152</v>
      </c>
      <c r="AD116" s="108">
        <f t="shared" si="43"/>
        <v>152</v>
      </c>
      <c r="AE116" s="108">
        <f t="shared" si="43"/>
        <v>152</v>
      </c>
      <c r="AF116" s="108">
        <f t="shared" si="43"/>
        <v>152</v>
      </c>
      <c r="AG116" s="104"/>
      <c r="AH116" s="46">
        <f t="shared" si="22"/>
        <v>1890.3700000000001</v>
      </c>
      <c r="AI116" s="47">
        <f t="shared" si="23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378.2</v>
      </c>
      <c r="C117" s="93">
        <f t="shared" ref="B117:AF122" si="44">IF(C97&lt;0,C97*-1,0)</f>
        <v>576.1</v>
      </c>
      <c r="D117" s="93">
        <f t="shared" si="44"/>
        <v>587</v>
      </c>
      <c r="E117" s="93">
        <f t="shared" si="44"/>
        <v>537.79999999999995</v>
      </c>
      <c r="F117" s="93">
        <f t="shared" si="44"/>
        <v>0</v>
      </c>
      <c r="G117" s="93">
        <f t="shared" si="44"/>
        <v>0</v>
      </c>
      <c r="H117" s="93">
        <f t="shared" si="44"/>
        <v>0</v>
      </c>
      <c r="I117" s="93">
        <f t="shared" si="44"/>
        <v>0</v>
      </c>
      <c r="J117" s="93">
        <f t="shared" si="44"/>
        <v>0</v>
      </c>
      <c r="K117" s="93">
        <f t="shared" si="44"/>
        <v>0</v>
      </c>
      <c r="L117" s="93">
        <f t="shared" si="44"/>
        <v>0</v>
      </c>
      <c r="M117" s="93">
        <f t="shared" si="44"/>
        <v>0</v>
      </c>
      <c r="N117" s="93">
        <f t="shared" si="44"/>
        <v>0</v>
      </c>
      <c r="O117" s="93">
        <f t="shared" si="44"/>
        <v>0</v>
      </c>
      <c r="P117" s="93">
        <f t="shared" si="44"/>
        <v>0</v>
      </c>
      <c r="Q117" s="93">
        <f t="shared" si="44"/>
        <v>0</v>
      </c>
      <c r="R117" s="93">
        <f t="shared" si="44"/>
        <v>0</v>
      </c>
      <c r="S117" s="93">
        <f t="shared" si="44"/>
        <v>0</v>
      </c>
      <c r="T117" s="93">
        <f t="shared" si="44"/>
        <v>0</v>
      </c>
      <c r="U117" s="93">
        <f t="shared" si="44"/>
        <v>0</v>
      </c>
      <c r="V117" s="93">
        <f t="shared" si="44"/>
        <v>0</v>
      </c>
      <c r="W117" s="93">
        <f t="shared" si="44"/>
        <v>0</v>
      </c>
      <c r="X117" s="93">
        <f t="shared" si="44"/>
        <v>0</v>
      </c>
      <c r="Y117" s="93">
        <f t="shared" si="44"/>
        <v>0</v>
      </c>
      <c r="Z117" s="93">
        <f t="shared" si="44"/>
        <v>0</v>
      </c>
      <c r="AA117" s="93">
        <f t="shared" si="44"/>
        <v>0</v>
      </c>
      <c r="AB117" s="93">
        <f t="shared" si="44"/>
        <v>0</v>
      </c>
      <c r="AC117" s="93">
        <f t="shared" si="44"/>
        <v>0</v>
      </c>
      <c r="AD117" s="93">
        <f t="shared" si="44"/>
        <v>0</v>
      </c>
      <c r="AE117" s="93">
        <f t="shared" si="44"/>
        <v>0</v>
      </c>
      <c r="AF117" s="93">
        <f t="shared" si="44"/>
        <v>0</v>
      </c>
      <c r="AG117" s="61"/>
      <c r="AH117" s="46">
        <f t="shared" si="22"/>
        <v>587</v>
      </c>
      <c r="AI117" s="47">
        <f t="shared" si="23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44"/>
        <v>0</v>
      </c>
      <c r="D118" s="93">
        <f t="shared" si="44"/>
        <v>0</v>
      </c>
      <c r="E118" s="93">
        <f t="shared" si="44"/>
        <v>0</v>
      </c>
      <c r="F118" s="93">
        <f t="shared" si="44"/>
        <v>0</v>
      </c>
      <c r="G118" s="93">
        <f t="shared" si="44"/>
        <v>0</v>
      </c>
      <c r="H118" s="93">
        <f t="shared" si="44"/>
        <v>0</v>
      </c>
      <c r="I118" s="93">
        <f t="shared" si="44"/>
        <v>0</v>
      </c>
      <c r="J118" s="93">
        <f t="shared" si="44"/>
        <v>0</v>
      </c>
      <c r="K118" s="93">
        <f t="shared" si="44"/>
        <v>0</v>
      </c>
      <c r="L118" s="93">
        <f t="shared" si="44"/>
        <v>0</v>
      </c>
      <c r="M118" s="93">
        <f t="shared" si="44"/>
        <v>0</v>
      </c>
      <c r="N118" s="93">
        <f t="shared" si="44"/>
        <v>0</v>
      </c>
      <c r="O118" s="93">
        <f t="shared" si="44"/>
        <v>0</v>
      </c>
      <c r="P118" s="93">
        <f t="shared" si="44"/>
        <v>0</v>
      </c>
      <c r="Q118" s="93">
        <f t="shared" si="44"/>
        <v>0</v>
      </c>
      <c r="R118" s="93">
        <f t="shared" si="44"/>
        <v>0</v>
      </c>
      <c r="S118" s="93">
        <f t="shared" si="44"/>
        <v>0</v>
      </c>
      <c r="T118" s="93">
        <f t="shared" si="44"/>
        <v>0</v>
      </c>
      <c r="U118" s="93">
        <f t="shared" si="44"/>
        <v>0</v>
      </c>
      <c r="V118" s="93">
        <f t="shared" si="44"/>
        <v>0</v>
      </c>
      <c r="W118" s="93">
        <f t="shared" si="44"/>
        <v>0</v>
      </c>
      <c r="X118" s="93">
        <f t="shared" si="44"/>
        <v>0</v>
      </c>
      <c r="Y118" s="93">
        <f t="shared" si="44"/>
        <v>0</v>
      </c>
      <c r="Z118" s="93">
        <f t="shared" si="44"/>
        <v>0</v>
      </c>
      <c r="AA118" s="93">
        <f t="shared" si="44"/>
        <v>0</v>
      </c>
      <c r="AB118" s="93">
        <f t="shared" si="44"/>
        <v>0</v>
      </c>
      <c r="AC118" s="93">
        <f t="shared" si="44"/>
        <v>0</v>
      </c>
      <c r="AD118" s="93">
        <f t="shared" si="44"/>
        <v>0</v>
      </c>
      <c r="AE118" s="93">
        <f t="shared" si="44"/>
        <v>0</v>
      </c>
      <c r="AF118" s="93">
        <f t="shared" si="44"/>
        <v>0</v>
      </c>
      <c r="AG118" s="64"/>
      <c r="AH118" s="46">
        <f t="shared" si="22"/>
        <v>0</v>
      </c>
      <c r="AI118" s="47">
        <f t="shared" si="23"/>
        <v>0</v>
      </c>
      <c r="AK118" s="49"/>
      <c r="BG118" s="82">
        <v>-483</v>
      </c>
      <c r="BH118" s="82">
        <v>6.2</v>
      </c>
      <c r="BI118" s="82">
        <v>0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44"/>
        <v>0</v>
      </c>
      <c r="D119" s="93">
        <f t="shared" si="44"/>
        <v>0</v>
      </c>
      <c r="E119" s="93">
        <f t="shared" si="44"/>
        <v>0</v>
      </c>
      <c r="F119" s="93">
        <f t="shared" si="44"/>
        <v>0</v>
      </c>
      <c r="G119" s="93">
        <f t="shared" si="44"/>
        <v>0</v>
      </c>
      <c r="H119" s="93">
        <f t="shared" si="44"/>
        <v>0</v>
      </c>
      <c r="I119" s="93">
        <f t="shared" si="44"/>
        <v>0</v>
      </c>
      <c r="J119" s="93">
        <f t="shared" si="44"/>
        <v>0</v>
      </c>
      <c r="K119" s="93">
        <f t="shared" si="44"/>
        <v>0</v>
      </c>
      <c r="L119" s="93">
        <f t="shared" si="44"/>
        <v>0</v>
      </c>
      <c r="M119" s="93">
        <f t="shared" si="44"/>
        <v>0</v>
      </c>
      <c r="N119" s="93">
        <f t="shared" si="44"/>
        <v>0</v>
      </c>
      <c r="O119" s="93">
        <f t="shared" si="44"/>
        <v>0</v>
      </c>
      <c r="P119" s="93">
        <f t="shared" si="44"/>
        <v>0</v>
      </c>
      <c r="Q119" s="93">
        <f t="shared" si="44"/>
        <v>0</v>
      </c>
      <c r="R119" s="93">
        <f t="shared" si="44"/>
        <v>0</v>
      </c>
      <c r="S119" s="93">
        <f t="shared" si="44"/>
        <v>0</v>
      </c>
      <c r="T119" s="93">
        <f t="shared" si="44"/>
        <v>0</v>
      </c>
      <c r="U119" s="93">
        <f t="shared" si="44"/>
        <v>0</v>
      </c>
      <c r="V119" s="93">
        <f t="shared" si="44"/>
        <v>0</v>
      </c>
      <c r="W119" s="93">
        <f t="shared" si="44"/>
        <v>0</v>
      </c>
      <c r="X119" s="93">
        <f t="shared" si="44"/>
        <v>0</v>
      </c>
      <c r="Y119" s="93">
        <f t="shared" si="44"/>
        <v>0</v>
      </c>
      <c r="Z119" s="93">
        <f t="shared" si="44"/>
        <v>0</v>
      </c>
      <c r="AA119" s="93">
        <f t="shared" si="44"/>
        <v>0</v>
      </c>
      <c r="AB119" s="93">
        <f t="shared" si="44"/>
        <v>0</v>
      </c>
      <c r="AC119" s="93">
        <f t="shared" si="44"/>
        <v>0</v>
      </c>
      <c r="AD119" s="93">
        <f t="shared" si="44"/>
        <v>0</v>
      </c>
      <c r="AE119" s="93">
        <f t="shared" si="44"/>
        <v>0</v>
      </c>
      <c r="AF119" s="93">
        <f t="shared" si="44"/>
        <v>0</v>
      </c>
      <c r="AG119" s="111"/>
      <c r="AH119" s="46">
        <f t="shared" si="22"/>
        <v>0</v>
      </c>
      <c r="AI119" s="47">
        <f t="shared" si="23"/>
        <v>0</v>
      </c>
    </row>
    <row r="120" spans="1:64" x14ac:dyDescent="0.25">
      <c r="A120" s="96" t="s">
        <v>126</v>
      </c>
      <c r="B120" s="93">
        <v>0</v>
      </c>
      <c r="C120" s="93">
        <f t="shared" si="44"/>
        <v>0</v>
      </c>
      <c r="D120" s="93">
        <f t="shared" si="44"/>
        <v>0</v>
      </c>
      <c r="E120" s="93">
        <f t="shared" si="44"/>
        <v>0</v>
      </c>
      <c r="F120" s="93">
        <f t="shared" si="44"/>
        <v>0</v>
      </c>
      <c r="G120" s="93">
        <f t="shared" si="44"/>
        <v>0</v>
      </c>
      <c r="H120" s="93">
        <f t="shared" si="44"/>
        <v>0</v>
      </c>
      <c r="I120" s="93">
        <f t="shared" si="44"/>
        <v>0</v>
      </c>
      <c r="J120" s="93">
        <f t="shared" si="44"/>
        <v>0</v>
      </c>
      <c r="K120" s="93">
        <f t="shared" si="44"/>
        <v>0</v>
      </c>
      <c r="L120" s="93">
        <f t="shared" si="44"/>
        <v>0</v>
      </c>
      <c r="M120" s="93">
        <f t="shared" si="44"/>
        <v>0</v>
      </c>
      <c r="N120" s="93">
        <f t="shared" si="44"/>
        <v>0</v>
      </c>
      <c r="O120" s="93">
        <f t="shared" si="44"/>
        <v>0</v>
      </c>
      <c r="P120" s="93">
        <f t="shared" si="44"/>
        <v>0</v>
      </c>
      <c r="Q120" s="93">
        <f t="shared" si="44"/>
        <v>0</v>
      </c>
      <c r="R120" s="93">
        <f t="shared" si="44"/>
        <v>0</v>
      </c>
      <c r="S120" s="93">
        <f t="shared" si="44"/>
        <v>0</v>
      </c>
      <c r="T120" s="93">
        <f t="shared" si="44"/>
        <v>0</v>
      </c>
      <c r="U120" s="93">
        <f t="shared" si="44"/>
        <v>0</v>
      </c>
      <c r="V120" s="93">
        <f t="shared" si="44"/>
        <v>0</v>
      </c>
      <c r="W120" s="93">
        <f t="shared" si="44"/>
        <v>0</v>
      </c>
      <c r="X120" s="93">
        <f t="shared" si="44"/>
        <v>0</v>
      </c>
      <c r="Y120" s="93">
        <f t="shared" si="44"/>
        <v>0</v>
      </c>
      <c r="Z120" s="93">
        <f t="shared" si="44"/>
        <v>0</v>
      </c>
      <c r="AA120" s="93">
        <f t="shared" si="44"/>
        <v>0</v>
      </c>
      <c r="AB120" s="93">
        <f t="shared" si="44"/>
        <v>0</v>
      </c>
      <c r="AC120" s="93">
        <f t="shared" si="44"/>
        <v>0</v>
      </c>
      <c r="AD120" s="93">
        <f t="shared" si="44"/>
        <v>0</v>
      </c>
      <c r="AE120" s="93">
        <f t="shared" si="44"/>
        <v>0</v>
      </c>
      <c r="AF120" s="93">
        <f t="shared" si="44"/>
        <v>0</v>
      </c>
      <c r="AG120" s="111"/>
      <c r="AH120" s="46">
        <f t="shared" si="22"/>
        <v>0</v>
      </c>
      <c r="AI120" s="47">
        <f t="shared" si="23"/>
        <v>0</v>
      </c>
    </row>
    <row r="121" spans="1:64" x14ac:dyDescent="0.25">
      <c r="A121" s="96" t="s">
        <v>128</v>
      </c>
      <c r="B121" s="93">
        <v>0</v>
      </c>
      <c r="C121" s="93">
        <f t="shared" si="44"/>
        <v>0</v>
      </c>
      <c r="D121" s="93">
        <f t="shared" si="44"/>
        <v>0</v>
      </c>
      <c r="E121" s="93">
        <f t="shared" si="44"/>
        <v>0</v>
      </c>
      <c r="F121" s="93">
        <f t="shared" si="44"/>
        <v>0</v>
      </c>
      <c r="G121" s="93">
        <f t="shared" si="44"/>
        <v>0</v>
      </c>
      <c r="H121" s="93">
        <f t="shared" si="44"/>
        <v>0</v>
      </c>
      <c r="I121" s="93">
        <f t="shared" si="44"/>
        <v>0</v>
      </c>
      <c r="J121" s="93">
        <f t="shared" si="44"/>
        <v>0</v>
      </c>
      <c r="K121" s="93">
        <f t="shared" si="44"/>
        <v>0</v>
      </c>
      <c r="L121" s="93">
        <f t="shared" si="44"/>
        <v>0</v>
      </c>
      <c r="M121" s="93">
        <f t="shared" si="44"/>
        <v>0</v>
      </c>
      <c r="N121" s="93">
        <f t="shared" si="44"/>
        <v>0</v>
      </c>
      <c r="O121" s="93">
        <f t="shared" si="44"/>
        <v>0</v>
      </c>
      <c r="P121" s="93">
        <f t="shared" si="44"/>
        <v>0</v>
      </c>
      <c r="Q121" s="93">
        <f t="shared" si="44"/>
        <v>0</v>
      </c>
      <c r="R121" s="93">
        <f t="shared" si="44"/>
        <v>0</v>
      </c>
      <c r="S121" s="93">
        <f t="shared" si="44"/>
        <v>0</v>
      </c>
      <c r="T121" s="93">
        <f t="shared" si="44"/>
        <v>0</v>
      </c>
      <c r="U121" s="93">
        <f t="shared" si="44"/>
        <v>0</v>
      </c>
      <c r="V121" s="93">
        <f t="shared" si="44"/>
        <v>0</v>
      </c>
      <c r="W121" s="93">
        <f t="shared" si="44"/>
        <v>0</v>
      </c>
      <c r="X121" s="93">
        <f t="shared" si="44"/>
        <v>0</v>
      </c>
      <c r="Y121" s="93">
        <f t="shared" si="44"/>
        <v>0</v>
      </c>
      <c r="Z121" s="93">
        <f t="shared" si="44"/>
        <v>0</v>
      </c>
      <c r="AA121" s="93">
        <f t="shared" si="44"/>
        <v>0</v>
      </c>
      <c r="AB121" s="93">
        <f t="shared" si="44"/>
        <v>0</v>
      </c>
      <c r="AC121" s="93">
        <f t="shared" si="44"/>
        <v>0</v>
      </c>
      <c r="AD121" s="93">
        <f t="shared" si="44"/>
        <v>0</v>
      </c>
      <c r="AE121" s="93">
        <f t="shared" si="44"/>
        <v>0</v>
      </c>
      <c r="AF121" s="93">
        <f t="shared" si="44"/>
        <v>0</v>
      </c>
      <c r="AG121" s="111"/>
      <c r="AH121" s="46">
        <f t="shared" si="22"/>
        <v>0</v>
      </c>
      <c r="AI121" s="47">
        <f t="shared" si="23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44"/>
        <v>0</v>
      </c>
      <c r="D122" s="93">
        <f t="shared" si="44"/>
        <v>0</v>
      </c>
      <c r="E122" s="93">
        <f t="shared" si="44"/>
        <v>0</v>
      </c>
      <c r="F122" s="93">
        <f t="shared" si="44"/>
        <v>0</v>
      </c>
      <c r="G122" s="93">
        <f t="shared" si="44"/>
        <v>0</v>
      </c>
      <c r="H122" s="93">
        <f t="shared" si="44"/>
        <v>0</v>
      </c>
      <c r="I122" s="93">
        <f t="shared" si="44"/>
        <v>0</v>
      </c>
      <c r="J122" s="93">
        <f t="shared" si="44"/>
        <v>0</v>
      </c>
      <c r="K122" s="93">
        <f t="shared" si="44"/>
        <v>0</v>
      </c>
      <c r="L122" s="93">
        <f t="shared" si="44"/>
        <v>0</v>
      </c>
      <c r="M122" s="93">
        <f t="shared" si="44"/>
        <v>0</v>
      </c>
      <c r="N122" s="93">
        <f t="shared" si="44"/>
        <v>0</v>
      </c>
      <c r="O122" s="93">
        <f t="shared" si="44"/>
        <v>0</v>
      </c>
      <c r="P122" s="93">
        <f t="shared" si="44"/>
        <v>0</v>
      </c>
      <c r="Q122" s="93">
        <f t="shared" si="44"/>
        <v>0</v>
      </c>
      <c r="R122" s="93">
        <f t="shared" si="44"/>
        <v>0</v>
      </c>
      <c r="S122" s="93">
        <f t="shared" si="44"/>
        <v>0</v>
      </c>
      <c r="T122" s="93">
        <f t="shared" si="44"/>
        <v>0</v>
      </c>
      <c r="U122" s="93">
        <f t="shared" si="44"/>
        <v>0</v>
      </c>
      <c r="V122" s="93">
        <f t="shared" si="44"/>
        <v>0</v>
      </c>
      <c r="W122" s="93">
        <f t="shared" si="44"/>
        <v>0</v>
      </c>
      <c r="X122" s="93">
        <f t="shared" si="44"/>
        <v>0</v>
      </c>
      <c r="Y122" s="93">
        <f t="shared" si="44"/>
        <v>0</v>
      </c>
      <c r="Z122" s="93">
        <f t="shared" si="44"/>
        <v>0</v>
      </c>
      <c r="AA122" s="93">
        <f t="shared" si="44"/>
        <v>0</v>
      </c>
      <c r="AB122" s="93">
        <f t="shared" si="44"/>
        <v>0</v>
      </c>
      <c r="AC122" s="93">
        <f t="shared" si="44"/>
        <v>0</v>
      </c>
      <c r="AD122" s="93">
        <f t="shared" si="44"/>
        <v>0</v>
      </c>
      <c r="AE122" s="93">
        <f t="shared" si="44"/>
        <v>0</v>
      </c>
      <c r="AF122" s="93">
        <f t="shared" si="44"/>
        <v>0</v>
      </c>
      <c r="AG122" s="103"/>
      <c r="AH122" s="46">
        <f t="shared" si="22"/>
        <v>0</v>
      </c>
      <c r="AI122" s="47">
        <f t="shared" si="23"/>
        <v>0</v>
      </c>
    </row>
    <row r="123" spans="1:64" ht="15.75" thickBot="1" x14ac:dyDescent="0.3">
      <c r="A123" s="112" t="s">
        <v>145</v>
      </c>
      <c r="B123" s="70">
        <f t="shared" ref="B123" si="45">SUM(B117:B122)</f>
        <v>378.2</v>
      </c>
      <c r="C123" s="70">
        <f t="shared" ref="B123:AF123" si="46">SUM(C117:C122)</f>
        <v>576.1</v>
      </c>
      <c r="D123" s="70">
        <f t="shared" si="46"/>
        <v>587</v>
      </c>
      <c r="E123" s="70">
        <f t="shared" si="46"/>
        <v>537.79999999999995</v>
      </c>
      <c r="F123" s="70">
        <f t="shared" si="46"/>
        <v>0</v>
      </c>
      <c r="G123" s="70">
        <f t="shared" si="46"/>
        <v>0</v>
      </c>
      <c r="H123" s="70">
        <f t="shared" si="46"/>
        <v>0</v>
      </c>
      <c r="I123" s="70">
        <f t="shared" si="46"/>
        <v>0</v>
      </c>
      <c r="J123" s="70">
        <f t="shared" si="46"/>
        <v>0</v>
      </c>
      <c r="K123" s="70">
        <f t="shared" si="46"/>
        <v>0</v>
      </c>
      <c r="L123" s="70">
        <f t="shared" si="46"/>
        <v>0</v>
      </c>
      <c r="M123" s="70">
        <f t="shared" si="46"/>
        <v>0</v>
      </c>
      <c r="N123" s="70">
        <f t="shared" si="46"/>
        <v>0</v>
      </c>
      <c r="O123" s="70">
        <f t="shared" si="46"/>
        <v>0</v>
      </c>
      <c r="P123" s="70">
        <f t="shared" si="46"/>
        <v>0</v>
      </c>
      <c r="Q123" s="70">
        <f t="shared" si="46"/>
        <v>0</v>
      </c>
      <c r="R123" s="70">
        <f t="shared" si="46"/>
        <v>0</v>
      </c>
      <c r="S123" s="70">
        <f t="shared" si="46"/>
        <v>0</v>
      </c>
      <c r="T123" s="70">
        <f t="shared" si="46"/>
        <v>0</v>
      </c>
      <c r="U123" s="70">
        <f t="shared" si="46"/>
        <v>0</v>
      </c>
      <c r="V123" s="70">
        <f t="shared" si="46"/>
        <v>0</v>
      </c>
      <c r="W123" s="70">
        <f t="shared" si="46"/>
        <v>0</v>
      </c>
      <c r="X123" s="70">
        <f t="shared" si="46"/>
        <v>0</v>
      </c>
      <c r="Y123" s="70">
        <f t="shared" si="46"/>
        <v>0</v>
      </c>
      <c r="Z123" s="70">
        <f t="shared" si="46"/>
        <v>0</v>
      </c>
      <c r="AA123" s="70">
        <f t="shared" si="46"/>
        <v>0</v>
      </c>
      <c r="AB123" s="70">
        <f t="shared" si="46"/>
        <v>0</v>
      </c>
      <c r="AC123" s="70">
        <f t="shared" si="46"/>
        <v>0</v>
      </c>
      <c r="AD123" s="70">
        <f t="shared" si="46"/>
        <v>0</v>
      </c>
      <c r="AE123" s="70">
        <f t="shared" si="46"/>
        <v>0</v>
      </c>
      <c r="AF123" s="70">
        <f t="shared" si="46"/>
        <v>0</v>
      </c>
      <c r="AG123" s="104"/>
      <c r="AH123" s="46">
        <f t="shared" si="22"/>
        <v>587</v>
      </c>
      <c r="AI123" s="47">
        <f t="shared" si="23"/>
        <v>0</v>
      </c>
      <c r="AJ123" s="105">
        <f t="array" ref="AJ123">MIN(IF(B123:AF123&lt;&gt;0,B123:AF123))</f>
        <v>378.2</v>
      </c>
    </row>
    <row r="124" spans="1:64" ht="15.75" thickBot="1" x14ac:dyDescent="0.3">
      <c r="A124" s="87" t="s">
        <v>146</v>
      </c>
      <c r="B124" s="70">
        <f t="shared" ref="B124" si="47">B108-B123</f>
        <v>-316</v>
      </c>
      <c r="C124" s="70">
        <f t="shared" ref="B124:AF124" si="48">C108-C123</f>
        <v>-464.3</v>
      </c>
      <c r="D124" s="70">
        <f t="shared" si="48"/>
        <v>-475</v>
      </c>
      <c r="E124" s="70">
        <f t="shared" si="48"/>
        <v>-430.99999999999994</v>
      </c>
      <c r="F124" s="70">
        <f t="shared" si="48"/>
        <v>0</v>
      </c>
      <c r="G124" s="70">
        <f t="shared" si="48"/>
        <v>0</v>
      </c>
      <c r="H124" s="70">
        <f t="shared" si="48"/>
        <v>0</v>
      </c>
      <c r="I124" s="70">
        <f t="shared" si="48"/>
        <v>0</v>
      </c>
      <c r="J124" s="70">
        <f t="shared" si="48"/>
        <v>0</v>
      </c>
      <c r="K124" s="70">
        <f t="shared" si="48"/>
        <v>0</v>
      </c>
      <c r="L124" s="70">
        <f t="shared" si="48"/>
        <v>0</v>
      </c>
      <c r="M124" s="70">
        <f t="shared" si="48"/>
        <v>0</v>
      </c>
      <c r="N124" s="70">
        <f t="shared" si="48"/>
        <v>0</v>
      </c>
      <c r="O124" s="70">
        <f t="shared" si="48"/>
        <v>0</v>
      </c>
      <c r="P124" s="70">
        <f t="shared" si="48"/>
        <v>0</v>
      </c>
      <c r="Q124" s="70">
        <f t="shared" si="48"/>
        <v>0</v>
      </c>
      <c r="R124" s="70">
        <f t="shared" si="48"/>
        <v>0</v>
      </c>
      <c r="S124" s="70">
        <f t="shared" si="48"/>
        <v>0</v>
      </c>
      <c r="T124" s="70">
        <f t="shared" si="48"/>
        <v>0</v>
      </c>
      <c r="U124" s="70">
        <f t="shared" si="48"/>
        <v>0</v>
      </c>
      <c r="V124" s="70">
        <f t="shared" si="48"/>
        <v>0</v>
      </c>
      <c r="W124" s="70">
        <f t="shared" si="48"/>
        <v>0</v>
      </c>
      <c r="X124" s="70">
        <f t="shared" si="48"/>
        <v>0</v>
      </c>
      <c r="Y124" s="70">
        <f t="shared" si="48"/>
        <v>0</v>
      </c>
      <c r="Z124" s="70">
        <f t="shared" si="48"/>
        <v>0</v>
      </c>
      <c r="AA124" s="70">
        <f t="shared" si="48"/>
        <v>0</v>
      </c>
      <c r="AB124" s="70">
        <f t="shared" si="48"/>
        <v>0</v>
      </c>
      <c r="AC124" s="70">
        <f t="shared" si="48"/>
        <v>0</v>
      </c>
      <c r="AD124" s="70">
        <f t="shared" si="48"/>
        <v>0</v>
      </c>
      <c r="AE124" s="70">
        <f t="shared" si="48"/>
        <v>0</v>
      </c>
      <c r="AF124" s="70">
        <f t="shared" si="48"/>
        <v>0</v>
      </c>
      <c r="AG124" s="104"/>
      <c r="AH124" s="46">
        <f t="shared" si="22"/>
        <v>0</v>
      </c>
      <c r="AI124" s="47">
        <f t="shared" si="23"/>
        <v>-475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2"/>
        <v>0</v>
      </c>
      <c r="AI125" s="47">
        <f t="shared" si="23"/>
        <v>0</v>
      </c>
    </row>
    <row r="126" spans="1:64" x14ac:dyDescent="0.25">
      <c r="A126" s="116" t="s">
        <v>148</v>
      </c>
      <c r="B126" s="117">
        <v>49.78</v>
      </c>
      <c r="C126" s="117">
        <v>50.045000000000002</v>
      </c>
      <c r="D126" s="117">
        <v>49.991999999999997</v>
      </c>
      <c r="E126" s="117">
        <v>50.02</v>
      </c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2"/>
        <v>50.045000000000002</v>
      </c>
      <c r="AI126" s="47">
        <f t="shared" si="23"/>
        <v>49.78</v>
      </c>
    </row>
    <row r="127" spans="1:64" x14ac:dyDescent="0.25">
      <c r="A127" s="119" t="s">
        <v>149</v>
      </c>
      <c r="B127" s="43">
        <v>130.9</v>
      </c>
      <c r="C127" s="43">
        <v>131.5</v>
      </c>
      <c r="D127" s="43">
        <v>133</v>
      </c>
      <c r="E127" s="43">
        <v>133.80000000000001</v>
      </c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2"/>
        <v>133.80000000000001</v>
      </c>
      <c r="AI127" s="47">
        <f t="shared" si="23"/>
        <v>130.9</v>
      </c>
    </row>
    <row r="128" spans="1:64" x14ac:dyDescent="0.25">
      <c r="A128" s="119" t="s">
        <v>150</v>
      </c>
      <c r="B128" s="43">
        <v>130.69999999999999</v>
      </c>
      <c r="C128" s="43">
        <v>129.30000000000001</v>
      </c>
      <c r="D128" s="43">
        <v>131.5</v>
      </c>
      <c r="E128" s="43">
        <v>131.6</v>
      </c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2"/>
        <v>131.6</v>
      </c>
      <c r="AI128" s="47">
        <f t="shared" si="23"/>
        <v>129.30000000000001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2"/>
        <v>0</v>
      </c>
      <c r="AI129" s="47">
        <f t="shared" si="23"/>
        <v>0</v>
      </c>
    </row>
    <row r="130" spans="1:35" x14ac:dyDescent="0.25">
      <c r="A130" s="119" t="s">
        <v>152</v>
      </c>
      <c r="B130" s="43">
        <v>134.30000000000001</v>
      </c>
      <c r="C130" s="43">
        <v>134.80000000000001</v>
      </c>
      <c r="D130" s="43">
        <v>135.6</v>
      </c>
      <c r="E130" s="43">
        <v>134.4</v>
      </c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2"/>
        <v>135.6</v>
      </c>
      <c r="AI130" s="47">
        <f t="shared" si="23"/>
        <v>134.30000000000001</v>
      </c>
    </row>
    <row r="131" spans="1:35" x14ac:dyDescent="0.25">
      <c r="A131" s="121" t="s">
        <v>153</v>
      </c>
      <c r="B131" s="122">
        <v>133.80000000000001</v>
      </c>
      <c r="C131" s="122">
        <v>134.1</v>
      </c>
      <c r="D131" s="122">
        <v>135.1</v>
      </c>
      <c r="E131" s="122">
        <v>133.19999999999999</v>
      </c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2"/>
        <v>135.1</v>
      </c>
      <c r="AI131" s="47">
        <f t="shared" si="23"/>
        <v>133.19999999999999</v>
      </c>
    </row>
    <row r="132" spans="1:35" x14ac:dyDescent="0.25">
      <c r="A132" s="119" t="s">
        <v>154</v>
      </c>
      <c r="B132" s="43">
        <v>122.8</v>
      </c>
      <c r="C132" s="43">
        <v>127.1</v>
      </c>
      <c r="D132" s="43">
        <v>128.5</v>
      </c>
      <c r="E132" s="43">
        <v>122</v>
      </c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2"/>
        <v>128.5</v>
      </c>
      <c r="AI132" s="47">
        <f t="shared" si="23"/>
        <v>122</v>
      </c>
    </row>
    <row r="133" spans="1:35" ht="15.75" thickBot="1" x14ac:dyDescent="0.3">
      <c r="A133" s="119" t="s">
        <v>155</v>
      </c>
      <c r="B133" s="101">
        <v>65.3</v>
      </c>
      <c r="C133" s="101">
        <v>66.900000000000006</v>
      </c>
      <c r="D133" s="101">
        <v>66.900000000000006</v>
      </c>
      <c r="E133" s="101">
        <v>66.39</v>
      </c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2"/>
        <v>66.900000000000006</v>
      </c>
      <c r="AI133" s="47">
        <f t="shared" si="23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2"/>
        <v>0</v>
      </c>
      <c r="AI134" s="47">
        <f t="shared" si="23"/>
        <v>0</v>
      </c>
    </row>
    <row r="135" spans="1:35" ht="15.75" thickBot="1" x14ac:dyDescent="0.3">
      <c r="A135" s="126" t="s">
        <v>157</v>
      </c>
      <c r="B135" s="114">
        <f t="shared" ref="B135:O135" si="49">SUM(B23,B30,B51:B52,B82,B84:B85,B87,B89,B137:B142,B170,B176,B182,B191,B193,B205,B212,B215:B216,B223,B225,B227,B231:B233,B235:B237,B242,B248:B249,B251:B253,B261,B266)</f>
        <v>322.99999999999994</v>
      </c>
      <c r="C135" s="114">
        <f t="shared" ref="C135:O135" si="50">SUM(C26,C32,C45:C46,C82,C84:C85,C87,C89,C137:C142,C177,C183,C189,C198,C200,C212,C219,C222:C223,C230,C232,C234,C238:C240,C242:C244,C249,C255:C256,C258:C260,C161,C166)</f>
        <v>119.34</v>
      </c>
      <c r="D135" s="114">
        <f t="shared" si="50"/>
        <v>160.94</v>
      </c>
      <c r="E135" s="114">
        <f t="shared" si="50"/>
        <v>168.26</v>
      </c>
      <c r="F135" s="114">
        <f t="shared" si="50"/>
        <v>0.94</v>
      </c>
      <c r="G135" s="114">
        <f t="shared" si="50"/>
        <v>0.94</v>
      </c>
      <c r="H135" s="114">
        <f t="shared" si="50"/>
        <v>0.94</v>
      </c>
      <c r="I135" s="114">
        <f t="shared" si="50"/>
        <v>0.94</v>
      </c>
      <c r="J135" s="114">
        <f t="shared" si="50"/>
        <v>0.94</v>
      </c>
      <c r="K135" s="114">
        <f t="shared" si="50"/>
        <v>0.94</v>
      </c>
      <c r="L135" s="114">
        <f t="shared" si="50"/>
        <v>0.94</v>
      </c>
      <c r="M135" s="114">
        <f t="shared" si="50"/>
        <v>0.94</v>
      </c>
      <c r="N135" s="114">
        <f t="shared" si="50"/>
        <v>0.94</v>
      </c>
      <c r="O135" s="114">
        <f t="shared" si="50"/>
        <v>0.94</v>
      </c>
      <c r="P135" s="114">
        <v>42</v>
      </c>
      <c r="Q135" s="114">
        <f t="shared" ref="Q135:X135" si="51">SUM(Q26,Q32,Q45:Q46,Q82,Q84:Q85,Q87,Q89,Q137:Q142,Q177,Q183,Q189,Q198,Q200,Q212,Q219,Q222:Q223,Q230,Q232,Q234,Q238:Q240,Q242:Q244,Q249,Q255:Q256,Q258:Q260,Q161,Q166)</f>
        <v>0.94</v>
      </c>
      <c r="R135" s="114">
        <f t="shared" si="51"/>
        <v>0.94</v>
      </c>
      <c r="S135" s="114">
        <f t="shared" si="51"/>
        <v>0.94</v>
      </c>
      <c r="T135" s="114">
        <f t="shared" si="51"/>
        <v>0.94</v>
      </c>
      <c r="U135" s="114">
        <f t="shared" si="51"/>
        <v>0.94</v>
      </c>
      <c r="V135" s="114">
        <f t="shared" si="51"/>
        <v>0.94</v>
      </c>
      <c r="W135" s="114">
        <f t="shared" si="51"/>
        <v>0.94</v>
      </c>
      <c r="X135" s="114">
        <f t="shared" si="51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52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52"/>
        <v>0.94</v>
      </c>
      <c r="AC135" s="114">
        <f t="shared" si="52"/>
        <v>0.94</v>
      </c>
      <c r="AD135" s="114">
        <f t="shared" si="52"/>
        <v>0.94</v>
      </c>
      <c r="AE135" s="114">
        <f t="shared" si="52"/>
        <v>0.94</v>
      </c>
      <c r="AF135" s="114">
        <f t="shared" si="52"/>
        <v>0.94</v>
      </c>
      <c r="AG135" s="127"/>
      <c r="AH135" s="46">
        <f t="shared" si="22"/>
        <v>322.99999999999994</v>
      </c>
      <c r="AI135" s="47">
        <f t="shared" si="23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2"/>
        <v>0</v>
      </c>
      <c r="AI136" s="47">
        <f t="shared" si="23"/>
        <v>0</v>
      </c>
    </row>
    <row r="137" spans="1:35" x14ac:dyDescent="0.25">
      <c r="A137" s="131" t="s">
        <v>159</v>
      </c>
      <c r="B137" s="132">
        <v>57.6</v>
      </c>
      <c r="C137" s="132">
        <v>60.8</v>
      </c>
      <c r="D137" s="133">
        <v>60.1</v>
      </c>
      <c r="E137" s="133">
        <v>61.9</v>
      </c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2"/>
        <v>61.9</v>
      </c>
      <c r="AI137" s="47">
        <f t="shared" si="23"/>
        <v>57.6</v>
      </c>
    </row>
    <row r="138" spans="1:35" x14ac:dyDescent="0.25">
      <c r="A138" s="135" t="s">
        <v>160</v>
      </c>
      <c r="B138" s="132">
        <v>15</v>
      </c>
      <c r="C138" s="132">
        <v>22.8</v>
      </c>
      <c r="D138" s="136">
        <v>21.2</v>
      </c>
      <c r="E138" s="136">
        <v>25.6</v>
      </c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2"/>
        <v>25.6</v>
      </c>
      <c r="AI138" s="47">
        <f t="shared" si="23"/>
        <v>15</v>
      </c>
    </row>
    <row r="139" spans="1:35" x14ac:dyDescent="0.25">
      <c r="A139" s="135" t="s">
        <v>161</v>
      </c>
      <c r="B139" s="132">
        <v>-65</v>
      </c>
      <c r="C139" s="132">
        <v>-76.2</v>
      </c>
      <c r="D139" s="136">
        <v>-80.599999999999994</v>
      </c>
      <c r="E139" s="136">
        <v>-89.58</v>
      </c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-65</v>
      </c>
      <c r="AI139" s="47">
        <f>MIN(B139:AF139)</f>
        <v>-89.58</v>
      </c>
    </row>
    <row r="140" spans="1:35" x14ac:dyDescent="0.25">
      <c r="A140" s="135" t="s">
        <v>162</v>
      </c>
      <c r="B140" s="132">
        <v>85</v>
      </c>
      <c r="C140" s="132">
        <v>73.400000000000006</v>
      </c>
      <c r="D140" s="137">
        <v>77.5</v>
      </c>
      <c r="E140" s="137">
        <v>84.8</v>
      </c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85</v>
      </c>
      <c r="AI140" s="47">
        <f>MIN(B140:AF140)</f>
        <v>73.400000000000006</v>
      </c>
    </row>
    <row r="141" spans="1:35" x14ac:dyDescent="0.25">
      <c r="A141" s="135" t="s">
        <v>163</v>
      </c>
      <c r="B141" s="132">
        <v>31.5</v>
      </c>
      <c r="C141" s="132">
        <v>-2</v>
      </c>
      <c r="D141" s="136">
        <v>-4</v>
      </c>
      <c r="E141" s="136">
        <v>-2</v>
      </c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31.5</v>
      </c>
      <c r="AI141" s="47">
        <f>MIN(B141:AF141)</f>
        <v>-4</v>
      </c>
    </row>
    <row r="142" spans="1:35" x14ac:dyDescent="0.25">
      <c r="A142" s="135" t="s">
        <v>164</v>
      </c>
      <c r="B142" s="132">
        <v>64.2</v>
      </c>
      <c r="C142" s="132">
        <v>-120</v>
      </c>
      <c r="D142" s="137">
        <v>-73.8</v>
      </c>
      <c r="E142" s="137">
        <v>-73</v>
      </c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64.2</v>
      </c>
      <c r="AI142" s="47">
        <f>MIN(B142:AF142)</f>
        <v>-120</v>
      </c>
    </row>
    <row r="143" spans="1:35" x14ac:dyDescent="0.25">
      <c r="A143" s="135" t="s">
        <v>165</v>
      </c>
      <c r="B143" s="132">
        <v>0</v>
      </c>
      <c r="C143" s="132">
        <v>0</v>
      </c>
      <c r="D143" s="137">
        <v>0</v>
      </c>
      <c r="E143" s="137">
        <v>0</v>
      </c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0</v>
      </c>
      <c r="AI143" s="47">
        <f>MIN(B143:AF143)</f>
        <v>0</v>
      </c>
    </row>
    <row r="144" spans="1:35" x14ac:dyDescent="0.25">
      <c r="A144" s="135" t="s">
        <v>166</v>
      </c>
      <c r="B144" s="132">
        <v>-60.1</v>
      </c>
      <c r="C144" s="132">
        <v>-75</v>
      </c>
      <c r="D144" s="137">
        <v>-71</v>
      </c>
      <c r="E144" s="137">
        <v>-66.400000000000006</v>
      </c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-60.1</v>
      </c>
      <c r="AI144" s="47">
        <f>MIN(B144:AF144)</f>
        <v>-75</v>
      </c>
    </row>
    <row r="145" spans="1:38" x14ac:dyDescent="0.25">
      <c r="A145" s="135" t="s">
        <v>167</v>
      </c>
      <c r="B145" s="132">
        <v>13.4</v>
      </c>
      <c r="C145" s="132">
        <v>-5</v>
      </c>
      <c r="D145" s="137">
        <v>-2</v>
      </c>
      <c r="E145" s="137">
        <v>12.9</v>
      </c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13.4</v>
      </c>
      <c r="AI145" s="47">
        <f>MIN(B145:AF145)</f>
        <v>-5</v>
      </c>
    </row>
    <row r="146" spans="1:38" x14ac:dyDescent="0.25">
      <c r="A146" s="135" t="s">
        <v>168</v>
      </c>
      <c r="B146" s="132">
        <v>-296.39999999999998</v>
      </c>
      <c r="C146" s="132">
        <v>-390.6</v>
      </c>
      <c r="D146" s="137">
        <v>-369.3</v>
      </c>
      <c r="E146" s="137">
        <v>-352.5</v>
      </c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53">MAX(B146:AF146)</f>
        <v>-296.39999999999998</v>
      </c>
      <c r="AI146" s="47">
        <f t="shared" ref="AI146:AI158" si="54">MIN(B146:AF146)</f>
        <v>-390.6</v>
      </c>
    </row>
    <row r="147" spans="1:38" x14ac:dyDescent="0.25">
      <c r="A147" s="135" t="s">
        <v>169</v>
      </c>
      <c r="B147" s="132">
        <v>48.3</v>
      </c>
      <c r="C147" s="132">
        <v>73.400000000000006</v>
      </c>
      <c r="D147" s="137">
        <v>74.900000000000006</v>
      </c>
      <c r="E147" s="137">
        <v>77.2</v>
      </c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3"/>
        <v>77.2</v>
      </c>
      <c r="AI147" s="47">
        <f t="shared" si="54"/>
        <v>48.3</v>
      </c>
    </row>
    <row r="148" spans="1:38" x14ac:dyDescent="0.25">
      <c r="A148" s="135" t="s">
        <v>170</v>
      </c>
      <c r="B148" s="132">
        <v>9.8000000000000007</v>
      </c>
      <c r="C148" s="132">
        <v>-7</v>
      </c>
      <c r="D148" s="137">
        <v>-7.3</v>
      </c>
      <c r="E148" s="137">
        <v>-5.0999999999999996</v>
      </c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53"/>
        <v>9.8000000000000007</v>
      </c>
      <c r="AI148" s="47">
        <f t="shared" si="54"/>
        <v>-7.3</v>
      </c>
    </row>
    <row r="149" spans="1:38" x14ac:dyDescent="0.25">
      <c r="A149" s="135" t="s">
        <v>171</v>
      </c>
      <c r="B149" s="132">
        <f t="shared" ref="B149" si="55">137.3*2</f>
        <v>274.60000000000002</v>
      </c>
      <c r="C149" s="132">
        <f>125+125.9</f>
        <v>250.9</v>
      </c>
      <c r="D149" s="122">
        <f>125+124</f>
        <v>249</v>
      </c>
      <c r="E149" s="122">
        <f>250</f>
        <v>250</v>
      </c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53"/>
        <v>274.60000000000002</v>
      </c>
      <c r="AI149" s="47">
        <f t="shared" si="54"/>
        <v>249</v>
      </c>
    </row>
    <row r="150" spans="1:38" x14ac:dyDescent="0.25">
      <c r="A150" s="135" t="s">
        <v>172</v>
      </c>
      <c r="B150" s="132">
        <v>28.2</v>
      </c>
      <c r="C150" s="132">
        <v>28.9</v>
      </c>
      <c r="D150" s="122">
        <v>30.1</v>
      </c>
      <c r="E150" s="122">
        <v>29.2</v>
      </c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53"/>
        <v>30.1</v>
      </c>
      <c r="AI150" s="47">
        <f t="shared" si="54"/>
        <v>28.2</v>
      </c>
    </row>
    <row r="151" spans="1:38" ht="15.75" thickBot="1" x14ac:dyDescent="0.3">
      <c r="A151" s="139" t="s">
        <v>173</v>
      </c>
      <c r="B151" s="132">
        <v>0.1</v>
      </c>
      <c r="C151" s="132">
        <v>5</v>
      </c>
      <c r="D151" s="122">
        <v>5.3</v>
      </c>
      <c r="E151" s="122">
        <v>5.4</v>
      </c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53"/>
        <v>5.4</v>
      </c>
      <c r="AI151" s="47">
        <f t="shared" si="54"/>
        <v>0.1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3"/>
        <v>0</v>
      </c>
      <c r="AI152" s="47">
        <f t="shared" si="5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53"/>
        <v>0</v>
      </c>
      <c r="AI153" s="47">
        <f t="shared" si="54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53"/>
        <v>0</v>
      </c>
      <c r="AI154" s="47">
        <f t="shared" si="5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53"/>
        <v>0</v>
      </c>
      <c r="AI155" s="47">
        <f t="shared" si="54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53"/>
        <v>0</v>
      </c>
      <c r="AI156" s="47">
        <f t="shared" si="54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53"/>
        <v>0</v>
      </c>
      <c r="AI157" s="47">
        <f t="shared" si="54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53"/>
        <v>0</v>
      </c>
      <c r="AI158" s="47">
        <f t="shared" si="5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56">B161</f>
        <v>0.3</v>
      </c>
      <c r="D161" s="159">
        <f t="shared" si="56"/>
        <v>0.3</v>
      </c>
      <c r="E161" s="159">
        <f t="shared" si="56"/>
        <v>0.3</v>
      </c>
      <c r="F161" s="159">
        <f t="shared" si="56"/>
        <v>0.3</v>
      </c>
      <c r="G161" s="159">
        <f t="shared" si="56"/>
        <v>0.3</v>
      </c>
      <c r="H161" s="159">
        <f t="shared" si="56"/>
        <v>0.3</v>
      </c>
      <c r="I161" s="159">
        <f t="shared" si="56"/>
        <v>0.3</v>
      </c>
      <c r="J161" s="159">
        <f t="shared" si="56"/>
        <v>0.3</v>
      </c>
      <c r="K161" s="159">
        <f t="shared" si="56"/>
        <v>0.3</v>
      </c>
      <c r="L161" s="159">
        <f t="shared" si="56"/>
        <v>0.3</v>
      </c>
      <c r="M161" s="159">
        <f t="shared" si="56"/>
        <v>0.3</v>
      </c>
      <c r="N161" s="159">
        <f t="shared" si="56"/>
        <v>0.3</v>
      </c>
      <c r="O161" s="159">
        <f t="shared" si="56"/>
        <v>0.3</v>
      </c>
      <c r="P161" s="159">
        <f t="shared" si="56"/>
        <v>0.3</v>
      </c>
      <c r="Q161" s="159">
        <f t="shared" si="56"/>
        <v>0.3</v>
      </c>
      <c r="R161" s="159">
        <f t="shared" si="56"/>
        <v>0.3</v>
      </c>
      <c r="S161" s="159">
        <f t="shared" ref="S161:AF166" si="57">R161</f>
        <v>0.3</v>
      </c>
      <c r="T161" s="159">
        <f t="shared" si="57"/>
        <v>0.3</v>
      </c>
      <c r="U161" s="159">
        <f t="shared" si="57"/>
        <v>0.3</v>
      </c>
      <c r="V161" s="159">
        <f t="shared" si="57"/>
        <v>0.3</v>
      </c>
      <c r="W161" s="159">
        <f t="shared" si="57"/>
        <v>0.3</v>
      </c>
      <c r="X161" s="159">
        <f t="shared" si="57"/>
        <v>0.3</v>
      </c>
      <c r="Y161" s="159">
        <f t="shared" si="57"/>
        <v>0.3</v>
      </c>
      <c r="Z161" s="159">
        <f t="shared" si="57"/>
        <v>0.3</v>
      </c>
      <c r="AA161" s="159">
        <f t="shared" si="57"/>
        <v>0.3</v>
      </c>
      <c r="AB161" s="159">
        <f t="shared" si="57"/>
        <v>0.3</v>
      </c>
      <c r="AC161" s="159">
        <f t="shared" si="57"/>
        <v>0.3</v>
      </c>
      <c r="AD161" s="159">
        <f t="shared" si="57"/>
        <v>0.3</v>
      </c>
      <c r="AE161" s="159">
        <f t="shared" si="57"/>
        <v>0.3</v>
      </c>
      <c r="AF161" s="159">
        <f t="shared" si="57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56"/>
        <v>0.4</v>
      </c>
      <c r="D162" s="161">
        <f t="shared" si="56"/>
        <v>0.4</v>
      </c>
      <c r="E162" s="161">
        <f t="shared" si="56"/>
        <v>0.4</v>
      </c>
      <c r="F162" s="161">
        <f t="shared" si="56"/>
        <v>0.4</v>
      </c>
      <c r="G162" s="161">
        <f t="shared" si="56"/>
        <v>0.4</v>
      </c>
      <c r="H162" s="161">
        <f t="shared" si="56"/>
        <v>0.4</v>
      </c>
      <c r="I162" s="161">
        <f t="shared" si="56"/>
        <v>0.4</v>
      </c>
      <c r="J162" s="161">
        <f t="shared" si="56"/>
        <v>0.4</v>
      </c>
      <c r="K162" s="161">
        <f t="shared" si="56"/>
        <v>0.4</v>
      </c>
      <c r="L162" s="161">
        <f t="shared" si="56"/>
        <v>0.4</v>
      </c>
      <c r="M162" s="161">
        <f t="shared" si="56"/>
        <v>0.4</v>
      </c>
      <c r="N162" s="161">
        <f t="shared" si="56"/>
        <v>0.4</v>
      </c>
      <c r="O162" s="161">
        <f t="shared" si="56"/>
        <v>0.4</v>
      </c>
      <c r="P162" s="161">
        <f t="shared" si="56"/>
        <v>0.4</v>
      </c>
      <c r="Q162" s="161">
        <f t="shared" si="56"/>
        <v>0.4</v>
      </c>
      <c r="R162" s="161">
        <f t="shared" si="56"/>
        <v>0.4</v>
      </c>
      <c r="S162" s="161">
        <f t="shared" si="57"/>
        <v>0.4</v>
      </c>
      <c r="T162" s="161">
        <f t="shared" si="57"/>
        <v>0.4</v>
      </c>
      <c r="U162" s="161">
        <f t="shared" si="57"/>
        <v>0.4</v>
      </c>
      <c r="V162" s="161">
        <f t="shared" si="57"/>
        <v>0.4</v>
      </c>
      <c r="W162" s="161">
        <f t="shared" si="57"/>
        <v>0.4</v>
      </c>
      <c r="X162" s="161">
        <f t="shared" si="57"/>
        <v>0.4</v>
      </c>
      <c r="Y162" s="161">
        <f t="shared" si="57"/>
        <v>0.4</v>
      </c>
      <c r="Z162" s="161">
        <f t="shared" si="57"/>
        <v>0.4</v>
      </c>
      <c r="AA162" s="161">
        <f t="shared" si="57"/>
        <v>0.4</v>
      </c>
      <c r="AB162" s="161">
        <f t="shared" si="57"/>
        <v>0.4</v>
      </c>
      <c r="AC162" s="161">
        <f t="shared" si="57"/>
        <v>0.4</v>
      </c>
      <c r="AD162" s="161">
        <f t="shared" si="57"/>
        <v>0.4</v>
      </c>
      <c r="AE162" s="161">
        <f t="shared" si="57"/>
        <v>0.4</v>
      </c>
      <c r="AF162" s="161">
        <f t="shared" si="57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56"/>
        <v>1.5</v>
      </c>
      <c r="D163" s="161">
        <f t="shared" si="56"/>
        <v>1.5</v>
      </c>
      <c r="E163" s="161">
        <f t="shared" si="56"/>
        <v>1.5</v>
      </c>
      <c r="F163" s="161">
        <f t="shared" si="56"/>
        <v>1.5</v>
      </c>
      <c r="G163" s="161">
        <f t="shared" si="56"/>
        <v>1.5</v>
      </c>
      <c r="H163" s="161">
        <f t="shared" si="56"/>
        <v>1.5</v>
      </c>
      <c r="I163" s="161">
        <f t="shared" si="56"/>
        <v>1.5</v>
      </c>
      <c r="J163" s="161">
        <f t="shared" si="56"/>
        <v>1.5</v>
      </c>
      <c r="K163" s="161">
        <f t="shared" si="56"/>
        <v>1.5</v>
      </c>
      <c r="L163" s="161">
        <f t="shared" si="56"/>
        <v>1.5</v>
      </c>
      <c r="M163" s="161">
        <f t="shared" si="56"/>
        <v>1.5</v>
      </c>
      <c r="N163" s="161">
        <f t="shared" si="56"/>
        <v>1.5</v>
      </c>
      <c r="O163" s="161">
        <f t="shared" si="56"/>
        <v>1.5</v>
      </c>
      <c r="P163" s="161">
        <f t="shared" si="56"/>
        <v>1.5</v>
      </c>
      <c r="Q163" s="161">
        <f t="shared" si="56"/>
        <v>1.5</v>
      </c>
      <c r="R163" s="161">
        <f t="shared" si="56"/>
        <v>1.5</v>
      </c>
      <c r="S163" s="161">
        <f t="shared" si="57"/>
        <v>1.5</v>
      </c>
      <c r="T163" s="161">
        <f t="shared" si="57"/>
        <v>1.5</v>
      </c>
      <c r="U163" s="161">
        <f t="shared" si="57"/>
        <v>1.5</v>
      </c>
      <c r="V163" s="161">
        <f t="shared" si="57"/>
        <v>1.5</v>
      </c>
      <c r="W163" s="161">
        <f t="shared" si="57"/>
        <v>1.5</v>
      </c>
      <c r="X163" s="161">
        <f t="shared" si="57"/>
        <v>1.5</v>
      </c>
      <c r="Y163" s="161">
        <f t="shared" si="57"/>
        <v>1.5</v>
      </c>
      <c r="Z163" s="161">
        <f t="shared" si="57"/>
        <v>1.5</v>
      </c>
      <c r="AA163" s="161">
        <f t="shared" si="57"/>
        <v>1.5</v>
      </c>
      <c r="AB163" s="161">
        <f t="shared" si="57"/>
        <v>1.5</v>
      </c>
      <c r="AC163" s="161">
        <f t="shared" si="57"/>
        <v>1.5</v>
      </c>
      <c r="AD163" s="161">
        <f t="shared" si="57"/>
        <v>1.5</v>
      </c>
      <c r="AE163" s="161">
        <f t="shared" si="57"/>
        <v>1.5</v>
      </c>
      <c r="AF163" s="161">
        <f t="shared" si="57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56"/>
        <v>0.3</v>
      </c>
      <c r="D164" s="161">
        <f t="shared" si="56"/>
        <v>0.3</v>
      </c>
      <c r="E164" s="161">
        <f t="shared" si="56"/>
        <v>0.3</v>
      </c>
      <c r="F164" s="161">
        <f t="shared" si="56"/>
        <v>0.3</v>
      </c>
      <c r="G164" s="161">
        <f t="shared" si="56"/>
        <v>0.3</v>
      </c>
      <c r="H164" s="161">
        <f t="shared" si="56"/>
        <v>0.3</v>
      </c>
      <c r="I164" s="161">
        <f t="shared" si="56"/>
        <v>0.3</v>
      </c>
      <c r="J164" s="161">
        <f t="shared" si="56"/>
        <v>0.3</v>
      </c>
      <c r="K164" s="161">
        <f t="shared" si="56"/>
        <v>0.3</v>
      </c>
      <c r="L164" s="161">
        <f t="shared" si="56"/>
        <v>0.3</v>
      </c>
      <c r="M164" s="161">
        <f t="shared" si="56"/>
        <v>0.3</v>
      </c>
      <c r="N164" s="161">
        <f t="shared" si="56"/>
        <v>0.3</v>
      </c>
      <c r="O164" s="161">
        <f t="shared" si="56"/>
        <v>0.3</v>
      </c>
      <c r="P164" s="161">
        <f t="shared" si="56"/>
        <v>0.3</v>
      </c>
      <c r="Q164" s="161">
        <f t="shared" si="56"/>
        <v>0.3</v>
      </c>
      <c r="R164" s="161">
        <f t="shared" si="56"/>
        <v>0.3</v>
      </c>
      <c r="S164" s="161">
        <f t="shared" si="57"/>
        <v>0.3</v>
      </c>
      <c r="T164" s="161">
        <f t="shared" si="57"/>
        <v>0.3</v>
      </c>
      <c r="U164" s="161">
        <f t="shared" si="57"/>
        <v>0.3</v>
      </c>
      <c r="V164" s="161">
        <f t="shared" si="57"/>
        <v>0.3</v>
      </c>
      <c r="W164" s="161">
        <f t="shared" si="57"/>
        <v>0.3</v>
      </c>
      <c r="X164" s="161">
        <f t="shared" si="57"/>
        <v>0.3</v>
      </c>
      <c r="Y164" s="161">
        <f t="shared" si="57"/>
        <v>0.3</v>
      </c>
      <c r="Z164" s="161">
        <f t="shared" si="57"/>
        <v>0.3</v>
      </c>
      <c r="AA164" s="161">
        <f t="shared" si="57"/>
        <v>0.3</v>
      </c>
      <c r="AB164" s="161">
        <f t="shared" si="57"/>
        <v>0.3</v>
      </c>
      <c r="AC164" s="161">
        <f t="shared" si="57"/>
        <v>0.3</v>
      </c>
      <c r="AD164" s="161">
        <f t="shared" si="57"/>
        <v>0.3</v>
      </c>
      <c r="AE164" s="161">
        <f t="shared" si="57"/>
        <v>0.3</v>
      </c>
      <c r="AF164" s="161">
        <f t="shared" si="57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56"/>
        <v>0.4</v>
      </c>
      <c r="D165" s="161">
        <f t="shared" si="56"/>
        <v>0.4</v>
      </c>
      <c r="E165" s="161">
        <f t="shared" si="56"/>
        <v>0.4</v>
      </c>
      <c r="F165" s="161">
        <f t="shared" si="56"/>
        <v>0.4</v>
      </c>
      <c r="G165" s="161">
        <f t="shared" si="56"/>
        <v>0.4</v>
      </c>
      <c r="H165" s="161">
        <f t="shared" si="56"/>
        <v>0.4</v>
      </c>
      <c r="I165" s="161">
        <f t="shared" si="56"/>
        <v>0.4</v>
      </c>
      <c r="J165" s="161">
        <f t="shared" si="56"/>
        <v>0.4</v>
      </c>
      <c r="K165" s="161">
        <f t="shared" si="56"/>
        <v>0.4</v>
      </c>
      <c r="L165" s="161">
        <f t="shared" si="56"/>
        <v>0.4</v>
      </c>
      <c r="M165" s="161">
        <f t="shared" si="56"/>
        <v>0.4</v>
      </c>
      <c r="N165" s="161">
        <f t="shared" si="56"/>
        <v>0.4</v>
      </c>
      <c r="O165" s="161">
        <f t="shared" si="56"/>
        <v>0.4</v>
      </c>
      <c r="P165" s="161">
        <f t="shared" si="56"/>
        <v>0.4</v>
      </c>
      <c r="Q165" s="161">
        <f t="shared" si="56"/>
        <v>0.4</v>
      </c>
      <c r="R165" s="161">
        <f t="shared" si="56"/>
        <v>0.4</v>
      </c>
      <c r="S165" s="161">
        <f t="shared" si="57"/>
        <v>0.4</v>
      </c>
      <c r="T165" s="161">
        <f t="shared" si="57"/>
        <v>0.4</v>
      </c>
      <c r="U165" s="161">
        <f t="shared" si="57"/>
        <v>0.4</v>
      </c>
      <c r="V165" s="161">
        <f t="shared" si="57"/>
        <v>0.4</v>
      </c>
      <c r="W165" s="161">
        <f t="shared" si="57"/>
        <v>0.4</v>
      </c>
      <c r="X165" s="161">
        <f t="shared" si="57"/>
        <v>0.4</v>
      </c>
      <c r="Y165" s="161">
        <f t="shared" si="57"/>
        <v>0.4</v>
      </c>
      <c r="Z165" s="161">
        <f t="shared" si="57"/>
        <v>0.4</v>
      </c>
      <c r="AA165" s="161">
        <f t="shared" si="57"/>
        <v>0.4</v>
      </c>
      <c r="AB165" s="161">
        <f t="shared" si="57"/>
        <v>0.4</v>
      </c>
      <c r="AC165" s="161">
        <f t="shared" si="57"/>
        <v>0.4</v>
      </c>
      <c r="AD165" s="161">
        <f t="shared" si="57"/>
        <v>0.4</v>
      </c>
      <c r="AE165" s="161">
        <f t="shared" si="57"/>
        <v>0.4</v>
      </c>
      <c r="AF165" s="161">
        <f t="shared" si="57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56"/>
        <v>0.64</v>
      </c>
      <c r="D166" s="164">
        <f t="shared" si="56"/>
        <v>0.64</v>
      </c>
      <c r="E166" s="164">
        <f t="shared" si="56"/>
        <v>0.64</v>
      </c>
      <c r="F166" s="164">
        <f t="shared" si="56"/>
        <v>0.64</v>
      </c>
      <c r="G166" s="164">
        <f t="shared" si="56"/>
        <v>0.64</v>
      </c>
      <c r="H166" s="164">
        <f t="shared" si="56"/>
        <v>0.64</v>
      </c>
      <c r="I166" s="164">
        <f t="shared" si="56"/>
        <v>0.64</v>
      </c>
      <c r="J166" s="164">
        <f t="shared" si="56"/>
        <v>0.64</v>
      </c>
      <c r="K166" s="164">
        <f t="shared" si="56"/>
        <v>0.64</v>
      </c>
      <c r="L166" s="164">
        <f t="shared" si="56"/>
        <v>0.64</v>
      </c>
      <c r="M166" s="164">
        <f t="shared" si="56"/>
        <v>0.64</v>
      </c>
      <c r="N166" s="164">
        <f t="shared" si="56"/>
        <v>0.64</v>
      </c>
      <c r="O166" s="164">
        <f t="shared" si="56"/>
        <v>0.64</v>
      </c>
      <c r="P166" s="164">
        <f t="shared" si="56"/>
        <v>0.64</v>
      </c>
      <c r="Q166" s="164">
        <f t="shared" si="56"/>
        <v>0.64</v>
      </c>
      <c r="R166" s="164">
        <f t="shared" si="56"/>
        <v>0.64</v>
      </c>
      <c r="S166" s="164">
        <f t="shared" si="57"/>
        <v>0.64</v>
      </c>
      <c r="T166" s="164">
        <f t="shared" si="57"/>
        <v>0.64</v>
      </c>
      <c r="U166" s="164">
        <f t="shared" si="57"/>
        <v>0.64</v>
      </c>
      <c r="V166" s="164">
        <f t="shared" si="57"/>
        <v>0.64</v>
      </c>
      <c r="W166" s="164">
        <f t="shared" si="57"/>
        <v>0.64</v>
      </c>
      <c r="X166" s="164">
        <f t="shared" si="57"/>
        <v>0.64</v>
      </c>
      <c r="Y166" s="164">
        <f t="shared" si="57"/>
        <v>0.64</v>
      </c>
      <c r="Z166" s="164">
        <f t="shared" si="57"/>
        <v>0.64</v>
      </c>
      <c r="AA166" s="164">
        <f t="shared" si="57"/>
        <v>0.64</v>
      </c>
      <c r="AB166" s="164">
        <f t="shared" si="57"/>
        <v>0.64</v>
      </c>
      <c r="AC166" s="164">
        <f t="shared" si="57"/>
        <v>0.64</v>
      </c>
      <c r="AD166" s="164">
        <f t="shared" si="57"/>
        <v>0.64</v>
      </c>
      <c r="AE166" s="164">
        <f t="shared" si="57"/>
        <v>0.64</v>
      </c>
      <c r="AF166" s="164">
        <f t="shared" si="57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58">SUM(C161:C166)</f>
        <v>3.54</v>
      </c>
      <c r="D167" s="167">
        <f t="shared" si="58"/>
        <v>3.54</v>
      </c>
      <c r="E167" s="167">
        <f t="shared" si="58"/>
        <v>3.54</v>
      </c>
      <c r="F167" s="167">
        <f t="shared" si="58"/>
        <v>3.54</v>
      </c>
      <c r="G167" s="167">
        <f t="shared" si="58"/>
        <v>3.54</v>
      </c>
      <c r="H167" s="167">
        <f t="shared" si="58"/>
        <v>3.54</v>
      </c>
      <c r="I167" s="167">
        <f t="shared" si="58"/>
        <v>3.54</v>
      </c>
      <c r="J167" s="167">
        <f t="shared" si="58"/>
        <v>3.54</v>
      </c>
      <c r="K167" s="167">
        <f t="shared" si="58"/>
        <v>3.54</v>
      </c>
      <c r="L167" s="167">
        <f t="shared" si="58"/>
        <v>3.54</v>
      </c>
      <c r="M167" s="167">
        <f t="shared" si="58"/>
        <v>3.54</v>
      </c>
      <c r="N167" s="167">
        <f t="shared" si="58"/>
        <v>3.54</v>
      </c>
      <c r="O167" s="167">
        <f t="shared" si="58"/>
        <v>3.54</v>
      </c>
      <c r="P167" s="167">
        <f t="shared" si="58"/>
        <v>3.54</v>
      </c>
      <c r="Q167" s="167">
        <f t="shared" si="58"/>
        <v>3.54</v>
      </c>
      <c r="R167" s="167">
        <f t="shared" si="58"/>
        <v>3.54</v>
      </c>
      <c r="S167" s="167">
        <f t="shared" si="58"/>
        <v>3.54</v>
      </c>
      <c r="T167" s="167">
        <f t="shared" si="58"/>
        <v>3.54</v>
      </c>
      <c r="U167" s="167">
        <f t="shared" si="58"/>
        <v>3.54</v>
      </c>
      <c r="V167" s="167">
        <f t="shared" si="58"/>
        <v>3.54</v>
      </c>
      <c r="W167" s="167">
        <f t="shared" si="58"/>
        <v>3.54</v>
      </c>
      <c r="X167" s="167">
        <f t="shared" si="58"/>
        <v>3.54</v>
      </c>
      <c r="Y167" s="167">
        <f t="shared" si="58"/>
        <v>3.54</v>
      </c>
      <c r="Z167" s="167">
        <f t="shared" si="58"/>
        <v>3.54</v>
      </c>
      <c r="AA167" s="167">
        <f t="shared" si="58"/>
        <v>3.54</v>
      </c>
      <c r="AB167" s="167">
        <f t="shared" si="58"/>
        <v>3.54</v>
      </c>
      <c r="AC167" s="167">
        <f t="shared" si="58"/>
        <v>3.54</v>
      </c>
      <c r="AD167" s="167">
        <f t="shared" si="58"/>
        <v>3.54</v>
      </c>
      <c r="AE167" s="167">
        <f t="shared" si="58"/>
        <v>3.54</v>
      </c>
      <c r="AF167" s="167">
        <f t="shared" si="58"/>
        <v>3.54</v>
      </c>
      <c r="AG167" s="168">
        <f t="shared" si="58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59">B169</f>
        <v>0</v>
      </c>
      <c r="D169" s="159">
        <f t="shared" si="59"/>
        <v>0</v>
      </c>
      <c r="E169" s="159">
        <f t="shared" si="59"/>
        <v>0</v>
      </c>
      <c r="F169" s="159">
        <f t="shared" si="59"/>
        <v>0</v>
      </c>
      <c r="G169" s="159">
        <f t="shared" si="59"/>
        <v>0</v>
      </c>
      <c r="H169" s="159">
        <f t="shared" si="59"/>
        <v>0</v>
      </c>
      <c r="I169" s="159">
        <f t="shared" si="59"/>
        <v>0</v>
      </c>
      <c r="J169" s="159">
        <f t="shared" si="59"/>
        <v>0</v>
      </c>
      <c r="K169" s="159">
        <f t="shared" si="59"/>
        <v>0</v>
      </c>
      <c r="L169" s="159">
        <f t="shared" si="59"/>
        <v>0</v>
      </c>
      <c r="M169" s="159">
        <f t="shared" si="59"/>
        <v>0</v>
      </c>
      <c r="N169" s="159">
        <f t="shared" si="59"/>
        <v>0</v>
      </c>
      <c r="O169" s="159">
        <f t="shared" si="59"/>
        <v>0</v>
      </c>
      <c r="P169" s="159">
        <f t="shared" si="59"/>
        <v>0</v>
      </c>
      <c r="Q169" s="159">
        <f t="shared" si="59"/>
        <v>0</v>
      </c>
      <c r="R169" s="159">
        <f t="shared" si="59"/>
        <v>0</v>
      </c>
      <c r="S169" s="159">
        <f t="shared" ref="S169:AF184" si="60">R169</f>
        <v>0</v>
      </c>
      <c r="T169" s="159">
        <f t="shared" si="60"/>
        <v>0</v>
      </c>
      <c r="U169" s="159">
        <f t="shared" si="60"/>
        <v>0</v>
      </c>
      <c r="V169" s="159">
        <f t="shared" si="60"/>
        <v>0</v>
      </c>
      <c r="W169" s="159">
        <f t="shared" si="60"/>
        <v>0</v>
      </c>
      <c r="X169" s="159">
        <f t="shared" si="60"/>
        <v>0</v>
      </c>
      <c r="Y169" s="159">
        <f t="shared" si="60"/>
        <v>0</v>
      </c>
      <c r="Z169" s="159">
        <f t="shared" si="60"/>
        <v>0</v>
      </c>
      <c r="AA169" s="159">
        <f t="shared" si="60"/>
        <v>0</v>
      </c>
      <c r="AB169" s="159">
        <f t="shared" si="60"/>
        <v>0</v>
      </c>
      <c r="AC169" s="159">
        <f t="shared" si="60"/>
        <v>0</v>
      </c>
      <c r="AD169" s="159">
        <f t="shared" si="60"/>
        <v>0</v>
      </c>
      <c r="AE169" s="159">
        <f t="shared" si="60"/>
        <v>0</v>
      </c>
      <c r="AF169" s="172">
        <f t="shared" si="6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59"/>
        <v>0</v>
      </c>
      <c r="D170" s="161">
        <f t="shared" si="59"/>
        <v>0</v>
      </c>
      <c r="E170" s="161">
        <f t="shared" si="59"/>
        <v>0</v>
      </c>
      <c r="F170" s="161">
        <f t="shared" si="59"/>
        <v>0</v>
      </c>
      <c r="G170" s="161">
        <f t="shared" si="59"/>
        <v>0</v>
      </c>
      <c r="H170" s="161">
        <f t="shared" si="59"/>
        <v>0</v>
      </c>
      <c r="I170" s="161">
        <f t="shared" si="59"/>
        <v>0</v>
      </c>
      <c r="J170" s="161">
        <f t="shared" si="59"/>
        <v>0</v>
      </c>
      <c r="K170" s="161">
        <f t="shared" si="59"/>
        <v>0</v>
      </c>
      <c r="L170" s="161">
        <f t="shared" si="59"/>
        <v>0</v>
      </c>
      <c r="M170" s="161">
        <f t="shared" si="59"/>
        <v>0</v>
      </c>
      <c r="N170" s="161">
        <f t="shared" si="59"/>
        <v>0</v>
      </c>
      <c r="O170" s="161">
        <f t="shared" si="59"/>
        <v>0</v>
      </c>
      <c r="P170" s="161">
        <f t="shared" si="59"/>
        <v>0</v>
      </c>
      <c r="Q170" s="161">
        <f t="shared" si="59"/>
        <v>0</v>
      </c>
      <c r="R170" s="161">
        <f t="shared" si="59"/>
        <v>0</v>
      </c>
      <c r="S170" s="161">
        <f t="shared" si="60"/>
        <v>0</v>
      </c>
      <c r="T170" s="161">
        <f t="shared" si="60"/>
        <v>0</v>
      </c>
      <c r="U170" s="161">
        <f t="shared" si="60"/>
        <v>0</v>
      </c>
      <c r="V170" s="161">
        <f t="shared" si="60"/>
        <v>0</v>
      </c>
      <c r="W170" s="161">
        <f t="shared" si="60"/>
        <v>0</v>
      </c>
      <c r="X170" s="161">
        <f t="shared" si="60"/>
        <v>0</v>
      </c>
      <c r="Y170" s="161">
        <f t="shared" si="60"/>
        <v>0</v>
      </c>
      <c r="Z170" s="161">
        <f t="shared" si="60"/>
        <v>0</v>
      </c>
      <c r="AA170" s="161">
        <f t="shared" si="60"/>
        <v>0</v>
      </c>
      <c r="AB170" s="161">
        <f t="shared" si="60"/>
        <v>0</v>
      </c>
      <c r="AC170" s="161">
        <f t="shared" si="60"/>
        <v>0</v>
      </c>
      <c r="AD170" s="161">
        <f t="shared" si="60"/>
        <v>0</v>
      </c>
      <c r="AE170" s="161">
        <f t="shared" si="60"/>
        <v>0</v>
      </c>
      <c r="AF170" s="174">
        <f t="shared" si="6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59"/>
        <v>0</v>
      </c>
      <c r="D171" s="161">
        <f t="shared" si="59"/>
        <v>0</v>
      </c>
      <c r="E171" s="161">
        <f t="shared" si="59"/>
        <v>0</v>
      </c>
      <c r="F171" s="161">
        <f t="shared" si="59"/>
        <v>0</v>
      </c>
      <c r="G171" s="161">
        <f t="shared" si="59"/>
        <v>0</v>
      </c>
      <c r="H171" s="161">
        <f t="shared" si="59"/>
        <v>0</v>
      </c>
      <c r="I171" s="161">
        <f t="shared" si="59"/>
        <v>0</v>
      </c>
      <c r="J171" s="161">
        <f t="shared" si="59"/>
        <v>0</v>
      </c>
      <c r="K171" s="161">
        <f t="shared" si="59"/>
        <v>0</v>
      </c>
      <c r="L171" s="161">
        <f t="shared" si="59"/>
        <v>0</v>
      </c>
      <c r="M171" s="161">
        <f t="shared" si="59"/>
        <v>0</v>
      </c>
      <c r="N171" s="161">
        <f t="shared" si="59"/>
        <v>0</v>
      </c>
      <c r="O171" s="161">
        <f t="shared" si="59"/>
        <v>0</v>
      </c>
      <c r="P171" s="161">
        <f t="shared" si="59"/>
        <v>0</v>
      </c>
      <c r="Q171" s="161">
        <f t="shared" si="59"/>
        <v>0</v>
      </c>
      <c r="R171" s="161">
        <f t="shared" si="59"/>
        <v>0</v>
      </c>
      <c r="S171" s="161">
        <f t="shared" si="60"/>
        <v>0</v>
      </c>
      <c r="T171" s="161">
        <f t="shared" si="60"/>
        <v>0</v>
      </c>
      <c r="U171" s="161">
        <f t="shared" si="60"/>
        <v>0</v>
      </c>
      <c r="V171" s="161">
        <f t="shared" si="60"/>
        <v>0</v>
      </c>
      <c r="W171" s="161">
        <f t="shared" si="60"/>
        <v>0</v>
      </c>
      <c r="X171" s="161">
        <f t="shared" si="60"/>
        <v>0</v>
      </c>
      <c r="Y171" s="161">
        <f t="shared" si="60"/>
        <v>0</v>
      </c>
      <c r="Z171" s="161">
        <f t="shared" si="60"/>
        <v>0</v>
      </c>
      <c r="AA171" s="161">
        <f t="shared" si="60"/>
        <v>0</v>
      </c>
      <c r="AB171" s="161">
        <f t="shared" si="60"/>
        <v>0</v>
      </c>
      <c r="AC171" s="161">
        <f t="shared" si="60"/>
        <v>0</v>
      </c>
      <c r="AD171" s="161">
        <f t="shared" si="60"/>
        <v>0</v>
      </c>
      <c r="AE171" s="161">
        <f t="shared" si="60"/>
        <v>0</v>
      </c>
      <c r="AF171" s="174">
        <f t="shared" si="6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59"/>
        <v>0</v>
      </c>
      <c r="D172" s="161">
        <f t="shared" si="59"/>
        <v>0</v>
      </c>
      <c r="E172" s="161">
        <f t="shared" si="59"/>
        <v>0</v>
      </c>
      <c r="F172" s="161">
        <f t="shared" si="59"/>
        <v>0</v>
      </c>
      <c r="G172" s="161">
        <f t="shared" si="59"/>
        <v>0</v>
      </c>
      <c r="H172" s="161">
        <f t="shared" si="59"/>
        <v>0</v>
      </c>
      <c r="I172" s="161">
        <f t="shared" si="59"/>
        <v>0</v>
      </c>
      <c r="J172" s="161">
        <f t="shared" si="59"/>
        <v>0</v>
      </c>
      <c r="K172" s="161">
        <f t="shared" si="59"/>
        <v>0</v>
      </c>
      <c r="L172" s="161">
        <f t="shared" si="59"/>
        <v>0</v>
      </c>
      <c r="M172" s="161">
        <f t="shared" si="59"/>
        <v>0</v>
      </c>
      <c r="N172" s="161">
        <f t="shared" si="59"/>
        <v>0</v>
      </c>
      <c r="O172" s="161">
        <f t="shared" si="59"/>
        <v>0</v>
      </c>
      <c r="P172" s="161">
        <f t="shared" si="59"/>
        <v>0</v>
      </c>
      <c r="Q172" s="161">
        <f t="shared" si="59"/>
        <v>0</v>
      </c>
      <c r="R172" s="161">
        <f t="shared" si="59"/>
        <v>0</v>
      </c>
      <c r="S172" s="161">
        <f t="shared" si="60"/>
        <v>0</v>
      </c>
      <c r="T172" s="161">
        <f t="shared" si="60"/>
        <v>0</v>
      </c>
      <c r="U172" s="161">
        <f t="shared" si="60"/>
        <v>0</v>
      </c>
      <c r="V172" s="161">
        <f t="shared" si="60"/>
        <v>0</v>
      </c>
      <c r="W172" s="161">
        <f t="shared" si="60"/>
        <v>0</v>
      </c>
      <c r="X172" s="161">
        <f t="shared" si="60"/>
        <v>0</v>
      </c>
      <c r="Y172" s="161">
        <f t="shared" si="60"/>
        <v>0</v>
      </c>
      <c r="Z172" s="161">
        <f t="shared" si="60"/>
        <v>0</v>
      </c>
      <c r="AA172" s="161">
        <f t="shared" si="60"/>
        <v>0</v>
      </c>
      <c r="AB172" s="161">
        <f t="shared" si="60"/>
        <v>0</v>
      </c>
      <c r="AC172" s="161">
        <f t="shared" si="60"/>
        <v>0</v>
      </c>
      <c r="AD172" s="161">
        <f t="shared" si="60"/>
        <v>0</v>
      </c>
      <c r="AE172" s="161">
        <f t="shared" si="60"/>
        <v>0</v>
      </c>
      <c r="AF172" s="174">
        <f t="shared" si="6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59"/>
        <v>0</v>
      </c>
      <c r="D173" s="161">
        <f t="shared" si="59"/>
        <v>0</v>
      </c>
      <c r="E173" s="161">
        <f t="shared" si="59"/>
        <v>0</v>
      </c>
      <c r="F173" s="161">
        <f t="shared" si="59"/>
        <v>0</v>
      </c>
      <c r="G173" s="161">
        <f t="shared" si="59"/>
        <v>0</v>
      </c>
      <c r="H173" s="161">
        <f t="shared" si="59"/>
        <v>0</v>
      </c>
      <c r="I173" s="161">
        <f t="shared" si="59"/>
        <v>0</v>
      </c>
      <c r="J173" s="161">
        <f t="shared" si="59"/>
        <v>0</v>
      </c>
      <c r="K173" s="161">
        <f t="shared" si="59"/>
        <v>0</v>
      </c>
      <c r="L173" s="161">
        <f t="shared" si="59"/>
        <v>0</v>
      </c>
      <c r="M173" s="161">
        <f t="shared" si="59"/>
        <v>0</v>
      </c>
      <c r="N173" s="161">
        <f t="shared" si="59"/>
        <v>0</v>
      </c>
      <c r="O173" s="161">
        <f t="shared" si="59"/>
        <v>0</v>
      </c>
      <c r="P173" s="161">
        <f t="shared" si="59"/>
        <v>0</v>
      </c>
      <c r="Q173" s="161">
        <f t="shared" si="59"/>
        <v>0</v>
      </c>
      <c r="R173" s="161">
        <f t="shared" si="59"/>
        <v>0</v>
      </c>
      <c r="S173" s="161">
        <f t="shared" si="60"/>
        <v>0</v>
      </c>
      <c r="T173" s="161">
        <f t="shared" si="60"/>
        <v>0</v>
      </c>
      <c r="U173" s="161">
        <f t="shared" si="60"/>
        <v>0</v>
      </c>
      <c r="V173" s="161">
        <f t="shared" si="60"/>
        <v>0</v>
      </c>
      <c r="W173" s="161">
        <f t="shared" si="60"/>
        <v>0</v>
      </c>
      <c r="X173" s="161">
        <f t="shared" si="60"/>
        <v>0</v>
      </c>
      <c r="Y173" s="161">
        <f t="shared" si="60"/>
        <v>0</v>
      </c>
      <c r="Z173" s="161">
        <f t="shared" si="60"/>
        <v>0</v>
      </c>
      <c r="AA173" s="161">
        <f t="shared" si="60"/>
        <v>0</v>
      </c>
      <c r="AB173" s="161">
        <f t="shared" si="60"/>
        <v>0</v>
      </c>
      <c r="AC173" s="161">
        <f t="shared" si="60"/>
        <v>0</v>
      </c>
      <c r="AD173" s="161">
        <f t="shared" si="60"/>
        <v>0</v>
      </c>
      <c r="AE173" s="161">
        <f t="shared" si="60"/>
        <v>0</v>
      </c>
      <c r="AF173" s="174">
        <f t="shared" si="6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59"/>
        <v>0</v>
      </c>
      <c r="D174" s="161">
        <f t="shared" si="59"/>
        <v>0</v>
      </c>
      <c r="E174" s="161">
        <f t="shared" si="59"/>
        <v>0</v>
      </c>
      <c r="F174" s="161">
        <f t="shared" si="59"/>
        <v>0</v>
      </c>
      <c r="G174" s="161">
        <f t="shared" si="59"/>
        <v>0</v>
      </c>
      <c r="H174" s="161">
        <f t="shared" si="59"/>
        <v>0</v>
      </c>
      <c r="I174" s="161">
        <f t="shared" si="59"/>
        <v>0</v>
      </c>
      <c r="J174" s="161">
        <f t="shared" si="59"/>
        <v>0</v>
      </c>
      <c r="K174" s="161">
        <f t="shared" si="59"/>
        <v>0</v>
      </c>
      <c r="L174" s="161">
        <f t="shared" si="59"/>
        <v>0</v>
      </c>
      <c r="M174" s="161">
        <f t="shared" si="59"/>
        <v>0</v>
      </c>
      <c r="N174" s="161">
        <f t="shared" si="59"/>
        <v>0</v>
      </c>
      <c r="O174" s="161">
        <f t="shared" si="59"/>
        <v>0</v>
      </c>
      <c r="P174" s="161">
        <f t="shared" si="59"/>
        <v>0</v>
      </c>
      <c r="Q174" s="161">
        <f t="shared" si="59"/>
        <v>0</v>
      </c>
      <c r="R174" s="161">
        <f t="shared" si="59"/>
        <v>0</v>
      </c>
      <c r="S174" s="161">
        <f t="shared" si="60"/>
        <v>0</v>
      </c>
      <c r="T174" s="161">
        <f t="shared" si="60"/>
        <v>0</v>
      </c>
      <c r="U174" s="161">
        <f t="shared" si="60"/>
        <v>0</v>
      </c>
      <c r="V174" s="161">
        <f t="shared" si="60"/>
        <v>0</v>
      </c>
      <c r="W174" s="161">
        <f t="shared" si="60"/>
        <v>0</v>
      </c>
      <c r="X174" s="161">
        <f t="shared" si="60"/>
        <v>0</v>
      </c>
      <c r="Y174" s="161">
        <f t="shared" si="60"/>
        <v>0</v>
      </c>
      <c r="Z174" s="161">
        <f t="shared" si="60"/>
        <v>0</v>
      </c>
      <c r="AA174" s="161">
        <f t="shared" si="60"/>
        <v>0</v>
      </c>
      <c r="AB174" s="161">
        <f t="shared" si="60"/>
        <v>0</v>
      </c>
      <c r="AC174" s="161">
        <f t="shared" si="60"/>
        <v>0</v>
      </c>
      <c r="AD174" s="161">
        <f t="shared" si="60"/>
        <v>0</v>
      </c>
      <c r="AE174" s="161">
        <f t="shared" si="60"/>
        <v>0</v>
      </c>
      <c r="AF174" s="174">
        <f t="shared" si="6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59"/>
        <v>0</v>
      </c>
      <c r="D175" s="161">
        <f t="shared" si="59"/>
        <v>0</v>
      </c>
      <c r="E175" s="161">
        <f t="shared" si="59"/>
        <v>0</v>
      </c>
      <c r="F175" s="161">
        <f t="shared" si="59"/>
        <v>0</v>
      </c>
      <c r="G175" s="161">
        <f t="shared" si="59"/>
        <v>0</v>
      </c>
      <c r="H175" s="161">
        <f t="shared" si="59"/>
        <v>0</v>
      </c>
      <c r="I175" s="161">
        <f t="shared" si="59"/>
        <v>0</v>
      </c>
      <c r="J175" s="161">
        <f t="shared" si="59"/>
        <v>0</v>
      </c>
      <c r="K175" s="161">
        <f t="shared" si="59"/>
        <v>0</v>
      </c>
      <c r="L175" s="161">
        <f t="shared" si="59"/>
        <v>0</v>
      </c>
      <c r="M175" s="161">
        <f t="shared" si="59"/>
        <v>0</v>
      </c>
      <c r="N175" s="161">
        <f t="shared" si="59"/>
        <v>0</v>
      </c>
      <c r="O175" s="161">
        <f t="shared" si="59"/>
        <v>0</v>
      </c>
      <c r="P175" s="161">
        <f t="shared" si="59"/>
        <v>0</v>
      </c>
      <c r="Q175" s="161">
        <f t="shared" si="59"/>
        <v>0</v>
      </c>
      <c r="R175" s="161">
        <f t="shared" si="59"/>
        <v>0</v>
      </c>
      <c r="S175" s="161">
        <f t="shared" si="60"/>
        <v>0</v>
      </c>
      <c r="T175" s="161">
        <f t="shared" si="60"/>
        <v>0</v>
      </c>
      <c r="U175" s="161">
        <f t="shared" si="60"/>
        <v>0</v>
      </c>
      <c r="V175" s="161">
        <f t="shared" si="60"/>
        <v>0</v>
      </c>
      <c r="W175" s="161">
        <f t="shared" si="60"/>
        <v>0</v>
      </c>
      <c r="X175" s="161">
        <f t="shared" si="60"/>
        <v>0</v>
      </c>
      <c r="Y175" s="161">
        <f t="shared" si="60"/>
        <v>0</v>
      </c>
      <c r="Z175" s="161">
        <f t="shared" si="60"/>
        <v>0</v>
      </c>
      <c r="AA175" s="161">
        <f t="shared" si="60"/>
        <v>0</v>
      </c>
      <c r="AB175" s="161">
        <f t="shared" si="60"/>
        <v>0</v>
      </c>
      <c r="AC175" s="161">
        <f t="shared" si="60"/>
        <v>0</v>
      </c>
      <c r="AD175" s="161">
        <f t="shared" si="60"/>
        <v>0</v>
      </c>
      <c r="AE175" s="161">
        <f t="shared" si="60"/>
        <v>0</v>
      </c>
      <c r="AF175" s="174">
        <f t="shared" si="6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59"/>
        <v>0</v>
      </c>
      <c r="D176" s="161">
        <f t="shared" si="59"/>
        <v>0</v>
      </c>
      <c r="E176" s="161">
        <f t="shared" si="59"/>
        <v>0</v>
      </c>
      <c r="F176" s="161">
        <f t="shared" si="59"/>
        <v>0</v>
      </c>
      <c r="G176" s="161">
        <f t="shared" si="59"/>
        <v>0</v>
      </c>
      <c r="H176" s="161">
        <f t="shared" si="59"/>
        <v>0</v>
      </c>
      <c r="I176" s="161">
        <f t="shared" si="59"/>
        <v>0</v>
      </c>
      <c r="J176" s="161">
        <f t="shared" si="59"/>
        <v>0</v>
      </c>
      <c r="K176" s="161">
        <f t="shared" si="59"/>
        <v>0</v>
      </c>
      <c r="L176" s="161">
        <f t="shared" si="59"/>
        <v>0</v>
      </c>
      <c r="M176" s="161">
        <f t="shared" si="59"/>
        <v>0</v>
      </c>
      <c r="N176" s="161">
        <f t="shared" si="59"/>
        <v>0</v>
      </c>
      <c r="O176" s="161">
        <f t="shared" si="59"/>
        <v>0</v>
      </c>
      <c r="P176" s="161">
        <f t="shared" si="59"/>
        <v>0</v>
      </c>
      <c r="Q176" s="161">
        <f t="shared" si="59"/>
        <v>0</v>
      </c>
      <c r="R176" s="161">
        <f t="shared" si="59"/>
        <v>0</v>
      </c>
      <c r="S176" s="161">
        <f t="shared" si="60"/>
        <v>0</v>
      </c>
      <c r="T176" s="161">
        <f t="shared" si="60"/>
        <v>0</v>
      </c>
      <c r="U176" s="161">
        <f t="shared" si="60"/>
        <v>0</v>
      </c>
      <c r="V176" s="161">
        <f t="shared" si="60"/>
        <v>0</v>
      </c>
      <c r="W176" s="161">
        <f t="shared" si="60"/>
        <v>0</v>
      </c>
      <c r="X176" s="161">
        <f t="shared" si="60"/>
        <v>0</v>
      </c>
      <c r="Y176" s="161">
        <f t="shared" si="60"/>
        <v>0</v>
      </c>
      <c r="Z176" s="161">
        <f t="shared" si="60"/>
        <v>0</v>
      </c>
      <c r="AA176" s="161">
        <f t="shared" si="60"/>
        <v>0</v>
      </c>
      <c r="AB176" s="161">
        <f t="shared" si="60"/>
        <v>0</v>
      </c>
      <c r="AC176" s="161">
        <f t="shared" si="60"/>
        <v>0</v>
      </c>
      <c r="AD176" s="161">
        <f t="shared" si="60"/>
        <v>0</v>
      </c>
      <c r="AE176" s="161">
        <f t="shared" si="60"/>
        <v>0</v>
      </c>
      <c r="AF176" s="174">
        <f t="shared" si="6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59"/>
        <v>0</v>
      </c>
      <c r="D177" s="161">
        <f t="shared" si="59"/>
        <v>0</v>
      </c>
      <c r="E177" s="161">
        <f t="shared" si="59"/>
        <v>0</v>
      </c>
      <c r="F177" s="161">
        <f t="shared" si="59"/>
        <v>0</v>
      </c>
      <c r="G177" s="161">
        <f t="shared" si="59"/>
        <v>0</v>
      </c>
      <c r="H177" s="161">
        <f t="shared" si="59"/>
        <v>0</v>
      </c>
      <c r="I177" s="161">
        <f t="shared" si="59"/>
        <v>0</v>
      </c>
      <c r="J177" s="161">
        <f t="shared" si="59"/>
        <v>0</v>
      </c>
      <c r="K177" s="161">
        <f t="shared" si="59"/>
        <v>0</v>
      </c>
      <c r="L177" s="161">
        <f t="shared" si="59"/>
        <v>0</v>
      </c>
      <c r="M177" s="161">
        <f t="shared" si="59"/>
        <v>0</v>
      </c>
      <c r="N177" s="161">
        <f t="shared" si="59"/>
        <v>0</v>
      </c>
      <c r="O177" s="161">
        <f t="shared" si="59"/>
        <v>0</v>
      </c>
      <c r="P177" s="161">
        <f t="shared" si="59"/>
        <v>0</v>
      </c>
      <c r="Q177" s="161">
        <f t="shared" si="59"/>
        <v>0</v>
      </c>
      <c r="R177" s="161">
        <f t="shared" si="59"/>
        <v>0</v>
      </c>
      <c r="S177" s="161">
        <f t="shared" si="60"/>
        <v>0</v>
      </c>
      <c r="T177" s="161">
        <f t="shared" si="60"/>
        <v>0</v>
      </c>
      <c r="U177" s="161">
        <f t="shared" si="60"/>
        <v>0</v>
      </c>
      <c r="V177" s="161">
        <f t="shared" si="60"/>
        <v>0</v>
      </c>
      <c r="W177" s="161">
        <f t="shared" si="60"/>
        <v>0</v>
      </c>
      <c r="X177" s="161">
        <f t="shared" si="60"/>
        <v>0</v>
      </c>
      <c r="Y177" s="161">
        <f t="shared" si="60"/>
        <v>0</v>
      </c>
      <c r="Z177" s="161">
        <f t="shared" si="60"/>
        <v>0</v>
      </c>
      <c r="AA177" s="161">
        <f t="shared" si="60"/>
        <v>0</v>
      </c>
      <c r="AB177" s="161">
        <f t="shared" si="60"/>
        <v>0</v>
      </c>
      <c r="AC177" s="161">
        <f t="shared" si="60"/>
        <v>0</v>
      </c>
      <c r="AD177" s="161">
        <f t="shared" si="60"/>
        <v>0</v>
      </c>
      <c r="AE177" s="161">
        <f t="shared" si="60"/>
        <v>0</v>
      </c>
      <c r="AF177" s="174">
        <f t="shared" si="6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59"/>
        <v>0</v>
      </c>
      <c r="D178" s="161">
        <f t="shared" si="59"/>
        <v>0</v>
      </c>
      <c r="E178" s="161">
        <f t="shared" si="59"/>
        <v>0</v>
      </c>
      <c r="F178" s="161">
        <f t="shared" si="59"/>
        <v>0</v>
      </c>
      <c r="G178" s="161">
        <f t="shared" si="59"/>
        <v>0</v>
      </c>
      <c r="H178" s="161">
        <f t="shared" si="59"/>
        <v>0</v>
      </c>
      <c r="I178" s="161">
        <f t="shared" si="59"/>
        <v>0</v>
      </c>
      <c r="J178" s="161">
        <f t="shared" si="59"/>
        <v>0</v>
      </c>
      <c r="K178" s="161">
        <f t="shared" si="59"/>
        <v>0</v>
      </c>
      <c r="L178" s="161">
        <f t="shared" si="59"/>
        <v>0</v>
      </c>
      <c r="M178" s="161">
        <f t="shared" si="59"/>
        <v>0</v>
      </c>
      <c r="N178" s="161">
        <f t="shared" si="59"/>
        <v>0</v>
      </c>
      <c r="O178" s="161">
        <f t="shared" si="59"/>
        <v>0</v>
      </c>
      <c r="P178" s="161">
        <f t="shared" si="59"/>
        <v>0</v>
      </c>
      <c r="Q178" s="161">
        <f t="shared" si="59"/>
        <v>0</v>
      </c>
      <c r="R178" s="161">
        <f t="shared" si="59"/>
        <v>0</v>
      </c>
      <c r="S178" s="161">
        <f t="shared" si="60"/>
        <v>0</v>
      </c>
      <c r="T178" s="161">
        <f t="shared" si="60"/>
        <v>0</v>
      </c>
      <c r="U178" s="161">
        <f t="shared" si="60"/>
        <v>0</v>
      </c>
      <c r="V178" s="161">
        <f t="shared" si="60"/>
        <v>0</v>
      </c>
      <c r="W178" s="161">
        <f t="shared" si="60"/>
        <v>0</v>
      </c>
      <c r="X178" s="161">
        <f t="shared" si="60"/>
        <v>0</v>
      </c>
      <c r="Y178" s="161">
        <f t="shared" si="60"/>
        <v>0</v>
      </c>
      <c r="Z178" s="161">
        <f t="shared" si="60"/>
        <v>0</v>
      </c>
      <c r="AA178" s="161">
        <f t="shared" si="60"/>
        <v>0</v>
      </c>
      <c r="AB178" s="161">
        <f t="shared" si="60"/>
        <v>0</v>
      </c>
      <c r="AC178" s="161">
        <f t="shared" si="60"/>
        <v>0</v>
      </c>
      <c r="AD178" s="161">
        <f t="shared" si="60"/>
        <v>0</v>
      </c>
      <c r="AE178" s="161">
        <f t="shared" si="60"/>
        <v>0</v>
      </c>
      <c r="AF178" s="174">
        <f t="shared" si="6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59"/>
        <v>0</v>
      </c>
      <c r="D179" s="161">
        <f t="shared" si="59"/>
        <v>0</v>
      </c>
      <c r="E179" s="161">
        <f t="shared" si="59"/>
        <v>0</v>
      </c>
      <c r="F179" s="161">
        <f t="shared" si="59"/>
        <v>0</v>
      </c>
      <c r="G179" s="161">
        <f t="shared" si="59"/>
        <v>0</v>
      </c>
      <c r="H179" s="161">
        <f t="shared" si="59"/>
        <v>0</v>
      </c>
      <c r="I179" s="161">
        <f t="shared" si="59"/>
        <v>0</v>
      </c>
      <c r="J179" s="161">
        <f t="shared" si="59"/>
        <v>0</v>
      </c>
      <c r="K179" s="161">
        <f t="shared" si="59"/>
        <v>0</v>
      </c>
      <c r="L179" s="161">
        <f t="shared" si="59"/>
        <v>0</v>
      </c>
      <c r="M179" s="161">
        <f t="shared" si="59"/>
        <v>0</v>
      </c>
      <c r="N179" s="161">
        <f t="shared" si="59"/>
        <v>0</v>
      </c>
      <c r="O179" s="161">
        <f t="shared" si="59"/>
        <v>0</v>
      </c>
      <c r="P179" s="161">
        <f t="shared" si="59"/>
        <v>0</v>
      </c>
      <c r="Q179" s="161">
        <f t="shared" si="59"/>
        <v>0</v>
      </c>
      <c r="R179" s="161">
        <f t="shared" si="59"/>
        <v>0</v>
      </c>
      <c r="S179" s="161">
        <f t="shared" si="60"/>
        <v>0</v>
      </c>
      <c r="T179" s="161">
        <f t="shared" si="60"/>
        <v>0</v>
      </c>
      <c r="U179" s="161">
        <f t="shared" si="60"/>
        <v>0</v>
      </c>
      <c r="V179" s="161">
        <f t="shared" si="60"/>
        <v>0</v>
      </c>
      <c r="W179" s="161">
        <f t="shared" si="60"/>
        <v>0</v>
      </c>
      <c r="X179" s="161">
        <f t="shared" si="60"/>
        <v>0</v>
      </c>
      <c r="Y179" s="161">
        <f t="shared" si="60"/>
        <v>0</v>
      </c>
      <c r="Z179" s="161">
        <f t="shared" si="60"/>
        <v>0</v>
      </c>
      <c r="AA179" s="161">
        <f t="shared" si="60"/>
        <v>0</v>
      </c>
      <c r="AB179" s="161">
        <f t="shared" si="60"/>
        <v>0</v>
      </c>
      <c r="AC179" s="161">
        <f t="shared" si="60"/>
        <v>0</v>
      </c>
      <c r="AD179" s="161">
        <f t="shared" si="60"/>
        <v>0</v>
      </c>
      <c r="AE179" s="161">
        <f t="shared" si="60"/>
        <v>0</v>
      </c>
      <c r="AF179" s="174">
        <f t="shared" si="6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59"/>
        <v>0</v>
      </c>
      <c r="D180" s="161">
        <f t="shared" si="59"/>
        <v>0</v>
      </c>
      <c r="E180" s="161">
        <f t="shared" si="59"/>
        <v>0</v>
      </c>
      <c r="F180" s="161">
        <f t="shared" si="59"/>
        <v>0</v>
      </c>
      <c r="G180" s="161">
        <f t="shared" si="59"/>
        <v>0</v>
      </c>
      <c r="H180" s="161">
        <f t="shared" si="59"/>
        <v>0</v>
      </c>
      <c r="I180" s="161">
        <f t="shared" si="59"/>
        <v>0</v>
      </c>
      <c r="J180" s="161">
        <f t="shared" si="59"/>
        <v>0</v>
      </c>
      <c r="K180" s="161">
        <f t="shared" si="59"/>
        <v>0</v>
      </c>
      <c r="L180" s="161">
        <f t="shared" si="59"/>
        <v>0</v>
      </c>
      <c r="M180" s="161">
        <f t="shared" si="59"/>
        <v>0</v>
      </c>
      <c r="N180" s="161">
        <f t="shared" si="59"/>
        <v>0</v>
      </c>
      <c r="O180" s="161">
        <f t="shared" si="59"/>
        <v>0</v>
      </c>
      <c r="P180" s="161">
        <f t="shared" si="59"/>
        <v>0</v>
      </c>
      <c r="Q180" s="161">
        <f t="shared" si="59"/>
        <v>0</v>
      </c>
      <c r="R180" s="161">
        <f t="shared" si="59"/>
        <v>0</v>
      </c>
      <c r="S180" s="161">
        <f t="shared" si="60"/>
        <v>0</v>
      </c>
      <c r="T180" s="161">
        <f t="shared" si="60"/>
        <v>0</v>
      </c>
      <c r="U180" s="161">
        <f t="shared" si="60"/>
        <v>0</v>
      </c>
      <c r="V180" s="161">
        <f t="shared" si="60"/>
        <v>0</v>
      </c>
      <c r="W180" s="161">
        <f t="shared" si="60"/>
        <v>0</v>
      </c>
      <c r="X180" s="161">
        <f t="shared" si="60"/>
        <v>0</v>
      </c>
      <c r="Y180" s="161">
        <f t="shared" si="60"/>
        <v>0</v>
      </c>
      <c r="Z180" s="161">
        <f t="shared" si="60"/>
        <v>0</v>
      </c>
      <c r="AA180" s="161">
        <f t="shared" si="60"/>
        <v>0</v>
      </c>
      <c r="AB180" s="161">
        <f t="shared" si="60"/>
        <v>0</v>
      </c>
      <c r="AC180" s="161">
        <f t="shared" si="60"/>
        <v>0</v>
      </c>
      <c r="AD180" s="161">
        <f t="shared" si="60"/>
        <v>0</v>
      </c>
      <c r="AE180" s="161">
        <f t="shared" si="60"/>
        <v>0</v>
      </c>
      <c r="AF180" s="174">
        <f t="shared" si="6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59"/>
        <v>0</v>
      </c>
      <c r="D181" s="161">
        <f t="shared" si="59"/>
        <v>0</v>
      </c>
      <c r="E181" s="161">
        <f t="shared" si="59"/>
        <v>0</v>
      </c>
      <c r="F181" s="161">
        <f t="shared" si="59"/>
        <v>0</v>
      </c>
      <c r="G181" s="161">
        <f t="shared" si="59"/>
        <v>0</v>
      </c>
      <c r="H181" s="161">
        <f t="shared" si="59"/>
        <v>0</v>
      </c>
      <c r="I181" s="161">
        <f t="shared" si="59"/>
        <v>0</v>
      </c>
      <c r="J181" s="161">
        <f t="shared" si="59"/>
        <v>0</v>
      </c>
      <c r="K181" s="161">
        <f t="shared" si="59"/>
        <v>0</v>
      </c>
      <c r="L181" s="161">
        <f t="shared" si="59"/>
        <v>0</v>
      </c>
      <c r="M181" s="161">
        <f t="shared" si="59"/>
        <v>0</v>
      </c>
      <c r="N181" s="161">
        <f t="shared" si="59"/>
        <v>0</v>
      </c>
      <c r="O181" s="161">
        <f t="shared" si="59"/>
        <v>0</v>
      </c>
      <c r="P181" s="161">
        <f t="shared" si="59"/>
        <v>0</v>
      </c>
      <c r="Q181" s="161">
        <f t="shared" si="59"/>
        <v>0</v>
      </c>
      <c r="R181" s="161">
        <f t="shared" si="59"/>
        <v>0</v>
      </c>
      <c r="S181" s="161">
        <f t="shared" si="60"/>
        <v>0</v>
      </c>
      <c r="T181" s="161">
        <f t="shared" si="60"/>
        <v>0</v>
      </c>
      <c r="U181" s="161">
        <f t="shared" si="60"/>
        <v>0</v>
      </c>
      <c r="V181" s="161">
        <f t="shared" si="60"/>
        <v>0</v>
      </c>
      <c r="W181" s="161">
        <f t="shared" si="60"/>
        <v>0</v>
      </c>
      <c r="X181" s="161">
        <f t="shared" si="60"/>
        <v>0</v>
      </c>
      <c r="Y181" s="161">
        <f t="shared" si="60"/>
        <v>0</v>
      </c>
      <c r="Z181" s="161">
        <f t="shared" si="60"/>
        <v>0</v>
      </c>
      <c r="AA181" s="161">
        <f t="shared" si="60"/>
        <v>0</v>
      </c>
      <c r="AB181" s="161">
        <f t="shared" si="60"/>
        <v>0</v>
      </c>
      <c r="AC181" s="161">
        <f t="shared" si="60"/>
        <v>0</v>
      </c>
      <c r="AD181" s="161">
        <f t="shared" si="60"/>
        <v>0</v>
      </c>
      <c r="AE181" s="161">
        <f t="shared" si="60"/>
        <v>0</v>
      </c>
      <c r="AF181" s="174">
        <f t="shared" si="6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59"/>
        <v>0</v>
      </c>
      <c r="D182" s="161">
        <f t="shared" si="59"/>
        <v>0</v>
      </c>
      <c r="E182" s="161">
        <f t="shared" si="59"/>
        <v>0</v>
      </c>
      <c r="F182" s="161">
        <f t="shared" si="59"/>
        <v>0</v>
      </c>
      <c r="G182" s="161">
        <f t="shared" si="59"/>
        <v>0</v>
      </c>
      <c r="H182" s="161">
        <f t="shared" si="59"/>
        <v>0</v>
      </c>
      <c r="I182" s="161">
        <f t="shared" si="59"/>
        <v>0</v>
      </c>
      <c r="J182" s="161">
        <f t="shared" si="59"/>
        <v>0</v>
      </c>
      <c r="K182" s="161">
        <f t="shared" si="59"/>
        <v>0</v>
      </c>
      <c r="L182" s="161">
        <f t="shared" si="59"/>
        <v>0</v>
      </c>
      <c r="M182" s="161">
        <f t="shared" si="59"/>
        <v>0</v>
      </c>
      <c r="N182" s="161">
        <f t="shared" si="59"/>
        <v>0</v>
      </c>
      <c r="O182" s="161">
        <f t="shared" si="59"/>
        <v>0</v>
      </c>
      <c r="P182" s="161">
        <f t="shared" si="59"/>
        <v>0</v>
      </c>
      <c r="Q182" s="161">
        <f t="shared" si="59"/>
        <v>0</v>
      </c>
      <c r="R182" s="161">
        <f t="shared" si="59"/>
        <v>0</v>
      </c>
      <c r="S182" s="161">
        <f t="shared" si="60"/>
        <v>0</v>
      </c>
      <c r="T182" s="161">
        <f t="shared" si="60"/>
        <v>0</v>
      </c>
      <c r="U182" s="161">
        <f t="shared" si="60"/>
        <v>0</v>
      </c>
      <c r="V182" s="161">
        <f t="shared" si="60"/>
        <v>0</v>
      </c>
      <c r="W182" s="161">
        <f t="shared" si="60"/>
        <v>0</v>
      </c>
      <c r="X182" s="161">
        <f t="shared" si="60"/>
        <v>0</v>
      </c>
      <c r="Y182" s="161">
        <f t="shared" si="60"/>
        <v>0</v>
      </c>
      <c r="Z182" s="161">
        <f t="shared" si="60"/>
        <v>0</v>
      </c>
      <c r="AA182" s="161">
        <f t="shared" si="60"/>
        <v>0</v>
      </c>
      <c r="AB182" s="161">
        <f t="shared" si="60"/>
        <v>0</v>
      </c>
      <c r="AC182" s="161">
        <f t="shared" si="60"/>
        <v>0</v>
      </c>
      <c r="AD182" s="161">
        <f t="shared" si="60"/>
        <v>0</v>
      </c>
      <c r="AE182" s="161">
        <f t="shared" si="60"/>
        <v>0</v>
      </c>
      <c r="AF182" s="174">
        <f t="shared" si="60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59"/>
        <v>0</v>
      </c>
      <c r="D183" s="161">
        <f t="shared" si="59"/>
        <v>0</v>
      </c>
      <c r="E183" s="161">
        <f t="shared" si="59"/>
        <v>0</v>
      </c>
      <c r="F183" s="161">
        <f t="shared" si="59"/>
        <v>0</v>
      </c>
      <c r="G183" s="161">
        <f t="shared" si="59"/>
        <v>0</v>
      </c>
      <c r="H183" s="161">
        <f t="shared" si="59"/>
        <v>0</v>
      </c>
      <c r="I183" s="161">
        <f t="shared" si="59"/>
        <v>0</v>
      </c>
      <c r="J183" s="161">
        <f t="shared" si="59"/>
        <v>0</v>
      </c>
      <c r="K183" s="161">
        <f t="shared" si="59"/>
        <v>0</v>
      </c>
      <c r="L183" s="161">
        <f t="shared" si="59"/>
        <v>0</v>
      </c>
      <c r="M183" s="161">
        <f t="shared" si="59"/>
        <v>0</v>
      </c>
      <c r="N183" s="161">
        <f t="shared" si="59"/>
        <v>0</v>
      </c>
      <c r="O183" s="161">
        <f t="shared" si="59"/>
        <v>0</v>
      </c>
      <c r="P183" s="161">
        <f t="shared" si="59"/>
        <v>0</v>
      </c>
      <c r="Q183" s="161">
        <f t="shared" si="59"/>
        <v>0</v>
      </c>
      <c r="R183" s="161">
        <f t="shared" si="59"/>
        <v>0</v>
      </c>
      <c r="S183" s="161">
        <f t="shared" si="60"/>
        <v>0</v>
      </c>
      <c r="T183" s="161">
        <f t="shared" si="60"/>
        <v>0</v>
      </c>
      <c r="U183" s="161">
        <f t="shared" si="60"/>
        <v>0</v>
      </c>
      <c r="V183" s="161">
        <f t="shared" si="60"/>
        <v>0</v>
      </c>
      <c r="W183" s="161">
        <f t="shared" si="60"/>
        <v>0</v>
      </c>
      <c r="X183" s="161">
        <f t="shared" si="60"/>
        <v>0</v>
      </c>
      <c r="Y183" s="161">
        <f t="shared" si="60"/>
        <v>0</v>
      </c>
      <c r="Z183" s="161">
        <f t="shared" si="60"/>
        <v>0</v>
      </c>
      <c r="AA183" s="161">
        <f t="shared" si="60"/>
        <v>0</v>
      </c>
      <c r="AB183" s="161">
        <f t="shared" si="60"/>
        <v>0</v>
      </c>
      <c r="AC183" s="161">
        <f t="shared" si="60"/>
        <v>0</v>
      </c>
      <c r="AD183" s="161">
        <f t="shared" si="60"/>
        <v>0</v>
      </c>
      <c r="AE183" s="161">
        <f t="shared" si="60"/>
        <v>0</v>
      </c>
      <c r="AF183" s="174">
        <f t="shared" si="60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59"/>
        <v>0</v>
      </c>
      <c r="D184" s="161">
        <f t="shared" si="59"/>
        <v>0</v>
      </c>
      <c r="E184" s="161">
        <f t="shared" si="59"/>
        <v>0</v>
      </c>
      <c r="F184" s="161">
        <f t="shared" si="59"/>
        <v>0</v>
      </c>
      <c r="G184" s="161">
        <f t="shared" si="59"/>
        <v>0</v>
      </c>
      <c r="H184" s="161">
        <f t="shared" si="59"/>
        <v>0</v>
      </c>
      <c r="I184" s="161">
        <f t="shared" si="59"/>
        <v>0</v>
      </c>
      <c r="J184" s="161">
        <f t="shared" si="59"/>
        <v>0</v>
      </c>
      <c r="K184" s="161">
        <f t="shared" si="59"/>
        <v>0</v>
      </c>
      <c r="L184" s="161">
        <f t="shared" si="59"/>
        <v>0</v>
      </c>
      <c r="M184" s="161">
        <f t="shared" si="59"/>
        <v>0</v>
      </c>
      <c r="N184" s="161">
        <f t="shared" si="59"/>
        <v>0</v>
      </c>
      <c r="O184" s="161">
        <f t="shared" si="59"/>
        <v>0</v>
      </c>
      <c r="P184" s="161">
        <f t="shared" si="59"/>
        <v>0</v>
      </c>
      <c r="Q184" s="161">
        <f t="shared" si="59"/>
        <v>0</v>
      </c>
      <c r="R184" s="161">
        <f t="shared" ref="R184:AF199" si="61">Q184</f>
        <v>0</v>
      </c>
      <c r="S184" s="161">
        <f t="shared" si="61"/>
        <v>0</v>
      </c>
      <c r="T184" s="161">
        <f t="shared" si="61"/>
        <v>0</v>
      </c>
      <c r="U184" s="161">
        <f t="shared" si="61"/>
        <v>0</v>
      </c>
      <c r="V184" s="161">
        <f t="shared" si="61"/>
        <v>0</v>
      </c>
      <c r="W184" s="161">
        <f t="shared" si="61"/>
        <v>0</v>
      </c>
      <c r="X184" s="161">
        <f t="shared" si="61"/>
        <v>0</v>
      </c>
      <c r="Y184" s="161">
        <f t="shared" si="61"/>
        <v>0</v>
      </c>
      <c r="Z184" s="161">
        <f t="shared" si="61"/>
        <v>0</v>
      </c>
      <c r="AA184" s="161">
        <f t="shared" si="61"/>
        <v>0</v>
      </c>
      <c r="AB184" s="161">
        <f t="shared" si="60"/>
        <v>0</v>
      </c>
      <c r="AC184" s="161">
        <f t="shared" si="60"/>
        <v>0</v>
      </c>
      <c r="AD184" s="161">
        <f t="shared" si="61"/>
        <v>0</v>
      </c>
      <c r="AE184" s="161">
        <f t="shared" si="61"/>
        <v>0</v>
      </c>
      <c r="AF184" s="174">
        <f t="shared" si="6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62">B185</f>
        <v>0</v>
      </c>
      <c r="D185" s="161">
        <f t="shared" si="62"/>
        <v>0</v>
      </c>
      <c r="E185" s="161">
        <f t="shared" si="62"/>
        <v>0</v>
      </c>
      <c r="F185" s="161">
        <f t="shared" si="62"/>
        <v>0</v>
      </c>
      <c r="G185" s="161">
        <f t="shared" si="62"/>
        <v>0</v>
      </c>
      <c r="H185" s="161">
        <f t="shared" si="62"/>
        <v>0</v>
      </c>
      <c r="I185" s="161">
        <f t="shared" si="62"/>
        <v>0</v>
      </c>
      <c r="J185" s="161">
        <f t="shared" si="62"/>
        <v>0</v>
      </c>
      <c r="K185" s="161">
        <f t="shared" si="62"/>
        <v>0</v>
      </c>
      <c r="L185" s="161">
        <f t="shared" si="62"/>
        <v>0</v>
      </c>
      <c r="M185" s="161">
        <f t="shared" si="62"/>
        <v>0</v>
      </c>
      <c r="N185" s="161">
        <f t="shared" si="62"/>
        <v>0</v>
      </c>
      <c r="O185" s="161">
        <f t="shared" si="62"/>
        <v>0</v>
      </c>
      <c r="P185" s="161">
        <f t="shared" si="62"/>
        <v>0</v>
      </c>
      <c r="Q185" s="161">
        <f t="shared" si="62"/>
        <v>0</v>
      </c>
      <c r="R185" s="161">
        <f t="shared" si="62"/>
        <v>0</v>
      </c>
      <c r="S185" s="161">
        <f t="shared" si="61"/>
        <v>0</v>
      </c>
      <c r="T185" s="161">
        <f t="shared" si="61"/>
        <v>0</v>
      </c>
      <c r="U185" s="161">
        <f t="shared" si="61"/>
        <v>0</v>
      </c>
      <c r="V185" s="161">
        <f t="shared" si="61"/>
        <v>0</v>
      </c>
      <c r="W185" s="161">
        <f t="shared" si="61"/>
        <v>0</v>
      </c>
      <c r="X185" s="161">
        <f t="shared" si="61"/>
        <v>0</v>
      </c>
      <c r="Y185" s="161">
        <f t="shared" si="61"/>
        <v>0</v>
      </c>
      <c r="Z185" s="161">
        <f t="shared" si="61"/>
        <v>0</v>
      </c>
      <c r="AA185" s="161">
        <f t="shared" si="61"/>
        <v>0</v>
      </c>
      <c r="AB185" s="161">
        <f t="shared" si="61"/>
        <v>0</v>
      </c>
      <c r="AC185" s="161">
        <f t="shared" si="61"/>
        <v>0</v>
      </c>
      <c r="AD185" s="161">
        <f t="shared" si="61"/>
        <v>0</v>
      </c>
      <c r="AE185" s="161">
        <f t="shared" si="61"/>
        <v>0</v>
      </c>
      <c r="AF185" s="174">
        <f t="shared" si="6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62"/>
        <v>0</v>
      </c>
      <c r="D186" s="161">
        <f t="shared" si="62"/>
        <v>0</v>
      </c>
      <c r="E186" s="161">
        <f t="shared" si="62"/>
        <v>0</v>
      </c>
      <c r="F186" s="161">
        <f t="shared" si="62"/>
        <v>0</v>
      </c>
      <c r="G186" s="161">
        <f t="shared" si="62"/>
        <v>0</v>
      </c>
      <c r="H186" s="161">
        <f t="shared" si="62"/>
        <v>0</v>
      </c>
      <c r="I186" s="161">
        <f t="shared" si="62"/>
        <v>0</v>
      </c>
      <c r="J186" s="161">
        <f t="shared" si="62"/>
        <v>0</v>
      </c>
      <c r="K186" s="161">
        <f t="shared" si="62"/>
        <v>0</v>
      </c>
      <c r="L186" s="161">
        <f t="shared" si="62"/>
        <v>0</v>
      </c>
      <c r="M186" s="161">
        <f t="shared" si="62"/>
        <v>0</v>
      </c>
      <c r="N186" s="161">
        <f t="shared" si="62"/>
        <v>0</v>
      </c>
      <c r="O186" s="161">
        <f t="shared" si="62"/>
        <v>0</v>
      </c>
      <c r="P186" s="161">
        <f t="shared" si="62"/>
        <v>0</v>
      </c>
      <c r="Q186" s="161">
        <f t="shared" si="62"/>
        <v>0</v>
      </c>
      <c r="R186" s="161">
        <f t="shared" si="62"/>
        <v>0</v>
      </c>
      <c r="S186" s="161">
        <f t="shared" si="61"/>
        <v>0</v>
      </c>
      <c r="T186" s="161">
        <f t="shared" si="61"/>
        <v>0</v>
      </c>
      <c r="U186" s="161">
        <f t="shared" si="61"/>
        <v>0</v>
      </c>
      <c r="V186" s="161">
        <f t="shared" si="61"/>
        <v>0</v>
      </c>
      <c r="W186" s="161">
        <f t="shared" si="61"/>
        <v>0</v>
      </c>
      <c r="X186" s="161">
        <f t="shared" si="61"/>
        <v>0</v>
      </c>
      <c r="Y186" s="161">
        <f t="shared" si="61"/>
        <v>0</v>
      </c>
      <c r="Z186" s="161">
        <f t="shared" si="61"/>
        <v>0</v>
      </c>
      <c r="AA186" s="161">
        <f t="shared" si="61"/>
        <v>0</v>
      </c>
      <c r="AB186" s="161">
        <f t="shared" si="61"/>
        <v>0</v>
      </c>
      <c r="AC186" s="161">
        <f t="shared" si="61"/>
        <v>0</v>
      </c>
      <c r="AD186" s="161">
        <f t="shared" si="61"/>
        <v>0</v>
      </c>
      <c r="AE186" s="161">
        <f t="shared" si="61"/>
        <v>0</v>
      </c>
      <c r="AF186" s="174">
        <f t="shared" si="6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62"/>
        <v>0</v>
      </c>
      <c r="D187" s="161">
        <f t="shared" si="62"/>
        <v>0</v>
      </c>
      <c r="E187" s="161">
        <f t="shared" si="62"/>
        <v>0</v>
      </c>
      <c r="F187" s="161">
        <f t="shared" si="62"/>
        <v>0</v>
      </c>
      <c r="G187" s="161">
        <f t="shared" si="62"/>
        <v>0</v>
      </c>
      <c r="H187" s="161">
        <f t="shared" si="62"/>
        <v>0</v>
      </c>
      <c r="I187" s="161">
        <f t="shared" si="62"/>
        <v>0</v>
      </c>
      <c r="J187" s="161">
        <f t="shared" si="62"/>
        <v>0</v>
      </c>
      <c r="K187" s="161">
        <f t="shared" si="62"/>
        <v>0</v>
      </c>
      <c r="L187" s="161">
        <f t="shared" si="62"/>
        <v>0</v>
      </c>
      <c r="M187" s="161">
        <f t="shared" si="62"/>
        <v>0</v>
      </c>
      <c r="N187" s="161">
        <f t="shared" si="62"/>
        <v>0</v>
      </c>
      <c r="O187" s="161">
        <f t="shared" si="62"/>
        <v>0</v>
      </c>
      <c r="P187" s="161">
        <f t="shared" si="62"/>
        <v>0</v>
      </c>
      <c r="Q187" s="161">
        <f t="shared" si="62"/>
        <v>0</v>
      </c>
      <c r="R187" s="161">
        <f t="shared" si="62"/>
        <v>0</v>
      </c>
      <c r="S187" s="161">
        <f t="shared" si="61"/>
        <v>0</v>
      </c>
      <c r="T187" s="161">
        <f t="shared" si="61"/>
        <v>0</v>
      </c>
      <c r="U187" s="161">
        <f t="shared" si="61"/>
        <v>0</v>
      </c>
      <c r="V187" s="161">
        <f t="shared" si="61"/>
        <v>0</v>
      </c>
      <c r="W187" s="161">
        <f t="shared" si="61"/>
        <v>0</v>
      </c>
      <c r="X187" s="161">
        <f t="shared" si="61"/>
        <v>0</v>
      </c>
      <c r="Y187" s="161">
        <f t="shared" si="61"/>
        <v>0</v>
      </c>
      <c r="Z187" s="161">
        <f t="shared" si="61"/>
        <v>0</v>
      </c>
      <c r="AA187" s="161">
        <f t="shared" si="61"/>
        <v>0</v>
      </c>
      <c r="AB187" s="161">
        <f t="shared" si="61"/>
        <v>0</v>
      </c>
      <c r="AC187" s="161">
        <f t="shared" si="61"/>
        <v>0</v>
      </c>
      <c r="AD187" s="161">
        <f t="shared" si="61"/>
        <v>0</v>
      </c>
      <c r="AE187" s="161">
        <f t="shared" si="61"/>
        <v>0</v>
      </c>
      <c r="AF187" s="174">
        <f t="shared" si="6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62"/>
        <v>0</v>
      </c>
      <c r="D188" s="161">
        <f t="shared" si="62"/>
        <v>0</v>
      </c>
      <c r="E188" s="161">
        <f t="shared" si="62"/>
        <v>0</v>
      </c>
      <c r="F188" s="161">
        <f t="shared" si="62"/>
        <v>0</v>
      </c>
      <c r="G188" s="161">
        <f t="shared" si="62"/>
        <v>0</v>
      </c>
      <c r="H188" s="161">
        <f t="shared" si="62"/>
        <v>0</v>
      </c>
      <c r="I188" s="161">
        <f t="shared" si="62"/>
        <v>0</v>
      </c>
      <c r="J188" s="161">
        <f t="shared" si="62"/>
        <v>0</v>
      </c>
      <c r="K188" s="161">
        <f t="shared" si="62"/>
        <v>0</v>
      </c>
      <c r="L188" s="161">
        <f t="shared" si="62"/>
        <v>0</v>
      </c>
      <c r="M188" s="161">
        <f t="shared" si="62"/>
        <v>0</v>
      </c>
      <c r="N188" s="161">
        <f t="shared" si="62"/>
        <v>0</v>
      </c>
      <c r="O188" s="161">
        <f t="shared" si="62"/>
        <v>0</v>
      </c>
      <c r="P188" s="161">
        <f t="shared" si="62"/>
        <v>0</v>
      </c>
      <c r="Q188" s="161">
        <f t="shared" si="62"/>
        <v>0</v>
      </c>
      <c r="R188" s="161">
        <f t="shared" si="62"/>
        <v>0</v>
      </c>
      <c r="S188" s="161">
        <f t="shared" si="61"/>
        <v>0</v>
      </c>
      <c r="T188" s="161">
        <f t="shared" si="61"/>
        <v>0</v>
      </c>
      <c r="U188" s="161">
        <f t="shared" si="61"/>
        <v>0</v>
      </c>
      <c r="V188" s="161">
        <f t="shared" si="61"/>
        <v>0</v>
      </c>
      <c r="W188" s="161">
        <f t="shared" si="61"/>
        <v>0</v>
      </c>
      <c r="X188" s="161">
        <f t="shared" si="61"/>
        <v>0</v>
      </c>
      <c r="Y188" s="161">
        <f t="shared" si="61"/>
        <v>0</v>
      </c>
      <c r="Z188" s="161">
        <f t="shared" si="61"/>
        <v>0</v>
      </c>
      <c r="AA188" s="161">
        <f t="shared" si="61"/>
        <v>0</v>
      </c>
      <c r="AB188" s="161">
        <f t="shared" si="61"/>
        <v>0</v>
      </c>
      <c r="AC188" s="161">
        <f t="shared" si="61"/>
        <v>0</v>
      </c>
      <c r="AD188" s="161">
        <f t="shared" si="61"/>
        <v>0</v>
      </c>
      <c r="AE188" s="161">
        <f t="shared" si="61"/>
        <v>0</v>
      </c>
      <c r="AF188" s="174">
        <f t="shared" si="6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62"/>
        <v>0</v>
      </c>
      <c r="D189" s="161">
        <f t="shared" si="62"/>
        <v>0</v>
      </c>
      <c r="E189" s="161">
        <f t="shared" si="62"/>
        <v>0</v>
      </c>
      <c r="F189" s="161">
        <f t="shared" si="62"/>
        <v>0</v>
      </c>
      <c r="G189" s="161">
        <f t="shared" si="62"/>
        <v>0</v>
      </c>
      <c r="H189" s="161">
        <f t="shared" si="62"/>
        <v>0</v>
      </c>
      <c r="I189" s="161">
        <f t="shared" si="62"/>
        <v>0</v>
      </c>
      <c r="J189" s="161">
        <f t="shared" si="62"/>
        <v>0</v>
      </c>
      <c r="K189" s="161">
        <f t="shared" si="62"/>
        <v>0</v>
      </c>
      <c r="L189" s="161">
        <f t="shared" si="62"/>
        <v>0</v>
      </c>
      <c r="M189" s="161">
        <f t="shared" si="62"/>
        <v>0</v>
      </c>
      <c r="N189" s="161">
        <f t="shared" si="62"/>
        <v>0</v>
      </c>
      <c r="O189" s="161">
        <f t="shared" si="62"/>
        <v>0</v>
      </c>
      <c r="P189" s="161">
        <f t="shared" si="62"/>
        <v>0</v>
      </c>
      <c r="Q189" s="161">
        <f t="shared" si="62"/>
        <v>0</v>
      </c>
      <c r="R189" s="161">
        <f t="shared" si="62"/>
        <v>0</v>
      </c>
      <c r="S189" s="161">
        <f t="shared" si="61"/>
        <v>0</v>
      </c>
      <c r="T189" s="161">
        <f t="shared" si="61"/>
        <v>0</v>
      </c>
      <c r="U189" s="161">
        <f t="shared" si="61"/>
        <v>0</v>
      </c>
      <c r="V189" s="161">
        <f t="shared" si="61"/>
        <v>0</v>
      </c>
      <c r="W189" s="161">
        <f t="shared" si="61"/>
        <v>0</v>
      </c>
      <c r="X189" s="161">
        <f t="shared" si="61"/>
        <v>0</v>
      </c>
      <c r="Y189" s="161">
        <f t="shared" si="61"/>
        <v>0</v>
      </c>
      <c r="Z189" s="161">
        <f t="shared" si="61"/>
        <v>0</v>
      </c>
      <c r="AA189" s="161">
        <f t="shared" si="61"/>
        <v>0</v>
      </c>
      <c r="AB189" s="161">
        <f t="shared" si="61"/>
        <v>0</v>
      </c>
      <c r="AC189" s="161">
        <f t="shared" si="61"/>
        <v>0</v>
      </c>
      <c r="AD189" s="161">
        <f t="shared" si="61"/>
        <v>0</v>
      </c>
      <c r="AE189" s="161">
        <f t="shared" si="61"/>
        <v>0</v>
      </c>
      <c r="AF189" s="174">
        <f t="shared" si="6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62"/>
        <v>0</v>
      </c>
      <c r="D190" s="161">
        <f t="shared" si="62"/>
        <v>0</v>
      </c>
      <c r="E190" s="161">
        <f t="shared" si="62"/>
        <v>0</v>
      </c>
      <c r="F190" s="161">
        <f t="shared" si="62"/>
        <v>0</v>
      </c>
      <c r="G190" s="161">
        <f t="shared" si="62"/>
        <v>0</v>
      </c>
      <c r="H190" s="161">
        <f t="shared" si="62"/>
        <v>0</v>
      </c>
      <c r="I190" s="161">
        <f t="shared" si="62"/>
        <v>0</v>
      </c>
      <c r="J190" s="161">
        <f t="shared" si="62"/>
        <v>0</v>
      </c>
      <c r="K190" s="161">
        <f t="shared" si="62"/>
        <v>0</v>
      </c>
      <c r="L190" s="161">
        <f t="shared" si="62"/>
        <v>0</v>
      </c>
      <c r="M190" s="161">
        <f t="shared" si="62"/>
        <v>0</v>
      </c>
      <c r="N190" s="161">
        <f t="shared" si="62"/>
        <v>0</v>
      </c>
      <c r="O190" s="161">
        <f t="shared" si="62"/>
        <v>0</v>
      </c>
      <c r="P190" s="161">
        <f t="shared" si="62"/>
        <v>0</v>
      </c>
      <c r="Q190" s="161">
        <f t="shared" si="62"/>
        <v>0</v>
      </c>
      <c r="R190" s="161">
        <f t="shared" si="62"/>
        <v>0</v>
      </c>
      <c r="S190" s="161">
        <f t="shared" si="61"/>
        <v>0</v>
      </c>
      <c r="T190" s="161">
        <f t="shared" si="61"/>
        <v>0</v>
      </c>
      <c r="U190" s="161">
        <f t="shared" si="61"/>
        <v>0</v>
      </c>
      <c r="V190" s="161">
        <f t="shared" si="61"/>
        <v>0</v>
      </c>
      <c r="W190" s="161">
        <f t="shared" si="61"/>
        <v>0</v>
      </c>
      <c r="X190" s="161">
        <f t="shared" si="61"/>
        <v>0</v>
      </c>
      <c r="Y190" s="161">
        <f t="shared" si="61"/>
        <v>0</v>
      </c>
      <c r="Z190" s="161">
        <f t="shared" si="61"/>
        <v>0</v>
      </c>
      <c r="AA190" s="161">
        <f t="shared" si="61"/>
        <v>0</v>
      </c>
      <c r="AB190" s="161">
        <f t="shared" si="61"/>
        <v>0</v>
      </c>
      <c r="AC190" s="161">
        <f t="shared" si="61"/>
        <v>0</v>
      </c>
      <c r="AD190" s="161">
        <f t="shared" si="61"/>
        <v>0</v>
      </c>
      <c r="AE190" s="161">
        <f t="shared" si="61"/>
        <v>0</v>
      </c>
      <c r="AF190" s="174">
        <f t="shared" si="6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62"/>
        <v>0</v>
      </c>
      <c r="D191" s="161">
        <f t="shared" si="62"/>
        <v>0</v>
      </c>
      <c r="E191" s="161">
        <f t="shared" si="62"/>
        <v>0</v>
      </c>
      <c r="F191" s="161">
        <f t="shared" si="62"/>
        <v>0</v>
      </c>
      <c r="G191" s="161">
        <f t="shared" si="62"/>
        <v>0</v>
      </c>
      <c r="H191" s="161">
        <f t="shared" si="62"/>
        <v>0</v>
      </c>
      <c r="I191" s="161">
        <f t="shared" si="62"/>
        <v>0</v>
      </c>
      <c r="J191" s="161">
        <f t="shared" si="62"/>
        <v>0</v>
      </c>
      <c r="K191" s="161">
        <f t="shared" si="62"/>
        <v>0</v>
      </c>
      <c r="L191" s="161">
        <f t="shared" si="62"/>
        <v>0</v>
      </c>
      <c r="M191" s="161">
        <f t="shared" si="62"/>
        <v>0</v>
      </c>
      <c r="N191" s="161">
        <f t="shared" si="62"/>
        <v>0</v>
      </c>
      <c r="O191" s="161">
        <f t="shared" si="62"/>
        <v>0</v>
      </c>
      <c r="P191" s="161">
        <f t="shared" si="62"/>
        <v>0</v>
      </c>
      <c r="Q191" s="161">
        <f t="shared" si="62"/>
        <v>0</v>
      </c>
      <c r="R191" s="161">
        <f t="shared" si="62"/>
        <v>0</v>
      </c>
      <c r="S191" s="161">
        <f t="shared" si="61"/>
        <v>0</v>
      </c>
      <c r="T191" s="161">
        <f t="shared" si="61"/>
        <v>0</v>
      </c>
      <c r="U191" s="161">
        <f t="shared" si="61"/>
        <v>0</v>
      </c>
      <c r="V191" s="161">
        <f t="shared" si="61"/>
        <v>0</v>
      </c>
      <c r="W191" s="161">
        <f t="shared" si="61"/>
        <v>0</v>
      </c>
      <c r="X191" s="161">
        <f t="shared" si="61"/>
        <v>0</v>
      </c>
      <c r="Y191" s="161">
        <f t="shared" si="61"/>
        <v>0</v>
      </c>
      <c r="Z191" s="161">
        <f t="shared" si="61"/>
        <v>0</v>
      </c>
      <c r="AA191" s="161">
        <f t="shared" si="61"/>
        <v>0</v>
      </c>
      <c r="AB191" s="161">
        <f t="shared" si="61"/>
        <v>0</v>
      </c>
      <c r="AC191" s="161">
        <f t="shared" si="61"/>
        <v>0</v>
      </c>
      <c r="AD191" s="161">
        <f t="shared" si="61"/>
        <v>0</v>
      </c>
      <c r="AE191" s="161">
        <f t="shared" si="61"/>
        <v>0</v>
      </c>
      <c r="AF191" s="174">
        <f t="shared" si="6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62"/>
        <v>0</v>
      </c>
      <c r="D192" s="161">
        <f t="shared" si="62"/>
        <v>0</v>
      </c>
      <c r="E192" s="161">
        <f t="shared" si="62"/>
        <v>0</v>
      </c>
      <c r="F192" s="161">
        <f t="shared" si="62"/>
        <v>0</v>
      </c>
      <c r="G192" s="161">
        <f t="shared" si="62"/>
        <v>0</v>
      </c>
      <c r="H192" s="161">
        <f t="shared" si="62"/>
        <v>0</v>
      </c>
      <c r="I192" s="161">
        <f t="shared" si="62"/>
        <v>0</v>
      </c>
      <c r="J192" s="161">
        <f t="shared" si="62"/>
        <v>0</v>
      </c>
      <c r="K192" s="161">
        <f t="shared" si="62"/>
        <v>0</v>
      </c>
      <c r="L192" s="161">
        <f t="shared" si="62"/>
        <v>0</v>
      </c>
      <c r="M192" s="161">
        <f t="shared" si="62"/>
        <v>0</v>
      </c>
      <c r="N192" s="161">
        <f t="shared" si="62"/>
        <v>0</v>
      </c>
      <c r="O192" s="161">
        <f t="shared" si="62"/>
        <v>0</v>
      </c>
      <c r="P192" s="161">
        <f t="shared" si="62"/>
        <v>0</v>
      </c>
      <c r="Q192" s="161">
        <f t="shared" si="62"/>
        <v>0</v>
      </c>
      <c r="R192" s="161">
        <f t="shared" si="62"/>
        <v>0</v>
      </c>
      <c r="S192" s="161">
        <f t="shared" si="61"/>
        <v>0</v>
      </c>
      <c r="T192" s="161">
        <f t="shared" si="61"/>
        <v>0</v>
      </c>
      <c r="U192" s="161">
        <f t="shared" si="61"/>
        <v>0</v>
      </c>
      <c r="V192" s="161">
        <f t="shared" si="61"/>
        <v>0</v>
      </c>
      <c r="W192" s="161">
        <f t="shared" si="61"/>
        <v>0</v>
      </c>
      <c r="X192" s="161">
        <f t="shared" si="61"/>
        <v>0</v>
      </c>
      <c r="Y192" s="161">
        <f t="shared" si="61"/>
        <v>0</v>
      </c>
      <c r="Z192" s="161">
        <f t="shared" si="61"/>
        <v>0</v>
      </c>
      <c r="AA192" s="161">
        <f t="shared" si="61"/>
        <v>0</v>
      </c>
      <c r="AB192" s="161">
        <f t="shared" si="61"/>
        <v>0</v>
      </c>
      <c r="AC192" s="161">
        <f t="shared" si="61"/>
        <v>0</v>
      </c>
      <c r="AD192" s="161">
        <f t="shared" si="61"/>
        <v>0</v>
      </c>
      <c r="AE192" s="161">
        <f t="shared" si="61"/>
        <v>0</v>
      </c>
      <c r="AF192" s="174">
        <f t="shared" si="6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62"/>
        <v>0</v>
      </c>
      <c r="D193" s="161">
        <f t="shared" si="62"/>
        <v>0</v>
      </c>
      <c r="E193" s="161">
        <f t="shared" si="62"/>
        <v>0</v>
      </c>
      <c r="F193" s="161">
        <f t="shared" si="62"/>
        <v>0</v>
      </c>
      <c r="G193" s="161">
        <f t="shared" si="62"/>
        <v>0</v>
      </c>
      <c r="H193" s="161">
        <f t="shared" si="62"/>
        <v>0</v>
      </c>
      <c r="I193" s="161">
        <f t="shared" si="62"/>
        <v>0</v>
      </c>
      <c r="J193" s="161">
        <f t="shared" si="62"/>
        <v>0</v>
      </c>
      <c r="K193" s="161">
        <f t="shared" si="62"/>
        <v>0</v>
      </c>
      <c r="L193" s="161">
        <f t="shared" si="62"/>
        <v>0</v>
      </c>
      <c r="M193" s="161">
        <f t="shared" si="62"/>
        <v>0</v>
      </c>
      <c r="N193" s="161">
        <f t="shared" si="62"/>
        <v>0</v>
      </c>
      <c r="O193" s="161">
        <f t="shared" si="62"/>
        <v>0</v>
      </c>
      <c r="P193" s="161">
        <f t="shared" si="62"/>
        <v>0</v>
      </c>
      <c r="Q193" s="161">
        <f t="shared" si="62"/>
        <v>0</v>
      </c>
      <c r="R193" s="161">
        <f t="shared" si="62"/>
        <v>0</v>
      </c>
      <c r="S193" s="161">
        <f t="shared" si="61"/>
        <v>0</v>
      </c>
      <c r="T193" s="161">
        <f t="shared" si="61"/>
        <v>0</v>
      </c>
      <c r="U193" s="161">
        <f t="shared" si="61"/>
        <v>0</v>
      </c>
      <c r="V193" s="161">
        <f t="shared" si="61"/>
        <v>0</v>
      </c>
      <c r="W193" s="161">
        <f t="shared" si="61"/>
        <v>0</v>
      </c>
      <c r="X193" s="161">
        <f t="shared" si="61"/>
        <v>0</v>
      </c>
      <c r="Y193" s="161">
        <f t="shared" si="61"/>
        <v>0</v>
      </c>
      <c r="Z193" s="161">
        <f t="shared" si="61"/>
        <v>0</v>
      </c>
      <c r="AA193" s="161">
        <f t="shared" si="61"/>
        <v>0</v>
      </c>
      <c r="AB193" s="161">
        <f t="shared" si="61"/>
        <v>0</v>
      </c>
      <c r="AC193" s="161">
        <f t="shared" si="61"/>
        <v>0</v>
      </c>
      <c r="AD193" s="161">
        <f t="shared" si="61"/>
        <v>0</v>
      </c>
      <c r="AE193" s="161">
        <f t="shared" si="61"/>
        <v>0</v>
      </c>
      <c r="AF193" s="174">
        <f t="shared" si="6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62"/>
        <v>0</v>
      </c>
      <c r="D194" s="161">
        <f t="shared" si="62"/>
        <v>0</v>
      </c>
      <c r="E194" s="161">
        <f t="shared" si="62"/>
        <v>0</v>
      </c>
      <c r="F194" s="161">
        <f t="shared" si="62"/>
        <v>0</v>
      </c>
      <c r="G194" s="161">
        <f t="shared" si="62"/>
        <v>0</v>
      </c>
      <c r="H194" s="161">
        <f t="shared" si="62"/>
        <v>0</v>
      </c>
      <c r="I194" s="161">
        <f t="shared" si="62"/>
        <v>0</v>
      </c>
      <c r="J194" s="161">
        <f t="shared" si="62"/>
        <v>0</v>
      </c>
      <c r="K194" s="161">
        <f t="shared" si="62"/>
        <v>0</v>
      </c>
      <c r="L194" s="161">
        <f t="shared" si="62"/>
        <v>0</v>
      </c>
      <c r="M194" s="161">
        <f t="shared" si="62"/>
        <v>0</v>
      </c>
      <c r="N194" s="161">
        <f t="shared" si="62"/>
        <v>0</v>
      </c>
      <c r="O194" s="161">
        <f t="shared" si="62"/>
        <v>0</v>
      </c>
      <c r="P194" s="161">
        <f t="shared" si="62"/>
        <v>0</v>
      </c>
      <c r="Q194" s="161">
        <f t="shared" si="62"/>
        <v>0</v>
      </c>
      <c r="R194" s="161">
        <f t="shared" si="62"/>
        <v>0</v>
      </c>
      <c r="S194" s="161">
        <f t="shared" si="61"/>
        <v>0</v>
      </c>
      <c r="T194" s="161">
        <f t="shared" si="61"/>
        <v>0</v>
      </c>
      <c r="U194" s="161">
        <f t="shared" si="61"/>
        <v>0</v>
      </c>
      <c r="V194" s="161">
        <f t="shared" si="61"/>
        <v>0</v>
      </c>
      <c r="W194" s="161">
        <f t="shared" si="61"/>
        <v>0</v>
      </c>
      <c r="X194" s="161">
        <f t="shared" si="61"/>
        <v>0</v>
      </c>
      <c r="Y194" s="161">
        <f t="shared" si="61"/>
        <v>0</v>
      </c>
      <c r="Z194" s="161">
        <f t="shared" si="61"/>
        <v>0</v>
      </c>
      <c r="AA194" s="161">
        <f t="shared" si="61"/>
        <v>0</v>
      </c>
      <c r="AB194" s="161">
        <f t="shared" si="61"/>
        <v>0</v>
      </c>
      <c r="AC194" s="161">
        <f t="shared" si="61"/>
        <v>0</v>
      </c>
      <c r="AD194" s="161">
        <f t="shared" si="61"/>
        <v>0</v>
      </c>
      <c r="AE194" s="161">
        <f t="shared" si="61"/>
        <v>0</v>
      </c>
      <c r="AF194" s="174">
        <f t="shared" si="6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62"/>
        <v>0</v>
      </c>
      <c r="D195" s="161">
        <f t="shared" si="62"/>
        <v>0</v>
      </c>
      <c r="E195" s="161">
        <f t="shared" si="62"/>
        <v>0</v>
      </c>
      <c r="F195" s="161">
        <f t="shared" si="62"/>
        <v>0</v>
      </c>
      <c r="G195" s="161">
        <f t="shared" si="62"/>
        <v>0</v>
      </c>
      <c r="H195" s="161">
        <f t="shared" si="62"/>
        <v>0</v>
      </c>
      <c r="I195" s="161">
        <f t="shared" si="62"/>
        <v>0</v>
      </c>
      <c r="J195" s="161">
        <f t="shared" si="62"/>
        <v>0</v>
      </c>
      <c r="K195" s="161">
        <f t="shared" si="62"/>
        <v>0</v>
      </c>
      <c r="L195" s="161">
        <f t="shared" si="62"/>
        <v>0</v>
      </c>
      <c r="M195" s="161">
        <f t="shared" si="62"/>
        <v>0</v>
      </c>
      <c r="N195" s="161">
        <f t="shared" si="62"/>
        <v>0</v>
      </c>
      <c r="O195" s="161">
        <f t="shared" si="62"/>
        <v>0</v>
      </c>
      <c r="P195" s="161">
        <f t="shared" si="62"/>
        <v>0</v>
      </c>
      <c r="Q195" s="161">
        <f t="shared" si="62"/>
        <v>0</v>
      </c>
      <c r="R195" s="161">
        <f t="shared" si="62"/>
        <v>0</v>
      </c>
      <c r="S195" s="161">
        <f t="shared" si="61"/>
        <v>0</v>
      </c>
      <c r="T195" s="161">
        <f t="shared" si="61"/>
        <v>0</v>
      </c>
      <c r="U195" s="161">
        <f t="shared" si="61"/>
        <v>0</v>
      </c>
      <c r="V195" s="161">
        <f t="shared" si="61"/>
        <v>0</v>
      </c>
      <c r="W195" s="161">
        <f t="shared" si="61"/>
        <v>0</v>
      </c>
      <c r="X195" s="161">
        <f t="shared" si="61"/>
        <v>0</v>
      </c>
      <c r="Y195" s="161">
        <f t="shared" si="61"/>
        <v>0</v>
      </c>
      <c r="Z195" s="161">
        <f t="shared" si="61"/>
        <v>0</v>
      </c>
      <c r="AA195" s="161">
        <f t="shared" si="61"/>
        <v>0</v>
      </c>
      <c r="AB195" s="161">
        <f t="shared" si="61"/>
        <v>0</v>
      </c>
      <c r="AC195" s="161">
        <f t="shared" si="61"/>
        <v>0</v>
      </c>
      <c r="AD195" s="161">
        <f t="shared" si="61"/>
        <v>0</v>
      </c>
      <c r="AE195" s="161">
        <f t="shared" si="61"/>
        <v>0</v>
      </c>
      <c r="AF195" s="174">
        <f t="shared" si="6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62"/>
        <v>0</v>
      </c>
      <c r="D196" s="161">
        <f t="shared" si="62"/>
        <v>0</v>
      </c>
      <c r="E196" s="161">
        <f t="shared" si="62"/>
        <v>0</v>
      </c>
      <c r="F196" s="161">
        <f t="shared" si="62"/>
        <v>0</v>
      </c>
      <c r="G196" s="161">
        <f t="shared" si="62"/>
        <v>0</v>
      </c>
      <c r="H196" s="161">
        <f t="shared" si="62"/>
        <v>0</v>
      </c>
      <c r="I196" s="161">
        <f t="shared" si="62"/>
        <v>0</v>
      </c>
      <c r="J196" s="161">
        <f t="shared" si="62"/>
        <v>0</v>
      </c>
      <c r="K196" s="161">
        <f t="shared" si="62"/>
        <v>0</v>
      </c>
      <c r="L196" s="161">
        <f t="shared" si="62"/>
        <v>0</v>
      </c>
      <c r="M196" s="161">
        <f t="shared" si="62"/>
        <v>0</v>
      </c>
      <c r="N196" s="161">
        <f t="shared" si="62"/>
        <v>0</v>
      </c>
      <c r="O196" s="161">
        <f t="shared" si="62"/>
        <v>0</v>
      </c>
      <c r="P196" s="161">
        <f t="shared" si="62"/>
        <v>0</v>
      </c>
      <c r="Q196" s="161">
        <f t="shared" si="62"/>
        <v>0</v>
      </c>
      <c r="R196" s="161">
        <f t="shared" si="62"/>
        <v>0</v>
      </c>
      <c r="S196" s="161">
        <f t="shared" si="61"/>
        <v>0</v>
      </c>
      <c r="T196" s="161">
        <f t="shared" si="61"/>
        <v>0</v>
      </c>
      <c r="U196" s="161">
        <f t="shared" si="61"/>
        <v>0</v>
      </c>
      <c r="V196" s="161">
        <f t="shared" si="61"/>
        <v>0</v>
      </c>
      <c r="W196" s="161">
        <f t="shared" si="61"/>
        <v>0</v>
      </c>
      <c r="X196" s="161">
        <f t="shared" si="61"/>
        <v>0</v>
      </c>
      <c r="Y196" s="161">
        <f t="shared" si="61"/>
        <v>0</v>
      </c>
      <c r="Z196" s="161">
        <f t="shared" si="61"/>
        <v>0</v>
      </c>
      <c r="AA196" s="161">
        <f t="shared" si="61"/>
        <v>0</v>
      </c>
      <c r="AB196" s="161">
        <f t="shared" si="61"/>
        <v>0</v>
      </c>
      <c r="AC196" s="161">
        <f t="shared" si="61"/>
        <v>0</v>
      </c>
      <c r="AD196" s="161">
        <f t="shared" si="61"/>
        <v>0</v>
      </c>
      <c r="AE196" s="161">
        <f t="shared" si="61"/>
        <v>0</v>
      </c>
      <c r="AF196" s="174">
        <f t="shared" si="6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62"/>
        <v>0</v>
      </c>
      <c r="D197" s="161">
        <f t="shared" si="62"/>
        <v>0</v>
      </c>
      <c r="E197" s="161">
        <f t="shared" si="62"/>
        <v>0</v>
      </c>
      <c r="F197" s="161">
        <f t="shared" si="62"/>
        <v>0</v>
      </c>
      <c r="G197" s="161">
        <f t="shared" si="62"/>
        <v>0</v>
      </c>
      <c r="H197" s="161">
        <f t="shared" si="62"/>
        <v>0</v>
      </c>
      <c r="I197" s="161">
        <f t="shared" si="62"/>
        <v>0</v>
      </c>
      <c r="J197" s="161">
        <f t="shared" si="62"/>
        <v>0</v>
      </c>
      <c r="K197" s="161">
        <f t="shared" si="62"/>
        <v>0</v>
      </c>
      <c r="L197" s="161">
        <f t="shared" si="62"/>
        <v>0</v>
      </c>
      <c r="M197" s="161">
        <f t="shared" si="62"/>
        <v>0</v>
      </c>
      <c r="N197" s="161">
        <f t="shared" si="62"/>
        <v>0</v>
      </c>
      <c r="O197" s="161">
        <f t="shared" si="62"/>
        <v>0</v>
      </c>
      <c r="P197" s="161">
        <f t="shared" si="62"/>
        <v>0</v>
      </c>
      <c r="Q197" s="161">
        <f t="shared" si="62"/>
        <v>0</v>
      </c>
      <c r="R197" s="161">
        <f t="shared" si="62"/>
        <v>0</v>
      </c>
      <c r="S197" s="161">
        <f t="shared" si="61"/>
        <v>0</v>
      </c>
      <c r="T197" s="161">
        <f t="shared" si="61"/>
        <v>0</v>
      </c>
      <c r="U197" s="161">
        <f t="shared" si="61"/>
        <v>0</v>
      </c>
      <c r="V197" s="161">
        <f t="shared" si="61"/>
        <v>0</v>
      </c>
      <c r="W197" s="161">
        <f t="shared" si="61"/>
        <v>0</v>
      </c>
      <c r="X197" s="161">
        <f t="shared" si="61"/>
        <v>0</v>
      </c>
      <c r="Y197" s="161">
        <f t="shared" si="61"/>
        <v>0</v>
      </c>
      <c r="Z197" s="161">
        <f t="shared" si="61"/>
        <v>0</v>
      </c>
      <c r="AA197" s="161">
        <f t="shared" si="61"/>
        <v>0</v>
      </c>
      <c r="AB197" s="161">
        <f t="shared" si="61"/>
        <v>0</v>
      </c>
      <c r="AC197" s="161">
        <f t="shared" si="61"/>
        <v>0</v>
      </c>
      <c r="AD197" s="161">
        <f t="shared" si="61"/>
        <v>0</v>
      </c>
      <c r="AE197" s="161">
        <f t="shared" si="61"/>
        <v>0</v>
      </c>
      <c r="AF197" s="174">
        <f t="shared" si="6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62"/>
        <v>0</v>
      </c>
      <c r="D198" s="161">
        <f t="shared" si="62"/>
        <v>0</v>
      </c>
      <c r="E198" s="161">
        <f t="shared" si="62"/>
        <v>0</v>
      </c>
      <c r="F198" s="161">
        <f t="shared" si="62"/>
        <v>0</v>
      </c>
      <c r="G198" s="161">
        <f t="shared" si="62"/>
        <v>0</v>
      </c>
      <c r="H198" s="161">
        <f t="shared" si="62"/>
        <v>0</v>
      </c>
      <c r="I198" s="161">
        <f t="shared" si="62"/>
        <v>0</v>
      </c>
      <c r="J198" s="161">
        <f t="shared" si="62"/>
        <v>0</v>
      </c>
      <c r="K198" s="161">
        <f t="shared" si="62"/>
        <v>0</v>
      </c>
      <c r="L198" s="161">
        <f t="shared" si="62"/>
        <v>0</v>
      </c>
      <c r="M198" s="161">
        <f t="shared" si="62"/>
        <v>0</v>
      </c>
      <c r="N198" s="161">
        <f t="shared" si="62"/>
        <v>0</v>
      </c>
      <c r="O198" s="161">
        <f t="shared" si="62"/>
        <v>0</v>
      </c>
      <c r="P198" s="161">
        <f t="shared" si="62"/>
        <v>0</v>
      </c>
      <c r="Q198" s="161">
        <f t="shared" si="62"/>
        <v>0</v>
      </c>
      <c r="R198" s="161">
        <f t="shared" si="62"/>
        <v>0</v>
      </c>
      <c r="S198" s="161">
        <f t="shared" si="61"/>
        <v>0</v>
      </c>
      <c r="T198" s="161">
        <f t="shared" si="61"/>
        <v>0</v>
      </c>
      <c r="U198" s="161">
        <f t="shared" si="61"/>
        <v>0</v>
      </c>
      <c r="V198" s="161">
        <f t="shared" si="61"/>
        <v>0</v>
      </c>
      <c r="W198" s="161">
        <f t="shared" si="61"/>
        <v>0</v>
      </c>
      <c r="X198" s="161">
        <f t="shared" si="61"/>
        <v>0</v>
      </c>
      <c r="Y198" s="161">
        <f t="shared" si="61"/>
        <v>0</v>
      </c>
      <c r="Z198" s="161">
        <f t="shared" si="61"/>
        <v>0</v>
      </c>
      <c r="AA198" s="161">
        <f t="shared" si="61"/>
        <v>0</v>
      </c>
      <c r="AB198" s="161">
        <f t="shared" si="61"/>
        <v>0</v>
      </c>
      <c r="AC198" s="161">
        <f t="shared" si="61"/>
        <v>0</v>
      </c>
      <c r="AD198" s="161">
        <f t="shared" si="61"/>
        <v>0</v>
      </c>
      <c r="AE198" s="161">
        <f t="shared" si="61"/>
        <v>0</v>
      </c>
      <c r="AF198" s="174">
        <f t="shared" si="6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62"/>
        <v>0</v>
      </c>
      <c r="D199" s="161">
        <f t="shared" si="62"/>
        <v>0</v>
      </c>
      <c r="E199" s="161">
        <f t="shared" si="62"/>
        <v>0</v>
      </c>
      <c r="F199" s="161">
        <f t="shared" si="62"/>
        <v>0</v>
      </c>
      <c r="G199" s="161">
        <f t="shared" si="62"/>
        <v>0</v>
      </c>
      <c r="H199" s="161">
        <f t="shared" si="62"/>
        <v>0</v>
      </c>
      <c r="I199" s="161">
        <f t="shared" si="62"/>
        <v>0</v>
      </c>
      <c r="J199" s="161">
        <f t="shared" si="62"/>
        <v>0</v>
      </c>
      <c r="K199" s="161">
        <f t="shared" si="62"/>
        <v>0</v>
      </c>
      <c r="L199" s="161">
        <f t="shared" si="62"/>
        <v>0</v>
      </c>
      <c r="M199" s="161">
        <f t="shared" si="62"/>
        <v>0</v>
      </c>
      <c r="N199" s="161">
        <f t="shared" si="62"/>
        <v>0</v>
      </c>
      <c r="O199" s="161">
        <f t="shared" si="62"/>
        <v>0</v>
      </c>
      <c r="P199" s="161">
        <f t="shared" si="62"/>
        <v>0</v>
      </c>
      <c r="Q199" s="161">
        <f t="shared" si="62"/>
        <v>0</v>
      </c>
      <c r="R199" s="161">
        <f t="shared" si="62"/>
        <v>0</v>
      </c>
      <c r="S199" s="161">
        <f t="shared" si="61"/>
        <v>0</v>
      </c>
      <c r="T199" s="161">
        <f t="shared" si="61"/>
        <v>0</v>
      </c>
      <c r="U199" s="161">
        <f t="shared" si="61"/>
        <v>0</v>
      </c>
      <c r="V199" s="161">
        <f t="shared" si="61"/>
        <v>0</v>
      </c>
      <c r="W199" s="161">
        <f t="shared" si="61"/>
        <v>0</v>
      </c>
      <c r="X199" s="161">
        <f t="shared" si="61"/>
        <v>0</v>
      </c>
      <c r="Y199" s="161">
        <f t="shared" si="61"/>
        <v>0</v>
      </c>
      <c r="Z199" s="161">
        <f t="shared" si="61"/>
        <v>0</v>
      </c>
      <c r="AA199" s="161">
        <f t="shared" si="61"/>
        <v>0</v>
      </c>
      <c r="AB199" s="161">
        <f t="shared" si="61"/>
        <v>0</v>
      </c>
      <c r="AC199" s="161">
        <f t="shared" si="61"/>
        <v>0</v>
      </c>
      <c r="AD199" s="161">
        <f t="shared" si="61"/>
        <v>0</v>
      </c>
      <c r="AE199" s="161">
        <f t="shared" si="61"/>
        <v>0</v>
      </c>
      <c r="AF199" s="174">
        <f t="shared" si="6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62"/>
        <v>0</v>
      </c>
      <c r="D200" s="161">
        <f t="shared" si="62"/>
        <v>0</v>
      </c>
      <c r="E200" s="161">
        <f t="shared" si="62"/>
        <v>0</v>
      </c>
      <c r="F200" s="161">
        <f t="shared" si="62"/>
        <v>0</v>
      </c>
      <c r="G200" s="161">
        <f t="shared" si="62"/>
        <v>0</v>
      </c>
      <c r="H200" s="161">
        <f t="shared" si="62"/>
        <v>0</v>
      </c>
      <c r="I200" s="161">
        <f t="shared" si="62"/>
        <v>0</v>
      </c>
      <c r="J200" s="161">
        <f t="shared" si="62"/>
        <v>0</v>
      </c>
      <c r="K200" s="161">
        <f t="shared" si="62"/>
        <v>0</v>
      </c>
      <c r="L200" s="161">
        <f t="shared" si="62"/>
        <v>0</v>
      </c>
      <c r="M200" s="161">
        <f t="shared" si="62"/>
        <v>0</v>
      </c>
      <c r="N200" s="161">
        <f t="shared" si="62"/>
        <v>0</v>
      </c>
      <c r="O200" s="161">
        <f t="shared" si="62"/>
        <v>0</v>
      </c>
      <c r="P200" s="161">
        <f t="shared" si="62"/>
        <v>0</v>
      </c>
      <c r="Q200" s="161">
        <f t="shared" si="62"/>
        <v>0</v>
      </c>
      <c r="R200" s="161">
        <f t="shared" ref="R200:AF215" si="63">Q200</f>
        <v>0</v>
      </c>
      <c r="S200" s="161">
        <f t="shared" si="63"/>
        <v>0</v>
      </c>
      <c r="T200" s="161">
        <f t="shared" si="63"/>
        <v>0</v>
      </c>
      <c r="U200" s="161">
        <f t="shared" si="63"/>
        <v>0</v>
      </c>
      <c r="V200" s="161">
        <f t="shared" si="63"/>
        <v>0</v>
      </c>
      <c r="W200" s="161">
        <f t="shared" si="63"/>
        <v>0</v>
      </c>
      <c r="X200" s="161">
        <f t="shared" si="63"/>
        <v>0</v>
      </c>
      <c r="Y200" s="161">
        <f t="shared" si="63"/>
        <v>0</v>
      </c>
      <c r="Z200" s="161">
        <f t="shared" si="63"/>
        <v>0</v>
      </c>
      <c r="AA200" s="161">
        <f t="shared" si="63"/>
        <v>0</v>
      </c>
      <c r="AB200" s="161">
        <f t="shared" si="63"/>
        <v>0</v>
      </c>
      <c r="AC200" s="161">
        <f t="shared" si="63"/>
        <v>0</v>
      </c>
      <c r="AD200" s="161">
        <f t="shared" si="63"/>
        <v>0</v>
      </c>
      <c r="AE200" s="161">
        <f t="shared" si="63"/>
        <v>0</v>
      </c>
      <c r="AF200" s="174">
        <f t="shared" si="6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64">B201</f>
        <v>0</v>
      </c>
      <c r="D201" s="161">
        <f t="shared" si="64"/>
        <v>0</v>
      </c>
      <c r="E201" s="161">
        <f t="shared" si="64"/>
        <v>0</v>
      </c>
      <c r="F201" s="161">
        <f t="shared" si="64"/>
        <v>0</v>
      </c>
      <c r="G201" s="161">
        <f t="shared" si="64"/>
        <v>0</v>
      </c>
      <c r="H201" s="161">
        <f t="shared" si="64"/>
        <v>0</v>
      </c>
      <c r="I201" s="161">
        <f t="shared" si="64"/>
        <v>0</v>
      </c>
      <c r="J201" s="161">
        <f t="shared" si="64"/>
        <v>0</v>
      </c>
      <c r="K201" s="161">
        <f t="shared" si="64"/>
        <v>0</v>
      </c>
      <c r="L201" s="161">
        <f t="shared" si="64"/>
        <v>0</v>
      </c>
      <c r="M201" s="161">
        <f t="shared" si="64"/>
        <v>0</v>
      </c>
      <c r="N201" s="161">
        <f t="shared" si="64"/>
        <v>0</v>
      </c>
      <c r="O201" s="161">
        <f t="shared" si="64"/>
        <v>0</v>
      </c>
      <c r="P201" s="161">
        <f t="shared" si="64"/>
        <v>0</v>
      </c>
      <c r="Q201" s="161">
        <f t="shared" si="64"/>
        <v>0</v>
      </c>
      <c r="R201" s="161">
        <f t="shared" si="64"/>
        <v>0</v>
      </c>
      <c r="S201" s="161">
        <f t="shared" si="63"/>
        <v>0</v>
      </c>
      <c r="T201" s="161">
        <f t="shared" si="63"/>
        <v>0</v>
      </c>
      <c r="U201" s="161">
        <f t="shared" si="63"/>
        <v>0</v>
      </c>
      <c r="V201" s="161">
        <f t="shared" si="63"/>
        <v>0</v>
      </c>
      <c r="W201" s="161">
        <f t="shared" si="63"/>
        <v>0</v>
      </c>
      <c r="X201" s="161">
        <f t="shared" si="63"/>
        <v>0</v>
      </c>
      <c r="Y201" s="161">
        <f t="shared" si="63"/>
        <v>0</v>
      </c>
      <c r="Z201" s="161">
        <f t="shared" si="63"/>
        <v>0</v>
      </c>
      <c r="AA201" s="161">
        <f t="shared" si="63"/>
        <v>0</v>
      </c>
      <c r="AB201" s="161">
        <f t="shared" si="63"/>
        <v>0</v>
      </c>
      <c r="AC201" s="161">
        <f t="shared" si="63"/>
        <v>0</v>
      </c>
      <c r="AD201" s="161">
        <f t="shared" si="63"/>
        <v>0</v>
      </c>
      <c r="AE201" s="161">
        <f t="shared" si="63"/>
        <v>0</v>
      </c>
      <c r="AF201" s="174">
        <f t="shared" si="6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64"/>
        <v>0</v>
      </c>
      <c r="D202" s="161">
        <f t="shared" si="64"/>
        <v>0</v>
      </c>
      <c r="E202" s="161">
        <f t="shared" si="64"/>
        <v>0</v>
      </c>
      <c r="F202" s="161">
        <f t="shared" si="64"/>
        <v>0</v>
      </c>
      <c r="G202" s="161">
        <f t="shared" si="64"/>
        <v>0</v>
      </c>
      <c r="H202" s="161">
        <f t="shared" si="64"/>
        <v>0</v>
      </c>
      <c r="I202" s="161">
        <f t="shared" si="64"/>
        <v>0</v>
      </c>
      <c r="J202" s="161">
        <f t="shared" si="64"/>
        <v>0</v>
      </c>
      <c r="K202" s="161">
        <f t="shared" si="64"/>
        <v>0</v>
      </c>
      <c r="L202" s="161">
        <f t="shared" si="64"/>
        <v>0</v>
      </c>
      <c r="M202" s="161">
        <f t="shared" si="64"/>
        <v>0</v>
      </c>
      <c r="N202" s="161">
        <f t="shared" si="64"/>
        <v>0</v>
      </c>
      <c r="O202" s="161">
        <f t="shared" si="64"/>
        <v>0</v>
      </c>
      <c r="P202" s="161">
        <f t="shared" si="64"/>
        <v>0</v>
      </c>
      <c r="Q202" s="161">
        <f t="shared" si="64"/>
        <v>0</v>
      </c>
      <c r="R202" s="161">
        <f t="shared" si="64"/>
        <v>0</v>
      </c>
      <c r="S202" s="161">
        <f t="shared" si="63"/>
        <v>0</v>
      </c>
      <c r="T202" s="161">
        <f t="shared" si="63"/>
        <v>0</v>
      </c>
      <c r="U202" s="161">
        <f t="shared" si="63"/>
        <v>0</v>
      </c>
      <c r="V202" s="161">
        <f t="shared" si="63"/>
        <v>0</v>
      </c>
      <c r="W202" s="161">
        <f t="shared" si="63"/>
        <v>0</v>
      </c>
      <c r="X202" s="161">
        <f t="shared" si="63"/>
        <v>0</v>
      </c>
      <c r="Y202" s="161">
        <f t="shared" si="63"/>
        <v>0</v>
      </c>
      <c r="Z202" s="161">
        <f t="shared" si="63"/>
        <v>0</v>
      </c>
      <c r="AA202" s="161">
        <f t="shared" si="63"/>
        <v>0</v>
      </c>
      <c r="AB202" s="161">
        <f t="shared" si="63"/>
        <v>0</v>
      </c>
      <c r="AC202" s="161">
        <f t="shared" si="63"/>
        <v>0</v>
      </c>
      <c r="AD202" s="161">
        <f t="shared" si="63"/>
        <v>0</v>
      </c>
      <c r="AE202" s="161">
        <f t="shared" si="63"/>
        <v>0</v>
      </c>
      <c r="AF202" s="174">
        <f t="shared" si="6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64"/>
        <v>0</v>
      </c>
      <c r="D203" s="161">
        <f t="shared" si="64"/>
        <v>0</v>
      </c>
      <c r="E203" s="161">
        <f t="shared" si="64"/>
        <v>0</v>
      </c>
      <c r="F203" s="161">
        <f t="shared" si="64"/>
        <v>0</v>
      </c>
      <c r="G203" s="161">
        <f t="shared" si="64"/>
        <v>0</v>
      </c>
      <c r="H203" s="161">
        <f t="shared" si="64"/>
        <v>0</v>
      </c>
      <c r="I203" s="161">
        <f t="shared" si="64"/>
        <v>0</v>
      </c>
      <c r="J203" s="161">
        <f t="shared" si="64"/>
        <v>0</v>
      </c>
      <c r="K203" s="161">
        <f t="shared" si="64"/>
        <v>0</v>
      </c>
      <c r="L203" s="161">
        <f t="shared" si="64"/>
        <v>0</v>
      </c>
      <c r="M203" s="161">
        <f t="shared" si="64"/>
        <v>0</v>
      </c>
      <c r="N203" s="161">
        <f t="shared" si="64"/>
        <v>0</v>
      </c>
      <c r="O203" s="161">
        <f t="shared" si="64"/>
        <v>0</v>
      </c>
      <c r="P203" s="161">
        <f t="shared" si="64"/>
        <v>0</v>
      </c>
      <c r="Q203" s="161">
        <f t="shared" si="64"/>
        <v>0</v>
      </c>
      <c r="R203" s="161">
        <f t="shared" si="64"/>
        <v>0</v>
      </c>
      <c r="S203" s="161">
        <f t="shared" si="63"/>
        <v>0</v>
      </c>
      <c r="T203" s="161">
        <f t="shared" si="63"/>
        <v>0</v>
      </c>
      <c r="U203" s="161">
        <f t="shared" si="63"/>
        <v>0</v>
      </c>
      <c r="V203" s="161">
        <f t="shared" si="63"/>
        <v>0</v>
      </c>
      <c r="W203" s="161">
        <f t="shared" si="63"/>
        <v>0</v>
      </c>
      <c r="X203" s="161">
        <f t="shared" si="63"/>
        <v>0</v>
      </c>
      <c r="Y203" s="161">
        <f t="shared" si="63"/>
        <v>0</v>
      </c>
      <c r="Z203" s="161">
        <f t="shared" si="63"/>
        <v>0</v>
      </c>
      <c r="AA203" s="161">
        <f t="shared" si="63"/>
        <v>0</v>
      </c>
      <c r="AB203" s="161">
        <f t="shared" si="63"/>
        <v>0</v>
      </c>
      <c r="AC203" s="161">
        <f t="shared" si="63"/>
        <v>0</v>
      </c>
      <c r="AD203" s="161">
        <f t="shared" si="63"/>
        <v>0</v>
      </c>
      <c r="AE203" s="161">
        <f t="shared" si="63"/>
        <v>0</v>
      </c>
      <c r="AF203" s="174">
        <f t="shared" si="6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64"/>
        <v>0</v>
      </c>
      <c r="D204" s="161">
        <f t="shared" si="64"/>
        <v>0</v>
      </c>
      <c r="E204" s="161">
        <f t="shared" si="64"/>
        <v>0</v>
      </c>
      <c r="F204" s="161">
        <f t="shared" si="64"/>
        <v>0</v>
      </c>
      <c r="G204" s="161">
        <f t="shared" si="64"/>
        <v>0</v>
      </c>
      <c r="H204" s="161">
        <f t="shared" si="64"/>
        <v>0</v>
      </c>
      <c r="I204" s="161">
        <f t="shared" si="64"/>
        <v>0</v>
      </c>
      <c r="J204" s="161">
        <f t="shared" si="64"/>
        <v>0</v>
      </c>
      <c r="K204" s="161">
        <f t="shared" si="64"/>
        <v>0</v>
      </c>
      <c r="L204" s="161">
        <f t="shared" si="64"/>
        <v>0</v>
      </c>
      <c r="M204" s="161">
        <f t="shared" si="64"/>
        <v>0</v>
      </c>
      <c r="N204" s="161">
        <f t="shared" si="64"/>
        <v>0</v>
      </c>
      <c r="O204" s="161">
        <f t="shared" si="64"/>
        <v>0</v>
      </c>
      <c r="P204" s="161">
        <f t="shared" si="64"/>
        <v>0</v>
      </c>
      <c r="Q204" s="161">
        <f t="shared" si="64"/>
        <v>0</v>
      </c>
      <c r="R204" s="161">
        <f t="shared" si="64"/>
        <v>0</v>
      </c>
      <c r="S204" s="161">
        <f t="shared" si="63"/>
        <v>0</v>
      </c>
      <c r="T204" s="161">
        <f t="shared" si="63"/>
        <v>0</v>
      </c>
      <c r="U204" s="161">
        <f t="shared" si="63"/>
        <v>0</v>
      </c>
      <c r="V204" s="161">
        <f t="shared" si="63"/>
        <v>0</v>
      </c>
      <c r="W204" s="161">
        <f t="shared" si="63"/>
        <v>0</v>
      </c>
      <c r="X204" s="161">
        <f t="shared" si="63"/>
        <v>0</v>
      </c>
      <c r="Y204" s="161">
        <f t="shared" si="63"/>
        <v>0</v>
      </c>
      <c r="Z204" s="161">
        <f t="shared" si="63"/>
        <v>0</v>
      </c>
      <c r="AA204" s="161">
        <f t="shared" si="63"/>
        <v>0</v>
      </c>
      <c r="AB204" s="161">
        <f t="shared" si="63"/>
        <v>0</v>
      </c>
      <c r="AC204" s="161">
        <f t="shared" si="63"/>
        <v>0</v>
      </c>
      <c r="AD204" s="161">
        <f t="shared" si="63"/>
        <v>0</v>
      </c>
      <c r="AE204" s="161">
        <f t="shared" si="63"/>
        <v>0</v>
      </c>
      <c r="AF204" s="174">
        <f t="shared" si="6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64"/>
        <v>0</v>
      </c>
      <c r="D205" s="161">
        <f t="shared" si="64"/>
        <v>0</v>
      </c>
      <c r="E205" s="161">
        <f t="shared" si="64"/>
        <v>0</v>
      </c>
      <c r="F205" s="161">
        <f t="shared" si="64"/>
        <v>0</v>
      </c>
      <c r="G205" s="161">
        <f t="shared" si="64"/>
        <v>0</v>
      </c>
      <c r="H205" s="161">
        <f t="shared" si="64"/>
        <v>0</v>
      </c>
      <c r="I205" s="161">
        <f t="shared" si="64"/>
        <v>0</v>
      </c>
      <c r="J205" s="161">
        <f t="shared" si="64"/>
        <v>0</v>
      </c>
      <c r="K205" s="161">
        <f t="shared" si="64"/>
        <v>0</v>
      </c>
      <c r="L205" s="161">
        <f t="shared" si="64"/>
        <v>0</v>
      </c>
      <c r="M205" s="161">
        <f t="shared" si="64"/>
        <v>0</v>
      </c>
      <c r="N205" s="161">
        <f t="shared" si="64"/>
        <v>0</v>
      </c>
      <c r="O205" s="161">
        <f t="shared" si="64"/>
        <v>0</v>
      </c>
      <c r="P205" s="161">
        <f t="shared" si="64"/>
        <v>0</v>
      </c>
      <c r="Q205" s="161">
        <f t="shared" si="64"/>
        <v>0</v>
      </c>
      <c r="R205" s="161">
        <f t="shared" si="64"/>
        <v>0</v>
      </c>
      <c r="S205" s="161">
        <f t="shared" si="63"/>
        <v>0</v>
      </c>
      <c r="T205" s="161">
        <f t="shared" si="63"/>
        <v>0</v>
      </c>
      <c r="U205" s="161">
        <f t="shared" si="63"/>
        <v>0</v>
      </c>
      <c r="V205" s="161">
        <f t="shared" si="63"/>
        <v>0</v>
      </c>
      <c r="W205" s="161">
        <f t="shared" si="63"/>
        <v>0</v>
      </c>
      <c r="X205" s="161">
        <f t="shared" si="63"/>
        <v>0</v>
      </c>
      <c r="Y205" s="161">
        <f t="shared" si="63"/>
        <v>0</v>
      </c>
      <c r="Z205" s="161">
        <f t="shared" si="63"/>
        <v>0</v>
      </c>
      <c r="AA205" s="161">
        <f t="shared" si="63"/>
        <v>0</v>
      </c>
      <c r="AB205" s="161">
        <f t="shared" si="63"/>
        <v>0</v>
      </c>
      <c r="AC205" s="161">
        <f t="shared" si="63"/>
        <v>0</v>
      </c>
      <c r="AD205" s="161">
        <f t="shared" si="63"/>
        <v>0</v>
      </c>
      <c r="AE205" s="161">
        <f t="shared" si="63"/>
        <v>0</v>
      </c>
      <c r="AF205" s="174">
        <f t="shared" si="6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64"/>
        <v>0</v>
      </c>
      <c r="D206" s="161">
        <f t="shared" si="64"/>
        <v>0</v>
      </c>
      <c r="E206" s="161">
        <f t="shared" si="64"/>
        <v>0</v>
      </c>
      <c r="F206" s="161">
        <f t="shared" si="64"/>
        <v>0</v>
      </c>
      <c r="G206" s="161">
        <f t="shared" si="64"/>
        <v>0</v>
      </c>
      <c r="H206" s="161">
        <f t="shared" si="64"/>
        <v>0</v>
      </c>
      <c r="I206" s="161">
        <f t="shared" si="64"/>
        <v>0</v>
      </c>
      <c r="J206" s="161">
        <f t="shared" si="64"/>
        <v>0</v>
      </c>
      <c r="K206" s="161">
        <f t="shared" si="64"/>
        <v>0</v>
      </c>
      <c r="L206" s="161">
        <f t="shared" si="64"/>
        <v>0</v>
      </c>
      <c r="M206" s="161">
        <f t="shared" si="64"/>
        <v>0</v>
      </c>
      <c r="N206" s="161">
        <f t="shared" si="64"/>
        <v>0</v>
      </c>
      <c r="O206" s="161">
        <f t="shared" si="64"/>
        <v>0</v>
      </c>
      <c r="P206" s="161">
        <f t="shared" si="64"/>
        <v>0</v>
      </c>
      <c r="Q206" s="161">
        <f t="shared" si="64"/>
        <v>0</v>
      </c>
      <c r="R206" s="161">
        <f t="shared" si="64"/>
        <v>0</v>
      </c>
      <c r="S206" s="161">
        <f t="shared" si="63"/>
        <v>0</v>
      </c>
      <c r="T206" s="161">
        <f t="shared" si="63"/>
        <v>0</v>
      </c>
      <c r="U206" s="161">
        <f t="shared" si="63"/>
        <v>0</v>
      </c>
      <c r="V206" s="161">
        <f t="shared" si="63"/>
        <v>0</v>
      </c>
      <c r="W206" s="161">
        <f t="shared" si="63"/>
        <v>0</v>
      </c>
      <c r="X206" s="161">
        <f t="shared" si="63"/>
        <v>0</v>
      </c>
      <c r="Y206" s="161">
        <f t="shared" si="63"/>
        <v>0</v>
      </c>
      <c r="Z206" s="161">
        <f t="shared" si="63"/>
        <v>0</v>
      </c>
      <c r="AA206" s="161">
        <f t="shared" si="63"/>
        <v>0</v>
      </c>
      <c r="AB206" s="161">
        <f t="shared" si="63"/>
        <v>0</v>
      </c>
      <c r="AC206" s="161">
        <f t="shared" si="63"/>
        <v>0</v>
      </c>
      <c r="AD206" s="161">
        <f t="shared" si="63"/>
        <v>0</v>
      </c>
      <c r="AE206" s="161">
        <f t="shared" si="63"/>
        <v>0</v>
      </c>
      <c r="AF206" s="174">
        <f t="shared" si="6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64"/>
        <v>0</v>
      </c>
      <c r="D207" s="161">
        <f t="shared" si="64"/>
        <v>0</v>
      </c>
      <c r="E207" s="161">
        <f t="shared" si="64"/>
        <v>0</v>
      </c>
      <c r="F207" s="161">
        <f t="shared" si="64"/>
        <v>0</v>
      </c>
      <c r="G207" s="161">
        <f t="shared" si="64"/>
        <v>0</v>
      </c>
      <c r="H207" s="161">
        <f t="shared" si="64"/>
        <v>0</v>
      </c>
      <c r="I207" s="161">
        <f t="shared" si="64"/>
        <v>0</v>
      </c>
      <c r="J207" s="161">
        <f t="shared" si="64"/>
        <v>0</v>
      </c>
      <c r="K207" s="161">
        <f t="shared" si="64"/>
        <v>0</v>
      </c>
      <c r="L207" s="161">
        <f t="shared" si="64"/>
        <v>0</v>
      </c>
      <c r="M207" s="161">
        <f t="shared" si="64"/>
        <v>0</v>
      </c>
      <c r="N207" s="161">
        <f t="shared" si="64"/>
        <v>0</v>
      </c>
      <c r="O207" s="161">
        <f t="shared" si="64"/>
        <v>0</v>
      </c>
      <c r="P207" s="161">
        <f t="shared" si="64"/>
        <v>0</v>
      </c>
      <c r="Q207" s="161">
        <f t="shared" si="64"/>
        <v>0</v>
      </c>
      <c r="R207" s="161">
        <f t="shared" si="64"/>
        <v>0</v>
      </c>
      <c r="S207" s="161">
        <f t="shared" si="63"/>
        <v>0</v>
      </c>
      <c r="T207" s="161">
        <f t="shared" si="63"/>
        <v>0</v>
      </c>
      <c r="U207" s="161">
        <f t="shared" si="63"/>
        <v>0</v>
      </c>
      <c r="V207" s="161">
        <f t="shared" si="63"/>
        <v>0</v>
      </c>
      <c r="W207" s="161">
        <f t="shared" si="63"/>
        <v>0</v>
      </c>
      <c r="X207" s="161">
        <f t="shared" si="63"/>
        <v>0</v>
      </c>
      <c r="Y207" s="161">
        <f t="shared" si="63"/>
        <v>0</v>
      </c>
      <c r="Z207" s="161">
        <f t="shared" si="63"/>
        <v>0</v>
      </c>
      <c r="AA207" s="161">
        <f t="shared" si="63"/>
        <v>0</v>
      </c>
      <c r="AB207" s="161">
        <f t="shared" si="63"/>
        <v>0</v>
      </c>
      <c r="AC207" s="161">
        <f t="shared" si="63"/>
        <v>0</v>
      </c>
      <c r="AD207" s="161">
        <f t="shared" si="63"/>
        <v>0</v>
      </c>
      <c r="AE207" s="161">
        <f t="shared" si="63"/>
        <v>0</v>
      </c>
      <c r="AF207" s="174">
        <f t="shared" si="6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64"/>
        <v>0</v>
      </c>
      <c r="D208" s="161">
        <f t="shared" si="64"/>
        <v>0</v>
      </c>
      <c r="E208" s="161">
        <f t="shared" si="64"/>
        <v>0</v>
      </c>
      <c r="F208" s="161">
        <f t="shared" si="64"/>
        <v>0</v>
      </c>
      <c r="G208" s="161">
        <f t="shared" si="64"/>
        <v>0</v>
      </c>
      <c r="H208" s="161">
        <f t="shared" si="64"/>
        <v>0</v>
      </c>
      <c r="I208" s="161">
        <f t="shared" si="64"/>
        <v>0</v>
      </c>
      <c r="J208" s="161">
        <f t="shared" si="64"/>
        <v>0</v>
      </c>
      <c r="K208" s="161">
        <f t="shared" si="64"/>
        <v>0</v>
      </c>
      <c r="L208" s="161">
        <f t="shared" si="64"/>
        <v>0</v>
      </c>
      <c r="M208" s="161">
        <f t="shared" si="64"/>
        <v>0</v>
      </c>
      <c r="N208" s="161">
        <f t="shared" si="64"/>
        <v>0</v>
      </c>
      <c r="O208" s="161">
        <f t="shared" si="64"/>
        <v>0</v>
      </c>
      <c r="P208" s="161">
        <f t="shared" si="64"/>
        <v>0</v>
      </c>
      <c r="Q208" s="161">
        <f t="shared" si="64"/>
        <v>0</v>
      </c>
      <c r="R208" s="161">
        <f t="shared" si="64"/>
        <v>0</v>
      </c>
      <c r="S208" s="161">
        <f t="shared" si="63"/>
        <v>0</v>
      </c>
      <c r="T208" s="161">
        <f t="shared" si="63"/>
        <v>0</v>
      </c>
      <c r="U208" s="161">
        <f t="shared" si="63"/>
        <v>0</v>
      </c>
      <c r="V208" s="161">
        <f t="shared" si="63"/>
        <v>0</v>
      </c>
      <c r="W208" s="161">
        <f t="shared" si="63"/>
        <v>0</v>
      </c>
      <c r="X208" s="161">
        <f t="shared" si="63"/>
        <v>0</v>
      </c>
      <c r="Y208" s="161">
        <f t="shared" si="63"/>
        <v>0</v>
      </c>
      <c r="Z208" s="161">
        <f t="shared" si="63"/>
        <v>0</v>
      </c>
      <c r="AA208" s="161">
        <f t="shared" si="63"/>
        <v>0</v>
      </c>
      <c r="AB208" s="161">
        <f t="shared" si="63"/>
        <v>0</v>
      </c>
      <c r="AC208" s="161">
        <f t="shared" si="63"/>
        <v>0</v>
      </c>
      <c r="AD208" s="161">
        <f t="shared" si="63"/>
        <v>0</v>
      </c>
      <c r="AE208" s="161">
        <f t="shared" si="63"/>
        <v>0</v>
      </c>
      <c r="AF208" s="174">
        <f t="shared" si="6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64"/>
        <v>0</v>
      </c>
      <c r="D209" s="161">
        <f t="shared" si="64"/>
        <v>0</v>
      </c>
      <c r="E209" s="161">
        <f t="shared" si="64"/>
        <v>0</v>
      </c>
      <c r="F209" s="161">
        <f t="shared" si="64"/>
        <v>0</v>
      </c>
      <c r="G209" s="161">
        <f t="shared" si="64"/>
        <v>0</v>
      </c>
      <c r="H209" s="161">
        <f t="shared" si="64"/>
        <v>0</v>
      </c>
      <c r="I209" s="161">
        <f t="shared" si="64"/>
        <v>0</v>
      </c>
      <c r="J209" s="161">
        <f t="shared" si="64"/>
        <v>0</v>
      </c>
      <c r="K209" s="161">
        <f t="shared" si="64"/>
        <v>0</v>
      </c>
      <c r="L209" s="161">
        <f t="shared" si="64"/>
        <v>0</v>
      </c>
      <c r="M209" s="161">
        <f t="shared" si="64"/>
        <v>0</v>
      </c>
      <c r="N209" s="161">
        <f t="shared" si="64"/>
        <v>0</v>
      </c>
      <c r="O209" s="161">
        <f t="shared" si="64"/>
        <v>0</v>
      </c>
      <c r="P209" s="161">
        <f t="shared" si="64"/>
        <v>0</v>
      </c>
      <c r="Q209" s="161">
        <f t="shared" si="64"/>
        <v>0</v>
      </c>
      <c r="R209" s="161">
        <f t="shared" si="64"/>
        <v>0</v>
      </c>
      <c r="S209" s="161">
        <f t="shared" si="63"/>
        <v>0</v>
      </c>
      <c r="T209" s="161">
        <f t="shared" si="63"/>
        <v>0</v>
      </c>
      <c r="U209" s="161">
        <f t="shared" si="63"/>
        <v>0</v>
      </c>
      <c r="V209" s="161">
        <f t="shared" si="63"/>
        <v>0</v>
      </c>
      <c r="W209" s="161">
        <f t="shared" si="63"/>
        <v>0</v>
      </c>
      <c r="X209" s="161">
        <f t="shared" si="63"/>
        <v>0</v>
      </c>
      <c r="Y209" s="161">
        <f t="shared" si="63"/>
        <v>0</v>
      </c>
      <c r="Z209" s="161">
        <f t="shared" si="63"/>
        <v>0</v>
      </c>
      <c r="AA209" s="161">
        <f t="shared" si="63"/>
        <v>0</v>
      </c>
      <c r="AB209" s="161">
        <f t="shared" si="63"/>
        <v>0</v>
      </c>
      <c r="AC209" s="161">
        <f t="shared" si="63"/>
        <v>0</v>
      </c>
      <c r="AD209" s="161">
        <f t="shared" si="63"/>
        <v>0</v>
      </c>
      <c r="AE209" s="161">
        <f t="shared" si="63"/>
        <v>0</v>
      </c>
      <c r="AF209" s="174">
        <f t="shared" si="6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64"/>
        <v>0</v>
      </c>
      <c r="D210" s="161">
        <f t="shared" si="64"/>
        <v>0</v>
      </c>
      <c r="E210" s="161">
        <f t="shared" si="64"/>
        <v>0</v>
      </c>
      <c r="F210" s="161">
        <f t="shared" si="64"/>
        <v>0</v>
      </c>
      <c r="G210" s="161">
        <f t="shared" si="64"/>
        <v>0</v>
      </c>
      <c r="H210" s="161">
        <f t="shared" si="64"/>
        <v>0</v>
      </c>
      <c r="I210" s="161">
        <f t="shared" si="64"/>
        <v>0</v>
      </c>
      <c r="J210" s="161">
        <f t="shared" si="64"/>
        <v>0</v>
      </c>
      <c r="K210" s="161">
        <f t="shared" si="64"/>
        <v>0</v>
      </c>
      <c r="L210" s="161">
        <f t="shared" si="64"/>
        <v>0</v>
      </c>
      <c r="M210" s="161">
        <f t="shared" si="64"/>
        <v>0</v>
      </c>
      <c r="N210" s="161">
        <f t="shared" si="64"/>
        <v>0</v>
      </c>
      <c r="O210" s="161">
        <f t="shared" si="64"/>
        <v>0</v>
      </c>
      <c r="P210" s="161">
        <f t="shared" si="64"/>
        <v>0</v>
      </c>
      <c r="Q210" s="161">
        <f t="shared" si="64"/>
        <v>0</v>
      </c>
      <c r="R210" s="161">
        <f t="shared" si="64"/>
        <v>0</v>
      </c>
      <c r="S210" s="161">
        <f t="shared" si="63"/>
        <v>0</v>
      </c>
      <c r="T210" s="161">
        <f t="shared" si="63"/>
        <v>0</v>
      </c>
      <c r="U210" s="161">
        <f t="shared" si="63"/>
        <v>0</v>
      </c>
      <c r="V210" s="161">
        <f t="shared" si="63"/>
        <v>0</v>
      </c>
      <c r="W210" s="161">
        <f t="shared" si="63"/>
        <v>0</v>
      </c>
      <c r="X210" s="161">
        <f t="shared" si="63"/>
        <v>0</v>
      </c>
      <c r="Y210" s="161">
        <f t="shared" si="63"/>
        <v>0</v>
      </c>
      <c r="Z210" s="161">
        <f t="shared" si="63"/>
        <v>0</v>
      </c>
      <c r="AA210" s="161">
        <f t="shared" si="63"/>
        <v>0</v>
      </c>
      <c r="AB210" s="161">
        <f t="shared" si="63"/>
        <v>0</v>
      </c>
      <c r="AC210" s="161">
        <f t="shared" si="63"/>
        <v>0</v>
      </c>
      <c r="AD210" s="161">
        <f t="shared" si="63"/>
        <v>0</v>
      </c>
      <c r="AE210" s="161">
        <f t="shared" si="63"/>
        <v>0</v>
      </c>
      <c r="AF210" s="174">
        <f t="shared" si="6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64"/>
        <v>0</v>
      </c>
      <c r="D211" s="161">
        <f t="shared" si="64"/>
        <v>0</v>
      </c>
      <c r="E211" s="161">
        <f t="shared" si="64"/>
        <v>0</v>
      </c>
      <c r="F211" s="161">
        <f t="shared" si="64"/>
        <v>0</v>
      </c>
      <c r="G211" s="161">
        <f t="shared" si="64"/>
        <v>0</v>
      </c>
      <c r="H211" s="161">
        <f t="shared" si="64"/>
        <v>0</v>
      </c>
      <c r="I211" s="161">
        <f t="shared" si="64"/>
        <v>0</v>
      </c>
      <c r="J211" s="161">
        <f t="shared" si="64"/>
        <v>0</v>
      </c>
      <c r="K211" s="161">
        <f t="shared" si="64"/>
        <v>0</v>
      </c>
      <c r="L211" s="161">
        <f t="shared" si="64"/>
        <v>0</v>
      </c>
      <c r="M211" s="161">
        <f t="shared" si="64"/>
        <v>0</v>
      </c>
      <c r="N211" s="161">
        <f t="shared" si="64"/>
        <v>0</v>
      </c>
      <c r="O211" s="161">
        <f t="shared" si="64"/>
        <v>0</v>
      </c>
      <c r="P211" s="161">
        <f t="shared" si="64"/>
        <v>0</v>
      </c>
      <c r="Q211" s="161">
        <f t="shared" si="64"/>
        <v>0</v>
      </c>
      <c r="R211" s="161">
        <f t="shared" si="64"/>
        <v>0</v>
      </c>
      <c r="S211" s="161">
        <f t="shared" si="63"/>
        <v>0</v>
      </c>
      <c r="T211" s="161">
        <f t="shared" si="63"/>
        <v>0</v>
      </c>
      <c r="U211" s="161">
        <f t="shared" si="63"/>
        <v>0</v>
      </c>
      <c r="V211" s="161">
        <f t="shared" si="63"/>
        <v>0</v>
      </c>
      <c r="W211" s="161">
        <f t="shared" si="63"/>
        <v>0</v>
      </c>
      <c r="X211" s="161">
        <f t="shared" si="63"/>
        <v>0</v>
      </c>
      <c r="Y211" s="161">
        <f t="shared" si="63"/>
        <v>0</v>
      </c>
      <c r="Z211" s="161">
        <f t="shared" si="63"/>
        <v>0</v>
      </c>
      <c r="AA211" s="161">
        <f t="shared" si="63"/>
        <v>0</v>
      </c>
      <c r="AB211" s="161">
        <f t="shared" si="63"/>
        <v>0</v>
      </c>
      <c r="AC211" s="161">
        <f t="shared" si="63"/>
        <v>0</v>
      </c>
      <c r="AD211" s="161">
        <f t="shared" si="63"/>
        <v>0</v>
      </c>
      <c r="AE211" s="161">
        <f t="shared" si="63"/>
        <v>0</v>
      </c>
      <c r="AF211" s="174">
        <f t="shared" si="6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64"/>
        <v>0</v>
      </c>
      <c r="D212" s="161">
        <f t="shared" si="64"/>
        <v>0</v>
      </c>
      <c r="E212" s="161">
        <f t="shared" si="64"/>
        <v>0</v>
      </c>
      <c r="F212" s="161">
        <f t="shared" si="64"/>
        <v>0</v>
      </c>
      <c r="G212" s="161">
        <f t="shared" si="64"/>
        <v>0</v>
      </c>
      <c r="H212" s="161">
        <f t="shared" si="64"/>
        <v>0</v>
      </c>
      <c r="I212" s="161">
        <f t="shared" si="64"/>
        <v>0</v>
      </c>
      <c r="J212" s="161">
        <f t="shared" si="64"/>
        <v>0</v>
      </c>
      <c r="K212" s="161">
        <f t="shared" si="64"/>
        <v>0</v>
      </c>
      <c r="L212" s="161">
        <f t="shared" si="64"/>
        <v>0</v>
      </c>
      <c r="M212" s="161">
        <f t="shared" si="64"/>
        <v>0</v>
      </c>
      <c r="N212" s="161">
        <f t="shared" si="64"/>
        <v>0</v>
      </c>
      <c r="O212" s="161">
        <f t="shared" si="64"/>
        <v>0</v>
      </c>
      <c r="P212" s="161">
        <f t="shared" si="64"/>
        <v>0</v>
      </c>
      <c r="Q212" s="161">
        <f t="shared" si="64"/>
        <v>0</v>
      </c>
      <c r="R212" s="161">
        <f t="shared" si="64"/>
        <v>0</v>
      </c>
      <c r="S212" s="161">
        <f t="shared" si="63"/>
        <v>0</v>
      </c>
      <c r="T212" s="161">
        <f t="shared" si="63"/>
        <v>0</v>
      </c>
      <c r="U212" s="161">
        <f t="shared" si="63"/>
        <v>0</v>
      </c>
      <c r="V212" s="161">
        <f t="shared" si="63"/>
        <v>0</v>
      </c>
      <c r="W212" s="161">
        <f t="shared" si="63"/>
        <v>0</v>
      </c>
      <c r="X212" s="161">
        <f t="shared" si="63"/>
        <v>0</v>
      </c>
      <c r="Y212" s="161">
        <f t="shared" si="63"/>
        <v>0</v>
      </c>
      <c r="Z212" s="161">
        <f t="shared" si="63"/>
        <v>0</v>
      </c>
      <c r="AA212" s="161">
        <f t="shared" si="63"/>
        <v>0</v>
      </c>
      <c r="AB212" s="161">
        <f t="shared" si="63"/>
        <v>0</v>
      </c>
      <c r="AC212" s="161">
        <f t="shared" si="63"/>
        <v>0</v>
      </c>
      <c r="AD212" s="161">
        <f t="shared" si="63"/>
        <v>0</v>
      </c>
      <c r="AE212" s="161">
        <f t="shared" si="63"/>
        <v>0</v>
      </c>
      <c r="AF212" s="174">
        <f t="shared" si="6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64"/>
        <v>0</v>
      </c>
      <c r="D213" s="161">
        <f t="shared" si="64"/>
        <v>0</v>
      </c>
      <c r="E213" s="161">
        <f t="shared" si="64"/>
        <v>0</v>
      </c>
      <c r="F213" s="161">
        <f t="shared" si="64"/>
        <v>0</v>
      </c>
      <c r="G213" s="161">
        <f t="shared" si="64"/>
        <v>0</v>
      </c>
      <c r="H213" s="161">
        <f t="shared" si="64"/>
        <v>0</v>
      </c>
      <c r="I213" s="161">
        <f t="shared" si="64"/>
        <v>0</v>
      </c>
      <c r="J213" s="161">
        <f t="shared" si="64"/>
        <v>0</v>
      </c>
      <c r="K213" s="161">
        <f t="shared" si="64"/>
        <v>0</v>
      </c>
      <c r="L213" s="161">
        <f t="shared" si="64"/>
        <v>0</v>
      </c>
      <c r="M213" s="161">
        <f t="shared" si="64"/>
        <v>0</v>
      </c>
      <c r="N213" s="161">
        <f t="shared" si="64"/>
        <v>0</v>
      </c>
      <c r="O213" s="161">
        <f t="shared" si="64"/>
        <v>0</v>
      </c>
      <c r="P213" s="161">
        <f t="shared" si="64"/>
        <v>0</v>
      </c>
      <c r="Q213" s="161">
        <f t="shared" si="64"/>
        <v>0</v>
      </c>
      <c r="R213" s="161">
        <f t="shared" si="64"/>
        <v>0</v>
      </c>
      <c r="S213" s="161">
        <f t="shared" si="63"/>
        <v>0</v>
      </c>
      <c r="T213" s="161">
        <f t="shared" si="63"/>
        <v>0</v>
      </c>
      <c r="U213" s="161">
        <f t="shared" si="63"/>
        <v>0</v>
      </c>
      <c r="V213" s="161">
        <f t="shared" si="63"/>
        <v>0</v>
      </c>
      <c r="W213" s="161">
        <f t="shared" si="63"/>
        <v>0</v>
      </c>
      <c r="X213" s="161">
        <f t="shared" si="63"/>
        <v>0</v>
      </c>
      <c r="Y213" s="161">
        <f t="shared" si="63"/>
        <v>0</v>
      </c>
      <c r="Z213" s="161">
        <f t="shared" si="63"/>
        <v>0</v>
      </c>
      <c r="AA213" s="161">
        <f t="shared" si="63"/>
        <v>0</v>
      </c>
      <c r="AB213" s="161">
        <f t="shared" si="63"/>
        <v>0</v>
      </c>
      <c r="AC213" s="161">
        <f t="shared" si="63"/>
        <v>0</v>
      </c>
      <c r="AD213" s="161">
        <f t="shared" si="63"/>
        <v>0</v>
      </c>
      <c r="AE213" s="161">
        <f t="shared" si="63"/>
        <v>0</v>
      </c>
      <c r="AF213" s="174">
        <f t="shared" si="6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64"/>
        <v>0</v>
      </c>
      <c r="D214" s="161">
        <f t="shared" si="64"/>
        <v>0</v>
      </c>
      <c r="E214" s="161">
        <f t="shared" si="64"/>
        <v>0</v>
      </c>
      <c r="F214" s="161">
        <f t="shared" si="64"/>
        <v>0</v>
      </c>
      <c r="G214" s="161">
        <f t="shared" si="64"/>
        <v>0</v>
      </c>
      <c r="H214" s="161">
        <f t="shared" si="64"/>
        <v>0</v>
      </c>
      <c r="I214" s="161">
        <f t="shared" si="64"/>
        <v>0</v>
      </c>
      <c r="J214" s="161">
        <f t="shared" si="64"/>
        <v>0</v>
      </c>
      <c r="K214" s="161">
        <f t="shared" si="64"/>
        <v>0</v>
      </c>
      <c r="L214" s="161">
        <f t="shared" si="64"/>
        <v>0</v>
      </c>
      <c r="M214" s="161">
        <f t="shared" si="64"/>
        <v>0</v>
      </c>
      <c r="N214" s="161">
        <f t="shared" si="64"/>
        <v>0</v>
      </c>
      <c r="O214" s="161">
        <f t="shared" si="64"/>
        <v>0</v>
      </c>
      <c r="P214" s="161">
        <f t="shared" si="64"/>
        <v>0</v>
      </c>
      <c r="Q214" s="161">
        <f t="shared" si="64"/>
        <v>0</v>
      </c>
      <c r="R214" s="161">
        <f t="shared" si="64"/>
        <v>0</v>
      </c>
      <c r="S214" s="161">
        <f t="shared" si="63"/>
        <v>0</v>
      </c>
      <c r="T214" s="161">
        <f t="shared" si="63"/>
        <v>0</v>
      </c>
      <c r="U214" s="161">
        <f t="shared" si="63"/>
        <v>0</v>
      </c>
      <c r="V214" s="161">
        <f t="shared" si="63"/>
        <v>0</v>
      </c>
      <c r="W214" s="161">
        <f t="shared" si="63"/>
        <v>0</v>
      </c>
      <c r="X214" s="161">
        <f t="shared" si="63"/>
        <v>0</v>
      </c>
      <c r="Y214" s="161">
        <f t="shared" si="63"/>
        <v>0</v>
      </c>
      <c r="Z214" s="161">
        <f t="shared" si="63"/>
        <v>0</v>
      </c>
      <c r="AA214" s="161">
        <f t="shared" si="63"/>
        <v>0</v>
      </c>
      <c r="AB214" s="161">
        <f t="shared" si="63"/>
        <v>0</v>
      </c>
      <c r="AC214" s="161">
        <f t="shared" si="63"/>
        <v>0</v>
      </c>
      <c r="AD214" s="161">
        <f t="shared" si="63"/>
        <v>0</v>
      </c>
      <c r="AE214" s="161">
        <f t="shared" si="63"/>
        <v>0</v>
      </c>
      <c r="AF214" s="174">
        <f t="shared" si="6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64"/>
        <v>0</v>
      </c>
      <c r="D215" s="161">
        <f t="shared" si="64"/>
        <v>0</v>
      </c>
      <c r="E215" s="161">
        <f t="shared" si="64"/>
        <v>0</v>
      </c>
      <c r="F215" s="161">
        <f t="shared" si="64"/>
        <v>0</v>
      </c>
      <c r="G215" s="161">
        <f t="shared" si="64"/>
        <v>0</v>
      </c>
      <c r="H215" s="161">
        <f t="shared" si="64"/>
        <v>0</v>
      </c>
      <c r="I215" s="161">
        <f t="shared" si="64"/>
        <v>0</v>
      </c>
      <c r="J215" s="161">
        <f t="shared" si="64"/>
        <v>0</v>
      </c>
      <c r="K215" s="161">
        <f t="shared" si="64"/>
        <v>0</v>
      </c>
      <c r="L215" s="161">
        <f t="shared" si="64"/>
        <v>0</v>
      </c>
      <c r="M215" s="161">
        <f t="shared" si="64"/>
        <v>0</v>
      </c>
      <c r="N215" s="161">
        <f t="shared" si="64"/>
        <v>0</v>
      </c>
      <c r="O215" s="161">
        <f t="shared" si="64"/>
        <v>0</v>
      </c>
      <c r="P215" s="161">
        <f t="shared" si="64"/>
        <v>0</v>
      </c>
      <c r="Q215" s="161">
        <f t="shared" si="64"/>
        <v>0</v>
      </c>
      <c r="R215" s="161">
        <f t="shared" si="64"/>
        <v>0</v>
      </c>
      <c r="S215" s="161">
        <f t="shared" si="63"/>
        <v>0</v>
      </c>
      <c r="T215" s="161">
        <f t="shared" si="63"/>
        <v>0</v>
      </c>
      <c r="U215" s="161">
        <f t="shared" si="63"/>
        <v>0</v>
      </c>
      <c r="V215" s="161">
        <f t="shared" si="63"/>
        <v>0</v>
      </c>
      <c r="W215" s="161">
        <f t="shared" si="63"/>
        <v>0</v>
      </c>
      <c r="X215" s="161">
        <f t="shared" si="63"/>
        <v>0</v>
      </c>
      <c r="Y215" s="161">
        <f t="shared" si="63"/>
        <v>0</v>
      </c>
      <c r="Z215" s="161">
        <f t="shared" si="63"/>
        <v>0</v>
      </c>
      <c r="AA215" s="161">
        <f t="shared" si="63"/>
        <v>0</v>
      </c>
      <c r="AB215" s="161">
        <f t="shared" si="63"/>
        <v>0</v>
      </c>
      <c r="AC215" s="161">
        <f t="shared" si="63"/>
        <v>0</v>
      </c>
      <c r="AD215" s="161">
        <f t="shared" si="63"/>
        <v>0</v>
      </c>
      <c r="AE215" s="161">
        <f t="shared" si="63"/>
        <v>0</v>
      </c>
      <c r="AF215" s="174">
        <f t="shared" si="6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64"/>
        <v>0</v>
      </c>
      <c r="D216" s="161">
        <f t="shared" si="64"/>
        <v>0</v>
      </c>
      <c r="E216" s="161">
        <f t="shared" si="64"/>
        <v>0</v>
      </c>
      <c r="F216" s="161">
        <f t="shared" si="64"/>
        <v>0</v>
      </c>
      <c r="G216" s="161">
        <f t="shared" si="64"/>
        <v>0</v>
      </c>
      <c r="H216" s="161">
        <f t="shared" si="64"/>
        <v>0</v>
      </c>
      <c r="I216" s="161">
        <f t="shared" si="64"/>
        <v>0</v>
      </c>
      <c r="J216" s="161">
        <f t="shared" si="64"/>
        <v>0</v>
      </c>
      <c r="K216" s="161">
        <f t="shared" si="64"/>
        <v>0</v>
      </c>
      <c r="L216" s="161">
        <f t="shared" si="64"/>
        <v>0</v>
      </c>
      <c r="M216" s="161">
        <f t="shared" si="64"/>
        <v>0</v>
      </c>
      <c r="N216" s="161">
        <f t="shared" si="64"/>
        <v>0</v>
      </c>
      <c r="O216" s="161">
        <f t="shared" si="64"/>
        <v>0</v>
      </c>
      <c r="P216" s="161">
        <f t="shared" si="64"/>
        <v>0</v>
      </c>
      <c r="Q216" s="161">
        <f t="shared" si="64"/>
        <v>0</v>
      </c>
      <c r="R216" s="161">
        <f t="shared" ref="R216:AF231" si="65">Q216</f>
        <v>0</v>
      </c>
      <c r="S216" s="161">
        <f t="shared" si="65"/>
        <v>0</v>
      </c>
      <c r="T216" s="161">
        <f t="shared" si="65"/>
        <v>0</v>
      </c>
      <c r="U216" s="161">
        <f t="shared" si="65"/>
        <v>0</v>
      </c>
      <c r="V216" s="161">
        <f t="shared" si="65"/>
        <v>0</v>
      </c>
      <c r="W216" s="161">
        <f t="shared" si="65"/>
        <v>0</v>
      </c>
      <c r="X216" s="161">
        <f t="shared" si="65"/>
        <v>0</v>
      </c>
      <c r="Y216" s="161">
        <f t="shared" si="65"/>
        <v>0</v>
      </c>
      <c r="Z216" s="161">
        <f t="shared" si="65"/>
        <v>0</v>
      </c>
      <c r="AA216" s="161">
        <f t="shared" si="65"/>
        <v>0</v>
      </c>
      <c r="AB216" s="161">
        <f t="shared" si="65"/>
        <v>0</v>
      </c>
      <c r="AC216" s="161">
        <f t="shared" si="65"/>
        <v>0</v>
      </c>
      <c r="AD216" s="161">
        <f t="shared" si="65"/>
        <v>0</v>
      </c>
      <c r="AE216" s="161">
        <f t="shared" si="65"/>
        <v>0</v>
      </c>
      <c r="AF216" s="174">
        <f t="shared" si="6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66">B217</f>
        <v>0</v>
      </c>
      <c r="D217" s="161">
        <f t="shared" si="66"/>
        <v>0</v>
      </c>
      <c r="E217" s="161">
        <f t="shared" si="66"/>
        <v>0</v>
      </c>
      <c r="F217" s="161">
        <f t="shared" si="66"/>
        <v>0</v>
      </c>
      <c r="G217" s="161">
        <f t="shared" si="66"/>
        <v>0</v>
      </c>
      <c r="H217" s="161">
        <f t="shared" si="66"/>
        <v>0</v>
      </c>
      <c r="I217" s="161">
        <f t="shared" si="66"/>
        <v>0</v>
      </c>
      <c r="J217" s="161">
        <f t="shared" si="66"/>
        <v>0</v>
      </c>
      <c r="K217" s="161">
        <f t="shared" si="66"/>
        <v>0</v>
      </c>
      <c r="L217" s="161">
        <f t="shared" si="66"/>
        <v>0</v>
      </c>
      <c r="M217" s="161">
        <f t="shared" si="66"/>
        <v>0</v>
      </c>
      <c r="N217" s="161">
        <f t="shared" si="66"/>
        <v>0</v>
      </c>
      <c r="O217" s="161">
        <f t="shared" si="66"/>
        <v>0</v>
      </c>
      <c r="P217" s="161">
        <f t="shared" si="66"/>
        <v>0</v>
      </c>
      <c r="Q217" s="161">
        <f t="shared" si="66"/>
        <v>0</v>
      </c>
      <c r="R217" s="161">
        <f t="shared" si="66"/>
        <v>0</v>
      </c>
      <c r="S217" s="161">
        <f t="shared" si="65"/>
        <v>0</v>
      </c>
      <c r="T217" s="161">
        <f t="shared" si="65"/>
        <v>0</v>
      </c>
      <c r="U217" s="161">
        <f t="shared" si="65"/>
        <v>0</v>
      </c>
      <c r="V217" s="161">
        <f t="shared" si="65"/>
        <v>0</v>
      </c>
      <c r="W217" s="161">
        <f t="shared" si="65"/>
        <v>0</v>
      </c>
      <c r="X217" s="161">
        <f t="shared" si="65"/>
        <v>0</v>
      </c>
      <c r="Y217" s="161">
        <f t="shared" si="65"/>
        <v>0</v>
      </c>
      <c r="Z217" s="161">
        <f t="shared" si="65"/>
        <v>0</v>
      </c>
      <c r="AA217" s="161">
        <f t="shared" si="65"/>
        <v>0</v>
      </c>
      <c r="AB217" s="161">
        <f t="shared" si="65"/>
        <v>0</v>
      </c>
      <c r="AC217" s="161">
        <f t="shared" si="65"/>
        <v>0</v>
      </c>
      <c r="AD217" s="161">
        <f t="shared" si="65"/>
        <v>0</v>
      </c>
      <c r="AE217" s="161">
        <f t="shared" si="65"/>
        <v>0</v>
      </c>
      <c r="AF217" s="174">
        <f t="shared" si="6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66"/>
        <v>0</v>
      </c>
      <c r="D218" s="161">
        <f t="shared" si="66"/>
        <v>0</v>
      </c>
      <c r="E218" s="161">
        <f t="shared" si="66"/>
        <v>0</v>
      </c>
      <c r="F218" s="161">
        <f t="shared" si="66"/>
        <v>0</v>
      </c>
      <c r="G218" s="161">
        <f t="shared" si="66"/>
        <v>0</v>
      </c>
      <c r="H218" s="161">
        <f t="shared" si="66"/>
        <v>0</v>
      </c>
      <c r="I218" s="161">
        <f t="shared" si="66"/>
        <v>0</v>
      </c>
      <c r="J218" s="161">
        <f t="shared" si="66"/>
        <v>0</v>
      </c>
      <c r="K218" s="161">
        <f t="shared" si="66"/>
        <v>0</v>
      </c>
      <c r="L218" s="161">
        <f t="shared" si="66"/>
        <v>0</v>
      </c>
      <c r="M218" s="161">
        <f t="shared" si="66"/>
        <v>0</v>
      </c>
      <c r="N218" s="161">
        <f t="shared" si="66"/>
        <v>0</v>
      </c>
      <c r="O218" s="161">
        <f t="shared" si="66"/>
        <v>0</v>
      </c>
      <c r="P218" s="161">
        <f t="shared" si="66"/>
        <v>0</v>
      </c>
      <c r="Q218" s="161">
        <f t="shared" si="66"/>
        <v>0</v>
      </c>
      <c r="R218" s="161">
        <f t="shared" si="66"/>
        <v>0</v>
      </c>
      <c r="S218" s="161">
        <f t="shared" si="65"/>
        <v>0</v>
      </c>
      <c r="T218" s="161">
        <f t="shared" si="65"/>
        <v>0</v>
      </c>
      <c r="U218" s="161">
        <f t="shared" si="65"/>
        <v>0</v>
      </c>
      <c r="V218" s="161">
        <f t="shared" si="65"/>
        <v>0</v>
      </c>
      <c r="W218" s="161">
        <f t="shared" si="65"/>
        <v>0</v>
      </c>
      <c r="X218" s="161">
        <f t="shared" si="65"/>
        <v>0</v>
      </c>
      <c r="Y218" s="161">
        <f t="shared" si="65"/>
        <v>0</v>
      </c>
      <c r="Z218" s="161">
        <f t="shared" si="65"/>
        <v>0</v>
      </c>
      <c r="AA218" s="161">
        <f t="shared" si="65"/>
        <v>0</v>
      </c>
      <c r="AB218" s="161">
        <f t="shared" si="65"/>
        <v>0</v>
      </c>
      <c r="AC218" s="161">
        <f t="shared" si="65"/>
        <v>0</v>
      </c>
      <c r="AD218" s="161">
        <f t="shared" si="65"/>
        <v>0</v>
      </c>
      <c r="AE218" s="161">
        <f t="shared" si="65"/>
        <v>0</v>
      </c>
      <c r="AF218" s="174">
        <f t="shared" si="6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66"/>
        <v>0</v>
      </c>
      <c r="D219" s="161">
        <f t="shared" si="66"/>
        <v>0</v>
      </c>
      <c r="E219" s="161">
        <f t="shared" si="66"/>
        <v>0</v>
      </c>
      <c r="F219" s="161">
        <f t="shared" si="66"/>
        <v>0</v>
      </c>
      <c r="G219" s="161">
        <f t="shared" si="66"/>
        <v>0</v>
      </c>
      <c r="H219" s="161">
        <f t="shared" si="66"/>
        <v>0</v>
      </c>
      <c r="I219" s="161">
        <f t="shared" si="66"/>
        <v>0</v>
      </c>
      <c r="J219" s="161">
        <f t="shared" si="66"/>
        <v>0</v>
      </c>
      <c r="K219" s="161">
        <f t="shared" si="66"/>
        <v>0</v>
      </c>
      <c r="L219" s="161">
        <f t="shared" si="66"/>
        <v>0</v>
      </c>
      <c r="M219" s="161">
        <f t="shared" si="66"/>
        <v>0</v>
      </c>
      <c r="N219" s="161">
        <f t="shared" si="66"/>
        <v>0</v>
      </c>
      <c r="O219" s="161">
        <f t="shared" si="66"/>
        <v>0</v>
      </c>
      <c r="P219" s="161">
        <f t="shared" si="66"/>
        <v>0</v>
      </c>
      <c r="Q219" s="161">
        <f t="shared" si="66"/>
        <v>0</v>
      </c>
      <c r="R219" s="161">
        <f t="shared" si="66"/>
        <v>0</v>
      </c>
      <c r="S219" s="161">
        <f t="shared" si="65"/>
        <v>0</v>
      </c>
      <c r="T219" s="161">
        <f t="shared" si="65"/>
        <v>0</v>
      </c>
      <c r="U219" s="161">
        <f t="shared" si="65"/>
        <v>0</v>
      </c>
      <c r="V219" s="161">
        <f t="shared" si="65"/>
        <v>0</v>
      </c>
      <c r="W219" s="161">
        <f t="shared" si="65"/>
        <v>0</v>
      </c>
      <c r="X219" s="161">
        <f t="shared" si="65"/>
        <v>0</v>
      </c>
      <c r="Y219" s="161">
        <f t="shared" si="65"/>
        <v>0</v>
      </c>
      <c r="Z219" s="161">
        <f t="shared" si="65"/>
        <v>0</v>
      </c>
      <c r="AA219" s="161">
        <f t="shared" si="65"/>
        <v>0</v>
      </c>
      <c r="AB219" s="161">
        <f t="shared" si="65"/>
        <v>0</v>
      </c>
      <c r="AC219" s="161">
        <f t="shared" si="65"/>
        <v>0</v>
      </c>
      <c r="AD219" s="161">
        <f t="shared" si="65"/>
        <v>0</v>
      </c>
      <c r="AE219" s="161">
        <f t="shared" si="65"/>
        <v>0</v>
      </c>
      <c r="AF219" s="174">
        <f t="shared" si="6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66"/>
        <v>0</v>
      </c>
      <c r="D220" s="161">
        <f t="shared" si="66"/>
        <v>0</v>
      </c>
      <c r="E220" s="161">
        <f t="shared" si="66"/>
        <v>0</v>
      </c>
      <c r="F220" s="161">
        <f t="shared" si="66"/>
        <v>0</v>
      </c>
      <c r="G220" s="161">
        <f t="shared" si="66"/>
        <v>0</v>
      </c>
      <c r="H220" s="161">
        <f t="shared" si="66"/>
        <v>0</v>
      </c>
      <c r="I220" s="161">
        <f t="shared" si="66"/>
        <v>0</v>
      </c>
      <c r="J220" s="161">
        <f t="shared" si="66"/>
        <v>0</v>
      </c>
      <c r="K220" s="161">
        <f t="shared" si="66"/>
        <v>0</v>
      </c>
      <c r="L220" s="161">
        <f t="shared" si="66"/>
        <v>0</v>
      </c>
      <c r="M220" s="161">
        <f t="shared" si="66"/>
        <v>0</v>
      </c>
      <c r="N220" s="161">
        <f t="shared" si="66"/>
        <v>0</v>
      </c>
      <c r="O220" s="161">
        <f t="shared" si="66"/>
        <v>0</v>
      </c>
      <c r="P220" s="161">
        <f t="shared" si="66"/>
        <v>0</v>
      </c>
      <c r="Q220" s="161">
        <f t="shared" si="66"/>
        <v>0</v>
      </c>
      <c r="R220" s="161">
        <f t="shared" si="66"/>
        <v>0</v>
      </c>
      <c r="S220" s="161">
        <f t="shared" si="65"/>
        <v>0</v>
      </c>
      <c r="T220" s="161">
        <f t="shared" si="65"/>
        <v>0</v>
      </c>
      <c r="U220" s="161">
        <f t="shared" si="65"/>
        <v>0</v>
      </c>
      <c r="V220" s="161">
        <f t="shared" si="65"/>
        <v>0</v>
      </c>
      <c r="W220" s="161">
        <f t="shared" si="65"/>
        <v>0</v>
      </c>
      <c r="X220" s="161">
        <f t="shared" si="65"/>
        <v>0</v>
      </c>
      <c r="Y220" s="161">
        <f t="shared" si="65"/>
        <v>0</v>
      </c>
      <c r="Z220" s="161">
        <f t="shared" si="65"/>
        <v>0</v>
      </c>
      <c r="AA220" s="161">
        <f t="shared" si="65"/>
        <v>0</v>
      </c>
      <c r="AB220" s="161">
        <f t="shared" si="65"/>
        <v>0</v>
      </c>
      <c r="AC220" s="161">
        <f t="shared" si="65"/>
        <v>0</v>
      </c>
      <c r="AD220" s="161">
        <f t="shared" si="65"/>
        <v>0</v>
      </c>
      <c r="AE220" s="161">
        <f t="shared" si="65"/>
        <v>0</v>
      </c>
      <c r="AF220" s="174">
        <f t="shared" si="6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66"/>
        <v>0</v>
      </c>
      <c r="D221" s="161">
        <f t="shared" si="66"/>
        <v>0</v>
      </c>
      <c r="E221" s="161">
        <f t="shared" si="66"/>
        <v>0</v>
      </c>
      <c r="F221" s="161">
        <f t="shared" si="66"/>
        <v>0</v>
      </c>
      <c r="G221" s="161">
        <f t="shared" si="66"/>
        <v>0</v>
      </c>
      <c r="H221" s="161">
        <f t="shared" si="66"/>
        <v>0</v>
      </c>
      <c r="I221" s="161">
        <f t="shared" si="66"/>
        <v>0</v>
      </c>
      <c r="J221" s="161">
        <f t="shared" si="66"/>
        <v>0</v>
      </c>
      <c r="K221" s="161">
        <f t="shared" si="66"/>
        <v>0</v>
      </c>
      <c r="L221" s="161">
        <f t="shared" si="66"/>
        <v>0</v>
      </c>
      <c r="M221" s="161">
        <f t="shared" si="66"/>
        <v>0</v>
      </c>
      <c r="N221" s="161">
        <f t="shared" si="66"/>
        <v>0</v>
      </c>
      <c r="O221" s="161">
        <f t="shared" si="66"/>
        <v>0</v>
      </c>
      <c r="P221" s="161">
        <f t="shared" si="66"/>
        <v>0</v>
      </c>
      <c r="Q221" s="161">
        <f t="shared" si="66"/>
        <v>0</v>
      </c>
      <c r="R221" s="161">
        <f t="shared" si="66"/>
        <v>0</v>
      </c>
      <c r="S221" s="161">
        <f t="shared" si="65"/>
        <v>0</v>
      </c>
      <c r="T221" s="161">
        <f t="shared" si="65"/>
        <v>0</v>
      </c>
      <c r="U221" s="161">
        <f t="shared" si="65"/>
        <v>0</v>
      </c>
      <c r="V221" s="161">
        <f t="shared" si="65"/>
        <v>0</v>
      </c>
      <c r="W221" s="161">
        <f t="shared" si="65"/>
        <v>0</v>
      </c>
      <c r="X221" s="161">
        <f t="shared" si="65"/>
        <v>0</v>
      </c>
      <c r="Y221" s="161">
        <f t="shared" si="65"/>
        <v>0</v>
      </c>
      <c r="Z221" s="161">
        <f t="shared" si="65"/>
        <v>0</v>
      </c>
      <c r="AA221" s="161">
        <f t="shared" si="65"/>
        <v>0</v>
      </c>
      <c r="AB221" s="161">
        <f t="shared" si="65"/>
        <v>0</v>
      </c>
      <c r="AC221" s="161">
        <f t="shared" si="65"/>
        <v>0</v>
      </c>
      <c r="AD221" s="161">
        <f t="shared" si="65"/>
        <v>0</v>
      </c>
      <c r="AE221" s="161">
        <f t="shared" si="65"/>
        <v>0</v>
      </c>
      <c r="AF221" s="174">
        <f t="shared" si="6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66"/>
        <v>0</v>
      </c>
      <c r="D222" s="161">
        <f t="shared" si="66"/>
        <v>0</v>
      </c>
      <c r="E222" s="161">
        <f t="shared" si="66"/>
        <v>0</v>
      </c>
      <c r="F222" s="161">
        <f t="shared" si="66"/>
        <v>0</v>
      </c>
      <c r="G222" s="161">
        <f t="shared" si="66"/>
        <v>0</v>
      </c>
      <c r="H222" s="161">
        <f t="shared" si="66"/>
        <v>0</v>
      </c>
      <c r="I222" s="161">
        <f t="shared" si="66"/>
        <v>0</v>
      </c>
      <c r="J222" s="161">
        <f t="shared" si="66"/>
        <v>0</v>
      </c>
      <c r="K222" s="161">
        <f t="shared" si="66"/>
        <v>0</v>
      </c>
      <c r="L222" s="161">
        <f t="shared" si="66"/>
        <v>0</v>
      </c>
      <c r="M222" s="161">
        <f t="shared" si="66"/>
        <v>0</v>
      </c>
      <c r="N222" s="161">
        <f t="shared" si="66"/>
        <v>0</v>
      </c>
      <c r="O222" s="161">
        <f t="shared" si="66"/>
        <v>0</v>
      </c>
      <c r="P222" s="161">
        <f t="shared" si="66"/>
        <v>0</v>
      </c>
      <c r="Q222" s="161">
        <f t="shared" si="66"/>
        <v>0</v>
      </c>
      <c r="R222" s="161">
        <f t="shared" si="66"/>
        <v>0</v>
      </c>
      <c r="S222" s="161">
        <f t="shared" si="65"/>
        <v>0</v>
      </c>
      <c r="T222" s="161">
        <f t="shared" si="65"/>
        <v>0</v>
      </c>
      <c r="U222" s="161">
        <f t="shared" si="65"/>
        <v>0</v>
      </c>
      <c r="V222" s="161">
        <f t="shared" si="65"/>
        <v>0</v>
      </c>
      <c r="W222" s="161">
        <f t="shared" si="65"/>
        <v>0</v>
      </c>
      <c r="X222" s="161">
        <f t="shared" si="65"/>
        <v>0</v>
      </c>
      <c r="Y222" s="161">
        <f t="shared" si="65"/>
        <v>0</v>
      </c>
      <c r="Z222" s="161">
        <f t="shared" si="65"/>
        <v>0</v>
      </c>
      <c r="AA222" s="161">
        <f t="shared" si="65"/>
        <v>0</v>
      </c>
      <c r="AB222" s="161">
        <f t="shared" si="65"/>
        <v>0</v>
      </c>
      <c r="AC222" s="161">
        <f t="shared" si="65"/>
        <v>0</v>
      </c>
      <c r="AD222" s="161">
        <f t="shared" si="65"/>
        <v>0</v>
      </c>
      <c r="AE222" s="161">
        <f t="shared" si="65"/>
        <v>0</v>
      </c>
      <c r="AF222" s="174">
        <f t="shared" si="6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66"/>
        <v>0</v>
      </c>
      <c r="D223" s="161">
        <f t="shared" si="66"/>
        <v>0</v>
      </c>
      <c r="E223" s="161">
        <f t="shared" si="66"/>
        <v>0</v>
      </c>
      <c r="F223" s="161">
        <f t="shared" si="66"/>
        <v>0</v>
      </c>
      <c r="G223" s="161">
        <f t="shared" si="66"/>
        <v>0</v>
      </c>
      <c r="H223" s="161">
        <f t="shared" si="66"/>
        <v>0</v>
      </c>
      <c r="I223" s="161">
        <f t="shared" si="66"/>
        <v>0</v>
      </c>
      <c r="J223" s="161">
        <f t="shared" si="66"/>
        <v>0</v>
      </c>
      <c r="K223" s="161">
        <f t="shared" si="66"/>
        <v>0</v>
      </c>
      <c r="L223" s="161">
        <f t="shared" si="66"/>
        <v>0</v>
      </c>
      <c r="M223" s="161">
        <f t="shared" si="66"/>
        <v>0</v>
      </c>
      <c r="N223" s="161">
        <f t="shared" si="66"/>
        <v>0</v>
      </c>
      <c r="O223" s="161">
        <f t="shared" si="66"/>
        <v>0</v>
      </c>
      <c r="P223" s="161">
        <f t="shared" si="66"/>
        <v>0</v>
      </c>
      <c r="Q223" s="161">
        <f t="shared" si="66"/>
        <v>0</v>
      </c>
      <c r="R223" s="161">
        <f t="shared" si="66"/>
        <v>0</v>
      </c>
      <c r="S223" s="161">
        <f t="shared" si="65"/>
        <v>0</v>
      </c>
      <c r="T223" s="161">
        <f t="shared" si="65"/>
        <v>0</v>
      </c>
      <c r="U223" s="161">
        <f t="shared" si="65"/>
        <v>0</v>
      </c>
      <c r="V223" s="161">
        <f t="shared" si="65"/>
        <v>0</v>
      </c>
      <c r="W223" s="161">
        <f t="shared" si="65"/>
        <v>0</v>
      </c>
      <c r="X223" s="161">
        <f t="shared" si="65"/>
        <v>0</v>
      </c>
      <c r="Y223" s="161">
        <f t="shared" si="65"/>
        <v>0</v>
      </c>
      <c r="Z223" s="161">
        <f t="shared" si="65"/>
        <v>0</v>
      </c>
      <c r="AA223" s="161">
        <f t="shared" si="65"/>
        <v>0</v>
      </c>
      <c r="AB223" s="161">
        <f t="shared" si="65"/>
        <v>0</v>
      </c>
      <c r="AC223" s="161">
        <f t="shared" si="65"/>
        <v>0</v>
      </c>
      <c r="AD223" s="161">
        <f t="shared" si="65"/>
        <v>0</v>
      </c>
      <c r="AE223" s="161">
        <f t="shared" si="65"/>
        <v>0</v>
      </c>
      <c r="AF223" s="174">
        <f t="shared" si="6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66"/>
        <v>0</v>
      </c>
      <c r="D224" s="161">
        <f t="shared" si="66"/>
        <v>0</v>
      </c>
      <c r="E224" s="161">
        <f t="shared" si="66"/>
        <v>0</v>
      </c>
      <c r="F224" s="161">
        <f t="shared" si="66"/>
        <v>0</v>
      </c>
      <c r="G224" s="161">
        <f t="shared" si="66"/>
        <v>0</v>
      </c>
      <c r="H224" s="161">
        <f t="shared" si="66"/>
        <v>0</v>
      </c>
      <c r="I224" s="161">
        <f t="shared" si="66"/>
        <v>0</v>
      </c>
      <c r="J224" s="161">
        <f t="shared" si="66"/>
        <v>0</v>
      </c>
      <c r="K224" s="161">
        <f t="shared" si="66"/>
        <v>0</v>
      </c>
      <c r="L224" s="161">
        <f t="shared" si="66"/>
        <v>0</v>
      </c>
      <c r="M224" s="161">
        <f t="shared" si="66"/>
        <v>0</v>
      </c>
      <c r="N224" s="161">
        <f t="shared" si="66"/>
        <v>0</v>
      </c>
      <c r="O224" s="161">
        <f t="shared" si="66"/>
        <v>0</v>
      </c>
      <c r="P224" s="161">
        <f t="shared" si="66"/>
        <v>0</v>
      </c>
      <c r="Q224" s="161">
        <f t="shared" si="66"/>
        <v>0</v>
      </c>
      <c r="R224" s="161">
        <f t="shared" si="66"/>
        <v>0</v>
      </c>
      <c r="S224" s="161">
        <f t="shared" si="65"/>
        <v>0</v>
      </c>
      <c r="T224" s="161">
        <f t="shared" si="65"/>
        <v>0</v>
      </c>
      <c r="U224" s="161">
        <f t="shared" si="65"/>
        <v>0</v>
      </c>
      <c r="V224" s="161">
        <f t="shared" si="65"/>
        <v>0</v>
      </c>
      <c r="W224" s="161">
        <f t="shared" si="65"/>
        <v>0</v>
      </c>
      <c r="X224" s="161">
        <f t="shared" si="65"/>
        <v>0</v>
      </c>
      <c r="Y224" s="161">
        <f t="shared" si="65"/>
        <v>0</v>
      </c>
      <c r="Z224" s="161">
        <f t="shared" si="65"/>
        <v>0</v>
      </c>
      <c r="AA224" s="161">
        <f t="shared" si="65"/>
        <v>0</v>
      </c>
      <c r="AB224" s="161">
        <f t="shared" si="65"/>
        <v>0</v>
      </c>
      <c r="AC224" s="161">
        <f t="shared" si="65"/>
        <v>0</v>
      </c>
      <c r="AD224" s="161">
        <f t="shared" si="65"/>
        <v>0</v>
      </c>
      <c r="AE224" s="161">
        <f t="shared" si="65"/>
        <v>0</v>
      </c>
      <c r="AF224" s="174">
        <f t="shared" si="6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66"/>
        <v>0</v>
      </c>
      <c r="D225" s="161">
        <f t="shared" si="66"/>
        <v>0</v>
      </c>
      <c r="E225" s="161">
        <f t="shared" si="66"/>
        <v>0</v>
      </c>
      <c r="F225" s="161">
        <f t="shared" si="66"/>
        <v>0</v>
      </c>
      <c r="G225" s="161">
        <f t="shared" si="66"/>
        <v>0</v>
      </c>
      <c r="H225" s="161">
        <f t="shared" si="66"/>
        <v>0</v>
      </c>
      <c r="I225" s="161">
        <f t="shared" si="66"/>
        <v>0</v>
      </c>
      <c r="J225" s="161">
        <f t="shared" si="66"/>
        <v>0</v>
      </c>
      <c r="K225" s="161">
        <f t="shared" si="66"/>
        <v>0</v>
      </c>
      <c r="L225" s="161">
        <f t="shared" si="66"/>
        <v>0</v>
      </c>
      <c r="M225" s="161">
        <f t="shared" si="66"/>
        <v>0</v>
      </c>
      <c r="N225" s="161">
        <f t="shared" si="66"/>
        <v>0</v>
      </c>
      <c r="O225" s="161">
        <f t="shared" si="66"/>
        <v>0</v>
      </c>
      <c r="P225" s="161">
        <f t="shared" si="66"/>
        <v>0</v>
      </c>
      <c r="Q225" s="161">
        <f t="shared" si="66"/>
        <v>0</v>
      </c>
      <c r="R225" s="161">
        <f t="shared" si="66"/>
        <v>0</v>
      </c>
      <c r="S225" s="161">
        <f t="shared" si="65"/>
        <v>0</v>
      </c>
      <c r="T225" s="161">
        <f t="shared" si="65"/>
        <v>0</v>
      </c>
      <c r="U225" s="161">
        <f t="shared" si="65"/>
        <v>0</v>
      </c>
      <c r="V225" s="161">
        <f t="shared" si="65"/>
        <v>0</v>
      </c>
      <c r="W225" s="161">
        <f t="shared" si="65"/>
        <v>0</v>
      </c>
      <c r="X225" s="161">
        <f t="shared" si="65"/>
        <v>0</v>
      </c>
      <c r="Y225" s="161">
        <f t="shared" si="65"/>
        <v>0</v>
      </c>
      <c r="Z225" s="161">
        <f t="shared" si="65"/>
        <v>0</v>
      </c>
      <c r="AA225" s="161">
        <f t="shared" si="65"/>
        <v>0</v>
      </c>
      <c r="AB225" s="161">
        <f t="shared" si="65"/>
        <v>0</v>
      </c>
      <c r="AC225" s="161">
        <f t="shared" si="65"/>
        <v>0</v>
      </c>
      <c r="AD225" s="161">
        <f t="shared" si="65"/>
        <v>0</v>
      </c>
      <c r="AE225" s="161">
        <f t="shared" si="65"/>
        <v>0</v>
      </c>
      <c r="AF225" s="174">
        <f t="shared" si="6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66"/>
        <v>0</v>
      </c>
      <c r="D226" s="161">
        <f t="shared" si="66"/>
        <v>0</v>
      </c>
      <c r="E226" s="161">
        <f t="shared" si="66"/>
        <v>0</v>
      </c>
      <c r="F226" s="161">
        <f t="shared" si="66"/>
        <v>0</v>
      </c>
      <c r="G226" s="161">
        <f t="shared" si="66"/>
        <v>0</v>
      </c>
      <c r="H226" s="161">
        <f t="shared" si="66"/>
        <v>0</v>
      </c>
      <c r="I226" s="161">
        <f t="shared" si="66"/>
        <v>0</v>
      </c>
      <c r="J226" s="161">
        <f t="shared" si="66"/>
        <v>0</v>
      </c>
      <c r="K226" s="161">
        <f t="shared" si="66"/>
        <v>0</v>
      </c>
      <c r="L226" s="161">
        <f t="shared" si="66"/>
        <v>0</v>
      </c>
      <c r="M226" s="161">
        <f t="shared" si="66"/>
        <v>0</v>
      </c>
      <c r="N226" s="161">
        <f t="shared" si="66"/>
        <v>0</v>
      </c>
      <c r="O226" s="161">
        <f t="shared" si="66"/>
        <v>0</v>
      </c>
      <c r="P226" s="161">
        <f t="shared" si="66"/>
        <v>0</v>
      </c>
      <c r="Q226" s="161">
        <f t="shared" si="66"/>
        <v>0</v>
      </c>
      <c r="R226" s="161">
        <f t="shared" si="66"/>
        <v>0</v>
      </c>
      <c r="S226" s="161">
        <f t="shared" si="65"/>
        <v>0</v>
      </c>
      <c r="T226" s="161">
        <f t="shared" si="65"/>
        <v>0</v>
      </c>
      <c r="U226" s="161">
        <f t="shared" si="65"/>
        <v>0</v>
      </c>
      <c r="V226" s="161">
        <f t="shared" si="65"/>
        <v>0</v>
      </c>
      <c r="W226" s="161">
        <f t="shared" si="65"/>
        <v>0</v>
      </c>
      <c r="X226" s="161">
        <f t="shared" si="65"/>
        <v>0</v>
      </c>
      <c r="Y226" s="161">
        <f t="shared" si="65"/>
        <v>0</v>
      </c>
      <c r="Z226" s="161">
        <f t="shared" si="65"/>
        <v>0</v>
      </c>
      <c r="AA226" s="161">
        <f t="shared" si="65"/>
        <v>0</v>
      </c>
      <c r="AB226" s="161">
        <f t="shared" si="65"/>
        <v>0</v>
      </c>
      <c r="AC226" s="161">
        <f t="shared" si="65"/>
        <v>0</v>
      </c>
      <c r="AD226" s="161">
        <f t="shared" si="65"/>
        <v>0</v>
      </c>
      <c r="AE226" s="161">
        <f t="shared" si="65"/>
        <v>0</v>
      </c>
      <c r="AF226" s="174">
        <f t="shared" si="6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66"/>
        <v>0</v>
      </c>
      <c r="D227" s="161">
        <f t="shared" si="66"/>
        <v>0</v>
      </c>
      <c r="E227" s="161">
        <f t="shared" si="66"/>
        <v>0</v>
      </c>
      <c r="F227" s="161">
        <f t="shared" si="66"/>
        <v>0</v>
      </c>
      <c r="G227" s="161">
        <f t="shared" si="66"/>
        <v>0</v>
      </c>
      <c r="H227" s="161">
        <f t="shared" si="66"/>
        <v>0</v>
      </c>
      <c r="I227" s="161">
        <f t="shared" si="66"/>
        <v>0</v>
      </c>
      <c r="J227" s="161">
        <f t="shared" si="66"/>
        <v>0</v>
      </c>
      <c r="K227" s="161">
        <f t="shared" si="66"/>
        <v>0</v>
      </c>
      <c r="L227" s="161">
        <f t="shared" si="66"/>
        <v>0</v>
      </c>
      <c r="M227" s="161">
        <f t="shared" si="66"/>
        <v>0</v>
      </c>
      <c r="N227" s="161">
        <f t="shared" si="66"/>
        <v>0</v>
      </c>
      <c r="O227" s="161">
        <f t="shared" si="66"/>
        <v>0</v>
      </c>
      <c r="P227" s="161">
        <f t="shared" si="66"/>
        <v>0</v>
      </c>
      <c r="Q227" s="161">
        <f t="shared" si="66"/>
        <v>0</v>
      </c>
      <c r="R227" s="161">
        <f t="shared" si="66"/>
        <v>0</v>
      </c>
      <c r="S227" s="161">
        <f t="shared" si="65"/>
        <v>0</v>
      </c>
      <c r="T227" s="161">
        <f t="shared" si="65"/>
        <v>0</v>
      </c>
      <c r="U227" s="161">
        <f t="shared" si="65"/>
        <v>0</v>
      </c>
      <c r="V227" s="161">
        <f t="shared" si="65"/>
        <v>0</v>
      </c>
      <c r="W227" s="161">
        <f t="shared" si="65"/>
        <v>0</v>
      </c>
      <c r="X227" s="161">
        <f t="shared" si="65"/>
        <v>0</v>
      </c>
      <c r="Y227" s="161">
        <f t="shared" si="65"/>
        <v>0</v>
      </c>
      <c r="Z227" s="161">
        <f t="shared" si="65"/>
        <v>0</v>
      </c>
      <c r="AA227" s="161">
        <f t="shared" si="65"/>
        <v>0</v>
      </c>
      <c r="AB227" s="161">
        <f t="shared" si="65"/>
        <v>0</v>
      </c>
      <c r="AC227" s="161">
        <f t="shared" si="65"/>
        <v>0</v>
      </c>
      <c r="AD227" s="161">
        <f t="shared" si="65"/>
        <v>0</v>
      </c>
      <c r="AE227" s="161">
        <f t="shared" si="65"/>
        <v>0</v>
      </c>
      <c r="AF227" s="174">
        <f t="shared" si="6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66"/>
        <v>0</v>
      </c>
      <c r="D228" s="161">
        <f t="shared" si="66"/>
        <v>0</v>
      </c>
      <c r="E228" s="161">
        <f t="shared" si="66"/>
        <v>0</v>
      </c>
      <c r="F228" s="161">
        <f t="shared" si="66"/>
        <v>0</v>
      </c>
      <c r="G228" s="161">
        <f t="shared" si="66"/>
        <v>0</v>
      </c>
      <c r="H228" s="161">
        <f t="shared" si="66"/>
        <v>0</v>
      </c>
      <c r="I228" s="161">
        <f t="shared" si="66"/>
        <v>0</v>
      </c>
      <c r="J228" s="161">
        <f t="shared" si="66"/>
        <v>0</v>
      </c>
      <c r="K228" s="161">
        <f t="shared" si="66"/>
        <v>0</v>
      </c>
      <c r="L228" s="161">
        <f t="shared" si="66"/>
        <v>0</v>
      </c>
      <c r="M228" s="161">
        <f t="shared" si="66"/>
        <v>0</v>
      </c>
      <c r="N228" s="161">
        <f t="shared" si="66"/>
        <v>0</v>
      </c>
      <c r="O228" s="161">
        <f t="shared" si="66"/>
        <v>0</v>
      </c>
      <c r="P228" s="161">
        <f t="shared" si="66"/>
        <v>0</v>
      </c>
      <c r="Q228" s="161">
        <f t="shared" si="66"/>
        <v>0</v>
      </c>
      <c r="R228" s="161">
        <f t="shared" si="66"/>
        <v>0</v>
      </c>
      <c r="S228" s="161">
        <f t="shared" si="65"/>
        <v>0</v>
      </c>
      <c r="T228" s="161">
        <f t="shared" si="65"/>
        <v>0</v>
      </c>
      <c r="U228" s="161">
        <f t="shared" si="65"/>
        <v>0</v>
      </c>
      <c r="V228" s="161">
        <f t="shared" si="65"/>
        <v>0</v>
      </c>
      <c r="W228" s="161">
        <f t="shared" si="65"/>
        <v>0</v>
      </c>
      <c r="X228" s="161">
        <f t="shared" si="65"/>
        <v>0</v>
      </c>
      <c r="Y228" s="161">
        <f t="shared" si="65"/>
        <v>0</v>
      </c>
      <c r="Z228" s="161">
        <f t="shared" si="65"/>
        <v>0</v>
      </c>
      <c r="AA228" s="161">
        <f t="shared" si="65"/>
        <v>0</v>
      </c>
      <c r="AB228" s="161">
        <f t="shared" si="65"/>
        <v>0</v>
      </c>
      <c r="AC228" s="161">
        <f t="shared" si="65"/>
        <v>0</v>
      </c>
      <c r="AD228" s="161">
        <f t="shared" si="65"/>
        <v>0</v>
      </c>
      <c r="AE228" s="161">
        <f t="shared" si="65"/>
        <v>0</v>
      </c>
      <c r="AF228" s="174">
        <f t="shared" si="6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66"/>
        <v>0</v>
      </c>
      <c r="D229" s="161">
        <f t="shared" si="66"/>
        <v>0</v>
      </c>
      <c r="E229" s="161">
        <f t="shared" si="66"/>
        <v>0</v>
      </c>
      <c r="F229" s="161">
        <f t="shared" si="66"/>
        <v>0</v>
      </c>
      <c r="G229" s="161">
        <f t="shared" si="66"/>
        <v>0</v>
      </c>
      <c r="H229" s="161">
        <f t="shared" si="66"/>
        <v>0</v>
      </c>
      <c r="I229" s="161">
        <f t="shared" si="66"/>
        <v>0</v>
      </c>
      <c r="J229" s="161">
        <f t="shared" si="66"/>
        <v>0</v>
      </c>
      <c r="K229" s="161">
        <f t="shared" si="66"/>
        <v>0</v>
      </c>
      <c r="L229" s="161">
        <f t="shared" si="66"/>
        <v>0</v>
      </c>
      <c r="M229" s="161">
        <f t="shared" si="66"/>
        <v>0</v>
      </c>
      <c r="N229" s="161">
        <f t="shared" si="66"/>
        <v>0</v>
      </c>
      <c r="O229" s="161">
        <f t="shared" si="66"/>
        <v>0</v>
      </c>
      <c r="P229" s="161">
        <f t="shared" si="66"/>
        <v>0</v>
      </c>
      <c r="Q229" s="161">
        <f t="shared" si="66"/>
        <v>0</v>
      </c>
      <c r="R229" s="161">
        <f t="shared" si="66"/>
        <v>0</v>
      </c>
      <c r="S229" s="161">
        <f t="shared" si="65"/>
        <v>0</v>
      </c>
      <c r="T229" s="161">
        <f t="shared" si="65"/>
        <v>0</v>
      </c>
      <c r="U229" s="161">
        <f t="shared" si="65"/>
        <v>0</v>
      </c>
      <c r="V229" s="161">
        <f t="shared" si="65"/>
        <v>0</v>
      </c>
      <c r="W229" s="161">
        <f t="shared" si="65"/>
        <v>0</v>
      </c>
      <c r="X229" s="161">
        <f t="shared" si="65"/>
        <v>0</v>
      </c>
      <c r="Y229" s="161">
        <f t="shared" si="65"/>
        <v>0</v>
      </c>
      <c r="Z229" s="161">
        <f t="shared" si="65"/>
        <v>0</v>
      </c>
      <c r="AA229" s="161">
        <f t="shared" si="65"/>
        <v>0</v>
      </c>
      <c r="AB229" s="161">
        <f t="shared" si="65"/>
        <v>0</v>
      </c>
      <c r="AC229" s="161">
        <f t="shared" si="65"/>
        <v>0</v>
      </c>
      <c r="AD229" s="161">
        <f t="shared" si="65"/>
        <v>0</v>
      </c>
      <c r="AE229" s="161">
        <f t="shared" si="65"/>
        <v>0</v>
      </c>
      <c r="AF229" s="174">
        <f t="shared" si="6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66"/>
        <v>0</v>
      </c>
      <c r="D230" s="161">
        <f t="shared" si="66"/>
        <v>0</v>
      </c>
      <c r="E230" s="161">
        <f t="shared" si="66"/>
        <v>0</v>
      </c>
      <c r="F230" s="161">
        <f t="shared" si="66"/>
        <v>0</v>
      </c>
      <c r="G230" s="161">
        <f t="shared" si="66"/>
        <v>0</v>
      </c>
      <c r="H230" s="161">
        <f t="shared" si="66"/>
        <v>0</v>
      </c>
      <c r="I230" s="161">
        <f t="shared" si="66"/>
        <v>0</v>
      </c>
      <c r="J230" s="161">
        <f t="shared" si="66"/>
        <v>0</v>
      </c>
      <c r="K230" s="161">
        <f t="shared" si="66"/>
        <v>0</v>
      </c>
      <c r="L230" s="161">
        <f t="shared" si="66"/>
        <v>0</v>
      </c>
      <c r="M230" s="161">
        <f t="shared" si="66"/>
        <v>0</v>
      </c>
      <c r="N230" s="161">
        <f t="shared" si="66"/>
        <v>0</v>
      </c>
      <c r="O230" s="161">
        <f t="shared" si="66"/>
        <v>0</v>
      </c>
      <c r="P230" s="161">
        <f t="shared" si="66"/>
        <v>0</v>
      </c>
      <c r="Q230" s="161">
        <f t="shared" si="66"/>
        <v>0</v>
      </c>
      <c r="R230" s="161">
        <f t="shared" si="66"/>
        <v>0</v>
      </c>
      <c r="S230" s="161">
        <f t="shared" si="65"/>
        <v>0</v>
      </c>
      <c r="T230" s="161">
        <f t="shared" si="65"/>
        <v>0</v>
      </c>
      <c r="U230" s="161">
        <f t="shared" si="65"/>
        <v>0</v>
      </c>
      <c r="V230" s="161">
        <f t="shared" si="65"/>
        <v>0</v>
      </c>
      <c r="W230" s="161">
        <f t="shared" si="65"/>
        <v>0</v>
      </c>
      <c r="X230" s="161">
        <f t="shared" si="65"/>
        <v>0</v>
      </c>
      <c r="Y230" s="161">
        <f t="shared" si="65"/>
        <v>0</v>
      </c>
      <c r="Z230" s="161">
        <f t="shared" si="65"/>
        <v>0</v>
      </c>
      <c r="AA230" s="161">
        <f t="shared" si="65"/>
        <v>0</v>
      </c>
      <c r="AB230" s="161">
        <f t="shared" si="65"/>
        <v>0</v>
      </c>
      <c r="AC230" s="161">
        <f t="shared" si="65"/>
        <v>0</v>
      </c>
      <c r="AD230" s="161">
        <f t="shared" si="65"/>
        <v>0</v>
      </c>
      <c r="AE230" s="161">
        <f t="shared" si="65"/>
        <v>0</v>
      </c>
      <c r="AF230" s="174">
        <f t="shared" si="6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66"/>
        <v>0</v>
      </c>
      <c r="D231" s="161">
        <f t="shared" si="66"/>
        <v>0</v>
      </c>
      <c r="E231" s="161">
        <f t="shared" si="66"/>
        <v>0</v>
      </c>
      <c r="F231" s="161">
        <f t="shared" si="66"/>
        <v>0</v>
      </c>
      <c r="G231" s="161">
        <f t="shared" si="66"/>
        <v>0</v>
      </c>
      <c r="H231" s="161">
        <f t="shared" si="66"/>
        <v>0</v>
      </c>
      <c r="I231" s="161">
        <f t="shared" si="66"/>
        <v>0</v>
      </c>
      <c r="J231" s="161">
        <f t="shared" si="66"/>
        <v>0</v>
      </c>
      <c r="K231" s="161">
        <f t="shared" si="66"/>
        <v>0</v>
      </c>
      <c r="L231" s="161">
        <f t="shared" si="66"/>
        <v>0</v>
      </c>
      <c r="M231" s="161">
        <f t="shared" si="66"/>
        <v>0</v>
      </c>
      <c r="N231" s="161">
        <f t="shared" si="66"/>
        <v>0</v>
      </c>
      <c r="O231" s="161">
        <f t="shared" si="66"/>
        <v>0</v>
      </c>
      <c r="P231" s="161">
        <f t="shared" si="66"/>
        <v>0</v>
      </c>
      <c r="Q231" s="161">
        <f t="shared" si="66"/>
        <v>0</v>
      </c>
      <c r="R231" s="161">
        <f t="shared" si="66"/>
        <v>0</v>
      </c>
      <c r="S231" s="161">
        <f t="shared" si="65"/>
        <v>0</v>
      </c>
      <c r="T231" s="161">
        <f t="shared" si="65"/>
        <v>0</v>
      </c>
      <c r="U231" s="161">
        <f t="shared" si="65"/>
        <v>0</v>
      </c>
      <c r="V231" s="161">
        <f t="shared" si="65"/>
        <v>0</v>
      </c>
      <c r="W231" s="161">
        <f t="shared" si="65"/>
        <v>0</v>
      </c>
      <c r="X231" s="161">
        <f t="shared" si="65"/>
        <v>0</v>
      </c>
      <c r="Y231" s="161">
        <f t="shared" si="65"/>
        <v>0</v>
      </c>
      <c r="Z231" s="161">
        <f t="shared" si="65"/>
        <v>0</v>
      </c>
      <c r="AA231" s="161">
        <f t="shared" si="65"/>
        <v>0</v>
      </c>
      <c r="AB231" s="161">
        <f t="shared" si="65"/>
        <v>0</v>
      </c>
      <c r="AC231" s="161">
        <f t="shared" si="65"/>
        <v>0</v>
      </c>
      <c r="AD231" s="161">
        <f t="shared" si="65"/>
        <v>0</v>
      </c>
      <c r="AE231" s="161">
        <f t="shared" si="65"/>
        <v>0</v>
      </c>
      <c r="AF231" s="174">
        <f t="shared" si="6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66"/>
        <v>0</v>
      </c>
      <c r="D232" s="161">
        <f t="shared" si="66"/>
        <v>0</v>
      </c>
      <c r="E232" s="161">
        <f t="shared" si="66"/>
        <v>0</v>
      </c>
      <c r="F232" s="161">
        <f t="shared" si="66"/>
        <v>0</v>
      </c>
      <c r="G232" s="161">
        <f t="shared" si="66"/>
        <v>0</v>
      </c>
      <c r="H232" s="161">
        <f t="shared" si="66"/>
        <v>0</v>
      </c>
      <c r="I232" s="161">
        <f t="shared" si="66"/>
        <v>0</v>
      </c>
      <c r="J232" s="161">
        <f t="shared" si="66"/>
        <v>0</v>
      </c>
      <c r="K232" s="161">
        <f t="shared" si="66"/>
        <v>0</v>
      </c>
      <c r="L232" s="161">
        <f t="shared" si="66"/>
        <v>0</v>
      </c>
      <c r="M232" s="161">
        <f t="shared" si="66"/>
        <v>0</v>
      </c>
      <c r="N232" s="161">
        <f t="shared" si="66"/>
        <v>0</v>
      </c>
      <c r="O232" s="161">
        <f t="shared" si="66"/>
        <v>0</v>
      </c>
      <c r="P232" s="161">
        <f t="shared" si="66"/>
        <v>0</v>
      </c>
      <c r="Q232" s="161">
        <f t="shared" si="66"/>
        <v>0</v>
      </c>
      <c r="R232" s="161">
        <f t="shared" ref="R232:AF247" si="67">Q232</f>
        <v>0</v>
      </c>
      <c r="S232" s="161">
        <f t="shared" si="67"/>
        <v>0</v>
      </c>
      <c r="T232" s="161">
        <f t="shared" si="67"/>
        <v>0</v>
      </c>
      <c r="U232" s="161">
        <f t="shared" si="67"/>
        <v>0</v>
      </c>
      <c r="V232" s="161">
        <f t="shared" si="67"/>
        <v>0</v>
      </c>
      <c r="W232" s="161">
        <f t="shared" si="67"/>
        <v>0</v>
      </c>
      <c r="X232" s="161">
        <f t="shared" si="67"/>
        <v>0</v>
      </c>
      <c r="Y232" s="161">
        <f t="shared" si="67"/>
        <v>0</v>
      </c>
      <c r="Z232" s="161">
        <f t="shared" si="67"/>
        <v>0</v>
      </c>
      <c r="AA232" s="161">
        <f t="shared" si="67"/>
        <v>0</v>
      </c>
      <c r="AB232" s="161">
        <f t="shared" si="67"/>
        <v>0</v>
      </c>
      <c r="AC232" s="161">
        <f t="shared" si="67"/>
        <v>0</v>
      </c>
      <c r="AD232" s="161">
        <f t="shared" si="67"/>
        <v>0</v>
      </c>
      <c r="AE232" s="161">
        <f t="shared" si="67"/>
        <v>0</v>
      </c>
      <c r="AF232" s="174">
        <f t="shared" si="67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68">B233</f>
        <v>0</v>
      </c>
      <c r="D233" s="161">
        <f t="shared" si="68"/>
        <v>0</v>
      </c>
      <c r="E233" s="161">
        <f t="shared" si="68"/>
        <v>0</v>
      </c>
      <c r="F233" s="161">
        <f t="shared" si="68"/>
        <v>0</v>
      </c>
      <c r="G233" s="161">
        <f t="shared" si="68"/>
        <v>0</v>
      </c>
      <c r="H233" s="161">
        <f t="shared" si="68"/>
        <v>0</v>
      </c>
      <c r="I233" s="161">
        <f t="shared" si="68"/>
        <v>0</v>
      </c>
      <c r="J233" s="161">
        <f t="shared" si="68"/>
        <v>0</v>
      </c>
      <c r="K233" s="161">
        <f t="shared" si="68"/>
        <v>0</v>
      </c>
      <c r="L233" s="161">
        <f t="shared" si="68"/>
        <v>0</v>
      </c>
      <c r="M233" s="161">
        <f t="shared" si="68"/>
        <v>0</v>
      </c>
      <c r="N233" s="161">
        <f t="shared" si="68"/>
        <v>0</v>
      </c>
      <c r="O233" s="161">
        <f t="shared" si="68"/>
        <v>0</v>
      </c>
      <c r="P233" s="161">
        <f t="shared" si="68"/>
        <v>0</v>
      </c>
      <c r="Q233" s="161">
        <f t="shared" si="68"/>
        <v>0</v>
      </c>
      <c r="R233" s="161">
        <f t="shared" si="68"/>
        <v>0</v>
      </c>
      <c r="S233" s="161">
        <f t="shared" si="67"/>
        <v>0</v>
      </c>
      <c r="T233" s="161">
        <f t="shared" si="67"/>
        <v>0</v>
      </c>
      <c r="U233" s="161">
        <f t="shared" si="67"/>
        <v>0</v>
      </c>
      <c r="V233" s="161">
        <f t="shared" si="67"/>
        <v>0</v>
      </c>
      <c r="W233" s="161">
        <f t="shared" si="67"/>
        <v>0</v>
      </c>
      <c r="X233" s="161">
        <f t="shared" si="67"/>
        <v>0</v>
      </c>
      <c r="Y233" s="161">
        <f t="shared" si="67"/>
        <v>0</v>
      </c>
      <c r="Z233" s="161">
        <f t="shared" si="67"/>
        <v>0</v>
      </c>
      <c r="AA233" s="161">
        <f t="shared" si="67"/>
        <v>0</v>
      </c>
      <c r="AB233" s="161">
        <f t="shared" si="67"/>
        <v>0</v>
      </c>
      <c r="AC233" s="161">
        <f t="shared" si="67"/>
        <v>0</v>
      </c>
      <c r="AD233" s="161">
        <f t="shared" si="67"/>
        <v>0</v>
      </c>
      <c r="AE233" s="161">
        <f t="shared" si="67"/>
        <v>0</v>
      </c>
      <c r="AF233" s="174">
        <f t="shared" si="67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68"/>
        <v>0</v>
      </c>
      <c r="D234" s="161">
        <f t="shared" si="68"/>
        <v>0</v>
      </c>
      <c r="E234" s="161">
        <f t="shared" si="68"/>
        <v>0</v>
      </c>
      <c r="F234" s="161">
        <f t="shared" si="68"/>
        <v>0</v>
      </c>
      <c r="G234" s="161">
        <f t="shared" si="68"/>
        <v>0</v>
      </c>
      <c r="H234" s="161">
        <f t="shared" si="68"/>
        <v>0</v>
      </c>
      <c r="I234" s="161">
        <f t="shared" si="68"/>
        <v>0</v>
      </c>
      <c r="J234" s="161">
        <f t="shared" si="68"/>
        <v>0</v>
      </c>
      <c r="K234" s="161">
        <f t="shared" si="68"/>
        <v>0</v>
      </c>
      <c r="L234" s="161">
        <f t="shared" si="68"/>
        <v>0</v>
      </c>
      <c r="M234" s="161">
        <f t="shared" si="68"/>
        <v>0</v>
      </c>
      <c r="N234" s="161">
        <f t="shared" si="68"/>
        <v>0</v>
      </c>
      <c r="O234" s="161">
        <f t="shared" si="68"/>
        <v>0</v>
      </c>
      <c r="P234" s="161">
        <f t="shared" si="68"/>
        <v>0</v>
      </c>
      <c r="Q234" s="161">
        <f t="shared" si="68"/>
        <v>0</v>
      </c>
      <c r="R234" s="161">
        <f t="shared" si="68"/>
        <v>0</v>
      </c>
      <c r="S234" s="161">
        <f t="shared" si="67"/>
        <v>0</v>
      </c>
      <c r="T234" s="161">
        <f t="shared" si="67"/>
        <v>0</v>
      </c>
      <c r="U234" s="161">
        <f t="shared" si="67"/>
        <v>0</v>
      </c>
      <c r="V234" s="161">
        <f t="shared" si="67"/>
        <v>0</v>
      </c>
      <c r="W234" s="161">
        <f t="shared" si="67"/>
        <v>0</v>
      </c>
      <c r="X234" s="161">
        <f t="shared" si="67"/>
        <v>0</v>
      </c>
      <c r="Y234" s="161">
        <f t="shared" si="67"/>
        <v>0</v>
      </c>
      <c r="Z234" s="161">
        <f t="shared" si="67"/>
        <v>0</v>
      </c>
      <c r="AA234" s="161">
        <f t="shared" si="67"/>
        <v>0</v>
      </c>
      <c r="AB234" s="161">
        <f t="shared" si="67"/>
        <v>0</v>
      </c>
      <c r="AC234" s="161">
        <f t="shared" si="67"/>
        <v>0</v>
      </c>
      <c r="AD234" s="161">
        <f t="shared" si="67"/>
        <v>0</v>
      </c>
      <c r="AE234" s="161">
        <f t="shared" si="67"/>
        <v>0</v>
      </c>
      <c r="AF234" s="174">
        <f t="shared" si="67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68"/>
        <v>0</v>
      </c>
      <c r="D235" s="161">
        <f t="shared" si="68"/>
        <v>0</v>
      </c>
      <c r="E235" s="161">
        <f t="shared" si="68"/>
        <v>0</v>
      </c>
      <c r="F235" s="161">
        <f t="shared" si="68"/>
        <v>0</v>
      </c>
      <c r="G235" s="161">
        <f t="shared" si="68"/>
        <v>0</v>
      </c>
      <c r="H235" s="161">
        <f t="shared" si="68"/>
        <v>0</v>
      </c>
      <c r="I235" s="161">
        <f t="shared" si="68"/>
        <v>0</v>
      </c>
      <c r="J235" s="161">
        <f t="shared" si="68"/>
        <v>0</v>
      </c>
      <c r="K235" s="161">
        <f t="shared" si="68"/>
        <v>0</v>
      </c>
      <c r="L235" s="161">
        <f t="shared" si="68"/>
        <v>0</v>
      </c>
      <c r="M235" s="161">
        <f t="shared" si="68"/>
        <v>0</v>
      </c>
      <c r="N235" s="161">
        <f t="shared" si="68"/>
        <v>0</v>
      </c>
      <c r="O235" s="161">
        <f t="shared" si="68"/>
        <v>0</v>
      </c>
      <c r="P235" s="161">
        <f t="shared" si="68"/>
        <v>0</v>
      </c>
      <c r="Q235" s="161">
        <f t="shared" si="68"/>
        <v>0</v>
      </c>
      <c r="R235" s="161">
        <f t="shared" si="68"/>
        <v>0</v>
      </c>
      <c r="S235" s="161">
        <f t="shared" si="67"/>
        <v>0</v>
      </c>
      <c r="T235" s="161">
        <f t="shared" si="67"/>
        <v>0</v>
      </c>
      <c r="U235" s="161">
        <f t="shared" si="67"/>
        <v>0</v>
      </c>
      <c r="V235" s="161">
        <f t="shared" si="67"/>
        <v>0</v>
      </c>
      <c r="W235" s="161">
        <f t="shared" si="67"/>
        <v>0</v>
      </c>
      <c r="X235" s="161">
        <f t="shared" si="67"/>
        <v>0</v>
      </c>
      <c r="Y235" s="161">
        <f t="shared" si="67"/>
        <v>0</v>
      </c>
      <c r="Z235" s="161">
        <f t="shared" si="67"/>
        <v>0</v>
      </c>
      <c r="AA235" s="161">
        <f t="shared" si="67"/>
        <v>0</v>
      </c>
      <c r="AB235" s="161">
        <f t="shared" si="67"/>
        <v>0</v>
      </c>
      <c r="AC235" s="161">
        <f t="shared" si="67"/>
        <v>0</v>
      </c>
      <c r="AD235" s="161">
        <f t="shared" si="67"/>
        <v>0</v>
      </c>
      <c r="AE235" s="161">
        <f t="shared" si="67"/>
        <v>0</v>
      </c>
      <c r="AF235" s="174">
        <f t="shared" si="67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68"/>
        <v>0</v>
      </c>
      <c r="D236" s="161">
        <f t="shared" si="68"/>
        <v>0</v>
      </c>
      <c r="E236" s="161">
        <f t="shared" si="68"/>
        <v>0</v>
      </c>
      <c r="F236" s="161">
        <f t="shared" si="68"/>
        <v>0</v>
      </c>
      <c r="G236" s="161">
        <f t="shared" si="68"/>
        <v>0</v>
      </c>
      <c r="H236" s="161">
        <f t="shared" si="68"/>
        <v>0</v>
      </c>
      <c r="I236" s="161">
        <f t="shared" si="68"/>
        <v>0</v>
      </c>
      <c r="J236" s="161">
        <f t="shared" si="68"/>
        <v>0</v>
      </c>
      <c r="K236" s="161">
        <f t="shared" si="68"/>
        <v>0</v>
      </c>
      <c r="L236" s="161">
        <f t="shared" si="68"/>
        <v>0</v>
      </c>
      <c r="M236" s="161">
        <f t="shared" si="68"/>
        <v>0</v>
      </c>
      <c r="N236" s="161">
        <f t="shared" si="68"/>
        <v>0</v>
      </c>
      <c r="O236" s="161">
        <f t="shared" si="68"/>
        <v>0</v>
      </c>
      <c r="P236" s="161">
        <f t="shared" si="68"/>
        <v>0</v>
      </c>
      <c r="Q236" s="161">
        <f t="shared" si="68"/>
        <v>0</v>
      </c>
      <c r="R236" s="161">
        <f t="shared" si="68"/>
        <v>0</v>
      </c>
      <c r="S236" s="161">
        <f t="shared" si="67"/>
        <v>0</v>
      </c>
      <c r="T236" s="161">
        <f t="shared" si="67"/>
        <v>0</v>
      </c>
      <c r="U236" s="161">
        <f t="shared" si="67"/>
        <v>0</v>
      </c>
      <c r="V236" s="161">
        <f t="shared" si="67"/>
        <v>0</v>
      </c>
      <c r="W236" s="161">
        <f t="shared" si="67"/>
        <v>0</v>
      </c>
      <c r="X236" s="161">
        <f t="shared" si="67"/>
        <v>0</v>
      </c>
      <c r="Y236" s="161">
        <f t="shared" si="67"/>
        <v>0</v>
      </c>
      <c r="Z236" s="161">
        <f t="shared" si="67"/>
        <v>0</v>
      </c>
      <c r="AA236" s="161">
        <f t="shared" si="67"/>
        <v>0</v>
      </c>
      <c r="AB236" s="161">
        <f t="shared" si="67"/>
        <v>0</v>
      </c>
      <c r="AC236" s="161">
        <f t="shared" si="67"/>
        <v>0</v>
      </c>
      <c r="AD236" s="161">
        <f t="shared" si="67"/>
        <v>0</v>
      </c>
      <c r="AE236" s="161">
        <f t="shared" si="67"/>
        <v>0</v>
      </c>
      <c r="AF236" s="174">
        <f t="shared" si="67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68"/>
        <v>0</v>
      </c>
      <c r="D237" s="161">
        <f t="shared" si="68"/>
        <v>0</v>
      </c>
      <c r="E237" s="161">
        <f t="shared" si="68"/>
        <v>0</v>
      </c>
      <c r="F237" s="161">
        <f t="shared" si="68"/>
        <v>0</v>
      </c>
      <c r="G237" s="161">
        <f t="shared" si="68"/>
        <v>0</v>
      </c>
      <c r="H237" s="161">
        <f t="shared" si="68"/>
        <v>0</v>
      </c>
      <c r="I237" s="161">
        <f t="shared" si="68"/>
        <v>0</v>
      </c>
      <c r="J237" s="161">
        <f t="shared" si="68"/>
        <v>0</v>
      </c>
      <c r="K237" s="161">
        <f t="shared" si="68"/>
        <v>0</v>
      </c>
      <c r="L237" s="161">
        <f t="shared" si="68"/>
        <v>0</v>
      </c>
      <c r="M237" s="161">
        <f t="shared" si="68"/>
        <v>0</v>
      </c>
      <c r="N237" s="161">
        <f t="shared" si="68"/>
        <v>0</v>
      </c>
      <c r="O237" s="161">
        <f t="shared" si="68"/>
        <v>0</v>
      </c>
      <c r="P237" s="161">
        <f t="shared" si="68"/>
        <v>0</v>
      </c>
      <c r="Q237" s="161">
        <f t="shared" si="68"/>
        <v>0</v>
      </c>
      <c r="R237" s="161">
        <f t="shared" si="68"/>
        <v>0</v>
      </c>
      <c r="S237" s="161">
        <f t="shared" si="67"/>
        <v>0</v>
      </c>
      <c r="T237" s="161">
        <f t="shared" si="67"/>
        <v>0</v>
      </c>
      <c r="U237" s="161">
        <f t="shared" si="67"/>
        <v>0</v>
      </c>
      <c r="V237" s="161">
        <f t="shared" si="67"/>
        <v>0</v>
      </c>
      <c r="W237" s="161">
        <f t="shared" si="67"/>
        <v>0</v>
      </c>
      <c r="X237" s="161">
        <f t="shared" si="67"/>
        <v>0</v>
      </c>
      <c r="Y237" s="161">
        <f t="shared" si="67"/>
        <v>0</v>
      </c>
      <c r="Z237" s="161">
        <f t="shared" si="67"/>
        <v>0</v>
      </c>
      <c r="AA237" s="161">
        <f t="shared" si="67"/>
        <v>0</v>
      </c>
      <c r="AB237" s="161">
        <f t="shared" si="67"/>
        <v>0</v>
      </c>
      <c r="AC237" s="161">
        <f t="shared" si="67"/>
        <v>0</v>
      </c>
      <c r="AD237" s="161">
        <f t="shared" si="67"/>
        <v>0</v>
      </c>
      <c r="AE237" s="161">
        <f t="shared" si="67"/>
        <v>0</v>
      </c>
      <c r="AF237" s="174">
        <f t="shared" si="67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68"/>
        <v>0</v>
      </c>
      <c r="D238" s="161">
        <f t="shared" si="68"/>
        <v>0</v>
      </c>
      <c r="E238" s="161">
        <f t="shared" si="68"/>
        <v>0</v>
      </c>
      <c r="F238" s="161">
        <f t="shared" si="68"/>
        <v>0</v>
      </c>
      <c r="G238" s="161">
        <f t="shared" si="68"/>
        <v>0</v>
      </c>
      <c r="H238" s="161">
        <f t="shared" si="68"/>
        <v>0</v>
      </c>
      <c r="I238" s="161">
        <f t="shared" si="68"/>
        <v>0</v>
      </c>
      <c r="J238" s="161">
        <f t="shared" si="68"/>
        <v>0</v>
      </c>
      <c r="K238" s="161">
        <f t="shared" si="68"/>
        <v>0</v>
      </c>
      <c r="L238" s="161">
        <f t="shared" si="68"/>
        <v>0</v>
      </c>
      <c r="M238" s="161">
        <f t="shared" si="68"/>
        <v>0</v>
      </c>
      <c r="N238" s="161">
        <f t="shared" si="68"/>
        <v>0</v>
      </c>
      <c r="O238" s="161">
        <f t="shared" si="68"/>
        <v>0</v>
      </c>
      <c r="P238" s="161">
        <f t="shared" si="68"/>
        <v>0</v>
      </c>
      <c r="Q238" s="161">
        <f t="shared" si="68"/>
        <v>0</v>
      </c>
      <c r="R238" s="161">
        <f t="shared" si="68"/>
        <v>0</v>
      </c>
      <c r="S238" s="161">
        <f t="shared" si="67"/>
        <v>0</v>
      </c>
      <c r="T238" s="161">
        <f t="shared" si="67"/>
        <v>0</v>
      </c>
      <c r="U238" s="161">
        <f t="shared" si="67"/>
        <v>0</v>
      </c>
      <c r="V238" s="161">
        <f t="shared" si="67"/>
        <v>0</v>
      </c>
      <c r="W238" s="161">
        <f t="shared" si="67"/>
        <v>0</v>
      </c>
      <c r="X238" s="161">
        <f t="shared" si="67"/>
        <v>0</v>
      </c>
      <c r="Y238" s="161">
        <f t="shared" si="67"/>
        <v>0</v>
      </c>
      <c r="Z238" s="161">
        <f t="shared" si="67"/>
        <v>0</v>
      </c>
      <c r="AA238" s="161">
        <f t="shared" si="67"/>
        <v>0</v>
      </c>
      <c r="AB238" s="161">
        <f t="shared" si="67"/>
        <v>0</v>
      </c>
      <c r="AC238" s="161">
        <f t="shared" si="67"/>
        <v>0</v>
      </c>
      <c r="AD238" s="161">
        <f t="shared" si="67"/>
        <v>0</v>
      </c>
      <c r="AE238" s="161">
        <f t="shared" si="67"/>
        <v>0</v>
      </c>
      <c r="AF238" s="174">
        <f t="shared" si="67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68"/>
        <v>0</v>
      </c>
      <c r="D239" s="161">
        <f t="shared" si="68"/>
        <v>0</v>
      </c>
      <c r="E239" s="161">
        <f t="shared" si="68"/>
        <v>0</v>
      </c>
      <c r="F239" s="161">
        <f t="shared" si="68"/>
        <v>0</v>
      </c>
      <c r="G239" s="161">
        <f t="shared" si="68"/>
        <v>0</v>
      </c>
      <c r="H239" s="161">
        <f t="shared" si="68"/>
        <v>0</v>
      </c>
      <c r="I239" s="161">
        <f t="shared" si="68"/>
        <v>0</v>
      </c>
      <c r="J239" s="161">
        <f t="shared" si="68"/>
        <v>0</v>
      </c>
      <c r="K239" s="161">
        <f t="shared" si="68"/>
        <v>0</v>
      </c>
      <c r="L239" s="161">
        <f t="shared" si="68"/>
        <v>0</v>
      </c>
      <c r="M239" s="161">
        <f t="shared" si="68"/>
        <v>0</v>
      </c>
      <c r="N239" s="161">
        <f t="shared" si="68"/>
        <v>0</v>
      </c>
      <c r="O239" s="161">
        <f t="shared" si="68"/>
        <v>0</v>
      </c>
      <c r="P239" s="161">
        <f t="shared" si="68"/>
        <v>0</v>
      </c>
      <c r="Q239" s="161">
        <f t="shared" si="68"/>
        <v>0</v>
      </c>
      <c r="R239" s="161">
        <f t="shared" si="68"/>
        <v>0</v>
      </c>
      <c r="S239" s="161">
        <f t="shared" si="67"/>
        <v>0</v>
      </c>
      <c r="T239" s="161">
        <f t="shared" si="67"/>
        <v>0</v>
      </c>
      <c r="U239" s="161">
        <f t="shared" si="67"/>
        <v>0</v>
      </c>
      <c r="V239" s="161">
        <f t="shared" si="67"/>
        <v>0</v>
      </c>
      <c r="W239" s="161">
        <f t="shared" si="67"/>
        <v>0</v>
      </c>
      <c r="X239" s="161">
        <f t="shared" si="67"/>
        <v>0</v>
      </c>
      <c r="Y239" s="161">
        <f t="shared" si="67"/>
        <v>0</v>
      </c>
      <c r="Z239" s="161">
        <f t="shared" si="67"/>
        <v>0</v>
      </c>
      <c r="AA239" s="161">
        <f t="shared" si="67"/>
        <v>0</v>
      </c>
      <c r="AB239" s="161">
        <f t="shared" si="67"/>
        <v>0</v>
      </c>
      <c r="AC239" s="161">
        <f t="shared" si="67"/>
        <v>0</v>
      </c>
      <c r="AD239" s="161">
        <f t="shared" si="67"/>
        <v>0</v>
      </c>
      <c r="AE239" s="161">
        <f t="shared" si="67"/>
        <v>0</v>
      </c>
      <c r="AF239" s="174">
        <f t="shared" si="67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68"/>
        <v>0</v>
      </c>
      <c r="D240" s="161">
        <f t="shared" si="68"/>
        <v>0</v>
      </c>
      <c r="E240" s="161">
        <f t="shared" si="68"/>
        <v>0</v>
      </c>
      <c r="F240" s="161">
        <f t="shared" si="68"/>
        <v>0</v>
      </c>
      <c r="G240" s="161">
        <f t="shared" si="68"/>
        <v>0</v>
      </c>
      <c r="H240" s="161">
        <f t="shared" si="68"/>
        <v>0</v>
      </c>
      <c r="I240" s="161">
        <f t="shared" si="68"/>
        <v>0</v>
      </c>
      <c r="J240" s="161">
        <f t="shared" si="68"/>
        <v>0</v>
      </c>
      <c r="K240" s="161">
        <f t="shared" si="68"/>
        <v>0</v>
      </c>
      <c r="L240" s="161">
        <f t="shared" si="68"/>
        <v>0</v>
      </c>
      <c r="M240" s="161">
        <f t="shared" si="68"/>
        <v>0</v>
      </c>
      <c r="N240" s="161">
        <f t="shared" si="68"/>
        <v>0</v>
      </c>
      <c r="O240" s="161">
        <f t="shared" si="68"/>
        <v>0</v>
      </c>
      <c r="P240" s="161">
        <f t="shared" si="68"/>
        <v>0</v>
      </c>
      <c r="Q240" s="161">
        <f t="shared" si="68"/>
        <v>0</v>
      </c>
      <c r="R240" s="161">
        <f t="shared" si="68"/>
        <v>0</v>
      </c>
      <c r="S240" s="161">
        <f t="shared" si="67"/>
        <v>0</v>
      </c>
      <c r="T240" s="161">
        <f t="shared" si="67"/>
        <v>0</v>
      </c>
      <c r="U240" s="161">
        <f t="shared" si="67"/>
        <v>0</v>
      </c>
      <c r="V240" s="161">
        <f t="shared" si="67"/>
        <v>0</v>
      </c>
      <c r="W240" s="161">
        <f t="shared" si="67"/>
        <v>0</v>
      </c>
      <c r="X240" s="161">
        <f t="shared" si="67"/>
        <v>0</v>
      </c>
      <c r="Y240" s="161">
        <f t="shared" si="67"/>
        <v>0</v>
      </c>
      <c r="Z240" s="161">
        <f t="shared" si="67"/>
        <v>0</v>
      </c>
      <c r="AA240" s="161">
        <f t="shared" si="67"/>
        <v>0</v>
      </c>
      <c r="AB240" s="161">
        <f t="shared" si="67"/>
        <v>0</v>
      </c>
      <c r="AC240" s="161">
        <f t="shared" si="67"/>
        <v>0</v>
      </c>
      <c r="AD240" s="161">
        <f t="shared" si="67"/>
        <v>0</v>
      </c>
      <c r="AE240" s="161">
        <f t="shared" si="67"/>
        <v>0</v>
      </c>
      <c r="AF240" s="174">
        <f t="shared" si="67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68"/>
        <v>0</v>
      </c>
      <c r="D241" s="161">
        <f t="shared" si="68"/>
        <v>0</v>
      </c>
      <c r="E241" s="161">
        <f t="shared" si="68"/>
        <v>0</v>
      </c>
      <c r="F241" s="161">
        <f t="shared" si="68"/>
        <v>0</v>
      </c>
      <c r="G241" s="161">
        <f t="shared" si="68"/>
        <v>0</v>
      </c>
      <c r="H241" s="161">
        <f t="shared" si="68"/>
        <v>0</v>
      </c>
      <c r="I241" s="161">
        <f t="shared" si="68"/>
        <v>0</v>
      </c>
      <c r="J241" s="161">
        <f t="shared" si="68"/>
        <v>0</v>
      </c>
      <c r="K241" s="161">
        <f t="shared" si="68"/>
        <v>0</v>
      </c>
      <c r="L241" s="161">
        <f t="shared" si="68"/>
        <v>0</v>
      </c>
      <c r="M241" s="161">
        <f t="shared" si="68"/>
        <v>0</v>
      </c>
      <c r="N241" s="161">
        <f t="shared" si="68"/>
        <v>0</v>
      </c>
      <c r="O241" s="161">
        <f t="shared" si="68"/>
        <v>0</v>
      </c>
      <c r="P241" s="161">
        <f t="shared" si="68"/>
        <v>0</v>
      </c>
      <c r="Q241" s="161">
        <f t="shared" si="68"/>
        <v>0</v>
      </c>
      <c r="R241" s="161">
        <f t="shared" si="68"/>
        <v>0</v>
      </c>
      <c r="S241" s="161">
        <f t="shared" si="67"/>
        <v>0</v>
      </c>
      <c r="T241" s="161">
        <f t="shared" si="67"/>
        <v>0</v>
      </c>
      <c r="U241" s="161">
        <f t="shared" si="67"/>
        <v>0</v>
      </c>
      <c r="V241" s="161">
        <f t="shared" si="67"/>
        <v>0</v>
      </c>
      <c r="W241" s="161">
        <f t="shared" si="67"/>
        <v>0</v>
      </c>
      <c r="X241" s="161">
        <f t="shared" si="67"/>
        <v>0</v>
      </c>
      <c r="Y241" s="161">
        <f t="shared" si="67"/>
        <v>0</v>
      </c>
      <c r="Z241" s="161">
        <f t="shared" si="67"/>
        <v>0</v>
      </c>
      <c r="AA241" s="161">
        <f t="shared" si="67"/>
        <v>0</v>
      </c>
      <c r="AB241" s="161">
        <f t="shared" si="67"/>
        <v>0</v>
      </c>
      <c r="AC241" s="161">
        <f t="shared" si="67"/>
        <v>0</v>
      </c>
      <c r="AD241" s="161">
        <f t="shared" si="67"/>
        <v>0</v>
      </c>
      <c r="AE241" s="161">
        <f t="shared" si="67"/>
        <v>0</v>
      </c>
      <c r="AF241" s="174">
        <f t="shared" si="67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68"/>
        <v>0</v>
      </c>
      <c r="D242" s="161">
        <f t="shared" si="68"/>
        <v>0</v>
      </c>
      <c r="E242" s="161">
        <f t="shared" si="68"/>
        <v>0</v>
      </c>
      <c r="F242" s="161">
        <f t="shared" si="68"/>
        <v>0</v>
      </c>
      <c r="G242" s="161">
        <f t="shared" si="68"/>
        <v>0</v>
      </c>
      <c r="H242" s="161">
        <f t="shared" si="68"/>
        <v>0</v>
      </c>
      <c r="I242" s="161">
        <f t="shared" si="68"/>
        <v>0</v>
      </c>
      <c r="J242" s="161">
        <f t="shared" si="68"/>
        <v>0</v>
      </c>
      <c r="K242" s="161">
        <f t="shared" si="68"/>
        <v>0</v>
      </c>
      <c r="L242" s="161">
        <f t="shared" si="68"/>
        <v>0</v>
      </c>
      <c r="M242" s="161">
        <f t="shared" si="68"/>
        <v>0</v>
      </c>
      <c r="N242" s="161">
        <f t="shared" si="68"/>
        <v>0</v>
      </c>
      <c r="O242" s="161">
        <f t="shared" si="68"/>
        <v>0</v>
      </c>
      <c r="P242" s="161">
        <f t="shared" si="68"/>
        <v>0</v>
      </c>
      <c r="Q242" s="161">
        <f t="shared" si="68"/>
        <v>0</v>
      </c>
      <c r="R242" s="161">
        <f t="shared" si="68"/>
        <v>0</v>
      </c>
      <c r="S242" s="161">
        <f t="shared" si="67"/>
        <v>0</v>
      </c>
      <c r="T242" s="161">
        <f t="shared" si="67"/>
        <v>0</v>
      </c>
      <c r="U242" s="161">
        <f t="shared" si="67"/>
        <v>0</v>
      </c>
      <c r="V242" s="161">
        <f t="shared" si="67"/>
        <v>0</v>
      </c>
      <c r="W242" s="161">
        <f t="shared" si="67"/>
        <v>0</v>
      </c>
      <c r="X242" s="161">
        <f t="shared" si="67"/>
        <v>0</v>
      </c>
      <c r="Y242" s="161">
        <f t="shared" si="67"/>
        <v>0</v>
      </c>
      <c r="Z242" s="161">
        <f t="shared" si="67"/>
        <v>0</v>
      </c>
      <c r="AA242" s="161">
        <f t="shared" si="67"/>
        <v>0</v>
      </c>
      <c r="AB242" s="161">
        <f t="shared" si="67"/>
        <v>0</v>
      </c>
      <c r="AC242" s="161">
        <f t="shared" si="67"/>
        <v>0</v>
      </c>
      <c r="AD242" s="161">
        <f t="shared" si="67"/>
        <v>0</v>
      </c>
      <c r="AE242" s="161">
        <f t="shared" si="67"/>
        <v>0</v>
      </c>
      <c r="AF242" s="174">
        <f t="shared" si="67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68"/>
        <v>0</v>
      </c>
      <c r="D243" s="161">
        <f t="shared" si="68"/>
        <v>0</v>
      </c>
      <c r="E243" s="161">
        <f t="shared" si="68"/>
        <v>0</v>
      </c>
      <c r="F243" s="161">
        <f t="shared" si="68"/>
        <v>0</v>
      </c>
      <c r="G243" s="161">
        <f t="shared" si="68"/>
        <v>0</v>
      </c>
      <c r="H243" s="161">
        <f t="shared" si="68"/>
        <v>0</v>
      </c>
      <c r="I243" s="161">
        <f t="shared" si="68"/>
        <v>0</v>
      </c>
      <c r="J243" s="161">
        <f t="shared" si="68"/>
        <v>0</v>
      </c>
      <c r="K243" s="161">
        <f t="shared" si="68"/>
        <v>0</v>
      </c>
      <c r="L243" s="161">
        <f t="shared" si="68"/>
        <v>0</v>
      </c>
      <c r="M243" s="161">
        <f t="shared" si="68"/>
        <v>0</v>
      </c>
      <c r="N243" s="161">
        <f t="shared" si="68"/>
        <v>0</v>
      </c>
      <c r="O243" s="161">
        <f t="shared" si="68"/>
        <v>0</v>
      </c>
      <c r="P243" s="161">
        <f t="shared" si="68"/>
        <v>0</v>
      </c>
      <c r="Q243" s="161">
        <f t="shared" si="68"/>
        <v>0</v>
      </c>
      <c r="R243" s="161">
        <f t="shared" si="68"/>
        <v>0</v>
      </c>
      <c r="S243" s="161">
        <f t="shared" si="67"/>
        <v>0</v>
      </c>
      <c r="T243" s="161">
        <f t="shared" si="67"/>
        <v>0</v>
      </c>
      <c r="U243" s="161">
        <f t="shared" si="67"/>
        <v>0</v>
      </c>
      <c r="V243" s="161">
        <f t="shared" si="67"/>
        <v>0</v>
      </c>
      <c r="W243" s="161">
        <f t="shared" si="67"/>
        <v>0</v>
      </c>
      <c r="X243" s="161">
        <f t="shared" si="67"/>
        <v>0</v>
      </c>
      <c r="Y243" s="161">
        <f t="shared" si="67"/>
        <v>0</v>
      </c>
      <c r="Z243" s="161">
        <f t="shared" si="67"/>
        <v>0</v>
      </c>
      <c r="AA243" s="161">
        <f t="shared" si="67"/>
        <v>0</v>
      </c>
      <c r="AB243" s="161">
        <f t="shared" si="67"/>
        <v>0</v>
      </c>
      <c r="AC243" s="161">
        <f t="shared" si="67"/>
        <v>0</v>
      </c>
      <c r="AD243" s="161">
        <f t="shared" si="67"/>
        <v>0</v>
      </c>
      <c r="AE243" s="161">
        <f t="shared" si="67"/>
        <v>0</v>
      </c>
      <c r="AF243" s="174">
        <f t="shared" si="67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68"/>
        <v>0</v>
      </c>
      <c r="D244" s="161">
        <f t="shared" si="68"/>
        <v>0</v>
      </c>
      <c r="E244" s="161">
        <f t="shared" si="68"/>
        <v>0</v>
      </c>
      <c r="F244" s="161">
        <f t="shared" si="68"/>
        <v>0</v>
      </c>
      <c r="G244" s="161">
        <f t="shared" si="68"/>
        <v>0</v>
      </c>
      <c r="H244" s="161">
        <f t="shared" si="68"/>
        <v>0</v>
      </c>
      <c r="I244" s="161">
        <f t="shared" si="68"/>
        <v>0</v>
      </c>
      <c r="J244" s="161">
        <f t="shared" si="68"/>
        <v>0</v>
      </c>
      <c r="K244" s="161">
        <f t="shared" si="68"/>
        <v>0</v>
      </c>
      <c r="L244" s="161">
        <f t="shared" si="68"/>
        <v>0</v>
      </c>
      <c r="M244" s="161">
        <f t="shared" si="68"/>
        <v>0</v>
      </c>
      <c r="N244" s="161">
        <f t="shared" si="68"/>
        <v>0</v>
      </c>
      <c r="O244" s="161">
        <f t="shared" si="68"/>
        <v>0</v>
      </c>
      <c r="P244" s="161">
        <f t="shared" si="68"/>
        <v>0</v>
      </c>
      <c r="Q244" s="161">
        <f t="shared" si="68"/>
        <v>0</v>
      </c>
      <c r="R244" s="161">
        <f t="shared" si="68"/>
        <v>0</v>
      </c>
      <c r="S244" s="161">
        <f t="shared" si="67"/>
        <v>0</v>
      </c>
      <c r="T244" s="161">
        <f t="shared" si="67"/>
        <v>0</v>
      </c>
      <c r="U244" s="161">
        <f t="shared" si="67"/>
        <v>0</v>
      </c>
      <c r="V244" s="161">
        <f t="shared" si="67"/>
        <v>0</v>
      </c>
      <c r="W244" s="161">
        <f t="shared" si="67"/>
        <v>0</v>
      </c>
      <c r="X244" s="161">
        <f t="shared" si="67"/>
        <v>0</v>
      </c>
      <c r="Y244" s="161">
        <f t="shared" si="67"/>
        <v>0</v>
      </c>
      <c r="Z244" s="161">
        <f t="shared" si="67"/>
        <v>0</v>
      </c>
      <c r="AA244" s="161">
        <f t="shared" si="67"/>
        <v>0</v>
      </c>
      <c r="AB244" s="161">
        <f t="shared" si="67"/>
        <v>0</v>
      </c>
      <c r="AC244" s="161">
        <f t="shared" si="67"/>
        <v>0</v>
      </c>
      <c r="AD244" s="161">
        <f t="shared" si="67"/>
        <v>0</v>
      </c>
      <c r="AE244" s="161">
        <f t="shared" si="67"/>
        <v>0</v>
      </c>
      <c r="AF244" s="174">
        <f t="shared" si="67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68"/>
        <v>0</v>
      </c>
      <c r="D245" s="161">
        <f t="shared" si="68"/>
        <v>0</v>
      </c>
      <c r="E245" s="161">
        <f t="shared" si="68"/>
        <v>0</v>
      </c>
      <c r="F245" s="161">
        <f t="shared" si="68"/>
        <v>0</v>
      </c>
      <c r="G245" s="161">
        <f t="shared" si="68"/>
        <v>0</v>
      </c>
      <c r="H245" s="161">
        <f t="shared" si="68"/>
        <v>0</v>
      </c>
      <c r="I245" s="161">
        <f t="shared" si="68"/>
        <v>0</v>
      </c>
      <c r="J245" s="161">
        <f t="shared" si="68"/>
        <v>0</v>
      </c>
      <c r="K245" s="161">
        <f t="shared" si="68"/>
        <v>0</v>
      </c>
      <c r="L245" s="161">
        <f t="shared" si="68"/>
        <v>0</v>
      </c>
      <c r="M245" s="161">
        <f t="shared" si="68"/>
        <v>0</v>
      </c>
      <c r="N245" s="161">
        <f t="shared" si="68"/>
        <v>0</v>
      </c>
      <c r="O245" s="161">
        <f t="shared" si="68"/>
        <v>0</v>
      </c>
      <c r="P245" s="161">
        <f t="shared" si="68"/>
        <v>0</v>
      </c>
      <c r="Q245" s="161">
        <f t="shared" si="68"/>
        <v>0</v>
      </c>
      <c r="R245" s="161">
        <f t="shared" si="68"/>
        <v>0</v>
      </c>
      <c r="S245" s="161">
        <f t="shared" si="67"/>
        <v>0</v>
      </c>
      <c r="T245" s="161">
        <f t="shared" si="67"/>
        <v>0</v>
      </c>
      <c r="U245" s="161">
        <f t="shared" si="67"/>
        <v>0</v>
      </c>
      <c r="V245" s="161">
        <f t="shared" si="67"/>
        <v>0</v>
      </c>
      <c r="W245" s="161">
        <f t="shared" si="67"/>
        <v>0</v>
      </c>
      <c r="X245" s="161">
        <f t="shared" si="67"/>
        <v>0</v>
      </c>
      <c r="Y245" s="161">
        <f t="shared" si="67"/>
        <v>0</v>
      </c>
      <c r="Z245" s="161">
        <f t="shared" si="67"/>
        <v>0</v>
      </c>
      <c r="AA245" s="161">
        <f t="shared" si="67"/>
        <v>0</v>
      </c>
      <c r="AB245" s="161">
        <f t="shared" si="67"/>
        <v>0</v>
      </c>
      <c r="AC245" s="161">
        <f t="shared" si="67"/>
        <v>0</v>
      </c>
      <c r="AD245" s="161">
        <f t="shared" si="67"/>
        <v>0</v>
      </c>
      <c r="AE245" s="161">
        <f t="shared" si="67"/>
        <v>0</v>
      </c>
      <c r="AF245" s="174">
        <f t="shared" si="67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68"/>
        <v>0</v>
      </c>
      <c r="D246" s="161">
        <f t="shared" si="68"/>
        <v>0</v>
      </c>
      <c r="E246" s="161">
        <f t="shared" si="68"/>
        <v>0</v>
      </c>
      <c r="F246" s="161">
        <f t="shared" si="68"/>
        <v>0</v>
      </c>
      <c r="G246" s="161">
        <f t="shared" si="68"/>
        <v>0</v>
      </c>
      <c r="H246" s="161">
        <f t="shared" si="68"/>
        <v>0</v>
      </c>
      <c r="I246" s="161">
        <f t="shared" si="68"/>
        <v>0</v>
      </c>
      <c r="J246" s="161">
        <f t="shared" si="68"/>
        <v>0</v>
      </c>
      <c r="K246" s="161">
        <f t="shared" si="68"/>
        <v>0</v>
      </c>
      <c r="L246" s="161">
        <f t="shared" si="68"/>
        <v>0</v>
      </c>
      <c r="M246" s="161">
        <f t="shared" si="68"/>
        <v>0</v>
      </c>
      <c r="N246" s="161">
        <f t="shared" si="68"/>
        <v>0</v>
      </c>
      <c r="O246" s="161">
        <f t="shared" si="68"/>
        <v>0</v>
      </c>
      <c r="P246" s="161">
        <f t="shared" si="68"/>
        <v>0</v>
      </c>
      <c r="Q246" s="161">
        <f t="shared" si="68"/>
        <v>0</v>
      </c>
      <c r="R246" s="161">
        <f t="shared" si="68"/>
        <v>0</v>
      </c>
      <c r="S246" s="161">
        <f t="shared" si="67"/>
        <v>0</v>
      </c>
      <c r="T246" s="161">
        <f t="shared" si="67"/>
        <v>0</v>
      </c>
      <c r="U246" s="161">
        <f t="shared" si="67"/>
        <v>0</v>
      </c>
      <c r="V246" s="161">
        <f t="shared" si="67"/>
        <v>0</v>
      </c>
      <c r="W246" s="161">
        <f t="shared" si="67"/>
        <v>0</v>
      </c>
      <c r="X246" s="161">
        <f t="shared" si="67"/>
        <v>0</v>
      </c>
      <c r="Y246" s="161">
        <f t="shared" si="67"/>
        <v>0</v>
      </c>
      <c r="Z246" s="161">
        <f t="shared" si="67"/>
        <v>0</v>
      </c>
      <c r="AA246" s="161">
        <f t="shared" si="67"/>
        <v>0</v>
      </c>
      <c r="AB246" s="161">
        <f t="shared" si="67"/>
        <v>0</v>
      </c>
      <c r="AC246" s="161">
        <f t="shared" si="67"/>
        <v>0</v>
      </c>
      <c r="AD246" s="161">
        <f t="shared" si="67"/>
        <v>0</v>
      </c>
      <c r="AE246" s="161">
        <f t="shared" si="67"/>
        <v>0</v>
      </c>
      <c r="AF246" s="174">
        <f t="shared" si="67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68"/>
        <v>0</v>
      </c>
      <c r="D247" s="161">
        <f t="shared" si="68"/>
        <v>0</v>
      </c>
      <c r="E247" s="161">
        <f t="shared" si="68"/>
        <v>0</v>
      </c>
      <c r="F247" s="161">
        <f t="shared" si="68"/>
        <v>0</v>
      </c>
      <c r="G247" s="161">
        <f t="shared" si="68"/>
        <v>0</v>
      </c>
      <c r="H247" s="161">
        <f t="shared" si="68"/>
        <v>0</v>
      </c>
      <c r="I247" s="161">
        <f t="shared" si="68"/>
        <v>0</v>
      </c>
      <c r="J247" s="161">
        <f t="shared" si="68"/>
        <v>0</v>
      </c>
      <c r="K247" s="161">
        <f t="shared" si="68"/>
        <v>0</v>
      </c>
      <c r="L247" s="161">
        <f t="shared" si="68"/>
        <v>0</v>
      </c>
      <c r="M247" s="161">
        <f t="shared" si="68"/>
        <v>0</v>
      </c>
      <c r="N247" s="161">
        <f t="shared" si="68"/>
        <v>0</v>
      </c>
      <c r="O247" s="161">
        <f t="shared" si="68"/>
        <v>0</v>
      </c>
      <c r="P247" s="161">
        <f t="shared" si="68"/>
        <v>0</v>
      </c>
      <c r="Q247" s="161">
        <f t="shared" si="68"/>
        <v>0</v>
      </c>
      <c r="R247" s="161">
        <f t="shared" si="68"/>
        <v>0</v>
      </c>
      <c r="S247" s="161">
        <f t="shared" si="67"/>
        <v>0</v>
      </c>
      <c r="T247" s="161">
        <f t="shared" si="67"/>
        <v>0</v>
      </c>
      <c r="U247" s="161">
        <f t="shared" si="67"/>
        <v>0</v>
      </c>
      <c r="V247" s="161">
        <f t="shared" si="67"/>
        <v>0</v>
      </c>
      <c r="W247" s="161">
        <f t="shared" si="67"/>
        <v>0</v>
      </c>
      <c r="X247" s="161">
        <f t="shared" si="67"/>
        <v>0</v>
      </c>
      <c r="Y247" s="161">
        <f t="shared" si="67"/>
        <v>0</v>
      </c>
      <c r="Z247" s="161">
        <f t="shared" si="67"/>
        <v>0</v>
      </c>
      <c r="AA247" s="161">
        <f t="shared" si="67"/>
        <v>0</v>
      </c>
      <c r="AB247" s="161">
        <f t="shared" si="67"/>
        <v>0</v>
      </c>
      <c r="AC247" s="161">
        <f t="shared" si="67"/>
        <v>0</v>
      </c>
      <c r="AD247" s="161">
        <f t="shared" si="67"/>
        <v>0</v>
      </c>
      <c r="AE247" s="161">
        <f t="shared" si="67"/>
        <v>0</v>
      </c>
      <c r="AF247" s="174">
        <f t="shared" si="67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68"/>
        <v>0</v>
      </c>
      <c r="D248" s="161">
        <f t="shared" si="68"/>
        <v>0</v>
      </c>
      <c r="E248" s="161">
        <f t="shared" si="68"/>
        <v>0</v>
      </c>
      <c r="F248" s="161">
        <f t="shared" si="68"/>
        <v>0</v>
      </c>
      <c r="G248" s="161">
        <f t="shared" si="68"/>
        <v>0</v>
      </c>
      <c r="H248" s="161">
        <f t="shared" si="68"/>
        <v>0</v>
      </c>
      <c r="I248" s="161">
        <f t="shared" si="68"/>
        <v>0</v>
      </c>
      <c r="J248" s="161">
        <f t="shared" si="68"/>
        <v>0</v>
      </c>
      <c r="K248" s="161">
        <f t="shared" si="68"/>
        <v>0</v>
      </c>
      <c r="L248" s="161">
        <f t="shared" si="68"/>
        <v>0</v>
      </c>
      <c r="M248" s="161">
        <f t="shared" si="68"/>
        <v>0</v>
      </c>
      <c r="N248" s="161">
        <f t="shared" si="68"/>
        <v>0</v>
      </c>
      <c r="O248" s="161">
        <f t="shared" si="68"/>
        <v>0</v>
      </c>
      <c r="P248" s="161">
        <f t="shared" si="68"/>
        <v>0</v>
      </c>
      <c r="Q248" s="161">
        <f t="shared" si="68"/>
        <v>0</v>
      </c>
      <c r="R248" s="161">
        <f t="shared" ref="R248:AF263" si="69">Q248</f>
        <v>0</v>
      </c>
      <c r="S248" s="161">
        <f t="shared" si="69"/>
        <v>0</v>
      </c>
      <c r="T248" s="161">
        <f t="shared" si="69"/>
        <v>0</v>
      </c>
      <c r="U248" s="161">
        <f t="shared" si="69"/>
        <v>0</v>
      </c>
      <c r="V248" s="161">
        <f t="shared" si="69"/>
        <v>0</v>
      </c>
      <c r="W248" s="161">
        <f t="shared" si="69"/>
        <v>0</v>
      </c>
      <c r="X248" s="161">
        <f t="shared" si="69"/>
        <v>0</v>
      </c>
      <c r="Y248" s="161">
        <f t="shared" si="69"/>
        <v>0</v>
      </c>
      <c r="Z248" s="161">
        <f t="shared" si="69"/>
        <v>0</v>
      </c>
      <c r="AA248" s="161">
        <f t="shared" si="69"/>
        <v>0</v>
      </c>
      <c r="AB248" s="161">
        <f t="shared" si="69"/>
        <v>0</v>
      </c>
      <c r="AC248" s="161">
        <f t="shared" si="69"/>
        <v>0</v>
      </c>
      <c r="AD248" s="161">
        <f t="shared" si="69"/>
        <v>0</v>
      </c>
      <c r="AE248" s="161">
        <f t="shared" si="69"/>
        <v>0</v>
      </c>
      <c r="AF248" s="174">
        <f t="shared" si="6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70">B249</f>
        <v>0</v>
      </c>
      <c r="D249" s="161">
        <f t="shared" si="70"/>
        <v>0</v>
      </c>
      <c r="E249" s="161">
        <f t="shared" si="70"/>
        <v>0</v>
      </c>
      <c r="F249" s="161">
        <f t="shared" si="70"/>
        <v>0</v>
      </c>
      <c r="G249" s="161">
        <f t="shared" si="70"/>
        <v>0</v>
      </c>
      <c r="H249" s="161">
        <f t="shared" si="70"/>
        <v>0</v>
      </c>
      <c r="I249" s="161">
        <f t="shared" si="70"/>
        <v>0</v>
      </c>
      <c r="J249" s="161">
        <f t="shared" si="70"/>
        <v>0</v>
      </c>
      <c r="K249" s="161">
        <f t="shared" si="70"/>
        <v>0</v>
      </c>
      <c r="L249" s="161">
        <f t="shared" si="70"/>
        <v>0</v>
      </c>
      <c r="M249" s="161">
        <f t="shared" si="70"/>
        <v>0</v>
      </c>
      <c r="N249" s="161">
        <f t="shared" si="70"/>
        <v>0</v>
      </c>
      <c r="O249" s="161">
        <f t="shared" si="70"/>
        <v>0</v>
      </c>
      <c r="P249" s="161">
        <f t="shared" si="70"/>
        <v>0</v>
      </c>
      <c r="Q249" s="161">
        <f t="shared" si="70"/>
        <v>0</v>
      </c>
      <c r="R249" s="161">
        <f t="shared" si="69"/>
        <v>0</v>
      </c>
      <c r="S249" s="161">
        <f t="shared" si="69"/>
        <v>0</v>
      </c>
      <c r="T249" s="161">
        <f t="shared" si="69"/>
        <v>0</v>
      </c>
      <c r="U249" s="161">
        <f t="shared" si="69"/>
        <v>0</v>
      </c>
      <c r="V249" s="161">
        <f t="shared" si="69"/>
        <v>0</v>
      </c>
      <c r="W249" s="161">
        <f t="shared" si="69"/>
        <v>0</v>
      </c>
      <c r="X249" s="161">
        <f t="shared" si="69"/>
        <v>0</v>
      </c>
      <c r="Y249" s="161">
        <f t="shared" si="69"/>
        <v>0</v>
      </c>
      <c r="Z249" s="161">
        <f t="shared" si="69"/>
        <v>0</v>
      </c>
      <c r="AA249" s="161">
        <f t="shared" si="69"/>
        <v>0</v>
      </c>
      <c r="AB249" s="161">
        <f t="shared" si="69"/>
        <v>0</v>
      </c>
      <c r="AC249" s="161">
        <f t="shared" si="69"/>
        <v>0</v>
      </c>
      <c r="AD249" s="161">
        <f t="shared" si="69"/>
        <v>0</v>
      </c>
      <c r="AE249" s="161">
        <f t="shared" si="69"/>
        <v>0</v>
      </c>
      <c r="AF249" s="174">
        <f t="shared" si="6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70"/>
        <v>0</v>
      </c>
      <c r="D250" s="161">
        <f t="shared" si="70"/>
        <v>0</v>
      </c>
      <c r="E250" s="161">
        <f t="shared" si="70"/>
        <v>0</v>
      </c>
      <c r="F250" s="161">
        <f t="shared" si="70"/>
        <v>0</v>
      </c>
      <c r="G250" s="161">
        <f t="shared" si="70"/>
        <v>0</v>
      </c>
      <c r="H250" s="161">
        <f t="shared" si="70"/>
        <v>0</v>
      </c>
      <c r="I250" s="161">
        <f t="shared" si="70"/>
        <v>0</v>
      </c>
      <c r="J250" s="161">
        <f t="shared" si="70"/>
        <v>0</v>
      </c>
      <c r="K250" s="161">
        <f t="shared" si="70"/>
        <v>0</v>
      </c>
      <c r="L250" s="161">
        <f t="shared" si="70"/>
        <v>0</v>
      </c>
      <c r="M250" s="161">
        <f t="shared" si="70"/>
        <v>0</v>
      </c>
      <c r="N250" s="161">
        <f t="shared" si="70"/>
        <v>0</v>
      </c>
      <c r="O250" s="161">
        <f t="shared" si="70"/>
        <v>0</v>
      </c>
      <c r="P250" s="161">
        <f t="shared" si="70"/>
        <v>0</v>
      </c>
      <c r="Q250" s="161">
        <f t="shared" si="70"/>
        <v>0</v>
      </c>
      <c r="R250" s="161">
        <f t="shared" si="70"/>
        <v>0</v>
      </c>
      <c r="S250" s="161">
        <f t="shared" si="69"/>
        <v>0</v>
      </c>
      <c r="T250" s="161">
        <f t="shared" si="69"/>
        <v>0</v>
      </c>
      <c r="U250" s="161">
        <f t="shared" si="69"/>
        <v>0</v>
      </c>
      <c r="V250" s="161">
        <f t="shared" si="69"/>
        <v>0</v>
      </c>
      <c r="W250" s="161">
        <f t="shared" si="69"/>
        <v>0</v>
      </c>
      <c r="X250" s="161">
        <f t="shared" si="69"/>
        <v>0</v>
      </c>
      <c r="Y250" s="161">
        <f t="shared" si="69"/>
        <v>0</v>
      </c>
      <c r="Z250" s="161">
        <f t="shared" si="69"/>
        <v>0</v>
      </c>
      <c r="AA250" s="161">
        <f t="shared" si="69"/>
        <v>0</v>
      </c>
      <c r="AB250" s="161">
        <f t="shared" si="69"/>
        <v>0</v>
      </c>
      <c r="AC250" s="161">
        <f t="shared" si="69"/>
        <v>0</v>
      </c>
      <c r="AD250" s="161">
        <f t="shared" si="69"/>
        <v>0</v>
      </c>
      <c r="AE250" s="161">
        <f t="shared" si="69"/>
        <v>0</v>
      </c>
      <c r="AF250" s="174">
        <f t="shared" si="6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70"/>
        <v>0</v>
      </c>
      <c r="D251" s="161">
        <f t="shared" si="70"/>
        <v>0</v>
      </c>
      <c r="E251" s="161">
        <f t="shared" si="70"/>
        <v>0</v>
      </c>
      <c r="F251" s="161">
        <f t="shared" si="70"/>
        <v>0</v>
      </c>
      <c r="G251" s="161">
        <f t="shared" si="70"/>
        <v>0</v>
      </c>
      <c r="H251" s="161">
        <f t="shared" si="70"/>
        <v>0</v>
      </c>
      <c r="I251" s="161">
        <f t="shared" si="70"/>
        <v>0</v>
      </c>
      <c r="J251" s="161">
        <f t="shared" si="70"/>
        <v>0</v>
      </c>
      <c r="K251" s="161">
        <f t="shared" si="70"/>
        <v>0</v>
      </c>
      <c r="L251" s="161">
        <f t="shared" si="70"/>
        <v>0</v>
      </c>
      <c r="M251" s="161">
        <f t="shared" si="70"/>
        <v>0</v>
      </c>
      <c r="N251" s="161">
        <f t="shared" si="70"/>
        <v>0</v>
      </c>
      <c r="O251" s="161">
        <f t="shared" si="70"/>
        <v>0</v>
      </c>
      <c r="P251" s="161">
        <f t="shared" si="70"/>
        <v>0</v>
      </c>
      <c r="Q251" s="161">
        <f t="shared" si="70"/>
        <v>0</v>
      </c>
      <c r="R251" s="161">
        <f t="shared" si="70"/>
        <v>0</v>
      </c>
      <c r="S251" s="161">
        <f t="shared" si="69"/>
        <v>0</v>
      </c>
      <c r="T251" s="161">
        <f t="shared" si="69"/>
        <v>0</v>
      </c>
      <c r="U251" s="161">
        <f t="shared" si="69"/>
        <v>0</v>
      </c>
      <c r="V251" s="161">
        <f t="shared" si="69"/>
        <v>0</v>
      </c>
      <c r="W251" s="161">
        <f t="shared" si="69"/>
        <v>0</v>
      </c>
      <c r="X251" s="161">
        <f t="shared" si="69"/>
        <v>0</v>
      </c>
      <c r="Y251" s="161">
        <f t="shared" si="69"/>
        <v>0</v>
      </c>
      <c r="Z251" s="161">
        <f t="shared" si="69"/>
        <v>0</v>
      </c>
      <c r="AA251" s="161">
        <f t="shared" si="69"/>
        <v>0</v>
      </c>
      <c r="AB251" s="161">
        <f t="shared" si="69"/>
        <v>0</v>
      </c>
      <c r="AC251" s="161">
        <f t="shared" si="69"/>
        <v>0</v>
      </c>
      <c r="AD251" s="161">
        <f t="shared" si="69"/>
        <v>0</v>
      </c>
      <c r="AE251" s="161">
        <f t="shared" si="69"/>
        <v>0</v>
      </c>
      <c r="AF251" s="174">
        <f t="shared" si="6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70"/>
        <v>0</v>
      </c>
      <c r="D252" s="161">
        <f t="shared" si="70"/>
        <v>0</v>
      </c>
      <c r="E252" s="161">
        <f t="shared" si="70"/>
        <v>0</v>
      </c>
      <c r="F252" s="161">
        <f t="shared" si="70"/>
        <v>0</v>
      </c>
      <c r="G252" s="161">
        <f t="shared" si="70"/>
        <v>0</v>
      </c>
      <c r="H252" s="161">
        <f t="shared" si="70"/>
        <v>0</v>
      </c>
      <c r="I252" s="161">
        <f t="shared" si="70"/>
        <v>0</v>
      </c>
      <c r="J252" s="161">
        <f t="shared" si="70"/>
        <v>0</v>
      </c>
      <c r="K252" s="161">
        <f t="shared" si="70"/>
        <v>0</v>
      </c>
      <c r="L252" s="161">
        <f t="shared" si="70"/>
        <v>0</v>
      </c>
      <c r="M252" s="161">
        <f t="shared" si="70"/>
        <v>0</v>
      </c>
      <c r="N252" s="161">
        <f t="shared" si="70"/>
        <v>0</v>
      </c>
      <c r="O252" s="161">
        <f t="shared" si="70"/>
        <v>0</v>
      </c>
      <c r="P252" s="161">
        <f t="shared" si="70"/>
        <v>0</v>
      </c>
      <c r="Q252" s="161">
        <f t="shared" si="70"/>
        <v>0</v>
      </c>
      <c r="R252" s="161">
        <f t="shared" si="70"/>
        <v>0</v>
      </c>
      <c r="S252" s="161">
        <f t="shared" si="69"/>
        <v>0</v>
      </c>
      <c r="T252" s="161">
        <f t="shared" si="69"/>
        <v>0</v>
      </c>
      <c r="U252" s="161">
        <f t="shared" si="69"/>
        <v>0</v>
      </c>
      <c r="V252" s="161">
        <f t="shared" si="69"/>
        <v>0</v>
      </c>
      <c r="W252" s="161">
        <f t="shared" si="69"/>
        <v>0</v>
      </c>
      <c r="X252" s="161">
        <f t="shared" si="69"/>
        <v>0</v>
      </c>
      <c r="Y252" s="161">
        <f t="shared" si="69"/>
        <v>0</v>
      </c>
      <c r="Z252" s="161">
        <f t="shared" si="69"/>
        <v>0</v>
      </c>
      <c r="AA252" s="161">
        <f t="shared" si="69"/>
        <v>0</v>
      </c>
      <c r="AB252" s="161">
        <f t="shared" si="69"/>
        <v>0</v>
      </c>
      <c r="AC252" s="161">
        <f t="shared" si="69"/>
        <v>0</v>
      </c>
      <c r="AD252" s="161">
        <f t="shared" si="69"/>
        <v>0</v>
      </c>
      <c r="AE252" s="161">
        <f t="shared" si="69"/>
        <v>0</v>
      </c>
      <c r="AF252" s="174">
        <f t="shared" si="6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70"/>
        <v>0</v>
      </c>
      <c r="D253" s="161">
        <f t="shared" si="70"/>
        <v>0</v>
      </c>
      <c r="E253" s="161">
        <f t="shared" si="70"/>
        <v>0</v>
      </c>
      <c r="F253" s="161">
        <f t="shared" si="70"/>
        <v>0</v>
      </c>
      <c r="G253" s="161">
        <f t="shared" si="70"/>
        <v>0</v>
      </c>
      <c r="H253" s="161">
        <f t="shared" si="70"/>
        <v>0</v>
      </c>
      <c r="I253" s="161">
        <f t="shared" si="70"/>
        <v>0</v>
      </c>
      <c r="J253" s="161">
        <f t="shared" si="70"/>
        <v>0</v>
      </c>
      <c r="K253" s="161">
        <f t="shared" si="70"/>
        <v>0</v>
      </c>
      <c r="L253" s="161">
        <f t="shared" si="70"/>
        <v>0</v>
      </c>
      <c r="M253" s="161">
        <f t="shared" si="70"/>
        <v>0</v>
      </c>
      <c r="N253" s="161">
        <f t="shared" si="70"/>
        <v>0</v>
      </c>
      <c r="O253" s="161">
        <f t="shared" si="70"/>
        <v>0</v>
      </c>
      <c r="P253" s="161">
        <f t="shared" si="70"/>
        <v>0</v>
      </c>
      <c r="Q253" s="161">
        <f t="shared" si="70"/>
        <v>0</v>
      </c>
      <c r="R253" s="161">
        <f t="shared" si="70"/>
        <v>0</v>
      </c>
      <c r="S253" s="161">
        <f t="shared" si="69"/>
        <v>0</v>
      </c>
      <c r="T253" s="161">
        <f t="shared" si="69"/>
        <v>0</v>
      </c>
      <c r="U253" s="161">
        <f t="shared" si="69"/>
        <v>0</v>
      </c>
      <c r="V253" s="161">
        <f t="shared" si="69"/>
        <v>0</v>
      </c>
      <c r="W253" s="161">
        <f t="shared" si="69"/>
        <v>0</v>
      </c>
      <c r="X253" s="161">
        <f t="shared" si="69"/>
        <v>0</v>
      </c>
      <c r="Y253" s="161">
        <f t="shared" si="69"/>
        <v>0</v>
      </c>
      <c r="Z253" s="161">
        <f t="shared" si="69"/>
        <v>0</v>
      </c>
      <c r="AA253" s="161">
        <f t="shared" si="69"/>
        <v>0</v>
      </c>
      <c r="AB253" s="161">
        <f t="shared" si="69"/>
        <v>0</v>
      </c>
      <c r="AC253" s="161">
        <f t="shared" si="69"/>
        <v>0</v>
      </c>
      <c r="AD253" s="161">
        <f t="shared" si="69"/>
        <v>0</v>
      </c>
      <c r="AE253" s="161">
        <f t="shared" si="69"/>
        <v>0</v>
      </c>
      <c r="AF253" s="174">
        <f t="shared" si="6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70"/>
        <v>0</v>
      </c>
      <c r="D254" s="161">
        <f t="shared" si="70"/>
        <v>0</v>
      </c>
      <c r="E254" s="161">
        <f t="shared" si="70"/>
        <v>0</v>
      </c>
      <c r="F254" s="161">
        <f t="shared" si="70"/>
        <v>0</v>
      </c>
      <c r="G254" s="161">
        <f t="shared" si="70"/>
        <v>0</v>
      </c>
      <c r="H254" s="161">
        <f t="shared" si="70"/>
        <v>0</v>
      </c>
      <c r="I254" s="161">
        <f t="shared" si="70"/>
        <v>0</v>
      </c>
      <c r="J254" s="161">
        <f t="shared" si="70"/>
        <v>0</v>
      </c>
      <c r="K254" s="161">
        <f t="shared" si="70"/>
        <v>0</v>
      </c>
      <c r="L254" s="161">
        <f t="shared" si="70"/>
        <v>0</v>
      </c>
      <c r="M254" s="161">
        <f t="shared" si="70"/>
        <v>0</v>
      </c>
      <c r="N254" s="161">
        <f t="shared" si="70"/>
        <v>0</v>
      </c>
      <c r="O254" s="161">
        <f t="shared" si="70"/>
        <v>0</v>
      </c>
      <c r="P254" s="161">
        <f t="shared" si="70"/>
        <v>0</v>
      </c>
      <c r="Q254" s="161">
        <f t="shared" si="70"/>
        <v>0</v>
      </c>
      <c r="R254" s="161">
        <f t="shared" si="70"/>
        <v>0</v>
      </c>
      <c r="S254" s="161">
        <f t="shared" si="69"/>
        <v>0</v>
      </c>
      <c r="T254" s="161">
        <f t="shared" si="69"/>
        <v>0</v>
      </c>
      <c r="U254" s="161">
        <f t="shared" si="69"/>
        <v>0</v>
      </c>
      <c r="V254" s="161">
        <f t="shared" si="69"/>
        <v>0</v>
      </c>
      <c r="W254" s="161">
        <f t="shared" si="69"/>
        <v>0</v>
      </c>
      <c r="X254" s="161">
        <f t="shared" si="69"/>
        <v>0</v>
      </c>
      <c r="Y254" s="161">
        <f t="shared" si="69"/>
        <v>0</v>
      </c>
      <c r="Z254" s="161">
        <f t="shared" si="69"/>
        <v>0</v>
      </c>
      <c r="AA254" s="161">
        <f t="shared" si="69"/>
        <v>0</v>
      </c>
      <c r="AB254" s="161">
        <f t="shared" si="69"/>
        <v>0</v>
      </c>
      <c r="AC254" s="161">
        <f t="shared" si="69"/>
        <v>0</v>
      </c>
      <c r="AD254" s="161">
        <f t="shared" si="69"/>
        <v>0</v>
      </c>
      <c r="AE254" s="161">
        <f t="shared" si="69"/>
        <v>0</v>
      </c>
      <c r="AF254" s="174">
        <f t="shared" si="6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70"/>
        <v>0</v>
      </c>
      <c r="D255" s="161">
        <f t="shared" si="70"/>
        <v>0</v>
      </c>
      <c r="E255" s="161">
        <f t="shared" si="70"/>
        <v>0</v>
      </c>
      <c r="F255" s="161">
        <f t="shared" si="70"/>
        <v>0</v>
      </c>
      <c r="G255" s="161">
        <f t="shared" si="70"/>
        <v>0</v>
      </c>
      <c r="H255" s="161">
        <f t="shared" si="70"/>
        <v>0</v>
      </c>
      <c r="I255" s="161">
        <f t="shared" si="70"/>
        <v>0</v>
      </c>
      <c r="J255" s="161">
        <f t="shared" si="70"/>
        <v>0</v>
      </c>
      <c r="K255" s="161">
        <f t="shared" si="70"/>
        <v>0</v>
      </c>
      <c r="L255" s="161">
        <f t="shared" si="70"/>
        <v>0</v>
      </c>
      <c r="M255" s="161">
        <f t="shared" si="70"/>
        <v>0</v>
      </c>
      <c r="N255" s="161">
        <f t="shared" si="70"/>
        <v>0</v>
      </c>
      <c r="O255" s="161">
        <f t="shared" si="70"/>
        <v>0</v>
      </c>
      <c r="P255" s="161">
        <f t="shared" si="70"/>
        <v>0</v>
      </c>
      <c r="Q255" s="161">
        <f t="shared" si="70"/>
        <v>0</v>
      </c>
      <c r="R255" s="161">
        <f t="shared" si="70"/>
        <v>0</v>
      </c>
      <c r="S255" s="161">
        <f t="shared" si="69"/>
        <v>0</v>
      </c>
      <c r="T255" s="161">
        <f t="shared" si="69"/>
        <v>0</v>
      </c>
      <c r="U255" s="161">
        <f t="shared" si="69"/>
        <v>0</v>
      </c>
      <c r="V255" s="161">
        <f t="shared" si="69"/>
        <v>0</v>
      </c>
      <c r="W255" s="161">
        <f t="shared" si="69"/>
        <v>0</v>
      </c>
      <c r="X255" s="161">
        <f t="shared" si="69"/>
        <v>0</v>
      </c>
      <c r="Y255" s="161">
        <f t="shared" si="69"/>
        <v>0</v>
      </c>
      <c r="Z255" s="161">
        <f t="shared" si="69"/>
        <v>0</v>
      </c>
      <c r="AA255" s="161">
        <f t="shared" si="69"/>
        <v>0</v>
      </c>
      <c r="AB255" s="161">
        <f t="shared" si="69"/>
        <v>0</v>
      </c>
      <c r="AC255" s="161">
        <f t="shared" si="69"/>
        <v>0</v>
      </c>
      <c r="AD255" s="161">
        <f t="shared" si="69"/>
        <v>0</v>
      </c>
      <c r="AE255" s="161">
        <f t="shared" si="69"/>
        <v>0</v>
      </c>
      <c r="AF255" s="174">
        <f t="shared" si="6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70"/>
        <v>0</v>
      </c>
      <c r="D256" s="161">
        <f t="shared" si="70"/>
        <v>0</v>
      </c>
      <c r="E256" s="161">
        <f t="shared" si="70"/>
        <v>0</v>
      </c>
      <c r="F256" s="161">
        <f t="shared" si="70"/>
        <v>0</v>
      </c>
      <c r="G256" s="161">
        <f t="shared" si="70"/>
        <v>0</v>
      </c>
      <c r="H256" s="161">
        <f t="shared" si="70"/>
        <v>0</v>
      </c>
      <c r="I256" s="161">
        <f t="shared" si="70"/>
        <v>0</v>
      </c>
      <c r="J256" s="161">
        <f t="shared" si="70"/>
        <v>0</v>
      </c>
      <c r="K256" s="161">
        <f t="shared" si="70"/>
        <v>0</v>
      </c>
      <c r="L256" s="161">
        <f t="shared" si="70"/>
        <v>0</v>
      </c>
      <c r="M256" s="161">
        <f t="shared" si="70"/>
        <v>0</v>
      </c>
      <c r="N256" s="161">
        <f t="shared" si="70"/>
        <v>0</v>
      </c>
      <c r="O256" s="161">
        <f t="shared" si="70"/>
        <v>0</v>
      </c>
      <c r="P256" s="161">
        <f t="shared" si="70"/>
        <v>0</v>
      </c>
      <c r="Q256" s="161">
        <f t="shared" si="70"/>
        <v>0</v>
      </c>
      <c r="R256" s="161">
        <f t="shared" si="70"/>
        <v>0</v>
      </c>
      <c r="S256" s="161">
        <f t="shared" si="69"/>
        <v>0</v>
      </c>
      <c r="T256" s="161">
        <f t="shared" si="69"/>
        <v>0</v>
      </c>
      <c r="U256" s="161">
        <f t="shared" si="69"/>
        <v>0</v>
      </c>
      <c r="V256" s="161">
        <f t="shared" si="69"/>
        <v>0</v>
      </c>
      <c r="W256" s="161">
        <f t="shared" si="69"/>
        <v>0</v>
      </c>
      <c r="X256" s="161">
        <f t="shared" si="69"/>
        <v>0</v>
      </c>
      <c r="Y256" s="161">
        <f t="shared" si="69"/>
        <v>0</v>
      </c>
      <c r="Z256" s="161">
        <f t="shared" si="69"/>
        <v>0</v>
      </c>
      <c r="AA256" s="161">
        <f t="shared" si="69"/>
        <v>0</v>
      </c>
      <c r="AB256" s="161">
        <f t="shared" si="69"/>
        <v>0</v>
      </c>
      <c r="AC256" s="161">
        <f t="shared" si="69"/>
        <v>0</v>
      </c>
      <c r="AD256" s="161">
        <f t="shared" si="69"/>
        <v>0</v>
      </c>
      <c r="AE256" s="161">
        <f t="shared" si="69"/>
        <v>0</v>
      </c>
      <c r="AF256" s="174">
        <f t="shared" si="6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70"/>
        <v>0</v>
      </c>
      <c r="D257" s="161">
        <f t="shared" si="70"/>
        <v>0</v>
      </c>
      <c r="E257" s="161">
        <f t="shared" si="70"/>
        <v>0</v>
      </c>
      <c r="F257" s="161">
        <f t="shared" si="70"/>
        <v>0</v>
      </c>
      <c r="G257" s="161">
        <f t="shared" si="70"/>
        <v>0</v>
      </c>
      <c r="H257" s="161">
        <f t="shared" si="70"/>
        <v>0</v>
      </c>
      <c r="I257" s="161">
        <f t="shared" si="70"/>
        <v>0</v>
      </c>
      <c r="J257" s="161">
        <f t="shared" si="70"/>
        <v>0</v>
      </c>
      <c r="K257" s="161">
        <f t="shared" si="70"/>
        <v>0</v>
      </c>
      <c r="L257" s="161">
        <f t="shared" si="70"/>
        <v>0</v>
      </c>
      <c r="M257" s="161">
        <f t="shared" si="70"/>
        <v>0</v>
      </c>
      <c r="N257" s="161">
        <f t="shared" si="70"/>
        <v>0</v>
      </c>
      <c r="O257" s="161">
        <f t="shared" si="70"/>
        <v>0</v>
      </c>
      <c r="P257" s="161">
        <f t="shared" si="70"/>
        <v>0</v>
      </c>
      <c r="Q257" s="161">
        <f t="shared" si="70"/>
        <v>0</v>
      </c>
      <c r="R257" s="161">
        <f t="shared" si="70"/>
        <v>0</v>
      </c>
      <c r="S257" s="161">
        <f t="shared" si="69"/>
        <v>0</v>
      </c>
      <c r="T257" s="161">
        <f t="shared" si="69"/>
        <v>0</v>
      </c>
      <c r="U257" s="161">
        <f t="shared" si="69"/>
        <v>0</v>
      </c>
      <c r="V257" s="161">
        <f t="shared" si="69"/>
        <v>0</v>
      </c>
      <c r="W257" s="161">
        <f t="shared" si="69"/>
        <v>0</v>
      </c>
      <c r="X257" s="161">
        <f t="shared" si="69"/>
        <v>0</v>
      </c>
      <c r="Y257" s="161">
        <f t="shared" si="69"/>
        <v>0</v>
      </c>
      <c r="Z257" s="161">
        <f t="shared" si="69"/>
        <v>0</v>
      </c>
      <c r="AA257" s="161">
        <f t="shared" si="69"/>
        <v>0</v>
      </c>
      <c r="AB257" s="161">
        <f t="shared" si="69"/>
        <v>0</v>
      </c>
      <c r="AC257" s="161">
        <f t="shared" si="69"/>
        <v>0</v>
      </c>
      <c r="AD257" s="161">
        <f t="shared" si="69"/>
        <v>0</v>
      </c>
      <c r="AE257" s="161">
        <f t="shared" si="69"/>
        <v>0</v>
      </c>
      <c r="AF257" s="174">
        <f t="shared" si="6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70"/>
        <v>0</v>
      </c>
      <c r="D258" s="161">
        <f t="shared" si="70"/>
        <v>0</v>
      </c>
      <c r="E258" s="161">
        <f t="shared" si="70"/>
        <v>0</v>
      </c>
      <c r="F258" s="161">
        <f t="shared" si="70"/>
        <v>0</v>
      </c>
      <c r="G258" s="161">
        <f t="shared" si="70"/>
        <v>0</v>
      </c>
      <c r="H258" s="161">
        <f t="shared" si="70"/>
        <v>0</v>
      </c>
      <c r="I258" s="161">
        <f t="shared" si="70"/>
        <v>0</v>
      </c>
      <c r="J258" s="161">
        <f t="shared" si="70"/>
        <v>0</v>
      </c>
      <c r="K258" s="161">
        <f t="shared" si="70"/>
        <v>0</v>
      </c>
      <c r="L258" s="161">
        <f t="shared" si="70"/>
        <v>0</v>
      </c>
      <c r="M258" s="161">
        <f t="shared" si="70"/>
        <v>0</v>
      </c>
      <c r="N258" s="161">
        <f t="shared" si="70"/>
        <v>0</v>
      </c>
      <c r="O258" s="161">
        <f t="shared" si="70"/>
        <v>0</v>
      </c>
      <c r="P258" s="161">
        <f t="shared" si="70"/>
        <v>0</v>
      </c>
      <c r="Q258" s="161">
        <f t="shared" si="70"/>
        <v>0</v>
      </c>
      <c r="R258" s="161">
        <f t="shared" si="70"/>
        <v>0</v>
      </c>
      <c r="S258" s="161">
        <f t="shared" si="69"/>
        <v>0</v>
      </c>
      <c r="T258" s="161">
        <f t="shared" si="69"/>
        <v>0</v>
      </c>
      <c r="U258" s="161">
        <f t="shared" si="69"/>
        <v>0</v>
      </c>
      <c r="V258" s="161">
        <f t="shared" si="69"/>
        <v>0</v>
      </c>
      <c r="W258" s="161">
        <f t="shared" si="69"/>
        <v>0</v>
      </c>
      <c r="X258" s="161">
        <f t="shared" si="69"/>
        <v>0</v>
      </c>
      <c r="Y258" s="161">
        <f t="shared" si="69"/>
        <v>0</v>
      </c>
      <c r="Z258" s="161">
        <f t="shared" si="69"/>
        <v>0</v>
      </c>
      <c r="AA258" s="161">
        <f t="shared" si="69"/>
        <v>0</v>
      </c>
      <c r="AB258" s="161">
        <f t="shared" si="69"/>
        <v>0</v>
      </c>
      <c r="AC258" s="161">
        <f t="shared" si="69"/>
        <v>0</v>
      </c>
      <c r="AD258" s="161">
        <f t="shared" si="69"/>
        <v>0</v>
      </c>
      <c r="AE258" s="161">
        <f t="shared" si="69"/>
        <v>0</v>
      </c>
      <c r="AF258" s="174">
        <f t="shared" si="6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70"/>
        <v>0</v>
      </c>
      <c r="D259" s="161">
        <f t="shared" si="70"/>
        <v>0</v>
      </c>
      <c r="E259" s="161">
        <f t="shared" si="70"/>
        <v>0</v>
      </c>
      <c r="F259" s="161">
        <f t="shared" si="70"/>
        <v>0</v>
      </c>
      <c r="G259" s="161">
        <f t="shared" si="70"/>
        <v>0</v>
      </c>
      <c r="H259" s="161">
        <f t="shared" si="70"/>
        <v>0</v>
      </c>
      <c r="I259" s="161">
        <f t="shared" si="70"/>
        <v>0</v>
      </c>
      <c r="J259" s="161">
        <f t="shared" si="70"/>
        <v>0</v>
      </c>
      <c r="K259" s="161">
        <f t="shared" si="70"/>
        <v>0</v>
      </c>
      <c r="L259" s="161">
        <f t="shared" si="70"/>
        <v>0</v>
      </c>
      <c r="M259" s="161">
        <f t="shared" si="70"/>
        <v>0</v>
      </c>
      <c r="N259" s="161">
        <f t="shared" si="70"/>
        <v>0</v>
      </c>
      <c r="O259" s="161">
        <f t="shared" si="70"/>
        <v>0</v>
      </c>
      <c r="P259" s="161">
        <f t="shared" si="70"/>
        <v>0</v>
      </c>
      <c r="Q259" s="161">
        <f t="shared" si="70"/>
        <v>0</v>
      </c>
      <c r="R259" s="161">
        <f t="shared" si="70"/>
        <v>0</v>
      </c>
      <c r="S259" s="161">
        <f t="shared" si="69"/>
        <v>0</v>
      </c>
      <c r="T259" s="161">
        <f t="shared" si="69"/>
        <v>0</v>
      </c>
      <c r="U259" s="161">
        <f t="shared" si="69"/>
        <v>0</v>
      </c>
      <c r="V259" s="161">
        <f t="shared" si="69"/>
        <v>0</v>
      </c>
      <c r="W259" s="161">
        <f t="shared" si="69"/>
        <v>0</v>
      </c>
      <c r="X259" s="161">
        <f t="shared" si="69"/>
        <v>0</v>
      </c>
      <c r="Y259" s="161">
        <f t="shared" si="69"/>
        <v>0</v>
      </c>
      <c r="Z259" s="161">
        <f t="shared" si="69"/>
        <v>0</v>
      </c>
      <c r="AA259" s="161">
        <f t="shared" si="69"/>
        <v>0</v>
      </c>
      <c r="AB259" s="161">
        <f t="shared" si="69"/>
        <v>0</v>
      </c>
      <c r="AC259" s="161">
        <f t="shared" si="69"/>
        <v>0</v>
      </c>
      <c r="AD259" s="161">
        <f t="shared" si="69"/>
        <v>0</v>
      </c>
      <c r="AE259" s="161">
        <f t="shared" si="69"/>
        <v>0</v>
      </c>
      <c r="AF259" s="174">
        <f t="shared" si="6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70"/>
        <v>0</v>
      </c>
      <c r="D260" s="161">
        <f t="shared" si="70"/>
        <v>0</v>
      </c>
      <c r="E260" s="161">
        <f t="shared" si="70"/>
        <v>0</v>
      </c>
      <c r="F260" s="161">
        <f t="shared" si="70"/>
        <v>0</v>
      </c>
      <c r="G260" s="161">
        <f t="shared" si="70"/>
        <v>0</v>
      </c>
      <c r="H260" s="161">
        <f t="shared" si="70"/>
        <v>0</v>
      </c>
      <c r="I260" s="161">
        <f t="shared" si="70"/>
        <v>0</v>
      </c>
      <c r="J260" s="161">
        <f t="shared" si="70"/>
        <v>0</v>
      </c>
      <c r="K260" s="161">
        <f t="shared" si="70"/>
        <v>0</v>
      </c>
      <c r="L260" s="161">
        <f t="shared" si="70"/>
        <v>0</v>
      </c>
      <c r="M260" s="161">
        <f t="shared" si="70"/>
        <v>0</v>
      </c>
      <c r="N260" s="161">
        <f t="shared" si="70"/>
        <v>0</v>
      </c>
      <c r="O260" s="161">
        <f t="shared" si="70"/>
        <v>0</v>
      </c>
      <c r="P260" s="161">
        <f t="shared" si="70"/>
        <v>0</v>
      </c>
      <c r="Q260" s="161">
        <f t="shared" si="70"/>
        <v>0</v>
      </c>
      <c r="R260" s="161">
        <f t="shared" si="70"/>
        <v>0</v>
      </c>
      <c r="S260" s="161">
        <f t="shared" si="69"/>
        <v>0</v>
      </c>
      <c r="T260" s="161">
        <f t="shared" si="69"/>
        <v>0</v>
      </c>
      <c r="U260" s="161">
        <f t="shared" si="69"/>
        <v>0</v>
      </c>
      <c r="V260" s="161">
        <f t="shared" si="69"/>
        <v>0</v>
      </c>
      <c r="W260" s="161">
        <f t="shared" si="69"/>
        <v>0</v>
      </c>
      <c r="X260" s="161">
        <f t="shared" si="69"/>
        <v>0</v>
      </c>
      <c r="Y260" s="161">
        <f t="shared" si="69"/>
        <v>0</v>
      </c>
      <c r="Z260" s="161">
        <f t="shared" si="69"/>
        <v>0</v>
      </c>
      <c r="AA260" s="161">
        <f t="shared" si="69"/>
        <v>0</v>
      </c>
      <c r="AB260" s="161">
        <f t="shared" si="69"/>
        <v>0</v>
      </c>
      <c r="AC260" s="161">
        <f t="shared" si="69"/>
        <v>0</v>
      </c>
      <c r="AD260" s="161">
        <f t="shared" si="69"/>
        <v>0</v>
      </c>
      <c r="AE260" s="161">
        <f t="shared" si="69"/>
        <v>0</v>
      </c>
      <c r="AF260" s="174">
        <f t="shared" si="6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70"/>
        <v>0</v>
      </c>
      <c r="D261" s="161">
        <f t="shared" si="70"/>
        <v>0</v>
      </c>
      <c r="E261" s="161">
        <f t="shared" si="70"/>
        <v>0</v>
      </c>
      <c r="F261" s="161">
        <f t="shared" si="70"/>
        <v>0</v>
      </c>
      <c r="G261" s="161">
        <f t="shared" si="70"/>
        <v>0</v>
      </c>
      <c r="H261" s="161">
        <f t="shared" si="70"/>
        <v>0</v>
      </c>
      <c r="I261" s="161">
        <f t="shared" si="70"/>
        <v>0</v>
      </c>
      <c r="J261" s="161">
        <f t="shared" si="70"/>
        <v>0</v>
      </c>
      <c r="K261" s="161">
        <f t="shared" si="70"/>
        <v>0</v>
      </c>
      <c r="L261" s="161">
        <f t="shared" si="70"/>
        <v>0</v>
      </c>
      <c r="M261" s="161">
        <f t="shared" si="70"/>
        <v>0</v>
      </c>
      <c r="N261" s="161">
        <f t="shared" si="70"/>
        <v>0</v>
      </c>
      <c r="O261" s="161">
        <f t="shared" si="70"/>
        <v>0</v>
      </c>
      <c r="P261" s="161">
        <f t="shared" si="70"/>
        <v>0</v>
      </c>
      <c r="Q261" s="161">
        <f t="shared" si="70"/>
        <v>0</v>
      </c>
      <c r="R261" s="161">
        <f t="shared" si="70"/>
        <v>0</v>
      </c>
      <c r="S261" s="161">
        <f t="shared" si="69"/>
        <v>0</v>
      </c>
      <c r="T261" s="161">
        <f t="shared" si="69"/>
        <v>0</v>
      </c>
      <c r="U261" s="161">
        <f t="shared" si="69"/>
        <v>0</v>
      </c>
      <c r="V261" s="161">
        <f t="shared" si="69"/>
        <v>0</v>
      </c>
      <c r="W261" s="161">
        <f t="shared" si="69"/>
        <v>0</v>
      </c>
      <c r="X261" s="161">
        <f t="shared" si="69"/>
        <v>0</v>
      </c>
      <c r="Y261" s="161">
        <f t="shared" si="69"/>
        <v>0</v>
      </c>
      <c r="Z261" s="161">
        <f t="shared" si="69"/>
        <v>0</v>
      </c>
      <c r="AA261" s="161">
        <f t="shared" si="69"/>
        <v>0</v>
      </c>
      <c r="AB261" s="161">
        <f t="shared" si="69"/>
        <v>0</v>
      </c>
      <c r="AC261" s="161">
        <f t="shared" si="69"/>
        <v>0</v>
      </c>
      <c r="AD261" s="161">
        <f t="shared" si="69"/>
        <v>0</v>
      </c>
      <c r="AE261" s="161">
        <f t="shared" si="69"/>
        <v>0</v>
      </c>
      <c r="AF261" s="174">
        <f t="shared" si="6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70"/>
        <v>0</v>
      </c>
      <c r="D262" s="161">
        <f t="shared" si="70"/>
        <v>0</v>
      </c>
      <c r="E262" s="161">
        <f t="shared" si="70"/>
        <v>0</v>
      </c>
      <c r="F262" s="161">
        <f t="shared" si="70"/>
        <v>0</v>
      </c>
      <c r="G262" s="161">
        <f t="shared" si="70"/>
        <v>0</v>
      </c>
      <c r="H262" s="161">
        <f t="shared" si="70"/>
        <v>0</v>
      </c>
      <c r="I262" s="161">
        <f t="shared" si="70"/>
        <v>0</v>
      </c>
      <c r="J262" s="161">
        <f t="shared" si="70"/>
        <v>0</v>
      </c>
      <c r="K262" s="161">
        <f t="shared" si="70"/>
        <v>0</v>
      </c>
      <c r="L262" s="161">
        <f t="shared" si="70"/>
        <v>0</v>
      </c>
      <c r="M262" s="161">
        <f t="shared" si="70"/>
        <v>0</v>
      </c>
      <c r="N262" s="161">
        <f t="shared" si="70"/>
        <v>0</v>
      </c>
      <c r="O262" s="161">
        <f t="shared" si="70"/>
        <v>0</v>
      </c>
      <c r="P262" s="161">
        <f t="shared" si="70"/>
        <v>0</v>
      </c>
      <c r="Q262" s="161">
        <f t="shared" si="70"/>
        <v>0</v>
      </c>
      <c r="R262" s="161">
        <f t="shared" si="70"/>
        <v>0</v>
      </c>
      <c r="S262" s="161">
        <f t="shared" si="69"/>
        <v>0</v>
      </c>
      <c r="T262" s="161">
        <f t="shared" si="69"/>
        <v>0</v>
      </c>
      <c r="U262" s="161">
        <f t="shared" si="69"/>
        <v>0</v>
      </c>
      <c r="V262" s="161">
        <f t="shared" si="69"/>
        <v>0</v>
      </c>
      <c r="W262" s="161">
        <f t="shared" si="69"/>
        <v>0</v>
      </c>
      <c r="X262" s="161">
        <f t="shared" si="69"/>
        <v>0</v>
      </c>
      <c r="Y262" s="161">
        <f t="shared" si="69"/>
        <v>0</v>
      </c>
      <c r="Z262" s="161">
        <f t="shared" si="69"/>
        <v>0</v>
      </c>
      <c r="AA262" s="161">
        <f t="shared" si="69"/>
        <v>0</v>
      </c>
      <c r="AB262" s="161">
        <f t="shared" si="69"/>
        <v>0</v>
      </c>
      <c r="AC262" s="161">
        <f t="shared" si="69"/>
        <v>0</v>
      </c>
      <c r="AD262" s="161">
        <f t="shared" si="69"/>
        <v>0</v>
      </c>
      <c r="AE262" s="161">
        <f t="shared" si="69"/>
        <v>0</v>
      </c>
      <c r="AF262" s="174">
        <f t="shared" si="6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70"/>
        <v>0</v>
      </c>
      <c r="D263" s="161">
        <f t="shared" si="70"/>
        <v>0</v>
      </c>
      <c r="E263" s="161">
        <f t="shared" si="70"/>
        <v>0</v>
      </c>
      <c r="F263" s="161">
        <f t="shared" si="70"/>
        <v>0</v>
      </c>
      <c r="G263" s="161">
        <f t="shared" si="70"/>
        <v>0</v>
      </c>
      <c r="H263" s="161">
        <f t="shared" si="70"/>
        <v>0</v>
      </c>
      <c r="I263" s="161">
        <f t="shared" si="70"/>
        <v>0</v>
      </c>
      <c r="J263" s="161">
        <f t="shared" si="70"/>
        <v>0</v>
      </c>
      <c r="K263" s="161">
        <f t="shared" si="70"/>
        <v>0</v>
      </c>
      <c r="L263" s="161">
        <f t="shared" si="70"/>
        <v>0</v>
      </c>
      <c r="M263" s="161">
        <f t="shared" si="70"/>
        <v>0</v>
      </c>
      <c r="N263" s="161">
        <f t="shared" si="70"/>
        <v>0</v>
      </c>
      <c r="O263" s="161">
        <f t="shared" si="70"/>
        <v>0</v>
      </c>
      <c r="P263" s="161">
        <f t="shared" si="70"/>
        <v>0</v>
      </c>
      <c r="Q263" s="161">
        <f t="shared" si="70"/>
        <v>0</v>
      </c>
      <c r="R263" s="161">
        <f t="shared" si="70"/>
        <v>0</v>
      </c>
      <c r="S263" s="161">
        <f t="shared" si="69"/>
        <v>0</v>
      </c>
      <c r="T263" s="161">
        <f t="shared" si="69"/>
        <v>0</v>
      </c>
      <c r="U263" s="161">
        <f t="shared" si="69"/>
        <v>0</v>
      </c>
      <c r="V263" s="161">
        <f t="shared" si="69"/>
        <v>0</v>
      </c>
      <c r="W263" s="161">
        <f t="shared" si="69"/>
        <v>0</v>
      </c>
      <c r="X263" s="161">
        <f t="shared" si="69"/>
        <v>0</v>
      </c>
      <c r="Y263" s="161">
        <f t="shared" si="69"/>
        <v>0</v>
      </c>
      <c r="Z263" s="161">
        <f t="shared" si="69"/>
        <v>0</v>
      </c>
      <c r="AA263" s="161">
        <f t="shared" si="69"/>
        <v>0</v>
      </c>
      <c r="AB263" s="161">
        <f t="shared" si="69"/>
        <v>0</v>
      </c>
      <c r="AC263" s="161">
        <f t="shared" si="69"/>
        <v>0</v>
      </c>
      <c r="AD263" s="161">
        <f t="shared" si="69"/>
        <v>0</v>
      </c>
      <c r="AE263" s="161">
        <f t="shared" si="69"/>
        <v>0</v>
      </c>
      <c r="AF263" s="174">
        <f t="shared" si="6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70"/>
        <v>0</v>
      </c>
      <c r="D264" s="161">
        <f t="shared" si="70"/>
        <v>0</v>
      </c>
      <c r="E264" s="161">
        <f t="shared" si="70"/>
        <v>0</v>
      </c>
      <c r="F264" s="161">
        <f t="shared" si="70"/>
        <v>0</v>
      </c>
      <c r="G264" s="161">
        <f t="shared" si="70"/>
        <v>0</v>
      </c>
      <c r="H264" s="161">
        <f t="shared" si="70"/>
        <v>0</v>
      </c>
      <c r="I264" s="161">
        <f t="shared" si="70"/>
        <v>0</v>
      </c>
      <c r="J264" s="161">
        <f t="shared" si="70"/>
        <v>0</v>
      </c>
      <c r="K264" s="161">
        <f t="shared" si="70"/>
        <v>0</v>
      </c>
      <c r="L264" s="161">
        <f t="shared" si="70"/>
        <v>0</v>
      </c>
      <c r="M264" s="161">
        <f t="shared" si="70"/>
        <v>0</v>
      </c>
      <c r="N264" s="161">
        <f t="shared" si="70"/>
        <v>0</v>
      </c>
      <c r="O264" s="161">
        <f t="shared" si="70"/>
        <v>0</v>
      </c>
      <c r="P264" s="161">
        <f t="shared" si="70"/>
        <v>0</v>
      </c>
      <c r="Q264" s="161">
        <f t="shared" si="70"/>
        <v>0</v>
      </c>
      <c r="R264" s="161">
        <f t="shared" si="70"/>
        <v>0</v>
      </c>
      <c r="S264" s="161">
        <f t="shared" ref="S264:AF273" si="71">R264</f>
        <v>0</v>
      </c>
      <c r="T264" s="161">
        <f t="shared" si="71"/>
        <v>0</v>
      </c>
      <c r="U264" s="161">
        <f t="shared" si="71"/>
        <v>0</v>
      </c>
      <c r="V264" s="161">
        <f t="shared" si="71"/>
        <v>0</v>
      </c>
      <c r="W264" s="161">
        <f t="shared" si="71"/>
        <v>0</v>
      </c>
      <c r="X264" s="161">
        <f t="shared" si="71"/>
        <v>0</v>
      </c>
      <c r="Y264" s="161">
        <f t="shared" si="71"/>
        <v>0</v>
      </c>
      <c r="Z264" s="161">
        <f t="shared" si="71"/>
        <v>0</v>
      </c>
      <c r="AA264" s="161">
        <f t="shared" si="71"/>
        <v>0</v>
      </c>
      <c r="AB264" s="161">
        <f t="shared" si="71"/>
        <v>0</v>
      </c>
      <c r="AC264" s="161">
        <f t="shared" si="71"/>
        <v>0</v>
      </c>
      <c r="AD264" s="161">
        <f t="shared" si="71"/>
        <v>0</v>
      </c>
      <c r="AE264" s="161">
        <f t="shared" si="71"/>
        <v>0</v>
      </c>
      <c r="AF264" s="174">
        <f t="shared" si="7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72">B265</f>
        <v>0</v>
      </c>
      <c r="D265" s="161">
        <f t="shared" si="72"/>
        <v>0</v>
      </c>
      <c r="E265" s="161">
        <f t="shared" si="72"/>
        <v>0</v>
      </c>
      <c r="F265" s="161">
        <f t="shared" si="72"/>
        <v>0</v>
      </c>
      <c r="G265" s="161">
        <f t="shared" si="72"/>
        <v>0</v>
      </c>
      <c r="H265" s="161">
        <f t="shared" si="72"/>
        <v>0</v>
      </c>
      <c r="I265" s="161">
        <f t="shared" si="72"/>
        <v>0</v>
      </c>
      <c r="J265" s="161">
        <f t="shared" si="72"/>
        <v>0</v>
      </c>
      <c r="K265" s="161">
        <f t="shared" si="72"/>
        <v>0</v>
      </c>
      <c r="L265" s="161">
        <f t="shared" si="72"/>
        <v>0</v>
      </c>
      <c r="M265" s="161">
        <f t="shared" si="72"/>
        <v>0</v>
      </c>
      <c r="N265" s="161">
        <f t="shared" si="72"/>
        <v>0</v>
      </c>
      <c r="O265" s="161">
        <f t="shared" si="72"/>
        <v>0</v>
      </c>
      <c r="P265" s="161">
        <f t="shared" si="72"/>
        <v>0</v>
      </c>
      <c r="Q265" s="161">
        <f t="shared" si="72"/>
        <v>0</v>
      </c>
      <c r="R265" s="161">
        <f t="shared" si="72"/>
        <v>0</v>
      </c>
      <c r="S265" s="161">
        <f t="shared" si="71"/>
        <v>0</v>
      </c>
      <c r="T265" s="161">
        <f t="shared" si="71"/>
        <v>0</v>
      </c>
      <c r="U265" s="161">
        <f t="shared" si="71"/>
        <v>0</v>
      </c>
      <c r="V265" s="161">
        <f t="shared" si="71"/>
        <v>0</v>
      </c>
      <c r="W265" s="161">
        <f t="shared" si="71"/>
        <v>0</v>
      </c>
      <c r="X265" s="161">
        <f t="shared" si="71"/>
        <v>0</v>
      </c>
      <c r="Y265" s="161">
        <f t="shared" si="71"/>
        <v>0</v>
      </c>
      <c r="Z265" s="161">
        <f t="shared" si="71"/>
        <v>0</v>
      </c>
      <c r="AA265" s="161">
        <f t="shared" si="71"/>
        <v>0</v>
      </c>
      <c r="AB265" s="161">
        <f t="shared" si="71"/>
        <v>0</v>
      </c>
      <c r="AC265" s="161">
        <f t="shared" si="71"/>
        <v>0</v>
      </c>
      <c r="AD265" s="161">
        <f t="shared" si="71"/>
        <v>0</v>
      </c>
      <c r="AE265" s="161">
        <f t="shared" si="71"/>
        <v>0</v>
      </c>
      <c r="AF265" s="174">
        <f t="shared" si="7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72"/>
        <v>0</v>
      </c>
      <c r="D266" s="161">
        <f t="shared" si="72"/>
        <v>0</v>
      </c>
      <c r="E266" s="161">
        <f t="shared" si="72"/>
        <v>0</v>
      </c>
      <c r="F266" s="161">
        <f t="shared" si="72"/>
        <v>0</v>
      </c>
      <c r="G266" s="161">
        <f t="shared" si="72"/>
        <v>0</v>
      </c>
      <c r="H266" s="161">
        <f t="shared" si="72"/>
        <v>0</v>
      </c>
      <c r="I266" s="161">
        <f t="shared" si="72"/>
        <v>0</v>
      </c>
      <c r="J266" s="161">
        <f t="shared" si="72"/>
        <v>0</v>
      </c>
      <c r="K266" s="161">
        <f t="shared" si="72"/>
        <v>0</v>
      </c>
      <c r="L266" s="161">
        <f t="shared" si="72"/>
        <v>0</v>
      </c>
      <c r="M266" s="161">
        <f t="shared" si="72"/>
        <v>0</v>
      </c>
      <c r="N266" s="161">
        <f t="shared" si="72"/>
        <v>0</v>
      </c>
      <c r="O266" s="161">
        <f t="shared" si="72"/>
        <v>0</v>
      </c>
      <c r="P266" s="161">
        <f t="shared" si="72"/>
        <v>0</v>
      </c>
      <c r="Q266" s="161">
        <f t="shared" si="72"/>
        <v>0</v>
      </c>
      <c r="R266" s="161">
        <f t="shared" si="72"/>
        <v>0</v>
      </c>
      <c r="S266" s="161">
        <f t="shared" si="71"/>
        <v>0</v>
      </c>
      <c r="T266" s="161">
        <f t="shared" si="71"/>
        <v>0</v>
      </c>
      <c r="U266" s="161">
        <f t="shared" si="71"/>
        <v>0</v>
      </c>
      <c r="V266" s="161">
        <f t="shared" si="71"/>
        <v>0</v>
      </c>
      <c r="W266" s="161">
        <f t="shared" si="71"/>
        <v>0</v>
      </c>
      <c r="X266" s="161">
        <f t="shared" si="71"/>
        <v>0</v>
      </c>
      <c r="Y266" s="161">
        <f t="shared" si="71"/>
        <v>0</v>
      </c>
      <c r="Z266" s="161">
        <f t="shared" si="71"/>
        <v>0</v>
      </c>
      <c r="AA266" s="161">
        <f t="shared" si="71"/>
        <v>0</v>
      </c>
      <c r="AB266" s="161">
        <f t="shared" si="71"/>
        <v>0</v>
      </c>
      <c r="AC266" s="161">
        <f t="shared" si="71"/>
        <v>0</v>
      </c>
      <c r="AD266" s="161">
        <f t="shared" si="71"/>
        <v>0</v>
      </c>
      <c r="AE266" s="161">
        <f t="shared" si="71"/>
        <v>0</v>
      </c>
      <c r="AF266" s="174">
        <f t="shared" si="7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72"/>
        <v>0</v>
      </c>
      <c r="D267" s="161">
        <f t="shared" si="72"/>
        <v>0</v>
      </c>
      <c r="E267" s="161">
        <f t="shared" si="72"/>
        <v>0</v>
      </c>
      <c r="F267" s="161">
        <f t="shared" si="72"/>
        <v>0</v>
      </c>
      <c r="G267" s="161">
        <f t="shared" si="72"/>
        <v>0</v>
      </c>
      <c r="H267" s="161">
        <f t="shared" si="72"/>
        <v>0</v>
      </c>
      <c r="I267" s="161">
        <f t="shared" si="72"/>
        <v>0</v>
      </c>
      <c r="J267" s="161">
        <f t="shared" si="72"/>
        <v>0</v>
      </c>
      <c r="K267" s="161">
        <f t="shared" si="72"/>
        <v>0</v>
      </c>
      <c r="L267" s="161">
        <f t="shared" si="72"/>
        <v>0</v>
      </c>
      <c r="M267" s="161">
        <f t="shared" si="72"/>
        <v>0</v>
      </c>
      <c r="N267" s="161">
        <f t="shared" si="72"/>
        <v>0</v>
      </c>
      <c r="O267" s="161">
        <f t="shared" si="72"/>
        <v>0</v>
      </c>
      <c r="P267" s="161">
        <f t="shared" si="72"/>
        <v>0</v>
      </c>
      <c r="Q267" s="161">
        <f t="shared" si="72"/>
        <v>0</v>
      </c>
      <c r="R267" s="161">
        <f t="shared" si="72"/>
        <v>0</v>
      </c>
      <c r="S267" s="161">
        <f t="shared" si="71"/>
        <v>0</v>
      </c>
      <c r="T267" s="161">
        <f t="shared" si="71"/>
        <v>0</v>
      </c>
      <c r="U267" s="161">
        <f t="shared" si="71"/>
        <v>0</v>
      </c>
      <c r="V267" s="161">
        <f t="shared" si="71"/>
        <v>0</v>
      </c>
      <c r="W267" s="161">
        <f t="shared" si="71"/>
        <v>0</v>
      </c>
      <c r="X267" s="161">
        <f t="shared" si="71"/>
        <v>0</v>
      </c>
      <c r="Y267" s="161">
        <f t="shared" si="71"/>
        <v>0</v>
      </c>
      <c r="Z267" s="161">
        <f t="shared" si="71"/>
        <v>0</v>
      </c>
      <c r="AA267" s="161">
        <f t="shared" si="71"/>
        <v>0</v>
      </c>
      <c r="AB267" s="161">
        <f t="shared" si="71"/>
        <v>0</v>
      </c>
      <c r="AC267" s="161">
        <f t="shared" si="71"/>
        <v>0</v>
      </c>
      <c r="AD267" s="161">
        <f t="shared" si="71"/>
        <v>0</v>
      </c>
      <c r="AE267" s="161">
        <f t="shared" si="71"/>
        <v>0</v>
      </c>
      <c r="AF267" s="174">
        <f t="shared" si="7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72"/>
        <v>0</v>
      </c>
      <c r="D268" s="161">
        <f t="shared" si="72"/>
        <v>0</v>
      </c>
      <c r="E268" s="161">
        <f t="shared" si="72"/>
        <v>0</v>
      </c>
      <c r="F268" s="161">
        <f t="shared" si="72"/>
        <v>0</v>
      </c>
      <c r="G268" s="161">
        <f t="shared" si="72"/>
        <v>0</v>
      </c>
      <c r="H268" s="161">
        <f t="shared" si="72"/>
        <v>0</v>
      </c>
      <c r="I268" s="161">
        <f t="shared" si="72"/>
        <v>0</v>
      </c>
      <c r="J268" s="161">
        <f t="shared" si="72"/>
        <v>0</v>
      </c>
      <c r="K268" s="161">
        <f t="shared" si="72"/>
        <v>0</v>
      </c>
      <c r="L268" s="161">
        <f t="shared" si="72"/>
        <v>0</v>
      </c>
      <c r="M268" s="161">
        <f t="shared" si="72"/>
        <v>0</v>
      </c>
      <c r="N268" s="161">
        <f t="shared" si="72"/>
        <v>0</v>
      </c>
      <c r="O268" s="161">
        <f t="shared" si="72"/>
        <v>0</v>
      </c>
      <c r="P268" s="161">
        <f t="shared" si="72"/>
        <v>0</v>
      </c>
      <c r="Q268" s="161">
        <f t="shared" si="72"/>
        <v>0</v>
      </c>
      <c r="R268" s="161">
        <f t="shared" si="72"/>
        <v>0</v>
      </c>
      <c r="S268" s="161">
        <f t="shared" si="71"/>
        <v>0</v>
      </c>
      <c r="T268" s="161">
        <f t="shared" si="71"/>
        <v>0</v>
      </c>
      <c r="U268" s="161">
        <f t="shared" si="71"/>
        <v>0</v>
      </c>
      <c r="V268" s="161">
        <f t="shared" si="71"/>
        <v>0</v>
      </c>
      <c r="W268" s="161">
        <f t="shared" si="71"/>
        <v>0</v>
      </c>
      <c r="X268" s="161">
        <f t="shared" si="71"/>
        <v>0</v>
      </c>
      <c r="Y268" s="161">
        <f t="shared" si="71"/>
        <v>0</v>
      </c>
      <c r="Z268" s="161">
        <f t="shared" si="71"/>
        <v>0</v>
      </c>
      <c r="AA268" s="161">
        <f t="shared" si="71"/>
        <v>0</v>
      </c>
      <c r="AB268" s="161">
        <f t="shared" si="71"/>
        <v>0</v>
      </c>
      <c r="AC268" s="161">
        <f t="shared" si="71"/>
        <v>0</v>
      </c>
      <c r="AD268" s="161">
        <f t="shared" si="71"/>
        <v>0</v>
      </c>
      <c r="AE268" s="161">
        <f t="shared" si="71"/>
        <v>0</v>
      </c>
      <c r="AF268" s="174">
        <f t="shared" si="7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72"/>
        <v>0</v>
      </c>
      <c r="D269" s="161">
        <f t="shared" si="72"/>
        <v>0</v>
      </c>
      <c r="E269" s="161">
        <f t="shared" si="72"/>
        <v>0</v>
      </c>
      <c r="F269" s="161">
        <f t="shared" si="72"/>
        <v>0</v>
      </c>
      <c r="G269" s="161">
        <f t="shared" si="72"/>
        <v>0</v>
      </c>
      <c r="H269" s="161">
        <f t="shared" si="72"/>
        <v>0</v>
      </c>
      <c r="I269" s="161">
        <f t="shared" si="72"/>
        <v>0</v>
      </c>
      <c r="J269" s="161">
        <f t="shared" si="72"/>
        <v>0</v>
      </c>
      <c r="K269" s="161">
        <f t="shared" si="72"/>
        <v>0</v>
      </c>
      <c r="L269" s="161">
        <f t="shared" si="72"/>
        <v>0</v>
      </c>
      <c r="M269" s="161">
        <f t="shared" si="72"/>
        <v>0</v>
      </c>
      <c r="N269" s="161">
        <f t="shared" si="72"/>
        <v>0</v>
      </c>
      <c r="O269" s="161">
        <f t="shared" si="72"/>
        <v>0</v>
      </c>
      <c r="P269" s="161">
        <f t="shared" si="72"/>
        <v>0</v>
      </c>
      <c r="Q269" s="161">
        <f t="shared" si="72"/>
        <v>0</v>
      </c>
      <c r="R269" s="161">
        <f t="shared" si="72"/>
        <v>0</v>
      </c>
      <c r="S269" s="161">
        <f t="shared" si="71"/>
        <v>0</v>
      </c>
      <c r="T269" s="161">
        <f t="shared" si="71"/>
        <v>0</v>
      </c>
      <c r="U269" s="161">
        <f t="shared" si="71"/>
        <v>0</v>
      </c>
      <c r="V269" s="161">
        <f t="shared" si="71"/>
        <v>0</v>
      </c>
      <c r="W269" s="161">
        <f t="shared" si="71"/>
        <v>0</v>
      </c>
      <c r="X269" s="161">
        <f t="shared" si="71"/>
        <v>0</v>
      </c>
      <c r="Y269" s="161">
        <f t="shared" si="71"/>
        <v>0</v>
      </c>
      <c r="Z269" s="161">
        <f t="shared" si="71"/>
        <v>0</v>
      </c>
      <c r="AA269" s="161">
        <f t="shared" si="71"/>
        <v>0</v>
      </c>
      <c r="AB269" s="161">
        <f t="shared" si="71"/>
        <v>0</v>
      </c>
      <c r="AC269" s="161">
        <f t="shared" si="71"/>
        <v>0</v>
      </c>
      <c r="AD269" s="161">
        <f t="shared" si="71"/>
        <v>0</v>
      </c>
      <c r="AE269" s="161">
        <f t="shared" si="71"/>
        <v>0</v>
      </c>
      <c r="AF269" s="174">
        <f t="shared" si="7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72"/>
        <v>0</v>
      </c>
      <c r="D270" s="161">
        <f t="shared" si="72"/>
        <v>0</v>
      </c>
      <c r="E270" s="161">
        <f t="shared" si="72"/>
        <v>0</v>
      </c>
      <c r="F270" s="161">
        <f t="shared" si="72"/>
        <v>0</v>
      </c>
      <c r="G270" s="161">
        <f t="shared" si="72"/>
        <v>0</v>
      </c>
      <c r="H270" s="161">
        <f t="shared" si="72"/>
        <v>0</v>
      </c>
      <c r="I270" s="161">
        <f t="shared" si="72"/>
        <v>0</v>
      </c>
      <c r="J270" s="161">
        <f t="shared" si="72"/>
        <v>0</v>
      </c>
      <c r="K270" s="161">
        <f t="shared" si="72"/>
        <v>0</v>
      </c>
      <c r="L270" s="161">
        <f t="shared" si="72"/>
        <v>0</v>
      </c>
      <c r="M270" s="161">
        <f t="shared" si="72"/>
        <v>0</v>
      </c>
      <c r="N270" s="161">
        <f t="shared" si="72"/>
        <v>0</v>
      </c>
      <c r="O270" s="161">
        <f t="shared" si="72"/>
        <v>0</v>
      </c>
      <c r="P270" s="161">
        <f t="shared" si="72"/>
        <v>0</v>
      </c>
      <c r="Q270" s="161">
        <f t="shared" si="72"/>
        <v>0</v>
      </c>
      <c r="R270" s="161">
        <f t="shared" si="72"/>
        <v>0</v>
      </c>
      <c r="S270" s="161">
        <f t="shared" si="71"/>
        <v>0</v>
      </c>
      <c r="T270" s="161">
        <f t="shared" si="71"/>
        <v>0</v>
      </c>
      <c r="U270" s="161">
        <f t="shared" si="71"/>
        <v>0</v>
      </c>
      <c r="V270" s="161">
        <f t="shared" si="71"/>
        <v>0</v>
      </c>
      <c r="W270" s="161">
        <f t="shared" si="71"/>
        <v>0</v>
      </c>
      <c r="X270" s="161">
        <f t="shared" si="71"/>
        <v>0</v>
      </c>
      <c r="Y270" s="161">
        <f t="shared" si="71"/>
        <v>0</v>
      </c>
      <c r="Z270" s="161">
        <f t="shared" si="71"/>
        <v>0</v>
      </c>
      <c r="AA270" s="161">
        <f t="shared" si="71"/>
        <v>0</v>
      </c>
      <c r="AB270" s="161">
        <f t="shared" si="71"/>
        <v>0</v>
      </c>
      <c r="AC270" s="161">
        <f t="shared" si="71"/>
        <v>0</v>
      </c>
      <c r="AD270" s="161">
        <f t="shared" si="71"/>
        <v>0</v>
      </c>
      <c r="AE270" s="161">
        <f t="shared" si="71"/>
        <v>0</v>
      </c>
      <c r="AF270" s="174">
        <f t="shared" si="7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72"/>
        <v>0</v>
      </c>
      <c r="D271" s="161">
        <f t="shared" si="72"/>
        <v>0</v>
      </c>
      <c r="E271" s="161">
        <f t="shared" si="72"/>
        <v>0</v>
      </c>
      <c r="F271" s="161">
        <f t="shared" si="72"/>
        <v>0</v>
      </c>
      <c r="G271" s="161">
        <f t="shared" si="72"/>
        <v>0</v>
      </c>
      <c r="H271" s="161">
        <f t="shared" si="72"/>
        <v>0</v>
      </c>
      <c r="I271" s="161">
        <f t="shared" si="72"/>
        <v>0</v>
      </c>
      <c r="J271" s="161">
        <f t="shared" si="72"/>
        <v>0</v>
      </c>
      <c r="K271" s="161">
        <f t="shared" si="72"/>
        <v>0</v>
      </c>
      <c r="L271" s="161">
        <f t="shared" si="72"/>
        <v>0</v>
      </c>
      <c r="M271" s="161">
        <f t="shared" si="72"/>
        <v>0</v>
      </c>
      <c r="N271" s="161">
        <f t="shared" si="72"/>
        <v>0</v>
      </c>
      <c r="O271" s="161">
        <f t="shared" si="72"/>
        <v>0</v>
      </c>
      <c r="P271" s="161">
        <f t="shared" si="72"/>
        <v>0</v>
      </c>
      <c r="Q271" s="161">
        <f t="shared" si="72"/>
        <v>0</v>
      </c>
      <c r="R271" s="161">
        <f t="shared" si="72"/>
        <v>0</v>
      </c>
      <c r="S271" s="161">
        <f t="shared" si="71"/>
        <v>0</v>
      </c>
      <c r="T271" s="161">
        <f t="shared" si="71"/>
        <v>0</v>
      </c>
      <c r="U271" s="161">
        <f t="shared" si="71"/>
        <v>0</v>
      </c>
      <c r="V271" s="161">
        <f t="shared" si="71"/>
        <v>0</v>
      </c>
      <c r="W271" s="161">
        <f t="shared" si="71"/>
        <v>0</v>
      </c>
      <c r="X271" s="161">
        <f t="shared" si="71"/>
        <v>0</v>
      </c>
      <c r="Y271" s="161">
        <f t="shared" si="71"/>
        <v>0</v>
      </c>
      <c r="Z271" s="161">
        <f t="shared" si="71"/>
        <v>0</v>
      </c>
      <c r="AA271" s="161">
        <f t="shared" si="71"/>
        <v>0</v>
      </c>
      <c r="AB271" s="161">
        <f t="shared" si="71"/>
        <v>0</v>
      </c>
      <c r="AC271" s="161">
        <f t="shared" si="71"/>
        <v>0</v>
      </c>
      <c r="AD271" s="161">
        <f t="shared" si="71"/>
        <v>0</v>
      </c>
      <c r="AE271" s="161">
        <f t="shared" si="71"/>
        <v>0</v>
      </c>
      <c r="AF271" s="174">
        <f t="shared" si="7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72"/>
        <v>0</v>
      </c>
      <c r="D272" s="161">
        <f t="shared" si="72"/>
        <v>0</v>
      </c>
      <c r="E272" s="161">
        <f t="shared" si="72"/>
        <v>0</v>
      </c>
      <c r="F272" s="161">
        <f t="shared" si="72"/>
        <v>0</v>
      </c>
      <c r="G272" s="161">
        <f t="shared" si="72"/>
        <v>0</v>
      </c>
      <c r="H272" s="161">
        <f t="shared" si="72"/>
        <v>0</v>
      </c>
      <c r="I272" s="161">
        <f t="shared" si="72"/>
        <v>0</v>
      </c>
      <c r="J272" s="161">
        <f t="shared" si="72"/>
        <v>0</v>
      </c>
      <c r="K272" s="161">
        <f t="shared" si="72"/>
        <v>0</v>
      </c>
      <c r="L272" s="161">
        <f t="shared" si="72"/>
        <v>0</v>
      </c>
      <c r="M272" s="161">
        <f t="shared" si="72"/>
        <v>0</v>
      </c>
      <c r="N272" s="161">
        <f t="shared" si="72"/>
        <v>0</v>
      </c>
      <c r="O272" s="161">
        <f t="shared" si="72"/>
        <v>0</v>
      </c>
      <c r="P272" s="161">
        <f t="shared" si="72"/>
        <v>0</v>
      </c>
      <c r="Q272" s="161">
        <f t="shared" si="72"/>
        <v>0</v>
      </c>
      <c r="R272" s="161">
        <f t="shared" si="72"/>
        <v>0</v>
      </c>
      <c r="S272" s="161">
        <f t="shared" si="71"/>
        <v>0</v>
      </c>
      <c r="T272" s="161">
        <f t="shared" si="71"/>
        <v>0</v>
      </c>
      <c r="U272" s="161">
        <f t="shared" si="71"/>
        <v>0</v>
      </c>
      <c r="V272" s="161">
        <f t="shared" si="71"/>
        <v>0</v>
      </c>
      <c r="W272" s="161">
        <f t="shared" si="71"/>
        <v>0</v>
      </c>
      <c r="X272" s="161">
        <f t="shared" si="71"/>
        <v>0</v>
      </c>
      <c r="Y272" s="161">
        <f t="shared" si="71"/>
        <v>0</v>
      </c>
      <c r="Z272" s="161">
        <f t="shared" si="71"/>
        <v>0</v>
      </c>
      <c r="AA272" s="161">
        <f t="shared" si="71"/>
        <v>0</v>
      </c>
      <c r="AB272" s="161">
        <f t="shared" si="71"/>
        <v>0</v>
      </c>
      <c r="AC272" s="161">
        <f t="shared" si="71"/>
        <v>0</v>
      </c>
      <c r="AD272" s="161">
        <f t="shared" si="71"/>
        <v>0</v>
      </c>
      <c r="AE272" s="161">
        <f t="shared" si="71"/>
        <v>0</v>
      </c>
      <c r="AF272" s="174">
        <f t="shared" si="7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72"/>
        <v>0</v>
      </c>
      <c r="D273" s="177">
        <f t="shared" si="72"/>
        <v>0</v>
      </c>
      <c r="E273" s="177">
        <f t="shared" si="72"/>
        <v>0</v>
      </c>
      <c r="F273" s="177">
        <f t="shared" si="72"/>
        <v>0</v>
      </c>
      <c r="G273" s="177">
        <f t="shared" si="72"/>
        <v>0</v>
      </c>
      <c r="H273" s="177">
        <f t="shared" si="72"/>
        <v>0</v>
      </c>
      <c r="I273" s="177">
        <f t="shared" si="72"/>
        <v>0</v>
      </c>
      <c r="J273" s="177">
        <f t="shared" si="72"/>
        <v>0</v>
      </c>
      <c r="K273" s="177">
        <f t="shared" si="72"/>
        <v>0</v>
      </c>
      <c r="L273" s="177">
        <f t="shared" si="72"/>
        <v>0</v>
      </c>
      <c r="M273" s="177">
        <f t="shared" si="72"/>
        <v>0</v>
      </c>
      <c r="N273" s="177">
        <f t="shared" si="72"/>
        <v>0</v>
      </c>
      <c r="O273" s="177">
        <f t="shared" si="72"/>
        <v>0</v>
      </c>
      <c r="P273" s="177">
        <f t="shared" si="72"/>
        <v>0</v>
      </c>
      <c r="Q273" s="177">
        <f t="shared" si="72"/>
        <v>0</v>
      </c>
      <c r="R273" s="177">
        <f t="shared" si="72"/>
        <v>0</v>
      </c>
      <c r="S273" s="177">
        <f t="shared" si="71"/>
        <v>0</v>
      </c>
      <c r="T273" s="177">
        <f t="shared" si="71"/>
        <v>0</v>
      </c>
      <c r="U273" s="177">
        <f t="shared" si="71"/>
        <v>0</v>
      </c>
      <c r="V273" s="177">
        <f t="shared" si="71"/>
        <v>0</v>
      </c>
      <c r="W273" s="177">
        <f t="shared" si="71"/>
        <v>0</v>
      </c>
      <c r="X273" s="177">
        <f t="shared" si="71"/>
        <v>0</v>
      </c>
      <c r="Y273" s="177">
        <f t="shared" si="71"/>
        <v>0</v>
      </c>
      <c r="Z273" s="177">
        <f t="shared" si="71"/>
        <v>0</v>
      </c>
      <c r="AA273" s="177">
        <f t="shared" si="71"/>
        <v>0</v>
      </c>
      <c r="AB273" s="177">
        <f t="shared" si="71"/>
        <v>0</v>
      </c>
      <c r="AC273" s="177">
        <f t="shared" si="71"/>
        <v>0</v>
      </c>
      <c r="AD273" s="177">
        <f t="shared" si="71"/>
        <v>0</v>
      </c>
      <c r="AE273" s="177">
        <f t="shared" si="71"/>
        <v>0</v>
      </c>
      <c r="AF273" s="178">
        <f t="shared" si="7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73">SUM(B169:B273)</f>
        <v>0</v>
      </c>
      <c r="C274" s="180">
        <f t="shared" si="73"/>
        <v>0</v>
      </c>
      <c r="D274" s="180">
        <f t="shared" si="73"/>
        <v>0</v>
      </c>
      <c r="E274" s="180">
        <f t="shared" si="73"/>
        <v>0</v>
      </c>
      <c r="F274" s="180">
        <f t="shared" si="73"/>
        <v>0</v>
      </c>
      <c r="G274" s="180">
        <f t="shared" si="73"/>
        <v>0</v>
      </c>
      <c r="H274" s="180">
        <f t="shared" si="73"/>
        <v>0</v>
      </c>
      <c r="I274" s="180">
        <f t="shared" si="73"/>
        <v>0</v>
      </c>
      <c r="J274" s="180">
        <f t="shared" si="73"/>
        <v>0</v>
      </c>
      <c r="K274" s="180">
        <f t="shared" si="73"/>
        <v>0</v>
      </c>
      <c r="L274" s="180">
        <f t="shared" si="73"/>
        <v>0</v>
      </c>
      <c r="M274" s="180">
        <f t="shared" si="73"/>
        <v>0</v>
      </c>
      <c r="N274" s="180">
        <f t="shared" si="73"/>
        <v>0</v>
      </c>
      <c r="O274" s="180">
        <f t="shared" si="73"/>
        <v>0</v>
      </c>
      <c r="P274" s="180">
        <f t="shared" si="73"/>
        <v>0</v>
      </c>
      <c r="Q274" s="180">
        <f t="shared" si="73"/>
        <v>0</v>
      </c>
      <c r="R274" s="180">
        <f t="shared" si="73"/>
        <v>0</v>
      </c>
      <c r="S274" s="180">
        <f t="shared" si="73"/>
        <v>0</v>
      </c>
      <c r="T274" s="180">
        <f t="shared" si="73"/>
        <v>0</v>
      </c>
      <c r="U274" s="180">
        <f t="shared" si="73"/>
        <v>0</v>
      </c>
      <c r="V274" s="180">
        <f t="shared" si="73"/>
        <v>0</v>
      </c>
      <c r="W274" s="180">
        <f t="shared" si="73"/>
        <v>0</v>
      </c>
      <c r="X274" s="180">
        <f t="shared" si="73"/>
        <v>0</v>
      </c>
      <c r="Y274" s="180">
        <f t="shared" si="73"/>
        <v>0</v>
      </c>
      <c r="Z274" s="180">
        <f t="shared" si="73"/>
        <v>0</v>
      </c>
      <c r="AA274" s="180">
        <f t="shared" si="73"/>
        <v>0</v>
      </c>
      <c r="AB274" s="180">
        <f t="shared" si="73"/>
        <v>0</v>
      </c>
      <c r="AC274" s="180">
        <f t="shared" si="73"/>
        <v>0</v>
      </c>
      <c r="AD274" s="180">
        <f t="shared" si="73"/>
        <v>0</v>
      </c>
      <c r="AE274" s="180">
        <f t="shared" si="73"/>
        <v>0</v>
      </c>
      <c r="AF274" s="181">
        <f t="shared" si="73"/>
        <v>0</v>
      </c>
      <c r="AG274" s="182">
        <f t="shared" si="7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F11:AA13 AB12:AF13 F76:AF77 F82:G90 H84:J90 K85:AF90 C97:AF107 B9:AF10 C117:AF134 B113:B115 C109:AF115 B108:AF108 B117:B124 C137:AF152 C154:AF159 B153:AF153 B76:E90 B72:L72 B93:AF96">
    <cfRule type="expression" dxfId="172" priority="106">
      <formula>B$9&gt;=20/24</formula>
    </cfRule>
  </conditionalFormatting>
  <conditionalFormatting sqref="B9:AF10 F11:AA13 AB12:AF13 F76:AF77 F82:G90 H84:J90 K85:AF90 C97:AF107 C117:AF134 B113:B115 C109:AF115 B108:AF108 B117:B124 C137:AF152 C154:AF159 B153:AF153 B76:E90 B72:L72 B93:AF96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F14:AF53 B29:E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F11:AA13 AB12:AF13 AG78 B96:AG96 F76:AF78 F79:AC90 F91:AF95 B71:AG71 B69:AA69 B76:E95">
    <cfRule type="expression" dxfId="144" priority="105">
      <formula>B11&gt;$AG11*1</formula>
    </cfRule>
  </conditionalFormatting>
  <conditionalFormatting sqref="F79:I83 J80:J83 K83:O83">
    <cfRule type="expression" dxfId="143" priority="115">
      <formula>F$9&gt;=20/24</formula>
    </cfRule>
    <cfRule type="expression" dxfId="142" priority="116">
      <formula>AND(F$9&gt;=14/24,F$9&lt;20/24)</formula>
    </cfRule>
    <cfRule type="expression" dxfId="141" priority="117">
      <formula>AND(F$9&gt;=8/24,F$9&lt;14/24)</formula>
    </cfRule>
    <cfRule type="expression" dxfId="140" priority="118">
      <formula>F$9&lt;8/24</formula>
    </cfRule>
  </conditionalFormatting>
  <conditionalFormatting sqref="F84:O84">
    <cfRule type="expression" dxfId="139" priority="110">
      <formula>F$9&gt;=20/24</formula>
    </cfRule>
    <cfRule type="expression" dxfId="138" priority="111">
      <formula>AND(F$9&gt;=14/24,F$9&lt;20/24)</formula>
    </cfRule>
    <cfRule type="expression" dxfId="137" priority="112">
      <formula>AND(F$9&gt;=8/24,F$9&lt;14/24)</formula>
    </cfRule>
    <cfRule type="expression" dxfId="136" priority="113">
      <formula>F$9&lt;8/24</formula>
    </cfRule>
  </conditionalFormatting>
  <conditionalFormatting sqref="F76:AF78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F73:AF75">
    <cfRule type="expression" dxfId="131" priority="35">
      <formula>F$9&gt;=20/24</formula>
    </cfRule>
    <cfRule type="expression" dxfId="130" priority="36">
      <formula>AND(F$9&gt;=14/24,F$9&lt;20/24)</formula>
    </cfRule>
    <cfRule type="expression" dxfId="129" priority="37">
      <formula>AND(F$9&gt;=8/24,F$9&lt;14/24)</formula>
    </cfRule>
    <cfRule type="expression" dxfId="128" priority="38">
      <formula>F$9&lt;8/24</formula>
    </cfRule>
  </conditionalFormatting>
  <conditionalFormatting sqref="F79:O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B107 B137:B152 B109:B112 B125:B134 B154:B159 B11:E13">
    <cfRule type="expression" dxfId="22" priority="20">
      <formula>B$9&gt;=20/24</formula>
    </cfRule>
  </conditionalFormatting>
  <conditionalFormatting sqref="B97:B107 B137:B152 B109:B112 B125:B134 B154:B159 B11:E1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E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E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6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783" priority="37">
      <formula>$AH11=0</formula>
    </cfRule>
  </conditionalFormatting>
  <conditionalFormatting sqref="A101:A102">
    <cfRule type="expression" dxfId="782" priority="205">
      <formula>$AH106=0</formula>
    </cfRule>
  </conditionalFormatting>
  <conditionalFormatting sqref="A103:A107">
    <cfRule type="expression" dxfId="781" priority="153">
      <formula>$AH102=0</formula>
    </cfRule>
  </conditionalFormatting>
  <conditionalFormatting sqref="A160:A167">
    <cfRule type="expression" dxfId="780" priority="206">
      <formula>$AH267=0</formula>
    </cfRule>
  </conditionalFormatting>
  <conditionalFormatting sqref="A168:A275">
    <cfRule type="expression" dxfId="779" priority="76">
      <formula>$AH168=0</formula>
    </cfRule>
  </conditionalFormatting>
  <conditionalFormatting sqref="B8">
    <cfRule type="expression" dxfId="778" priority="201">
      <formula>AND(C$9&gt;=14/24,C$9&lt;20/24)</formula>
    </cfRule>
    <cfRule type="expression" dxfId="777" priority="202">
      <formula>AND(C$9&gt;=8/24,C$9&lt;14/24)</formula>
    </cfRule>
    <cfRule type="expression" dxfId="776" priority="203">
      <formula>C$9&lt;8/24</formula>
    </cfRule>
    <cfRule type="expression" dxfId="77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77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773" priority="119">
      <formula>AND(B$9&gt;=14/24,B$9&lt;20/24)</formula>
    </cfRule>
    <cfRule type="expression" dxfId="772" priority="120">
      <formula>AND(B$9&gt;=8/24,B$9&lt;14/24)</formula>
    </cfRule>
    <cfRule type="expression" dxfId="771" priority="121">
      <formula>B$9&lt;8/24</formula>
    </cfRule>
  </conditionalFormatting>
  <conditionalFormatting sqref="C14:AF28 B29:AF53">
    <cfRule type="expression" dxfId="770" priority="61">
      <formula>B14&gt;$AG14*1</formula>
    </cfRule>
    <cfRule type="expression" dxfId="769" priority="62">
      <formula>B$9&gt;=20/24</formula>
    </cfRule>
    <cfRule type="expression" dxfId="768" priority="63">
      <formula>AND(B$9&gt;=14/24,B$9&lt;20/24)</formula>
    </cfRule>
    <cfRule type="expression" dxfId="767" priority="64">
      <formula>AND(B$9&gt;=8/24,B$9&lt;14/24)</formula>
    </cfRule>
    <cfRule type="expression" dxfId="766" priority="65">
      <formula>B$9&lt;8/24</formula>
    </cfRule>
  </conditionalFormatting>
  <conditionalFormatting sqref="B54:AF68">
    <cfRule type="expression" dxfId="765" priority="54">
      <formula>B$9&lt;8/24</formula>
    </cfRule>
  </conditionalFormatting>
  <conditionalFormatting sqref="B54:AF70">
    <cfRule type="expression" dxfId="764" priority="51">
      <formula>B$9&gt;=20/24</formula>
    </cfRule>
    <cfRule type="expression" dxfId="763" priority="52">
      <formula>AND(B$9&gt;=14/24,B$9&lt;20/24)</formula>
    </cfRule>
    <cfRule type="expression" dxfId="762" priority="53">
      <formula>AND(B$9&gt;=8/24,B$9&lt;14/24)</formula>
    </cfRule>
  </conditionalFormatting>
  <conditionalFormatting sqref="B63:AF65">
    <cfRule type="expression" dxfId="761" priority="55">
      <formula>B63&gt;$AG63</formula>
    </cfRule>
  </conditionalFormatting>
  <conditionalFormatting sqref="B69:AF70">
    <cfRule type="expression" dxfId="760" priority="126">
      <formula>B$9&lt;8/24</formula>
    </cfRule>
  </conditionalFormatting>
  <conditionalFormatting sqref="B72:AF75">
    <cfRule type="expression" dxfId="759" priority="42">
      <formula>B72&gt;$AG72*1</formula>
    </cfRule>
  </conditionalFormatting>
  <conditionalFormatting sqref="B73:AF75">
    <cfRule type="expression" dxfId="758" priority="43">
      <formula>B$9&gt;=20/24</formula>
    </cfRule>
    <cfRule type="expression" dxfId="757" priority="44">
      <formula>AND(B$9&gt;=14/24,B$9&lt;20/24)</formula>
    </cfRule>
    <cfRule type="expression" dxfId="756" priority="45">
      <formula>AND(B$9&gt;=8/24,B$9&lt;14/24)</formula>
    </cfRule>
    <cfRule type="expression" dxfId="755" priority="46">
      <formula>B$9&lt;8/24</formula>
    </cfRule>
  </conditionalFormatting>
  <conditionalFormatting sqref="C161:AF167">
    <cfRule type="expression" dxfId="754" priority="77">
      <formula>C$9&gt;=20/24</formula>
    </cfRule>
    <cfRule type="expression" dxfId="753" priority="78">
      <formula>AND(C$9&gt;=14/24,C$9&lt;20/24)</formula>
    </cfRule>
    <cfRule type="expression" dxfId="752" priority="79">
      <formula>AND(C$9&gt;=8/24,C$9&lt;14/24)</formula>
    </cfRule>
    <cfRule type="expression" dxfId="751" priority="80">
      <formula>C$9&lt;8/24</formula>
    </cfRule>
  </conditionalFormatting>
  <conditionalFormatting sqref="C169:AF274">
    <cfRule type="expression" dxfId="750" priority="38">
      <formula>C$9&gt;=20/24</formula>
    </cfRule>
    <cfRule type="expression" dxfId="749" priority="39">
      <formula>AND(C$9&gt;=14/24,C$9&lt;20/24)</formula>
    </cfRule>
    <cfRule type="expression" dxfId="748" priority="40">
      <formula>AND(C$9&gt;=8/24,C$9&lt;14/24)</formula>
    </cfRule>
    <cfRule type="expression" dxfId="74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746" priority="117">
      <formula>B11&gt;$AG11*1</formula>
    </cfRule>
  </conditionalFormatting>
  <conditionalFormatting sqref="E79:I83 J80:J83 K83:O83">
    <cfRule type="expression" dxfId="745" priority="127">
      <formula>E$9&gt;=20/24</formula>
    </cfRule>
    <cfRule type="expression" dxfId="744" priority="128">
      <formula>AND(E$9&gt;=14/24,E$9&lt;20/24)</formula>
    </cfRule>
    <cfRule type="expression" dxfId="743" priority="129">
      <formula>AND(E$9&gt;=8/24,E$9&lt;14/24)</formula>
    </cfRule>
    <cfRule type="expression" dxfId="742" priority="130">
      <formula>E$9&lt;8/24</formula>
    </cfRule>
  </conditionalFormatting>
  <conditionalFormatting sqref="E84:O84">
    <cfRule type="expression" dxfId="741" priority="122">
      <formula>E$9&gt;=20/24</formula>
    </cfRule>
    <cfRule type="expression" dxfId="740" priority="123">
      <formula>AND(E$9&gt;=14/24,E$9&lt;20/24)</formula>
    </cfRule>
    <cfRule type="expression" dxfId="739" priority="124">
      <formula>AND(E$9&gt;=8/24,E$9&lt;14/24)</formula>
    </cfRule>
    <cfRule type="expression" dxfId="738" priority="125">
      <formula>E$9&lt;8/24</formula>
    </cfRule>
  </conditionalFormatting>
  <conditionalFormatting sqref="E76:AF78 B72:AF72">
    <cfRule type="expression" dxfId="737" priority="137">
      <formula>B$9&gt;=20/24</formula>
    </cfRule>
    <cfRule type="expression" dxfId="736" priority="138">
      <formula>AND(B$9&gt;=14/24,B$9&lt;20/24)</formula>
    </cfRule>
    <cfRule type="expression" dxfId="735" priority="139">
      <formula>AND(B$9&gt;=8/24,B$9&lt;14/24)</formula>
    </cfRule>
    <cfRule type="expression" dxfId="734" priority="140">
      <formula>B$9&lt;8/24</formula>
    </cfRule>
  </conditionalFormatting>
  <conditionalFormatting sqref="E73:AF75">
    <cfRule type="expression" dxfId="733" priority="47">
      <formula>E$9&gt;=20/24</formula>
    </cfRule>
    <cfRule type="expression" dxfId="732" priority="48">
      <formula>AND(E$9&gt;=14/24,E$9&lt;20/24)</formula>
    </cfRule>
    <cfRule type="expression" dxfId="731" priority="49">
      <formula>AND(E$9&gt;=8/24,E$9&lt;14/24)</formula>
    </cfRule>
    <cfRule type="expression" dxfId="730" priority="50">
      <formula>E$9&lt;8/24</formula>
    </cfRule>
  </conditionalFormatting>
  <conditionalFormatting sqref="F79:O81">
    <cfRule type="expression" dxfId="729" priority="145">
      <formula>F$9&gt;=20/24</formula>
    </cfRule>
    <cfRule type="expression" dxfId="728" priority="146">
      <formula>AND(F$9&gt;=14/24,F$9&lt;20/24)</formula>
    </cfRule>
    <cfRule type="expression" dxfId="727" priority="147">
      <formula>AND(F$9&gt;=8/24,F$9&lt;14/24)</formula>
    </cfRule>
    <cfRule type="expression" dxfId="726" priority="148">
      <formula>F$9&lt;8/24</formula>
    </cfRule>
  </conditionalFormatting>
  <conditionalFormatting sqref="L84:AF84">
    <cfRule type="expression" dxfId="725" priority="141">
      <formula>L$9&gt;=20/24</formula>
    </cfRule>
    <cfRule type="expression" dxfId="724" priority="142">
      <formula>AND(L$9&gt;=14/24,L$9&lt;20/24)</formula>
    </cfRule>
    <cfRule type="expression" dxfId="723" priority="143">
      <formula>AND(L$9&gt;=8/24,L$9&lt;14/24)</formula>
    </cfRule>
    <cfRule type="expression" dxfId="722" priority="144">
      <formula>L$9&lt;8/24</formula>
    </cfRule>
  </conditionalFormatting>
  <conditionalFormatting sqref="M8 S8 AB8">
    <cfRule type="expression" dxfId="721" priority="194">
      <formula>AND(N$9&gt;=14/24,N$9&lt;20/24)</formula>
    </cfRule>
    <cfRule type="expression" dxfId="720" priority="195">
      <formula>AND(N$9&gt;=8/24,N$9&lt;14/24)</formula>
    </cfRule>
    <cfRule type="expression" dxfId="719" priority="196">
      <formula>N$9&lt;8/24</formula>
    </cfRule>
  </conditionalFormatting>
  <conditionalFormatting sqref="M79:Y83 Z80:AA83">
    <cfRule type="expression" dxfId="718" priority="149">
      <formula>M$9&gt;=20/24</formula>
    </cfRule>
    <cfRule type="expression" dxfId="717" priority="150">
      <formula>AND(M$9&gt;=14/24,M$9&lt;20/24)</formula>
    </cfRule>
    <cfRule type="expression" dxfId="716" priority="151">
      <formula>AND(M$9&gt;=8/24,M$9&lt;14/24)</formula>
    </cfRule>
    <cfRule type="expression" dxfId="71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14" priority="193">
      <formula>N$9&gt;=20/24</formula>
    </cfRule>
  </conditionalFormatting>
  <conditionalFormatting sqref="S8">
    <cfRule type="expression" dxfId="713" priority="184">
      <formula>U$9&gt;=20/24</formula>
    </cfRule>
    <cfRule type="expression" dxfId="712" priority="185">
      <formula>AND(U$9&gt;=14/24,U$9&lt;20/24)</formula>
    </cfRule>
    <cfRule type="expression" dxfId="711" priority="186">
      <formula>AND(U$9&gt;=8/24,U$9&lt;14/24)</formula>
    </cfRule>
    <cfRule type="expression" dxfId="710" priority="187">
      <formula>U$9&lt;8/24</formula>
    </cfRule>
  </conditionalFormatting>
  <conditionalFormatting sqref="T79:AF84">
    <cfRule type="expression" dxfId="709" priority="71">
      <formula>T$9&gt;=20/24</formula>
    </cfRule>
    <cfRule type="expression" dxfId="708" priority="72">
      <formula>AND(T$9&gt;=14/24,T$9&lt;20/24)</formula>
    </cfRule>
    <cfRule type="expression" dxfId="707" priority="73">
      <formula>AND(T$9&gt;=8/24,T$9&lt;14/24)</formula>
    </cfRule>
    <cfRule type="expression" dxfId="70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705" priority="56">
      <formula>Y$9&gt;=20/24</formula>
    </cfRule>
    <cfRule type="expression" dxfId="704" priority="57">
      <formula>AND(Y$9&gt;=14/24,Y$9&lt;20/24)</formula>
    </cfRule>
    <cfRule type="expression" dxfId="703" priority="58">
      <formula>AND(Y$9&gt;=8/24,Y$9&lt;14/24)</formula>
    </cfRule>
    <cfRule type="expression" dxfId="702" priority="59">
      <formula>Y$9&lt;8/24</formula>
    </cfRule>
  </conditionalFormatting>
  <conditionalFormatting sqref="Z69:Z70">
    <cfRule type="expression" dxfId="701" priority="136">
      <formula>Z69&gt;$AG69</formula>
    </cfRule>
  </conditionalFormatting>
  <conditionalFormatting sqref="Z66:AF69 AB11:AF11 B54:AF62 B66:Y70">
    <cfRule type="expression" dxfId="700" priority="131">
      <formula>B11&gt;$AG11</formula>
    </cfRule>
  </conditionalFormatting>
  <conditionalFormatting sqref="AB8">
    <cfRule type="expression" dxfId="699" priority="180">
      <formula>AD$9&gt;=20/24</formula>
    </cfRule>
    <cfRule type="expression" dxfId="698" priority="181">
      <formula>AND(AD$9&gt;=14/24,AD$9&lt;20/24)</formula>
    </cfRule>
    <cfRule type="expression" dxfId="697" priority="182">
      <formula>AND(AD$9&gt;=8/24,AD$9&lt;14/24)</formula>
    </cfRule>
    <cfRule type="expression" dxfId="696" priority="183">
      <formula>AD$9&lt;8/24</formula>
    </cfRule>
  </conditionalFormatting>
  <conditionalFormatting sqref="AB11:AF11">
    <cfRule type="expression" dxfId="695" priority="132">
      <formula>AB$9&gt;=20/24</formula>
    </cfRule>
    <cfRule type="expression" dxfId="694" priority="133">
      <formula>AND(AB$9&gt;=14/24,AB$9&lt;20/24)</formula>
    </cfRule>
    <cfRule type="expression" dxfId="693" priority="134">
      <formula>AND(AB$9&gt;=8/24,AB$9&lt;14/24)</formula>
    </cfRule>
    <cfRule type="expression" dxfId="692" priority="135">
      <formula>AB$9&lt;8/24</formula>
    </cfRule>
  </conditionalFormatting>
  <conditionalFormatting sqref="AD79:AF79">
    <cfRule type="expression" dxfId="691" priority="207">
      <formula>AD79&gt;$AG80*1</formula>
    </cfRule>
  </conditionalFormatting>
  <conditionalFormatting sqref="AG78">
    <cfRule type="expression" dxfId="690" priority="159">
      <formula>AG$9&gt;=20/24</formula>
    </cfRule>
    <cfRule type="expression" dxfId="689" priority="160">
      <formula>AND(AG$9&gt;=14/24,AG$9&lt;20/24)</formula>
    </cfRule>
    <cfRule type="expression" dxfId="688" priority="161">
      <formula>AND(AG$9&gt;=8/24,AG$9&lt;14/24)</formula>
    </cfRule>
    <cfRule type="expression" dxfId="687" priority="162">
      <formula>AG$9&lt;8/24</formula>
    </cfRule>
  </conditionalFormatting>
  <conditionalFormatting sqref="AG91:AG92">
    <cfRule type="expression" dxfId="686" priority="154">
      <formula>AG91&gt;$AG91</formula>
    </cfRule>
  </conditionalFormatting>
  <conditionalFormatting sqref="AG96">
    <cfRule type="expression" dxfId="685" priority="155">
      <formula>AG$9&gt;=20/24</formula>
    </cfRule>
    <cfRule type="expression" dxfId="684" priority="156">
      <formula>AND(AG$9&gt;=14/24,AG$9&lt;20/24)</formula>
    </cfRule>
    <cfRule type="expression" dxfId="683" priority="157">
      <formula>AND(AG$9&gt;=8/24,AG$9&lt;14/24)</formula>
    </cfRule>
    <cfRule type="expression" dxfId="682" priority="158">
      <formula>AG$9&lt;8/24</formula>
    </cfRule>
  </conditionalFormatting>
  <conditionalFormatting sqref="AG113">
    <cfRule type="expression" dxfId="681" priority="176">
      <formula>AG$9&gt;=20/24</formula>
    </cfRule>
    <cfRule type="expression" dxfId="680" priority="177">
      <formula>AND(AG$9&gt;=14/24,AG$9&lt;20/24)</formula>
    </cfRule>
    <cfRule type="expression" dxfId="679" priority="178">
      <formula>AND(AG$9&gt;=8/24,AG$9&lt;14/24)</formula>
    </cfRule>
    <cfRule type="expression" dxfId="678" priority="179">
      <formula>AG$9&lt;8/24</formula>
    </cfRule>
  </conditionalFormatting>
  <conditionalFormatting sqref="AH8:AI10">
    <cfRule type="expression" dxfId="677" priority="67">
      <formula>AH$9&gt;=20/24</formula>
    </cfRule>
    <cfRule type="expression" dxfId="676" priority="68">
      <formula>AND(AH$9&gt;=14/24,AH$9&lt;20/24)</formula>
    </cfRule>
    <cfRule type="expression" dxfId="675" priority="69">
      <formula>AND(AH$9&gt;=8/24,AH$9&lt;14/24)</formula>
    </cfRule>
    <cfRule type="expression" dxfId="67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73" priority="197">
      <formula>AJ$9&gt;=20/24</formula>
    </cfRule>
    <cfRule type="expression" dxfId="672" priority="198">
      <formula>AND(AJ$9&gt;=14/24,AJ$9&lt;20/24)</formula>
    </cfRule>
    <cfRule type="expression" dxfId="671" priority="199">
      <formula>AND(AJ$9&gt;=8/24,AJ$9&lt;14/24)</formula>
    </cfRule>
    <cfRule type="expression" dxfId="670" priority="200">
      <formula>AJ$9&lt;8/24</formula>
    </cfRule>
  </conditionalFormatting>
  <conditionalFormatting sqref="AL99:AN99 AL105:AN105">
    <cfRule type="expression" dxfId="669" priority="169">
      <formula>AL$9&gt;=20/24</formula>
    </cfRule>
    <cfRule type="expression" dxfId="668" priority="170">
      <formula>AND(AL$9&gt;=14/24,AL$9&lt;20/24)</formula>
    </cfRule>
    <cfRule type="expression" dxfId="667" priority="171">
      <formula>AND(AL$9&gt;=8/24,AL$9&lt;14/24)</formula>
    </cfRule>
    <cfRule type="expression" dxfId="666" priority="172">
      <formula>AL$9&lt;8/24</formula>
    </cfRule>
  </conditionalFormatting>
  <conditionalFormatting sqref="AM15:AM21 AN16:AR21">
    <cfRule type="expression" dxfId="665" priority="93">
      <formula>AX$9&gt;=20/24</formula>
    </cfRule>
    <cfRule type="expression" dxfId="664" priority="94">
      <formula>AND(AX$9&gt;=14/24,AX$9&lt;20/24)</formula>
    </cfRule>
    <cfRule type="expression" dxfId="663" priority="95">
      <formula>AND(AX$9&gt;=8/24,AX$9&lt;14/24)</formula>
    </cfRule>
    <cfRule type="expression" dxfId="662" priority="96">
      <formula>AX$9&lt;8/24</formula>
    </cfRule>
  </conditionalFormatting>
  <conditionalFormatting sqref="AN100:AN103">
    <cfRule type="expression" dxfId="661" priority="165">
      <formula>AN$9&gt;=20/24</formula>
    </cfRule>
    <cfRule type="expression" dxfId="660" priority="166">
      <formula>AND(AN$9&gt;=14/24,AN$9&lt;20/24)</formula>
    </cfRule>
    <cfRule type="expression" dxfId="659" priority="167">
      <formula>AND(AN$9&gt;=8/24,AN$9&lt;14/24)</formula>
    </cfRule>
    <cfRule type="expression" dxfId="658" priority="168">
      <formula>AN$9&lt;8/24</formula>
    </cfRule>
  </conditionalFormatting>
  <conditionalFormatting sqref="AN15:AR15">
    <cfRule type="expression" dxfId="657" priority="81">
      <formula>U$9&gt;=20/24</formula>
    </cfRule>
    <cfRule type="expression" dxfId="656" priority="82">
      <formula>AND(U$9&gt;=14/24,U$9&lt;20/24)</formula>
    </cfRule>
    <cfRule type="expression" dxfId="655" priority="83">
      <formula>AND(U$9&gt;=8/24,U$9&lt;14/24)</formula>
    </cfRule>
    <cfRule type="expression" dxfId="654" priority="84">
      <formula>U$9&lt;8/24</formula>
    </cfRule>
  </conditionalFormatting>
  <conditionalFormatting sqref="AS15">
    <cfRule type="expression" dxfId="653" priority="89">
      <formula>AA$9&gt;=20/24</formula>
    </cfRule>
    <cfRule type="expression" dxfId="652" priority="90">
      <formula>AND(AA$9&gt;=14/24,AA$9&lt;20/24)</formula>
    </cfRule>
    <cfRule type="expression" dxfId="651" priority="91">
      <formula>AND(AA$9&gt;=8/24,AA$9&lt;14/24)</formula>
    </cfRule>
    <cfRule type="expression" dxfId="650" priority="92">
      <formula>AA$9&lt;8/24</formula>
    </cfRule>
  </conditionalFormatting>
  <conditionalFormatting sqref="AS16:AS21">
    <cfRule type="expression" dxfId="649" priority="97">
      <formula>BE$9&gt;=20/24</formula>
    </cfRule>
    <cfRule type="expression" dxfId="648" priority="98">
      <formula>AND(BE$9&gt;=14/24,BE$9&lt;20/24)</formula>
    </cfRule>
    <cfRule type="expression" dxfId="647" priority="99">
      <formula>AND(BE$9&gt;=8/24,BE$9&lt;14/24)</formula>
    </cfRule>
    <cfRule type="expression" dxfId="646" priority="100">
      <formula>BE$9&lt;8/24</formula>
    </cfRule>
  </conditionalFormatting>
  <conditionalFormatting sqref="AT15 AX15:BJ15">
    <cfRule type="expression" dxfId="645" priority="101">
      <formula>AC$9&gt;=20/24</formula>
    </cfRule>
    <cfRule type="expression" dxfId="644" priority="102">
      <formula>AND(AC$9&gt;=14/24,AC$9&lt;20/24)</formula>
    </cfRule>
    <cfRule type="expression" dxfId="643" priority="103">
      <formula>AND(AC$9&gt;=8/24,AC$9&lt;14/24)</formula>
    </cfRule>
    <cfRule type="expression" dxfId="642" priority="104">
      <formula>AC$9&lt;8/24</formula>
    </cfRule>
  </conditionalFormatting>
  <conditionalFormatting sqref="AT16:AT21">
    <cfRule type="expression" dxfId="641" priority="105">
      <formula>BG$9&gt;=20/24</formula>
    </cfRule>
    <cfRule type="expression" dxfId="640" priority="106">
      <formula>AND(BG$9&gt;=14/24,BG$9&lt;20/24)</formula>
    </cfRule>
    <cfRule type="expression" dxfId="639" priority="107">
      <formula>AND(BG$9&gt;=8/24,BG$9&lt;14/24)</formula>
    </cfRule>
    <cfRule type="expression" dxfId="638" priority="108">
      <formula>BG$9&lt;8/24</formula>
    </cfRule>
  </conditionalFormatting>
  <conditionalFormatting sqref="AU15:AV15">
    <cfRule type="expression" dxfId="637" priority="109">
      <formula>AE$9&gt;=20/24</formula>
    </cfRule>
    <cfRule type="expression" dxfId="636" priority="110">
      <formula>AND(AE$9&gt;=14/24,AE$9&lt;20/24)</formula>
    </cfRule>
    <cfRule type="expression" dxfId="635" priority="111">
      <formula>AND(AE$9&gt;=8/24,AE$9&lt;14/24)</formula>
    </cfRule>
    <cfRule type="expression" dxfId="634" priority="112">
      <formula>AE$9&lt;8/24</formula>
    </cfRule>
  </conditionalFormatting>
  <conditionalFormatting sqref="AU16:BJ21">
    <cfRule type="expression" dxfId="633" priority="113">
      <formula>BI$9&gt;=20/24</formula>
    </cfRule>
    <cfRule type="expression" dxfId="632" priority="114">
      <formula>AND(BI$9&gt;=14/24,BI$9&lt;20/24)</formula>
    </cfRule>
    <cfRule type="expression" dxfId="631" priority="115">
      <formula>AND(BI$9&gt;=8/24,BI$9&lt;14/24)</formula>
    </cfRule>
    <cfRule type="expression" dxfId="630" priority="116">
      <formula>BI$9&lt;8/24</formula>
    </cfRule>
  </conditionalFormatting>
  <conditionalFormatting sqref="AW15">
    <cfRule type="expression" dxfId="629" priority="85">
      <formula>B$9&gt;=20/24</formula>
    </cfRule>
    <cfRule type="expression" dxfId="628" priority="86">
      <formula>AND(B$9&gt;=14/24,B$9&lt;20/24)</formula>
    </cfRule>
    <cfRule type="expression" dxfId="627" priority="87">
      <formula>AND(B$9&gt;=8/24,B$9&lt;14/24)</formula>
    </cfRule>
    <cfRule type="expression" dxfId="626" priority="88">
      <formula>B$9&lt;8/24</formula>
    </cfRule>
  </conditionalFormatting>
  <conditionalFormatting sqref="A73">
    <cfRule type="expression" dxfId="625" priority="36">
      <formula>$AH73=0</formula>
    </cfRule>
  </conditionalFormatting>
  <conditionalFormatting sqref="B11:B13 B97:B107 B137:B152 B109:B112 B125:B134 B154:B159">
    <cfRule type="expression" dxfId="624" priority="30">
      <formula>B$9&gt;=20/24</formula>
    </cfRule>
  </conditionalFormatting>
  <conditionalFormatting sqref="B11:B13 B97:B107 B137:B152 B109:B112 B125:B134 B154:B159">
    <cfRule type="expression" dxfId="623" priority="31">
      <formula>AND(B$9&gt;=14/24,B$9&lt;20/24)</formula>
    </cfRule>
    <cfRule type="expression" dxfId="622" priority="32">
      <formula>AND(B$9&gt;=8/24,B$9&lt;14/24)</formula>
    </cfRule>
    <cfRule type="expression" dxfId="621" priority="33">
      <formula>B$9&lt;8/24</formula>
    </cfRule>
  </conditionalFormatting>
  <conditionalFormatting sqref="B14:B28">
    <cfRule type="expression" dxfId="620" priority="20">
      <formula>B14&gt;$AG14*1</formula>
    </cfRule>
    <cfRule type="expression" dxfId="619" priority="21">
      <formula>B$9&gt;=20/24</formula>
    </cfRule>
    <cfRule type="expression" dxfId="618" priority="22">
      <formula>AND(B$9&gt;=14/24,B$9&lt;20/24)</formula>
    </cfRule>
    <cfRule type="expression" dxfId="617" priority="23">
      <formula>AND(B$9&gt;=8/24,B$9&lt;14/24)</formula>
    </cfRule>
    <cfRule type="expression" dxfId="616" priority="24">
      <formula>B$9&lt;8/24</formula>
    </cfRule>
  </conditionalFormatting>
  <conditionalFormatting sqref="B161:B167">
    <cfRule type="expression" dxfId="615" priority="25">
      <formula>B$9&gt;=20/24</formula>
    </cfRule>
    <cfRule type="expression" dxfId="614" priority="26">
      <formula>AND(B$9&gt;=14/24,B$9&lt;20/24)</formula>
    </cfRule>
    <cfRule type="expression" dxfId="613" priority="27">
      <formula>AND(B$9&gt;=8/24,B$9&lt;14/24)</formula>
    </cfRule>
    <cfRule type="expression" dxfId="612" priority="28">
      <formula>B$9&lt;8/24</formula>
    </cfRule>
  </conditionalFormatting>
  <conditionalFormatting sqref="B169:B274">
    <cfRule type="expression" dxfId="611" priority="6">
      <formula>B$9&gt;=20/24</formula>
    </cfRule>
    <cfRule type="expression" dxfId="610" priority="7">
      <formula>AND(B$9&gt;=14/24,B$9&lt;20/24)</formula>
    </cfRule>
    <cfRule type="expression" dxfId="609" priority="8">
      <formula>AND(B$9&gt;=8/24,B$9&lt;14/24)</formula>
    </cfRule>
    <cfRule type="expression" dxfId="608" priority="9">
      <formula>B$9&lt;8/24</formula>
    </cfRule>
  </conditionalFormatting>
  <conditionalFormatting sqref="B11:B13">
    <cfRule type="expression" dxfId="607" priority="29">
      <formula>B11&gt;$AG11*1</formula>
    </cfRule>
  </conditionalFormatting>
  <conditionalFormatting sqref="A153">
    <cfRule type="expression" dxfId="60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05" priority="1">
      <formula>AL$9&gt;=20/24</formula>
    </cfRule>
  </conditionalFormatting>
  <conditionalFormatting sqref="AL153">
    <cfRule type="expression" dxfId="604" priority="2">
      <formula>AND(AL$9&gt;=14/24,AL$9&lt;20/24)</formula>
    </cfRule>
    <cfRule type="expression" dxfId="603" priority="3">
      <formula>AND(AL$9&gt;=8/24,AL$9&lt;14/24)</formula>
    </cfRule>
    <cfRule type="expression" dxfId="60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83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AG14" sqref="AG14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>
        <v>-75</v>
      </c>
      <c r="T3" s="245"/>
      <c r="U3" s="245">
        <f>SUM(B3:T3)</f>
        <v>-423.7</v>
      </c>
      <c r="V3" s="245"/>
      <c r="W3" s="244">
        <v>57.9</v>
      </c>
      <c r="X3" s="244">
        <v>-140</v>
      </c>
      <c r="Y3" s="237">
        <f>SUM(U3:X3)</f>
        <v>-505.8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>
        <v>-75</v>
      </c>
      <c r="T4" s="245"/>
      <c r="U4" s="245">
        <f>SUM(B4:T4)</f>
        <v>-423.7</v>
      </c>
      <c r="V4" s="245"/>
      <c r="W4" s="244">
        <v>57.9</v>
      </c>
      <c r="X4" s="244">
        <v>-140</v>
      </c>
      <c r="Y4" s="237">
        <f t="shared" ref="Y4:Y67" si="0">SUM(U4:X4)</f>
        <v>-505.8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>
        <v>-75</v>
      </c>
      <c r="T5" s="245"/>
      <c r="U5" s="245">
        <f>SUM(B5:T5)</f>
        <v>-423.7</v>
      </c>
      <c r="V5" s="245"/>
      <c r="W5" s="244">
        <v>57.9</v>
      </c>
      <c r="X5" s="244">
        <v>-140</v>
      </c>
      <c r="Y5" s="237">
        <f t="shared" si="0"/>
        <v>-505.8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>
        <v>-75</v>
      </c>
      <c r="T6" s="245"/>
      <c r="U6" s="245">
        <f>SUM(B6:T6)</f>
        <v>-423.7</v>
      </c>
      <c r="V6" s="245"/>
      <c r="W6" s="244">
        <v>57.9</v>
      </c>
      <c r="X6" s="244">
        <v>-140</v>
      </c>
      <c r="Y6" s="237">
        <f t="shared" si="0"/>
        <v>-505.8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>
        <v>-75</v>
      </c>
      <c r="T7" s="245"/>
      <c r="U7" s="245">
        <f>SUM(B7:T7)</f>
        <v>-423.7</v>
      </c>
      <c r="V7" s="245"/>
      <c r="W7" s="244">
        <v>57.9</v>
      </c>
      <c r="X7" s="244">
        <v>-140</v>
      </c>
      <c r="Y7" s="237">
        <f t="shared" si="0"/>
        <v>-505.8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>
        <v>-75</v>
      </c>
      <c r="T8" s="245"/>
      <c r="U8" s="245">
        <f>SUM(B8:T8)</f>
        <v>-423.7</v>
      </c>
      <c r="V8" s="245"/>
      <c r="W8" s="244">
        <v>57.9</v>
      </c>
      <c r="X8" s="244">
        <v>-140</v>
      </c>
      <c r="Y8" s="237">
        <f t="shared" si="0"/>
        <v>-505.8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>
        <v>-75</v>
      </c>
      <c r="T9" s="245"/>
      <c r="U9" s="245">
        <f>SUM(B9:T9)</f>
        <v>-423.7</v>
      </c>
      <c r="V9" s="245"/>
      <c r="W9" s="244">
        <v>57.9</v>
      </c>
      <c r="X9" s="244">
        <v>-140</v>
      </c>
      <c r="Y9" s="237">
        <f t="shared" si="0"/>
        <v>-505.8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-423.7</v>
      </c>
      <c r="V10" s="245"/>
      <c r="W10" s="244">
        <v>57.9</v>
      </c>
      <c r="X10" s="244">
        <v>-140</v>
      </c>
      <c r="Y10" s="237">
        <f t="shared" si="0"/>
        <v>-505.8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-423.7</v>
      </c>
      <c r="V11" s="245"/>
      <c r="W11" s="244">
        <v>57.9</v>
      </c>
      <c r="X11" s="244">
        <v>-140</v>
      </c>
      <c r="Y11" s="237">
        <f t="shared" si="0"/>
        <v>-505.8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-423.7</v>
      </c>
      <c r="V12" s="245"/>
      <c r="W12" s="244">
        <v>57.9</v>
      </c>
      <c r="X12" s="244">
        <v>-140</v>
      </c>
      <c r="Y12" s="237">
        <f t="shared" si="0"/>
        <v>-505.8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-423.7</v>
      </c>
      <c r="V13" s="245"/>
      <c r="W13" s="244">
        <v>57.9</v>
      </c>
      <c r="X13" s="244">
        <v>-140</v>
      </c>
      <c r="Y13" s="237">
        <f t="shared" si="0"/>
        <v>-505.8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-423.7</v>
      </c>
      <c r="V14" s="245"/>
      <c r="W14" s="244">
        <v>57.9</v>
      </c>
      <c r="X14" s="244">
        <v>-140</v>
      </c>
      <c r="Y14" s="237">
        <f t="shared" si="0"/>
        <v>-505.8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-423.7</v>
      </c>
      <c r="V15" s="245"/>
      <c r="W15" s="244">
        <v>57.9</v>
      </c>
      <c r="X15" s="244">
        <v>-140</v>
      </c>
      <c r="Y15" s="237">
        <f t="shared" si="0"/>
        <v>-505.8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-423.7</v>
      </c>
      <c r="V16" s="245"/>
      <c r="W16" s="244">
        <v>57.9</v>
      </c>
      <c r="X16" s="244">
        <v>-140</v>
      </c>
      <c r="Y16" s="237">
        <f t="shared" si="0"/>
        <v>-505.8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-423.7</v>
      </c>
      <c r="V17" s="245"/>
      <c r="W17" s="244">
        <v>57.9</v>
      </c>
      <c r="X17" s="244">
        <v>-140</v>
      </c>
      <c r="Y17" s="237">
        <f t="shared" si="0"/>
        <v>-505.8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-423.7</v>
      </c>
      <c r="V18" s="245"/>
      <c r="W18" s="244">
        <v>57.9</v>
      </c>
      <c r="X18" s="244">
        <v>-140</v>
      </c>
      <c r="Y18" s="237">
        <f t="shared" si="0"/>
        <v>-505.8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-423.7</v>
      </c>
      <c r="V19" s="245"/>
      <c r="W19" s="244">
        <v>57.9</v>
      </c>
      <c r="X19" s="244">
        <v>-140</v>
      </c>
      <c r="Y19" s="237">
        <f t="shared" si="0"/>
        <v>-505.8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-423.7</v>
      </c>
      <c r="V20" s="245"/>
      <c r="W20" s="244">
        <v>57.9</v>
      </c>
      <c r="X20" s="244">
        <v>-140</v>
      </c>
      <c r="Y20" s="237">
        <f t="shared" si="0"/>
        <v>-505.8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-423.7</v>
      </c>
      <c r="V21" s="245"/>
      <c r="W21" s="244">
        <v>57.9</v>
      </c>
      <c r="X21" s="244">
        <v>-140</v>
      </c>
      <c r="Y21" s="237">
        <f t="shared" si="0"/>
        <v>-505.8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-423.7</v>
      </c>
      <c r="V22" s="245"/>
      <c r="W22" s="244">
        <v>57.9</v>
      </c>
      <c r="X22" s="244">
        <v>-140</v>
      </c>
      <c r="Y22" s="237">
        <f t="shared" si="0"/>
        <v>-505.8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-558.70000000000005</v>
      </c>
      <c r="V23" s="245"/>
      <c r="W23" s="244">
        <v>57.9</v>
      </c>
      <c r="X23" s="244">
        <v>0</v>
      </c>
      <c r="Y23" s="237">
        <f>SUM(U23:X23)</f>
        <v>-500.80000000000007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-563.70000000000005</v>
      </c>
      <c r="V24" s="245"/>
      <c r="W24" s="244">
        <v>57.9</v>
      </c>
      <c r="X24" s="244">
        <v>0</v>
      </c>
      <c r="Y24" s="237">
        <f t="shared" si="0"/>
        <v>-505.80000000000007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-563.70000000000005</v>
      </c>
      <c r="V25" s="245"/>
      <c r="W25" s="244">
        <v>57.9</v>
      </c>
      <c r="X25" s="244">
        <v>0</v>
      </c>
      <c r="Y25" s="237">
        <f t="shared" si="0"/>
        <v>-505.80000000000007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-513.70000000000005</v>
      </c>
      <c r="V26" s="245"/>
      <c r="W26" s="244">
        <v>57.9</v>
      </c>
      <c r="X26" s="244">
        <v>0</v>
      </c>
      <c r="Y26" s="237">
        <f t="shared" si="0"/>
        <v>-455.80000000000007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>
        <v>-50.8</v>
      </c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-448.8</v>
      </c>
      <c r="V27" s="245"/>
      <c r="W27" s="244">
        <v>57.9</v>
      </c>
      <c r="X27" s="244">
        <v>0</v>
      </c>
      <c r="Y27" s="237">
        <f t="shared" si="0"/>
        <v>-390.90000000000003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>
        <v>-50.8</v>
      </c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-373.8</v>
      </c>
      <c r="V28" s="245"/>
      <c r="W28" s="244">
        <v>57.9</v>
      </c>
      <c r="X28" s="244">
        <v>0</v>
      </c>
      <c r="Y28" s="237">
        <f t="shared" si="0"/>
        <v>-315.90000000000003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>
        <v>-50.8</v>
      </c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-373.8</v>
      </c>
      <c r="V29" s="245"/>
      <c r="W29" s="244">
        <v>57.9</v>
      </c>
      <c r="X29" s="244">
        <v>0</v>
      </c>
      <c r="Y29" s="237">
        <f t="shared" si="0"/>
        <v>-315.90000000000003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>
        <v>-50.8</v>
      </c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-373.8</v>
      </c>
      <c r="V30" s="245"/>
      <c r="W30" s="244">
        <v>57.9</v>
      </c>
      <c r="X30" s="244">
        <v>0</v>
      </c>
      <c r="Y30" s="237">
        <f t="shared" si="0"/>
        <v>-315.90000000000003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>
        <v>-50.8</v>
      </c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-373.8</v>
      </c>
      <c r="V31" s="245"/>
      <c r="W31" s="244">
        <v>57.9</v>
      </c>
      <c r="X31" s="244">
        <v>0</v>
      </c>
      <c r="Y31" s="237">
        <f t="shared" si="0"/>
        <v>-315.90000000000003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>
        <v>-50.8</v>
      </c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-373.8</v>
      </c>
      <c r="V32" s="245"/>
      <c r="W32" s="244">
        <v>57.9</v>
      </c>
      <c r="X32" s="244">
        <v>0</v>
      </c>
      <c r="Y32" s="237">
        <f t="shared" si="0"/>
        <v>-315.90000000000003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>
        <v>-50.8</v>
      </c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-373.8</v>
      </c>
      <c r="V33" s="245"/>
      <c r="W33" s="244">
        <v>57.9</v>
      </c>
      <c r="X33" s="244">
        <v>0</v>
      </c>
      <c r="Y33" s="237">
        <f t="shared" si="0"/>
        <v>-315.90000000000003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>
        <v>-50.8</v>
      </c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-373.8</v>
      </c>
      <c r="V34" s="245"/>
      <c r="W34" s="244">
        <v>57.9</v>
      </c>
      <c r="X34" s="244">
        <v>0</v>
      </c>
      <c r="Y34" s="237">
        <f t="shared" si="0"/>
        <v>-315.90000000000003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>
        <v>-50.8</v>
      </c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-373.8</v>
      </c>
      <c r="V35" s="245"/>
      <c r="W35" s="244">
        <v>57.9</v>
      </c>
      <c r="X35" s="244">
        <v>0</v>
      </c>
      <c r="Y35" s="237">
        <f t="shared" si="0"/>
        <v>-315.90000000000003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>
        <v>-50.8</v>
      </c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-373.8</v>
      </c>
      <c r="V36" s="245"/>
      <c r="W36" s="244">
        <v>57.9</v>
      </c>
      <c r="X36" s="244">
        <v>0</v>
      </c>
      <c r="Y36" s="237">
        <f t="shared" si="0"/>
        <v>-315.90000000000003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>
        <v>-50.8</v>
      </c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-373.8</v>
      </c>
      <c r="V37" s="243"/>
      <c r="W37" s="244">
        <v>57.9</v>
      </c>
      <c r="X37" s="247">
        <v>0</v>
      </c>
      <c r="Y37" s="242">
        <f t="shared" si="0"/>
        <v>-315.90000000000003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>
        <v>-50.8</v>
      </c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-373.8</v>
      </c>
      <c r="V38" s="245"/>
      <c r="W38" s="244">
        <v>57.9</v>
      </c>
      <c r="X38" s="244">
        <v>0</v>
      </c>
      <c r="Y38" s="237">
        <f t="shared" si="0"/>
        <v>-315.90000000000003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>
        <v>-50.8</v>
      </c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-322.8</v>
      </c>
      <c r="V39" s="245"/>
      <c r="W39" s="244">
        <v>57.9</v>
      </c>
      <c r="X39" s="244">
        <v>0</v>
      </c>
      <c r="Y39" s="237">
        <f t="shared" si="0"/>
        <v>-264.90000000000003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>
        <v>-50.8</v>
      </c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-322.8</v>
      </c>
      <c r="V40" s="245"/>
      <c r="W40" s="244">
        <v>57.9</v>
      </c>
      <c r="X40" s="244">
        <v>0</v>
      </c>
      <c r="Y40" s="237">
        <f t="shared" si="0"/>
        <v>-264.90000000000003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>
        <v>-50.8</v>
      </c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-322.8</v>
      </c>
      <c r="V41" s="245"/>
      <c r="W41" s="244">
        <v>57.9</v>
      </c>
      <c r="X41" s="244">
        <v>0</v>
      </c>
      <c r="Y41" s="237">
        <f t="shared" si="0"/>
        <v>-264.90000000000003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>
        <v>-50.8</v>
      </c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-322.8</v>
      </c>
      <c r="V42" s="245"/>
      <c r="W42" s="244">
        <v>57.9</v>
      </c>
      <c r="X42" s="244">
        <v>0</v>
      </c>
      <c r="Y42" s="237">
        <f t="shared" si="0"/>
        <v>-264.90000000000003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>
        <v>-50.8</v>
      </c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-322.8</v>
      </c>
      <c r="V43" s="245"/>
      <c r="W43" s="244">
        <v>57.9</v>
      </c>
      <c r="X43" s="244">
        <v>0</v>
      </c>
      <c r="Y43" s="237">
        <f t="shared" si="0"/>
        <v>-264.90000000000003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>
        <v>-50.8</v>
      </c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-255.8</v>
      </c>
      <c r="V44" s="245"/>
      <c r="W44" s="244">
        <v>57.9</v>
      </c>
      <c r="X44" s="244">
        <v>0</v>
      </c>
      <c r="Y44" s="237">
        <f t="shared" si="0"/>
        <v>-197.9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>
        <v>-50.8</v>
      </c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-190.8</v>
      </c>
      <c r="V45" s="245"/>
      <c r="W45" s="244">
        <v>57.9</v>
      </c>
      <c r="X45" s="244">
        <v>0</v>
      </c>
      <c r="Y45" s="237">
        <f t="shared" si="0"/>
        <v>-132.9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>
        <v>-50.8</v>
      </c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-190.8</v>
      </c>
      <c r="V46" s="245"/>
      <c r="W46" s="244">
        <v>57.9</v>
      </c>
      <c r="X46" s="244">
        <v>0</v>
      </c>
      <c r="Y46" s="237">
        <f t="shared" si="0"/>
        <v>-132.9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>
        <v>-50.8</v>
      </c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-190.8</v>
      </c>
      <c r="V47" s="245"/>
      <c r="W47" s="244">
        <v>57.9</v>
      </c>
      <c r="X47" s="244">
        <v>0</v>
      </c>
      <c r="Y47" s="237">
        <f t="shared" si="0"/>
        <v>-132.9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>
        <v>-50.8</v>
      </c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-190.8</v>
      </c>
      <c r="V48" s="245"/>
      <c r="W48" s="244">
        <v>57.9</v>
      </c>
      <c r="X48" s="244">
        <v>0</v>
      </c>
      <c r="Y48" s="237">
        <f t="shared" si="0"/>
        <v>-132.9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>
        <v>-50.8</v>
      </c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-190.8</v>
      </c>
      <c r="V49" s="245"/>
      <c r="W49" s="244">
        <v>57.9</v>
      </c>
      <c r="X49" s="244">
        <v>0</v>
      </c>
      <c r="Y49" s="237">
        <f t="shared" si="0"/>
        <v>-132.9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>
        <v>-50.8</v>
      </c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-190.8</v>
      </c>
      <c r="V50" s="245"/>
      <c r="W50" s="244">
        <v>57.9</v>
      </c>
      <c r="X50" s="244">
        <v>0</v>
      </c>
      <c r="Y50" s="237">
        <f t="shared" si="0"/>
        <v>-132.9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>
        <v>-50.8</v>
      </c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-190.8</v>
      </c>
      <c r="V51" s="245"/>
      <c r="W51" s="244">
        <v>57.9</v>
      </c>
      <c r="X51" s="244">
        <v>0</v>
      </c>
      <c r="Y51" s="237">
        <f t="shared" si="0"/>
        <v>-132.9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>
        <v>-50.8</v>
      </c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-190.8</v>
      </c>
      <c r="V52" s="245"/>
      <c r="W52" s="244">
        <v>57.9</v>
      </c>
      <c r="X52" s="244">
        <v>0</v>
      </c>
      <c r="Y52" s="237">
        <f t="shared" si="0"/>
        <v>-132.9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>
        <v>-50.8</v>
      </c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-190.8</v>
      </c>
      <c r="V53" s="245">
        <v>60</v>
      </c>
      <c r="W53" s="244">
        <v>57.9</v>
      </c>
      <c r="X53" s="244">
        <v>0</v>
      </c>
      <c r="Y53" s="237">
        <f t="shared" si="0"/>
        <v>-72.900000000000006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>
        <v>-50.8</v>
      </c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-190.8</v>
      </c>
      <c r="V54" s="245">
        <v>60</v>
      </c>
      <c r="W54" s="244">
        <v>57.9</v>
      </c>
      <c r="X54" s="244">
        <v>0</v>
      </c>
      <c r="Y54" s="237">
        <f t="shared" si="0"/>
        <v>-72.900000000000006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>
        <v>-50.8</v>
      </c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-190.8</v>
      </c>
      <c r="V55" s="245">
        <v>60</v>
      </c>
      <c r="W55" s="244">
        <v>57.9</v>
      </c>
      <c r="X55" s="244">
        <v>0</v>
      </c>
      <c r="Y55" s="237">
        <f t="shared" si="0"/>
        <v>-72.900000000000006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>
        <v>-50.8</v>
      </c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-190.8</v>
      </c>
      <c r="V56" s="245">
        <v>60</v>
      </c>
      <c r="W56" s="244">
        <v>57.9</v>
      </c>
      <c r="X56" s="244">
        <v>0</v>
      </c>
      <c r="Y56" s="237">
        <f t="shared" si="0"/>
        <v>-72.900000000000006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>
        <v>-50.8</v>
      </c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-190.8</v>
      </c>
      <c r="V57" s="245">
        <v>60</v>
      </c>
      <c r="W57" s="244">
        <v>57.9</v>
      </c>
      <c r="X57" s="244">
        <v>0</v>
      </c>
      <c r="Y57" s="237">
        <f t="shared" si="0"/>
        <v>-72.900000000000006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>
        <v>-50.8</v>
      </c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-190.8</v>
      </c>
      <c r="V58" s="245">
        <v>60</v>
      </c>
      <c r="W58" s="244">
        <v>57.9</v>
      </c>
      <c r="X58" s="244">
        <v>0</v>
      </c>
      <c r="Y58" s="237">
        <f t="shared" si="0"/>
        <v>-72.900000000000006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>
        <v>-50.8</v>
      </c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-190.8</v>
      </c>
      <c r="V59" s="243"/>
      <c r="W59" s="244">
        <v>57.9</v>
      </c>
      <c r="X59" s="247">
        <v>0</v>
      </c>
      <c r="Y59" s="242">
        <f t="shared" si="0"/>
        <v>-132.9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>
        <v>-50.8</v>
      </c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-190.8</v>
      </c>
      <c r="V60" s="245"/>
      <c r="W60" s="244">
        <v>57.9</v>
      </c>
      <c r="X60" s="244">
        <v>0</v>
      </c>
      <c r="Y60" s="237">
        <f t="shared" si="0"/>
        <v>-132.9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>
        <v>-50.8</v>
      </c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-190.8</v>
      </c>
      <c r="V61" s="245"/>
      <c r="W61" s="244">
        <v>57.9</v>
      </c>
      <c r="X61" s="244">
        <v>0</v>
      </c>
      <c r="Y61" s="237">
        <f t="shared" si="0"/>
        <v>-132.9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>
        <v>-50.8</v>
      </c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-190.8</v>
      </c>
      <c r="V62" s="245"/>
      <c r="W62" s="244">
        <v>57.9</v>
      </c>
      <c r="X62" s="244">
        <v>0</v>
      </c>
      <c r="Y62" s="237">
        <f t="shared" si="0"/>
        <v>-132.9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>
        <v>-50.8</v>
      </c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-190.8</v>
      </c>
      <c r="V63" s="245"/>
      <c r="W63" s="244">
        <v>57.9</v>
      </c>
      <c r="X63" s="244">
        <v>0</v>
      </c>
      <c r="Y63" s="237">
        <f t="shared" si="0"/>
        <v>-132.9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>
        <v>-50.8</v>
      </c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-190.8</v>
      </c>
      <c r="V64" s="245"/>
      <c r="W64" s="244">
        <v>57.9</v>
      </c>
      <c r="X64" s="244">
        <v>0</v>
      </c>
      <c r="Y64" s="237">
        <f t="shared" si="0"/>
        <v>-132.9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>
        <v>-50.8</v>
      </c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-190.8</v>
      </c>
      <c r="V65" s="245"/>
      <c r="W65" s="244">
        <v>57.9</v>
      </c>
      <c r="X65" s="244">
        <v>0</v>
      </c>
      <c r="Y65" s="237">
        <f t="shared" si="0"/>
        <v>-132.9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>
        <v>-50.8</v>
      </c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-190.8</v>
      </c>
      <c r="V66" s="245"/>
      <c r="W66" s="244">
        <v>57.9</v>
      </c>
      <c r="X66" s="244">
        <v>0</v>
      </c>
      <c r="Y66" s="237">
        <f t="shared" si="0"/>
        <v>-132.9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>
        <v>-50.8</v>
      </c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-190.8</v>
      </c>
      <c r="V67" s="245"/>
      <c r="W67" s="244">
        <v>57.9</v>
      </c>
      <c r="X67" s="244">
        <v>0</v>
      </c>
      <c r="Y67" s="237">
        <f t="shared" si="0"/>
        <v>-132.9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>
        <v>-50.8</v>
      </c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-190.8</v>
      </c>
      <c r="V68" s="245"/>
      <c r="W68" s="244">
        <v>57.9</v>
      </c>
      <c r="X68" s="244">
        <v>0</v>
      </c>
      <c r="Y68" s="237">
        <f t="shared" ref="Y68:Y98" si="2">SUM(U68:X68)</f>
        <v>-132.9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>
        <v>-50.8</v>
      </c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-190.8</v>
      </c>
      <c r="V69" s="245"/>
      <c r="W69" s="244">
        <v>57.9</v>
      </c>
      <c r="X69" s="244">
        <v>0</v>
      </c>
      <c r="Y69" s="237">
        <f t="shared" si="2"/>
        <v>-132.9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>
        <v>-50.8</v>
      </c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-190.8</v>
      </c>
      <c r="V70" s="243"/>
      <c r="W70" s="244">
        <v>57.9</v>
      </c>
      <c r="X70" s="247">
        <v>0</v>
      </c>
      <c r="Y70" s="242">
        <f t="shared" si="2"/>
        <v>-132.9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>
        <v>-50.8</v>
      </c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-190.8</v>
      </c>
      <c r="V71" s="245"/>
      <c r="W71" s="244">
        <v>57.9</v>
      </c>
      <c r="X71" s="244">
        <v>0</v>
      </c>
      <c r="Y71" s="237">
        <f t="shared" si="2"/>
        <v>-132.9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>
        <v>-50.8</v>
      </c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-190.8</v>
      </c>
      <c r="V72" s="245"/>
      <c r="W72" s="244">
        <v>57.9</v>
      </c>
      <c r="X72" s="244">
        <v>0</v>
      </c>
      <c r="Y72" s="237">
        <f t="shared" si="2"/>
        <v>-132.9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>
        <v>-50.8</v>
      </c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-257.8</v>
      </c>
      <c r="V73" s="245"/>
      <c r="W73" s="244">
        <v>57.9</v>
      </c>
      <c r="X73" s="244">
        <v>0</v>
      </c>
      <c r="Y73" s="237">
        <f t="shared" si="2"/>
        <v>-199.9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>
        <v>-50.8</v>
      </c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-257.8</v>
      </c>
      <c r="V74" s="245"/>
      <c r="W74" s="244">
        <v>57.9</v>
      </c>
      <c r="X74" s="244">
        <v>0</v>
      </c>
      <c r="Y74" s="237">
        <f t="shared" si="2"/>
        <v>-199.9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>
        <v>-50.8</v>
      </c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-257.8</v>
      </c>
      <c r="V75" s="245"/>
      <c r="W75" s="244">
        <v>57.9</v>
      </c>
      <c r="X75" s="244">
        <v>0</v>
      </c>
      <c r="Y75" s="237">
        <f t="shared" si="2"/>
        <v>-199.9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>
        <v>-50.8</v>
      </c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-324.8</v>
      </c>
      <c r="V76" s="245"/>
      <c r="W76" s="244">
        <v>57.9</v>
      </c>
      <c r="X76" s="244">
        <v>0</v>
      </c>
      <c r="Y76" s="237">
        <f t="shared" si="2"/>
        <v>-266.90000000000003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>
        <v>-50.8</v>
      </c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-184.8</v>
      </c>
      <c r="V77" s="245"/>
      <c r="W77" s="244">
        <v>57.9</v>
      </c>
      <c r="X77" s="244">
        <v>-140</v>
      </c>
      <c r="Y77" s="237">
        <f t="shared" si="2"/>
        <v>-266.89999999999998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>
        <v>-50.8</v>
      </c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-184.8</v>
      </c>
      <c r="V78" s="245"/>
      <c r="W78" s="244">
        <v>57.9</v>
      </c>
      <c r="X78" s="244">
        <v>-140</v>
      </c>
      <c r="Y78" s="237">
        <f t="shared" si="2"/>
        <v>-266.89999999999998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>
        <v>-50.8</v>
      </c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-184.8</v>
      </c>
      <c r="V79" s="245"/>
      <c r="W79" s="244">
        <v>57.9</v>
      </c>
      <c r="X79" s="244">
        <v>-140</v>
      </c>
      <c r="Y79" s="237">
        <f t="shared" si="2"/>
        <v>-266.89999999999998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>
        <v>-50.8</v>
      </c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-184.8</v>
      </c>
      <c r="V80" s="245"/>
      <c r="W80" s="244">
        <v>57.9</v>
      </c>
      <c r="X80" s="244">
        <v>-140</v>
      </c>
      <c r="Y80" s="237">
        <f t="shared" si="2"/>
        <v>-266.89999999999998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>
        <v>-50.8</v>
      </c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-184.8</v>
      </c>
      <c r="V81" s="245"/>
      <c r="W81" s="244">
        <v>57.9</v>
      </c>
      <c r="X81" s="244">
        <v>-140</v>
      </c>
      <c r="Y81" s="237">
        <f t="shared" si="2"/>
        <v>-266.89999999999998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>
        <v>-50.8</v>
      </c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-184.8</v>
      </c>
      <c r="V82" s="245"/>
      <c r="W82" s="244">
        <v>57.9</v>
      </c>
      <c r="X82" s="244">
        <v>-140</v>
      </c>
      <c r="Y82" s="237">
        <f t="shared" si="2"/>
        <v>-266.89999999999998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>
        <v>-50.8</v>
      </c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-184.8</v>
      </c>
      <c r="V83" s="245"/>
      <c r="W83" s="244">
        <v>57.9</v>
      </c>
      <c r="X83" s="244">
        <v>-140</v>
      </c>
      <c r="Y83" s="237">
        <f t="shared" si="2"/>
        <v>-266.89999999999998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>
        <v>-50.8</v>
      </c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-184.8</v>
      </c>
      <c r="V84" s="245"/>
      <c r="W84" s="244">
        <v>57.9</v>
      </c>
      <c r="X84" s="244">
        <v>-140</v>
      </c>
      <c r="Y84" s="237">
        <f t="shared" si="2"/>
        <v>-266.89999999999998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>
        <v>-50.8</v>
      </c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-184.8</v>
      </c>
      <c r="V85" s="245"/>
      <c r="W85" s="244">
        <v>57.9</v>
      </c>
      <c r="X85" s="244">
        <v>-140</v>
      </c>
      <c r="Y85" s="237">
        <f t="shared" si="2"/>
        <v>-266.89999999999998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>
        <v>-50.8</v>
      </c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-234.8</v>
      </c>
      <c r="V86" s="245"/>
      <c r="W86" s="244">
        <v>57.9</v>
      </c>
      <c r="X86" s="244">
        <v>-140</v>
      </c>
      <c r="Y86" s="237">
        <f t="shared" si="2"/>
        <v>-316.89999999999998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>
        <v>-50.8</v>
      </c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-259.8</v>
      </c>
      <c r="V87" s="245"/>
      <c r="W87" s="244">
        <v>57.9</v>
      </c>
      <c r="X87" s="244">
        <v>-140</v>
      </c>
      <c r="Y87" s="237">
        <f t="shared" si="2"/>
        <v>-341.9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>
        <v>-50.8</v>
      </c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-309.8</v>
      </c>
      <c r="V88" s="245"/>
      <c r="W88" s="244">
        <v>57.9</v>
      </c>
      <c r="X88" s="244">
        <v>-140</v>
      </c>
      <c r="Y88" s="237">
        <f t="shared" si="2"/>
        <v>-391.9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>
        <v>-50.8</v>
      </c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-389.8</v>
      </c>
      <c r="V89" s="245"/>
      <c r="W89" s="244">
        <v>57.9</v>
      </c>
      <c r="X89" s="244">
        <v>-140</v>
      </c>
      <c r="Y89" s="237">
        <f t="shared" si="2"/>
        <v>-471.90000000000003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>
        <v>-50.8</v>
      </c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-424.7</v>
      </c>
      <c r="V90" s="245"/>
      <c r="W90" s="244">
        <v>57.9</v>
      </c>
      <c r="X90" s="244">
        <v>-140</v>
      </c>
      <c r="Y90" s="237">
        <f t="shared" si="2"/>
        <v>-506.8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>
        <v>-50.8</v>
      </c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-424.7</v>
      </c>
      <c r="V91" s="245"/>
      <c r="W91" s="244">
        <v>57.9</v>
      </c>
      <c r="X91" s="244">
        <v>-140</v>
      </c>
      <c r="Y91" s="237">
        <f t="shared" si="2"/>
        <v>-506.8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>
        <v>-50.8</v>
      </c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-424.7</v>
      </c>
      <c r="V92" s="245"/>
      <c r="W92" s="244">
        <v>57.9</v>
      </c>
      <c r="X92" s="244">
        <v>-140</v>
      </c>
      <c r="Y92" s="237">
        <f t="shared" si="2"/>
        <v>-506.8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>
        <v>-50.8</v>
      </c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-424.7</v>
      </c>
      <c r="V93" s="245"/>
      <c r="W93" s="244">
        <v>57.9</v>
      </c>
      <c r="X93" s="244">
        <v>-140</v>
      </c>
      <c r="Y93" s="237">
        <f t="shared" si="2"/>
        <v>-506.8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>
        <v>-50.8</v>
      </c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-424.7</v>
      </c>
      <c r="V94" s="245"/>
      <c r="W94" s="244">
        <v>57.9</v>
      </c>
      <c r="X94" s="244">
        <v>-140</v>
      </c>
      <c r="Y94" s="237">
        <f t="shared" si="2"/>
        <v>-506.8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>
        <v>-50.8</v>
      </c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-424.7</v>
      </c>
      <c r="V95" s="245"/>
      <c r="W95" s="244">
        <v>57.9</v>
      </c>
      <c r="X95" s="244">
        <v>-140</v>
      </c>
      <c r="Y95" s="237">
        <f t="shared" si="2"/>
        <v>-506.8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>
        <v>-50.8</v>
      </c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-424.7</v>
      </c>
      <c r="V96" s="245"/>
      <c r="W96" s="244">
        <v>57.9</v>
      </c>
      <c r="X96" s="244">
        <v>-140</v>
      </c>
      <c r="Y96" s="237">
        <f t="shared" si="2"/>
        <v>-506.8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>
        <v>-50.8</v>
      </c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-424.7</v>
      </c>
      <c r="V97" s="245"/>
      <c r="W97" s="244">
        <v>57.9</v>
      </c>
      <c r="X97" s="244">
        <v>-140</v>
      </c>
      <c r="Y97" s="237">
        <f t="shared" si="2"/>
        <v>-506.8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>
        <v>-50.8</v>
      </c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-424.7</v>
      </c>
      <c r="V98" s="245"/>
      <c r="W98" s="244">
        <v>57.9</v>
      </c>
      <c r="X98" s="244">
        <v>-140</v>
      </c>
      <c r="Y98" s="237">
        <f t="shared" si="2"/>
        <v>-506.8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01</vt:lpstr>
      <vt:lpstr>02</vt:lpstr>
      <vt:lpstr>03</vt:lpstr>
      <vt:lpstr>04</vt:lpstr>
      <vt:lpstr>05</vt:lpstr>
      <vt:lpstr>06</vt:lpstr>
      <vt:lpstr>07</vt:lpstr>
      <vt:lpstr>Sample</vt:lpstr>
      <vt:lpstr>Schedule dont delete </vt:lpstr>
      <vt:lpstr>Schedule dont delete  (2)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2026-05-20T21:14:18Z</dcterms:modified>
</cp:coreProperties>
</file>