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O270" i="75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O261" i="75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O255" i="75" s="1"/>
  <c r="P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P242" i="75"/>
  <c r="Q242" i="75" s="1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O236" i="75" s="1"/>
  <c r="P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O234" i="75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O218" i="75" s="1"/>
  <c r="P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O216" i="75" s="1"/>
  <c r="P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O215" i="75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O214" i="75" s="1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P209" i="75"/>
  <c r="Q209" i="75" s="1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O202" i="75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O195" i="75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O193" i="75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O174" i="75" s="1"/>
  <c r="P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O166" i="75" s="1"/>
  <c r="P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I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O161" i="75" l="1"/>
  <c r="O177" i="75"/>
  <c r="O169" i="75" l="1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<sst xmlns="http://schemas.openxmlformats.org/spreadsheetml/2006/main" count="1572" uniqueCount="416">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</sst>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7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2" sqref="N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1685.9000000000005</v>
      </c>
      <c r="N7" s="35">
        <f t="shared" si="1"/>
        <v>1728.1000000000001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325.59999999999997</v>
      </c>
      <c r="AV17" s="57">
        <f t="shared" si="7"/>
        <v>374.59999999999997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54</v>
      </c>
      <c r="AV20" s="57">
        <f t="shared" si="13"/>
        <v>54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1874.2000000000005</v>
      </c>
      <c r="AV22" s="60">
        <f t="shared" si="16"/>
        <v>1928.0000000000002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1685.9000000000005</v>
      </c>
      <c r="AV25" s="60">
        <f t="shared" si="19"/>
        <v>1728.1000000000001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47.5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40.200000000000003</v>
      </c>
      <c r="N75" s="43">
        <v>40.200000000000003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40.200000000000003</v>
      </c>
      <c r="AI75" s="47">
        <f t="shared" ref="AI75:AI138" si="25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13.2</v>
      </c>
      <c r="AI76" s="47">
        <f t="shared" si="25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9.8000000000000007</v>
      </c>
      <c r="AI77" s="47">
        <f t="shared" si="25"/>
        <v>7.4</v>
      </c>
      <c r="AK77" s="49"/>
    </row>
    <row r="78" spans="1:88" ht="15.75" thickBot="1">
      <c r="A78" s="79" t="s">
        <v>97</v>
      </c>
      <c r="B78" s="70">
        <f t="shared" ref="B78:C78" si="26">SUM(B72:B77)</f>
        <v>525.5</v>
      </c>
      <c r="C78" s="70">
        <f t="shared" si="26"/>
        <v>454.5</v>
      </c>
      <c r="D78" s="70">
        <f t="shared" ref="D78:E78" si="27">SUM(D72:D77)</f>
        <v>565</v>
      </c>
      <c r="E78" s="70">
        <f t="shared" si="27"/>
        <v>406.49999999999994</v>
      </c>
      <c r="F78" s="70">
        <f t="shared" ref="D78:AG78" si="28">SUM(F72:F77)</f>
        <v>464.19999999999993</v>
      </c>
      <c r="G78" s="70">
        <f t="shared" si="28"/>
        <v>494.29999999999995</v>
      </c>
      <c r="H78" s="70">
        <f t="shared" si="28"/>
        <v>433.99999999999994</v>
      </c>
      <c r="I78" s="70">
        <f t="shared" si="28"/>
        <v>325.49999999999994</v>
      </c>
      <c r="J78" s="70">
        <f t="shared" si="28"/>
        <v>325.49999999999994</v>
      </c>
      <c r="K78" s="70">
        <f t="shared" si="28"/>
        <v>387.3</v>
      </c>
      <c r="L78" s="70">
        <f t="shared" si="28"/>
        <v>415.00000000000006</v>
      </c>
      <c r="M78" s="70">
        <f t="shared" ref="M78:N78" si="29">SUM(M72:M77)</f>
        <v>325.59999999999997</v>
      </c>
      <c r="N78" s="70">
        <f t="shared" si="29"/>
        <v>374.59999999999997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565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95</v>
      </c>
      <c r="AK79" s="49"/>
      <c r="AY79" s="1" t="s">
        <v>99</v>
      </c>
      <c r="AZ79" s="82">
        <f>ROUND(C97,0)</f>
        <v>-507</v>
      </c>
      <c r="BA79" s="81">
        <f t="shared" ref="BA79:BD83" si="30">D97</f>
        <v>-515</v>
      </c>
      <c r="BB79" s="81">
        <f t="shared" si="30"/>
        <v>-532</v>
      </c>
      <c r="BC79" s="81">
        <f t="shared" si="30"/>
        <v>-496</v>
      </c>
      <c r="BD79" s="81">
        <f t="shared" si="30"/>
        <v>-478.6</v>
      </c>
      <c r="BE79" s="82">
        <f>I97</f>
        <v>-347.3</v>
      </c>
      <c r="BF79" s="82">
        <f>K97</f>
        <v>-321</v>
      </c>
      <c r="BG79" s="82">
        <f t="shared" ref="BG79:BP83" si="31">M97</f>
        <v>-188.3</v>
      </c>
      <c r="BH79" s="82">
        <f t="shared" si="31"/>
        <v>-199.9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68.599999999999994</v>
      </c>
      <c r="AI80" s="47">
        <f t="shared" si="25"/>
        <v>35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20.399999999999999</v>
      </c>
      <c r="BH80" s="82">
        <f t="shared" si="31"/>
        <v>19.100000000000001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70.099999999999994</v>
      </c>
      <c r="AI81" s="47">
        <f t="shared" si="25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0"/>
        <v>52.2</v>
      </c>
      <c r="BB81" s="81">
        <f t="shared" si="30"/>
        <v>60.5</v>
      </c>
      <c r="BC81" s="81">
        <f t="shared" si="30"/>
        <v>59.2</v>
      </c>
      <c r="BD81" s="81">
        <f t="shared" si="30"/>
        <v>58.2</v>
      </c>
      <c r="BE81" s="82">
        <f>I99</f>
        <v>53.3</v>
      </c>
      <c r="BF81" s="82">
        <f>K99</f>
        <v>49.9</v>
      </c>
      <c r="BG81" s="82">
        <f t="shared" si="31"/>
        <v>51.5</v>
      </c>
      <c r="BH81" s="82">
        <f t="shared" si="31"/>
        <v>50.7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60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16.100000000000001</v>
      </c>
      <c r="BC82" s="81">
        <f t="shared" si="30"/>
        <v>15.4</v>
      </c>
      <c r="BD82" s="81">
        <f t="shared" si="30"/>
        <v>15.3</v>
      </c>
      <c r="BE82" s="82">
        <f>I100</f>
        <v>8.4</v>
      </c>
      <c r="BF82" s="82">
        <f>K100</f>
        <v>13</v>
      </c>
      <c r="BG82" s="82">
        <f t="shared" si="31"/>
        <v>12.9</v>
      </c>
      <c r="BH82" s="82">
        <f t="shared" si="31"/>
        <v>11.8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14.3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54.6</v>
      </c>
      <c r="BF83" s="82">
        <f>K101</f>
        <v>41.3</v>
      </c>
      <c r="BG83" s="82">
        <f t="shared" si="31"/>
        <v>48.8</v>
      </c>
      <c r="BH83" s="82">
        <f t="shared" si="31"/>
        <v>51.9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12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11.9</v>
      </c>
      <c r="AI85" s="47">
        <f t="shared" si="25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-507</v>
      </c>
      <c r="BA86" s="82">
        <f t="shared" si="34"/>
        <v>-515</v>
      </c>
      <c r="BB86" s="82">
        <f t="shared" si="34"/>
        <v>-532</v>
      </c>
      <c r="BC86" s="82">
        <f t="shared" si="34"/>
        <v>-496</v>
      </c>
      <c r="BD86" s="82">
        <f t="shared" si="34"/>
        <v>-478.6</v>
      </c>
      <c r="BE86" s="82">
        <f t="shared" si="34"/>
        <v>-347.3</v>
      </c>
      <c r="BF86" s="82">
        <f t="shared" si="34"/>
        <v>-321</v>
      </c>
      <c r="BG86" s="82">
        <f t="shared" si="34"/>
        <v>-188.3</v>
      </c>
      <c r="BH86" s="82">
        <f t="shared" si="34"/>
        <v>-199.9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9.4</v>
      </c>
      <c r="AI87" s="47">
        <f t="shared" si="25"/>
        <v>5.1100000000000003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20.399999999999999</v>
      </c>
      <c r="BH87" s="82">
        <f t="shared" si="34"/>
        <v>19.100000000000001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10.7</v>
      </c>
      <c r="AI88" s="47">
        <f t="shared" si="25"/>
        <v>10.199999999999999</v>
      </c>
      <c r="AK88" s="49"/>
      <c r="AZ88" s="82">
        <f t="shared" si="34"/>
        <v>61</v>
      </c>
      <c r="BA88" s="82">
        <f t="shared" si="34"/>
        <v>52.2</v>
      </c>
      <c r="BB88" s="82">
        <f t="shared" si="34"/>
        <v>60.5</v>
      </c>
      <c r="BC88" s="82">
        <f t="shared" si="34"/>
        <v>59.2</v>
      </c>
      <c r="BD88" s="82">
        <f t="shared" si="34"/>
        <v>58.2</v>
      </c>
      <c r="BE88" s="82">
        <f t="shared" si="34"/>
        <v>53.3</v>
      </c>
      <c r="BF88" s="82">
        <f t="shared" si="34"/>
        <v>49.9</v>
      </c>
      <c r="BG88" s="82">
        <f t="shared" si="34"/>
        <v>51.5</v>
      </c>
      <c r="BH88" s="82">
        <f t="shared" si="34"/>
        <v>50.7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8.6999999999999993</v>
      </c>
      <c r="AI89" s="47">
        <f t="shared" si="25"/>
        <v>7.7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16.100000000000001</v>
      </c>
      <c r="BC89" s="82">
        <f t="shared" si="34"/>
        <v>15.4</v>
      </c>
      <c r="BD89" s="82">
        <f t="shared" si="34"/>
        <v>15.3</v>
      </c>
      <c r="BE89" s="82">
        <f t="shared" si="34"/>
        <v>8.4</v>
      </c>
      <c r="BF89" s="82">
        <f t="shared" si="34"/>
        <v>13</v>
      </c>
      <c r="BG89" s="82">
        <f t="shared" si="34"/>
        <v>12.9</v>
      </c>
      <c r="BH89" s="82">
        <f t="shared" si="34"/>
        <v>11.8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54.6</v>
      </c>
      <c r="BF90" s="82">
        <f t="shared" si="34"/>
        <v>41.3</v>
      </c>
      <c r="BG90" s="82">
        <f t="shared" si="34"/>
        <v>48.8</v>
      </c>
      <c r="BH90" s="82">
        <f t="shared" si="34"/>
        <v>51.9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" si="35">SUM(B79:B91)</f>
        <v>315.31</v>
      </c>
      <c r="C92" s="70">
        <f t="shared" ref="B92:AG92" si="36">SUM(C79:C91)</f>
        <v>313.60000000000002</v>
      </c>
      <c r="D92" s="70">
        <f t="shared" si="36"/>
        <v>314.89999999999998</v>
      </c>
      <c r="E92" s="70">
        <f t="shared" si="36"/>
        <v>314.30000000000007</v>
      </c>
      <c r="F92" s="70">
        <f t="shared" si="36"/>
        <v>314.30000000000007</v>
      </c>
      <c r="G92" s="70">
        <f t="shared" si="36"/>
        <v>324.60000000000008</v>
      </c>
      <c r="H92" s="70">
        <f t="shared" si="36"/>
        <v>313.40000000000003</v>
      </c>
      <c r="I92" s="70">
        <f t="shared" si="36"/>
        <v>315.50000000000006</v>
      </c>
      <c r="J92" s="70">
        <f t="shared" si="36"/>
        <v>348.90000000000003</v>
      </c>
      <c r="K92" s="70">
        <f t="shared" si="36"/>
        <v>349.20000000000005</v>
      </c>
      <c r="L92" s="70">
        <f t="shared" si="36"/>
        <v>350.90000000000003</v>
      </c>
      <c r="M92" s="70">
        <f t="shared" ref="M92:N92" si="37">SUM(M79:M91)</f>
        <v>331.50000000000011</v>
      </c>
      <c r="N92" s="70">
        <f t="shared" si="37"/>
        <v>335.5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350.90000000000003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18</v>
      </c>
      <c r="AI94" s="47">
        <f t="shared" si="25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10</v>
      </c>
      <c r="N95" s="77">
        <v>10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10</v>
      </c>
      <c r="AI95" s="47">
        <f t="shared" si="25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8">B93+B94+B95</f>
        <v>51</v>
      </c>
      <c r="C96" s="70">
        <f t="shared" ref="B96:AF96" si="39">C93+C94+C95</f>
        <v>43</v>
      </c>
      <c r="D96" s="70">
        <f t="shared" si="39"/>
        <v>43</v>
      </c>
      <c r="E96" s="70">
        <f t="shared" si="39"/>
        <v>43</v>
      </c>
      <c r="F96" s="70">
        <f t="shared" si="39"/>
        <v>43</v>
      </c>
      <c r="G96" s="70">
        <f t="shared" si="39"/>
        <v>43</v>
      </c>
      <c r="H96" s="70">
        <f t="shared" si="39"/>
        <v>25</v>
      </c>
      <c r="I96" s="70">
        <f t="shared" si="39"/>
        <v>25</v>
      </c>
      <c r="J96" s="70">
        <f t="shared" si="39"/>
        <v>51</v>
      </c>
      <c r="K96" s="70">
        <f t="shared" si="39"/>
        <v>51</v>
      </c>
      <c r="L96" s="70">
        <f t="shared" si="39"/>
        <v>68</v>
      </c>
      <c r="M96" s="70">
        <f t="shared" ref="M96:N96" si="40">M93+M94+M95</f>
        <v>54</v>
      </c>
      <c r="N96" s="70">
        <f t="shared" si="40"/>
        <v>54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68</v>
      </c>
      <c r="AI96" s="47">
        <f t="shared" si="25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-188.3</v>
      </c>
      <c r="AI97" s="47">
        <f t="shared" si="25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20.399999999999999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65.099999999999994</v>
      </c>
      <c r="AI99" s="47">
        <f t="shared" si="25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16.100000000000001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54.6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60</v>
      </c>
      <c r="AI102" s="47">
        <f t="shared" si="25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1">SUMIF(B97:B107,"&gt;0")</f>
        <v>99</v>
      </c>
      <c r="C108" s="70">
        <f t="shared" ref="B108:AF108" si="42">SUMIF(C97:C107,"&gt;0")</f>
        <v>96.8</v>
      </c>
      <c r="D108" s="70">
        <f t="shared" si="42"/>
        <v>83.7</v>
      </c>
      <c r="E108" s="70">
        <f t="shared" si="42"/>
        <v>105.69999999999999</v>
      </c>
      <c r="F108" s="70">
        <f t="shared" si="42"/>
        <v>100.10000000000001</v>
      </c>
      <c r="G108" s="70">
        <f t="shared" si="42"/>
        <v>95.1</v>
      </c>
      <c r="H108" s="70">
        <f t="shared" si="42"/>
        <v>151.19999999999999</v>
      </c>
      <c r="I108" s="70">
        <f t="shared" si="42"/>
        <v>161.4</v>
      </c>
      <c r="J108" s="70">
        <f t="shared" si="42"/>
        <v>169.5</v>
      </c>
      <c r="K108" s="70">
        <f t="shared" si="42"/>
        <v>163.39999999999998</v>
      </c>
      <c r="L108" s="70">
        <f t="shared" si="42"/>
        <v>150.6</v>
      </c>
      <c r="M108" s="70">
        <f t="shared" ref="M108:N108" si="43">SUMIF(M97:M107,"&gt;0")</f>
        <v>192.70000000000002</v>
      </c>
      <c r="N108" s="70">
        <f t="shared" si="43"/>
        <v>193.5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193.5</v>
      </c>
      <c r="AI108" s="47">
        <f t="shared" si="25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4">B71+B78+B96+B92+B108+B112</f>
        <v>2015.5100000000002</v>
      </c>
      <c r="C113" s="108">
        <f t="shared" ref="B113:AG113" si="45">C71+C78+C96+C92+C108+C112</f>
        <v>1932.6000000000001</v>
      </c>
      <c r="D113" s="108">
        <f t="shared" si="45"/>
        <v>2031.3000000000004</v>
      </c>
      <c r="E113" s="108">
        <f t="shared" si="45"/>
        <v>1894.2000000000005</v>
      </c>
      <c r="F113" s="108">
        <f t="shared" si="45"/>
        <v>1946.3000000000002</v>
      </c>
      <c r="G113" s="108">
        <f t="shared" si="45"/>
        <v>1964.4000000000003</v>
      </c>
      <c r="H113" s="108">
        <f t="shared" si="45"/>
        <v>1931.0000000000005</v>
      </c>
      <c r="I113" s="108">
        <f t="shared" si="45"/>
        <v>1833.3000000000004</v>
      </c>
      <c r="J113" s="108">
        <f t="shared" si="45"/>
        <v>1868.8000000000002</v>
      </c>
      <c r="K113" s="108">
        <f t="shared" si="45"/>
        <v>1921.3000000000002</v>
      </c>
      <c r="L113" s="108">
        <f t="shared" si="45"/>
        <v>1954.9000000000003</v>
      </c>
      <c r="M113" s="108">
        <f t="shared" ref="M113:N113" si="46">M71+M78+M96+M92+M108+M112</f>
        <v>1874.2000000000005</v>
      </c>
      <c r="N113" s="108">
        <f t="shared" si="46"/>
        <v>1928.0000000000002</v>
      </c>
      <c r="O113" s="108">
        <f t="shared" si="45"/>
        <v>172</v>
      </c>
      <c r="P113" s="108">
        <f t="shared" si="45"/>
        <v>172</v>
      </c>
      <c r="Q113" s="108">
        <f t="shared" si="45"/>
        <v>172</v>
      </c>
      <c r="R113" s="108">
        <f t="shared" si="45"/>
        <v>172</v>
      </c>
      <c r="S113" s="108">
        <f t="shared" si="45"/>
        <v>172</v>
      </c>
      <c r="T113" s="108">
        <f t="shared" si="45"/>
        <v>172</v>
      </c>
      <c r="U113" s="108">
        <f t="shared" si="45"/>
        <v>172</v>
      </c>
      <c r="V113" s="108">
        <f t="shared" si="45"/>
        <v>172</v>
      </c>
      <c r="W113" s="108">
        <f t="shared" si="45"/>
        <v>172</v>
      </c>
      <c r="X113" s="108">
        <f t="shared" si="45"/>
        <v>172</v>
      </c>
      <c r="Y113" s="108">
        <f t="shared" si="45"/>
        <v>172</v>
      </c>
      <c r="Z113" s="108">
        <f t="shared" si="45"/>
        <v>172</v>
      </c>
      <c r="AA113" s="108">
        <f t="shared" si="45"/>
        <v>172</v>
      </c>
      <c r="AB113" s="108">
        <f t="shared" si="45"/>
        <v>172</v>
      </c>
      <c r="AC113" s="108">
        <f t="shared" si="45"/>
        <v>172</v>
      </c>
      <c r="AD113" s="108">
        <f t="shared" si="45"/>
        <v>172</v>
      </c>
      <c r="AE113" s="108">
        <f t="shared" si="45"/>
        <v>172</v>
      </c>
      <c r="AF113" s="108">
        <f t="shared" si="45"/>
        <v>172</v>
      </c>
      <c r="AG113" s="80">
        <f t="shared" si="45"/>
        <v>3169.915</v>
      </c>
      <c r="AH113" s="46">
        <f t="shared" si="24"/>
        <v>2031.3000000000004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7">B113+B114</f>
        <v>2015.5100000000002</v>
      </c>
      <c r="C115" s="108">
        <f t="shared" ref="C115:AF115" si="48">C113+C114</f>
        <v>1932.6000000000001</v>
      </c>
      <c r="D115" s="108">
        <f t="shared" si="48"/>
        <v>2031.3000000000004</v>
      </c>
      <c r="E115" s="108">
        <f t="shared" si="48"/>
        <v>1894.2000000000005</v>
      </c>
      <c r="F115" s="108">
        <f t="shared" si="48"/>
        <v>1946.3000000000002</v>
      </c>
      <c r="G115" s="108">
        <f t="shared" si="48"/>
        <v>1964.4000000000003</v>
      </c>
      <c r="H115" s="108">
        <f t="shared" si="48"/>
        <v>1931.0000000000005</v>
      </c>
      <c r="I115" s="108">
        <f t="shared" si="48"/>
        <v>1833.3000000000004</v>
      </c>
      <c r="J115" s="108">
        <f t="shared" si="48"/>
        <v>1868.8000000000002</v>
      </c>
      <c r="K115" s="108">
        <f t="shared" si="48"/>
        <v>1921.3000000000002</v>
      </c>
      <c r="L115" s="108">
        <f t="shared" si="48"/>
        <v>1954.9000000000003</v>
      </c>
      <c r="M115" s="108">
        <f t="shared" ref="M115:N115" si="49">M113+M114</f>
        <v>1874.2000000000005</v>
      </c>
      <c r="N115" s="108">
        <f t="shared" si="49"/>
        <v>1928.0000000000002</v>
      </c>
      <c r="O115" s="108">
        <f t="shared" si="48"/>
        <v>172</v>
      </c>
      <c r="P115" s="108">
        <f t="shared" si="48"/>
        <v>172</v>
      </c>
      <c r="Q115" s="108">
        <f t="shared" si="48"/>
        <v>172</v>
      </c>
      <c r="R115" s="108">
        <f t="shared" si="48"/>
        <v>172</v>
      </c>
      <c r="S115" s="108">
        <f t="shared" si="48"/>
        <v>172</v>
      </c>
      <c r="T115" s="108">
        <f t="shared" si="48"/>
        <v>172</v>
      </c>
      <c r="U115" s="108">
        <f t="shared" si="48"/>
        <v>172</v>
      </c>
      <c r="V115" s="108">
        <f t="shared" si="48"/>
        <v>172</v>
      </c>
      <c r="W115" s="108">
        <f t="shared" si="48"/>
        <v>172</v>
      </c>
      <c r="X115" s="108">
        <f t="shared" si="48"/>
        <v>172</v>
      </c>
      <c r="Y115" s="108">
        <f t="shared" si="48"/>
        <v>172</v>
      </c>
      <c r="Z115" s="108">
        <f t="shared" si="48"/>
        <v>172</v>
      </c>
      <c r="AA115" s="108">
        <f t="shared" si="48"/>
        <v>172</v>
      </c>
      <c r="AB115" s="108">
        <f t="shared" si="48"/>
        <v>172</v>
      </c>
      <c r="AC115" s="108">
        <f t="shared" si="48"/>
        <v>172</v>
      </c>
      <c r="AD115" s="108">
        <f t="shared" si="48"/>
        <v>172</v>
      </c>
      <c r="AE115" s="108">
        <f t="shared" si="48"/>
        <v>172</v>
      </c>
      <c r="AF115" s="108">
        <f t="shared" si="48"/>
        <v>172</v>
      </c>
      <c r="AG115" s="104">
        <f>AG112+AG108+AG96+AG92+AG71+AG114</f>
        <v>2463.5149999999999</v>
      </c>
      <c r="AH115" s="46">
        <f t="shared" si="24"/>
        <v>2031.3000000000004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0">B115-(B123)</f>
        <v>1530.5100000000002</v>
      </c>
      <c r="C116" s="108">
        <f t="shared" ref="C116:AF116" si="51">C115-(C123)</f>
        <v>1425.6000000000001</v>
      </c>
      <c r="D116" s="108">
        <f t="shared" si="51"/>
        <v>1516.3000000000004</v>
      </c>
      <c r="E116" s="108">
        <f t="shared" si="51"/>
        <v>1362.2000000000005</v>
      </c>
      <c r="F116" s="108">
        <f t="shared" si="51"/>
        <v>1450.3000000000002</v>
      </c>
      <c r="G116" s="108">
        <f t="shared" si="51"/>
        <v>1485.8000000000002</v>
      </c>
      <c r="H116" s="108">
        <f t="shared" si="51"/>
        <v>1451.4000000000005</v>
      </c>
      <c r="I116" s="108">
        <f t="shared" si="51"/>
        <v>1486.0000000000005</v>
      </c>
      <c r="J116" s="108">
        <f t="shared" si="51"/>
        <v>1570.8000000000002</v>
      </c>
      <c r="K116" s="108">
        <f t="shared" si="51"/>
        <v>1600.3000000000002</v>
      </c>
      <c r="L116" s="108">
        <f t="shared" si="51"/>
        <v>1658.2000000000003</v>
      </c>
      <c r="M116" s="108">
        <f t="shared" ref="M116:N116" si="52">M115-(M123)</f>
        <v>1685.9000000000005</v>
      </c>
      <c r="N116" s="108">
        <f t="shared" si="52"/>
        <v>1728.1000000000001</v>
      </c>
      <c r="O116" s="108">
        <f t="shared" si="51"/>
        <v>172</v>
      </c>
      <c r="P116" s="108">
        <f t="shared" si="51"/>
        <v>172</v>
      </c>
      <c r="Q116" s="108">
        <f t="shared" si="51"/>
        <v>172</v>
      </c>
      <c r="R116" s="108">
        <f t="shared" si="51"/>
        <v>172</v>
      </c>
      <c r="S116" s="108">
        <f t="shared" si="51"/>
        <v>172</v>
      </c>
      <c r="T116" s="108">
        <f t="shared" si="51"/>
        <v>172</v>
      </c>
      <c r="U116" s="108">
        <f t="shared" si="51"/>
        <v>172</v>
      </c>
      <c r="V116" s="108">
        <f t="shared" si="51"/>
        <v>172</v>
      </c>
      <c r="W116" s="108">
        <f t="shared" si="51"/>
        <v>172</v>
      </c>
      <c r="X116" s="108">
        <f t="shared" si="51"/>
        <v>172</v>
      </c>
      <c r="Y116" s="108">
        <f t="shared" si="51"/>
        <v>172</v>
      </c>
      <c r="Z116" s="108">
        <f t="shared" si="51"/>
        <v>172</v>
      </c>
      <c r="AA116" s="108">
        <f t="shared" si="51"/>
        <v>172</v>
      </c>
      <c r="AB116" s="108">
        <f t="shared" si="51"/>
        <v>172</v>
      </c>
      <c r="AC116" s="108">
        <f t="shared" si="51"/>
        <v>172</v>
      </c>
      <c r="AD116" s="108">
        <f t="shared" si="51"/>
        <v>172</v>
      </c>
      <c r="AE116" s="108">
        <f t="shared" si="51"/>
        <v>172</v>
      </c>
      <c r="AF116" s="108">
        <f t="shared" si="51"/>
        <v>172</v>
      </c>
      <c r="AG116" s="104"/>
      <c r="AH116" s="46">
        <f t="shared" si="24"/>
        <v>1728.1000000000001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53">IF(B97&lt;0,B97*-1,0)</f>
        <v>485</v>
      </c>
      <c r="C117" s="93">
        <f t="shared" ref="B117:AF122" si="54">IF(C97&lt;0,C97*-1,0)</f>
        <v>507</v>
      </c>
      <c r="D117" s="93">
        <f t="shared" si="54"/>
        <v>515</v>
      </c>
      <c r="E117" s="93">
        <f t="shared" si="54"/>
        <v>532</v>
      </c>
      <c r="F117" s="93">
        <f t="shared" si="54"/>
        <v>496</v>
      </c>
      <c r="G117" s="93">
        <f t="shared" si="54"/>
        <v>478.6</v>
      </c>
      <c r="H117" s="93">
        <f t="shared" si="54"/>
        <v>479.6</v>
      </c>
      <c r="I117" s="93">
        <f t="shared" si="54"/>
        <v>347.3</v>
      </c>
      <c r="J117" s="93">
        <f t="shared" si="54"/>
        <v>298</v>
      </c>
      <c r="K117" s="93">
        <f t="shared" si="54"/>
        <v>321</v>
      </c>
      <c r="L117" s="93">
        <f t="shared" si="54"/>
        <v>296.7</v>
      </c>
      <c r="M117" s="93">
        <f t="shared" ref="M117:N117" si="55">IF(M97&lt;0,M97*-1,0)</f>
        <v>188.3</v>
      </c>
      <c r="N117" s="93">
        <f t="shared" si="55"/>
        <v>199.9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532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ref="M118:N118" si="56">IF(M98&lt;0,M98*-1,0)</f>
        <v>0</v>
      </c>
      <c r="N118" s="93">
        <f t="shared" si="56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ref="M119:N119" si="57">IF(M99&lt;0,M99*-1,0)</f>
        <v>0</v>
      </c>
      <c r="N119" s="93">
        <f t="shared" si="57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ref="M120:N120" si="58">IF(M100&lt;0,M100*-1,0)</f>
        <v>0</v>
      </c>
      <c r="N120" s="93">
        <f t="shared" si="58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ref="M121:N121" si="59">IF(M101&lt;0,M101*-1,0)</f>
        <v>0</v>
      </c>
      <c r="N121" s="93">
        <f t="shared" si="59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ref="M122:N122" si="60">IF(M102&lt;0,M102*-1,0)</f>
        <v>0</v>
      </c>
      <c r="N122" s="93">
        <f t="shared" si="60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" si="61">SUM(B117:B122)</f>
        <v>485</v>
      </c>
      <c r="C123" s="70">
        <f t="shared" ref="B123:AF123" si="62">SUM(C117:C122)</f>
        <v>507</v>
      </c>
      <c r="D123" s="70">
        <f t="shared" si="62"/>
        <v>515</v>
      </c>
      <c r="E123" s="70">
        <f t="shared" si="62"/>
        <v>532</v>
      </c>
      <c r="F123" s="70">
        <f t="shared" si="62"/>
        <v>496</v>
      </c>
      <c r="G123" s="70">
        <f t="shared" si="62"/>
        <v>478.6</v>
      </c>
      <c r="H123" s="70">
        <f t="shared" si="62"/>
        <v>479.6</v>
      </c>
      <c r="I123" s="70">
        <f t="shared" si="62"/>
        <v>347.3</v>
      </c>
      <c r="J123" s="70">
        <f t="shared" si="62"/>
        <v>298</v>
      </c>
      <c r="K123" s="70">
        <f t="shared" si="62"/>
        <v>321</v>
      </c>
      <c r="L123" s="70">
        <f t="shared" si="62"/>
        <v>296.7</v>
      </c>
      <c r="M123" s="70">
        <f t="shared" ref="M123:N123" si="63">SUM(M117:M122)</f>
        <v>188.3</v>
      </c>
      <c r="N123" s="70">
        <f t="shared" si="63"/>
        <v>199.9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532</v>
      </c>
      <c r="AI123" s="47">
        <f t="shared" si="25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64">B108-B123</f>
        <v>-386</v>
      </c>
      <c r="C124" s="70">
        <f t="shared" ref="B124:AF124" si="65">C108-C123</f>
        <v>-410.2</v>
      </c>
      <c r="D124" s="70">
        <f t="shared" si="65"/>
        <v>-431.3</v>
      </c>
      <c r="E124" s="70">
        <f t="shared" si="65"/>
        <v>-426.3</v>
      </c>
      <c r="F124" s="70">
        <f t="shared" si="65"/>
        <v>-395.9</v>
      </c>
      <c r="G124" s="70">
        <f t="shared" si="65"/>
        <v>-383.5</v>
      </c>
      <c r="H124" s="70">
        <f t="shared" si="65"/>
        <v>-328.40000000000003</v>
      </c>
      <c r="I124" s="70">
        <f t="shared" si="65"/>
        <v>-185.9</v>
      </c>
      <c r="J124" s="70">
        <f t="shared" si="65"/>
        <v>-128.5</v>
      </c>
      <c r="K124" s="70">
        <f t="shared" si="65"/>
        <v>-157.60000000000002</v>
      </c>
      <c r="L124" s="70">
        <f t="shared" si="65"/>
        <v>-146.1</v>
      </c>
      <c r="M124" s="70">
        <f t="shared" ref="M124:N124" si="66">M108-M123</f>
        <v>4.4000000000000057</v>
      </c>
      <c r="N124" s="70">
        <f t="shared" si="66"/>
        <v>-6.4000000000000057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4.4000000000000057</v>
      </c>
      <c r="AI124" s="47">
        <f t="shared" si="25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50.067999999999998</v>
      </c>
      <c r="AI126" s="47">
        <f t="shared" si="25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134.80000000000001</v>
      </c>
      <c r="AI127" s="47">
        <f t="shared" si="25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132.30000000000001</v>
      </c>
      <c r="AI128" s="47">
        <f t="shared" si="25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135.9</v>
      </c>
      <c r="AI130" s="47">
        <f t="shared" si="25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133.69999999999999</v>
      </c>
      <c r="AI132" s="47">
        <f t="shared" si="25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68">SUM(C26,C32,C45:C46,C82,C84:C85,C87,C89,C137:C142,C177,C183,C189,C198,C200,C212,C219,C222:C223,C230,C232,C234,C238:C240,C242:C244,C249,C255:C256,C258:C260,C161,C166)</f>
        <v>141.33999999999997</v>
      </c>
      <c r="D135" s="114">
        <f t="shared" si="68"/>
        <v>145.43999999999997</v>
      </c>
      <c r="E135" s="114">
        <f t="shared" si="68"/>
        <v>144.94</v>
      </c>
      <c r="F135" s="114">
        <f t="shared" si="68"/>
        <v>140.83999999999997</v>
      </c>
      <c r="G135" s="114">
        <f t="shared" si="68"/>
        <v>150.24</v>
      </c>
      <c r="H135" s="114">
        <f t="shared" si="68"/>
        <v>189.74</v>
      </c>
      <c r="I135" s="114">
        <f t="shared" si="68"/>
        <v>204.74</v>
      </c>
      <c r="J135" s="114">
        <f t="shared" si="68"/>
        <v>205.54</v>
      </c>
      <c r="K135" s="114">
        <f t="shared" si="68"/>
        <v>304.14</v>
      </c>
      <c r="L135" s="114">
        <f t="shared" si="68"/>
        <v>336.44</v>
      </c>
      <c r="M135" s="114">
        <f t="shared" ref="M135:N135" si="69">SUM(M26,M32,M45:M46,M82,M84:M85,M87,M89,M137:M142,M177,M183,M189,M198,M200,M212,M219,M222:M223,M230,M232,M234,M238:M240,M242:M244,M249,M255:M256,M258:M260,M161,M166)</f>
        <v>310.43999999999994</v>
      </c>
      <c r="N135" s="114">
        <f t="shared" si="69"/>
        <v>310.23999999999995</v>
      </c>
      <c r="O135" s="114">
        <f t="shared" si="68"/>
        <v>0.94</v>
      </c>
      <c r="P135" s="114">
        <v>42</v>
      </c>
      <c r="Q135" s="114">
        <f t="shared" ref="Q135:X135" si="70">SUM(Q26,Q32,Q45:Q46,Q82,Q84:Q85,Q87,Q89,Q137:Q142,Q177,Q183,Q189,Q198,Q200,Q212,Q219,Q222:Q223,Q230,Q232,Q234,Q238:Q240,Q242:Q244,Q249,Q255:Q256,Q258:Q260,Q161,Q166)</f>
        <v>0.94</v>
      </c>
      <c r="R135" s="114">
        <f t="shared" si="70"/>
        <v>0.94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336.44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59.5</v>
      </c>
      <c r="AI137" s="47">
        <f t="shared" si="25"/>
        <v>21.7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36</v>
      </c>
      <c r="AI138" s="47">
        <f t="shared" si="25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-65.3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78.7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-142.69999999999999</v>
      </c>
      <c r="AI146" s="47">
        <f t="shared" ref="AI146:AI158" si="73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773.4</v>
      </c>
      <c r="AI147" s="47">
        <f t="shared" si="73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5</v>
      </c>
      <c r="AI148" s="47">
        <f t="shared" si="73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229</v>
      </c>
      <c r="AI149" s="47">
        <f t="shared" si="73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22.3</v>
      </c>
      <c r="AI150" s="47">
        <f t="shared" si="73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15.9</v>
      </c>
      <c r="AI151" s="47">
        <f t="shared" si="73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1984.8</v>
      </c>
      <c r="AI153" s="47">
        <f t="shared" si="73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625.41</v>
      </c>
      <c r="AI155" s="47">
        <f t="shared" si="73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336.34</v>
      </c>
      <c r="AI156" s="47">
        <f t="shared" si="73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882.9</v>
      </c>
      <c r="AI157" s="47">
        <f t="shared" si="73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0</v>
      </c>
      <c r="AI158" s="47">
        <f t="shared" si="7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ref="M167:N167" si="77">SUM(M161:M166)</f>
        <v>3.54</v>
      </c>
      <c r="N167" s="167">
        <f t="shared" si="77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78">B169</f>
        <v>0</v>
      </c>
      <c r="D169" s="159">
        <f t="shared" si="78"/>
        <v>0</v>
      </c>
      <c r="E169" s="159">
        <f t="shared" si="78"/>
        <v>0</v>
      </c>
      <c r="F169" s="159">
        <f t="shared" si="78"/>
        <v>0</v>
      </c>
      <c r="G169" s="159">
        <f t="shared" si="78"/>
        <v>0</v>
      </c>
      <c r="H169" s="159">
        <f t="shared" si="78"/>
        <v>0</v>
      </c>
      <c r="I169" s="159">
        <f t="shared" si="78"/>
        <v>0</v>
      </c>
      <c r="J169" s="159">
        <f t="shared" si="78"/>
        <v>0</v>
      </c>
      <c r="K169" s="159">
        <f t="shared" si="78"/>
        <v>0</v>
      </c>
      <c r="L169" s="159">
        <f t="shared" si="78"/>
        <v>0</v>
      </c>
      <c r="M169" s="159">
        <f t="shared" ref="M169:N232" si="79">L169</f>
        <v>0</v>
      </c>
      <c r="N169" s="159">
        <f t="shared" si="79"/>
        <v>0</v>
      </c>
      <c r="O169" s="159">
        <f t="shared" si="78"/>
        <v>0</v>
      </c>
      <c r="P169" s="159">
        <f t="shared" si="78"/>
        <v>0</v>
      </c>
      <c r="Q169" s="159">
        <f t="shared" si="78"/>
        <v>0</v>
      </c>
      <c r="R169" s="159">
        <f t="shared" si="78"/>
        <v>0</v>
      </c>
      <c r="S169" s="159">
        <f t="shared" ref="S169:AF184" si="80">R169</f>
        <v>0</v>
      </c>
      <c r="T169" s="159">
        <f t="shared" si="80"/>
        <v>0</v>
      </c>
      <c r="U169" s="159">
        <f t="shared" si="80"/>
        <v>0</v>
      </c>
      <c r="V169" s="159">
        <f t="shared" si="80"/>
        <v>0</v>
      </c>
      <c r="W169" s="159">
        <f t="shared" si="80"/>
        <v>0</v>
      </c>
      <c r="X169" s="159">
        <f t="shared" si="80"/>
        <v>0</v>
      </c>
      <c r="Y169" s="159">
        <f t="shared" si="80"/>
        <v>0</v>
      </c>
      <c r="Z169" s="159">
        <f t="shared" si="80"/>
        <v>0</v>
      </c>
      <c r="AA169" s="159">
        <f t="shared" si="80"/>
        <v>0</v>
      </c>
      <c r="AB169" s="159">
        <f t="shared" si="80"/>
        <v>0</v>
      </c>
      <c r="AC169" s="159">
        <f t="shared" si="80"/>
        <v>0</v>
      </c>
      <c r="AD169" s="159">
        <f t="shared" si="80"/>
        <v>0</v>
      </c>
      <c r="AE169" s="159">
        <f t="shared" si="80"/>
        <v>0</v>
      </c>
      <c r="AF169" s="172">
        <f t="shared" si="8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78"/>
        <v>0</v>
      </c>
      <c r="D170" s="161">
        <f t="shared" si="78"/>
        <v>0</v>
      </c>
      <c r="E170" s="161">
        <f t="shared" si="78"/>
        <v>0</v>
      </c>
      <c r="F170" s="161">
        <f t="shared" si="78"/>
        <v>0</v>
      </c>
      <c r="G170" s="161">
        <f t="shared" si="78"/>
        <v>0</v>
      </c>
      <c r="H170" s="161">
        <f t="shared" si="78"/>
        <v>0</v>
      </c>
      <c r="I170" s="161">
        <f t="shared" si="78"/>
        <v>0</v>
      </c>
      <c r="J170" s="161">
        <f t="shared" si="78"/>
        <v>0</v>
      </c>
      <c r="K170" s="161">
        <f t="shared" si="78"/>
        <v>0</v>
      </c>
      <c r="L170" s="161">
        <f t="shared" si="78"/>
        <v>0</v>
      </c>
      <c r="M170" s="161">
        <f t="shared" si="79"/>
        <v>0</v>
      </c>
      <c r="N170" s="161">
        <f t="shared" si="79"/>
        <v>0</v>
      </c>
      <c r="O170" s="161">
        <f t="shared" si="78"/>
        <v>0</v>
      </c>
      <c r="P170" s="161">
        <f t="shared" si="78"/>
        <v>0</v>
      </c>
      <c r="Q170" s="161">
        <f t="shared" si="78"/>
        <v>0</v>
      </c>
      <c r="R170" s="161">
        <f t="shared" si="78"/>
        <v>0</v>
      </c>
      <c r="S170" s="161">
        <f t="shared" si="80"/>
        <v>0</v>
      </c>
      <c r="T170" s="161">
        <f t="shared" si="80"/>
        <v>0</v>
      </c>
      <c r="U170" s="161">
        <f t="shared" si="80"/>
        <v>0</v>
      </c>
      <c r="V170" s="161">
        <f t="shared" si="80"/>
        <v>0</v>
      </c>
      <c r="W170" s="161">
        <f t="shared" si="80"/>
        <v>0</v>
      </c>
      <c r="X170" s="161">
        <f t="shared" si="80"/>
        <v>0</v>
      </c>
      <c r="Y170" s="161">
        <f t="shared" si="80"/>
        <v>0</v>
      </c>
      <c r="Z170" s="161">
        <f t="shared" si="80"/>
        <v>0</v>
      </c>
      <c r="AA170" s="161">
        <f t="shared" si="80"/>
        <v>0</v>
      </c>
      <c r="AB170" s="161">
        <f t="shared" si="80"/>
        <v>0</v>
      </c>
      <c r="AC170" s="161">
        <f t="shared" si="80"/>
        <v>0</v>
      </c>
      <c r="AD170" s="161">
        <f t="shared" si="80"/>
        <v>0</v>
      </c>
      <c r="AE170" s="161">
        <f t="shared" si="80"/>
        <v>0</v>
      </c>
      <c r="AF170" s="174">
        <f t="shared" si="8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78"/>
        <v>0</v>
      </c>
      <c r="D171" s="161">
        <f t="shared" si="78"/>
        <v>0</v>
      </c>
      <c r="E171" s="161">
        <f t="shared" si="78"/>
        <v>0</v>
      </c>
      <c r="F171" s="161">
        <f t="shared" si="78"/>
        <v>0</v>
      </c>
      <c r="G171" s="161">
        <f t="shared" si="78"/>
        <v>0</v>
      </c>
      <c r="H171" s="161">
        <f t="shared" si="78"/>
        <v>0</v>
      </c>
      <c r="I171" s="161">
        <f t="shared" si="78"/>
        <v>0</v>
      </c>
      <c r="J171" s="161">
        <f t="shared" si="78"/>
        <v>0</v>
      </c>
      <c r="K171" s="161">
        <f t="shared" si="78"/>
        <v>0</v>
      </c>
      <c r="L171" s="161">
        <f t="shared" si="78"/>
        <v>0</v>
      </c>
      <c r="M171" s="161">
        <f t="shared" si="79"/>
        <v>0</v>
      </c>
      <c r="N171" s="161">
        <f t="shared" si="79"/>
        <v>0</v>
      </c>
      <c r="O171" s="161">
        <f t="shared" si="78"/>
        <v>0</v>
      </c>
      <c r="P171" s="161">
        <f t="shared" si="78"/>
        <v>0</v>
      </c>
      <c r="Q171" s="161">
        <f t="shared" si="78"/>
        <v>0</v>
      </c>
      <c r="R171" s="161">
        <f t="shared" si="78"/>
        <v>0</v>
      </c>
      <c r="S171" s="161">
        <f t="shared" si="80"/>
        <v>0</v>
      </c>
      <c r="T171" s="161">
        <f t="shared" si="80"/>
        <v>0</v>
      </c>
      <c r="U171" s="161">
        <f t="shared" si="80"/>
        <v>0</v>
      </c>
      <c r="V171" s="161">
        <f t="shared" si="80"/>
        <v>0</v>
      </c>
      <c r="W171" s="161">
        <f t="shared" si="80"/>
        <v>0</v>
      </c>
      <c r="X171" s="161">
        <f t="shared" si="80"/>
        <v>0</v>
      </c>
      <c r="Y171" s="161">
        <f t="shared" si="80"/>
        <v>0</v>
      </c>
      <c r="Z171" s="161">
        <f t="shared" si="80"/>
        <v>0</v>
      </c>
      <c r="AA171" s="161">
        <f t="shared" si="80"/>
        <v>0</v>
      </c>
      <c r="AB171" s="161">
        <f t="shared" si="80"/>
        <v>0</v>
      </c>
      <c r="AC171" s="161">
        <f t="shared" si="80"/>
        <v>0</v>
      </c>
      <c r="AD171" s="161">
        <f t="shared" si="80"/>
        <v>0</v>
      </c>
      <c r="AE171" s="161">
        <f t="shared" si="80"/>
        <v>0</v>
      </c>
      <c r="AF171" s="174">
        <f t="shared" si="8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78"/>
        <v>0</v>
      </c>
      <c r="D172" s="161">
        <f t="shared" si="78"/>
        <v>0</v>
      </c>
      <c r="E172" s="161">
        <f t="shared" si="78"/>
        <v>0</v>
      </c>
      <c r="F172" s="161">
        <f t="shared" si="78"/>
        <v>0</v>
      </c>
      <c r="G172" s="161">
        <f t="shared" si="78"/>
        <v>0</v>
      </c>
      <c r="H172" s="161">
        <f t="shared" si="78"/>
        <v>0</v>
      </c>
      <c r="I172" s="161">
        <f t="shared" si="78"/>
        <v>0</v>
      </c>
      <c r="J172" s="161">
        <f t="shared" si="78"/>
        <v>0</v>
      </c>
      <c r="K172" s="161">
        <f t="shared" si="78"/>
        <v>0</v>
      </c>
      <c r="L172" s="161">
        <f t="shared" si="78"/>
        <v>0</v>
      </c>
      <c r="M172" s="161">
        <f t="shared" si="79"/>
        <v>0</v>
      </c>
      <c r="N172" s="161">
        <f t="shared" si="79"/>
        <v>0</v>
      </c>
      <c r="O172" s="161">
        <f t="shared" si="78"/>
        <v>0</v>
      </c>
      <c r="P172" s="161">
        <f t="shared" si="78"/>
        <v>0</v>
      </c>
      <c r="Q172" s="161">
        <f t="shared" si="78"/>
        <v>0</v>
      </c>
      <c r="R172" s="161">
        <f t="shared" si="78"/>
        <v>0</v>
      </c>
      <c r="S172" s="161">
        <f t="shared" si="80"/>
        <v>0</v>
      </c>
      <c r="T172" s="161">
        <f t="shared" si="80"/>
        <v>0</v>
      </c>
      <c r="U172" s="161">
        <f t="shared" si="80"/>
        <v>0</v>
      </c>
      <c r="V172" s="161">
        <f t="shared" si="80"/>
        <v>0</v>
      </c>
      <c r="W172" s="161">
        <f t="shared" si="80"/>
        <v>0</v>
      </c>
      <c r="X172" s="161">
        <f t="shared" si="80"/>
        <v>0</v>
      </c>
      <c r="Y172" s="161">
        <f t="shared" si="80"/>
        <v>0</v>
      </c>
      <c r="Z172" s="161">
        <f t="shared" si="80"/>
        <v>0</v>
      </c>
      <c r="AA172" s="161">
        <f t="shared" si="80"/>
        <v>0</v>
      </c>
      <c r="AB172" s="161">
        <f t="shared" si="80"/>
        <v>0</v>
      </c>
      <c r="AC172" s="161">
        <f t="shared" si="80"/>
        <v>0</v>
      </c>
      <c r="AD172" s="161">
        <f t="shared" si="80"/>
        <v>0</v>
      </c>
      <c r="AE172" s="161">
        <f t="shared" si="80"/>
        <v>0</v>
      </c>
      <c r="AF172" s="174">
        <f t="shared" si="8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78"/>
        <v>0</v>
      </c>
      <c r="D173" s="161">
        <f t="shared" si="78"/>
        <v>0</v>
      </c>
      <c r="E173" s="161">
        <f t="shared" si="78"/>
        <v>0</v>
      </c>
      <c r="F173" s="161">
        <f t="shared" si="78"/>
        <v>0</v>
      </c>
      <c r="G173" s="161">
        <f t="shared" si="78"/>
        <v>0</v>
      </c>
      <c r="H173" s="161">
        <f t="shared" si="78"/>
        <v>0</v>
      </c>
      <c r="I173" s="161">
        <f t="shared" si="78"/>
        <v>0</v>
      </c>
      <c r="J173" s="161">
        <f t="shared" si="78"/>
        <v>0</v>
      </c>
      <c r="K173" s="161">
        <f t="shared" si="78"/>
        <v>0</v>
      </c>
      <c r="L173" s="161">
        <f t="shared" si="78"/>
        <v>0</v>
      </c>
      <c r="M173" s="161">
        <f t="shared" si="79"/>
        <v>0</v>
      </c>
      <c r="N173" s="161">
        <f t="shared" si="79"/>
        <v>0</v>
      </c>
      <c r="O173" s="161">
        <f t="shared" si="78"/>
        <v>0</v>
      </c>
      <c r="P173" s="161">
        <f t="shared" si="78"/>
        <v>0</v>
      </c>
      <c r="Q173" s="161">
        <f t="shared" si="78"/>
        <v>0</v>
      </c>
      <c r="R173" s="161">
        <f t="shared" si="78"/>
        <v>0</v>
      </c>
      <c r="S173" s="161">
        <f t="shared" si="80"/>
        <v>0</v>
      </c>
      <c r="T173" s="161">
        <f t="shared" si="80"/>
        <v>0</v>
      </c>
      <c r="U173" s="161">
        <f t="shared" si="80"/>
        <v>0</v>
      </c>
      <c r="V173" s="161">
        <f t="shared" si="80"/>
        <v>0</v>
      </c>
      <c r="W173" s="161">
        <f t="shared" si="80"/>
        <v>0</v>
      </c>
      <c r="X173" s="161">
        <f t="shared" si="80"/>
        <v>0</v>
      </c>
      <c r="Y173" s="161">
        <f t="shared" si="80"/>
        <v>0</v>
      </c>
      <c r="Z173" s="161">
        <f t="shared" si="80"/>
        <v>0</v>
      </c>
      <c r="AA173" s="161">
        <f t="shared" si="80"/>
        <v>0</v>
      </c>
      <c r="AB173" s="161">
        <f t="shared" si="80"/>
        <v>0</v>
      </c>
      <c r="AC173" s="161">
        <f t="shared" si="80"/>
        <v>0</v>
      </c>
      <c r="AD173" s="161">
        <f t="shared" si="80"/>
        <v>0</v>
      </c>
      <c r="AE173" s="161">
        <f t="shared" si="80"/>
        <v>0</v>
      </c>
      <c r="AF173" s="174">
        <f t="shared" si="8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78"/>
        <v>0</v>
      </c>
      <c r="D174" s="161">
        <f t="shared" si="78"/>
        <v>0</v>
      </c>
      <c r="E174" s="161">
        <f t="shared" si="78"/>
        <v>0</v>
      </c>
      <c r="F174" s="161">
        <f t="shared" si="78"/>
        <v>0</v>
      </c>
      <c r="G174" s="161">
        <f t="shared" si="78"/>
        <v>0</v>
      </c>
      <c r="H174" s="161">
        <f t="shared" si="78"/>
        <v>0</v>
      </c>
      <c r="I174" s="161">
        <f t="shared" si="78"/>
        <v>0</v>
      </c>
      <c r="J174" s="161">
        <f t="shared" si="78"/>
        <v>0</v>
      </c>
      <c r="K174" s="161">
        <f t="shared" si="78"/>
        <v>0</v>
      </c>
      <c r="L174" s="161">
        <f t="shared" si="78"/>
        <v>0</v>
      </c>
      <c r="M174" s="161">
        <f t="shared" si="79"/>
        <v>0</v>
      </c>
      <c r="N174" s="161">
        <f t="shared" si="79"/>
        <v>0</v>
      </c>
      <c r="O174" s="161">
        <f t="shared" si="78"/>
        <v>0</v>
      </c>
      <c r="P174" s="161">
        <f t="shared" si="78"/>
        <v>0</v>
      </c>
      <c r="Q174" s="161">
        <f t="shared" si="78"/>
        <v>0</v>
      </c>
      <c r="R174" s="161">
        <f t="shared" si="78"/>
        <v>0</v>
      </c>
      <c r="S174" s="161">
        <f t="shared" si="80"/>
        <v>0</v>
      </c>
      <c r="T174" s="161">
        <f t="shared" si="80"/>
        <v>0</v>
      </c>
      <c r="U174" s="161">
        <f t="shared" si="80"/>
        <v>0</v>
      </c>
      <c r="V174" s="161">
        <f t="shared" si="80"/>
        <v>0</v>
      </c>
      <c r="W174" s="161">
        <f t="shared" si="80"/>
        <v>0</v>
      </c>
      <c r="X174" s="161">
        <f t="shared" si="80"/>
        <v>0</v>
      </c>
      <c r="Y174" s="161">
        <f t="shared" si="80"/>
        <v>0</v>
      </c>
      <c r="Z174" s="161">
        <f t="shared" si="80"/>
        <v>0</v>
      </c>
      <c r="AA174" s="161">
        <f t="shared" si="80"/>
        <v>0</v>
      </c>
      <c r="AB174" s="161">
        <f t="shared" si="80"/>
        <v>0</v>
      </c>
      <c r="AC174" s="161">
        <f t="shared" si="80"/>
        <v>0</v>
      </c>
      <c r="AD174" s="161">
        <f t="shared" si="80"/>
        <v>0</v>
      </c>
      <c r="AE174" s="161">
        <f t="shared" si="80"/>
        <v>0</v>
      </c>
      <c r="AF174" s="174">
        <f t="shared" si="8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78"/>
        <v>0</v>
      </c>
      <c r="D175" s="161">
        <f t="shared" si="78"/>
        <v>0</v>
      </c>
      <c r="E175" s="161">
        <f t="shared" si="78"/>
        <v>0</v>
      </c>
      <c r="F175" s="161">
        <f t="shared" si="78"/>
        <v>0</v>
      </c>
      <c r="G175" s="161">
        <f t="shared" si="78"/>
        <v>0</v>
      </c>
      <c r="H175" s="161">
        <f t="shared" si="78"/>
        <v>0</v>
      </c>
      <c r="I175" s="161">
        <f t="shared" si="78"/>
        <v>0</v>
      </c>
      <c r="J175" s="161">
        <f t="shared" si="78"/>
        <v>0</v>
      </c>
      <c r="K175" s="161">
        <f t="shared" si="78"/>
        <v>0</v>
      </c>
      <c r="L175" s="161">
        <f t="shared" si="78"/>
        <v>0</v>
      </c>
      <c r="M175" s="161">
        <f t="shared" si="79"/>
        <v>0</v>
      </c>
      <c r="N175" s="161">
        <f t="shared" si="79"/>
        <v>0</v>
      </c>
      <c r="O175" s="161">
        <f t="shared" si="78"/>
        <v>0</v>
      </c>
      <c r="P175" s="161">
        <f t="shared" si="78"/>
        <v>0</v>
      </c>
      <c r="Q175" s="161">
        <f t="shared" si="78"/>
        <v>0</v>
      </c>
      <c r="R175" s="161">
        <f t="shared" si="78"/>
        <v>0</v>
      </c>
      <c r="S175" s="161">
        <f t="shared" si="80"/>
        <v>0</v>
      </c>
      <c r="T175" s="161">
        <f t="shared" si="80"/>
        <v>0</v>
      </c>
      <c r="U175" s="161">
        <f t="shared" si="80"/>
        <v>0</v>
      </c>
      <c r="V175" s="161">
        <f t="shared" si="80"/>
        <v>0</v>
      </c>
      <c r="W175" s="161">
        <f t="shared" si="80"/>
        <v>0</v>
      </c>
      <c r="X175" s="161">
        <f t="shared" si="80"/>
        <v>0</v>
      </c>
      <c r="Y175" s="161">
        <f t="shared" si="80"/>
        <v>0</v>
      </c>
      <c r="Z175" s="161">
        <f t="shared" si="80"/>
        <v>0</v>
      </c>
      <c r="AA175" s="161">
        <f t="shared" si="80"/>
        <v>0</v>
      </c>
      <c r="AB175" s="161">
        <f t="shared" si="80"/>
        <v>0</v>
      </c>
      <c r="AC175" s="161">
        <f t="shared" si="80"/>
        <v>0</v>
      </c>
      <c r="AD175" s="161">
        <f t="shared" si="80"/>
        <v>0</v>
      </c>
      <c r="AE175" s="161">
        <f t="shared" si="80"/>
        <v>0</v>
      </c>
      <c r="AF175" s="174">
        <f t="shared" si="8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78"/>
        <v>0</v>
      </c>
      <c r="D176" s="161">
        <f t="shared" si="78"/>
        <v>0</v>
      </c>
      <c r="E176" s="161">
        <f t="shared" si="78"/>
        <v>0</v>
      </c>
      <c r="F176" s="161">
        <f t="shared" si="78"/>
        <v>0</v>
      </c>
      <c r="G176" s="161">
        <f t="shared" si="78"/>
        <v>0</v>
      </c>
      <c r="H176" s="161">
        <f t="shared" si="78"/>
        <v>0</v>
      </c>
      <c r="I176" s="161">
        <f t="shared" si="78"/>
        <v>0</v>
      </c>
      <c r="J176" s="161">
        <f t="shared" si="78"/>
        <v>0</v>
      </c>
      <c r="K176" s="161">
        <f t="shared" si="78"/>
        <v>0</v>
      </c>
      <c r="L176" s="161">
        <f t="shared" si="78"/>
        <v>0</v>
      </c>
      <c r="M176" s="161">
        <f t="shared" si="79"/>
        <v>0</v>
      </c>
      <c r="N176" s="161">
        <f t="shared" si="79"/>
        <v>0</v>
      </c>
      <c r="O176" s="161">
        <f t="shared" si="78"/>
        <v>0</v>
      </c>
      <c r="P176" s="161">
        <f t="shared" si="78"/>
        <v>0</v>
      </c>
      <c r="Q176" s="161">
        <f t="shared" si="78"/>
        <v>0</v>
      </c>
      <c r="R176" s="161">
        <f t="shared" si="78"/>
        <v>0</v>
      </c>
      <c r="S176" s="161">
        <f t="shared" si="80"/>
        <v>0</v>
      </c>
      <c r="T176" s="161">
        <f t="shared" si="80"/>
        <v>0</v>
      </c>
      <c r="U176" s="161">
        <f t="shared" si="80"/>
        <v>0</v>
      </c>
      <c r="V176" s="161">
        <f t="shared" si="80"/>
        <v>0</v>
      </c>
      <c r="W176" s="161">
        <f t="shared" si="80"/>
        <v>0</v>
      </c>
      <c r="X176" s="161">
        <f t="shared" si="80"/>
        <v>0</v>
      </c>
      <c r="Y176" s="161">
        <f t="shared" si="80"/>
        <v>0</v>
      </c>
      <c r="Z176" s="161">
        <f t="shared" si="80"/>
        <v>0</v>
      </c>
      <c r="AA176" s="161">
        <f t="shared" si="80"/>
        <v>0</v>
      </c>
      <c r="AB176" s="161">
        <f t="shared" si="80"/>
        <v>0</v>
      </c>
      <c r="AC176" s="161">
        <f t="shared" si="80"/>
        <v>0</v>
      </c>
      <c r="AD176" s="161">
        <f t="shared" si="80"/>
        <v>0</v>
      </c>
      <c r="AE176" s="161">
        <f t="shared" si="80"/>
        <v>0</v>
      </c>
      <c r="AF176" s="174">
        <f t="shared" si="8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78"/>
        <v>0</v>
      </c>
      <c r="D177" s="161">
        <f t="shared" si="78"/>
        <v>0</v>
      </c>
      <c r="E177" s="161">
        <f t="shared" si="78"/>
        <v>0</v>
      </c>
      <c r="F177" s="161">
        <f t="shared" si="78"/>
        <v>0</v>
      </c>
      <c r="G177" s="161">
        <f t="shared" si="78"/>
        <v>0</v>
      </c>
      <c r="H177" s="161">
        <f t="shared" si="78"/>
        <v>0</v>
      </c>
      <c r="I177" s="161">
        <f t="shared" si="78"/>
        <v>0</v>
      </c>
      <c r="J177" s="161">
        <f t="shared" si="78"/>
        <v>0</v>
      </c>
      <c r="K177" s="161">
        <f t="shared" si="78"/>
        <v>0</v>
      </c>
      <c r="L177" s="161">
        <f t="shared" si="78"/>
        <v>0</v>
      </c>
      <c r="M177" s="161">
        <f t="shared" si="79"/>
        <v>0</v>
      </c>
      <c r="N177" s="161">
        <f t="shared" si="79"/>
        <v>0</v>
      </c>
      <c r="O177" s="161">
        <f t="shared" si="78"/>
        <v>0</v>
      </c>
      <c r="P177" s="161">
        <f t="shared" si="78"/>
        <v>0</v>
      </c>
      <c r="Q177" s="161">
        <f t="shared" si="78"/>
        <v>0</v>
      </c>
      <c r="R177" s="161">
        <f t="shared" si="78"/>
        <v>0</v>
      </c>
      <c r="S177" s="161">
        <f t="shared" si="80"/>
        <v>0</v>
      </c>
      <c r="T177" s="161">
        <f t="shared" si="80"/>
        <v>0</v>
      </c>
      <c r="U177" s="161">
        <f t="shared" si="80"/>
        <v>0</v>
      </c>
      <c r="V177" s="161">
        <f t="shared" si="80"/>
        <v>0</v>
      </c>
      <c r="W177" s="161">
        <f t="shared" si="80"/>
        <v>0</v>
      </c>
      <c r="X177" s="161">
        <f t="shared" si="80"/>
        <v>0</v>
      </c>
      <c r="Y177" s="161">
        <f t="shared" si="80"/>
        <v>0</v>
      </c>
      <c r="Z177" s="161">
        <f t="shared" si="80"/>
        <v>0</v>
      </c>
      <c r="AA177" s="161">
        <f t="shared" si="80"/>
        <v>0</v>
      </c>
      <c r="AB177" s="161">
        <f t="shared" si="80"/>
        <v>0</v>
      </c>
      <c r="AC177" s="161">
        <f t="shared" si="80"/>
        <v>0</v>
      </c>
      <c r="AD177" s="161">
        <f t="shared" si="80"/>
        <v>0</v>
      </c>
      <c r="AE177" s="161">
        <f t="shared" si="80"/>
        <v>0</v>
      </c>
      <c r="AF177" s="174">
        <f t="shared" si="8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78"/>
        <v>0</v>
      </c>
      <c r="D178" s="161">
        <f t="shared" si="78"/>
        <v>0</v>
      </c>
      <c r="E178" s="161">
        <f t="shared" si="78"/>
        <v>0</v>
      </c>
      <c r="F178" s="161">
        <f t="shared" si="78"/>
        <v>0</v>
      </c>
      <c r="G178" s="161">
        <f t="shared" si="78"/>
        <v>0</v>
      </c>
      <c r="H178" s="161">
        <f t="shared" si="78"/>
        <v>0</v>
      </c>
      <c r="I178" s="161">
        <f t="shared" si="78"/>
        <v>0</v>
      </c>
      <c r="J178" s="161">
        <f t="shared" si="78"/>
        <v>0</v>
      </c>
      <c r="K178" s="161">
        <f t="shared" si="78"/>
        <v>0</v>
      </c>
      <c r="L178" s="161">
        <f t="shared" si="78"/>
        <v>0</v>
      </c>
      <c r="M178" s="161">
        <f t="shared" si="79"/>
        <v>0</v>
      </c>
      <c r="N178" s="161">
        <f t="shared" si="79"/>
        <v>0</v>
      </c>
      <c r="O178" s="161">
        <f t="shared" si="78"/>
        <v>0</v>
      </c>
      <c r="P178" s="161">
        <f t="shared" si="78"/>
        <v>0</v>
      </c>
      <c r="Q178" s="161">
        <f t="shared" si="78"/>
        <v>0</v>
      </c>
      <c r="R178" s="161">
        <f t="shared" si="78"/>
        <v>0</v>
      </c>
      <c r="S178" s="161">
        <f t="shared" si="80"/>
        <v>0</v>
      </c>
      <c r="T178" s="161">
        <f t="shared" si="80"/>
        <v>0</v>
      </c>
      <c r="U178" s="161">
        <f t="shared" si="80"/>
        <v>0</v>
      </c>
      <c r="V178" s="161">
        <f t="shared" si="80"/>
        <v>0</v>
      </c>
      <c r="W178" s="161">
        <f t="shared" si="80"/>
        <v>0</v>
      </c>
      <c r="X178" s="161">
        <f t="shared" si="80"/>
        <v>0</v>
      </c>
      <c r="Y178" s="161">
        <f t="shared" si="80"/>
        <v>0</v>
      </c>
      <c r="Z178" s="161">
        <f t="shared" si="80"/>
        <v>0</v>
      </c>
      <c r="AA178" s="161">
        <f t="shared" si="80"/>
        <v>0</v>
      </c>
      <c r="AB178" s="161">
        <f t="shared" si="80"/>
        <v>0</v>
      </c>
      <c r="AC178" s="161">
        <f t="shared" si="80"/>
        <v>0</v>
      </c>
      <c r="AD178" s="161">
        <f t="shared" si="80"/>
        <v>0</v>
      </c>
      <c r="AE178" s="161">
        <f t="shared" si="80"/>
        <v>0</v>
      </c>
      <c r="AF178" s="174">
        <f t="shared" si="8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78"/>
        <v>0</v>
      </c>
      <c r="D179" s="161">
        <f t="shared" si="78"/>
        <v>0</v>
      </c>
      <c r="E179" s="161">
        <f t="shared" si="78"/>
        <v>0</v>
      </c>
      <c r="F179" s="161">
        <f t="shared" si="78"/>
        <v>0</v>
      </c>
      <c r="G179" s="161">
        <f t="shared" si="78"/>
        <v>0</v>
      </c>
      <c r="H179" s="161">
        <f t="shared" si="78"/>
        <v>0</v>
      </c>
      <c r="I179" s="161">
        <f t="shared" si="78"/>
        <v>0</v>
      </c>
      <c r="J179" s="161">
        <f t="shared" si="78"/>
        <v>0</v>
      </c>
      <c r="K179" s="161">
        <f t="shared" si="78"/>
        <v>0</v>
      </c>
      <c r="L179" s="161">
        <f t="shared" si="78"/>
        <v>0</v>
      </c>
      <c r="M179" s="161">
        <f t="shared" si="79"/>
        <v>0</v>
      </c>
      <c r="N179" s="161">
        <f t="shared" si="79"/>
        <v>0</v>
      </c>
      <c r="O179" s="161">
        <f t="shared" si="78"/>
        <v>0</v>
      </c>
      <c r="P179" s="161">
        <f t="shared" si="78"/>
        <v>0</v>
      </c>
      <c r="Q179" s="161">
        <f t="shared" si="78"/>
        <v>0</v>
      </c>
      <c r="R179" s="161">
        <f t="shared" si="78"/>
        <v>0</v>
      </c>
      <c r="S179" s="161">
        <f t="shared" si="80"/>
        <v>0</v>
      </c>
      <c r="T179" s="161">
        <f t="shared" si="80"/>
        <v>0</v>
      </c>
      <c r="U179" s="161">
        <f t="shared" si="80"/>
        <v>0</v>
      </c>
      <c r="V179" s="161">
        <f t="shared" si="80"/>
        <v>0</v>
      </c>
      <c r="W179" s="161">
        <f t="shared" si="80"/>
        <v>0</v>
      </c>
      <c r="X179" s="161">
        <f t="shared" si="80"/>
        <v>0</v>
      </c>
      <c r="Y179" s="161">
        <f t="shared" si="80"/>
        <v>0</v>
      </c>
      <c r="Z179" s="161">
        <f t="shared" si="80"/>
        <v>0</v>
      </c>
      <c r="AA179" s="161">
        <f t="shared" si="80"/>
        <v>0</v>
      </c>
      <c r="AB179" s="161">
        <f t="shared" si="80"/>
        <v>0</v>
      </c>
      <c r="AC179" s="161">
        <f t="shared" si="80"/>
        <v>0</v>
      </c>
      <c r="AD179" s="161">
        <f t="shared" si="80"/>
        <v>0</v>
      </c>
      <c r="AE179" s="161">
        <f t="shared" si="80"/>
        <v>0</v>
      </c>
      <c r="AF179" s="174">
        <f t="shared" si="8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78"/>
        <v>0</v>
      </c>
      <c r="D180" s="161">
        <f t="shared" si="78"/>
        <v>0</v>
      </c>
      <c r="E180" s="161">
        <f t="shared" si="78"/>
        <v>0</v>
      </c>
      <c r="F180" s="161">
        <f t="shared" si="78"/>
        <v>0</v>
      </c>
      <c r="G180" s="161">
        <f t="shared" si="78"/>
        <v>0</v>
      </c>
      <c r="H180" s="161">
        <f t="shared" si="78"/>
        <v>0</v>
      </c>
      <c r="I180" s="161">
        <f t="shared" si="78"/>
        <v>0</v>
      </c>
      <c r="J180" s="161">
        <f t="shared" si="78"/>
        <v>0</v>
      </c>
      <c r="K180" s="161">
        <f t="shared" si="78"/>
        <v>0</v>
      </c>
      <c r="L180" s="161">
        <f t="shared" si="78"/>
        <v>0</v>
      </c>
      <c r="M180" s="161">
        <f t="shared" si="79"/>
        <v>0</v>
      </c>
      <c r="N180" s="161">
        <f t="shared" si="79"/>
        <v>0</v>
      </c>
      <c r="O180" s="161">
        <f t="shared" si="78"/>
        <v>0</v>
      </c>
      <c r="P180" s="161">
        <f t="shared" si="78"/>
        <v>0</v>
      </c>
      <c r="Q180" s="161">
        <f t="shared" si="78"/>
        <v>0</v>
      </c>
      <c r="R180" s="161">
        <f t="shared" si="78"/>
        <v>0</v>
      </c>
      <c r="S180" s="161">
        <f t="shared" si="80"/>
        <v>0</v>
      </c>
      <c r="T180" s="161">
        <f t="shared" si="80"/>
        <v>0</v>
      </c>
      <c r="U180" s="161">
        <f t="shared" si="80"/>
        <v>0</v>
      </c>
      <c r="V180" s="161">
        <f t="shared" si="80"/>
        <v>0</v>
      </c>
      <c r="W180" s="161">
        <f t="shared" si="80"/>
        <v>0</v>
      </c>
      <c r="X180" s="161">
        <f t="shared" si="80"/>
        <v>0</v>
      </c>
      <c r="Y180" s="161">
        <f t="shared" si="80"/>
        <v>0</v>
      </c>
      <c r="Z180" s="161">
        <f t="shared" si="80"/>
        <v>0</v>
      </c>
      <c r="AA180" s="161">
        <f t="shared" si="80"/>
        <v>0</v>
      </c>
      <c r="AB180" s="161">
        <f t="shared" si="80"/>
        <v>0</v>
      </c>
      <c r="AC180" s="161">
        <f t="shared" si="80"/>
        <v>0</v>
      </c>
      <c r="AD180" s="161">
        <f t="shared" si="80"/>
        <v>0</v>
      </c>
      <c r="AE180" s="161">
        <f t="shared" si="80"/>
        <v>0</v>
      </c>
      <c r="AF180" s="174">
        <f t="shared" si="8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78"/>
        <v>0</v>
      </c>
      <c r="D181" s="161">
        <f t="shared" si="78"/>
        <v>0</v>
      </c>
      <c r="E181" s="161">
        <f t="shared" si="78"/>
        <v>0</v>
      </c>
      <c r="F181" s="161">
        <f t="shared" si="78"/>
        <v>0</v>
      </c>
      <c r="G181" s="161">
        <f t="shared" si="78"/>
        <v>0</v>
      </c>
      <c r="H181" s="161">
        <f t="shared" si="78"/>
        <v>0</v>
      </c>
      <c r="I181" s="161">
        <f t="shared" si="78"/>
        <v>0</v>
      </c>
      <c r="J181" s="161">
        <f t="shared" si="78"/>
        <v>0</v>
      </c>
      <c r="K181" s="161">
        <f t="shared" si="78"/>
        <v>0</v>
      </c>
      <c r="L181" s="161">
        <f t="shared" si="78"/>
        <v>0</v>
      </c>
      <c r="M181" s="161">
        <f t="shared" si="79"/>
        <v>0</v>
      </c>
      <c r="N181" s="161">
        <f t="shared" si="79"/>
        <v>0</v>
      </c>
      <c r="O181" s="161">
        <f t="shared" si="78"/>
        <v>0</v>
      </c>
      <c r="P181" s="161">
        <f t="shared" si="78"/>
        <v>0</v>
      </c>
      <c r="Q181" s="161">
        <f t="shared" si="78"/>
        <v>0</v>
      </c>
      <c r="R181" s="161">
        <f t="shared" si="78"/>
        <v>0</v>
      </c>
      <c r="S181" s="161">
        <f t="shared" si="80"/>
        <v>0</v>
      </c>
      <c r="T181" s="161">
        <f t="shared" si="80"/>
        <v>0</v>
      </c>
      <c r="U181" s="161">
        <f t="shared" si="80"/>
        <v>0</v>
      </c>
      <c r="V181" s="161">
        <f t="shared" si="80"/>
        <v>0</v>
      </c>
      <c r="W181" s="161">
        <f t="shared" si="80"/>
        <v>0</v>
      </c>
      <c r="X181" s="161">
        <f t="shared" si="80"/>
        <v>0</v>
      </c>
      <c r="Y181" s="161">
        <f t="shared" si="80"/>
        <v>0</v>
      </c>
      <c r="Z181" s="161">
        <f t="shared" si="80"/>
        <v>0</v>
      </c>
      <c r="AA181" s="161">
        <f t="shared" si="80"/>
        <v>0</v>
      </c>
      <c r="AB181" s="161">
        <f t="shared" si="80"/>
        <v>0</v>
      </c>
      <c r="AC181" s="161">
        <f t="shared" si="80"/>
        <v>0</v>
      </c>
      <c r="AD181" s="161">
        <f t="shared" si="80"/>
        <v>0</v>
      </c>
      <c r="AE181" s="161">
        <f t="shared" si="80"/>
        <v>0</v>
      </c>
      <c r="AF181" s="174">
        <f t="shared" si="8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78"/>
        <v>0</v>
      </c>
      <c r="D182" s="161">
        <f t="shared" si="78"/>
        <v>0</v>
      </c>
      <c r="E182" s="161">
        <f t="shared" si="78"/>
        <v>0</v>
      </c>
      <c r="F182" s="161">
        <f t="shared" si="78"/>
        <v>0</v>
      </c>
      <c r="G182" s="161">
        <f t="shared" si="78"/>
        <v>0</v>
      </c>
      <c r="H182" s="161">
        <f t="shared" si="78"/>
        <v>0</v>
      </c>
      <c r="I182" s="161">
        <f t="shared" si="78"/>
        <v>0</v>
      </c>
      <c r="J182" s="161">
        <f t="shared" si="78"/>
        <v>0</v>
      </c>
      <c r="K182" s="161">
        <f t="shared" si="78"/>
        <v>0</v>
      </c>
      <c r="L182" s="161">
        <f t="shared" si="78"/>
        <v>0</v>
      </c>
      <c r="M182" s="161">
        <f t="shared" si="79"/>
        <v>0</v>
      </c>
      <c r="N182" s="161">
        <f t="shared" si="79"/>
        <v>0</v>
      </c>
      <c r="O182" s="161">
        <f t="shared" si="78"/>
        <v>0</v>
      </c>
      <c r="P182" s="161">
        <f t="shared" si="78"/>
        <v>0</v>
      </c>
      <c r="Q182" s="161">
        <f t="shared" si="78"/>
        <v>0</v>
      </c>
      <c r="R182" s="161">
        <f t="shared" si="78"/>
        <v>0</v>
      </c>
      <c r="S182" s="161">
        <f t="shared" si="80"/>
        <v>0</v>
      </c>
      <c r="T182" s="161">
        <f t="shared" si="80"/>
        <v>0</v>
      </c>
      <c r="U182" s="161">
        <f t="shared" si="80"/>
        <v>0</v>
      </c>
      <c r="V182" s="161">
        <f t="shared" si="80"/>
        <v>0</v>
      </c>
      <c r="W182" s="161">
        <f t="shared" si="80"/>
        <v>0</v>
      </c>
      <c r="X182" s="161">
        <f t="shared" si="80"/>
        <v>0</v>
      </c>
      <c r="Y182" s="161">
        <f t="shared" si="80"/>
        <v>0</v>
      </c>
      <c r="Z182" s="161">
        <f t="shared" si="80"/>
        <v>0</v>
      </c>
      <c r="AA182" s="161">
        <f t="shared" si="80"/>
        <v>0</v>
      </c>
      <c r="AB182" s="161">
        <f t="shared" si="80"/>
        <v>0</v>
      </c>
      <c r="AC182" s="161">
        <f t="shared" si="80"/>
        <v>0</v>
      </c>
      <c r="AD182" s="161">
        <f t="shared" si="80"/>
        <v>0</v>
      </c>
      <c r="AE182" s="161">
        <f t="shared" si="80"/>
        <v>0</v>
      </c>
      <c r="AF182" s="174">
        <f t="shared" si="8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78"/>
        <v>0</v>
      </c>
      <c r="D183" s="161">
        <f t="shared" si="78"/>
        <v>0</v>
      </c>
      <c r="E183" s="161">
        <f t="shared" si="78"/>
        <v>0</v>
      </c>
      <c r="F183" s="161">
        <f t="shared" si="78"/>
        <v>0</v>
      </c>
      <c r="G183" s="161">
        <f t="shared" si="78"/>
        <v>0</v>
      </c>
      <c r="H183" s="161">
        <f t="shared" si="78"/>
        <v>0</v>
      </c>
      <c r="I183" s="161">
        <f t="shared" si="78"/>
        <v>0</v>
      </c>
      <c r="J183" s="161">
        <f t="shared" si="78"/>
        <v>0</v>
      </c>
      <c r="K183" s="161">
        <f t="shared" si="78"/>
        <v>0</v>
      </c>
      <c r="L183" s="161">
        <f t="shared" si="78"/>
        <v>0</v>
      </c>
      <c r="M183" s="161">
        <f t="shared" si="79"/>
        <v>0</v>
      </c>
      <c r="N183" s="161">
        <f t="shared" si="79"/>
        <v>0</v>
      </c>
      <c r="O183" s="161">
        <f t="shared" si="78"/>
        <v>0</v>
      </c>
      <c r="P183" s="161">
        <f t="shared" si="78"/>
        <v>0</v>
      </c>
      <c r="Q183" s="161">
        <f t="shared" si="78"/>
        <v>0</v>
      </c>
      <c r="R183" s="161">
        <f t="shared" si="78"/>
        <v>0</v>
      </c>
      <c r="S183" s="161">
        <f t="shared" si="80"/>
        <v>0</v>
      </c>
      <c r="T183" s="161">
        <f t="shared" si="80"/>
        <v>0</v>
      </c>
      <c r="U183" s="161">
        <f t="shared" si="80"/>
        <v>0</v>
      </c>
      <c r="V183" s="161">
        <f t="shared" si="80"/>
        <v>0</v>
      </c>
      <c r="W183" s="161">
        <f t="shared" si="80"/>
        <v>0</v>
      </c>
      <c r="X183" s="161">
        <f t="shared" si="80"/>
        <v>0</v>
      </c>
      <c r="Y183" s="161">
        <f t="shared" si="80"/>
        <v>0</v>
      </c>
      <c r="Z183" s="161">
        <f t="shared" si="80"/>
        <v>0</v>
      </c>
      <c r="AA183" s="161">
        <f t="shared" si="80"/>
        <v>0</v>
      </c>
      <c r="AB183" s="161">
        <f t="shared" si="80"/>
        <v>0</v>
      </c>
      <c r="AC183" s="161">
        <f t="shared" si="80"/>
        <v>0</v>
      </c>
      <c r="AD183" s="161">
        <f t="shared" si="80"/>
        <v>0</v>
      </c>
      <c r="AE183" s="161">
        <f t="shared" si="80"/>
        <v>0</v>
      </c>
      <c r="AF183" s="174">
        <f t="shared" si="8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78"/>
        <v>0</v>
      </c>
      <c r="D184" s="161">
        <f t="shared" si="78"/>
        <v>0</v>
      </c>
      <c r="E184" s="161">
        <f t="shared" si="78"/>
        <v>0</v>
      </c>
      <c r="F184" s="161">
        <f t="shared" si="78"/>
        <v>0</v>
      </c>
      <c r="G184" s="161">
        <f t="shared" si="78"/>
        <v>0</v>
      </c>
      <c r="H184" s="161">
        <f t="shared" si="78"/>
        <v>0</v>
      </c>
      <c r="I184" s="161">
        <f t="shared" si="78"/>
        <v>0</v>
      </c>
      <c r="J184" s="161">
        <f t="shared" si="78"/>
        <v>0</v>
      </c>
      <c r="K184" s="161">
        <f t="shared" si="78"/>
        <v>0</v>
      </c>
      <c r="L184" s="161">
        <f t="shared" si="78"/>
        <v>0</v>
      </c>
      <c r="M184" s="161">
        <f t="shared" si="79"/>
        <v>0</v>
      </c>
      <c r="N184" s="161">
        <f t="shared" si="79"/>
        <v>0</v>
      </c>
      <c r="O184" s="161">
        <f t="shared" si="78"/>
        <v>0</v>
      </c>
      <c r="P184" s="161">
        <f t="shared" si="78"/>
        <v>0</v>
      </c>
      <c r="Q184" s="161">
        <f t="shared" si="78"/>
        <v>0</v>
      </c>
      <c r="R184" s="161">
        <f t="shared" ref="R184:AF199" si="81">Q184</f>
        <v>0</v>
      </c>
      <c r="S184" s="161">
        <f t="shared" si="81"/>
        <v>0</v>
      </c>
      <c r="T184" s="161">
        <f t="shared" si="81"/>
        <v>0</v>
      </c>
      <c r="U184" s="161">
        <f t="shared" si="81"/>
        <v>0</v>
      </c>
      <c r="V184" s="161">
        <f t="shared" si="81"/>
        <v>0</v>
      </c>
      <c r="W184" s="161">
        <f t="shared" si="81"/>
        <v>0</v>
      </c>
      <c r="X184" s="161">
        <f t="shared" si="81"/>
        <v>0</v>
      </c>
      <c r="Y184" s="161">
        <f t="shared" si="81"/>
        <v>0</v>
      </c>
      <c r="Z184" s="161">
        <f t="shared" si="81"/>
        <v>0</v>
      </c>
      <c r="AA184" s="161">
        <f t="shared" si="81"/>
        <v>0</v>
      </c>
      <c r="AB184" s="161">
        <f t="shared" si="80"/>
        <v>0</v>
      </c>
      <c r="AC184" s="161">
        <f t="shared" si="80"/>
        <v>0</v>
      </c>
      <c r="AD184" s="161">
        <f t="shared" si="81"/>
        <v>0</v>
      </c>
      <c r="AE184" s="161">
        <f t="shared" si="81"/>
        <v>0</v>
      </c>
      <c r="AF184" s="174">
        <f t="shared" si="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82">B185</f>
        <v>0</v>
      </c>
      <c r="D185" s="161">
        <f t="shared" si="82"/>
        <v>0</v>
      </c>
      <c r="E185" s="161">
        <f t="shared" si="82"/>
        <v>0</v>
      </c>
      <c r="F185" s="161">
        <f t="shared" si="82"/>
        <v>0</v>
      </c>
      <c r="G185" s="161">
        <f t="shared" si="82"/>
        <v>0</v>
      </c>
      <c r="H185" s="161">
        <f t="shared" si="82"/>
        <v>0</v>
      </c>
      <c r="I185" s="161">
        <f t="shared" si="82"/>
        <v>0</v>
      </c>
      <c r="J185" s="161">
        <f t="shared" si="82"/>
        <v>0</v>
      </c>
      <c r="K185" s="161">
        <f t="shared" si="82"/>
        <v>0</v>
      </c>
      <c r="L185" s="161">
        <f t="shared" si="82"/>
        <v>0</v>
      </c>
      <c r="M185" s="161">
        <f t="shared" si="79"/>
        <v>0</v>
      </c>
      <c r="N185" s="161">
        <f t="shared" si="79"/>
        <v>0</v>
      </c>
      <c r="O185" s="161">
        <f t="shared" si="82"/>
        <v>0</v>
      </c>
      <c r="P185" s="161">
        <f t="shared" si="82"/>
        <v>0</v>
      </c>
      <c r="Q185" s="161">
        <f t="shared" si="82"/>
        <v>0</v>
      </c>
      <c r="R185" s="161">
        <f t="shared" si="82"/>
        <v>0</v>
      </c>
      <c r="S185" s="161">
        <f t="shared" si="81"/>
        <v>0</v>
      </c>
      <c r="T185" s="161">
        <f t="shared" si="81"/>
        <v>0</v>
      </c>
      <c r="U185" s="161">
        <f t="shared" si="81"/>
        <v>0</v>
      </c>
      <c r="V185" s="161">
        <f t="shared" si="81"/>
        <v>0</v>
      </c>
      <c r="W185" s="161">
        <f t="shared" si="81"/>
        <v>0</v>
      </c>
      <c r="X185" s="161">
        <f t="shared" si="81"/>
        <v>0</v>
      </c>
      <c r="Y185" s="161">
        <f t="shared" si="81"/>
        <v>0</v>
      </c>
      <c r="Z185" s="161">
        <f t="shared" si="81"/>
        <v>0</v>
      </c>
      <c r="AA185" s="161">
        <f t="shared" si="81"/>
        <v>0</v>
      </c>
      <c r="AB185" s="161">
        <f t="shared" si="81"/>
        <v>0</v>
      </c>
      <c r="AC185" s="161">
        <f t="shared" si="81"/>
        <v>0</v>
      </c>
      <c r="AD185" s="161">
        <f t="shared" si="81"/>
        <v>0</v>
      </c>
      <c r="AE185" s="161">
        <f t="shared" si="81"/>
        <v>0</v>
      </c>
      <c r="AF185" s="174">
        <f t="shared" si="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82"/>
        <v>0</v>
      </c>
      <c r="D186" s="161">
        <f t="shared" si="82"/>
        <v>0</v>
      </c>
      <c r="E186" s="161">
        <f t="shared" si="82"/>
        <v>0</v>
      </c>
      <c r="F186" s="161">
        <f t="shared" si="82"/>
        <v>0</v>
      </c>
      <c r="G186" s="161">
        <f t="shared" si="82"/>
        <v>0</v>
      </c>
      <c r="H186" s="161">
        <f t="shared" si="82"/>
        <v>0</v>
      </c>
      <c r="I186" s="161">
        <f t="shared" si="82"/>
        <v>0</v>
      </c>
      <c r="J186" s="161">
        <f t="shared" si="82"/>
        <v>0</v>
      </c>
      <c r="K186" s="161">
        <f t="shared" si="82"/>
        <v>0</v>
      </c>
      <c r="L186" s="161">
        <f t="shared" si="82"/>
        <v>0</v>
      </c>
      <c r="M186" s="161">
        <f t="shared" si="79"/>
        <v>0</v>
      </c>
      <c r="N186" s="161">
        <f t="shared" si="79"/>
        <v>0</v>
      </c>
      <c r="O186" s="161">
        <f t="shared" si="82"/>
        <v>0</v>
      </c>
      <c r="P186" s="161">
        <f t="shared" si="82"/>
        <v>0</v>
      </c>
      <c r="Q186" s="161">
        <f t="shared" si="82"/>
        <v>0</v>
      </c>
      <c r="R186" s="161">
        <f t="shared" si="82"/>
        <v>0</v>
      </c>
      <c r="S186" s="161">
        <f t="shared" si="81"/>
        <v>0</v>
      </c>
      <c r="T186" s="161">
        <f t="shared" si="81"/>
        <v>0</v>
      </c>
      <c r="U186" s="161">
        <f t="shared" si="81"/>
        <v>0</v>
      </c>
      <c r="V186" s="161">
        <f t="shared" si="81"/>
        <v>0</v>
      </c>
      <c r="W186" s="161">
        <f t="shared" si="81"/>
        <v>0</v>
      </c>
      <c r="X186" s="161">
        <f t="shared" si="81"/>
        <v>0</v>
      </c>
      <c r="Y186" s="161">
        <f t="shared" si="81"/>
        <v>0</v>
      </c>
      <c r="Z186" s="161">
        <f t="shared" si="81"/>
        <v>0</v>
      </c>
      <c r="AA186" s="161">
        <f t="shared" si="81"/>
        <v>0</v>
      </c>
      <c r="AB186" s="161">
        <f t="shared" si="81"/>
        <v>0</v>
      </c>
      <c r="AC186" s="161">
        <f t="shared" si="81"/>
        <v>0</v>
      </c>
      <c r="AD186" s="161">
        <f t="shared" si="81"/>
        <v>0</v>
      </c>
      <c r="AE186" s="161">
        <f t="shared" si="81"/>
        <v>0</v>
      </c>
      <c r="AF186" s="174">
        <f t="shared" si="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82"/>
        <v>0</v>
      </c>
      <c r="D187" s="161">
        <f t="shared" si="82"/>
        <v>0</v>
      </c>
      <c r="E187" s="161">
        <f t="shared" si="82"/>
        <v>0</v>
      </c>
      <c r="F187" s="161">
        <f t="shared" si="82"/>
        <v>0</v>
      </c>
      <c r="G187" s="161">
        <f t="shared" si="82"/>
        <v>0</v>
      </c>
      <c r="H187" s="161">
        <f t="shared" si="82"/>
        <v>0</v>
      </c>
      <c r="I187" s="161">
        <f t="shared" si="82"/>
        <v>0</v>
      </c>
      <c r="J187" s="161">
        <f t="shared" si="82"/>
        <v>0</v>
      </c>
      <c r="K187" s="161">
        <f t="shared" si="82"/>
        <v>0</v>
      </c>
      <c r="L187" s="161">
        <f t="shared" si="82"/>
        <v>0</v>
      </c>
      <c r="M187" s="161">
        <f t="shared" si="79"/>
        <v>0</v>
      </c>
      <c r="N187" s="161">
        <f t="shared" si="79"/>
        <v>0</v>
      </c>
      <c r="O187" s="161">
        <f t="shared" si="82"/>
        <v>0</v>
      </c>
      <c r="P187" s="161">
        <f t="shared" si="82"/>
        <v>0</v>
      </c>
      <c r="Q187" s="161">
        <f t="shared" si="82"/>
        <v>0</v>
      </c>
      <c r="R187" s="161">
        <f t="shared" si="82"/>
        <v>0</v>
      </c>
      <c r="S187" s="161">
        <f t="shared" si="81"/>
        <v>0</v>
      </c>
      <c r="T187" s="161">
        <f t="shared" si="81"/>
        <v>0</v>
      </c>
      <c r="U187" s="161">
        <f t="shared" si="81"/>
        <v>0</v>
      </c>
      <c r="V187" s="161">
        <f t="shared" si="81"/>
        <v>0</v>
      </c>
      <c r="W187" s="161">
        <f t="shared" si="81"/>
        <v>0</v>
      </c>
      <c r="X187" s="161">
        <f t="shared" si="81"/>
        <v>0</v>
      </c>
      <c r="Y187" s="161">
        <f t="shared" si="81"/>
        <v>0</v>
      </c>
      <c r="Z187" s="161">
        <f t="shared" si="81"/>
        <v>0</v>
      </c>
      <c r="AA187" s="161">
        <f t="shared" si="81"/>
        <v>0</v>
      </c>
      <c r="AB187" s="161">
        <f t="shared" si="81"/>
        <v>0</v>
      </c>
      <c r="AC187" s="161">
        <f t="shared" si="81"/>
        <v>0</v>
      </c>
      <c r="AD187" s="161">
        <f t="shared" si="81"/>
        <v>0</v>
      </c>
      <c r="AE187" s="161">
        <f t="shared" si="81"/>
        <v>0</v>
      </c>
      <c r="AF187" s="174">
        <f t="shared" si="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82"/>
        <v>0</v>
      </c>
      <c r="D188" s="161">
        <f t="shared" si="82"/>
        <v>0</v>
      </c>
      <c r="E188" s="161">
        <f t="shared" si="82"/>
        <v>0</v>
      </c>
      <c r="F188" s="161">
        <f t="shared" si="82"/>
        <v>0</v>
      </c>
      <c r="G188" s="161">
        <f t="shared" si="82"/>
        <v>0</v>
      </c>
      <c r="H188" s="161">
        <f t="shared" si="82"/>
        <v>0</v>
      </c>
      <c r="I188" s="161">
        <f t="shared" si="82"/>
        <v>0</v>
      </c>
      <c r="J188" s="161">
        <f t="shared" si="82"/>
        <v>0</v>
      </c>
      <c r="K188" s="161">
        <f t="shared" si="82"/>
        <v>0</v>
      </c>
      <c r="L188" s="161">
        <f t="shared" si="82"/>
        <v>0</v>
      </c>
      <c r="M188" s="161">
        <f t="shared" si="79"/>
        <v>0</v>
      </c>
      <c r="N188" s="161">
        <f t="shared" si="79"/>
        <v>0</v>
      </c>
      <c r="O188" s="161">
        <f t="shared" si="82"/>
        <v>0</v>
      </c>
      <c r="P188" s="161">
        <f t="shared" si="82"/>
        <v>0</v>
      </c>
      <c r="Q188" s="161">
        <f t="shared" si="82"/>
        <v>0</v>
      </c>
      <c r="R188" s="161">
        <f t="shared" si="82"/>
        <v>0</v>
      </c>
      <c r="S188" s="161">
        <f t="shared" si="81"/>
        <v>0</v>
      </c>
      <c r="T188" s="161">
        <f t="shared" si="81"/>
        <v>0</v>
      </c>
      <c r="U188" s="161">
        <f t="shared" si="81"/>
        <v>0</v>
      </c>
      <c r="V188" s="161">
        <f t="shared" si="81"/>
        <v>0</v>
      </c>
      <c r="W188" s="161">
        <f t="shared" si="81"/>
        <v>0</v>
      </c>
      <c r="X188" s="161">
        <f t="shared" si="81"/>
        <v>0</v>
      </c>
      <c r="Y188" s="161">
        <f t="shared" si="81"/>
        <v>0</v>
      </c>
      <c r="Z188" s="161">
        <f t="shared" si="81"/>
        <v>0</v>
      </c>
      <c r="AA188" s="161">
        <f t="shared" si="81"/>
        <v>0</v>
      </c>
      <c r="AB188" s="161">
        <f t="shared" si="81"/>
        <v>0</v>
      </c>
      <c r="AC188" s="161">
        <f t="shared" si="81"/>
        <v>0</v>
      </c>
      <c r="AD188" s="161">
        <f t="shared" si="81"/>
        <v>0</v>
      </c>
      <c r="AE188" s="161">
        <f t="shared" si="81"/>
        <v>0</v>
      </c>
      <c r="AF188" s="174">
        <f t="shared" si="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82"/>
        <v>0</v>
      </c>
      <c r="D189" s="161">
        <f t="shared" si="82"/>
        <v>0</v>
      </c>
      <c r="E189" s="161">
        <f t="shared" si="82"/>
        <v>0</v>
      </c>
      <c r="F189" s="161">
        <f t="shared" si="82"/>
        <v>0</v>
      </c>
      <c r="G189" s="161">
        <f t="shared" si="82"/>
        <v>0</v>
      </c>
      <c r="H189" s="161">
        <f t="shared" si="82"/>
        <v>0</v>
      </c>
      <c r="I189" s="161">
        <f t="shared" si="82"/>
        <v>0</v>
      </c>
      <c r="J189" s="161">
        <f t="shared" si="82"/>
        <v>0</v>
      </c>
      <c r="K189" s="161">
        <f t="shared" si="82"/>
        <v>0</v>
      </c>
      <c r="L189" s="161">
        <f t="shared" si="82"/>
        <v>0</v>
      </c>
      <c r="M189" s="161">
        <f t="shared" si="79"/>
        <v>0</v>
      </c>
      <c r="N189" s="161">
        <f t="shared" si="79"/>
        <v>0</v>
      </c>
      <c r="O189" s="161">
        <f t="shared" si="82"/>
        <v>0</v>
      </c>
      <c r="P189" s="161">
        <f t="shared" si="82"/>
        <v>0</v>
      </c>
      <c r="Q189" s="161">
        <f t="shared" si="82"/>
        <v>0</v>
      </c>
      <c r="R189" s="161">
        <f t="shared" si="82"/>
        <v>0</v>
      </c>
      <c r="S189" s="161">
        <f t="shared" si="81"/>
        <v>0</v>
      </c>
      <c r="T189" s="161">
        <f t="shared" si="81"/>
        <v>0</v>
      </c>
      <c r="U189" s="161">
        <f t="shared" si="81"/>
        <v>0</v>
      </c>
      <c r="V189" s="161">
        <f t="shared" si="81"/>
        <v>0</v>
      </c>
      <c r="W189" s="161">
        <f t="shared" si="81"/>
        <v>0</v>
      </c>
      <c r="X189" s="161">
        <f t="shared" si="81"/>
        <v>0</v>
      </c>
      <c r="Y189" s="161">
        <f t="shared" si="81"/>
        <v>0</v>
      </c>
      <c r="Z189" s="161">
        <f t="shared" si="81"/>
        <v>0</v>
      </c>
      <c r="AA189" s="161">
        <f t="shared" si="81"/>
        <v>0</v>
      </c>
      <c r="AB189" s="161">
        <f t="shared" si="81"/>
        <v>0</v>
      </c>
      <c r="AC189" s="161">
        <f t="shared" si="81"/>
        <v>0</v>
      </c>
      <c r="AD189" s="161">
        <f t="shared" si="81"/>
        <v>0</v>
      </c>
      <c r="AE189" s="161">
        <f t="shared" si="81"/>
        <v>0</v>
      </c>
      <c r="AF189" s="174">
        <f t="shared" si="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82"/>
        <v>0</v>
      </c>
      <c r="D190" s="161">
        <f t="shared" si="82"/>
        <v>0</v>
      </c>
      <c r="E190" s="161">
        <f t="shared" si="82"/>
        <v>0</v>
      </c>
      <c r="F190" s="161">
        <f t="shared" si="82"/>
        <v>0</v>
      </c>
      <c r="G190" s="161">
        <f t="shared" si="82"/>
        <v>0</v>
      </c>
      <c r="H190" s="161">
        <f t="shared" si="82"/>
        <v>0</v>
      </c>
      <c r="I190" s="161">
        <f t="shared" si="82"/>
        <v>0</v>
      </c>
      <c r="J190" s="161">
        <f t="shared" si="82"/>
        <v>0</v>
      </c>
      <c r="K190" s="161">
        <f t="shared" si="82"/>
        <v>0</v>
      </c>
      <c r="L190" s="161">
        <f t="shared" si="82"/>
        <v>0</v>
      </c>
      <c r="M190" s="161">
        <f t="shared" si="79"/>
        <v>0</v>
      </c>
      <c r="N190" s="161">
        <f t="shared" si="79"/>
        <v>0</v>
      </c>
      <c r="O190" s="161">
        <f t="shared" si="82"/>
        <v>0</v>
      </c>
      <c r="P190" s="161">
        <f t="shared" si="82"/>
        <v>0</v>
      </c>
      <c r="Q190" s="161">
        <f t="shared" si="82"/>
        <v>0</v>
      </c>
      <c r="R190" s="161">
        <f t="shared" si="82"/>
        <v>0</v>
      </c>
      <c r="S190" s="161">
        <f t="shared" si="81"/>
        <v>0</v>
      </c>
      <c r="T190" s="161">
        <f t="shared" si="81"/>
        <v>0</v>
      </c>
      <c r="U190" s="161">
        <f t="shared" si="81"/>
        <v>0</v>
      </c>
      <c r="V190" s="161">
        <f t="shared" si="81"/>
        <v>0</v>
      </c>
      <c r="W190" s="161">
        <f t="shared" si="81"/>
        <v>0</v>
      </c>
      <c r="X190" s="161">
        <f t="shared" si="81"/>
        <v>0</v>
      </c>
      <c r="Y190" s="161">
        <f t="shared" si="81"/>
        <v>0</v>
      </c>
      <c r="Z190" s="161">
        <f t="shared" si="81"/>
        <v>0</v>
      </c>
      <c r="AA190" s="161">
        <f t="shared" si="81"/>
        <v>0</v>
      </c>
      <c r="AB190" s="161">
        <f t="shared" si="81"/>
        <v>0</v>
      </c>
      <c r="AC190" s="161">
        <f t="shared" si="81"/>
        <v>0</v>
      </c>
      <c r="AD190" s="161">
        <f t="shared" si="81"/>
        <v>0</v>
      </c>
      <c r="AE190" s="161">
        <f t="shared" si="81"/>
        <v>0</v>
      </c>
      <c r="AF190" s="174">
        <f t="shared" si="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82"/>
        <v>0</v>
      </c>
      <c r="D191" s="161">
        <f t="shared" si="82"/>
        <v>0</v>
      </c>
      <c r="E191" s="161">
        <f t="shared" si="82"/>
        <v>0</v>
      </c>
      <c r="F191" s="161">
        <f t="shared" si="82"/>
        <v>0</v>
      </c>
      <c r="G191" s="161">
        <f t="shared" si="82"/>
        <v>0</v>
      </c>
      <c r="H191" s="161">
        <f t="shared" si="82"/>
        <v>0</v>
      </c>
      <c r="I191" s="161">
        <f t="shared" si="82"/>
        <v>0</v>
      </c>
      <c r="J191" s="161">
        <f t="shared" si="82"/>
        <v>0</v>
      </c>
      <c r="K191" s="161">
        <f t="shared" si="82"/>
        <v>0</v>
      </c>
      <c r="L191" s="161">
        <f t="shared" si="82"/>
        <v>0</v>
      </c>
      <c r="M191" s="161">
        <f t="shared" si="79"/>
        <v>0</v>
      </c>
      <c r="N191" s="161">
        <f t="shared" si="79"/>
        <v>0</v>
      </c>
      <c r="O191" s="161">
        <f t="shared" si="82"/>
        <v>0</v>
      </c>
      <c r="P191" s="161">
        <f t="shared" si="82"/>
        <v>0</v>
      </c>
      <c r="Q191" s="161">
        <f t="shared" si="82"/>
        <v>0</v>
      </c>
      <c r="R191" s="161">
        <f t="shared" si="82"/>
        <v>0</v>
      </c>
      <c r="S191" s="161">
        <f t="shared" si="81"/>
        <v>0</v>
      </c>
      <c r="T191" s="161">
        <f t="shared" si="81"/>
        <v>0</v>
      </c>
      <c r="U191" s="161">
        <f t="shared" si="81"/>
        <v>0</v>
      </c>
      <c r="V191" s="161">
        <f t="shared" si="81"/>
        <v>0</v>
      </c>
      <c r="W191" s="161">
        <f t="shared" si="81"/>
        <v>0</v>
      </c>
      <c r="X191" s="161">
        <f t="shared" si="81"/>
        <v>0</v>
      </c>
      <c r="Y191" s="161">
        <f t="shared" si="81"/>
        <v>0</v>
      </c>
      <c r="Z191" s="161">
        <f t="shared" si="81"/>
        <v>0</v>
      </c>
      <c r="AA191" s="161">
        <f t="shared" si="81"/>
        <v>0</v>
      </c>
      <c r="AB191" s="161">
        <f t="shared" si="81"/>
        <v>0</v>
      </c>
      <c r="AC191" s="161">
        <f t="shared" si="81"/>
        <v>0</v>
      </c>
      <c r="AD191" s="161">
        <f t="shared" si="81"/>
        <v>0</v>
      </c>
      <c r="AE191" s="161">
        <f t="shared" si="81"/>
        <v>0</v>
      </c>
      <c r="AF191" s="174">
        <f t="shared" si="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82"/>
        <v>0</v>
      </c>
      <c r="D192" s="161">
        <f t="shared" si="82"/>
        <v>0</v>
      </c>
      <c r="E192" s="161">
        <f t="shared" si="82"/>
        <v>0</v>
      </c>
      <c r="F192" s="161">
        <f t="shared" si="82"/>
        <v>0</v>
      </c>
      <c r="G192" s="161">
        <f t="shared" si="82"/>
        <v>0</v>
      </c>
      <c r="H192" s="161">
        <f t="shared" si="82"/>
        <v>0</v>
      </c>
      <c r="I192" s="161">
        <f t="shared" si="82"/>
        <v>0</v>
      </c>
      <c r="J192" s="161">
        <f t="shared" si="82"/>
        <v>0</v>
      </c>
      <c r="K192" s="161">
        <f t="shared" si="82"/>
        <v>0</v>
      </c>
      <c r="L192" s="161">
        <f t="shared" si="82"/>
        <v>0</v>
      </c>
      <c r="M192" s="161">
        <f t="shared" si="79"/>
        <v>0</v>
      </c>
      <c r="N192" s="161">
        <f t="shared" si="79"/>
        <v>0</v>
      </c>
      <c r="O192" s="161">
        <f t="shared" si="82"/>
        <v>0</v>
      </c>
      <c r="P192" s="161">
        <f t="shared" si="82"/>
        <v>0</v>
      </c>
      <c r="Q192" s="161">
        <f t="shared" si="82"/>
        <v>0</v>
      </c>
      <c r="R192" s="161">
        <f t="shared" si="82"/>
        <v>0</v>
      </c>
      <c r="S192" s="161">
        <f t="shared" si="81"/>
        <v>0</v>
      </c>
      <c r="T192" s="161">
        <f t="shared" si="81"/>
        <v>0</v>
      </c>
      <c r="U192" s="161">
        <f t="shared" si="81"/>
        <v>0</v>
      </c>
      <c r="V192" s="161">
        <f t="shared" si="81"/>
        <v>0</v>
      </c>
      <c r="W192" s="161">
        <f t="shared" si="81"/>
        <v>0</v>
      </c>
      <c r="X192" s="161">
        <f t="shared" si="81"/>
        <v>0</v>
      </c>
      <c r="Y192" s="161">
        <f t="shared" si="81"/>
        <v>0</v>
      </c>
      <c r="Z192" s="161">
        <f t="shared" si="81"/>
        <v>0</v>
      </c>
      <c r="AA192" s="161">
        <f t="shared" si="81"/>
        <v>0</v>
      </c>
      <c r="AB192" s="161">
        <f t="shared" si="81"/>
        <v>0</v>
      </c>
      <c r="AC192" s="161">
        <f t="shared" si="81"/>
        <v>0</v>
      </c>
      <c r="AD192" s="161">
        <f t="shared" si="81"/>
        <v>0</v>
      </c>
      <c r="AE192" s="161">
        <f t="shared" si="81"/>
        <v>0</v>
      </c>
      <c r="AF192" s="174">
        <f t="shared" si="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82"/>
        <v>0</v>
      </c>
      <c r="D193" s="161">
        <f t="shared" si="82"/>
        <v>0</v>
      </c>
      <c r="E193" s="161">
        <f t="shared" si="82"/>
        <v>0</v>
      </c>
      <c r="F193" s="161">
        <f t="shared" si="82"/>
        <v>0</v>
      </c>
      <c r="G193" s="161">
        <f t="shared" si="82"/>
        <v>0</v>
      </c>
      <c r="H193" s="161">
        <f t="shared" si="82"/>
        <v>0</v>
      </c>
      <c r="I193" s="161">
        <f t="shared" si="82"/>
        <v>0</v>
      </c>
      <c r="J193" s="161">
        <f t="shared" si="82"/>
        <v>0</v>
      </c>
      <c r="K193" s="161">
        <f t="shared" si="82"/>
        <v>0</v>
      </c>
      <c r="L193" s="161">
        <f t="shared" si="82"/>
        <v>0</v>
      </c>
      <c r="M193" s="161">
        <f t="shared" si="79"/>
        <v>0</v>
      </c>
      <c r="N193" s="161">
        <f t="shared" si="79"/>
        <v>0</v>
      </c>
      <c r="O193" s="161">
        <f t="shared" si="82"/>
        <v>0</v>
      </c>
      <c r="P193" s="161">
        <f t="shared" si="82"/>
        <v>0</v>
      </c>
      <c r="Q193" s="161">
        <f t="shared" si="82"/>
        <v>0</v>
      </c>
      <c r="R193" s="161">
        <f t="shared" si="82"/>
        <v>0</v>
      </c>
      <c r="S193" s="161">
        <f t="shared" si="81"/>
        <v>0</v>
      </c>
      <c r="T193" s="161">
        <f t="shared" si="81"/>
        <v>0</v>
      </c>
      <c r="U193" s="161">
        <f t="shared" si="81"/>
        <v>0</v>
      </c>
      <c r="V193" s="161">
        <f t="shared" si="81"/>
        <v>0</v>
      </c>
      <c r="W193" s="161">
        <f t="shared" si="81"/>
        <v>0</v>
      </c>
      <c r="X193" s="161">
        <f t="shared" si="81"/>
        <v>0</v>
      </c>
      <c r="Y193" s="161">
        <f t="shared" si="81"/>
        <v>0</v>
      </c>
      <c r="Z193" s="161">
        <f t="shared" si="81"/>
        <v>0</v>
      </c>
      <c r="AA193" s="161">
        <f t="shared" si="81"/>
        <v>0</v>
      </c>
      <c r="AB193" s="161">
        <f t="shared" si="81"/>
        <v>0</v>
      </c>
      <c r="AC193" s="161">
        <f t="shared" si="81"/>
        <v>0</v>
      </c>
      <c r="AD193" s="161">
        <f t="shared" si="81"/>
        <v>0</v>
      </c>
      <c r="AE193" s="161">
        <f t="shared" si="81"/>
        <v>0</v>
      </c>
      <c r="AF193" s="174">
        <f t="shared" si="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82"/>
        <v>0</v>
      </c>
      <c r="D194" s="161">
        <f t="shared" si="82"/>
        <v>0</v>
      </c>
      <c r="E194" s="161">
        <f t="shared" si="82"/>
        <v>0</v>
      </c>
      <c r="F194" s="161">
        <f t="shared" si="82"/>
        <v>0</v>
      </c>
      <c r="G194" s="161">
        <f t="shared" si="82"/>
        <v>0</v>
      </c>
      <c r="H194" s="161">
        <f t="shared" si="82"/>
        <v>0</v>
      </c>
      <c r="I194" s="161">
        <f t="shared" si="82"/>
        <v>0</v>
      </c>
      <c r="J194" s="161">
        <f t="shared" si="82"/>
        <v>0</v>
      </c>
      <c r="K194" s="161">
        <f t="shared" si="82"/>
        <v>0</v>
      </c>
      <c r="L194" s="161">
        <f t="shared" si="82"/>
        <v>0</v>
      </c>
      <c r="M194" s="161">
        <f t="shared" si="79"/>
        <v>0</v>
      </c>
      <c r="N194" s="161">
        <f t="shared" si="79"/>
        <v>0</v>
      </c>
      <c r="O194" s="161">
        <f t="shared" si="82"/>
        <v>0</v>
      </c>
      <c r="P194" s="161">
        <f t="shared" si="82"/>
        <v>0</v>
      </c>
      <c r="Q194" s="161">
        <f t="shared" si="82"/>
        <v>0</v>
      </c>
      <c r="R194" s="161">
        <f t="shared" si="82"/>
        <v>0</v>
      </c>
      <c r="S194" s="161">
        <f t="shared" si="81"/>
        <v>0</v>
      </c>
      <c r="T194" s="161">
        <f t="shared" si="81"/>
        <v>0</v>
      </c>
      <c r="U194" s="161">
        <f t="shared" si="81"/>
        <v>0</v>
      </c>
      <c r="V194" s="161">
        <f t="shared" si="81"/>
        <v>0</v>
      </c>
      <c r="W194" s="161">
        <f t="shared" si="81"/>
        <v>0</v>
      </c>
      <c r="X194" s="161">
        <f t="shared" si="81"/>
        <v>0</v>
      </c>
      <c r="Y194" s="161">
        <f t="shared" si="81"/>
        <v>0</v>
      </c>
      <c r="Z194" s="161">
        <f t="shared" si="81"/>
        <v>0</v>
      </c>
      <c r="AA194" s="161">
        <f t="shared" si="81"/>
        <v>0</v>
      </c>
      <c r="AB194" s="161">
        <f t="shared" si="81"/>
        <v>0</v>
      </c>
      <c r="AC194" s="161">
        <f t="shared" si="81"/>
        <v>0</v>
      </c>
      <c r="AD194" s="161">
        <f t="shared" si="81"/>
        <v>0</v>
      </c>
      <c r="AE194" s="161">
        <f t="shared" si="81"/>
        <v>0</v>
      </c>
      <c r="AF194" s="174">
        <f t="shared" si="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82"/>
        <v>0</v>
      </c>
      <c r="D195" s="161">
        <f t="shared" si="82"/>
        <v>0</v>
      </c>
      <c r="E195" s="161">
        <f t="shared" si="82"/>
        <v>0</v>
      </c>
      <c r="F195" s="161">
        <f t="shared" si="82"/>
        <v>0</v>
      </c>
      <c r="G195" s="161">
        <f t="shared" si="82"/>
        <v>0</v>
      </c>
      <c r="H195" s="161">
        <f t="shared" si="82"/>
        <v>0</v>
      </c>
      <c r="I195" s="161">
        <f t="shared" si="82"/>
        <v>0</v>
      </c>
      <c r="J195" s="161">
        <f t="shared" si="82"/>
        <v>0</v>
      </c>
      <c r="K195" s="161">
        <f t="shared" si="82"/>
        <v>0</v>
      </c>
      <c r="L195" s="161">
        <f t="shared" si="82"/>
        <v>0</v>
      </c>
      <c r="M195" s="161">
        <f t="shared" si="79"/>
        <v>0</v>
      </c>
      <c r="N195" s="161">
        <f t="shared" si="79"/>
        <v>0</v>
      </c>
      <c r="O195" s="161">
        <f t="shared" si="82"/>
        <v>0</v>
      </c>
      <c r="P195" s="161">
        <f t="shared" si="82"/>
        <v>0</v>
      </c>
      <c r="Q195" s="161">
        <f t="shared" si="82"/>
        <v>0</v>
      </c>
      <c r="R195" s="161">
        <f t="shared" si="82"/>
        <v>0</v>
      </c>
      <c r="S195" s="161">
        <f t="shared" si="81"/>
        <v>0</v>
      </c>
      <c r="T195" s="161">
        <f t="shared" si="81"/>
        <v>0</v>
      </c>
      <c r="U195" s="161">
        <f t="shared" si="81"/>
        <v>0</v>
      </c>
      <c r="V195" s="161">
        <f t="shared" si="81"/>
        <v>0</v>
      </c>
      <c r="W195" s="161">
        <f t="shared" si="81"/>
        <v>0</v>
      </c>
      <c r="X195" s="161">
        <f t="shared" si="81"/>
        <v>0</v>
      </c>
      <c r="Y195" s="161">
        <f t="shared" si="81"/>
        <v>0</v>
      </c>
      <c r="Z195" s="161">
        <f t="shared" si="81"/>
        <v>0</v>
      </c>
      <c r="AA195" s="161">
        <f t="shared" si="81"/>
        <v>0</v>
      </c>
      <c r="AB195" s="161">
        <f t="shared" si="81"/>
        <v>0</v>
      </c>
      <c r="AC195" s="161">
        <f t="shared" si="81"/>
        <v>0</v>
      </c>
      <c r="AD195" s="161">
        <f t="shared" si="81"/>
        <v>0</v>
      </c>
      <c r="AE195" s="161">
        <f t="shared" si="81"/>
        <v>0</v>
      </c>
      <c r="AF195" s="174">
        <f t="shared" si="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82"/>
        <v>0</v>
      </c>
      <c r="D196" s="161">
        <f t="shared" si="82"/>
        <v>0</v>
      </c>
      <c r="E196" s="161">
        <f t="shared" si="82"/>
        <v>0</v>
      </c>
      <c r="F196" s="161">
        <f t="shared" si="82"/>
        <v>0</v>
      </c>
      <c r="G196" s="161">
        <f t="shared" si="82"/>
        <v>0</v>
      </c>
      <c r="H196" s="161">
        <f t="shared" si="82"/>
        <v>0</v>
      </c>
      <c r="I196" s="161">
        <f t="shared" si="82"/>
        <v>0</v>
      </c>
      <c r="J196" s="161">
        <f t="shared" si="82"/>
        <v>0</v>
      </c>
      <c r="K196" s="161">
        <f t="shared" si="82"/>
        <v>0</v>
      </c>
      <c r="L196" s="161">
        <f t="shared" si="82"/>
        <v>0</v>
      </c>
      <c r="M196" s="161">
        <f t="shared" si="79"/>
        <v>0</v>
      </c>
      <c r="N196" s="161">
        <f t="shared" si="79"/>
        <v>0</v>
      </c>
      <c r="O196" s="161">
        <f t="shared" si="82"/>
        <v>0</v>
      </c>
      <c r="P196" s="161">
        <f t="shared" si="82"/>
        <v>0</v>
      </c>
      <c r="Q196" s="161">
        <f t="shared" si="82"/>
        <v>0</v>
      </c>
      <c r="R196" s="161">
        <f t="shared" si="82"/>
        <v>0</v>
      </c>
      <c r="S196" s="161">
        <f t="shared" si="81"/>
        <v>0</v>
      </c>
      <c r="T196" s="161">
        <f t="shared" si="81"/>
        <v>0</v>
      </c>
      <c r="U196" s="161">
        <f t="shared" si="81"/>
        <v>0</v>
      </c>
      <c r="V196" s="161">
        <f t="shared" si="81"/>
        <v>0</v>
      </c>
      <c r="W196" s="161">
        <f t="shared" si="81"/>
        <v>0</v>
      </c>
      <c r="X196" s="161">
        <f t="shared" si="81"/>
        <v>0</v>
      </c>
      <c r="Y196" s="161">
        <f t="shared" si="81"/>
        <v>0</v>
      </c>
      <c r="Z196" s="161">
        <f t="shared" si="81"/>
        <v>0</v>
      </c>
      <c r="AA196" s="161">
        <f t="shared" si="81"/>
        <v>0</v>
      </c>
      <c r="AB196" s="161">
        <f t="shared" si="81"/>
        <v>0</v>
      </c>
      <c r="AC196" s="161">
        <f t="shared" si="81"/>
        <v>0</v>
      </c>
      <c r="AD196" s="161">
        <f t="shared" si="81"/>
        <v>0</v>
      </c>
      <c r="AE196" s="161">
        <f t="shared" si="81"/>
        <v>0</v>
      </c>
      <c r="AF196" s="174">
        <f t="shared" si="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82"/>
        <v>0</v>
      </c>
      <c r="D197" s="161">
        <f t="shared" si="82"/>
        <v>0</v>
      </c>
      <c r="E197" s="161">
        <f t="shared" si="82"/>
        <v>0</v>
      </c>
      <c r="F197" s="161">
        <f t="shared" si="82"/>
        <v>0</v>
      </c>
      <c r="G197" s="161">
        <f t="shared" si="82"/>
        <v>0</v>
      </c>
      <c r="H197" s="161">
        <f t="shared" si="82"/>
        <v>0</v>
      </c>
      <c r="I197" s="161">
        <f t="shared" si="82"/>
        <v>0</v>
      </c>
      <c r="J197" s="161">
        <f t="shared" si="82"/>
        <v>0</v>
      </c>
      <c r="K197" s="161">
        <f t="shared" si="82"/>
        <v>0</v>
      </c>
      <c r="L197" s="161">
        <f t="shared" si="82"/>
        <v>0</v>
      </c>
      <c r="M197" s="161">
        <f t="shared" si="79"/>
        <v>0</v>
      </c>
      <c r="N197" s="161">
        <f t="shared" si="79"/>
        <v>0</v>
      </c>
      <c r="O197" s="161">
        <f t="shared" si="82"/>
        <v>0</v>
      </c>
      <c r="P197" s="161">
        <f t="shared" si="82"/>
        <v>0</v>
      </c>
      <c r="Q197" s="161">
        <f t="shared" si="82"/>
        <v>0</v>
      </c>
      <c r="R197" s="161">
        <f t="shared" si="82"/>
        <v>0</v>
      </c>
      <c r="S197" s="161">
        <f t="shared" si="81"/>
        <v>0</v>
      </c>
      <c r="T197" s="161">
        <f t="shared" si="81"/>
        <v>0</v>
      </c>
      <c r="U197" s="161">
        <f t="shared" si="81"/>
        <v>0</v>
      </c>
      <c r="V197" s="161">
        <f t="shared" si="81"/>
        <v>0</v>
      </c>
      <c r="W197" s="161">
        <f t="shared" si="81"/>
        <v>0</v>
      </c>
      <c r="X197" s="161">
        <f t="shared" si="81"/>
        <v>0</v>
      </c>
      <c r="Y197" s="161">
        <f t="shared" si="81"/>
        <v>0</v>
      </c>
      <c r="Z197" s="161">
        <f t="shared" si="81"/>
        <v>0</v>
      </c>
      <c r="AA197" s="161">
        <f t="shared" si="81"/>
        <v>0</v>
      </c>
      <c r="AB197" s="161">
        <f t="shared" si="81"/>
        <v>0</v>
      </c>
      <c r="AC197" s="161">
        <f t="shared" si="81"/>
        <v>0</v>
      </c>
      <c r="AD197" s="161">
        <f t="shared" si="81"/>
        <v>0</v>
      </c>
      <c r="AE197" s="161">
        <f t="shared" si="81"/>
        <v>0</v>
      </c>
      <c r="AF197" s="174">
        <f t="shared" si="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82"/>
        <v>0</v>
      </c>
      <c r="D198" s="161">
        <f t="shared" si="82"/>
        <v>0</v>
      </c>
      <c r="E198" s="161">
        <f t="shared" si="82"/>
        <v>0</v>
      </c>
      <c r="F198" s="161">
        <f t="shared" si="82"/>
        <v>0</v>
      </c>
      <c r="G198" s="161">
        <f t="shared" si="82"/>
        <v>0</v>
      </c>
      <c r="H198" s="161">
        <f t="shared" si="82"/>
        <v>0</v>
      </c>
      <c r="I198" s="161">
        <f t="shared" si="82"/>
        <v>0</v>
      </c>
      <c r="J198" s="161">
        <f t="shared" si="82"/>
        <v>0</v>
      </c>
      <c r="K198" s="161">
        <f t="shared" si="82"/>
        <v>0</v>
      </c>
      <c r="L198" s="161">
        <f t="shared" si="82"/>
        <v>0</v>
      </c>
      <c r="M198" s="161">
        <f t="shared" si="79"/>
        <v>0</v>
      </c>
      <c r="N198" s="161">
        <f t="shared" si="79"/>
        <v>0</v>
      </c>
      <c r="O198" s="161">
        <f t="shared" si="82"/>
        <v>0</v>
      </c>
      <c r="P198" s="161">
        <f t="shared" si="82"/>
        <v>0</v>
      </c>
      <c r="Q198" s="161">
        <f t="shared" si="82"/>
        <v>0</v>
      </c>
      <c r="R198" s="161">
        <f t="shared" si="82"/>
        <v>0</v>
      </c>
      <c r="S198" s="161">
        <f t="shared" si="81"/>
        <v>0</v>
      </c>
      <c r="T198" s="161">
        <f t="shared" si="81"/>
        <v>0</v>
      </c>
      <c r="U198" s="161">
        <f t="shared" si="81"/>
        <v>0</v>
      </c>
      <c r="V198" s="161">
        <f t="shared" si="81"/>
        <v>0</v>
      </c>
      <c r="W198" s="161">
        <f t="shared" si="81"/>
        <v>0</v>
      </c>
      <c r="X198" s="161">
        <f t="shared" si="81"/>
        <v>0</v>
      </c>
      <c r="Y198" s="161">
        <f t="shared" si="81"/>
        <v>0</v>
      </c>
      <c r="Z198" s="161">
        <f t="shared" si="81"/>
        <v>0</v>
      </c>
      <c r="AA198" s="161">
        <f t="shared" si="81"/>
        <v>0</v>
      </c>
      <c r="AB198" s="161">
        <f t="shared" si="81"/>
        <v>0</v>
      </c>
      <c r="AC198" s="161">
        <f t="shared" si="81"/>
        <v>0</v>
      </c>
      <c r="AD198" s="161">
        <f t="shared" si="81"/>
        <v>0</v>
      </c>
      <c r="AE198" s="161">
        <f t="shared" si="81"/>
        <v>0</v>
      </c>
      <c r="AF198" s="174">
        <f t="shared" si="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82"/>
        <v>0</v>
      </c>
      <c r="D199" s="161">
        <f t="shared" si="82"/>
        <v>0</v>
      </c>
      <c r="E199" s="161">
        <f t="shared" si="82"/>
        <v>0</v>
      </c>
      <c r="F199" s="161">
        <f t="shared" si="82"/>
        <v>0</v>
      </c>
      <c r="G199" s="161">
        <f t="shared" si="82"/>
        <v>0</v>
      </c>
      <c r="H199" s="161">
        <f t="shared" si="82"/>
        <v>0</v>
      </c>
      <c r="I199" s="161">
        <f t="shared" si="82"/>
        <v>0</v>
      </c>
      <c r="J199" s="161">
        <f t="shared" si="82"/>
        <v>0</v>
      </c>
      <c r="K199" s="161">
        <f t="shared" si="82"/>
        <v>0</v>
      </c>
      <c r="L199" s="161">
        <f t="shared" si="82"/>
        <v>0</v>
      </c>
      <c r="M199" s="161">
        <f t="shared" si="79"/>
        <v>0</v>
      </c>
      <c r="N199" s="161">
        <f t="shared" si="79"/>
        <v>0</v>
      </c>
      <c r="O199" s="161">
        <f t="shared" si="82"/>
        <v>0</v>
      </c>
      <c r="P199" s="161">
        <f t="shared" si="82"/>
        <v>0</v>
      </c>
      <c r="Q199" s="161">
        <f t="shared" si="82"/>
        <v>0</v>
      </c>
      <c r="R199" s="161">
        <f t="shared" si="82"/>
        <v>0</v>
      </c>
      <c r="S199" s="161">
        <f t="shared" si="81"/>
        <v>0</v>
      </c>
      <c r="T199" s="161">
        <f t="shared" si="81"/>
        <v>0</v>
      </c>
      <c r="U199" s="161">
        <f t="shared" si="81"/>
        <v>0</v>
      </c>
      <c r="V199" s="161">
        <f t="shared" si="81"/>
        <v>0</v>
      </c>
      <c r="W199" s="161">
        <f t="shared" si="81"/>
        <v>0</v>
      </c>
      <c r="X199" s="161">
        <f t="shared" si="81"/>
        <v>0</v>
      </c>
      <c r="Y199" s="161">
        <f t="shared" si="81"/>
        <v>0</v>
      </c>
      <c r="Z199" s="161">
        <f t="shared" si="81"/>
        <v>0</v>
      </c>
      <c r="AA199" s="161">
        <f t="shared" si="81"/>
        <v>0</v>
      </c>
      <c r="AB199" s="161">
        <f t="shared" si="81"/>
        <v>0</v>
      </c>
      <c r="AC199" s="161">
        <f t="shared" si="81"/>
        <v>0</v>
      </c>
      <c r="AD199" s="161">
        <f t="shared" si="81"/>
        <v>0</v>
      </c>
      <c r="AE199" s="161">
        <f t="shared" si="81"/>
        <v>0</v>
      </c>
      <c r="AF199" s="174">
        <f t="shared" si="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82"/>
        <v>0</v>
      </c>
      <c r="D200" s="161">
        <f t="shared" si="82"/>
        <v>0</v>
      </c>
      <c r="E200" s="161">
        <f t="shared" si="82"/>
        <v>0</v>
      </c>
      <c r="F200" s="161">
        <f t="shared" si="82"/>
        <v>0</v>
      </c>
      <c r="G200" s="161">
        <f t="shared" si="82"/>
        <v>0</v>
      </c>
      <c r="H200" s="161">
        <f t="shared" si="82"/>
        <v>0</v>
      </c>
      <c r="I200" s="161">
        <f t="shared" si="82"/>
        <v>0</v>
      </c>
      <c r="J200" s="161">
        <f t="shared" si="82"/>
        <v>0</v>
      </c>
      <c r="K200" s="161">
        <f t="shared" si="82"/>
        <v>0</v>
      </c>
      <c r="L200" s="161">
        <f t="shared" si="82"/>
        <v>0</v>
      </c>
      <c r="M200" s="161">
        <f t="shared" si="79"/>
        <v>0</v>
      </c>
      <c r="N200" s="161">
        <f t="shared" si="79"/>
        <v>0</v>
      </c>
      <c r="O200" s="161">
        <f t="shared" si="82"/>
        <v>0</v>
      </c>
      <c r="P200" s="161">
        <f t="shared" si="82"/>
        <v>0</v>
      </c>
      <c r="Q200" s="161">
        <f t="shared" si="82"/>
        <v>0</v>
      </c>
      <c r="R200" s="161">
        <f t="shared" ref="R200:AF215" si="83">Q200</f>
        <v>0</v>
      </c>
      <c r="S200" s="161">
        <f t="shared" si="83"/>
        <v>0</v>
      </c>
      <c r="T200" s="161">
        <f t="shared" si="83"/>
        <v>0</v>
      </c>
      <c r="U200" s="161">
        <f t="shared" si="83"/>
        <v>0</v>
      </c>
      <c r="V200" s="161">
        <f t="shared" si="83"/>
        <v>0</v>
      </c>
      <c r="W200" s="161">
        <f t="shared" si="83"/>
        <v>0</v>
      </c>
      <c r="X200" s="161">
        <f t="shared" si="83"/>
        <v>0</v>
      </c>
      <c r="Y200" s="161">
        <f t="shared" si="83"/>
        <v>0</v>
      </c>
      <c r="Z200" s="161">
        <f t="shared" si="83"/>
        <v>0</v>
      </c>
      <c r="AA200" s="161">
        <f t="shared" si="83"/>
        <v>0</v>
      </c>
      <c r="AB200" s="161">
        <f t="shared" si="83"/>
        <v>0</v>
      </c>
      <c r="AC200" s="161">
        <f t="shared" si="83"/>
        <v>0</v>
      </c>
      <c r="AD200" s="161">
        <f t="shared" si="83"/>
        <v>0</v>
      </c>
      <c r="AE200" s="161">
        <f t="shared" si="83"/>
        <v>0</v>
      </c>
      <c r="AF200" s="174">
        <f t="shared" si="8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84">B201</f>
        <v>0</v>
      </c>
      <c r="D201" s="161">
        <f t="shared" si="84"/>
        <v>0</v>
      </c>
      <c r="E201" s="161">
        <f t="shared" si="84"/>
        <v>0</v>
      </c>
      <c r="F201" s="161">
        <f t="shared" si="84"/>
        <v>0</v>
      </c>
      <c r="G201" s="161">
        <f t="shared" si="84"/>
        <v>0</v>
      </c>
      <c r="H201" s="161">
        <f t="shared" si="84"/>
        <v>0</v>
      </c>
      <c r="I201" s="161">
        <f t="shared" si="84"/>
        <v>0</v>
      </c>
      <c r="J201" s="161">
        <f t="shared" si="84"/>
        <v>0</v>
      </c>
      <c r="K201" s="161">
        <f t="shared" si="84"/>
        <v>0</v>
      </c>
      <c r="L201" s="161">
        <f t="shared" si="84"/>
        <v>0</v>
      </c>
      <c r="M201" s="161">
        <f t="shared" si="79"/>
        <v>0</v>
      </c>
      <c r="N201" s="161">
        <f t="shared" si="79"/>
        <v>0</v>
      </c>
      <c r="O201" s="161">
        <f t="shared" si="84"/>
        <v>0</v>
      </c>
      <c r="P201" s="161">
        <f t="shared" si="84"/>
        <v>0</v>
      </c>
      <c r="Q201" s="161">
        <f t="shared" si="84"/>
        <v>0</v>
      </c>
      <c r="R201" s="161">
        <f t="shared" si="84"/>
        <v>0</v>
      </c>
      <c r="S201" s="161">
        <f t="shared" si="83"/>
        <v>0</v>
      </c>
      <c r="T201" s="161">
        <f t="shared" si="83"/>
        <v>0</v>
      </c>
      <c r="U201" s="161">
        <f t="shared" si="83"/>
        <v>0</v>
      </c>
      <c r="V201" s="161">
        <f t="shared" si="83"/>
        <v>0</v>
      </c>
      <c r="W201" s="161">
        <f t="shared" si="83"/>
        <v>0</v>
      </c>
      <c r="X201" s="161">
        <f t="shared" si="83"/>
        <v>0</v>
      </c>
      <c r="Y201" s="161">
        <f t="shared" si="83"/>
        <v>0</v>
      </c>
      <c r="Z201" s="161">
        <f t="shared" si="83"/>
        <v>0</v>
      </c>
      <c r="AA201" s="161">
        <f t="shared" si="83"/>
        <v>0</v>
      </c>
      <c r="AB201" s="161">
        <f t="shared" si="83"/>
        <v>0</v>
      </c>
      <c r="AC201" s="161">
        <f t="shared" si="83"/>
        <v>0</v>
      </c>
      <c r="AD201" s="161">
        <f t="shared" si="83"/>
        <v>0</v>
      </c>
      <c r="AE201" s="161">
        <f t="shared" si="83"/>
        <v>0</v>
      </c>
      <c r="AF201" s="174">
        <f t="shared" si="8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84"/>
        <v>0</v>
      </c>
      <c r="D202" s="161">
        <f t="shared" si="84"/>
        <v>0</v>
      </c>
      <c r="E202" s="161">
        <f t="shared" si="84"/>
        <v>0</v>
      </c>
      <c r="F202" s="161">
        <f t="shared" si="84"/>
        <v>0</v>
      </c>
      <c r="G202" s="161">
        <f t="shared" si="84"/>
        <v>0</v>
      </c>
      <c r="H202" s="161">
        <f t="shared" si="84"/>
        <v>0</v>
      </c>
      <c r="I202" s="161">
        <f t="shared" si="84"/>
        <v>0</v>
      </c>
      <c r="J202" s="161">
        <f t="shared" si="84"/>
        <v>0</v>
      </c>
      <c r="K202" s="161">
        <f t="shared" si="84"/>
        <v>0</v>
      </c>
      <c r="L202" s="161">
        <f t="shared" si="84"/>
        <v>0</v>
      </c>
      <c r="M202" s="161">
        <f t="shared" si="79"/>
        <v>0</v>
      </c>
      <c r="N202" s="161">
        <f t="shared" si="79"/>
        <v>0</v>
      </c>
      <c r="O202" s="161">
        <f t="shared" si="84"/>
        <v>0</v>
      </c>
      <c r="P202" s="161">
        <f t="shared" si="84"/>
        <v>0</v>
      </c>
      <c r="Q202" s="161">
        <f t="shared" si="84"/>
        <v>0</v>
      </c>
      <c r="R202" s="161">
        <f t="shared" si="84"/>
        <v>0</v>
      </c>
      <c r="S202" s="161">
        <f t="shared" si="83"/>
        <v>0</v>
      </c>
      <c r="T202" s="161">
        <f t="shared" si="83"/>
        <v>0</v>
      </c>
      <c r="U202" s="161">
        <f t="shared" si="83"/>
        <v>0</v>
      </c>
      <c r="V202" s="161">
        <f t="shared" si="83"/>
        <v>0</v>
      </c>
      <c r="W202" s="161">
        <f t="shared" si="83"/>
        <v>0</v>
      </c>
      <c r="X202" s="161">
        <f t="shared" si="83"/>
        <v>0</v>
      </c>
      <c r="Y202" s="161">
        <f t="shared" si="83"/>
        <v>0</v>
      </c>
      <c r="Z202" s="161">
        <f t="shared" si="83"/>
        <v>0</v>
      </c>
      <c r="AA202" s="161">
        <f t="shared" si="83"/>
        <v>0</v>
      </c>
      <c r="AB202" s="161">
        <f t="shared" si="83"/>
        <v>0</v>
      </c>
      <c r="AC202" s="161">
        <f t="shared" si="83"/>
        <v>0</v>
      </c>
      <c r="AD202" s="161">
        <f t="shared" si="83"/>
        <v>0</v>
      </c>
      <c r="AE202" s="161">
        <f t="shared" si="83"/>
        <v>0</v>
      </c>
      <c r="AF202" s="174">
        <f t="shared" si="8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84"/>
        <v>0</v>
      </c>
      <c r="D203" s="161">
        <f t="shared" si="84"/>
        <v>0</v>
      </c>
      <c r="E203" s="161">
        <f t="shared" si="84"/>
        <v>0</v>
      </c>
      <c r="F203" s="161">
        <f t="shared" si="84"/>
        <v>0</v>
      </c>
      <c r="G203" s="161">
        <f t="shared" si="84"/>
        <v>0</v>
      </c>
      <c r="H203" s="161">
        <f t="shared" si="84"/>
        <v>0</v>
      </c>
      <c r="I203" s="161">
        <f t="shared" si="84"/>
        <v>0</v>
      </c>
      <c r="J203" s="161">
        <f t="shared" si="84"/>
        <v>0</v>
      </c>
      <c r="K203" s="161">
        <f t="shared" si="84"/>
        <v>0</v>
      </c>
      <c r="L203" s="161">
        <f t="shared" si="84"/>
        <v>0</v>
      </c>
      <c r="M203" s="161">
        <f t="shared" si="79"/>
        <v>0</v>
      </c>
      <c r="N203" s="161">
        <f t="shared" si="79"/>
        <v>0</v>
      </c>
      <c r="O203" s="161">
        <f t="shared" si="84"/>
        <v>0</v>
      </c>
      <c r="P203" s="161">
        <f t="shared" si="84"/>
        <v>0</v>
      </c>
      <c r="Q203" s="161">
        <f t="shared" si="84"/>
        <v>0</v>
      </c>
      <c r="R203" s="161">
        <f t="shared" si="84"/>
        <v>0</v>
      </c>
      <c r="S203" s="161">
        <f t="shared" si="83"/>
        <v>0</v>
      </c>
      <c r="T203" s="161">
        <f t="shared" si="83"/>
        <v>0</v>
      </c>
      <c r="U203" s="161">
        <f t="shared" si="83"/>
        <v>0</v>
      </c>
      <c r="V203" s="161">
        <f t="shared" si="83"/>
        <v>0</v>
      </c>
      <c r="W203" s="161">
        <f t="shared" si="83"/>
        <v>0</v>
      </c>
      <c r="X203" s="161">
        <f t="shared" si="83"/>
        <v>0</v>
      </c>
      <c r="Y203" s="161">
        <f t="shared" si="83"/>
        <v>0</v>
      </c>
      <c r="Z203" s="161">
        <f t="shared" si="83"/>
        <v>0</v>
      </c>
      <c r="AA203" s="161">
        <f t="shared" si="83"/>
        <v>0</v>
      </c>
      <c r="AB203" s="161">
        <f t="shared" si="83"/>
        <v>0</v>
      </c>
      <c r="AC203" s="161">
        <f t="shared" si="83"/>
        <v>0</v>
      </c>
      <c r="AD203" s="161">
        <f t="shared" si="83"/>
        <v>0</v>
      </c>
      <c r="AE203" s="161">
        <f t="shared" si="83"/>
        <v>0</v>
      </c>
      <c r="AF203" s="174">
        <f t="shared" si="8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84"/>
        <v>0</v>
      </c>
      <c r="D204" s="161">
        <f t="shared" si="84"/>
        <v>0</v>
      </c>
      <c r="E204" s="161">
        <f t="shared" si="84"/>
        <v>0</v>
      </c>
      <c r="F204" s="161">
        <f t="shared" si="84"/>
        <v>0</v>
      </c>
      <c r="G204" s="161">
        <f t="shared" si="84"/>
        <v>0</v>
      </c>
      <c r="H204" s="161">
        <f t="shared" si="84"/>
        <v>0</v>
      </c>
      <c r="I204" s="161">
        <f t="shared" si="84"/>
        <v>0</v>
      </c>
      <c r="J204" s="161">
        <f t="shared" si="84"/>
        <v>0</v>
      </c>
      <c r="K204" s="161">
        <f t="shared" si="84"/>
        <v>0</v>
      </c>
      <c r="L204" s="161">
        <f t="shared" si="84"/>
        <v>0</v>
      </c>
      <c r="M204" s="161">
        <f t="shared" si="79"/>
        <v>0</v>
      </c>
      <c r="N204" s="161">
        <f t="shared" si="79"/>
        <v>0</v>
      </c>
      <c r="O204" s="161">
        <f t="shared" si="84"/>
        <v>0</v>
      </c>
      <c r="P204" s="161">
        <f t="shared" si="84"/>
        <v>0</v>
      </c>
      <c r="Q204" s="161">
        <f t="shared" si="84"/>
        <v>0</v>
      </c>
      <c r="R204" s="161">
        <f t="shared" si="84"/>
        <v>0</v>
      </c>
      <c r="S204" s="161">
        <f t="shared" si="83"/>
        <v>0</v>
      </c>
      <c r="T204" s="161">
        <f t="shared" si="83"/>
        <v>0</v>
      </c>
      <c r="U204" s="161">
        <f t="shared" si="83"/>
        <v>0</v>
      </c>
      <c r="V204" s="161">
        <f t="shared" si="83"/>
        <v>0</v>
      </c>
      <c r="W204" s="161">
        <f t="shared" si="83"/>
        <v>0</v>
      </c>
      <c r="X204" s="161">
        <f t="shared" si="83"/>
        <v>0</v>
      </c>
      <c r="Y204" s="161">
        <f t="shared" si="83"/>
        <v>0</v>
      </c>
      <c r="Z204" s="161">
        <f t="shared" si="83"/>
        <v>0</v>
      </c>
      <c r="AA204" s="161">
        <f t="shared" si="83"/>
        <v>0</v>
      </c>
      <c r="AB204" s="161">
        <f t="shared" si="83"/>
        <v>0</v>
      </c>
      <c r="AC204" s="161">
        <f t="shared" si="83"/>
        <v>0</v>
      </c>
      <c r="AD204" s="161">
        <f t="shared" si="83"/>
        <v>0</v>
      </c>
      <c r="AE204" s="161">
        <f t="shared" si="83"/>
        <v>0</v>
      </c>
      <c r="AF204" s="174">
        <f t="shared" si="8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84"/>
        <v>0</v>
      </c>
      <c r="D205" s="161">
        <f t="shared" si="84"/>
        <v>0</v>
      </c>
      <c r="E205" s="161">
        <f t="shared" si="84"/>
        <v>0</v>
      </c>
      <c r="F205" s="161">
        <f t="shared" si="84"/>
        <v>0</v>
      </c>
      <c r="G205" s="161">
        <f t="shared" si="84"/>
        <v>0</v>
      </c>
      <c r="H205" s="161">
        <f t="shared" si="84"/>
        <v>0</v>
      </c>
      <c r="I205" s="161">
        <f t="shared" si="84"/>
        <v>0</v>
      </c>
      <c r="J205" s="161">
        <f t="shared" si="84"/>
        <v>0</v>
      </c>
      <c r="K205" s="161">
        <f t="shared" si="84"/>
        <v>0</v>
      </c>
      <c r="L205" s="161">
        <f t="shared" si="84"/>
        <v>0</v>
      </c>
      <c r="M205" s="161">
        <f t="shared" si="79"/>
        <v>0</v>
      </c>
      <c r="N205" s="161">
        <f t="shared" si="79"/>
        <v>0</v>
      </c>
      <c r="O205" s="161">
        <f t="shared" si="84"/>
        <v>0</v>
      </c>
      <c r="P205" s="161">
        <f t="shared" si="84"/>
        <v>0</v>
      </c>
      <c r="Q205" s="161">
        <f t="shared" si="84"/>
        <v>0</v>
      </c>
      <c r="R205" s="161">
        <f t="shared" si="84"/>
        <v>0</v>
      </c>
      <c r="S205" s="161">
        <f t="shared" si="83"/>
        <v>0</v>
      </c>
      <c r="T205" s="161">
        <f t="shared" si="83"/>
        <v>0</v>
      </c>
      <c r="U205" s="161">
        <f t="shared" si="83"/>
        <v>0</v>
      </c>
      <c r="V205" s="161">
        <f t="shared" si="83"/>
        <v>0</v>
      </c>
      <c r="W205" s="161">
        <f t="shared" si="83"/>
        <v>0</v>
      </c>
      <c r="X205" s="161">
        <f t="shared" si="83"/>
        <v>0</v>
      </c>
      <c r="Y205" s="161">
        <f t="shared" si="83"/>
        <v>0</v>
      </c>
      <c r="Z205" s="161">
        <f t="shared" si="83"/>
        <v>0</v>
      </c>
      <c r="AA205" s="161">
        <f t="shared" si="83"/>
        <v>0</v>
      </c>
      <c r="AB205" s="161">
        <f t="shared" si="83"/>
        <v>0</v>
      </c>
      <c r="AC205" s="161">
        <f t="shared" si="83"/>
        <v>0</v>
      </c>
      <c r="AD205" s="161">
        <f t="shared" si="83"/>
        <v>0</v>
      </c>
      <c r="AE205" s="161">
        <f t="shared" si="83"/>
        <v>0</v>
      </c>
      <c r="AF205" s="174">
        <f t="shared" si="8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84"/>
        <v>0</v>
      </c>
      <c r="D206" s="161">
        <f t="shared" si="84"/>
        <v>0</v>
      </c>
      <c r="E206" s="161">
        <f t="shared" si="84"/>
        <v>0</v>
      </c>
      <c r="F206" s="161">
        <f t="shared" si="84"/>
        <v>0</v>
      </c>
      <c r="G206" s="161">
        <f t="shared" si="84"/>
        <v>0</v>
      </c>
      <c r="H206" s="161">
        <f t="shared" si="84"/>
        <v>0</v>
      </c>
      <c r="I206" s="161">
        <f t="shared" si="84"/>
        <v>0</v>
      </c>
      <c r="J206" s="161">
        <f t="shared" si="84"/>
        <v>0</v>
      </c>
      <c r="K206" s="161">
        <f t="shared" si="84"/>
        <v>0</v>
      </c>
      <c r="L206" s="161">
        <f t="shared" si="84"/>
        <v>0</v>
      </c>
      <c r="M206" s="161">
        <f t="shared" si="79"/>
        <v>0</v>
      </c>
      <c r="N206" s="161">
        <f t="shared" si="79"/>
        <v>0</v>
      </c>
      <c r="O206" s="161">
        <f t="shared" si="84"/>
        <v>0</v>
      </c>
      <c r="P206" s="161">
        <f t="shared" si="84"/>
        <v>0</v>
      </c>
      <c r="Q206" s="161">
        <f t="shared" si="84"/>
        <v>0</v>
      </c>
      <c r="R206" s="161">
        <f t="shared" si="84"/>
        <v>0</v>
      </c>
      <c r="S206" s="161">
        <f t="shared" si="83"/>
        <v>0</v>
      </c>
      <c r="T206" s="161">
        <f t="shared" si="83"/>
        <v>0</v>
      </c>
      <c r="U206" s="161">
        <f t="shared" si="83"/>
        <v>0</v>
      </c>
      <c r="V206" s="161">
        <f t="shared" si="83"/>
        <v>0</v>
      </c>
      <c r="W206" s="161">
        <f t="shared" si="83"/>
        <v>0</v>
      </c>
      <c r="X206" s="161">
        <f t="shared" si="83"/>
        <v>0</v>
      </c>
      <c r="Y206" s="161">
        <f t="shared" si="83"/>
        <v>0</v>
      </c>
      <c r="Z206" s="161">
        <f t="shared" si="83"/>
        <v>0</v>
      </c>
      <c r="AA206" s="161">
        <f t="shared" si="83"/>
        <v>0</v>
      </c>
      <c r="AB206" s="161">
        <f t="shared" si="83"/>
        <v>0</v>
      </c>
      <c r="AC206" s="161">
        <f t="shared" si="83"/>
        <v>0</v>
      </c>
      <c r="AD206" s="161">
        <f t="shared" si="83"/>
        <v>0</v>
      </c>
      <c r="AE206" s="161">
        <f t="shared" si="83"/>
        <v>0</v>
      </c>
      <c r="AF206" s="174">
        <f t="shared" si="8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84"/>
        <v>0</v>
      </c>
      <c r="D207" s="161">
        <f t="shared" si="84"/>
        <v>0</v>
      </c>
      <c r="E207" s="161">
        <f t="shared" si="84"/>
        <v>0</v>
      </c>
      <c r="F207" s="161">
        <f t="shared" si="84"/>
        <v>0</v>
      </c>
      <c r="G207" s="161">
        <f t="shared" si="84"/>
        <v>0</v>
      </c>
      <c r="H207" s="161">
        <f t="shared" si="84"/>
        <v>0</v>
      </c>
      <c r="I207" s="161">
        <f t="shared" si="84"/>
        <v>0</v>
      </c>
      <c r="J207" s="161">
        <f t="shared" si="84"/>
        <v>0</v>
      </c>
      <c r="K207" s="161">
        <f t="shared" si="84"/>
        <v>0</v>
      </c>
      <c r="L207" s="161">
        <f t="shared" si="84"/>
        <v>0</v>
      </c>
      <c r="M207" s="161">
        <f t="shared" si="79"/>
        <v>0</v>
      </c>
      <c r="N207" s="161">
        <f t="shared" si="79"/>
        <v>0</v>
      </c>
      <c r="O207" s="161">
        <f t="shared" si="84"/>
        <v>0</v>
      </c>
      <c r="P207" s="161">
        <f t="shared" si="84"/>
        <v>0</v>
      </c>
      <c r="Q207" s="161">
        <f t="shared" si="84"/>
        <v>0</v>
      </c>
      <c r="R207" s="161">
        <f t="shared" si="84"/>
        <v>0</v>
      </c>
      <c r="S207" s="161">
        <f t="shared" si="83"/>
        <v>0</v>
      </c>
      <c r="T207" s="161">
        <f t="shared" si="83"/>
        <v>0</v>
      </c>
      <c r="U207" s="161">
        <f t="shared" si="83"/>
        <v>0</v>
      </c>
      <c r="V207" s="161">
        <f t="shared" si="83"/>
        <v>0</v>
      </c>
      <c r="W207" s="161">
        <f t="shared" si="83"/>
        <v>0</v>
      </c>
      <c r="X207" s="161">
        <f t="shared" si="83"/>
        <v>0</v>
      </c>
      <c r="Y207" s="161">
        <f t="shared" si="83"/>
        <v>0</v>
      </c>
      <c r="Z207" s="161">
        <f t="shared" si="83"/>
        <v>0</v>
      </c>
      <c r="AA207" s="161">
        <f t="shared" si="83"/>
        <v>0</v>
      </c>
      <c r="AB207" s="161">
        <f t="shared" si="83"/>
        <v>0</v>
      </c>
      <c r="AC207" s="161">
        <f t="shared" si="83"/>
        <v>0</v>
      </c>
      <c r="AD207" s="161">
        <f t="shared" si="83"/>
        <v>0</v>
      </c>
      <c r="AE207" s="161">
        <f t="shared" si="83"/>
        <v>0</v>
      </c>
      <c r="AF207" s="174">
        <f t="shared" si="8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84"/>
        <v>0</v>
      </c>
      <c r="D208" s="161">
        <f t="shared" si="84"/>
        <v>0</v>
      </c>
      <c r="E208" s="161">
        <f t="shared" si="84"/>
        <v>0</v>
      </c>
      <c r="F208" s="161">
        <f t="shared" si="84"/>
        <v>0</v>
      </c>
      <c r="G208" s="161">
        <f t="shared" si="84"/>
        <v>0</v>
      </c>
      <c r="H208" s="161">
        <f t="shared" si="84"/>
        <v>0</v>
      </c>
      <c r="I208" s="161">
        <f t="shared" si="84"/>
        <v>0</v>
      </c>
      <c r="J208" s="161">
        <f t="shared" si="84"/>
        <v>0</v>
      </c>
      <c r="K208" s="161">
        <f t="shared" si="84"/>
        <v>0</v>
      </c>
      <c r="L208" s="161">
        <f t="shared" si="84"/>
        <v>0</v>
      </c>
      <c r="M208" s="161">
        <f t="shared" si="79"/>
        <v>0</v>
      </c>
      <c r="N208" s="161">
        <f t="shared" si="79"/>
        <v>0</v>
      </c>
      <c r="O208" s="161">
        <f t="shared" si="84"/>
        <v>0</v>
      </c>
      <c r="P208" s="161">
        <f t="shared" si="84"/>
        <v>0</v>
      </c>
      <c r="Q208" s="161">
        <f t="shared" si="84"/>
        <v>0</v>
      </c>
      <c r="R208" s="161">
        <f t="shared" si="84"/>
        <v>0</v>
      </c>
      <c r="S208" s="161">
        <f t="shared" si="83"/>
        <v>0</v>
      </c>
      <c r="T208" s="161">
        <f t="shared" si="83"/>
        <v>0</v>
      </c>
      <c r="U208" s="161">
        <f t="shared" si="83"/>
        <v>0</v>
      </c>
      <c r="V208" s="161">
        <f t="shared" si="83"/>
        <v>0</v>
      </c>
      <c r="W208" s="161">
        <f t="shared" si="83"/>
        <v>0</v>
      </c>
      <c r="X208" s="161">
        <f t="shared" si="83"/>
        <v>0</v>
      </c>
      <c r="Y208" s="161">
        <f t="shared" si="83"/>
        <v>0</v>
      </c>
      <c r="Z208" s="161">
        <f t="shared" si="83"/>
        <v>0</v>
      </c>
      <c r="AA208" s="161">
        <f t="shared" si="83"/>
        <v>0</v>
      </c>
      <c r="AB208" s="161">
        <f t="shared" si="83"/>
        <v>0</v>
      </c>
      <c r="AC208" s="161">
        <f t="shared" si="83"/>
        <v>0</v>
      </c>
      <c r="AD208" s="161">
        <f t="shared" si="83"/>
        <v>0</v>
      </c>
      <c r="AE208" s="161">
        <f t="shared" si="83"/>
        <v>0</v>
      </c>
      <c r="AF208" s="174">
        <f t="shared" si="8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84"/>
        <v>0</v>
      </c>
      <c r="D209" s="161">
        <f t="shared" si="84"/>
        <v>0</v>
      </c>
      <c r="E209" s="161">
        <f t="shared" si="84"/>
        <v>0</v>
      </c>
      <c r="F209" s="161">
        <f t="shared" si="84"/>
        <v>0</v>
      </c>
      <c r="G209" s="161">
        <f t="shared" si="84"/>
        <v>0</v>
      </c>
      <c r="H209" s="161">
        <f t="shared" si="84"/>
        <v>0</v>
      </c>
      <c r="I209" s="161">
        <f t="shared" si="84"/>
        <v>0</v>
      </c>
      <c r="J209" s="161">
        <f t="shared" si="84"/>
        <v>0</v>
      </c>
      <c r="K209" s="161">
        <f t="shared" si="84"/>
        <v>0</v>
      </c>
      <c r="L209" s="161">
        <f t="shared" si="84"/>
        <v>0</v>
      </c>
      <c r="M209" s="161">
        <f t="shared" si="79"/>
        <v>0</v>
      </c>
      <c r="N209" s="161">
        <f t="shared" si="79"/>
        <v>0</v>
      </c>
      <c r="O209" s="161">
        <f t="shared" si="84"/>
        <v>0</v>
      </c>
      <c r="P209" s="161">
        <f t="shared" si="84"/>
        <v>0</v>
      </c>
      <c r="Q209" s="161">
        <f t="shared" si="84"/>
        <v>0</v>
      </c>
      <c r="R209" s="161">
        <f t="shared" si="84"/>
        <v>0</v>
      </c>
      <c r="S209" s="161">
        <f t="shared" si="83"/>
        <v>0</v>
      </c>
      <c r="T209" s="161">
        <f t="shared" si="83"/>
        <v>0</v>
      </c>
      <c r="U209" s="161">
        <f t="shared" si="83"/>
        <v>0</v>
      </c>
      <c r="V209" s="161">
        <f t="shared" si="83"/>
        <v>0</v>
      </c>
      <c r="W209" s="161">
        <f t="shared" si="83"/>
        <v>0</v>
      </c>
      <c r="X209" s="161">
        <f t="shared" si="83"/>
        <v>0</v>
      </c>
      <c r="Y209" s="161">
        <f t="shared" si="83"/>
        <v>0</v>
      </c>
      <c r="Z209" s="161">
        <f t="shared" si="83"/>
        <v>0</v>
      </c>
      <c r="AA209" s="161">
        <f t="shared" si="83"/>
        <v>0</v>
      </c>
      <c r="AB209" s="161">
        <f t="shared" si="83"/>
        <v>0</v>
      </c>
      <c r="AC209" s="161">
        <f t="shared" si="83"/>
        <v>0</v>
      </c>
      <c r="AD209" s="161">
        <f t="shared" si="83"/>
        <v>0</v>
      </c>
      <c r="AE209" s="161">
        <f t="shared" si="83"/>
        <v>0</v>
      </c>
      <c r="AF209" s="174">
        <f t="shared" si="8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84"/>
        <v>0</v>
      </c>
      <c r="D210" s="161">
        <f t="shared" si="84"/>
        <v>0</v>
      </c>
      <c r="E210" s="161">
        <f t="shared" si="84"/>
        <v>0</v>
      </c>
      <c r="F210" s="161">
        <f t="shared" si="84"/>
        <v>0</v>
      </c>
      <c r="G210" s="161">
        <f t="shared" si="84"/>
        <v>0</v>
      </c>
      <c r="H210" s="161">
        <f t="shared" si="84"/>
        <v>0</v>
      </c>
      <c r="I210" s="161">
        <f t="shared" si="84"/>
        <v>0</v>
      </c>
      <c r="J210" s="161">
        <f t="shared" si="84"/>
        <v>0</v>
      </c>
      <c r="K210" s="161">
        <f t="shared" si="84"/>
        <v>0</v>
      </c>
      <c r="L210" s="161">
        <f t="shared" si="84"/>
        <v>0</v>
      </c>
      <c r="M210" s="161">
        <f t="shared" si="79"/>
        <v>0</v>
      </c>
      <c r="N210" s="161">
        <f t="shared" si="79"/>
        <v>0</v>
      </c>
      <c r="O210" s="161">
        <f t="shared" si="84"/>
        <v>0</v>
      </c>
      <c r="P210" s="161">
        <f t="shared" si="84"/>
        <v>0</v>
      </c>
      <c r="Q210" s="161">
        <f t="shared" si="84"/>
        <v>0</v>
      </c>
      <c r="R210" s="161">
        <f t="shared" si="84"/>
        <v>0</v>
      </c>
      <c r="S210" s="161">
        <f t="shared" si="83"/>
        <v>0</v>
      </c>
      <c r="T210" s="161">
        <f t="shared" si="83"/>
        <v>0</v>
      </c>
      <c r="U210" s="161">
        <f t="shared" si="83"/>
        <v>0</v>
      </c>
      <c r="V210" s="161">
        <f t="shared" si="83"/>
        <v>0</v>
      </c>
      <c r="W210" s="161">
        <f t="shared" si="83"/>
        <v>0</v>
      </c>
      <c r="X210" s="161">
        <f t="shared" si="83"/>
        <v>0</v>
      </c>
      <c r="Y210" s="161">
        <f t="shared" si="83"/>
        <v>0</v>
      </c>
      <c r="Z210" s="161">
        <f t="shared" si="83"/>
        <v>0</v>
      </c>
      <c r="AA210" s="161">
        <f t="shared" si="83"/>
        <v>0</v>
      </c>
      <c r="AB210" s="161">
        <f t="shared" si="83"/>
        <v>0</v>
      </c>
      <c r="AC210" s="161">
        <f t="shared" si="83"/>
        <v>0</v>
      </c>
      <c r="AD210" s="161">
        <f t="shared" si="83"/>
        <v>0</v>
      </c>
      <c r="AE210" s="161">
        <f t="shared" si="83"/>
        <v>0</v>
      </c>
      <c r="AF210" s="174">
        <f t="shared" si="8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84"/>
        <v>0</v>
      </c>
      <c r="D211" s="161">
        <f t="shared" si="84"/>
        <v>0</v>
      </c>
      <c r="E211" s="161">
        <f t="shared" si="84"/>
        <v>0</v>
      </c>
      <c r="F211" s="161">
        <f t="shared" si="84"/>
        <v>0</v>
      </c>
      <c r="G211" s="161">
        <f t="shared" si="84"/>
        <v>0</v>
      </c>
      <c r="H211" s="161">
        <f t="shared" si="84"/>
        <v>0</v>
      </c>
      <c r="I211" s="161">
        <f t="shared" si="84"/>
        <v>0</v>
      </c>
      <c r="J211" s="161">
        <f t="shared" si="84"/>
        <v>0</v>
      </c>
      <c r="K211" s="161">
        <f t="shared" si="84"/>
        <v>0</v>
      </c>
      <c r="L211" s="161">
        <f t="shared" si="84"/>
        <v>0</v>
      </c>
      <c r="M211" s="161">
        <f t="shared" si="79"/>
        <v>0</v>
      </c>
      <c r="N211" s="161">
        <f t="shared" si="79"/>
        <v>0</v>
      </c>
      <c r="O211" s="161">
        <f t="shared" si="84"/>
        <v>0</v>
      </c>
      <c r="P211" s="161">
        <f t="shared" si="84"/>
        <v>0</v>
      </c>
      <c r="Q211" s="161">
        <f t="shared" si="84"/>
        <v>0</v>
      </c>
      <c r="R211" s="161">
        <f t="shared" si="84"/>
        <v>0</v>
      </c>
      <c r="S211" s="161">
        <f t="shared" si="83"/>
        <v>0</v>
      </c>
      <c r="T211" s="161">
        <f t="shared" si="83"/>
        <v>0</v>
      </c>
      <c r="U211" s="161">
        <f t="shared" si="83"/>
        <v>0</v>
      </c>
      <c r="V211" s="161">
        <f t="shared" si="83"/>
        <v>0</v>
      </c>
      <c r="W211" s="161">
        <f t="shared" si="83"/>
        <v>0</v>
      </c>
      <c r="X211" s="161">
        <f t="shared" si="83"/>
        <v>0</v>
      </c>
      <c r="Y211" s="161">
        <f t="shared" si="83"/>
        <v>0</v>
      </c>
      <c r="Z211" s="161">
        <f t="shared" si="83"/>
        <v>0</v>
      </c>
      <c r="AA211" s="161">
        <f t="shared" si="83"/>
        <v>0</v>
      </c>
      <c r="AB211" s="161">
        <f t="shared" si="83"/>
        <v>0</v>
      </c>
      <c r="AC211" s="161">
        <f t="shared" si="83"/>
        <v>0</v>
      </c>
      <c r="AD211" s="161">
        <f t="shared" si="83"/>
        <v>0</v>
      </c>
      <c r="AE211" s="161">
        <f t="shared" si="83"/>
        <v>0</v>
      </c>
      <c r="AF211" s="174">
        <f t="shared" si="8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84"/>
        <v>0</v>
      </c>
      <c r="D212" s="161">
        <f t="shared" si="84"/>
        <v>0</v>
      </c>
      <c r="E212" s="161">
        <f t="shared" si="84"/>
        <v>0</v>
      </c>
      <c r="F212" s="161">
        <f t="shared" si="84"/>
        <v>0</v>
      </c>
      <c r="G212" s="161">
        <f t="shared" si="84"/>
        <v>0</v>
      </c>
      <c r="H212" s="161">
        <f t="shared" si="84"/>
        <v>0</v>
      </c>
      <c r="I212" s="161">
        <f t="shared" si="84"/>
        <v>0</v>
      </c>
      <c r="J212" s="161">
        <f t="shared" si="84"/>
        <v>0</v>
      </c>
      <c r="K212" s="161">
        <f t="shared" si="84"/>
        <v>0</v>
      </c>
      <c r="L212" s="161">
        <f t="shared" si="84"/>
        <v>0</v>
      </c>
      <c r="M212" s="161">
        <f t="shared" si="79"/>
        <v>0</v>
      </c>
      <c r="N212" s="161">
        <f t="shared" si="79"/>
        <v>0</v>
      </c>
      <c r="O212" s="161">
        <f t="shared" si="84"/>
        <v>0</v>
      </c>
      <c r="P212" s="161">
        <f t="shared" si="84"/>
        <v>0</v>
      </c>
      <c r="Q212" s="161">
        <f t="shared" si="84"/>
        <v>0</v>
      </c>
      <c r="R212" s="161">
        <f t="shared" si="84"/>
        <v>0</v>
      </c>
      <c r="S212" s="161">
        <f t="shared" si="83"/>
        <v>0</v>
      </c>
      <c r="T212" s="161">
        <f t="shared" si="83"/>
        <v>0</v>
      </c>
      <c r="U212" s="161">
        <f t="shared" si="83"/>
        <v>0</v>
      </c>
      <c r="V212" s="161">
        <f t="shared" si="83"/>
        <v>0</v>
      </c>
      <c r="W212" s="161">
        <f t="shared" si="83"/>
        <v>0</v>
      </c>
      <c r="X212" s="161">
        <f t="shared" si="83"/>
        <v>0</v>
      </c>
      <c r="Y212" s="161">
        <f t="shared" si="83"/>
        <v>0</v>
      </c>
      <c r="Z212" s="161">
        <f t="shared" si="83"/>
        <v>0</v>
      </c>
      <c r="AA212" s="161">
        <f t="shared" si="83"/>
        <v>0</v>
      </c>
      <c r="AB212" s="161">
        <f t="shared" si="83"/>
        <v>0</v>
      </c>
      <c r="AC212" s="161">
        <f t="shared" si="83"/>
        <v>0</v>
      </c>
      <c r="AD212" s="161">
        <f t="shared" si="83"/>
        <v>0</v>
      </c>
      <c r="AE212" s="161">
        <f t="shared" si="83"/>
        <v>0</v>
      </c>
      <c r="AF212" s="174">
        <f t="shared" si="8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84"/>
        <v>0</v>
      </c>
      <c r="D213" s="161">
        <f t="shared" si="84"/>
        <v>0</v>
      </c>
      <c r="E213" s="161">
        <f t="shared" si="84"/>
        <v>0</v>
      </c>
      <c r="F213" s="161">
        <f t="shared" si="84"/>
        <v>0</v>
      </c>
      <c r="G213" s="161">
        <f t="shared" si="84"/>
        <v>0</v>
      </c>
      <c r="H213" s="161">
        <f t="shared" si="84"/>
        <v>0</v>
      </c>
      <c r="I213" s="161">
        <f t="shared" si="84"/>
        <v>0</v>
      </c>
      <c r="J213" s="161">
        <f t="shared" si="84"/>
        <v>0</v>
      </c>
      <c r="K213" s="161">
        <f t="shared" si="84"/>
        <v>0</v>
      </c>
      <c r="L213" s="161">
        <f t="shared" si="84"/>
        <v>0</v>
      </c>
      <c r="M213" s="161">
        <f t="shared" si="79"/>
        <v>0</v>
      </c>
      <c r="N213" s="161">
        <f t="shared" si="79"/>
        <v>0</v>
      </c>
      <c r="O213" s="161">
        <f t="shared" si="84"/>
        <v>0</v>
      </c>
      <c r="P213" s="161">
        <f t="shared" si="84"/>
        <v>0</v>
      </c>
      <c r="Q213" s="161">
        <f t="shared" si="84"/>
        <v>0</v>
      </c>
      <c r="R213" s="161">
        <f t="shared" si="84"/>
        <v>0</v>
      </c>
      <c r="S213" s="161">
        <f t="shared" si="83"/>
        <v>0</v>
      </c>
      <c r="T213" s="161">
        <f t="shared" si="83"/>
        <v>0</v>
      </c>
      <c r="U213" s="161">
        <f t="shared" si="83"/>
        <v>0</v>
      </c>
      <c r="V213" s="161">
        <f t="shared" si="83"/>
        <v>0</v>
      </c>
      <c r="W213" s="161">
        <f t="shared" si="83"/>
        <v>0</v>
      </c>
      <c r="X213" s="161">
        <f t="shared" si="83"/>
        <v>0</v>
      </c>
      <c r="Y213" s="161">
        <f t="shared" si="83"/>
        <v>0</v>
      </c>
      <c r="Z213" s="161">
        <f t="shared" si="83"/>
        <v>0</v>
      </c>
      <c r="AA213" s="161">
        <f t="shared" si="83"/>
        <v>0</v>
      </c>
      <c r="AB213" s="161">
        <f t="shared" si="83"/>
        <v>0</v>
      </c>
      <c r="AC213" s="161">
        <f t="shared" si="83"/>
        <v>0</v>
      </c>
      <c r="AD213" s="161">
        <f t="shared" si="83"/>
        <v>0</v>
      </c>
      <c r="AE213" s="161">
        <f t="shared" si="83"/>
        <v>0</v>
      </c>
      <c r="AF213" s="174">
        <f t="shared" si="8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84"/>
        <v>0</v>
      </c>
      <c r="D214" s="161">
        <f t="shared" si="84"/>
        <v>0</v>
      </c>
      <c r="E214" s="161">
        <f t="shared" si="84"/>
        <v>0</v>
      </c>
      <c r="F214" s="161">
        <f t="shared" si="84"/>
        <v>0</v>
      </c>
      <c r="G214" s="161">
        <f t="shared" si="84"/>
        <v>0</v>
      </c>
      <c r="H214" s="161">
        <f t="shared" si="84"/>
        <v>0</v>
      </c>
      <c r="I214" s="161">
        <f t="shared" si="84"/>
        <v>0</v>
      </c>
      <c r="J214" s="161">
        <f t="shared" si="84"/>
        <v>0</v>
      </c>
      <c r="K214" s="161">
        <f t="shared" si="84"/>
        <v>0</v>
      </c>
      <c r="L214" s="161">
        <f t="shared" si="84"/>
        <v>0</v>
      </c>
      <c r="M214" s="161">
        <f t="shared" si="79"/>
        <v>0</v>
      </c>
      <c r="N214" s="161">
        <f t="shared" si="79"/>
        <v>0</v>
      </c>
      <c r="O214" s="161">
        <f t="shared" si="84"/>
        <v>0</v>
      </c>
      <c r="P214" s="161">
        <f t="shared" si="84"/>
        <v>0</v>
      </c>
      <c r="Q214" s="161">
        <f t="shared" si="84"/>
        <v>0</v>
      </c>
      <c r="R214" s="161">
        <f t="shared" si="84"/>
        <v>0</v>
      </c>
      <c r="S214" s="161">
        <f t="shared" si="83"/>
        <v>0</v>
      </c>
      <c r="T214" s="161">
        <f t="shared" si="83"/>
        <v>0</v>
      </c>
      <c r="U214" s="161">
        <f t="shared" si="83"/>
        <v>0</v>
      </c>
      <c r="V214" s="161">
        <f t="shared" si="83"/>
        <v>0</v>
      </c>
      <c r="W214" s="161">
        <f t="shared" si="83"/>
        <v>0</v>
      </c>
      <c r="X214" s="161">
        <f t="shared" si="83"/>
        <v>0</v>
      </c>
      <c r="Y214" s="161">
        <f t="shared" si="83"/>
        <v>0</v>
      </c>
      <c r="Z214" s="161">
        <f t="shared" si="83"/>
        <v>0</v>
      </c>
      <c r="AA214" s="161">
        <f t="shared" si="83"/>
        <v>0</v>
      </c>
      <c r="AB214" s="161">
        <f t="shared" si="83"/>
        <v>0</v>
      </c>
      <c r="AC214" s="161">
        <f t="shared" si="83"/>
        <v>0</v>
      </c>
      <c r="AD214" s="161">
        <f t="shared" si="83"/>
        <v>0</v>
      </c>
      <c r="AE214" s="161">
        <f t="shared" si="83"/>
        <v>0</v>
      </c>
      <c r="AF214" s="174">
        <f t="shared" si="8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84"/>
        <v>0</v>
      </c>
      <c r="D215" s="161">
        <f t="shared" si="84"/>
        <v>0</v>
      </c>
      <c r="E215" s="161">
        <f t="shared" si="84"/>
        <v>0</v>
      </c>
      <c r="F215" s="161">
        <f t="shared" si="84"/>
        <v>0</v>
      </c>
      <c r="G215" s="161">
        <f t="shared" si="84"/>
        <v>0</v>
      </c>
      <c r="H215" s="161">
        <f t="shared" si="84"/>
        <v>0</v>
      </c>
      <c r="I215" s="161">
        <f t="shared" si="84"/>
        <v>0</v>
      </c>
      <c r="J215" s="161">
        <f t="shared" si="84"/>
        <v>0</v>
      </c>
      <c r="K215" s="161">
        <f t="shared" si="84"/>
        <v>0</v>
      </c>
      <c r="L215" s="161">
        <f t="shared" si="84"/>
        <v>0</v>
      </c>
      <c r="M215" s="161">
        <f t="shared" si="79"/>
        <v>0</v>
      </c>
      <c r="N215" s="161">
        <f t="shared" si="79"/>
        <v>0</v>
      </c>
      <c r="O215" s="161">
        <f t="shared" si="84"/>
        <v>0</v>
      </c>
      <c r="P215" s="161">
        <f t="shared" si="84"/>
        <v>0</v>
      </c>
      <c r="Q215" s="161">
        <f t="shared" si="84"/>
        <v>0</v>
      </c>
      <c r="R215" s="161">
        <f t="shared" si="84"/>
        <v>0</v>
      </c>
      <c r="S215" s="161">
        <f t="shared" si="83"/>
        <v>0</v>
      </c>
      <c r="T215" s="161">
        <f t="shared" si="83"/>
        <v>0</v>
      </c>
      <c r="U215" s="161">
        <f t="shared" si="83"/>
        <v>0</v>
      </c>
      <c r="V215" s="161">
        <f t="shared" si="83"/>
        <v>0</v>
      </c>
      <c r="W215" s="161">
        <f t="shared" si="83"/>
        <v>0</v>
      </c>
      <c r="X215" s="161">
        <f t="shared" si="83"/>
        <v>0</v>
      </c>
      <c r="Y215" s="161">
        <f t="shared" si="83"/>
        <v>0</v>
      </c>
      <c r="Z215" s="161">
        <f t="shared" si="83"/>
        <v>0</v>
      </c>
      <c r="AA215" s="161">
        <f t="shared" si="83"/>
        <v>0</v>
      </c>
      <c r="AB215" s="161">
        <f t="shared" si="83"/>
        <v>0</v>
      </c>
      <c r="AC215" s="161">
        <f t="shared" si="83"/>
        <v>0</v>
      </c>
      <c r="AD215" s="161">
        <f t="shared" si="83"/>
        <v>0</v>
      </c>
      <c r="AE215" s="161">
        <f t="shared" si="83"/>
        <v>0</v>
      </c>
      <c r="AF215" s="174">
        <f t="shared" si="8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84"/>
        <v>0</v>
      </c>
      <c r="D216" s="161">
        <f t="shared" si="84"/>
        <v>0</v>
      </c>
      <c r="E216" s="161">
        <f t="shared" si="84"/>
        <v>0</v>
      </c>
      <c r="F216" s="161">
        <f t="shared" si="84"/>
        <v>0</v>
      </c>
      <c r="G216" s="161">
        <f t="shared" si="84"/>
        <v>0</v>
      </c>
      <c r="H216" s="161">
        <f t="shared" si="84"/>
        <v>0</v>
      </c>
      <c r="I216" s="161">
        <f t="shared" si="84"/>
        <v>0</v>
      </c>
      <c r="J216" s="161">
        <f t="shared" si="84"/>
        <v>0</v>
      </c>
      <c r="K216" s="161">
        <f t="shared" si="84"/>
        <v>0</v>
      </c>
      <c r="L216" s="161">
        <f t="shared" si="84"/>
        <v>0</v>
      </c>
      <c r="M216" s="161">
        <f t="shared" si="79"/>
        <v>0</v>
      </c>
      <c r="N216" s="161">
        <f t="shared" si="79"/>
        <v>0</v>
      </c>
      <c r="O216" s="161">
        <f t="shared" si="84"/>
        <v>0</v>
      </c>
      <c r="P216" s="161">
        <f t="shared" si="84"/>
        <v>0</v>
      </c>
      <c r="Q216" s="161">
        <f t="shared" si="84"/>
        <v>0</v>
      </c>
      <c r="R216" s="161">
        <f t="shared" ref="R216:AF231" si="85">Q216</f>
        <v>0</v>
      </c>
      <c r="S216" s="161">
        <f t="shared" si="85"/>
        <v>0</v>
      </c>
      <c r="T216" s="161">
        <f t="shared" si="85"/>
        <v>0</v>
      </c>
      <c r="U216" s="161">
        <f t="shared" si="85"/>
        <v>0</v>
      </c>
      <c r="V216" s="161">
        <f t="shared" si="85"/>
        <v>0</v>
      </c>
      <c r="W216" s="161">
        <f t="shared" si="85"/>
        <v>0</v>
      </c>
      <c r="X216" s="161">
        <f t="shared" si="85"/>
        <v>0</v>
      </c>
      <c r="Y216" s="161">
        <f t="shared" si="85"/>
        <v>0</v>
      </c>
      <c r="Z216" s="161">
        <f t="shared" si="85"/>
        <v>0</v>
      </c>
      <c r="AA216" s="161">
        <f t="shared" si="85"/>
        <v>0</v>
      </c>
      <c r="AB216" s="161">
        <f t="shared" si="85"/>
        <v>0</v>
      </c>
      <c r="AC216" s="161">
        <f t="shared" si="85"/>
        <v>0</v>
      </c>
      <c r="AD216" s="161">
        <f t="shared" si="85"/>
        <v>0</v>
      </c>
      <c r="AE216" s="161">
        <f t="shared" si="85"/>
        <v>0</v>
      </c>
      <c r="AF216" s="174">
        <f t="shared" si="8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86">B217</f>
        <v>0</v>
      </c>
      <c r="D217" s="161">
        <f t="shared" si="86"/>
        <v>0</v>
      </c>
      <c r="E217" s="161">
        <f t="shared" si="86"/>
        <v>0</v>
      </c>
      <c r="F217" s="161">
        <f t="shared" si="86"/>
        <v>0</v>
      </c>
      <c r="G217" s="161">
        <f t="shared" si="86"/>
        <v>0</v>
      </c>
      <c r="H217" s="161">
        <f t="shared" si="86"/>
        <v>0</v>
      </c>
      <c r="I217" s="161">
        <f t="shared" si="86"/>
        <v>0</v>
      </c>
      <c r="J217" s="161">
        <f t="shared" si="86"/>
        <v>0</v>
      </c>
      <c r="K217" s="161">
        <f t="shared" si="86"/>
        <v>0</v>
      </c>
      <c r="L217" s="161">
        <f t="shared" si="86"/>
        <v>0</v>
      </c>
      <c r="M217" s="161">
        <f t="shared" si="79"/>
        <v>0</v>
      </c>
      <c r="N217" s="161">
        <f t="shared" si="79"/>
        <v>0</v>
      </c>
      <c r="O217" s="161">
        <f t="shared" si="86"/>
        <v>0</v>
      </c>
      <c r="P217" s="161">
        <f t="shared" si="86"/>
        <v>0</v>
      </c>
      <c r="Q217" s="161">
        <f t="shared" si="86"/>
        <v>0</v>
      </c>
      <c r="R217" s="161">
        <f t="shared" si="86"/>
        <v>0</v>
      </c>
      <c r="S217" s="161">
        <f t="shared" si="85"/>
        <v>0</v>
      </c>
      <c r="T217" s="161">
        <f t="shared" si="85"/>
        <v>0</v>
      </c>
      <c r="U217" s="161">
        <f t="shared" si="85"/>
        <v>0</v>
      </c>
      <c r="V217" s="161">
        <f t="shared" si="85"/>
        <v>0</v>
      </c>
      <c r="W217" s="161">
        <f t="shared" si="85"/>
        <v>0</v>
      </c>
      <c r="X217" s="161">
        <f t="shared" si="85"/>
        <v>0</v>
      </c>
      <c r="Y217" s="161">
        <f t="shared" si="85"/>
        <v>0</v>
      </c>
      <c r="Z217" s="161">
        <f t="shared" si="85"/>
        <v>0</v>
      </c>
      <c r="AA217" s="161">
        <f t="shared" si="85"/>
        <v>0</v>
      </c>
      <c r="AB217" s="161">
        <f t="shared" si="85"/>
        <v>0</v>
      </c>
      <c r="AC217" s="161">
        <f t="shared" si="85"/>
        <v>0</v>
      </c>
      <c r="AD217" s="161">
        <f t="shared" si="85"/>
        <v>0</v>
      </c>
      <c r="AE217" s="161">
        <f t="shared" si="85"/>
        <v>0</v>
      </c>
      <c r="AF217" s="174">
        <f t="shared" si="8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86"/>
        <v>0</v>
      </c>
      <c r="D218" s="161">
        <f t="shared" si="86"/>
        <v>0</v>
      </c>
      <c r="E218" s="161">
        <f t="shared" si="86"/>
        <v>0</v>
      </c>
      <c r="F218" s="161">
        <f t="shared" si="86"/>
        <v>0</v>
      </c>
      <c r="G218" s="161">
        <f t="shared" si="86"/>
        <v>0</v>
      </c>
      <c r="H218" s="161">
        <f t="shared" si="86"/>
        <v>0</v>
      </c>
      <c r="I218" s="161">
        <f t="shared" si="86"/>
        <v>0</v>
      </c>
      <c r="J218" s="161">
        <f t="shared" si="86"/>
        <v>0</v>
      </c>
      <c r="K218" s="161">
        <f t="shared" si="86"/>
        <v>0</v>
      </c>
      <c r="L218" s="161">
        <f t="shared" si="86"/>
        <v>0</v>
      </c>
      <c r="M218" s="161">
        <f t="shared" si="79"/>
        <v>0</v>
      </c>
      <c r="N218" s="161">
        <f t="shared" si="79"/>
        <v>0</v>
      </c>
      <c r="O218" s="161">
        <f t="shared" si="86"/>
        <v>0</v>
      </c>
      <c r="P218" s="161">
        <f t="shared" si="86"/>
        <v>0</v>
      </c>
      <c r="Q218" s="161">
        <f t="shared" si="86"/>
        <v>0</v>
      </c>
      <c r="R218" s="161">
        <f t="shared" si="86"/>
        <v>0</v>
      </c>
      <c r="S218" s="161">
        <f t="shared" si="85"/>
        <v>0</v>
      </c>
      <c r="T218" s="161">
        <f t="shared" si="85"/>
        <v>0</v>
      </c>
      <c r="U218" s="161">
        <f t="shared" si="85"/>
        <v>0</v>
      </c>
      <c r="V218" s="161">
        <f t="shared" si="85"/>
        <v>0</v>
      </c>
      <c r="W218" s="161">
        <f t="shared" si="85"/>
        <v>0</v>
      </c>
      <c r="X218" s="161">
        <f t="shared" si="85"/>
        <v>0</v>
      </c>
      <c r="Y218" s="161">
        <f t="shared" si="85"/>
        <v>0</v>
      </c>
      <c r="Z218" s="161">
        <f t="shared" si="85"/>
        <v>0</v>
      </c>
      <c r="AA218" s="161">
        <f t="shared" si="85"/>
        <v>0</v>
      </c>
      <c r="AB218" s="161">
        <f t="shared" si="85"/>
        <v>0</v>
      </c>
      <c r="AC218" s="161">
        <f t="shared" si="85"/>
        <v>0</v>
      </c>
      <c r="AD218" s="161">
        <f t="shared" si="85"/>
        <v>0</v>
      </c>
      <c r="AE218" s="161">
        <f t="shared" si="85"/>
        <v>0</v>
      </c>
      <c r="AF218" s="174">
        <f t="shared" si="8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86"/>
        <v>0</v>
      </c>
      <c r="D219" s="161">
        <f t="shared" si="86"/>
        <v>0</v>
      </c>
      <c r="E219" s="161">
        <f t="shared" si="86"/>
        <v>0</v>
      </c>
      <c r="F219" s="161">
        <f t="shared" si="86"/>
        <v>0</v>
      </c>
      <c r="G219" s="161">
        <f t="shared" si="86"/>
        <v>0</v>
      </c>
      <c r="H219" s="161">
        <f t="shared" si="86"/>
        <v>0</v>
      </c>
      <c r="I219" s="161">
        <f t="shared" si="86"/>
        <v>0</v>
      </c>
      <c r="J219" s="161">
        <f t="shared" si="86"/>
        <v>0</v>
      </c>
      <c r="K219" s="161">
        <f t="shared" si="86"/>
        <v>0</v>
      </c>
      <c r="L219" s="161">
        <f t="shared" si="86"/>
        <v>0</v>
      </c>
      <c r="M219" s="161">
        <f t="shared" si="79"/>
        <v>0</v>
      </c>
      <c r="N219" s="161">
        <f t="shared" si="79"/>
        <v>0</v>
      </c>
      <c r="O219" s="161">
        <f t="shared" si="86"/>
        <v>0</v>
      </c>
      <c r="P219" s="161">
        <f t="shared" si="86"/>
        <v>0</v>
      </c>
      <c r="Q219" s="161">
        <f t="shared" si="86"/>
        <v>0</v>
      </c>
      <c r="R219" s="161">
        <f t="shared" si="86"/>
        <v>0</v>
      </c>
      <c r="S219" s="161">
        <f t="shared" si="85"/>
        <v>0</v>
      </c>
      <c r="T219" s="161">
        <f t="shared" si="85"/>
        <v>0</v>
      </c>
      <c r="U219" s="161">
        <f t="shared" si="85"/>
        <v>0</v>
      </c>
      <c r="V219" s="161">
        <f t="shared" si="85"/>
        <v>0</v>
      </c>
      <c r="W219" s="161">
        <f t="shared" si="85"/>
        <v>0</v>
      </c>
      <c r="X219" s="161">
        <f t="shared" si="85"/>
        <v>0</v>
      </c>
      <c r="Y219" s="161">
        <f t="shared" si="85"/>
        <v>0</v>
      </c>
      <c r="Z219" s="161">
        <f t="shared" si="85"/>
        <v>0</v>
      </c>
      <c r="AA219" s="161">
        <f t="shared" si="85"/>
        <v>0</v>
      </c>
      <c r="AB219" s="161">
        <f t="shared" si="85"/>
        <v>0</v>
      </c>
      <c r="AC219" s="161">
        <f t="shared" si="85"/>
        <v>0</v>
      </c>
      <c r="AD219" s="161">
        <f t="shared" si="85"/>
        <v>0</v>
      </c>
      <c r="AE219" s="161">
        <f t="shared" si="85"/>
        <v>0</v>
      </c>
      <c r="AF219" s="174">
        <f t="shared" si="8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86"/>
        <v>0</v>
      </c>
      <c r="D220" s="161">
        <f t="shared" si="86"/>
        <v>0</v>
      </c>
      <c r="E220" s="161">
        <f t="shared" si="86"/>
        <v>0</v>
      </c>
      <c r="F220" s="161">
        <f t="shared" si="86"/>
        <v>0</v>
      </c>
      <c r="G220" s="161">
        <f t="shared" si="86"/>
        <v>0</v>
      </c>
      <c r="H220" s="161">
        <f t="shared" si="86"/>
        <v>0</v>
      </c>
      <c r="I220" s="161">
        <f t="shared" si="86"/>
        <v>0</v>
      </c>
      <c r="J220" s="161">
        <f t="shared" si="86"/>
        <v>0</v>
      </c>
      <c r="K220" s="161">
        <f t="shared" si="86"/>
        <v>0</v>
      </c>
      <c r="L220" s="161">
        <f t="shared" si="86"/>
        <v>0</v>
      </c>
      <c r="M220" s="161">
        <f t="shared" si="79"/>
        <v>0</v>
      </c>
      <c r="N220" s="161">
        <f t="shared" si="79"/>
        <v>0</v>
      </c>
      <c r="O220" s="161">
        <f t="shared" si="86"/>
        <v>0</v>
      </c>
      <c r="P220" s="161">
        <f t="shared" si="86"/>
        <v>0</v>
      </c>
      <c r="Q220" s="161">
        <f t="shared" si="86"/>
        <v>0</v>
      </c>
      <c r="R220" s="161">
        <f t="shared" si="86"/>
        <v>0</v>
      </c>
      <c r="S220" s="161">
        <f t="shared" si="85"/>
        <v>0</v>
      </c>
      <c r="T220" s="161">
        <f t="shared" si="85"/>
        <v>0</v>
      </c>
      <c r="U220" s="161">
        <f t="shared" si="85"/>
        <v>0</v>
      </c>
      <c r="V220" s="161">
        <f t="shared" si="85"/>
        <v>0</v>
      </c>
      <c r="W220" s="161">
        <f t="shared" si="85"/>
        <v>0</v>
      </c>
      <c r="X220" s="161">
        <f t="shared" si="85"/>
        <v>0</v>
      </c>
      <c r="Y220" s="161">
        <f t="shared" si="85"/>
        <v>0</v>
      </c>
      <c r="Z220" s="161">
        <f t="shared" si="85"/>
        <v>0</v>
      </c>
      <c r="AA220" s="161">
        <f t="shared" si="85"/>
        <v>0</v>
      </c>
      <c r="AB220" s="161">
        <f t="shared" si="85"/>
        <v>0</v>
      </c>
      <c r="AC220" s="161">
        <f t="shared" si="85"/>
        <v>0</v>
      </c>
      <c r="AD220" s="161">
        <f t="shared" si="85"/>
        <v>0</v>
      </c>
      <c r="AE220" s="161">
        <f t="shared" si="85"/>
        <v>0</v>
      </c>
      <c r="AF220" s="174">
        <f t="shared" si="8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86"/>
        <v>0</v>
      </c>
      <c r="D221" s="161">
        <f t="shared" si="86"/>
        <v>0</v>
      </c>
      <c r="E221" s="161">
        <f t="shared" si="86"/>
        <v>0</v>
      </c>
      <c r="F221" s="161">
        <f t="shared" si="86"/>
        <v>0</v>
      </c>
      <c r="G221" s="161">
        <f t="shared" si="86"/>
        <v>0</v>
      </c>
      <c r="H221" s="161">
        <f t="shared" si="86"/>
        <v>0</v>
      </c>
      <c r="I221" s="161">
        <f t="shared" si="86"/>
        <v>0</v>
      </c>
      <c r="J221" s="161">
        <f t="shared" si="86"/>
        <v>0</v>
      </c>
      <c r="K221" s="161">
        <f t="shared" si="86"/>
        <v>0</v>
      </c>
      <c r="L221" s="161">
        <f t="shared" si="86"/>
        <v>0</v>
      </c>
      <c r="M221" s="161">
        <f t="shared" si="79"/>
        <v>0</v>
      </c>
      <c r="N221" s="161">
        <f t="shared" si="79"/>
        <v>0</v>
      </c>
      <c r="O221" s="161">
        <f t="shared" si="86"/>
        <v>0</v>
      </c>
      <c r="P221" s="161">
        <f t="shared" si="86"/>
        <v>0</v>
      </c>
      <c r="Q221" s="161">
        <f t="shared" si="86"/>
        <v>0</v>
      </c>
      <c r="R221" s="161">
        <f t="shared" si="86"/>
        <v>0</v>
      </c>
      <c r="S221" s="161">
        <f t="shared" si="85"/>
        <v>0</v>
      </c>
      <c r="T221" s="161">
        <f t="shared" si="85"/>
        <v>0</v>
      </c>
      <c r="U221" s="161">
        <f t="shared" si="85"/>
        <v>0</v>
      </c>
      <c r="V221" s="161">
        <f t="shared" si="85"/>
        <v>0</v>
      </c>
      <c r="W221" s="161">
        <f t="shared" si="85"/>
        <v>0</v>
      </c>
      <c r="X221" s="161">
        <f t="shared" si="85"/>
        <v>0</v>
      </c>
      <c r="Y221" s="161">
        <f t="shared" si="85"/>
        <v>0</v>
      </c>
      <c r="Z221" s="161">
        <f t="shared" si="85"/>
        <v>0</v>
      </c>
      <c r="AA221" s="161">
        <f t="shared" si="85"/>
        <v>0</v>
      </c>
      <c r="AB221" s="161">
        <f t="shared" si="85"/>
        <v>0</v>
      </c>
      <c r="AC221" s="161">
        <f t="shared" si="85"/>
        <v>0</v>
      </c>
      <c r="AD221" s="161">
        <f t="shared" si="85"/>
        <v>0</v>
      </c>
      <c r="AE221" s="161">
        <f t="shared" si="85"/>
        <v>0</v>
      </c>
      <c r="AF221" s="174">
        <f t="shared" si="8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86"/>
        <v>0</v>
      </c>
      <c r="D222" s="161">
        <f t="shared" si="86"/>
        <v>0</v>
      </c>
      <c r="E222" s="161">
        <f t="shared" si="86"/>
        <v>0</v>
      </c>
      <c r="F222" s="161">
        <f t="shared" si="86"/>
        <v>0</v>
      </c>
      <c r="G222" s="161">
        <f t="shared" si="86"/>
        <v>0</v>
      </c>
      <c r="H222" s="161">
        <f t="shared" si="86"/>
        <v>0</v>
      </c>
      <c r="I222" s="161">
        <f t="shared" si="86"/>
        <v>0</v>
      </c>
      <c r="J222" s="161">
        <f t="shared" si="86"/>
        <v>0</v>
      </c>
      <c r="K222" s="161">
        <f t="shared" si="86"/>
        <v>0</v>
      </c>
      <c r="L222" s="161">
        <f t="shared" si="86"/>
        <v>0</v>
      </c>
      <c r="M222" s="161">
        <f t="shared" si="79"/>
        <v>0</v>
      </c>
      <c r="N222" s="161">
        <f t="shared" si="79"/>
        <v>0</v>
      </c>
      <c r="O222" s="161">
        <f t="shared" si="86"/>
        <v>0</v>
      </c>
      <c r="P222" s="161">
        <f t="shared" si="86"/>
        <v>0</v>
      </c>
      <c r="Q222" s="161">
        <f t="shared" si="86"/>
        <v>0</v>
      </c>
      <c r="R222" s="161">
        <f t="shared" si="86"/>
        <v>0</v>
      </c>
      <c r="S222" s="161">
        <f t="shared" si="85"/>
        <v>0</v>
      </c>
      <c r="T222" s="161">
        <f t="shared" si="85"/>
        <v>0</v>
      </c>
      <c r="U222" s="161">
        <f t="shared" si="85"/>
        <v>0</v>
      </c>
      <c r="V222" s="161">
        <f t="shared" si="85"/>
        <v>0</v>
      </c>
      <c r="W222" s="161">
        <f t="shared" si="85"/>
        <v>0</v>
      </c>
      <c r="X222" s="161">
        <f t="shared" si="85"/>
        <v>0</v>
      </c>
      <c r="Y222" s="161">
        <f t="shared" si="85"/>
        <v>0</v>
      </c>
      <c r="Z222" s="161">
        <f t="shared" si="85"/>
        <v>0</v>
      </c>
      <c r="AA222" s="161">
        <f t="shared" si="85"/>
        <v>0</v>
      </c>
      <c r="AB222" s="161">
        <f t="shared" si="85"/>
        <v>0</v>
      </c>
      <c r="AC222" s="161">
        <f t="shared" si="85"/>
        <v>0</v>
      </c>
      <c r="AD222" s="161">
        <f t="shared" si="85"/>
        <v>0</v>
      </c>
      <c r="AE222" s="161">
        <f t="shared" si="85"/>
        <v>0</v>
      </c>
      <c r="AF222" s="174">
        <f t="shared" si="8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86"/>
        <v>0</v>
      </c>
      <c r="D223" s="161">
        <f t="shared" si="86"/>
        <v>0</v>
      </c>
      <c r="E223" s="161">
        <f t="shared" si="86"/>
        <v>0</v>
      </c>
      <c r="F223" s="161">
        <f t="shared" si="86"/>
        <v>0</v>
      </c>
      <c r="G223" s="161">
        <f t="shared" si="86"/>
        <v>0</v>
      </c>
      <c r="H223" s="161">
        <f t="shared" si="86"/>
        <v>0</v>
      </c>
      <c r="I223" s="161">
        <f t="shared" si="86"/>
        <v>0</v>
      </c>
      <c r="J223" s="161">
        <f t="shared" si="86"/>
        <v>0</v>
      </c>
      <c r="K223" s="161">
        <f t="shared" si="86"/>
        <v>0</v>
      </c>
      <c r="L223" s="161">
        <f t="shared" si="86"/>
        <v>0</v>
      </c>
      <c r="M223" s="161">
        <f t="shared" si="79"/>
        <v>0</v>
      </c>
      <c r="N223" s="161">
        <f t="shared" si="79"/>
        <v>0</v>
      </c>
      <c r="O223" s="161">
        <f t="shared" si="86"/>
        <v>0</v>
      </c>
      <c r="P223" s="161">
        <f t="shared" si="86"/>
        <v>0</v>
      </c>
      <c r="Q223" s="161">
        <f t="shared" si="86"/>
        <v>0</v>
      </c>
      <c r="R223" s="161">
        <f t="shared" si="86"/>
        <v>0</v>
      </c>
      <c r="S223" s="161">
        <f t="shared" si="85"/>
        <v>0</v>
      </c>
      <c r="T223" s="161">
        <f t="shared" si="85"/>
        <v>0</v>
      </c>
      <c r="U223" s="161">
        <f t="shared" si="85"/>
        <v>0</v>
      </c>
      <c r="V223" s="161">
        <f t="shared" si="85"/>
        <v>0</v>
      </c>
      <c r="W223" s="161">
        <f t="shared" si="85"/>
        <v>0</v>
      </c>
      <c r="X223" s="161">
        <f t="shared" si="85"/>
        <v>0</v>
      </c>
      <c r="Y223" s="161">
        <f t="shared" si="85"/>
        <v>0</v>
      </c>
      <c r="Z223" s="161">
        <f t="shared" si="85"/>
        <v>0</v>
      </c>
      <c r="AA223" s="161">
        <f t="shared" si="85"/>
        <v>0</v>
      </c>
      <c r="AB223" s="161">
        <f t="shared" si="85"/>
        <v>0</v>
      </c>
      <c r="AC223" s="161">
        <f t="shared" si="85"/>
        <v>0</v>
      </c>
      <c r="AD223" s="161">
        <f t="shared" si="85"/>
        <v>0</v>
      </c>
      <c r="AE223" s="161">
        <f t="shared" si="85"/>
        <v>0</v>
      </c>
      <c r="AF223" s="174">
        <f t="shared" si="8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86"/>
        <v>0</v>
      </c>
      <c r="D224" s="161">
        <f t="shared" si="86"/>
        <v>0</v>
      </c>
      <c r="E224" s="161">
        <f t="shared" si="86"/>
        <v>0</v>
      </c>
      <c r="F224" s="161">
        <f t="shared" si="86"/>
        <v>0</v>
      </c>
      <c r="G224" s="161">
        <f t="shared" si="86"/>
        <v>0</v>
      </c>
      <c r="H224" s="161">
        <f t="shared" si="86"/>
        <v>0</v>
      </c>
      <c r="I224" s="161">
        <f t="shared" si="86"/>
        <v>0</v>
      </c>
      <c r="J224" s="161">
        <f t="shared" si="86"/>
        <v>0</v>
      </c>
      <c r="K224" s="161">
        <f t="shared" si="86"/>
        <v>0</v>
      </c>
      <c r="L224" s="161">
        <f t="shared" si="86"/>
        <v>0</v>
      </c>
      <c r="M224" s="161">
        <f t="shared" si="79"/>
        <v>0</v>
      </c>
      <c r="N224" s="161">
        <f t="shared" si="79"/>
        <v>0</v>
      </c>
      <c r="O224" s="161">
        <f t="shared" si="86"/>
        <v>0</v>
      </c>
      <c r="P224" s="161">
        <f t="shared" si="86"/>
        <v>0</v>
      </c>
      <c r="Q224" s="161">
        <f t="shared" si="86"/>
        <v>0</v>
      </c>
      <c r="R224" s="161">
        <f t="shared" si="86"/>
        <v>0</v>
      </c>
      <c r="S224" s="161">
        <f t="shared" si="85"/>
        <v>0</v>
      </c>
      <c r="T224" s="161">
        <f t="shared" si="85"/>
        <v>0</v>
      </c>
      <c r="U224" s="161">
        <f t="shared" si="85"/>
        <v>0</v>
      </c>
      <c r="V224" s="161">
        <f t="shared" si="85"/>
        <v>0</v>
      </c>
      <c r="W224" s="161">
        <f t="shared" si="85"/>
        <v>0</v>
      </c>
      <c r="X224" s="161">
        <f t="shared" si="85"/>
        <v>0</v>
      </c>
      <c r="Y224" s="161">
        <f t="shared" si="85"/>
        <v>0</v>
      </c>
      <c r="Z224" s="161">
        <f t="shared" si="85"/>
        <v>0</v>
      </c>
      <c r="AA224" s="161">
        <f t="shared" si="85"/>
        <v>0</v>
      </c>
      <c r="AB224" s="161">
        <f t="shared" si="85"/>
        <v>0</v>
      </c>
      <c r="AC224" s="161">
        <f t="shared" si="85"/>
        <v>0</v>
      </c>
      <c r="AD224" s="161">
        <f t="shared" si="85"/>
        <v>0</v>
      </c>
      <c r="AE224" s="161">
        <f t="shared" si="85"/>
        <v>0</v>
      </c>
      <c r="AF224" s="174">
        <f t="shared" si="8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86"/>
        <v>0</v>
      </c>
      <c r="D225" s="161">
        <f t="shared" si="86"/>
        <v>0</v>
      </c>
      <c r="E225" s="161">
        <f t="shared" si="86"/>
        <v>0</v>
      </c>
      <c r="F225" s="161">
        <f t="shared" si="86"/>
        <v>0</v>
      </c>
      <c r="G225" s="161">
        <f t="shared" si="86"/>
        <v>0</v>
      </c>
      <c r="H225" s="161">
        <f t="shared" si="86"/>
        <v>0</v>
      </c>
      <c r="I225" s="161">
        <f t="shared" si="86"/>
        <v>0</v>
      </c>
      <c r="J225" s="161">
        <f t="shared" si="86"/>
        <v>0</v>
      </c>
      <c r="K225" s="161">
        <f t="shared" si="86"/>
        <v>0</v>
      </c>
      <c r="L225" s="161">
        <f t="shared" si="86"/>
        <v>0</v>
      </c>
      <c r="M225" s="161">
        <f t="shared" si="79"/>
        <v>0</v>
      </c>
      <c r="N225" s="161">
        <f t="shared" si="79"/>
        <v>0</v>
      </c>
      <c r="O225" s="161">
        <f t="shared" si="86"/>
        <v>0</v>
      </c>
      <c r="P225" s="161">
        <f t="shared" si="86"/>
        <v>0</v>
      </c>
      <c r="Q225" s="161">
        <f t="shared" si="86"/>
        <v>0</v>
      </c>
      <c r="R225" s="161">
        <f t="shared" si="86"/>
        <v>0</v>
      </c>
      <c r="S225" s="161">
        <f t="shared" si="85"/>
        <v>0</v>
      </c>
      <c r="T225" s="161">
        <f t="shared" si="85"/>
        <v>0</v>
      </c>
      <c r="U225" s="161">
        <f t="shared" si="85"/>
        <v>0</v>
      </c>
      <c r="V225" s="161">
        <f t="shared" si="85"/>
        <v>0</v>
      </c>
      <c r="W225" s="161">
        <f t="shared" si="85"/>
        <v>0</v>
      </c>
      <c r="X225" s="161">
        <f t="shared" si="85"/>
        <v>0</v>
      </c>
      <c r="Y225" s="161">
        <f t="shared" si="85"/>
        <v>0</v>
      </c>
      <c r="Z225" s="161">
        <f t="shared" si="85"/>
        <v>0</v>
      </c>
      <c r="AA225" s="161">
        <f t="shared" si="85"/>
        <v>0</v>
      </c>
      <c r="AB225" s="161">
        <f t="shared" si="85"/>
        <v>0</v>
      </c>
      <c r="AC225" s="161">
        <f t="shared" si="85"/>
        <v>0</v>
      </c>
      <c r="AD225" s="161">
        <f t="shared" si="85"/>
        <v>0</v>
      </c>
      <c r="AE225" s="161">
        <f t="shared" si="85"/>
        <v>0</v>
      </c>
      <c r="AF225" s="174">
        <f t="shared" si="8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86"/>
        <v>0</v>
      </c>
      <c r="D226" s="161">
        <f t="shared" si="86"/>
        <v>0</v>
      </c>
      <c r="E226" s="161">
        <f t="shared" si="86"/>
        <v>0</v>
      </c>
      <c r="F226" s="161">
        <f t="shared" si="86"/>
        <v>0</v>
      </c>
      <c r="G226" s="161">
        <f t="shared" si="86"/>
        <v>0</v>
      </c>
      <c r="H226" s="161">
        <f t="shared" si="86"/>
        <v>0</v>
      </c>
      <c r="I226" s="161">
        <f t="shared" si="86"/>
        <v>0</v>
      </c>
      <c r="J226" s="161">
        <f t="shared" si="86"/>
        <v>0</v>
      </c>
      <c r="K226" s="161">
        <f t="shared" si="86"/>
        <v>0</v>
      </c>
      <c r="L226" s="161">
        <f t="shared" si="86"/>
        <v>0</v>
      </c>
      <c r="M226" s="161">
        <f t="shared" si="79"/>
        <v>0</v>
      </c>
      <c r="N226" s="161">
        <f t="shared" si="79"/>
        <v>0</v>
      </c>
      <c r="O226" s="161">
        <f t="shared" si="86"/>
        <v>0</v>
      </c>
      <c r="P226" s="161">
        <f t="shared" si="86"/>
        <v>0</v>
      </c>
      <c r="Q226" s="161">
        <f t="shared" si="86"/>
        <v>0</v>
      </c>
      <c r="R226" s="161">
        <f t="shared" si="86"/>
        <v>0</v>
      </c>
      <c r="S226" s="161">
        <f t="shared" si="85"/>
        <v>0</v>
      </c>
      <c r="T226" s="161">
        <f t="shared" si="85"/>
        <v>0</v>
      </c>
      <c r="U226" s="161">
        <f t="shared" si="85"/>
        <v>0</v>
      </c>
      <c r="V226" s="161">
        <f t="shared" si="85"/>
        <v>0</v>
      </c>
      <c r="W226" s="161">
        <f t="shared" si="85"/>
        <v>0</v>
      </c>
      <c r="X226" s="161">
        <f t="shared" si="85"/>
        <v>0</v>
      </c>
      <c r="Y226" s="161">
        <f t="shared" si="85"/>
        <v>0</v>
      </c>
      <c r="Z226" s="161">
        <f t="shared" si="85"/>
        <v>0</v>
      </c>
      <c r="AA226" s="161">
        <f t="shared" si="85"/>
        <v>0</v>
      </c>
      <c r="AB226" s="161">
        <f t="shared" si="85"/>
        <v>0</v>
      </c>
      <c r="AC226" s="161">
        <f t="shared" si="85"/>
        <v>0</v>
      </c>
      <c r="AD226" s="161">
        <f t="shared" si="85"/>
        <v>0</v>
      </c>
      <c r="AE226" s="161">
        <f t="shared" si="85"/>
        <v>0</v>
      </c>
      <c r="AF226" s="174">
        <f t="shared" si="8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86"/>
        <v>0</v>
      </c>
      <c r="D227" s="161">
        <f t="shared" si="86"/>
        <v>0</v>
      </c>
      <c r="E227" s="161">
        <f t="shared" si="86"/>
        <v>0</v>
      </c>
      <c r="F227" s="161">
        <f t="shared" si="86"/>
        <v>0</v>
      </c>
      <c r="G227" s="161">
        <f t="shared" si="86"/>
        <v>0</v>
      </c>
      <c r="H227" s="161">
        <f t="shared" si="86"/>
        <v>0</v>
      </c>
      <c r="I227" s="161">
        <f t="shared" si="86"/>
        <v>0</v>
      </c>
      <c r="J227" s="161">
        <f t="shared" si="86"/>
        <v>0</v>
      </c>
      <c r="K227" s="161">
        <f t="shared" si="86"/>
        <v>0</v>
      </c>
      <c r="L227" s="161">
        <f t="shared" si="86"/>
        <v>0</v>
      </c>
      <c r="M227" s="161">
        <f t="shared" si="79"/>
        <v>0</v>
      </c>
      <c r="N227" s="161">
        <f t="shared" si="79"/>
        <v>0</v>
      </c>
      <c r="O227" s="161">
        <f t="shared" si="86"/>
        <v>0</v>
      </c>
      <c r="P227" s="161">
        <f t="shared" si="86"/>
        <v>0</v>
      </c>
      <c r="Q227" s="161">
        <f t="shared" si="86"/>
        <v>0</v>
      </c>
      <c r="R227" s="161">
        <f t="shared" si="86"/>
        <v>0</v>
      </c>
      <c r="S227" s="161">
        <f t="shared" si="85"/>
        <v>0</v>
      </c>
      <c r="T227" s="161">
        <f t="shared" si="85"/>
        <v>0</v>
      </c>
      <c r="U227" s="161">
        <f t="shared" si="85"/>
        <v>0</v>
      </c>
      <c r="V227" s="161">
        <f t="shared" si="85"/>
        <v>0</v>
      </c>
      <c r="W227" s="161">
        <f t="shared" si="85"/>
        <v>0</v>
      </c>
      <c r="X227" s="161">
        <f t="shared" si="85"/>
        <v>0</v>
      </c>
      <c r="Y227" s="161">
        <f t="shared" si="85"/>
        <v>0</v>
      </c>
      <c r="Z227" s="161">
        <f t="shared" si="85"/>
        <v>0</v>
      </c>
      <c r="AA227" s="161">
        <f t="shared" si="85"/>
        <v>0</v>
      </c>
      <c r="AB227" s="161">
        <f t="shared" si="85"/>
        <v>0</v>
      </c>
      <c r="AC227" s="161">
        <f t="shared" si="85"/>
        <v>0</v>
      </c>
      <c r="AD227" s="161">
        <f t="shared" si="85"/>
        <v>0</v>
      </c>
      <c r="AE227" s="161">
        <f t="shared" si="85"/>
        <v>0</v>
      </c>
      <c r="AF227" s="174">
        <f t="shared" si="8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86"/>
        <v>0</v>
      </c>
      <c r="D228" s="161">
        <f t="shared" si="86"/>
        <v>0</v>
      </c>
      <c r="E228" s="161">
        <f t="shared" si="86"/>
        <v>0</v>
      </c>
      <c r="F228" s="161">
        <f t="shared" si="86"/>
        <v>0</v>
      </c>
      <c r="G228" s="161">
        <f t="shared" si="86"/>
        <v>0</v>
      </c>
      <c r="H228" s="161">
        <f t="shared" si="86"/>
        <v>0</v>
      </c>
      <c r="I228" s="161">
        <f t="shared" si="86"/>
        <v>0</v>
      </c>
      <c r="J228" s="161">
        <f t="shared" si="86"/>
        <v>0</v>
      </c>
      <c r="K228" s="161">
        <f t="shared" si="86"/>
        <v>0</v>
      </c>
      <c r="L228" s="161">
        <f t="shared" si="86"/>
        <v>0</v>
      </c>
      <c r="M228" s="161">
        <f t="shared" si="79"/>
        <v>0</v>
      </c>
      <c r="N228" s="161">
        <f t="shared" si="79"/>
        <v>0</v>
      </c>
      <c r="O228" s="161">
        <f t="shared" si="86"/>
        <v>0</v>
      </c>
      <c r="P228" s="161">
        <f t="shared" si="86"/>
        <v>0</v>
      </c>
      <c r="Q228" s="161">
        <f t="shared" si="86"/>
        <v>0</v>
      </c>
      <c r="R228" s="161">
        <f t="shared" si="86"/>
        <v>0</v>
      </c>
      <c r="S228" s="161">
        <f t="shared" si="85"/>
        <v>0</v>
      </c>
      <c r="T228" s="161">
        <f t="shared" si="85"/>
        <v>0</v>
      </c>
      <c r="U228" s="161">
        <f t="shared" si="85"/>
        <v>0</v>
      </c>
      <c r="V228" s="161">
        <f t="shared" si="85"/>
        <v>0</v>
      </c>
      <c r="W228" s="161">
        <f t="shared" si="85"/>
        <v>0</v>
      </c>
      <c r="X228" s="161">
        <f t="shared" si="85"/>
        <v>0</v>
      </c>
      <c r="Y228" s="161">
        <f t="shared" si="85"/>
        <v>0</v>
      </c>
      <c r="Z228" s="161">
        <f t="shared" si="85"/>
        <v>0</v>
      </c>
      <c r="AA228" s="161">
        <f t="shared" si="85"/>
        <v>0</v>
      </c>
      <c r="AB228" s="161">
        <f t="shared" si="85"/>
        <v>0</v>
      </c>
      <c r="AC228" s="161">
        <f t="shared" si="85"/>
        <v>0</v>
      </c>
      <c r="AD228" s="161">
        <f t="shared" si="85"/>
        <v>0</v>
      </c>
      <c r="AE228" s="161">
        <f t="shared" si="85"/>
        <v>0</v>
      </c>
      <c r="AF228" s="174">
        <f t="shared" si="8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86"/>
        <v>0</v>
      </c>
      <c r="D229" s="161">
        <f t="shared" si="86"/>
        <v>0</v>
      </c>
      <c r="E229" s="161">
        <f t="shared" si="86"/>
        <v>0</v>
      </c>
      <c r="F229" s="161">
        <f t="shared" si="86"/>
        <v>0</v>
      </c>
      <c r="G229" s="161">
        <f t="shared" si="86"/>
        <v>0</v>
      </c>
      <c r="H229" s="161">
        <f t="shared" si="86"/>
        <v>0</v>
      </c>
      <c r="I229" s="161">
        <f t="shared" si="86"/>
        <v>0</v>
      </c>
      <c r="J229" s="161">
        <f t="shared" si="86"/>
        <v>0</v>
      </c>
      <c r="K229" s="161">
        <f t="shared" si="86"/>
        <v>0</v>
      </c>
      <c r="L229" s="161">
        <f t="shared" si="86"/>
        <v>0</v>
      </c>
      <c r="M229" s="161">
        <f t="shared" si="79"/>
        <v>0</v>
      </c>
      <c r="N229" s="161">
        <f t="shared" si="79"/>
        <v>0</v>
      </c>
      <c r="O229" s="161">
        <f t="shared" si="86"/>
        <v>0</v>
      </c>
      <c r="P229" s="161">
        <f t="shared" si="86"/>
        <v>0</v>
      </c>
      <c r="Q229" s="161">
        <f t="shared" si="86"/>
        <v>0</v>
      </c>
      <c r="R229" s="161">
        <f t="shared" si="86"/>
        <v>0</v>
      </c>
      <c r="S229" s="161">
        <f t="shared" si="85"/>
        <v>0</v>
      </c>
      <c r="T229" s="161">
        <f t="shared" si="85"/>
        <v>0</v>
      </c>
      <c r="U229" s="161">
        <f t="shared" si="85"/>
        <v>0</v>
      </c>
      <c r="V229" s="161">
        <f t="shared" si="85"/>
        <v>0</v>
      </c>
      <c r="W229" s="161">
        <f t="shared" si="85"/>
        <v>0</v>
      </c>
      <c r="X229" s="161">
        <f t="shared" si="85"/>
        <v>0</v>
      </c>
      <c r="Y229" s="161">
        <f t="shared" si="85"/>
        <v>0</v>
      </c>
      <c r="Z229" s="161">
        <f t="shared" si="85"/>
        <v>0</v>
      </c>
      <c r="AA229" s="161">
        <f t="shared" si="85"/>
        <v>0</v>
      </c>
      <c r="AB229" s="161">
        <f t="shared" si="85"/>
        <v>0</v>
      </c>
      <c r="AC229" s="161">
        <f t="shared" si="85"/>
        <v>0</v>
      </c>
      <c r="AD229" s="161">
        <f t="shared" si="85"/>
        <v>0</v>
      </c>
      <c r="AE229" s="161">
        <f t="shared" si="85"/>
        <v>0</v>
      </c>
      <c r="AF229" s="174">
        <f t="shared" si="8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86"/>
        <v>0</v>
      </c>
      <c r="D230" s="161">
        <f t="shared" si="86"/>
        <v>0</v>
      </c>
      <c r="E230" s="161">
        <f t="shared" si="86"/>
        <v>0</v>
      </c>
      <c r="F230" s="161">
        <f t="shared" si="86"/>
        <v>0</v>
      </c>
      <c r="G230" s="161">
        <f t="shared" si="86"/>
        <v>0</v>
      </c>
      <c r="H230" s="161">
        <f t="shared" si="86"/>
        <v>0</v>
      </c>
      <c r="I230" s="161">
        <f t="shared" si="86"/>
        <v>0</v>
      </c>
      <c r="J230" s="161">
        <f t="shared" si="86"/>
        <v>0</v>
      </c>
      <c r="K230" s="161">
        <f t="shared" si="86"/>
        <v>0</v>
      </c>
      <c r="L230" s="161">
        <f t="shared" si="86"/>
        <v>0</v>
      </c>
      <c r="M230" s="161">
        <f t="shared" si="79"/>
        <v>0</v>
      </c>
      <c r="N230" s="161">
        <f t="shared" si="79"/>
        <v>0</v>
      </c>
      <c r="O230" s="161">
        <f t="shared" si="86"/>
        <v>0</v>
      </c>
      <c r="P230" s="161">
        <f t="shared" si="86"/>
        <v>0</v>
      </c>
      <c r="Q230" s="161">
        <f t="shared" si="86"/>
        <v>0</v>
      </c>
      <c r="R230" s="161">
        <f t="shared" si="86"/>
        <v>0</v>
      </c>
      <c r="S230" s="161">
        <f t="shared" si="85"/>
        <v>0</v>
      </c>
      <c r="T230" s="161">
        <f t="shared" si="85"/>
        <v>0</v>
      </c>
      <c r="U230" s="161">
        <f t="shared" si="85"/>
        <v>0</v>
      </c>
      <c r="V230" s="161">
        <f t="shared" si="85"/>
        <v>0</v>
      </c>
      <c r="W230" s="161">
        <f t="shared" si="85"/>
        <v>0</v>
      </c>
      <c r="X230" s="161">
        <f t="shared" si="85"/>
        <v>0</v>
      </c>
      <c r="Y230" s="161">
        <f t="shared" si="85"/>
        <v>0</v>
      </c>
      <c r="Z230" s="161">
        <f t="shared" si="85"/>
        <v>0</v>
      </c>
      <c r="AA230" s="161">
        <f t="shared" si="85"/>
        <v>0</v>
      </c>
      <c r="AB230" s="161">
        <f t="shared" si="85"/>
        <v>0</v>
      </c>
      <c r="AC230" s="161">
        <f t="shared" si="85"/>
        <v>0</v>
      </c>
      <c r="AD230" s="161">
        <f t="shared" si="85"/>
        <v>0</v>
      </c>
      <c r="AE230" s="161">
        <f t="shared" si="85"/>
        <v>0</v>
      </c>
      <c r="AF230" s="174">
        <f t="shared" si="8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86"/>
        <v>0</v>
      </c>
      <c r="D231" s="161">
        <f t="shared" si="86"/>
        <v>0</v>
      </c>
      <c r="E231" s="161">
        <f t="shared" si="86"/>
        <v>0</v>
      </c>
      <c r="F231" s="161">
        <f t="shared" si="86"/>
        <v>0</v>
      </c>
      <c r="G231" s="161">
        <f t="shared" si="86"/>
        <v>0</v>
      </c>
      <c r="H231" s="161">
        <f t="shared" si="86"/>
        <v>0</v>
      </c>
      <c r="I231" s="161">
        <f t="shared" si="86"/>
        <v>0</v>
      </c>
      <c r="J231" s="161">
        <f t="shared" si="86"/>
        <v>0</v>
      </c>
      <c r="K231" s="161">
        <f t="shared" si="86"/>
        <v>0</v>
      </c>
      <c r="L231" s="161">
        <f t="shared" si="86"/>
        <v>0</v>
      </c>
      <c r="M231" s="161">
        <f t="shared" si="79"/>
        <v>0</v>
      </c>
      <c r="N231" s="161">
        <f t="shared" si="79"/>
        <v>0</v>
      </c>
      <c r="O231" s="161">
        <f t="shared" si="86"/>
        <v>0</v>
      </c>
      <c r="P231" s="161">
        <f t="shared" si="86"/>
        <v>0</v>
      </c>
      <c r="Q231" s="161">
        <f t="shared" si="86"/>
        <v>0</v>
      </c>
      <c r="R231" s="161">
        <f t="shared" si="86"/>
        <v>0</v>
      </c>
      <c r="S231" s="161">
        <f t="shared" si="85"/>
        <v>0</v>
      </c>
      <c r="T231" s="161">
        <f t="shared" si="85"/>
        <v>0</v>
      </c>
      <c r="U231" s="161">
        <f t="shared" si="85"/>
        <v>0</v>
      </c>
      <c r="V231" s="161">
        <f t="shared" si="85"/>
        <v>0</v>
      </c>
      <c r="W231" s="161">
        <f t="shared" si="85"/>
        <v>0</v>
      </c>
      <c r="X231" s="161">
        <f t="shared" si="85"/>
        <v>0</v>
      </c>
      <c r="Y231" s="161">
        <f t="shared" si="85"/>
        <v>0</v>
      </c>
      <c r="Z231" s="161">
        <f t="shared" si="85"/>
        <v>0</v>
      </c>
      <c r="AA231" s="161">
        <f t="shared" si="85"/>
        <v>0</v>
      </c>
      <c r="AB231" s="161">
        <f t="shared" si="85"/>
        <v>0</v>
      </c>
      <c r="AC231" s="161">
        <f t="shared" si="85"/>
        <v>0</v>
      </c>
      <c r="AD231" s="161">
        <f t="shared" si="85"/>
        <v>0</v>
      </c>
      <c r="AE231" s="161">
        <f t="shared" si="85"/>
        <v>0</v>
      </c>
      <c r="AF231" s="174">
        <f t="shared" si="8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86"/>
        <v>0</v>
      </c>
      <c r="D232" s="161">
        <f t="shared" si="86"/>
        <v>0</v>
      </c>
      <c r="E232" s="161">
        <f t="shared" si="86"/>
        <v>0</v>
      </c>
      <c r="F232" s="161">
        <f t="shared" si="86"/>
        <v>0</v>
      </c>
      <c r="G232" s="161">
        <f t="shared" si="86"/>
        <v>0</v>
      </c>
      <c r="H232" s="161">
        <f t="shared" si="86"/>
        <v>0</v>
      </c>
      <c r="I232" s="161">
        <f t="shared" si="86"/>
        <v>0</v>
      </c>
      <c r="J232" s="161">
        <f t="shared" si="86"/>
        <v>0</v>
      </c>
      <c r="K232" s="161">
        <f t="shared" si="86"/>
        <v>0</v>
      </c>
      <c r="L232" s="161">
        <f t="shared" si="86"/>
        <v>0</v>
      </c>
      <c r="M232" s="161">
        <f t="shared" si="79"/>
        <v>0</v>
      </c>
      <c r="N232" s="161">
        <f t="shared" si="79"/>
        <v>0</v>
      </c>
      <c r="O232" s="161">
        <f t="shared" si="86"/>
        <v>0</v>
      </c>
      <c r="P232" s="161">
        <f t="shared" si="86"/>
        <v>0</v>
      </c>
      <c r="Q232" s="161">
        <f t="shared" si="86"/>
        <v>0</v>
      </c>
      <c r="R232" s="161">
        <f t="shared" ref="R232:AF247" si="87">Q232</f>
        <v>0</v>
      </c>
      <c r="S232" s="161">
        <f t="shared" si="87"/>
        <v>0</v>
      </c>
      <c r="T232" s="161">
        <f t="shared" si="87"/>
        <v>0</v>
      </c>
      <c r="U232" s="161">
        <f t="shared" si="87"/>
        <v>0</v>
      </c>
      <c r="V232" s="161">
        <f t="shared" si="87"/>
        <v>0</v>
      </c>
      <c r="W232" s="161">
        <f t="shared" si="87"/>
        <v>0</v>
      </c>
      <c r="X232" s="161">
        <f t="shared" si="87"/>
        <v>0</v>
      </c>
      <c r="Y232" s="161">
        <f t="shared" si="87"/>
        <v>0</v>
      </c>
      <c r="Z232" s="161">
        <f t="shared" si="87"/>
        <v>0</v>
      </c>
      <c r="AA232" s="161">
        <f t="shared" si="87"/>
        <v>0</v>
      </c>
      <c r="AB232" s="161">
        <f t="shared" si="87"/>
        <v>0</v>
      </c>
      <c r="AC232" s="161">
        <f t="shared" si="87"/>
        <v>0</v>
      </c>
      <c r="AD232" s="161">
        <f t="shared" si="87"/>
        <v>0</v>
      </c>
      <c r="AE232" s="161">
        <f t="shared" si="87"/>
        <v>0</v>
      </c>
      <c r="AF232" s="174">
        <f t="shared" si="8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88">B233</f>
        <v>0</v>
      </c>
      <c r="D233" s="161">
        <f t="shared" si="88"/>
        <v>0</v>
      </c>
      <c r="E233" s="161">
        <f t="shared" si="88"/>
        <v>0</v>
      </c>
      <c r="F233" s="161">
        <f t="shared" si="88"/>
        <v>0</v>
      </c>
      <c r="G233" s="161">
        <f t="shared" si="88"/>
        <v>0</v>
      </c>
      <c r="H233" s="161">
        <f t="shared" si="88"/>
        <v>0</v>
      </c>
      <c r="I233" s="161">
        <f t="shared" si="88"/>
        <v>0</v>
      </c>
      <c r="J233" s="161">
        <f t="shared" si="88"/>
        <v>0</v>
      </c>
      <c r="K233" s="161">
        <f t="shared" si="88"/>
        <v>0</v>
      </c>
      <c r="L233" s="161">
        <f t="shared" si="88"/>
        <v>0</v>
      </c>
      <c r="M233" s="161">
        <f t="shared" ref="M233:N264" si="89">L233</f>
        <v>0</v>
      </c>
      <c r="N233" s="161">
        <f t="shared" si="89"/>
        <v>0</v>
      </c>
      <c r="O233" s="161">
        <f t="shared" si="88"/>
        <v>0</v>
      </c>
      <c r="P233" s="161">
        <f t="shared" si="88"/>
        <v>0</v>
      </c>
      <c r="Q233" s="161">
        <f t="shared" si="88"/>
        <v>0</v>
      </c>
      <c r="R233" s="161">
        <f t="shared" si="88"/>
        <v>0</v>
      </c>
      <c r="S233" s="161">
        <f t="shared" si="87"/>
        <v>0</v>
      </c>
      <c r="T233" s="161">
        <f t="shared" si="87"/>
        <v>0</v>
      </c>
      <c r="U233" s="161">
        <f t="shared" si="87"/>
        <v>0</v>
      </c>
      <c r="V233" s="161">
        <f t="shared" si="87"/>
        <v>0</v>
      </c>
      <c r="W233" s="161">
        <f t="shared" si="87"/>
        <v>0</v>
      </c>
      <c r="X233" s="161">
        <f t="shared" si="87"/>
        <v>0</v>
      </c>
      <c r="Y233" s="161">
        <f t="shared" si="87"/>
        <v>0</v>
      </c>
      <c r="Z233" s="161">
        <f t="shared" si="87"/>
        <v>0</v>
      </c>
      <c r="AA233" s="161">
        <f t="shared" si="87"/>
        <v>0</v>
      </c>
      <c r="AB233" s="161">
        <f t="shared" si="87"/>
        <v>0</v>
      </c>
      <c r="AC233" s="161">
        <f t="shared" si="87"/>
        <v>0</v>
      </c>
      <c r="AD233" s="161">
        <f t="shared" si="87"/>
        <v>0</v>
      </c>
      <c r="AE233" s="161">
        <f t="shared" si="87"/>
        <v>0</v>
      </c>
      <c r="AF233" s="174">
        <f t="shared" si="8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88"/>
        <v>0</v>
      </c>
      <c r="D234" s="161">
        <f t="shared" si="88"/>
        <v>0</v>
      </c>
      <c r="E234" s="161">
        <f t="shared" si="88"/>
        <v>0</v>
      </c>
      <c r="F234" s="161">
        <f t="shared" si="88"/>
        <v>0</v>
      </c>
      <c r="G234" s="161">
        <f t="shared" si="88"/>
        <v>0</v>
      </c>
      <c r="H234" s="161">
        <f t="shared" si="88"/>
        <v>0</v>
      </c>
      <c r="I234" s="161">
        <f t="shared" si="88"/>
        <v>0</v>
      </c>
      <c r="J234" s="161">
        <f t="shared" si="88"/>
        <v>0</v>
      </c>
      <c r="K234" s="161">
        <f t="shared" si="88"/>
        <v>0</v>
      </c>
      <c r="L234" s="161">
        <f t="shared" si="88"/>
        <v>0</v>
      </c>
      <c r="M234" s="161">
        <f t="shared" si="89"/>
        <v>0</v>
      </c>
      <c r="N234" s="161">
        <f t="shared" si="89"/>
        <v>0</v>
      </c>
      <c r="O234" s="161">
        <f t="shared" si="88"/>
        <v>0</v>
      </c>
      <c r="P234" s="161">
        <f t="shared" si="88"/>
        <v>0</v>
      </c>
      <c r="Q234" s="161">
        <f t="shared" si="88"/>
        <v>0</v>
      </c>
      <c r="R234" s="161">
        <f t="shared" si="88"/>
        <v>0</v>
      </c>
      <c r="S234" s="161">
        <f t="shared" si="87"/>
        <v>0</v>
      </c>
      <c r="T234" s="161">
        <f t="shared" si="87"/>
        <v>0</v>
      </c>
      <c r="U234" s="161">
        <f t="shared" si="87"/>
        <v>0</v>
      </c>
      <c r="V234" s="161">
        <f t="shared" si="87"/>
        <v>0</v>
      </c>
      <c r="W234" s="161">
        <f t="shared" si="87"/>
        <v>0</v>
      </c>
      <c r="X234" s="161">
        <f t="shared" si="87"/>
        <v>0</v>
      </c>
      <c r="Y234" s="161">
        <f t="shared" si="87"/>
        <v>0</v>
      </c>
      <c r="Z234" s="161">
        <f t="shared" si="87"/>
        <v>0</v>
      </c>
      <c r="AA234" s="161">
        <f t="shared" si="87"/>
        <v>0</v>
      </c>
      <c r="AB234" s="161">
        <f t="shared" si="87"/>
        <v>0</v>
      </c>
      <c r="AC234" s="161">
        <f t="shared" si="87"/>
        <v>0</v>
      </c>
      <c r="AD234" s="161">
        <f t="shared" si="87"/>
        <v>0</v>
      </c>
      <c r="AE234" s="161">
        <f t="shared" si="87"/>
        <v>0</v>
      </c>
      <c r="AF234" s="174">
        <f t="shared" si="8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88"/>
        <v>0</v>
      </c>
      <c r="D235" s="161">
        <f t="shared" si="88"/>
        <v>0</v>
      </c>
      <c r="E235" s="161">
        <f t="shared" si="88"/>
        <v>0</v>
      </c>
      <c r="F235" s="161">
        <f t="shared" si="88"/>
        <v>0</v>
      </c>
      <c r="G235" s="161">
        <f t="shared" si="88"/>
        <v>0</v>
      </c>
      <c r="H235" s="161">
        <f t="shared" si="88"/>
        <v>0</v>
      </c>
      <c r="I235" s="161">
        <f t="shared" si="88"/>
        <v>0</v>
      </c>
      <c r="J235" s="161">
        <f t="shared" si="88"/>
        <v>0</v>
      </c>
      <c r="K235" s="161">
        <f t="shared" si="88"/>
        <v>0</v>
      </c>
      <c r="L235" s="161">
        <f t="shared" si="88"/>
        <v>0</v>
      </c>
      <c r="M235" s="161">
        <f t="shared" si="89"/>
        <v>0</v>
      </c>
      <c r="N235" s="161">
        <f t="shared" si="89"/>
        <v>0</v>
      </c>
      <c r="O235" s="161">
        <f t="shared" si="88"/>
        <v>0</v>
      </c>
      <c r="P235" s="161">
        <f t="shared" si="88"/>
        <v>0</v>
      </c>
      <c r="Q235" s="161">
        <f t="shared" si="88"/>
        <v>0</v>
      </c>
      <c r="R235" s="161">
        <f t="shared" si="88"/>
        <v>0</v>
      </c>
      <c r="S235" s="161">
        <f t="shared" si="87"/>
        <v>0</v>
      </c>
      <c r="T235" s="161">
        <f t="shared" si="87"/>
        <v>0</v>
      </c>
      <c r="U235" s="161">
        <f t="shared" si="87"/>
        <v>0</v>
      </c>
      <c r="V235" s="161">
        <f t="shared" si="87"/>
        <v>0</v>
      </c>
      <c r="W235" s="161">
        <f t="shared" si="87"/>
        <v>0</v>
      </c>
      <c r="X235" s="161">
        <f t="shared" si="87"/>
        <v>0</v>
      </c>
      <c r="Y235" s="161">
        <f t="shared" si="87"/>
        <v>0</v>
      </c>
      <c r="Z235" s="161">
        <f t="shared" si="87"/>
        <v>0</v>
      </c>
      <c r="AA235" s="161">
        <f t="shared" si="87"/>
        <v>0</v>
      </c>
      <c r="AB235" s="161">
        <f t="shared" si="87"/>
        <v>0</v>
      </c>
      <c r="AC235" s="161">
        <f t="shared" si="87"/>
        <v>0</v>
      </c>
      <c r="AD235" s="161">
        <f t="shared" si="87"/>
        <v>0</v>
      </c>
      <c r="AE235" s="161">
        <f t="shared" si="87"/>
        <v>0</v>
      </c>
      <c r="AF235" s="174">
        <f t="shared" si="8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88"/>
        <v>0</v>
      </c>
      <c r="D236" s="161">
        <f t="shared" si="88"/>
        <v>0</v>
      </c>
      <c r="E236" s="161">
        <f t="shared" si="88"/>
        <v>0</v>
      </c>
      <c r="F236" s="161">
        <f t="shared" si="88"/>
        <v>0</v>
      </c>
      <c r="G236" s="161">
        <f t="shared" si="88"/>
        <v>0</v>
      </c>
      <c r="H236" s="161">
        <f t="shared" si="88"/>
        <v>0</v>
      </c>
      <c r="I236" s="161">
        <f t="shared" si="88"/>
        <v>0</v>
      </c>
      <c r="J236" s="161">
        <f t="shared" si="88"/>
        <v>0</v>
      </c>
      <c r="K236" s="161">
        <f t="shared" si="88"/>
        <v>0</v>
      </c>
      <c r="L236" s="161">
        <f t="shared" si="88"/>
        <v>0</v>
      </c>
      <c r="M236" s="161">
        <f t="shared" si="89"/>
        <v>0</v>
      </c>
      <c r="N236" s="161">
        <f t="shared" si="89"/>
        <v>0</v>
      </c>
      <c r="O236" s="161">
        <f t="shared" si="88"/>
        <v>0</v>
      </c>
      <c r="P236" s="161">
        <f t="shared" si="88"/>
        <v>0</v>
      </c>
      <c r="Q236" s="161">
        <f t="shared" si="88"/>
        <v>0</v>
      </c>
      <c r="R236" s="161">
        <f t="shared" si="88"/>
        <v>0</v>
      </c>
      <c r="S236" s="161">
        <f t="shared" si="87"/>
        <v>0</v>
      </c>
      <c r="T236" s="161">
        <f t="shared" si="87"/>
        <v>0</v>
      </c>
      <c r="U236" s="161">
        <f t="shared" si="87"/>
        <v>0</v>
      </c>
      <c r="V236" s="161">
        <f t="shared" si="87"/>
        <v>0</v>
      </c>
      <c r="W236" s="161">
        <f t="shared" si="87"/>
        <v>0</v>
      </c>
      <c r="X236" s="161">
        <f t="shared" si="87"/>
        <v>0</v>
      </c>
      <c r="Y236" s="161">
        <f t="shared" si="87"/>
        <v>0</v>
      </c>
      <c r="Z236" s="161">
        <f t="shared" si="87"/>
        <v>0</v>
      </c>
      <c r="AA236" s="161">
        <f t="shared" si="87"/>
        <v>0</v>
      </c>
      <c r="AB236" s="161">
        <f t="shared" si="87"/>
        <v>0</v>
      </c>
      <c r="AC236" s="161">
        <f t="shared" si="87"/>
        <v>0</v>
      </c>
      <c r="AD236" s="161">
        <f t="shared" si="87"/>
        <v>0</v>
      </c>
      <c r="AE236" s="161">
        <f t="shared" si="87"/>
        <v>0</v>
      </c>
      <c r="AF236" s="174">
        <f t="shared" si="8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88"/>
        <v>0</v>
      </c>
      <c r="D237" s="161">
        <f t="shared" si="88"/>
        <v>0</v>
      </c>
      <c r="E237" s="161">
        <f t="shared" si="88"/>
        <v>0</v>
      </c>
      <c r="F237" s="161">
        <f t="shared" si="88"/>
        <v>0</v>
      </c>
      <c r="G237" s="161">
        <f t="shared" si="88"/>
        <v>0</v>
      </c>
      <c r="H237" s="161">
        <f t="shared" si="88"/>
        <v>0</v>
      </c>
      <c r="I237" s="161">
        <f t="shared" si="88"/>
        <v>0</v>
      </c>
      <c r="J237" s="161">
        <f t="shared" si="88"/>
        <v>0</v>
      </c>
      <c r="K237" s="161">
        <f t="shared" si="88"/>
        <v>0</v>
      </c>
      <c r="L237" s="161">
        <f t="shared" si="88"/>
        <v>0</v>
      </c>
      <c r="M237" s="161">
        <f t="shared" si="89"/>
        <v>0</v>
      </c>
      <c r="N237" s="161">
        <f t="shared" si="89"/>
        <v>0</v>
      </c>
      <c r="O237" s="161">
        <f t="shared" si="88"/>
        <v>0</v>
      </c>
      <c r="P237" s="161">
        <f t="shared" si="88"/>
        <v>0</v>
      </c>
      <c r="Q237" s="161">
        <f t="shared" si="88"/>
        <v>0</v>
      </c>
      <c r="R237" s="161">
        <f t="shared" si="88"/>
        <v>0</v>
      </c>
      <c r="S237" s="161">
        <f t="shared" si="87"/>
        <v>0</v>
      </c>
      <c r="T237" s="161">
        <f t="shared" si="87"/>
        <v>0</v>
      </c>
      <c r="U237" s="161">
        <f t="shared" si="87"/>
        <v>0</v>
      </c>
      <c r="V237" s="161">
        <f t="shared" si="87"/>
        <v>0</v>
      </c>
      <c r="W237" s="161">
        <f t="shared" si="87"/>
        <v>0</v>
      </c>
      <c r="X237" s="161">
        <f t="shared" si="87"/>
        <v>0</v>
      </c>
      <c r="Y237" s="161">
        <f t="shared" si="87"/>
        <v>0</v>
      </c>
      <c r="Z237" s="161">
        <f t="shared" si="87"/>
        <v>0</v>
      </c>
      <c r="AA237" s="161">
        <f t="shared" si="87"/>
        <v>0</v>
      </c>
      <c r="AB237" s="161">
        <f t="shared" si="87"/>
        <v>0</v>
      </c>
      <c r="AC237" s="161">
        <f t="shared" si="87"/>
        <v>0</v>
      </c>
      <c r="AD237" s="161">
        <f t="shared" si="87"/>
        <v>0</v>
      </c>
      <c r="AE237" s="161">
        <f t="shared" si="87"/>
        <v>0</v>
      </c>
      <c r="AF237" s="174">
        <f t="shared" si="8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88"/>
        <v>0</v>
      </c>
      <c r="D238" s="161">
        <f t="shared" si="88"/>
        <v>0</v>
      </c>
      <c r="E238" s="161">
        <f t="shared" si="88"/>
        <v>0</v>
      </c>
      <c r="F238" s="161">
        <f t="shared" si="88"/>
        <v>0</v>
      </c>
      <c r="G238" s="161">
        <f t="shared" si="88"/>
        <v>0</v>
      </c>
      <c r="H238" s="161">
        <f t="shared" si="88"/>
        <v>0</v>
      </c>
      <c r="I238" s="161">
        <f t="shared" si="88"/>
        <v>0</v>
      </c>
      <c r="J238" s="161">
        <f t="shared" si="88"/>
        <v>0</v>
      </c>
      <c r="K238" s="161">
        <f t="shared" si="88"/>
        <v>0</v>
      </c>
      <c r="L238" s="161">
        <f t="shared" si="88"/>
        <v>0</v>
      </c>
      <c r="M238" s="161">
        <f t="shared" si="89"/>
        <v>0</v>
      </c>
      <c r="N238" s="161">
        <f t="shared" si="89"/>
        <v>0</v>
      </c>
      <c r="O238" s="161">
        <f t="shared" si="88"/>
        <v>0</v>
      </c>
      <c r="P238" s="161">
        <f t="shared" si="88"/>
        <v>0</v>
      </c>
      <c r="Q238" s="161">
        <f t="shared" si="88"/>
        <v>0</v>
      </c>
      <c r="R238" s="161">
        <f t="shared" si="88"/>
        <v>0</v>
      </c>
      <c r="S238" s="161">
        <f t="shared" si="87"/>
        <v>0</v>
      </c>
      <c r="T238" s="161">
        <f t="shared" si="87"/>
        <v>0</v>
      </c>
      <c r="U238" s="161">
        <f t="shared" si="87"/>
        <v>0</v>
      </c>
      <c r="V238" s="161">
        <f t="shared" si="87"/>
        <v>0</v>
      </c>
      <c r="W238" s="161">
        <f t="shared" si="87"/>
        <v>0</v>
      </c>
      <c r="X238" s="161">
        <f t="shared" si="87"/>
        <v>0</v>
      </c>
      <c r="Y238" s="161">
        <f t="shared" si="87"/>
        <v>0</v>
      </c>
      <c r="Z238" s="161">
        <f t="shared" si="87"/>
        <v>0</v>
      </c>
      <c r="AA238" s="161">
        <f t="shared" si="87"/>
        <v>0</v>
      </c>
      <c r="AB238" s="161">
        <f t="shared" si="87"/>
        <v>0</v>
      </c>
      <c r="AC238" s="161">
        <f t="shared" si="87"/>
        <v>0</v>
      </c>
      <c r="AD238" s="161">
        <f t="shared" si="87"/>
        <v>0</v>
      </c>
      <c r="AE238" s="161">
        <f t="shared" si="87"/>
        <v>0</v>
      </c>
      <c r="AF238" s="174">
        <f t="shared" si="8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88"/>
        <v>0</v>
      </c>
      <c r="D239" s="161">
        <f t="shared" si="88"/>
        <v>0</v>
      </c>
      <c r="E239" s="161">
        <f t="shared" si="88"/>
        <v>0</v>
      </c>
      <c r="F239" s="161">
        <f t="shared" si="88"/>
        <v>0</v>
      </c>
      <c r="G239" s="161">
        <f t="shared" si="88"/>
        <v>0</v>
      </c>
      <c r="H239" s="161">
        <f t="shared" si="88"/>
        <v>0</v>
      </c>
      <c r="I239" s="161">
        <f t="shared" si="88"/>
        <v>0</v>
      </c>
      <c r="J239" s="161">
        <f t="shared" si="88"/>
        <v>0</v>
      </c>
      <c r="K239" s="161">
        <f t="shared" si="88"/>
        <v>0</v>
      </c>
      <c r="L239" s="161">
        <f t="shared" si="88"/>
        <v>0</v>
      </c>
      <c r="M239" s="161">
        <f t="shared" si="89"/>
        <v>0</v>
      </c>
      <c r="N239" s="161">
        <f t="shared" si="89"/>
        <v>0</v>
      </c>
      <c r="O239" s="161">
        <f t="shared" si="88"/>
        <v>0</v>
      </c>
      <c r="P239" s="161">
        <f t="shared" si="88"/>
        <v>0</v>
      </c>
      <c r="Q239" s="161">
        <f t="shared" si="88"/>
        <v>0</v>
      </c>
      <c r="R239" s="161">
        <f t="shared" si="88"/>
        <v>0</v>
      </c>
      <c r="S239" s="161">
        <f t="shared" si="87"/>
        <v>0</v>
      </c>
      <c r="T239" s="161">
        <f t="shared" si="87"/>
        <v>0</v>
      </c>
      <c r="U239" s="161">
        <f t="shared" si="87"/>
        <v>0</v>
      </c>
      <c r="V239" s="161">
        <f t="shared" si="87"/>
        <v>0</v>
      </c>
      <c r="W239" s="161">
        <f t="shared" si="87"/>
        <v>0</v>
      </c>
      <c r="X239" s="161">
        <f t="shared" si="87"/>
        <v>0</v>
      </c>
      <c r="Y239" s="161">
        <f t="shared" si="87"/>
        <v>0</v>
      </c>
      <c r="Z239" s="161">
        <f t="shared" si="87"/>
        <v>0</v>
      </c>
      <c r="AA239" s="161">
        <f t="shared" si="87"/>
        <v>0</v>
      </c>
      <c r="AB239" s="161">
        <f t="shared" si="87"/>
        <v>0</v>
      </c>
      <c r="AC239" s="161">
        <f t="shared" si="87"/>
        <v>0</v>
      </c>
      <c r="AD239" s="161">
        <f t="shared" si="87"/>
        <v>0</v>
      </c>
      <c r="AE239" s="161">
        <f t="shared" si="87"/>
        <v>0</v>
      </c>
      <c r="AF239" s="174">
        <f t="shared" si="8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88"/>
        <v>0</v>
      </c>
      <c r="D240" s="161">
        <f t="shared" si="88"/>
        <v>0</v>
      </c>
      <c r="E240" s="161">
        <f t="shared" si="88"/>
        <v>0</v>
      </c>
      <c r="F240" s="161">
        <f t="shared" si="88"/>
        <v>0</v>
      </c>
      <c r="G240" s="161">
        <f t="shared" si="88"/>
        <v>0</v>
      </c>
      <c r="H240" s="161">
        <f t="shared" si="88"/>
        <v>0</v>
      </c>
      <c r="I240" s="161">
        <f t="shared" si="88"/>
        <v>0</v>
      </c>
      <c r="J240" s="161">
        <f t="shared" si="88"/>
        <v>0</v>
      </c>
      <c r="K240" s="161">
        <f t="shared" si="88"/>
        <v>0</v>
      </c>
      <c r="L240" s="161">
        <f t="shared" si="88"/>
        <v>0</v>
      </c>
      <c r="M240" s="161">
        <f t="shared" si="89"/>
        <v>0</v>
      </c>
      <c r="N240" s="161">
        <f t="shared" si="89"/>
        <v>0</v>
      </c>
      <c r="O240" s="161">
        <f t="shared" si="88"/>
        <v>0</v>
      </c>
      <c r="P240" s="161">
        <f t="shared" si="88"/>
        <v>0</v>
      </c>
      <c r="Q240" s="161">
        <f t="shared" si="88"/>
        <v>0</v>
      </c>
      <c r="R240" s="161">
        <f t="shared" si="88"/>
        <v>0</v>
      </c>
      <c r="S240" s="161">
        <f t="shared" si="87"/>
        <v>0</v>
      </c>
      <c r="T240" s="161">
        <f t="shared" si="87"/>
        <v>0</v>
      </c>
      <c r="U240" s="161">
        <f t="shared" si="87"/>
        <v>0</v>
      </c>
      <c r="V240" s="161">
        <f t="shared" si="87"/>
        <v>0</v>
      </c>
      <c r="W240" s="161">
        <f t="shared" si="87"/>
        <v>0</v>
      </c>
      <c r="X240" s="161">
        <f t="shared" si="87"/>
        <v>0</v>
      </c>
      <c r="Y240" s="161">
        <f t="shared" si="87"/>
        <v>0</v>
      </c>
      <c r="Z240" s="161">
        <f t="shared" si="87"/>
        <v>0</v>
      </c>
      <c r="AA240" s="161">
        <f t="shared" si="87"/>
        <v>0</v>
      </c>
      <c r="AB240" s="161">
        <f t="shared" si="87"/>
        <v>0</v>
      </c>
      <c r="AC240" s="161">
        <f t="shared" si="87"/>
        <v>0</v>
      </c>
      <c r="AD240" s="161">
        <f t="shared" si="87"/>
        <v>0</v>
      </c>
      <c r="AE240" s="161">
        <f t="shared" si="87"/>
        <v>0</v>
      </c>
      <c r="AF240" s="174">
        <f t="shared" si="8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88"/>
        <v>0</v>
      </c>
      <c r="D241" s="161">
        <f t="shared" si="88"/>
        <v>0</v>
      </c>
      <c r="E241" s="161">
        <f t="shared" si="88"/>
        <v>0</v>
      </c>
      <c r="F241" s="161">
        <f t="shared" si="88"/>
        <v>0</v>
      </c>
      <c r="G241" s="161">
        <f t="shared" si="88"/>
        <v>0</v>
      </c>
      <c r="H241" s="161">
        <f t="shared" si="88"/>
        <v>0</v>
      </c>
      <c r="I241" s="161">
        <f t="shared" si="88"/>
        <v>0</v>
      </c>
      <c r="J241" s="161">
        <f t="shared" si="88"/>
        <v>0</v>
      </c>
      <c r="K241" s="161">
        <f t="shared" si="88"/>
        <v>0</v>
      </c>
      <c r="L241" s="161">
        <f t="shared" si="88"/>
        <v>0</v>
      </c>
      <c r="M241" s="161">
        <f t="shared" si="89"/>
        <v>0</v>
      </c>
      <c r="N241" s="161">
        <f t="shared" si="89"/>
        <v>0</v>
      </c>
      <c r="O241" s="161">
        <f t="shared" si="88"/>
        <v>0</v>
      </c>
      <c r="P241" s="161">
        <f t="shared" si="88"/>
        <v>0</v>
      </c>
      <c r="Q241" s="161">
        <f t="shared" si="88"/>
        <v>0</v>
      </c>
      <c r="R241" s="161">
        <f t="shared" si="88"/>
        <v>0</v>
      </c>
      <c r="S241" s="161">
        <f t="shared" si="87"/>
        <v>0</v>
      </c>
      <c r="T241" s="161">
        <f t="shared" si="87"/>
        <v>0</v>
      </c>
      <c r="U241" s="161">
        <f t="shared" si="87"/>
        <v>0</v>
      </c>
      <c r="V241" s="161">
        <f t="shared" si="87"/>
        <v>0</v>
      </c>
      <c r="W241" s="161">
        <f t="shared" si="87"/>
        <v>0</v>
      </c>
      <c r="X241" s="161">
        <f t="shared" si="87"/>
        <v>0</v>
      </c>
      <c r="Y241" s="161">
        <f t="shared" si="87"/>
        <v>0</v>
      </c>
      <c r="Z241" s="161">
        <f t="shared" si="87"/>
        <v>0</v>
      </c>
      <c r="AA241" s="161">
        <f t="shared" si="87"/>
        <v>0</v>
      </c>
      <c r="AB241" s="161">
        <f t="shared" si="87"/>
        <v>0</v>
      </c>
      <c r="AC241" s="161">
        <f t="shared" si="87"/>
        <v>0</v>
      </c>
      <c r="AD241" s="161">
        <f t="shared" si="87"/>
        <v>0</v>
      </c>
      <c r="AE241" s="161">
        <f t="shared" si="87"/>
        <v>0</v>
      </c>
      <c r="AF241" s="174">
        <f t="shared" si="8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88"/>
        <v>0</v>
      </c>
      <c r="D242" s="161">
        <f t="shared" si="88"/>
        <v>0</v>
      </c>
      <c r="E242" s="161">
        <f t="shared" si="88"/>
        <v>0</v>
      </c>
      <c r="F242" s="161">
        <f t="shared" si="88"/>
        <v>0</v>
      </c>
      <c r="G242" s="161">
        <f t="shared" si="88"/>
        <v>0</v>
      </c>
      <c r="H242" s="161">
        <f t="shared" si="88"/>
        <v>0</v>
      </c>
      <c r="I242" s="161">
        <f t="shared" si="88"/>
        <v>0</v>
      </c>
      <c r="J242" s="161">
        <f t="shared" si="88"/>
        <v>0</v>
      </c>
      <c r="K242" s="161">
        <f t="shared" si="88"/>
        <v>0</v>
      </c>
      <c r="L242" s="161">
        <f t="shared" si="88"/>
        <v>0</v>
      </c>
      <c r="M242" s="161">
        <f t="shared" si="89"/>
        <v>0</v>
      </c>
      <c r="N242" s="161">
        <f t="shared" si="89"/>
        <v>0</v>
      </c>
      <c r="O242" s="161">
        <f t="shared" si="88"/>
        <v>0</v>
      </c>
      <c r="P242" s="161">
        <f t="shared" si="88"/>
        <v>0</v>
      </c>
      <c r="Q242" s="161">
        <f t="shared" si="88"/>
        <v>0</v>
      </c>
      <c r="R242" s="161">
        <f t="shared" si="88"/>
        <v>0</v>
      </c>
      <c r="S242" s="161">
        <f t="shared" si="87"/>
        <v>0</v>
      </c>
      <c r="T242" s="161">
        <f t="shared" si="87"/>
        <v>0</v>
      </c>
      <c r="U242" s="161">
        <f t="shared" si="87"/>
        <v>0</v>
      </c>
      <c r="V242" s="161">
        <f t="shared" si="87"/>
        <v>0</v>
      </c>
      <c r="W242" s="161">
        <f t="shared" si="87"/>
        <v>0</v>
      </c>
      <c r="X242" s="161">
        <f t="shared" si="87"/>
        <v>0</v>
      </c>
      <c r="Y242" s="161">
        <f t="shared" si="87"/>
        <v>0</v>
      </c>
      <c r="Z242" s="161">
        <f t="shared" si="87"/>
        <v>0</v>
      </c>
      <c r="AA242" s="161">
        <f t="shared" si="87"/>
        <v>0</v>
      </c>
      <c r="AB242" s="161">
        <f t="shared" si="87"/>
        <v>0</v>
      </c>
      <c r="AC242" s="161">
        <f t="shared" si="87"/>
        <v>0</v>
      </c>
      <c r="AD242" s="161">
        <f t="shared" si="87"/>
        <v>0</v>
      </c>
      <c r="AE242" s="161">
        <f t="shared" si="87"/>
        <v>0</v>
      </c>
      <c r="AF242" s="174">
        <f t="shared" si="8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88"/>
        <v>0</v>
      </c>
      <c r="D243" s="161">
        <f t="shared" si="88"/>
        <v>0</v>
      </c>
      <c r="E243" s="161">
        <f t="shared" si="88"/>
        <v>0</v>
      </c>
      <c r="F243" s="161">
        <f t="shared" si="88"/>
        <v>0</v>
      </c>
      <c r="G243" s="161">
        <f t="shared" si="88"/>
        <v>0</v>
      </c>
      <c r="H243" s="161">
        <f t="shared" si="88"/>
        <v>0</v>
      </c>
      <c r="I243" s="161">
        <f t="shared" si="88"/>
        <v>0</v>
      </c>
      <c r="J243" s="161">
        <f t="shared" si="88"/>
        <v>0</v>
      </c>
      <c r="K243" s="161">
        <f t="shared" si="88"/>
        <v>0</v>
      </c>
      <c r="L243" s="161">
        <f t="shared" si="88"/>
        <v>0</v>
      </c>
      <c r="M243" s="161">
        <f t="shared" si="89"/>
        <v>0</v>
      </c>
      <c r="N243" s="161">
        <f t="shared" si="89"/>
        <v>0</v>
      </c>
      <c r="O243" s="161">
        <f t="shared" si="88"/>
        <v>0</v>
      </c>
      <c r="P243" s="161">
        <f t="shared" si="88"/>
        <v>0</v>
      </c>
      <c r="Q243" s="161">
        <f t="shared" si="88"/>
        <v>0</v>
      </c>
      <c r="R243" s="161">
        <f t="shared" si="88"/>
        <v>0</v>
      </c>
      <c r="S243" s="161">
        <f t="shared" si="87"/>
        <v>0</v>
      </c>
      <c r="T243" s="161">
        <f t="shared" si="87"/>
        <v>0</v>
      </c>
      <c r="U243" s="161">
        <f t="shared" si="87"/>
        <v>0</v>
      </c>
      <c r="V243" s="161">
        <f t="shared" si="87"/>
        <v>0</v>
      </c>
      <c r="W243" s="161">
        <f t="shared" si="87"/>
        <v>0</v>
      </c>
      <c r="X243" s="161">
        <f t="shared" si="87"/>
        <v>0</v>
      </c>
      <c r="Y243" s="161">
        <f t="shared" si="87"/>
        <v>0</v>
      </c>
      <c r="Z243" s="161">
        <f t="shared" si="87"/>
        <v>0</v>
      </c>
      <c r="AA243" s="161">
        <f t="shared" si="87"/>
        <v>0</v>
      </c>
      <c r="AB243" s="161">
        <f t="shared" si="87"/>
        <v>0</v>
      </c>
      <c r="AC243" s="161">
        <f t="shared" si="87"/>
        <v>0</v>
      </c>
      <c r="AD243" s="161">
        <f t="shared" si="87"/>
        <v>0</v>
      </c>
      <c r="AE243" s="161">
        <f t="shared" si="87"/>
        <v>0</v>
      </c>
      <c r="AF243" s="174">
        <f t="shared" si="8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88"/>
        <v>0</v>
      </c>
      <c r="D244" s="161">
        <f t="shared" si="88"/>
        <v>0</v>
      </c>
      <c r="E244" s="161">
        <f t="shared" si="88"/>
        <v>0</v>
      </c>
      <c r="F244" s="161">
        <f t="shared" si="88"/>
        <v>0</v>
      </c>
      <c r="G244" s="161">
        <f t="shared" si="88"/>
        <v>0</v>
      </c>
      <c r="H244" s="161">
        <f t="shared" si="88"/>
        <v>0</v>
      </c>
      <c r="I244" s="161">
        <f t="shared" si="88"/>
        <v>0</v>
      </c>
      <c r="J244" s="161">
        <f t="shared" si="88"/>
        <v>0</v>
      </c>
      <c r="K244" s="161">
        <f t="shared" si="88"/>
        <v>0</v>
      </c>
      <c r="L244" s="161">
        <f t="shared" si="88"/>
        <v>0</v>
      </c>
      <c r="M244" s="161">
        <f t="shared" si="89"/>
        <v>0</v>
      </c>
      <c r="N244" s="161">
        <f t="shared" si="89"/>
        <v>0</v>
      </c>
      <c r="O244" s="161">
        <f t="shared" si="88"/>
        <v>0</v>
      </c>
      <c r="P244" s="161">
        <f t="shared" si="88"/>
        <v>0</v>
      </c>
      <c r="Q244" s="161">
        <f t="shared" si="88"/>
        <v>0</v>
      </c>
      <c r="R244" s="161">
        <f t="shared" si="88"/>
        <v>0</v>
      </c>
      <c r="S244" s="161">
        <f t="shared" si="87"/>
        <v>0</v>
      </c>
      <c r="T244" s="161">
        <f t="shared" si="87"/>
        <v>0</v>
      </c>
      <c r="U244" s="161">
        <f t="shared" si="87"/>
        <v>0</v>
      </c>
      <c r="V244" s="161">
        <f t="shared" si="87"/>
        <v>0</v>
      </c>
      <c r="W244" s="161">
        <f t="shared" si="87"/>
        <v>0</v>
      </c>
      <c r="X244" s="161">
        <f t="shared" si="87"/>
        <v>0</v>
      </c>
      <c r="Y244" s="161">
        <f t="shared" si="87"/>
        <v>0</v>
      </c>
      <c r="Z244" s="161">
        <f t="shared" si="87"/>
        <v>0</v>
      </c>
      <c r="AA244" s="161">
        <f t="shared" si="87"/>
        <v>0</v>
      </c>
      <c r="AB244" s="161">
        <f t="shared" si="87"/>
        <v>0</v>
      </c>
      <c r="AC244" s="161">
        <f t="shared" si="87"/>
        <v>0</v>
      </c>
      <c r="AD244" s="161">
        <f t="shared" si="87"/>
        <v>0</v>
      </c>
      <c r="AE244" s="161">
        <f t="shared" si="87"/>
        <v>0</v>
      </c>
      <c r="AF244" s="174">
        <f t="shared" si="8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88"/>
        <v>0</v>
      </c>
      <c r="D245" s="161">
        <f t="shared" si="88"/>
        <v>0</v>
      </c>
      <c r="E245" s="161">
        <f t="shared" si="88"/>
        <v>0</v>
      </c>
      <c r="F245" s="161">
        <f t="shared" si="88"/>
        <v>0</v>
      </c>
      <c r="G245" s="161">
        <f t="shared" si="88"/>
        <v>0</v>
      </c>
      <c r="H245" s="161">
        <f t="shared" si="88"/>
        <v>0</v>
      </c>
      <c r="I245" s="161">
        <f t="shared" si="88"/>
        <v>0</v>
      </c>
      <c r="J245" s="161">
        <f t="shared" si="88"/>
        <v>0</v>
      </c>
      <c r="K245" s="161">
        <f t="shared" si="88"/>
        <v>0</v>
      </c>
      <c r="L245" s="161">
        <f t="shared" si="88"/>
        <v>0</v>
      </c>
      <c r="M245" s="161">
        <f t="shared" si="89"/>
        <v>0</v>
      </c>
      <c r="N245" s="161">
        <f t="shared" si="89"/>
        <v>0</v>
      </c>
      <c r="O245" s="161">
        <f t="shared" si="88"/>
        <v>0</v>
      </c>
      <c r="P245" s="161">
        <f t="shared" si="88"/>
        <v>0</v>
      </c>
      <c r="Q245" s="161">
        <f t="shared" si="88"/>
        <v>0</v>
      </c>
      <c r="R245" s="161">
        <f t="shared" si="88"/>
        <v>0</v>
      </c>
      <c r="S245" s="161">
        <f t="shared" si="87"/>
        <v>0</v>
      </c>
      <c r="T245" s="161">
        <f t="shared" si="87"/>
        <v>0</v>
      </c>
      <c r="U245" s="161">
        <f t="shared" si="87"/>
        <v>0</v>
      </c>
      <c r="V245" s="161">
        <f t="shared" si="87"/>
        <v>0</v>
      </c>
      <c r="W245" s="161">
        <f t="shared" si="87"/>
        <v>0</v>
      </c>
      <c r="X245" s="161">
        <f t="shared" si="87"/>
        <v>0</v>
      </c>
      <c r="Y245" s="161">
        <f t="shared" si="87"/>
        <v>0</v>
      </c>
      <c r="Z245" s="161">
        <f t="shared" si="87"/>
        <v>0</v>
      </c>
      <c r="AA245" s="161">
        <f t="shared" si="87"/>
        <v>0</v>
      </c>
      <c r="AB245" s="161">
        <f t="shared" si="87"/>
        <v>0</v>
      </c>
      <c r="AC245" s="161">
        <f t="shared" si="87"/>
        <v>0</v>
      </c>
      <c r="AD245" s="161">
        <f t="shared" si="87"/>
        <v>0</v>
      </c>
      <c r="AE245" s="161">
        <f t="shared" si="87"/>
        <v>0</v>
      </c>
      <c r="AF245" s="174">
        <f t="shared" si="8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88"/>
        <v>0</v>
      </c>
      <c r="D246" s="161">
        <f t="shared" si="88"/>
        <v>0</v>
      </c>
      <c r="E246" s="161">
        <f t="shared" si="88"/>
        <v>0</v>
      </c>
      <c r="F246" s="161">
        <f t="shared" si="88"/>
        <v>0</v>
      </c>
      <c r="G246" s="161">
        <f t="shared" si="88"/>
        <v>0</v>
      </c>
      <c r="H246" s="161">
        <f t="shared" si="88"/>
        <v>0</v>
      </c>
      <c r="I246" s="161">
        <f t="shared" si="88"/>
        <v>0</v>
      </c>
      <c r="J246" s="161">
        <f t="shared" si="88"/>
        <v>0</v>
      </c>
      <c r="K246" s="161">
        <f t="shared" si="88"/>
        <v>0</v>
      </c>
      <c r="L246" s="161">
        <f t="shared" si="88"/>
        <v>0</v>
      </c>
      <c r="M246" s="161">
        <f t="shared" si="89"/>
        <v>0</v>
      </c>
      <c r="N246" s="161">
        <f t="shared" si="89"/>
        <v>0</v>
      </c>
      <c r="O246" s="161">
        <f t="shared" si="88"/>
        <v>0</v>
      </c>
      <c r="P246" s="161">
        <f t="shared" si="88"/>
        <v>0</v>
      </c>
      <c r="Q246" s="161">
        <f t="shared" si="88"/>
        <v>0</v>
      </c>
      <c r="R246" s="161">
        <f t="shared" si="88"/>
        <v>0</v>
      </c>
      <c r="S246" s="161">
        <f t="shared" si="87"/>
        <v>0</v>
      </c>
      <c r="T246" s="161">
        <f t="shared" si="87"/>
        <v>0</v>
      </c>
      <c r="U246" s="161">
        <f t="shared" si="87"/>
        <v>0</v>
      </c>
      <c r="V246" s="161">
        <f t="shared" si="87"/>
        <v>0</v>
      </c>
      <c r="W246" s="161">
        <f t="shared" si="87"/>
        <v>0</v>
      </c>
      <c r="X246" s="161">
        <f t="shared" si="87"/>
        <v>0</v>
      </c>
      <c r="Y246" s="161">
        <f t="shared" si="87"/>
        <v>0</v>
      </c>
      <c r="Z246" s="161">
        <f t="shared" si="87"/>
        <v>0</v>
      </c>
      <c r="AA246" s="161">
        <f t="shared" si="87"/>
        <v>0</v>
      </c>
      <c r="AB246" s="161">
        <f t="shared" si="87"/>
        <v>0</v>
      </c>
      <c r="AC246" s="161">
        <f t="shared" si="87"/>
        <v>0</v>
      </c>
      <c r="AD246" s="161">
        <f t="shared" si="87"/>
        <v>0</v>
      </c>
      <c r="AE246" s="161">
        <f t="shared" si="87"/>
        <v>0</v>
      </c>
      <c r="AF246" s="174">
        <f t="shared" si="8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88"/>
        <v>0</v>
      </c>
      <c r="D247" s="161">
        <f t="shared" si="88"/>
        <v>0</v>
      </c>
      <c r="E247" s="161">
        <f t="shared" si="88"/>
        <v>0</v>
      </c>
      <c r="F247" s="161">
        <f t="shared" si="88"/>
        <v>0</v>
      </c>
      <c r="G247" s="161">
        <f t="shared" si="88"/>
        <v>0</v>
      </c>
      <c r="H247" s="161">
        <f t="shared" si="88"/>
        <v>0</v>
      </c>
      <c r="I247" s="161">
        <f t="shared" si="88"/>
        <v>0</v>
      </c>
      <c r="J247" s="161">
        <f t="shared" si="88"/>
        <v>0</v>
      </c>
      <c r="K247" s="161">
        <f t="shared" si="88"/>
        <v>0</v>
      </c>
      <c r="L247" s="161">
        <f t="shared" si="88"/>
        <v>0</v>
      </c>
      <c r="M247" s="161">
        <f t="shared" si="89"/>
        <v>0</v>
      </c>
      <c r="N247" s="161">
        <f t="shared" si="89"/>
        <v>0</v>
      </c>
      <c r="O247" s="161">
        <f t="shared" si="88"/>
        <v>0</v>
      </c>
      <c r="P247" s="161">
        <f t="shared" si="88"/>
        <v>0</v>
      </c>
      <c r="Q247" s="161">
        <f t="shared" si="88"/>
        <v>0</v>
      </c>
      <c r="R247" s="161">
        <f t="shared" si="88"/>
        <v>0</v>
      </c>
      <c r="S247" s="161">
        <f t="shared" si="87"/>
        <v>0</v>
      </c>
      <c r="T247" s="161">
        <f t="shared" si="87"/>
        <v>0</v>
      </c>
      <c r="U247" s="161">
        <f t="shared" si="87"/>
        <v>0</v>
      </c>
      <c r="V247" s="161">
        <f t="shared" si="87"/>
        <v>0</v>
      </c>
      <c r="W247" s="161">
        <f t="shared" si="87"/>
        <v>0</v>
      </c>
      <c r="X247" s="161">
        <f t="shared" si="87"/>
        <v>0</v>
      </c>
      <c r="Y247" s="161">
        <f t="shared" si="87"/>
        <v>0</v>
      </c>
      <c r="Z247" s="161">
        <f t="shared" si="87"/>
        <v>0</v>
      </c>
      <c r="AA247" s="161">
        <f t="shared" si="87"/>
        <v>0</v>
      </c>
      <c r="AB247" s="161">
        <f t="shared" si="87"/>
        <v>0</v>
      </c>
      <c r="AC247" s="161">
        <f t="shared" si="87"/>
        <v>0</v>
      </c>
      <c r="AD247" s="161">
        <f t="shared" si="87"/>
        <v>0</v>
      </c>
      <c r="AE247" s="161">
        <f t="shared" si="87"/>
        <v>0</v>
      </c>
      <c r="AF247" s="174">
        <f t="shared" si="8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88"/>
        <v>0</v>
      </c>
      <c r="D248" s="161">
        <f t="shared" si="88"/>
        <v>0</v>
      </c>
      <c r="E248" s="161">
        <f t="shared" si="88"/>
        <v>0</v>
      </c>
      <c r="F248" s="161">
        <f t="shared" si="88"/>
        <v>0</v>
      </c>
      <c r="G248" s="161">
        <f t="shared" si="88"/>
        <v>0</v>
      </c>
      <c r="H248" s="161">
        <f t="shared" si="88"/>
        <v>0</v>
      </c>
      <c r="I248" s="161">
        <f t="shared" si="88"/>
        <v>0</v>
      </c>
      <c r="J248" s="161">
        <f t="shared" si="88"/>
        <v>0</v>
      </c>
      <c r="K248" s="161">
        <f t="shared" si="88"/>
        <v>0</v>
      </c>
      <c r="L248" s="161">
        <f t="shared" si="88"/>
        <v>0</v>
      </c>
      <c r="M248" s="161">
        <f t="shared" si="89"/>
        <v>0</v>
      </c>
      <c r="N248" s="161">
        <f t="shared" si="89"/>
        <v>0</v>
      </c>
      <c r="O248" s="161">
        <f t="shared" si="88"/>
        <v>0</v>
      </c>
      <c r="P248" s="161">
        <f t="shared" si="88"/>
        <v>0</v>
      </c>
      <c r="Q248" s="161">
        <f t="shared" si="88"/>
        <v>0</v>
      </c>
      <c r="R248" s="161">
        <f t="shared" ref="R248:AF263" si="90">Q248</f>
        <v>0</v>
      </c>
      <c r="S248" s="161">
        <f t="shared" si="90"/>
        <v>0</v>
      </c>
      <c r="T248" s="161">
        <f t="shared" si="90"/>
        <v>0</v>
      </c>
      <c r="U248" s="161">
        <f t="shared" si="90"/>
        <v>0</v>
      </c>
      <c r="V248" s="161">
        <f t="shared" si="90"/>
        <v>0</v>
      </c>
      <c r="W248" s="161">
        <f t="shared" si="90"/>
        <v>0</v>
      </c>
      <c r="X248" s="161">
        <f t="shared" si="90"/>
        <v>0</v>
      </c>
      <c r="Y248" s="161">
        <f t="shared" si="90"/>
        <v>0</v>
      </c>
      <c r="Z248" s="161">
        <f t="shared" si="90"/>
        <v>0</v>
      </c>
      <c r="AA248" s="161">
        <f t="shared" si="90"/>
        <v>0</v>
      </c>
      <c r="AB248" s="161">
        <f t="shared" si="90"/>
        <v>0</v>
      </c>
      <c r="AC248" s="161">
        <f t="shared" si="90"/>
        <v>0</v>
      </c>
      <c r="AD248" s="161">
        <f t="shared" si="90"/>
        <v>0</v>
      </c>
      <c r="AE248" s="161">
        <f t="shared" si="90"/>
        <v>0</v>
      </c>
      <c r="AF248" s="174">
        <f t="shared" si="9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91">B249</f>
        <v>0</v>
      </c>
      <c r="D249" s="161">
        <f t="shared" si="91"/>
        <v>0</v>
      </c>
      <c r="E249" s="161">
        <f t="shared" si="91"/>
        <v>0</v>
      </c>
      <c r="F249" s="161">
        <f t="shared" si="91"/>
        <v>0</v>
      </c>
      <c r="G249" s="161">
        <f t="shared" si="91"/>
        <v>0</v>
      </c>
      <c r="H249" s="161">
        <f t="shared" si="91"/>
        <v>0</v>
      </c>
      <c r="I249" s="161">
        <f t="shared" si="91"/>
        <v>0</v>
      </c>
      <c r="J249" s="161">
        <f t="shared" si="91"/>
        <v>0</v>
      </c>
      <c r="K249" s="161">
        <f t="shared" si="91"/>
        <v>0</v>
      </c>
      <c r="L249" s="161">
        <f t="shared" si="91"/>
        <v>0</v>
      </c>
      <c r="M249" s="161">
        <f t="shared" si="89"/>
        <v>0</v>
      </c>
      <c r="N249" s="161">
        <f t="shared" si="89"/>
        <v>0</v>
      </c>
      <c r="O249" s="161">
        <f t="shared" si="91"/>
        <v>0</v>
      </c>
      <c r="P249" s="161">
        <f t="shared" si="91"/>
        <v>0</v>
      </c>
      <c r="Q249" s="161">
        <f t="shared" si="91"/>
        <v>0</v>
      </c>
      <c r="R249" s="161">
        <f t="shared" si="90"/>
        <v>0</v>
      </c>
      <c r="S249" s="161">
        <f t="shared" si="90"/>
        <v>0</v>
      </c>
      <c r="T249" s="161">
        <f t="shared" si="90"/>
        <v>0</v>
      </c>
      <c r="U249" s="161">
        <f t="shared" si="90"/>
        <v>0</v>
      </c>
      <c r="V249" s="161">
        <f t="shared" si="90"/>
        <v>0</v>
      </c>
      <c r="W249" s="161">
        <f t="shared" si="90"/>
        <v>0</v>
      </c>
      <c r="X249" s="161">
        <f t="shared" si="90"/>
        <v>0</v>
      </c>
      <c r="Y249" s="161">
        <f t="shared" si="90"/>
        <v>0</v>
      </c>
      <c r="Z249" s="161">
        <f t="shared" si="90"/>
        <v>0</v>
      </c>
      <c r="AA249" s="161">
        <f t="shared" si="90"/>
        <v>0</v>
      </c>
      <c r="AB249" s="161">
        <f t="shared" si="90"/>
        <v>0</v>
      </c>
      <c r="AC249" s="161">
        <f t="shared" si="90"/>
        <v>0</v>
      </c>
      <c r="AD249" s="161">
        <f t="shared" si="90"/>
        <v>0</v>
      </c>
      <c r="AE249" s="161">
        <f t="shared" si="90"/>
        <v>0</v>
      </c>
      <c r="AF249" s="174">
        <f t="shared" si="9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91"/>
        <v>0</v>
      </c>
      <c r="D250" s="161">
        <f t="shared" si="91"/>
        <v>0</v>
      </c>
      <c r="E250" s="161">
        <f t="shared" si="91"/>
        <v>0</v>
      </c>
      <c r="F250" s="161">
        <f t="shared" si="91"/>
        <v>0</v>
      </c>
      <c r="G250" s="161">
        <f t="shared" si="91"/>
        <v>0</v>
      </c>
      <c r="H250" s="161">
        <f t="shared" si="91"/>
        <v>0</v>
      </c>
      <c r="I250" s="161">
        <f t="shared" si="91"/>
        <v>0</v>
      </c>
      <c r="J250" s="161">
        <f t="shared" si="91"/>
        <v>0</v>
      </c>
      <c r="K250" s="161">
        <f t="shared" si="91"/>
        <v>0</v>
      </c>
      <c r="L250" s="161">
        <f t="shared" si="91"/>
        <v>0</v>
      </c>
      <c r="M250" s="161">
        <f t="shared" si="89"/>
        <v>0</v>
      </c>
      <c r="N250" s="161">
        <f t="shared" si="89"/>
        <v>0</v>
      </c>
      <c r="O250" s="161">
        <f t="shared" si="91"/>
        <v>0</v>
      </c>
      <c r="P250" s="161">
        <f t="shared" si="91"/>
        <v>0</v>
      </c>
      <c r="Q250" s="161">
        <f t="shared" si="91"/>
        <v>0</v>
      </c>
      <c r="R250" s="161">
        <f t="shared" si="91"/>
        <v>0</v>
      </c>
      <c r="S250" s="161">
        <f t="shared" si="90"/>
        <v>0</v>
      </c>
      <c r="T250" s="161">
        <f t="shared" si="90"/>
        <v>0</v>
      </c>
      <c r="U250" s="161">
        <f t="shared" si="90"/>
        <v>0</v>
      </c>
      <c r="V250" s="161">
        <f t="shared" si="90"/>
        <v>0</v>
      </c>
      <c r="W250" s="161">
        <f t="shared" si="90"/>
        <v>0</v>
      </c>
      <c r="X250" s="161">
        <f t="shared" si="90"/>
        <v>0</v>
      </c>
      <c r="Y250" s="161">
        <f t="shared" si="90"/>
        <v>0</v>
      </c>
      <c r="Z250" s="161">
        <f t="shared" si="90"/>
        <v>0</v>
      </c>
      <c r="AA250" s="161">
        <f t="shared" si="90"/>
        <v>0</v>
      </c>
      <c r="AB250" s="161">
        <f t="shared" si="90"/>
        <v>0</v>
      </c>
      <c r="AC250" s="161">
        <f t="shared" si="90"/>
        <v>0</v>
      </c>
      <c r="AD250" s="161">
        <f t="shared" si="90"/>
        <v>0</v>
      </c>
      <c r="AE250" s="161">
        <f t="shared" si="90"/>
        <v>0</v>
      </c>
      <c r="AF250" s="174">
        <f t="shared" si="9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91"/>
        <v>0</v>
      </c>
      <c r="D251" s="161">
        <f t="shared" si="91"/>
        <v>0</v>
      </c>
      <c r="E251" s="161">
        <f t="shared" si="91"/>
        <v>0</v>
      </c>
      <c r="F251" s="161">
        <f t="shared" si="91"/>
        <v>0</v>
      </c>
      <c r="G251" s="161">
        <f t="shared" si="91"/>
        <v>0</v>
      </c>
      <c r="H251" s="161">
        <f t="shared" si="91"/>
        <v>0</v>
      </c>
      <c r="I251" s="161">
        <f t="shared" si="91"/>
        <v>0</v>
      </c>
      <c r="J251" s="161">
        <f t="shared" si="91"/>
        <v>0</v>
      </c>
      <c r="K251" s="161">
        <f t="shared" si="91"/>
        <v>0</v>
      </c>
      <c r="L251" s="161">
        <f t="shared" si="91"/>
        <v>0</v>
      </c>
      <c r="M251" s="161">
        <f t="shared" si="89"/>
        <v>0</v>
      </c>
      <c r="N251" s="161">
        <f t="shared" si="89"/>
        <v>0</v>
      </c>
      <c r="O251" s="161">
        <f t="shared" si="91"/>
        <v>0</v>
      </c>
      <c r="P251" s="161">
        <f t="shared" si="91"/>
        <v>0</v>
      </c>
      <c r="Q251" s="161">
        <f t="shared" si="91"/>
        <v>0</v>
      </c>
      <c r="R251" s="161">
        <f t="shared" si="91"/>
        <v>0</v>
      </c>
      <c r="S251" s="161">
        <f t="shared" si="90"/>
        <v>0</v>
      </c>
      <c r="T251" s="161">
        <f t="shared" si="90"/>
        <v>0</v>
      </c>
      <c r="U251" s="161">
        <f t="shared" si="90"/>
        <v>0</v>
      </c>
      <c r="V251" s="161">
        <f t="shared" si="90"/>
        <v>0</v>
      </c>
      <c r="W251" s="161">
        <f t="shared" si="90"/>
        <v>0</v>
      </c>
      <c r="X251" s="161">
        <f t="shared" si="90"/>
        <v>0</v>
      </c>
      <c r="Y251" s="161">
        <f t="shared" si="90"/>
        <v>0</v>
      </c>
      <c r="Z251" s="161">
        <f t="shared" si="90"/>
        <v>0</v>
      </c>
      <c r="AA251" s="161">
        <f t="shared" si="90"/>
        <v>0</v>
      </c>
      <c r="AB251" s="161">
        <f t="shared" si="90"/>
        <v>0</v>
      </c>
      <c r="AC251" s="161">
        <f t="shared" si="90"/>
        <v>0</v>
      </c>
      <c r="AD251" s="161">
        <f t="shared" si="90"/>
        <v>0</v>
      </c>
      <c r="AE251" s="161">
        <f t="shared" si="90"/>
        <v>0</v>
      </c>
      <c r="AF251" s="174">
        <f t="shared" si="9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91"/>
        <v>0</v>
      </c>
      <c r="D252" s="161">
        <f t="shared" si="91"/>
        <v>0</v>
      </c>
      <c r="E252" s="161">
        <f t="shared" si="91"/>
        <v>0</v>
      </c>
      <c r="F252" s="161">
        <f t="shared" si="91"/>
        <v>0</v>
      </c>
      <c r="G252" s="161">
        <f t="shared" si="91"/>
        <v>0</v>
      </c>
      <c r="H252" s="161">
        <f t="shared" si="91"/>
        <v>0</v>
      </c>
      <c r="I252" s="161">
        <f t="shared" si="91"/>
        <v>0</v>
      </c>
      <c r="J252" s="161">
        <f t="shared" si="91"/>
        <v>0</v>
      </c>
      <c r="K252" s="161">
        <f t="shared" si="91"/>
        <v>0</v>
      </c>
      <c r="L252" s="161">
        <f t="shared" si="91"/>
        <v>0</v>
      </c>
      <c r="M252" s="161">
        <f t="shared" si="89"/>
        <v>0</v>
      </c>
      <c r="N252" s="161">
        <f t="shared" si="89"/>
        <v>0</v>
      </c>
      <c r="O252" s="161">
        <f t="shared" si="91"/>
        <v>0</v>
      </c>
      <c r="P252" s="161">
        <f t="shared" si="91"/>
        <v>0</v>
      </c>
      <c r="Q252" s="161">
        <f t="shared" si="91"/>
        <v>0</v>
      </c>
      <c r="R252" s="161">
        <f t="shared" si="91"/>
        <v>0</v>
      </c>
      <c r="S252" s="161">
        <f t="shared" si="90"/>
        <v>0</v>
      </c>
      <c r="T252" s="161">
        <f t="shared" si="90"/>
        <v>0</v>
      </c>
      <c r="U252" s="161">
        <f t="shared" si="90"/>
        <v>0</v>
      </c>
      <c r="V252" s="161">
        <f t="shared" si="90"/>
        <v>0</v>
      </c>
      <c r="W252" s="161">
        <f t="shared" si="90"/>
        <v>0</v>
      </c>
      <c r="X252" s="161">
        <f t="shared" si="90"/>
        <v>0</v>
      </c>
      <c r="Y252" s="161">
        <f t="shared" si="90"/>
        <v>0</v>
      </c>
      <c r="Z252" s="161">
        <f t="shared" si="90"/>
        <v>0</v>
      </c>
      <c r="AA252" s="161">
        <f t="shared" si="90"/>
        <v>0</v>
      </c>
      <c r="AB252" s="161">
        <f t="shared" si="90"/>
        <v>0</v>
      </c>
      <c r="AC252" s="161">
        <f t="shared" si="90"/>
        <v>0</v>
      </c>
      <c r="AD252" s="161">
        <f t="shared" si="90"/>
        <v>0</v>
      </c>
      <c r="AE252" s="161">
        <f t="shared" si="90"/>
        <v>0</v>
      </c>
      <c r="AF252" s="174">
        <f t="shared" si="9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91"/>
        <v>0</v>
      </c>
      <c r="D253" s="161">
        <f t="shared" si="91"/>
        <v>0</v>
      </c>
      <c r="E253" s="161">
        <f t="shared" si="91"/>
        <v>0</v>
      </c>
      <c r="F253" s="161">
        <f t="shared" si="91"/>
        <v>0</v>
      </c>
      <c r="G253" s="161">
        <f t="shared" si="91"/>
        <v>0</v>
      </c>
      <c r="H253" s="161">
        <f t="shared" si="91"/>
        <v>0</v>
      </c>
      <c r="I253" s="161">
        <f t="shared" si="91"/>
        <v>0</v>
      </c>
      <c r="J253" s="161">
        <f t="shared" si="91"/>
        <v>0</v>
      </c>
      <c r="K253" s="161">
        <f t="shared" si="91"/>
        <v>0</v>
      </c>
      <c r="L253" s="161">
        <f t="shared" si="91"/>
        <v>0</v>
      </c>
      <c r="M253" s="161">
        <f t="shared" si="89"/>
        <v>0</v>
      </c>
      <c r="N253" s="161">
        <f t="shared" si="89"/>
        <v>0</v>
      </c>
      <c r="O253" s="161">
        <f t="shared" si="91"/>
        <v>0</v>
      </c>
      <c r="P253" s="161">
        <f t="shared" si="91"/>
        <v>0</v>
      </c>
      <c r="Q253" s="161">
        <f t="shared" si="91"/>
        <v>0</v>
      </c>
      <c r="R253" s="161">
        <f t="shared" si="91"/>
        <v>0</v>
      </c>
      <c r="S253" s="161">
        <f t="shared" si="90"/>
        <v>0</v>
      </c>
      <c r="T253" s="161">
        <f t="shared" si="90"/>
        <v>0</v>
      </c>
      <c r="U253" s="161">
        <f t="shared" si="90"/>
        <v>0</v>
      </c>
      <c r="V253" s="161">
        <f t="shared" si="90"/>
        <v>0</v>
      </c>
      <c r="W253" s="161">
        <f t="shared" si="90"/>
        <v>0</v>
      </c>
      <c r="X253" s="161">
        <f t="shared" si="90"/>
        <v>0</v>
      </c>
      <c r="Y253" s="161">
        <f t="shared" si="90"/>
        <v>0</v>
      </c>
      <c r="Z253" s="161">
        <f t="shared" si="90"/>
        <v>0</v>
      </c>
      <c r="AA253" s="161">
        <f t="shared" si="90"/>
        <v>0</v>
      </c>
      <c r="AB253" s="161">
        <f t="shared" si="90"/>
        <v>0</v>
      </c>
      <c r="AC253" s="161">
        <f t="shared" si="90"/>
        <v>0</v>
      </c>
      <c r="AD253" s="161">
        <f t="shared" si="90"/>
        <v>0</v>
      </c>
      <c r="AE253" s="161">
        <f t="shared" si="90"/>
        <v>0</v>
      </c>
      <c r="AF253" s="174">
        <f t="shared" si="9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91"/>
        <v>0</v>
      </c>
      <c r="D254" s="161">
        <f t="shared" si="91"/>
        <v>0</v>
      </c>
      <c r="E254" s="161">
        <f t="shared" si="91"/>
        <v>0</v>
      </c>
      <c r="F254" s="161">
        <f t="shared" si="91"/>
        <v>0</v>
      </c>
      <c r="G254" s="161">
        <f t="shared" si="91"/>
        <v>0</v>
      </c>
      <c r="H254" s="161">
        <f t="shared" si="91"/>
        <v>0</v>
      </c>
      <c r="I254" s="161">
        <f t="shared" si="91"/>
        <v>0</v>
      </c>
      <c r="J254" s="161">
        <f t="shared" si="91"/>
        <v>0</v>
      </c>
      <c r="K254" s="161">
        <f t="shared" si="91"/>
        <v>0</v>
      </c>
      <c r="L254" s="161">
        <f t="shared" si="91"/>
        <v>0</v>
      </c>
      <c r="M254" s="161">
        <f t="shared" si="89"/>
        <v>0</v>
      </c>
      <c r="N254" s="161">
        <f t="shared" si="89"/>
        <v>0</v>
      </c>
      <c r="O254" s="161">
        <f t="shared" si="91"/>
        <v>0</v>
      </c>
      <c r="P254" s="161">
        <f t="shared" si="91"/>
        <v>0</v>
      </c>
      <c r="Q254" s="161">
        <f t="shared" si="91"/>
        <v>0</v>
      </c>
      <c r="R254" s="161">
        <f t="shared" si="91"/>
        <v>0</v>
      </c>
      <c r="S254" s="161">
        <f t="shared" si="90"/>
        <v>0</v>
      </c>
      <c r="T254" s="161">
        <f t="shared" si="90"/>
        <v>0</v>
      </c>
      <c r="U254" s="161">
        <f t="shared" si="90"/>
        <v>0</v>
      </c>
      <c r="V254" s="161">
        <f t="shared" si="90"/>
        <v>0</v>
      </c>
      <c r="W254" s="161">
        <f t="shared" si="90"/>
        <v>0</v>
      </c>
      <c r="X254" s="161">
        <f t="shared" si="90"/>
        <v>0</v>
      </c>
      <c r="Y254" s="161">
        <f t="shared" si="90"/>
        <v>0</v>
      </c>
      <c r="Z254" s="161">
        <f t="shared" si="90"/>
        <v>0</v>
      </c>
      <c r="AA254" s="161">
        <f t="shared" si="90"/>
        <v>0</v>
      </c>
      <c r="AB254" s="161">
        <f t="shared" si="90"/>
        <v>0</v>
      </c>
      <c r="AC254" s="161">
        <f t="shared" si="90"/>
        <v>0</v>
      </c>
      <c r="AD254" s="161">
        <f t="shared" si="90"/>
        <v>0</v>
      </c>
      <c r="AE254" s="161">
        <f t="shared" si="90"/>
        <v>0</v>
      </c>
      <c r="AF254" s="174">
        <f t="shared" si="9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91"/>
        <v>0</v>
      </c>
      <c r="D255" s="161">
        <f t="shared" si="91"/>
        <v>0</v>
      </c>
      <c r="E255" s="161">
        <f t="shared" si="91"/>
        <v>0</v>
      </c>
      <c r="F255" s="161">
        <f t="shared" si="91"/>
        <v>0</v>
      </c>
      <c r="G255" s="161">
        <f t="shared" si="91"/>
        <v>0</v>
      </c>
      <c r="H255" s="161">
        <f t="shared" si="91"/>
        <v>0</v>
      </c>
      <c r="I255" s="161">
        <f t="shared" si="91"/>
        <v>0</v>
      </c>
      <c r="J255" s="161">
        <f t="shared" si="91"/>
        <v>0</v>
      </c>
      <c r="K255" s="161">
        <f t="shared" si="91"/>
        <v>0</v>
      </c>
      <c r="L255" s="161">
        <f t="shared" si="91"/>
        <v>0</v>
      </c>
      <c r="M255" s="161">
        <f t="shared" si="89"/>
        <v>0</v>
      </c>
      <c r="N255" s="161">
        <f t="shared" si="89"/>
        <v>0</v>
      </c>
      <c r="O255" s="161">
        <f t="shared" si="91"/>
        <v>0</v>
      </c>
      <c r="P255" s="161">
        <f t="shared" si="91"/>
        <v>0</v>
      </c>
      <c r="Q255" s="161">
        <f t="shared" si="91"/>
        <v>0</v>
      </c>
      <c r="R255" s="161">
        <f t="shared" si="91"/>
        <v>0</v>
      </c>
      <c r="S255" s="161">
        <f t="shared" si="90"/>
        <v>0</v>
      </c>
      <c r="T255" s="161">
        <f t="shared" si="90"/>
        <v>0</v>
      </c>
      <c r="U255" s="161">
        <f t="shared" si="90"/>
        <v>0</v>
      </c>
      <c r="V255" s="161">
        <f t="shared" si="90"/>
        <v>0</v>
      </c>
      <c r="W255" s="161">
        <f t="shared" si="90"/>
        <v>0</v>
      </c>
      <c r="X255" s="161">
        <f t="shared" si="90"/>
        <v>0</v>
      </c>
      <c r="Y255" s="161">
        <f t="shared" si="90"/>
        <v>0</v>
      </c>
      <c r="Z255" s="161">
        <f t="shared" si="90"/>
        <v>0</v>
      </c>
      <c r="AA255" s="161">
        <f t="shared" si="90"/>
        <v>0</v>
      </c>
      <c r="AB255" s="161">
        <f t="shared" si="90"/>
        <v>0</v>
      </c>
      <c r="AC255" s="161">
        <f t="shared" si="90"/>
        <v>0</v>
      </c>
      <c r="AD255" s="161">
        <f t="shared" si="90"/>
        <v>0</v>
      </c>
      <c r="AE255" s="161">
        <f t="shared" si="90"/>
        <v>0</v>
      </c>
      <c r="AF255" s="174">
        <f t="shared" si="9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91"/>
        <v>0</v>
      </c>
      <c r="D256" s="161">
        <f t="shared" si="91"/>
        <v>0</v>
      </c>
      <c r="E256" s="161">
        <f t="shared" si="91"/>
        <v>0</v>
      </c>
      <c r="F256" s="161">
        <f t="shared" si="91"/>
        <v>0</v>
      </c>
      <c r="G256" s="161">
        <f t="shared" si="91"/>
        <v>0</v>
      </c>
      <c r="H256" s="161">
        <f t="shared" si="91"/>
        <v>0</v>
      </c>
      <c r="I256" s="161">
        <f t="shared" si="91"/>
        <v>0</v>
      </c>
      <c r="J256" s="161">
        <f t="shared" si="91"/>
        <v>0</v>
      </c>
      <c r="K256" s="161">
        <f t="shared" si="91"/>
        <v>0</v>
      </c>
      <c r="L256" s="161">
        <f t="shared" si="91"/>
        <v>0</v>
      </c>
      <c r="M256" s="161">
        <f t="shared" si="89"/>
        <v>0</v>
      </c>
      <c r="N256" s="161">
        <f t="shared" si="89"/>
        <v>0</v>
      </c>
      <c r="O256" s="161">
        <f t="shared" si="91"/>
        <v>0</v>
      </c>
      <c r="P256" s="161">
        <f t="shared" si="91"/>
        <v>0</v>
      </c>
      <c r="Q256" s="161">
        <f t="shared" si="91"/>
        <v>0</v>
      </c>
      <c r="R256" s="161">
        <f t="shared" si="91"/>
        <v>0</v>
      </c>
      <c r="S256" s="161">
        <f t="shared" si="90"/>
        <v>0</v>
      </c>
      <c r="T256" s="161">
        <f t="shared" si="90"/>
        <v>0</v>
      </c>
      <c r="U256" s="161">
        <f t="shared" si="90"/>
        <v>0</v>
      </c>
      <c r="V256" s="161">
        <f t="shared" si="90"/>
        <v>0</v>
      </c>
      <c r="W256" s="161">
        <f t="shared" si="90"/>
        <v>0</v>
      </c>
      <c r="X256" s="161">
        <f t="shared" si="90"/>
        <v>0</v>
      </c>
      <c r="Y256" s="161">
        <f t="shared" si="90"/>
        <v>0</v>
      </c>
      <c r="Z256" s="161">
        <f t="shared" si="90"/>
        <v>0</v>
      </c>
      <c r="AA256" s="161">
        <f t="shared" si="90"/>
        <v>0</v>
      </c>
      <c r="AB256" s="161">
        <f t="shared" si="90"/>
        <v>0</v>
      </c>
      <c r="AC256" s="161">
        <f t="shared" si="90"/>
        <v>0</v>
      </c>
      <c r="AD256" s="161">
        <f t="shared" si="90"/>
        <v>0</v>
      </c>
      <c r="AE256" s="161">
        <f t="shared" si="90"/>
        <v>0</v>
      </c>
      <c r="AF256" s="174">
        <f t="shared" si="9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91"/>
        <v>0</v>
      </c>
      <c r="D257" s="161">
        <f t="shared" si="91"/>
        <v>0</v>
      </c>
      <c r="E257" s="161">
        <f t="shared" si="91"/>
        <v>0</v>
      </c>
      <c r="F257" s="161">
        <f t="shared" si="91"/>
        <v>0</v>
      </c>
      <c r="G257" s="161">
        <f t="shared" si="91"/>
        <v>0</v>
      </c>
      <c r="H257" s="161">
        <f t="shared" si="91"/>
        <v>0</v>
      </c>
      <c r="I257" s="161">
        <f t="shared" si="91"/>
        <v>0</v>
      </c>
      <c r="J257" s="161">
        <f t="shared" si="91"/>
        <v>0</v>
      </c>
      <c r="K257" s="161">
        <f t="shared" si="91"/>
        <v>0</v>
      </c>
      <c r="L257" s="161">
        <f t="shared" si="91"/>
        <v>0</v>
      </c>
      <c r="M257" s="161">
        <f t="shared" si="89"/>
        <v>0</v>
      </c>
      <c r="N257" s="161">
        <f t="shared" si="89"/>
        <v>0</v>
      </c>
      <c r="O257" s="161">
        <f t="shared" si="91"/>
        <v>0</v>
      </c>
      <c r="P257" s="161">
        <f t="shared" si="91"/>
        <v>0</v>
      </c>
      <c r="Q257" s="161">
        <f t="shared" si="91"/>
        <v>0</v>
      </c>
      <c r="R257" s="161">
        <f t="shared" si="91"/>
        <v>0</v>
      </c>
      <c r="S257" s="161">
        <f t="shared" si="90"/>
        <v>0</v>
      </c>
      <c r="T257" s="161">
        <f t="shared" si="90"/>
        <v>0</v>
      </c>
      <c r="U257" s="161">
        <f t="shared" si="90"/>
        <v>0</v>
      </c>
      <c r="V257" s="161">
        <f t="shared" si="90"/>
        <v>0</v>
      </c>
      <c r="W257" s="161">
        <f t="shared" si="90"/>
        <v>0</v>
      </c>
      <c r="X257" s="161">
        <f t="shared" si="90"/>
        <v>0</v>
      </c>
      <c r="Y257" s="161">
        <f t="shared" si="90"/>
        <v>0</v>
      </c>
      <c r="Z257" s="161">
        <f t="shared" si="90"/>
        <v>0</v>
      </c>
      <c r="AA257" s="161">
        <f t="shared" si="90"/>
        <v>0</v>
      </c>
      <c r="AB257" s="161">
        <f t="shared" si="90"/>
        <v>0</v>
      </c>
      <c r="AC257" s="161">
        <f t="shared" si="90"/>
        <v>0</v>
      </c>
      <c r="AD257" s="161">
        <f t="shared" si="90"/>
        <v>0</v>
      </c>
      <c r="AE257" s="161">
        <f t="shared" si="90"/>
        <v>0</v>
      </c>
      <c r="AF257" s="174">
        <f t="shared" si="9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91"/>
        <v>0</v>
      </c>
      <c r="D258" s="161">
        <f t="shared" si="91"/>
        <v>0</v>
      </c>
      <c r="E258" s="161">
        <f t="shared" si="91"/>
        <v>0</v>
      </c>
      <c r="F258" s="161">
        <f t="shared" si="91"/>
        <v>0</v>
      </c>
      <c r="G258" s="161">
        <f t="shared" si="91"/>
        <v>0</v>
      </c>
      <c r="H258" s="161">
        <f t="shared" si="91"/>
        <v>0</v>
      </c>
      <c r="I258" s="161">
        <f t="shared" si="91"/>
        <v>0</v>
      </c>
      <c r="J258" s="161">
        <f t="shared" si="91"/>
        <v>0</v>
      </c>
      <c r="K258" s="161">
        <f t="shared" si="91"/>
        <v>0</v>
      </c>
      <c r="L258" s="161">
        <f t="shared" si="91"/>
        <v>0</v>
      </c>
      <c r="M258" s="161">
        <f t="shared" si="89"/>
        <v>0</v>
      </c>
      <c r="N258" s="161">
        <f t="shared" si="89"/>
        <v>0</v>
      </c>
      <c r="O258" s="161">
        <f t="shared" si="91"/>
        <v>0</v>
      </c>
      <c r="P258" s="161">
        <f t="shared" si="91"/>
        <v>0</v>
      </c>
      <c r="Q258" s="161">
        <f t="shared" si="91"/>
        <v>0</v>
      </c>
      <c r="R258" s="161">
        <f t="shared" si="91"/>
        <v>0</v>
      </c>
      <c r="S258" s="161">
        <f t="shared" si="90"/>
        <v>0</v>
      </c>
      <c r="T258" s="161">
        <f t="shared" si="90"/>
        <v>0</v>
      </c>
      <c r="U258" s="161">
        <f t="shared" si="90"/>
        <v>0</v>
      </c>
      <c r="V258" s="161">
        <f t="shared" si="90"/>
        <v>0</v>
      </c>
      <c r="W258" s="161">
        <f t="shared" si="90"/>
        <v>0</v>
      </c>
      <c r="X258" s="161">
        <f t="shared" si="90"/>
        <v>0</v>
      </c>
      <c r="Y258" s="161">
        <f t="shared" si="90"/>
        <v>0</v>
      </c>
      <c r="Z258" s="161">
        <f t="shared" si="90"/>
        <v>0</v>
      </c>
      <c r="AA258" s="161">
        <f t="shared" si="90"/>
        <v>0</v>
      </c>
      <c r="AB258" s="161">
        <f t="shared" si="90"/>
        <v>0</v>
      </c>
      <c r="AC258" s="161">
        <f t="shared" si="90"/>
        <v>0</v>
      </c>
      <c r="AD258" s="161">
        <f t="shared" si="90"/>
        <v>0</v>
      </c>
      <c r="AE258" s="161">
        <f t="shared" si="90"/>
        <v>0</v>
      </c>
      <c r="AF258" s="174">
        <f t="shared" si="9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91"/>
        <v>0</v>
      </c>
      <c r="D259" s="161">
        <f t="shared" si="91"/>
        <v>0</v>
      </c>
      <c r="E259" s="161">
        <f t="shared" si="91"/>
        <v>0</v>
      </c>
      <c r="F259" s="161">
        <f t="shared" si="91"/>
        <v>0</v>
      </c>
      <c r="G259" s="161">
        <f t="shared" si="91"/>
        <v>0</v>
      </c>
      <c r="H259" s="161">
        <f t="shared" si="91"/>
        <v>0</v>
      </c>
      <c r="I259" s="161">
        <f t="shared" si="91"/>
        <v>0</v>
      </c>
      <c r="J259" s="161">
        <f t="shared" si="91"/>
        <v>0</v>
      </c>
      <c r="K259" s="161">
        <f t="shared" si="91"/>
        <v>0</v>
      </c>
      <c r="L259" s="161">
        <f t="shared" si="91"/>
        <v>0</v>
      </c>
      <c r="M259" s="161">
        <f t="shared" si="89"/>
        <v>0</v>
      </c>
      <c r="N259" s="161">
        <f t="shared" si="89"/>
        <v>0</v>
      </c>
      <c r="O259" s="161">
        <f t="shared" si="91"/>
        <v>0</v>
      </c>
      <c r="P259" s="161">
        <f t="shared" si="91"/>
        <v>0</v>
      </c>
      <c r="Q259" s="161">
        <f t="shared" si="91"/>
        <v>0</v>
      </c>
      <c r="R259" s="161">
        <f t="shared" si="91"/>
        <v>0</v>
      </c>
      <c r="S259" s="161">
        <f t="shared" si="90"/>
        <v>0</v>
      </c>
      <c r="T259" s="161">
        <f t="shared" si="90"/>
        <v>0</v>
      </c>
      <c r="U259" s="161">
        <f t="shared" si="90"/>
        <v>0</v>
      </c>
      <c r="V259" s="161">
        <f t="shared" si="90"/>
        <v>0</v>
      </c>
      <c r="W259" s="161">
        <f t="shared" si="90"/>
        <v>0</v>
      </c>
      <c r="X259" s="161">
        <f t="shared" si="90"/>
        <v>0</v>
      </c>
      <c r="Y259" s="161">
        <f t="shared" si="90"/>
        <v>0</v>
      </c>
      <c r="Z259" s="161">
        <f t="shared" si="90"/>
        <v>0</v>
      </c>
      <c r="AA259" s="161">
        <f t="shared" si="90"/>
        <v>0</v>
      </c>
      <c r="AB259" s="161">
        <f t="shared" si="90"/>
        <v>0</v>
      </c>
      <c r="AC259" s="161">
        <f t="shared" si="90"/>
        <v>0</v>
      </c>
      <c r="AD259" s="161">
        <f t="shared" si="90"/>
        <v>0</v>
      </c>
      <c r="AE259" s="161">
        <f t="shared" si="90"/>
        <v>0</v>
      </c>
      <c r="AF259" s="174">
        <f t="shared" si="9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91"/>
        <v>0</v>
      </c>
      <c r="D260" s="161">
        <f t="shared" si="91"/>
        <v>0</v>
      </c>
      <c r="E260" s="161">
        <f t="shared" si="91"/>
        <v>0</v>
      </c>
      <c r="F260" s="161">
        <f t="shared" si="91"/>
        <v>0</v>
      </c>
      <c r="G260" s="161">
        <f t="shared" si="91"/>
        <v>0</v>
      </c>
      <c r="H260" s="161">
        <f t="shared" si="91"/>
        <v>0</v>
      </c>
      <c r="I260" s="161">
        <f t="shared" si="91"/>
        <v>0</v>
      </c>
      <c r="J260" s="161">
        <f t="shared" si="91"/>
        <v>0</v>
      </c>
      <c r="K260" s="161">
        <f t="shared" si="91"/>
        <v>0</v>
      </c>
      <c r="L260" s="161">
        <f t="shared" si="91"/>
        <v>0</v>
      </c>
      <c r="M260" s="161">
        <f t="shared" si="89"/>
        <v>0</v>
      </c>
      <c r="N260" s="161">
        <f t="shared" si="89"/>
        <v>0</v>
      </c>
      <c r="O260" s="161">
        <f t="shared" si="91"/>
        <v>0</v>
      </c>
      <c r="P260" s="161">
        <f t="shared" si="91"/>
        <v>0</v>
      </c>
      <c r="Q260" s="161">
        <f t="shared" si="91"/>
        <v>0</v>
      </c>
      <c r="R260" s="161">
        <f t="shared" si="91"/>
        <v>0</v>
      </c>
      <c r="S260" s="161">
        <f t="shared" si="90"/>
        <v>0</v>
      </c>
      <c r="T260" s="161">
        <f t="shared" si="90"/>
        <v>0</v>
      </c>
      <c r="U260" s="161">
        <f t="shared" si="90"/>
        <v>0</v>
      </c>
      <c r="V260" s="161">
        <f t="shared" si="90"/>
        <v>0</v>
      </c>
      <c r="W260" s="161">
        <f t="shared" si="90"/>
        <v>0</v>
      </c>
      <c r="X260" s="161">
        <f t="shared" si="90"/>
        <v>0</v>
      </c>
      <c r="Y260" s="161">
        <f t="shared" si="90"/>
        <v>0</v>
      </c>
      <c r="Z260" s="161">
        <f t="shared" si="90"/>
        <v>0</v>
      </c>
      <c r="AA260" s="161">
        <f t="shared" si="90"/>
        <v>0</v>
      </c>
      <c r="AB260" s="161">
        <f t="shared" si="90"/>
        <v>0</v>
      </c>
      <c r="AC260" s="161">
        <f t="shared" si="90"/>
        <v>0</v>
      </c>
      <c r="AD260" s="161">
        <f t="shared" si="90"/>
        <v>0</v>
      </c>
      <c r="AE260" s="161">
        <f t="shared" si="90"/>
        <v>0</v>
      </c>
      <c r="AF260" s="174">
        <f t="shared" si="9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91"/>
        <v>0</v>
      </c>
      <c r="D261" s="161">
        <f t="shared" si="91"/>
        <v>0</v>
      </c>
      <c r="E261" s="161">
        <f t="shared" si="91"/>
        <v>0</v>
      </c>
      <c r="F261" s="161">
        <f t="shared" si="91"/>
        <v>0</v>
      </c>
      <c r="G261" s="161">
        <f t="shared" si="91"/>
        <v>0</v>
      </c>
      <c r="H261" s="161">
        <f t="shared" si="91"/>
        <v>0</v>
      </c>
      <c r="I261" s="161">
        <f t="shared" si="91"/>
        <v>0</v>
      </c>
      <c r="J261" s="161">
        <f t="shared" si="91"/>
        <v>0</v>
      </c>
      <c r="K261" s="161">
        <f t="shared" si="91"/>
        <v>0</v>
      </c>
      <c r="L261" s="161">
        <f t="shared" si="91"/>
        <v>0</v>
      </c>
      <c r="M261" s="161">
        <f t="shared" si="89"/>
        <v>0</v>
      </c>
      <c r="N261" s="161">
        <f t="shared" si="89"/>
        <v>0</v>
      </c>
      <c r="O261" s="161">
        <f t="shared" si="91"/>
        <v>0</v>
      </c>
      <c r="P261" s="161">
        <f t="shared" si="91"/>
        <v>0</v>
      </c>
      <c r="Q261" s="161">
        <f t="shared" si="91"/>
        <v>0</v>
      </c>
      <c r="R261" s="161">
        <f t="shared" si="91"/>
        <v>0</v>
      </c>
      <c r="S261" s="161">
        <f t="shared" si="90"/>
        <v>0</v>
      </c>
      <c r="T261" s="161">
        <f t="shared" si="90"/>
        <v>0</v>
      </c>
      <c r="U261" s="161">
        <f t="shared" si="90"/>
        <v>0</v>
      </c>
      <c r="V261" s="161">
        <f t="shared" si="90"/>
        <v>0</v>
      </c>
      <c r="W261" s="161">
        <f t="shared" si="90"/>
        <v>0</v>
      </c>
      <c r="X261" s="161">
        <f t="shared" si="90"/>
        <v>0</v>
      </c>
      <c r="Y261" s="161">
        <f t="shared" si="90"/>
        <v>0</v>
      </c>
      <c r="Z261" s="161">
        <f t="shared" si="90"/>
        <v>0</v>
      </c>
      <c r="AA261" s="161">
        <f t="shared" si="90"/>
        <v>0</v>
      </c>
      <c r="AB261" s="161">
        <f t="shared" si="90"/>
        <v>0</v>
      </c>
      <c r="AC261" s="161">
        <f t="shared" si="90"/>
        <v>0</v>
      </c>
      <c r="AD261" s="161">
        <f t="shared" si="90"/>
        <v>0</v>
      </c>
      <c r="AE261" s="161">
        <f t="shared" si="90"/>
        <v>0</v>
      </c>
      <c r="AF261" s="174">
        <f t="shared" si="9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91"/>
        <v>0</v>
      </c>
      <c r="D262" s="161">
        <f t="shared" si="91"/>
        <v>0</v>
      </c>
      <c r="E262" s="161">
        <f t="shared" si="91"/>
        <v>0</v>
      </c>
      <c r="F262" s="161">
        <f t="shared" si="91"/>
        <v>0</v>
      </c>
      <c r="G262" s="161">
        <f t="shared" si="91"/>
        <v>0</v>
      </c>
      <c r="H262" s="161">
        <f t="shared" si="91"/>
        <v>0</v>
      </c>
      <c r="I262" s="161">
        <f t="shared" si="91"/>
        <v>0</v>
      </c>
      <c r="J262" s="161">
        <f t="shared" si="91"/>
        <v>0</v>
      </c>
      <c r="K262" s="161">
        <f t="shared" si="91"/>
        <v>0</v>
      </c>
      <c r="L262" s="161">
        <f t="shared" si="91"/>
        <v>0</v>
      </c>
      <c r="M262" s="161">
        <f t="shared" si="89"/>
        <v>0</v>
      </c>
      <c r="N262" s="161">
        <f t="shared" si="89"/>
        <v>0</v>
      </c>
      <c r="O262" s="161">
        <f t="shared" si="91"/>
        <v>0</v>
      </c>
      <c r="P262" s="161">
        <f t="shared" si="91"/>
        <v>0</v>
      </c>
      <c r="Q262" s="161">
        <f t="shared" si="91"/>
        <v>0</v>
      </c>
      <c r="R262" s="161">
        <f t="shared" si="91"/>
        <v>0</v>
      </c>
      <c r="S262" s="161">
        <f t="shared" si="90"/>
        <v>0</v>
      </c>
      <c r="T262" s="161">
        <f t="shared" si="90"/>
        <v>0</v>
      </c>
      <c r="U262" s="161">
        <f t="shared" si="90"/>
        <v>0</v>
      </c>
      <c r="V262" s="161">
        <f t="shared" si="90"/>
        <v>0</v>
      </c>
      <c r="W262" s="161">
        <f t="shared" si="90"/>
        <v>0</v>
      </c>
      <c r="X262" s="161">
        <f t="shared" si="90"/>
        <v>0</v>
      </c>
      <c r="Y262" s="161">
        <f t="shared" si="90"/>
        <v>0</v>
      </c>
      <c r="Z262" s="161">
        <f t="shared" si="90"/>
        <v>0</v>
      </c>
      <c r="AA262" s="161">
        <f t="shared" si="90"/>
        <v>0</v>
      </c>
      <c r="AB262" s="161">
        <f t="shared" si="90"/>
        <v>0</v>
      </c>
      <c r="AC262" s="161">
        <f t="shared" si="90"/>
        <v>0</v>
      </c>
      <c r="AD262" s="161">
        <f t="shared" si="90"/>
        <v>0</v>
      </c>
      <c r="AE262" s="161">
        <f t="shared" si="90"/>
        <v>0</v>
      </c>
      <c r="AF262" s="174">
        <f t="shared" si="9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91"/>
        <v>0</v>
      </c>
      <c r="D263" s="161">
        <f t="shared" si="91"/>
        <v>0</v>
      </c>
      <c r="E263" s="161">
        <f t="shared" si="91"/>
        <v>0</v>
      </c>
      <c r="F263" s="161">
        <f t="shared" si="91"/>
        <v>0</v>
      </c>
      <c r="G263" s="161">
        <f t="shared" si="91"/>
        <v>0</v>
      </c>
      <c r="H263" s="161">
        <f t="shared" si="91"/>
        <v>0</v>
      </c>
      <c r="I263" s="161">
        <f t="shared" si="91"/>
        <v>0</v>
      </c>
      <c r="J263" s="161">
        <f t="shared" si="91"/>
        <v>0</v>
      </c>
      <c r="K263" s="161">
        <f t="shared" si="91"/>
        <v>0</v>
      </c>
      <c r="L263" s="161">
        <f t="shared" si="91"/>
        <v>0</v>
      </c>
      <c r="M263" s="161">
        <f t="shared" si="89"/>
        <v>0</v>
      </c>
      <c r="N263" s="161">
        <f t="shared" si="89"/>
        <v>0</v>
      </c>
      <c r="O263" s="161">
        <f t="shared" si="91"/>
        <v>0</v>
      </c>
      <c r="P263" s="161">
        <f t="shared" si="91"/>
        <v>0</v>
      </c>
      <c r="Q263" s="161">
        <f t="shared" si="91"/>
        <v>0</v>
      </c>
      <c r="R263" s="161">
        <f t="shared" si="91"/>
        <v>0</v>
      </c>
      <c r="S263" s="161">
        <f t="shared" si="90"/>
        <v>0</v>
      </c>
      <c r="T263" s="161">
        <f t="shared" si="90"/>
        <v>0</v>
      </c>
      <c r="U263" s="161">
        <f t="shared" si="90"/>
        <v>0</v>
      </c>
      <c r="V263" s="161">
        <f t="shared" si="90"/>
        <v>0</v>
      </c>
      <c r="W263" s="161">
        <f t="shared" si="90"/>
        <v>0</v>
      </c>
      <c r="X263" s="161">
        <f t="shared" si="90"/>
        <v>0</v>
      </c>
      <c r="Y263" s="161">
        <f t="shared" si="90"/>
        <v>0</v>
      </c>
      <c r="Z263" s="161">
        <f t="shared" si="90"/>
        <v>0</v>
      </c>
      <c r="AA263" s="161">
        <f t="shared" si="90"/>
        <v>0</v>
      </c>
      <c r="AB263" s="161">
        <f t="shared" si="90"/>
        <v>0</v>
      </c>
      <c r="AC263" s="161">
        <f t="shared" si="90"/>
        <v>0</v>
      </c>
      <c r="AD263" s="161">
        <f t="shared" si="90"/>
        <v>0</v>
      </c>
      <c r="AE263" s="161">
        <f t="shared" si="90"/>
        <v>0</v>
      </c>
      <c r="AF263" s="174">
        <f t="shared" si="9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91"/>
        <v>0</v>
      </c>
      <c r="D264" s="161">
        <f t="shared" si="91"/>
        <v>0</v>
      </c>
      <c r="E264" s="161">
        <f t="shared" si="91"/>
        <v>0</v>
      </c>
      <c r="F264" s="161">
        <f t="shared" si="91"/>
        <v>0</v>
      </c>
      <c r="G264" s="161">
        <f t="shared" si="91"/>
        <v>0</v>
      </c>
      <c r="H264" s="161">
        <f t="shared" si="91"/>
        <v>0</v>
      </c>
      <c r="I264" s="161">
        <f t="shared" si="91"/>
        <v>0</v>
      </c>
      <c r="J264" s="161">
        <f t="shared" si="91"/>
        <v>0</v>
      </c>
      <c r="K264" s="161">
        <f t="shared" si="91"/>
        <v>0</v>
      </c>
      <c r="L264" s="161">
        <f t="shared" si="91"/>
        <v>0</v>
      </c>
      <c r="M264" s="161">
        <f t="shared" si="89"/>
        <v>0</v>
      </c>
      <c r="N264" s="161">
        <f t="shared" si="89"/>
        <v>0</v>
      </c>
      <c r="O264" s="161">
        <f t="shared" si="91"/>
        <v>0</v>
      </c>
      <c r="P264" s="161">
        <f t="shared" si="91"/>
        <v>0</v>
      </c>
      <c r="Q264" s="161">
        <f t="shared" si="91"/>
        <v>0</v>
      </c>
      <c r="R264" s="161">
        <f t="shared" si="91"/>
        <v>0</v>
      </c>
      <c r="S264" s="161">
        <f t="shared" ref="S264:AF273" si="92">R264</f>
        <v>0</v>
      </c>
      <c r="T264" s="161">
        <f t="shared" si="92"/>
        <v>0</v>
      </c>
      <c r="U264" s="161">
        <f t="shared" si="92"/>
        <v>0</v>
      </c>
      <c r="V264" s="161">
        <f t="shared" si="92"/>
        <v>0</v>
      </c>
      <c r="W264" s="161">
        <f t="shared" si="92"/>
        <v>0</v>
      </c>
      <c r="X264" s="161">
        <f t="shared" si="92"/>
        <v>0</v>
      </c>
      <c r="Y264" s="161">
        <f t="shared" si="92"/>
        <v>0</v>
      </c>
      <c r="Z264" s="161">
        <f t="shared" si="92"/>
        <v>0</v>
      </c>
      <c r="AA264" s="161">
        <f t="shared" si="92"/>
        <v>0</v>
      </c>
      <c r="AB264" s="161">
        <f t="shared" si="92"/>
        <v>0</v>
      </c>
      <c r="AC264" s="161">
        <f t="shared" si="92"/>
        <v>0</v>
      </c>
      <c r="AD264" s="161">
        <f t="shared" si="92"/>
        <v>0</v>
      </c>
      <c r="AE264" s="161">
        <f t="shared" si="92"/>
        <v>0</v>
      </c>
      <c r="AF264" s="174">
        <f t="shared" si="9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93">B265</f>
        <v>0</v>
      </c>
      <c r="D265" s="161">
        <f t="shared" si="93"/>
        <v>0</v>
      </c>
      <c r="E265" s="161">
        <f t="shared" si="93"/>
        <v>0</v>
      </c>
      <c r="F265" s="161">
        <f t="shared" si="93"/>
        <v>0</v>
      </c>
      <c r="G265" s="161">
        <f t="shared" si="93"/>
        <v>0</v>
      </c>
      <c r="H265" s="161">
        <f t="shared" si="93"/>
        <v>0</v>
      </c>
      <c r="I265" s="161">
        <f t="shared" si="93"/>
        <v>0</v>
      </c>
      <c r="J265" s="161">
        <f t="shared" si="93"/>
        <v>0</v>
      </c>
      <c r="K265" s="161">
        <f t="shared" si="93"/>
        <v>0</v>
      </c>
      <c r="L265" s="161">
        <f t="shared" si="93"/>
        <v>0</v>
      </c>
      <c r="M265" s="161">
        <f t="shared" si="93"/>
        <v>0</v>
      </c>
      <c r="N265" s="161">
        <f t="shared" si="93"/>
        <v>0</v>
      </c>
      <c r="O265" s="161">
        <f t="shared" si="93"/>
        <v>0</v>
      </c>
      <c r="P265" s="161">
        <f t="shared" si="93"/>
        <v>0</v>
      </c>
      <c r="Q265" s="161">
        <f t="shared" si="93"/>
        <v>0</v>
      </c>
      <c r="R265" s="161">
        <f t="shared" si="93"/>
        <v>0</v>
      </c>
      <c r="S265" s="161">
        <f t="shared" si="92"/>
        <v>0</v>
      </c>
      <c r="T265" s="161">
        <f t="shared" si="92"/>
        <v>0</v>
      </c>
      <c r="U265" s="161">
        <f t="shared" si="92"/>
        <v>0</v>
      </c>
      <c r="V265" s="161">
        <f t="shared" si="92"/>
        <v>0</v>
      </c>
      <c r="W265" s="161">
        <f t="shared" si="92"/>
        <v>0</v>
      </c>
      <c r="X265" s="161">
        <f t="shared" si="92"/>
        <v>0</v>
      </c>
      <c r="Y265" s="161">
        <f t="shared" si="92"/>
        <v>0</v>
      </c>
      <c r="Z265" s="161">
        <f t="shared" si="92"/>
        <v>0</v>
      </c>
      <c r="AA265" s="161">
        <f t="shared" si="92"/>
        <v>0</v>
      </c>
      <c r="AB265" s="161">
        <f t="shared" si="92"/>
        <v>0</v>
      </c>
      <c r="AC265" s="161">
        <f t="shared" si="92"/>
        <v>0</v>
      </c>
      <c r="AD265" s="161">
        <f t="shared" si="92"/>
        <v>0</v>
      </c>
      <c r="AE265" s="161">
        <f t="shared" si="92"/>
        <v>0</v>
      </c>
      <c r="AF265" s="174">
        <f t="shared" si="9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93"/>
        <v>0</v>
      </c>
      <c r="D266" s="161">
        <f t="shared" si="93"/>
        <v>0</v>
      </c>
      <c r="E266" s="161">
        <f t="shared" si="93"/>
        <v>0</v>
      </c>
      <c r="F266" s="161">
        <f t="shared" si="93"/>
        <v>0</v>
      </c>
      <c r="G266" s="161">
        <f t="shared" si="93"/>
        <v>0</v>
      </c>
      <c r="H266" s="161">
        <f t="shared" si="93"/>
        <v>0</v>
      </c>
      <c r="I266" s="161">
        <f t="shared" si="93"/>
        <v>0</v>
      </c>
      <c r="J266" s="161">
        <f t="shared" si="93"/>
        <v>0</v>
      </c>
      <c r="K266" s="161">
        <f t="shared" si="93"/>
        <v>0</v>
      </c>
      <c r="L266" s="161">
        <f t="shared" si="93"/>
        <v>0</v>
      </c>
      <c r="M266" s="161">
        <f t="shared" si="93"/>
        <v>0</v>
      </c>
      <c r="N266" s="161">
        <f t="shared" si="93"/>
        <v>0</v>
      </c>
      <c r="O266" s="161">
        <f t="shared" si="93"/>
        <v>0</v>
      </c>
      <c r="P266" s="161">
        <f t="shared" si="93"/>
        <v>0</v>
      </c>
      <c r="Q266" s="161">
        <f t="shared" si="93"/>
        <v>0</v>
      </c>
      <c r="R266" s="161">
        <f t="shared" si="93"/>
        <v>0</v>
      </c>
      <c r="S266" s="161">
        <f t="shared" si="92"/>
        <v>0</v>
      </c>
      <c r="T266" s="161">
        <f t="shared" si="92"/>
        <v>0</v>
      </c>
      <c r="U266" s="161">
        <f t="shared" si="92"/>
        <v>0</v>
      </c>
      <c r="V266" s="161">
        <f t="shared" si="92"/>
        <v>0</v>
      </c>
      <c r="W266" s="161">
        <f t="shared" si="92"/>
        <v>0</v>
      </c>
      <c r="X266" s="161">
        <f t="shared" si="92"/>
        <v>0</v>
      </c>
      <c r="Y266" s="161">
        <f t="shared" si="92"/>
        <v>0</v>
      </c>
      <c r="Z266" s="161">
        <f t="shared" si="92"/>
        <v>0</v>
      </c>
      <c r="AA266" s="161">
        <f t="shared" si="92"/>
        <v>0</v>
      </c>
      <c r="AB266" s="161">
        <f t="shared" si="92"/>
        <v>0</v>
      </c>
      <c r="AC266" s="161">
        <f t="shared" si="92"/>
        <v>0</v>
      </c>
      <c r="AD266" s="161">
        <f t="shared" si="92"/>
        <v>0</v>
      </c>
      <c r="AE266" s="161">
        <f t="shared" si="92"/>
        <v>0</v>
      </c>
      <c r="AF266" s="174">
        <f t="shared" si="9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93"/>
        <v>0</v>
      </c>
      <c r="D267" s="161">
        <f t="shared" si="93"/>
        <v>0</v>
      </c>
      <c r="E267" s="161">
        <f t="shared" si="93"/>
        <v>0</v>
      </c>
      <c r="F267" s="161">
        <f t="shared" si="93"/>
        <v>0</v>
      </c>
      <c r="G267" s="161">
        <f t="shared" si="93"/>
        <v>0</v>
      </c>
      <c r="H267" s="161">
        <f t="shared" si="93"/>
        <v>0</v>
      </c>
      <c r="I267" s="161">
        <f t="shared" si="93"/>
        <v>0</v>
      </c>
      <c r="J267" s="161">
        <f t="shared" si="93"/>
        <v>0</v>
      </c>
      <c r="K267" s="161">
        <f t="shared" si="93"/>
        <v>0</v>
      </c>
      <c r="L267" s="161">
        <f t="shared" si="93"/>
        <v>0</v>
      </c>
      <c r="M267" s="161">
        <f t="shared" si="93"/>
        <v>0</v>
      </c>
      <c r="N267" s="161">
        <f t="shared" si="93"/>
        <v>0</v>
      </c>
      <c r="O267" s="161">
        <f t="shared" si="93"/>
        <v>0</v>
      </c>
      <c r="P267" s="161">
        <f t="shared" si="93"/>
        <v>0</v>
      </c>
      <c r="Q267" s="161">
        <f t="shared" si="93"/>
        <v>0</v>
      </c>
      <c r="R267" s="161">
        <f t="shared" si="93"/>
        <v>0</v>
      </c>
      <c r="S267" s="161">
        <f t="shared" si="92"/>
        <v>0</v>
      </c>
      <c r="T267" s="161">
        <f t="shared" si="92"/>
        <v>0</v>
      </c>
      <c r="U267" s="161">
        <f t="shared" si="92"/>
        <v>0</v>
      </c>
      <c r="V267" s="161">
        <f t="shared" si="92"/>
        <v>0</v>
      </c>
      <c r="W267" s="161">
        <f t="shared" si="92"/>
        <v>0</v>
      </c>
      <c r="X267" s="161">
        <f t="shared" si="92"/>
        <v>0</v>
      </c>
      <c r="Y267" s="161">
        <f t="shared" si="92"/>
        <v>0</v>
      </c>
      <c r="Z267" s="161">
        <f t="shared" si="92"/>
        <v>0</v>
      </c>
      <c r="AA267" s="161">
        <f t="shared" si="92"/>
        <v>0</v>
      </c>
      <c r="AB267" s="161">
        <f t="shared" si="92"/>
        <v>0</v>
      </c>
      <c r="AC267" s="161">
        <f t="shared" si="92"/>
        <v>0</v>
      </c>
      <c r="AD267" s="161">
        <f t="shared" si="92"/>
        <v>0</v>
      </c>
      <c r="AE267" s="161">
        <f t="shared" si="92"/>
        <v>0</v>
      </c>
      <c r="AF267" s="174">
        <f t="shared" si="9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93"/>
        <v>0</v>
      </c>
      <c r="D268" s="161">
        <f t="shared" si="93"/>
        <v>0</v>
      </c>
      <c r="E268" s="161">
        <f t="shared" si="93"/>
        <v>0</v>
      </c>
      <c r="F268" s="161">
        <f t="shared" si="93"/>
        <v>0</v>
      </c>
      <c r="G268" s="161">
        <f t="shared" si="93"/>
        <v>0</v>
      </c>
      <c r="H268" s="161">
        <f t="shared" si="93"/>
        <v>0</v>
      </c>
      <c r="I268" s="161">
        <f t="shared" si="93"/>
        <v>0</v>
      </c>
      <c r="J268" s="161">
        <f t="shared" si="93"/>
        <v>0</v>
      </c>
      <c r="K268" s="161">
        <f t="shared" si="93"/>
        <v>0</v>
      </c>
      <c r="L268" s="161">
        <f t="shared" si="93"/>
        <v>0</v>
      </c>
      <c r="M268" s="161">
        <f t="shared" si="93"/>
        <v>0</v>
      </c>
      <c r="N268" s="161">
        <f t="shared" si="93"/>
        <v>0</v>
      </c>
      <c r="O268" s="161">
        <f t="shared" si="93"/>
        <v>0</v>
      </c>
      <c r="P268" s="161">
        <f t="shared" si="93"/>
        <v>0</v>
      </c>
      <c r="Q268" s="161">
        <f t="shared" si="93"/>
        <v>0</v>
      </c>
      <c r="R268" s="161">
        <f t="shared" si="93"/>
        <v>0</v>
      </c>
      <c r="S268" s="161">
        <f t="shared" si="92"/>
        <v>0</v>
      </c>
      <c r="T268" s="161">
        <f t="shared" si="92"/>
        <v>0</v>
      </c>
      <c r="U268" s="161">
        <f t="shared" si="92"/>
        <v>0</v>
      </c>
      <c r="V268" s="161">
        <f t="shared" si="92"/>
        <v>0</v>
      </c>
      <c r="W268" s="161">
        <f t="shared" si="92"/>
        <v>0</v>
      </c>
      <c r="X268" s="161">
        <f t="shared" si="92"/>
        <v>0</v>
      </c>
      <c r="Y268" s="161">
        <f t="shared" si="92"/>
        <v>0</v>
      </c>
      <c r="Z268" s="161">
        <f t="shared" si="92"/>
        <v>0</v>
      </c>
      <c r="AA268" s="161">
        <f t="shared" si="92"/>
        <v>0</v>
      </c>
      <c r="AB268" s="161">
        <f t="shared" si="92"/>
        <v>0</v>
      </c>
      <c r="AC268" s="161">
        <f t="shared" si="92"/>
        <v>0</v>
      </c>
      <c r="AD268" s="161">
        <f t="shared" si="92"/>
        <v>0</v>
      </c>
      <c r="AE268" s="161">
        <f t="shared" si="92"/>
        <v>0</v>
      </c>
      <c r="AF268" s="174">
        <f t="shared" si="9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93"/>
        <v>0</v>
      </c>
      <c r="D269" s="161">
        <f t="shared" si="93"/>
        <v>0</v>
      </c>
      <c r="E269" s="161">
        <f t="shared" si="93"/>
        <v>0</v>
      </c>
      <c r="F269" s="161">
        <f t="shared" si="93"/>
        <v>0</v>
      </c>
      <c r="G269" s="161">
        <f t="shared" si="93"/>
        <v>0</v>
      </c>
      <c r="H269" s="161">
        <f t="shared" si="93"/>
        <v>0</v>
      </c>
      <c r="I269" s="161">
        <f t="shared" si="93"/>
        <v>0</v>
      </c>
      <c r="J269" s="161">
        <f t="shared" si="93"/>
        <v>0</v>
      </c>
      <c r="K269" s="161">
        <f t="shared" si="93"/>
        <v>0</v>
      </c>
      <c r="L269" s="161">
        <f t="shared" si="93"/>
        <v>0</v>
      </c>
      <c r="M269" s="161">
        <f t="shared" si="93"/>
        <v>0</v>
      </c>
      <c r="N269" s="161">
        <f t="shared" si="93"/>
        <v>0</v>
      </c>
      <c r="O269" s="161">
        <f t="shared" si="93"/>
        <v>0</v>
      </c>
      <c r="P269" s="161">
        <f t="shared" si="93"/>
        <v>0</v>
      </c>
      <c r="Q269" s="161">
        <f t="shared" si="93"/>
        <v>0</v>
      </c>
      <c r="R269" s="161">
        <f t="shared" si="93"/>
        <v>0</v>
      </c>
      <c r="S269" s="161">
        <f t="shared" si="92"/>
        <v>0</v>
      </c>
      <c r="T269" s="161">
        <f t="shared" si="92"/>
        <v>0</v>
      </c>
      <c r="U269" s="161">
        <f t="shared" si="92"/>
        <v>0</v>
      </c>
      <c r="V269" s="161">
        <f t="shared" si="92"/>
        <v>0</v>
      </c>
      <c r="W269" s="161">
        <f t="shared" si="92"/>
        <v>0</v>
      </c>
      <c r="X269" s="161">
        <f t="shared" si="92"/>
        <v>0</v>
      </c>
      <c r="Y269" s="161">
        <f t="shared" si="92"/>
        <v>0</v>
      </c>
      <c r="Z269" s="161">
        <f t="shared" si="92"/>
        <v>0</v>
      </c>
      <c r="AA269" s="161">
        <f t="shared" si="92"/>
        <v>0</v>
      </c>
      <c r="AB269" s="161">
        <f t="shared" si="92"/>
        <v>0</v>
      </c>
      <c r="AC269" s="161">
        <f t="shared" si="92"/>
        <v>0</v>
      </c>
      <c r="AD269" s="161">
        <f t="shared" si="92"/>
        <v>0</v>
      </c>
      <c r="AE269" s="161">
        <f t="shared" si="92"/>
        <v>0</v>
      </c>
      <c r="AF269" s="174">
        <f t="shared" si="9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93"/>
        <v>0</v>
      </c>
      <c r="D270" s="161">
        <f t="shared" si="93"/>
        <v>0</v>
      </c>
      <c r="E270" s="161">
        <f t="shared" si="93"/>
        <v>0</v>
      </c>
      <c r="F270" s="161">
        <f t="shared" si="93"/>
        <v>0</v>
      </c>
      <c r="G270" s="161">
        <f t="shared" si="93"/>
        <v>0</v>
      </c>
      <c r="H270" s="161">
        <f t="shared" si="93"/>
        <v>0</v>
      </c>
      <c r="I270" s="161">
        <f t="shared" si="93"/>
        <v>0</v>
      </c>
      <c r="J270" s="161">
        <f t="shared" si="93"/>
        <v>0</v>
      </c>
      <c r="K270" s="161">
        <f t="shared" si="93"/>
        <v>0</v>
      </c>
      <c r="L270" s="161">
        <f t="shared" si="93"/>
        <v>0</v>
      </c>
      <c r="M270" s="161">
        <f t="shared" si="93"/>
        <v>0</v>
      </c>
      <c r="N270" s="161">
        <f t="shared" si="93"/>
        <v>0</v>
      </c>
      <c r="O270" s="161">
        <f t="shared" si="93"/>
        <v>0</v>
      </c>
      <c r="P270" s="161">
        <f t="shared" si="93"/>
        <v>0</v>
      </c>
      <c r="Q270" s="161">
        <f t="shared" si="93"/>
        <v>0</v>
      </c>
      <c r="R270" s="161">
        <f t="shared" si="93"/>
        <v>0</v>
      </c>
      <c r="S270" s="161">
        <f t="shared" si="92"/>
        <v>0</v>
      </c>
      <c r="T270" s="161">
        <f t="shared" si="92"/>
        <v>0</v>
      </c>
      <c r="U270" s="161">
        <f t="shared" si="92"/>
        <v>0</v>
      </c>
      <c r="V270" s="161">
        <f t="shared" si="92"/>
        <v>0</v>
      </c>
      <c r="W270" s="161">
        <f t="shared" si="92"/>
        <v>0</v>
      </c>
      <c r="X270" s="161">
        <f t="shared" si="92"/>
        <v>0</v>
      </c>
      <c r="Y270" s="161">
        <f t="shared" si="92"/>
        <v>0</v>
      </c>
      <c r="Z270" s="161">
        <f t="shared" si="92"/>
        <v>0</v>
      </c>
      <c r="AA270" s="161">
        <f t="shared" si="92"/>
        <v>0</v>
      </c>
      <c r="AB270" s="161">
        <f t="shared" si="92"/>
        <v>0</v>
      </c>
      <c r="AC270" s="161">
        <f t="shared" si="92"/>
        <v>0</v>
      </c>
      <c r="AD270" s="161">
        <f t="shared" si="92"/>
        <v>0</v>
      </c>
      <c r="AE270" s="161">
        <f t="shared" si="92"/>
        <v>0</v>
      </c>
      <c r="AF270" s="174">
        <f t="shared" si="9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93"/>
        <v>0</v>
      </c>
      <c r="D271" s="161">
        <f t="shared" si="93"/>
        <v>0</v>
      </c>
      <c r="E271" s="161">
        <f t="shared" si="93"/>
        <v>0</v>
      </c>
      <c r="F271" s="161">
        <f t="shared" si="93"/>
        <v>0</v>
      </c>
      <c r="G271" s="161">
        <f t="shared" si="93"/>
        <v>0</v>
      </c>
      <c r="H271" s="161">
        <f t="shared" si="93"/>
        <v>0</v>
      </c>
      <c r="I271" s="161">
        <f t="shared" si="93"/>
        <v>0</v>
      </c>
      <c r="J271" s="161">
        <f t="shared" si="93"/>
        <v>0</v>
      </c>
      <c r="K271" s="161">
        <f t="shared" si="93"/>
        <v>0</v>
      </c>
      <c r="L271" s="161">
        <f t="shared" si="93"/>
        <v>0</v>
      </c>
      <c r="M271" s="161">
        <f t="shared" si="93"/>
        <v>0</v>
      </c>
      <c r="N271" s="161">
        <f t="shared" si="93"/>
        <v>0</v>
      </c>
      <c r="O271" s="161">
        <f t="shared" si="93"/>
        <v>0</v>
      </c>
      <c r="P271" s="161">
        <f t="shared" si="93"/>
        <v>0</v>
      </c>
      <c r="Q271" s="161">
        <f t="shared" si="93"/>
        <v>0</v>
      </c>
      <c r="R271" s="161">
        <f t="shared" si="93"/>
        <v>0</v>
      </c>
      <c r="S271" s="161">
        <f t="shared" si="92"/>
        <v>0</v>
      </c>
      <c r="T271" s="161">
        <f t="shared" si="92"/>
        <v>0</v>
      </c>
      <c r="U271" s="161">
        <f t="shared" si="92"/>
        <v>0</v>
      </c>
      <c r="V271" s="161">
        <f t="shared" si="92"/>
        <v>0</v>
      </c>
      <c r="W271" s="161">
        <f t="shared" si="92"/>
        <v>0</v>
      </c>
      <c r="X271" s="161">
        <f t="shared" si="92"/>
        <v>0</v>
      </c>
      <c r="Y271" s="161">
        <f t="shared" si="92"/>
        <v>0</v>
      </c>
      <c r="Z271" s="161">
        <f t="shared" si="92"/>
        <v>0</v>
      </c>
      <c r="AA271" s="161">
        <f t="shared" si="92"/>
        <v>0</v>
      </c>
      <c r="AB271" s="161">
        <f t="shared" si="92"/>
        <v>0</v>
      </c>
      <c r="AC271" s="161">
        <f t="shared" si="92"/>
        <v>0</v>
      </c>
      <c r="AD271" s="161">
        <f t="shared" si="92"/>
        <v>0</v>
      </c>
      <c r="AE271" s="161">
        <f t="shared" si="92"/>
        <v>0</v>
      </c>
      <c r="AF271" s="174">
        <f t="shared" si="9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93"/>
        <v>0</v>
      </c>
      <c r="D272" s="161">
        <f t="shared" si="93"/>
        <v>0</v>
      </c>
      <c r="E272" s="161">
        <f t="shared" si="93"/>
        <v>0</v>
      </c>
      <c r="F272" s="161">
        <f t="shared" si="93"/>
        <v>0</v>
      </c>
      <c r="G272" s="161">
        <f t="shared" si="93"/>
        <v>0</v>
      </c>
      <c r="H272" s="161">
        <f t="shared" si="93"/>
        <v>0</v>
      </c>
      <c r="I272" s="161">
        <f t="shared" si="93"/>
        <v>0</v>
      </c>
      <c r="J272" s="161">
        <f t="shared" si="93"/>
        <v>0</v>
      </c>
      <c r="K272" s="161">
        <f t="shared" si="93"/>
        <v>0</v>
      </c>
      <c r="L272" s="161">
        <f t="shared" si="93"/>
        <v>0</v>
      </c>
      <c r="M272" s="161">
        <f t="shared" si="93"/>
        <v>0</v>
      </c>
      <c r="N272" s="161">
        <f t="shared" si="93"/>
        <v>0</v>
      </c>
      <c r="O272" s="161">
        <f t="shared" si="93"/>
        <v>0</v>
      </c>
      <c r="P272" s="161">
        <f t="shared" si="93"/>
        <v>0</v>
      </c>
      <c r="Q272" s="161">
        <f t="shared" si="93"/>
        <v>0</v>
      </c>
      <c r="R272" s="161">
        <f t="shared" si="93"/>
        <v>0</v>
      </c>
      <c r="S272" s="161">
        <f t="shared" si="92"/>
        <v>0</v>
      </c>
      <c r="T272" s="161">
        <f t="shared" si="92"/>
        <v>0</v>
      </c>
      <c r="U272" s="161">
        <f t="shared" si="92"/>
        <v>0</v>
      </c>
      <c r="V272" s="161">
        <f t="shared" si="92"/>
        <v>0</v>
      </c>
      <c r="W272" s="161">
        <f t="shared" si="92"/>
        <v>0</v>
      </c>
      <c r="X272" s="161">
        <f t="shared" si="92"/>
        <v>0</v>
      </c>
      <c r="Y272" s="161">
        <f t="shared" si="92"/>
        <v>0</v>
      </c>
      <c r="Z272" s="161">
        <f t="shared" si="92"/>
        <v>0</v>
      </c>
      <c r="AA272" s="161">
        <f t="shared" si="92"/>
        <v>0</v>
      </c>
      <c r="AB272" s="161">
        <f t="shared" si="92"/>
        <v>0</v>
      </c>
      <c r="AC272" s="161">
        <f t="shared" si="92"/>
        <v>0</v>
      </c>
      <c r="AD272" s="161">
        <f t="shared" si="92"/>
        <v>0</v>
      </c>
      <c r="AE272" s="161">
        <f t="shared" si="92"/>
        <v>0</v>
      </c>
      <c r="AF272" s="174">
        <f t="shared" si="9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93"/>
        <v>0</v>
      </c>
      <c r="D273" s="177">
        <f t="shared" si="93"/>
        <v>0</v>
      </c>
      <c r="E273" s="177">
        <f t="shared" si="93"/>
        <v>0</v>
      </c>
      <c r="F273" s="177">
        <f t="shared" si="93"/>
        <v>0</v>
      </c>
      <c r="G273" s="177">
        <f t="shared" si="93"/>
        <v>0</v>
      </c>
      <c r="H273" s="177">
        <f t="shared" si="93"/>
        <v>0</v>
      </c>
      <c r="I273" s="177">
        <f t="shared" si="93"/>
        <v>0</v>
      </c>
      <c r="J273" s="177">
        <f t="shared" si="93"/>
        <v>0</v>
      </c>
      <c r="K273" s="177">
        <f t="shared" si="93"/>
        <v>0</v>
      </c>
      <c r="L273" s="177">
        <f t="shared" si="93"/>
        <v>0</v>
      </c>
      <c r="M273" s="177">
        <f t="shared" si="93"/>
        <v>0</v>
      </c>
      <c r="N273" s="177">
        <f t="shared" si="93"/>
        <v>0</v>
      </c>
      <c r="O273" s="177">
        <f t="shared" si="93"/>
        <v>0</v>
      </c>
      <c r="P273" s="177">
        <f t="shared" si="93"/>
        <v>0</v>
      </c>
      <c r="Q273" s="177">
        <f t="shared" si="93"/>
        <v>0</v>
      </c>
      <c r="R273" s="177">
        <f t="shared" si="93"/>
        <v>0</v>
      </c>
      <c r="S273" s="177">
        <f t="shared" si="92"/>
        <v>0</v>
      </c>
      <c r="T273" s="177">
        <f t="shared" si="92"/>
        <v>0</v>
      </c>
      <c r="U273" s="177">
        <f t="shared" si="92"/>
        <v>0</v>
      </c>
      <c r="V273" s="177">
        <f t="shared" si="92"/>
        <v>0</v>
      </c>
      <c r="W273" s="177">
        <f t="shared" si="92"/>
        <v>0</v>
      </c>
      <c r="X273" s="177">
        <f t="shared" si="92"/>
        <v>0</v>
      </c>
      <c r="Y273" s="177">
        <f t="shared" si="92"/>
        <v>0</v>
      </c>
      <c r="Z273" s="177">
        <f t="shared" si="92"/>
        <v>0</v>
      </c>
      <c r="AA273" s="177">
        <f t="shared" si="92"/>
        <v>0</v>
      </c>
      <c r="AB273" s="177">
        <f t="shared" si="92"/>
        <v>0</v>
      </c>
      <c r="AC273" s="177">
        <f t="shared" si="92"/>
        <v>0</v>
      </c>
      <c r="AD273" s="177">
        <f t="shared" si="92"/>
        <v>0</v>
      </c>
      <c r="AE273" s="177">
        <f t="shared" si="92"/>
        <v>0</v>
      </c>
      <c r="AF273" s="178">
        <f t="shared" si="9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4">SUM(B169:B273)</f>
        <v>0</v>
      </c>
      <c r="C274" s="180">
        <f t="shared" si="94"/>
        <v>0</v>
      </c>
      <c r="D274" s="180">
        <f t="shared" si="94"/>
        <v>0</v>
      </c>
      <c r="E274" s="180">
        <f t="shared" si="94"/>
        <v>0</v>
      </c>
      <c r="F274" s="180">
        <f t="shared" si="94"/>
        <v>0</v>
      </c>
      <c r="G274" s="180">
        <f t="shared" si="94"/>
        <v>0</v>
      </c>
      <c r="H274" s="180">
        <f t="shared" si="94"/>
        <v>0</v>
      </c>
      <c r="I274" s="180">
        <f t="shared" si="94"/>
        <v>0</v>
      </c>
      <c r="J274" s="180">
        <f t="shared" si="94"/>
        <v>0</v>
      </c>
      <c r="K274" s="180">
        <f t="shared" si="94"/>
        <v>0</v>
      </c>
      <c r="L274" s="180">
        <f t="shared" si="94"/>
        <v>0</v>
      </c>
      <c r="M274" s="180">
        <f t="shared" ref="M274:N274" si="95">SUM(M169:M273)</f>
        <v>0</v>
      </c>
      <c r="N274" s="180">
        <f t="shared" si="95"/>
        <v>0</v>
      </c>
      <c r="O274" s="180">
        <f t="shared" si="94"/>
        <v>0</v>
      </c>
      <c r="P274" s="180">
        <f t="shared" si="94"/>
        <v>0</v>
      </c>
      <c r="Q274" s="180">
        <f t="shared" si="94"/>
        <v>0</v>
      </c>
      <c r="R274" s="180">
        <f t="shared" si="94"/>
        <v>0</v>
      </c>
      <c r="S274" s="180">
        <f t="shared" si="94"/>
        <v>0</v>
      </c>
      <c r="T274" s="180">
        <f t="shared" si="94"/>
        <v>0</v>
      </c>
      <c r="U274" s="180">
        <f t="shared" si="94"/>
        <v>0</v>
      </c>
      <c r="V274" s="180">
        <f t="shared" si="94"/>
        <v>0</v>
      </c>
      <c r="W274" s="180">
        <f t="shared" si="94"/>
        <v>0</v>
      </c>
      <c r="X274" s="180">
        <f t="shared" si="94"/>
        <v>0</v>
      </c>
      <c r="Y274" s="180">
        <f t="shared" si="94"/>
        <v>0</v>
      </c>
      <c r="Z274" s="180">
        <f t="shared" si="94"/>
        <v>0</v>
      </c>
      <c r="AA274" s="180">
        <f t="shared" si="94"/>
        <v>0</v>
      </c>
      <c r="AB274" s="180">
        <f t="shared" si="94"/>
        <v>0</v>
      </c>
      <c r="AC274" s="180">
        <f t="shared" si="94"/>
        <v>0</v>
      </c>
      <c r="AD274" s="180">
        <f t="shared" si="94"/>
        <v>0</v>
      </c>
      <c r="AE274" s="180">
        <f t="shared" si="94"/>
        <v>0</v>
      </c>
      <c r="AF274" s="181">
        <f t="shared" si="94"/>
        <v>0</v>
      </c>
      <c r="AG274" s="182">
        <f t="shared" si="9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O11:AA13 AB12:AF13 B9:AF10 B113:B115 C109:L115 B108:L108 B117:B124 C152:L152 C154:L159 B153:L153 B76:E90 C97:L107 F137:L151 B93:L96 O117:AF134 O85:AF90 C117:N125 C134:N134 M137:AF159 B72:N72 F76:AF77 F79:N90 M93:AF115">
    <cfRule type="expression" dxfId="354" priority="106">
      <formula>B$9&gt;=20/24</formula>
    </cfRule>
  </conditionalFormatting>
  <conditionalFormatting sqref="B9:AF10 O11:AA13 AB12:AF13 B113:B115 C109:L115 B108:L108 B117:B124 C152:L152 C154:L159 B153:L153 B76:E90 C97:L107 F137:L151 B93:L96 O117:AF134 O85:AF90 C117:N125 C134:N134 M137:AF159 B72:N72 F76:AF77 F79:N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O14:AF53 B29:N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O11:AA13 AB12:AF13 AF92:AF95 AF96:AG96 O92:AE96 O79:AC90 O76:AF77 O78:AG78 O91:AF91 B71:AG71 B69:AF69 B76:N96">
    <cfRule type="expression" dxfId="326" priority="105">
      <formula>B11&gt;$AG11*1</formula>
    </cfRule>
  </conditionalFormatting>
  <conditionalFormatting sqref="O83 F79:N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O76:AF78 F78:N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O73:AF75">
    <cfRule type="expression" dxfId="313" priority="35">
      <formula>O$9&gt;=20/24</formula>
    </cfRule>
    <cfRule type="expression" dxfId="312" priority="36">
      <formula>AND(O$9&gt;=14/24,O$9&lt;20/24)</formula>
    </cfRule>
    <cfRule type="expression" dxfId="311" priority="37">
      <formula>AND(O$9&gt;=8/24,O$9&lt;14/24)</formula>
    </cfRule>
    <cfRule type="expression" dxfId="310" priority="38">
      <formula>O$9&lt;8/24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O79:Y83 Z80:AA83">
    <cfRule type="expression" dxfId="298" priority="137">
      <formula>O$9&gt;=20/24</formula>
    </cfRule>
    <cfRule type="expression" dxfId="297" priority="138">
      <formula>AND(O$9&gt;=14/24,O$9&lt;20/24)</formula>
    </cfRule>
    <cfRule type="expression" dxfId="296" priority="139">
      <formula>AND(O$9&gt;=8/24,O$9&lt;14/24)</formula>
    </cfRule>
    <cfRule type="expression" dxfId="295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O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N13 C126:N133">
    <cfRule type="expression" dxfId="204" priority="20">
      <formula>B$9&gt;=20/24</formula>
    </cfRule>
  </conditionalFormatting>
  <conditionalFormatting sqref="B97:B107 B137:B152 B109:B112 B125:B134 B154:B159 C137:E151 B11:N13 C126:N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N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N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O38" activePane="bottomRight" state="frozen"/>
      <selection pane="topRight" activeCell="O1" sqref="O1"/>
      <selection pane="bottomLeft" activeCell="A17" sqref="A17"/>
      <selection pane="bottomRight" activeCell="A39" sqref="A39:XFD39"/>
    </sheetView>
  </sheetViews>
  <sheetFormatPr defaultRowHeight="15"/>
  <cols>
    <col min="1" max="1" width="16" style="238" customWidth="1"/>
    <col min="2" max="21" width="9.140625" style="238"/>
    <col min="22" max="22" width="8.85546875" style="238" customWidth="1"/>
    <col min="23" max="23" width="9.140625" style="238"/>
    <col min="24" max="24" width="12.7109375" style="238" bestFit="1" customWidth="1"/>
    <col min="25" max="26" width="9.140625" style="238"/>
    <col min="27" max="27" width="12.28515625" style="238" bestFit="1" customWidth="1"/>
    <col min="28" max="28" width="9.140625" style="238"/>
    <col min="29" max="29" width="14.5703125" style="238" customWidth="1"/>
    <col min="30" max="16384" width="9.140625" style="238"/>
  </cols>
  <sheetData>
    <row r="1" spans="1:29" ht="45">
      <c r="A1" s="235" t="s">
        <v>415</v>
      </c>
      <c r="B1" s="236">
        <v>176</v>
      </c>
      <c r="C1" s="236">
        <v>179</v>
      </c>
      <c r="D1" s="236">
        <v>180</v>
      </c>
      <c r="E1" s="236">
        <v>182</v>
      </c>
      <c r="F1" s="236">
        <v>187</v>
      </c>
      <c r="G1" s="236">
        <v>188</v>
      </c>
      <c r="H1" s="236">
        <v>204</v>
      </c>
      <c r="I1" s="236">
        <v>205</v>
      </c>
      <c r="J1" s="236">
        <v>218</v>
      </c>
      <c r="K1" s="236">
        <v>223</v>
      </c>
      <c r="L1" s="236">
        <v>232</v>
      </c>
      <c r="M1" s="236">
        <v>264</v>
      </c>
      <c r="N1" s="236">
        <v>265</v>
      </c>
      <c r="O1" s="236">
        <v>266</v>
      </c>
      <c r="P1" s="236">
        <v>267</v>
      </c>
      <c r="Q1" s="236">
        <v>270</v>
      </c>
      <c r="R1" s="236">
        <v>271</v>
      </c>
      <c r="S1" s="236">
        <v>272</v>
      </c>
      <c r="T1" s="237" t="s">
        <v>413</v>
      </c>
      <c r="U1" s="236" t="s">
        <v>407</v>
      </c>
      <c r="V1" s="237" t="s">
        <v>408</v>
      </c>
      <c r="W1" s="236" t="s">
        <v>409</v>
      </c>
      <c r="X1" s="236" t="s">
        <v>397</v>
      </c>
      <c r="AA1" s="239" t="s">
        <v>410</v>
      </c>
      <c r="AC1" s="239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1" t="s">
        <v>301</v>
      </c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>
        <f>SUM(B3:S3)</f>
        <v>0</v>
      </c>
      <c r="U3" s="240"/>
      <c r="V3" s="241"/>
      <c r="W3" s="241"/>
      <c r="X3" s="243">
        <f>SUM(T3:W3)</f>
        <v>0</v>
      </c>
      <c r="AA3" s="244">
        <v>0</v>
      </c>
      <c r="AC3" s="238">
        <v>0</v>
      </c>
    </row>
    <row r="4" spans="1:29" ht="15.75">
      <c r="A4" s="241" t="s">
        <v>302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>
        <f>SUM(B4:S4)</f>
        <v>0</v>
      </c>
      <c r="U4" s="240"/>
      <c r="V4" s="241"/>
      <c r="W4" s="241"/>
      <c r="X4" s="243">
        <f t="shared" ref="X4:X67" si="0">SUM(T4:W4)</f>
        <v>0</v>
      </c>
      <c r="AA4" s="244">
        <v>0</v>
      </c>
      <c r="AC4" s="238">
        <v>0</v>
      </c>
    </row>
    <row r="5" spans="1:29" ht="15.75">
      <c r="A5" s="241" t="s">
        <v>303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  <c r="R5" s="240"/>
      <c r="S5" s="240"/>
      <c r="T5" s="240">
        <f>SUM(B5:S5)</f>
        <v>0</v>
      </c>
      <c r="U5" s="240"/>
      <c r="V5" s="241"/>
      <c r="W5" s="241"/>
      <c r="X5" s="243">
        <f t="shared" si="0"/>
        <v>0</v>
      </c>
      <c r="AA5" s="244">
        <v>0</v>
      </c>
      <c r="AC5" s="238">
        <v>0</v>
      </c>
    </row>
    <row r="6" spans="1:29" ht="15.75">
      <c r="A6" s="241" t="s">
        <v>304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>
        <f>SUM(B6:S6)</f>
        <v>0</v>
      </c>
      <c r="U6" s="240"/>
      <c r="V6" s="241"/>
      <c r="W6" s="241"/>
      <c r="X6" s="243">
        <f t="shared" si="0"/>
        <v>0</v>
      </c>
      <c r="AA6" s="244">
        <v>0</v>
      </c>
      <c r="AC6" s="238">
        <v>0</v>
      </c>
    </row>
    <row r="7" spans="1:29" ht="15.75">
      <c r="A7" s="241" t="s">
        <v>305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>
        <f>SUM(B7:S7)</f>
        <v>0</v>
      </c>
      <c r="U7" s="240"/>
      <c r="V7" s="241"/>
      <c r="W7" s="241"/>
      <c r="X7" s="243">
        <f t="shared" si="0"/>
        <v>0</v>
      </c>
      <c r="AA7" s="244">
        <v>0</v>
      </c>
      <c r="AC7" s="238">
        <v>0</v>
      </c>
    </row>
    <row r="8" spans="1:29" ht="15.75">
      <c r="A8" s="241" t="s">
        <v>306</v>
      </c>
      <c r="B8" s="240"/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0">
        <f>SUM(B8:S8)</f>
        <v>0</v>
      </c>
      <c r="U8" s="240"/>
      <c r="V8" s="241"/>
      <c r="W8" s="241"/>
      <c r="X8" s="243">
        <f t="shared" si="0"/>
        <v>0</v>
      </c>
      <c r="AA8" s="244">
        <v>0</v>
      </c>
      <c r="AC8" s="238">
        <v>0</v>
      </c>
    </row>
    <row r="9" spans="1:29" ht="15.75">
      <c r="A9" s="241" t="s">
        <v>307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>
        <f>SUM(B9:S9)</f>
        <v>0</v>
      </c>
      <c r="U9" s="240"/>
      <c r="V9" s="241"/>
      <c r="W9" s="241"/>
      <c r="X9" s="243">
        <f t="shared" si="0"/>
        <v>0</v>
      </c>
      <c r="AA9" s="244">
        <v>0</v>
      </c>
      <c r="AC9" s="238">
        <v>0</v>
      </c>
    </row>
    <row r="10" spans="1:29" ht="15.75">
      <c r="A10" s="241" t="s">
        <v>308</v>
      </c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>
        <f>SUM(B10:S10)</f>
        <v>0</v>
      </c>
      <c r="U10" s="240"/>
      <c r="V10" s="241"/>
      <c r="W10" s="241"/>
      <c r="X10" s="243">
        <f t="shared" si="0"/>
        <v>0</v>
      </c>
      <c r="AA10" s="244">
        <v>0</v>
      </c>
      <c r="AC10" s="238">
        <v>0</v>
      </c>
    </row>
    <row r="11" spans="1:29" ht="15.75">
      <c r="A11" s="241" t="s">
        <v>309</v>
      </c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>
        <f>SUM(B11:S11)</f>
        <v>0</v>
      </c>
      <c r="U11" s="240"/>
      <c r="V11" s="241"/>
      <c r="W11" s="241"/>
      <c r="X11" s="243">
        <f t="shared" si="0"/>
        <v>0</v>
      </c>
      <c r="AA11" s="244">
        <v>0</v>
      </c>
      <c r="AC11" s="238">
        <v>0</v>
      </c>
    </row>
    <row r="12" spans="1:29" ht="15.75">
      <c r="A12" s="241" t="s">
        <v>310</v>
      </c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>
        <f>SUM(B12:S12)</f>
        <v>0</v>
      </c>
      <c r="U12" s="240"/>
      <c r="V12" s="241"/>
      <c r="W12" s="241"/>
      <c r="X12" s="243">
        <f t="shared" si="0"/>
        <v>0</v>
      </c>
      <c r="AA12" s="244">
        <v>0</v>
      </c>
      <c r="AC12" s="238">
        <v>0</v>
      </c>
    </row>
    <row r="13" spans="1:29" ht="15.75">
      <c r="A13" s="241" t="s">
        <v>311</v>
      </c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0">
        <f>SUM(B13:S13)</f>
        <v>0</v>
      </c>
      <c r="U13" s="240"/>
      <c r="V13" s="241"/>
      <c r="W13" s="241"/>
      <c r="X13" s="243">
        <f t="shared" si="0"/>
        <v>0</v>
      </c>
      <c r="AA13" s="244">
        <v>0</v>
      </c>
      <c r="AC13" s="238">
        <v>0</v>
      </c>
    </row>
    <row r="14" spans="1:29" ht="15.75">
      <c r="A14" s="241" t="s">
        <v>312</v>
      </c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0">
        <f>SUM(B14:S14)</f>
        <v>0</v>
      </c>
      <c r="U14" s="240"/>
      <c r="V14" s="241"/>
      <c r="W14" s="241"/>
      <c r="X14" s="243">
        <f t="shared" si="0"/>
        <v>0</v>
      </c>
      <c r="AA14" s="244">
        <v>0</v>
      </c>
      <c r="AC14" s="238">
        <v>0</v>
      </c>
    </row>
    <row r="15" spans="1:29" ht="15.75">
      <c r="A15" s="241" t="s">
        <v>313</v>
      </c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>
        <f>SUM(B15:S15)</f>
        <v>0</v>
      </c>
      <c r="U15" s="240"/>
      <c r="V15" s="241"/>
      <c r="W15" s="241">
        <v>0</v>
      </c>
      <c r="X15" s="243">
        <f t="shared" si="0"/>
        <v>0</v>
      </c>
      <c r="AA15" s="244">
        <v>0</v>
      </c>
      <c r="AC15" s="238">
        <v>0</v>
      </c>
    </row>
    <row r="16" spans="1:29" ht="15.75">
      <c r="A16" s="241" t="s">
        <v>314</v>
      </c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0">
        <f>SUM(B16:S16)</f>
        <v>0</v>
      </c>
      <c r="U16" s="240"/>
      <c r="V16" s="241"/>
      <c r="W16" s="241">
        <v>0</v>
      </c>
      <c r="X16" s="243">
        <f t="shared" si="0"/>
        <v>0</v>
      </c>
      <c r="AA16" s="244">
        <v>0</v>
      </c>
      <c r="AC16" s="238">
        <v>0</v>
      </c>
    </row>
    <row r="17" spans="1:29" ht="15.75">
      <c r="A17" s="241" t="s">
        <v>315</v>
      </c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>
        <f>SUM(B17:S17)</f>
        <v>0</v>
      </c>
      <c r="U17" s="240"/>
      <c r="V17" s="241"/>
      <c r="W17" s="241">
        <v>0</v>
      </c>
      <c r="X17" s="243">
        <f t="shared" si="0"/>
        <v>0</v>
      </c>
      <c r="AA17" s="244">
        <v>0</v>
      </c>
      <c r="AC17" s="238">
        <v>0</v>
      </c>
    </row>
    <row r="18" spans="1:29" ht="15.75">
      <c r="A18" s="241" t="s">
        <v>316</v>
      </c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0">
        <f>SUM(B18:S18)</f>
        <v>0</v>
      </c>
      <c r="U18" s="240"/>
      <c r="V18" s="241"/>
      <c r="W18" s="241">
        <v>0</v>
      </c>
      <c r="X18" s="243">
        <f t="shared" si="0"/>
        <v>0</v>
      </c>
      <c r="AA18" s="244">
        <v>0</v>
      </c>
      <c r="AC18" s="238">
        <v>0</v>
      </c>
    </row>
    <row r="19" spans="1:29" ht="15.75">
      <c r="A19" s="241" t="s">
        <v>317</v>
      </c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>
        <f>SUM(B19:S19)</f>
        <v>0</v>
      </c>
      <c r="U19" s="240"/>
      <c r="V19" s="241"/>
      <c r="W19" s="241">
        <v>0</v>
      </c>
      <c r="X19" s="243">
        <f t="shared" si="0"/>
        <v>0</v>
      </c>
      <c r="AA19" s="244">
        <v>50</v>
      </c>
      <c r="AC19" s="238">
        <v>30</v>
      </c>
    </row>
    <row r="20" spans="1:29" ht="15.75">
      <c r="A20" s="241" t="s">
        <v>318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0">
        <f>SUM(B20:S20)</f>
        <v>0</v>
      </c>
      <c r="U20" s="240"/>
      <c r="V20" s="241"/>
      <c r="W20" s="241">
        <v>0</v>
      </c>
      <c r="X20" s="243">
        <f t="shared" si="0"/>
        <v>0</v>
      </c>
      <c r="AA20" s="244">
        <v>50</v>
      </c>
      <c r="AC20" s="238">
        <v>30</v>
      </c>
    </row>
    <row r="21" spans="1:29" ht="15.75">
      <c r="A21" s="241" t="s">
        <v>319</v>
      </c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>
        <f>SUM(B21:S21)</f>
        <v>0</v>
      </c>
      <c r="U21" s="240"/>
      <c r="V21" s="241"/>
      <c r="W21" s="241">
        <v>0</v>
      </c>
      <c r="X21" s="243">
        <f t="shared" si="0"/>
        <v>0</v>
      </c>
      <c r="AA21" s="244">
        <v>50</v>
      </c>
      <c r="AC21" s="238">
        <v>30</v>
      </c>
    </row>
    <row r="22" spans="1:29" ht="15.75">
      <c r="A22" s="241" t="s">
        <v>320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>
        <f>SUM(B22:S22)</f>
        <v>0</v>
      </c>
      <c r="U22" s="240"/>
      <c r="V22" s="241"/>
      <c r="W22" s="241">
        <v>0</v>
      </c>
      <c r="X22" s="243">
        <f t="shared" si="0"/>
        <v>0</v>
      </c>
      <c r="AA22" s="244">
        <v>50</v>
      </c>
      <c r="AC22" s="238">
        <v>32</v>
      </c>
    </row>
    <row r="23" spans="1:29" ht="15.75">
      <c r="A23" s="241" t="s">
        <v>321</v>
      </c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>
        <f>SUM(B23:S23)</f>
        <v>0</v>
      </c>
      <c r="U23" s="240"/>
      <c r="V23" s="241"/>
      <c r="W23" s="241">
        <v>0</v>
      </c>
      <c r="X23" s="243">
        <f>SUM(T23:W23)</f>
        <v>0</v>
      </c>
      <c r="AA23" s="244">
        <v>50</v>
      </c>
      <c r="AC23" s="238">
        <v>33</v>
      </c>
    </row>
    <row r="24" spans="1:29" ht="15.75">
      <c r="A24" s="241" t="s">
        <v>322</v>
      </c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0">
        <f>SUM(B24:S24)</f>
        <v>0</v>
      </c>
      <c r="U24" s="240"/>
      <c r="V24" s="241"/>
      <c r="W24" s="241">
        <v>0</v>
      </c>
      <c r="X24" s="243">
        <f t="shared" si="0"/>
        <v>0</v>
      </c>
      <c r="AA24" s="244">
        <v>50</v>
      </c>
      <c r="AC24" s="238">
        <v>35</v>
      </c>
    </row>
    <row r="25" spans="1:29" ht="15.75">
      <c r="A25" s="241" t="s">
        <v>323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>
        <f>SUM(B25:S25)</f>
        <v>0</v>
      </c>
      <c r="U25" s="240"/>
      <c r="V25" s="241"/>
      <c r="W25" s="241">
        <v>0</v>
      </c>
      <c r="X25" s="243">
        <f t="shared" si="0"/>
        <v>0</v>
      </c>
      <c r="AA25" s="244">
        <v>50</v>
      </c>
      <c r="AC25" s="238">
        <v>35</v>
      </c>
    </row>
    <row r="26" spans="1:29" ht="15.75">
      <c r="A26" s="241" t="s">
        <v>324</v>
      </c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0">
        <f>SUM(B26:S26)</f>
        <v>0</v>
      </c>
      <c r="U26" s="240"/>
      <c r="V26" s="241"/>
      <c r="W26" s="241">
        <v>0</v>
      </c>
      <c r="X26" s="243">
        <f t="shared" si="0"/>
        <v>0</v>
      </c>
      <c r="AA26" s="244">
        <v>50</v>
      </c>
      <c r="AC26" s="238">
        <v>35</v>
      </c>
    </row>
    <row r="27" spans="1:29" ht="15.75">
      <c r="A27" s="241" t="s">
        <v>325</v>
      </c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>
        <f>SUM(B27:S27)</f>
        <v>0</v>
      </c>
      <c r="U27" s="240"/>
      <c r="V27" s="241"/>
      <c r="W27" s="241">
        <v>0</v>
      </c>
      <c r="X27" s="243">
        <f t="shared" si="0"/>
        <v>0</v>
      </c>
      <c r="AA27" s="244">
        <v>50</v>
      </c>
      <c r="AC27" s="238">
        <v>35</v>
      </c>
    </row>
    <row r="28" spans="1:29" ht="15.75">
      <c r="A28" s="241" t="s">
        <v>326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0">
        <f>SUM(B28:S28)</f>
        <v>0</v>
      </c>
      <c r="U28" s="240"/>
      <c r="V28" s="241"/>
      <c r="W28" s="241">
        <v>0</v>
      </c>
      <c r="X28" s="243">
        <f t="shared" si="0"/>
        <v>0</v>
      </c>
      <c r="AA28" s="244">
        <v>50</v>
      </c>
      <c r="AC28" s="238">
        <v>35</v>
      </c>
    </row>
    <row r="29" spans="1:29" ht="15.75">
      <c r="A29" s="241" t="s">
        <v>327</v>
      </c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>
        <f>SUM(B29:S29)</f>
        <v>0</v>
      </c>
      <c r="U29" s="240"/>
      <c r="V29" s="241"/>
      <c r="W29" s="241">
        <v>0</v>
      </c>
      <c r="X29" s="243">
        <f t="shared" si="0"/>
        <v>0</v>
      </c>
      <c r="AA29" s="244">
        <v>50</v>
      </c>
      <c r="AC29" s="238">
        <v>35</v>
      </c>
    </row>
    <row r="30" spans="1:29" ht="15.75">
      <c r="A30" s="241" t="s">
        <v>328</v>
      </c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0">
        <f>SUM(B30:S30)</f>
        <v>0</v>
      </c>
      <c r="U30" s="240"/>
      <c r="V30" s="241"/>
      <c r="W30" s="241">
        <v>0</v>
      </c>
      <c r="X30" s="243">
        <f t="shared" si="0"/>
        <v>0</v>
      </c>
      <c r="AA30" s="244">
        <v>50</v>
      </c>
      <c r="AC30" s="238">
        <v>35</v>
      </c>
    </row>
    <row r="31" spans="1:29" ht="15.75">
      <c r="A31" s="241" t="s">
        <v>329</v>
      </c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>
        <f>SUM(B31:S31)</f>
        <v>0</v>
      </c>
      <c r="U31" s="240"/>
      <c r="V31" s="241"/>
      <c r="W31" s="241">
        <v>0</v>
      </c>
      <c r="X31" s="243">
        <f t="shared" si="0"/>
        <v>0</v>
      </c>
      <c r="AA31" s="244">
        <v>50</v>
      </c>
      <c r="AC31" s="238">
        <v>40</v>
      </c>
    </row>
    <row r="32" spans="1:29" ht="15.75">
      <c r="A32" s="241" t="s">
        <v>330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0">
        <f>SUM(B32:S32)</f>
        <v>0</v>
      </c>
      <c r="U32" s="240"/>
      <c r="V32" s="241"/>
      <c r="W32" s="241">
        <v>0</v>
      </c>
      <c r="X32" s="243">
        <f t="shared" si="0"/>
        <v>0</v>
      </c>
      <c r="AA32" s="244">
        <v>50</v>
      </c>
      <c r="AC32" s="238">
        <v>40</v>
      </c>
    </row>
    <row r="33" spans="1:29" ht="15.75">
      <c r="A33" s="241" t="s">
        <v>331</v>
      </c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>
        <f>SUM(B33:S33)</f>
        <v>0</v>
      </c>
      <c r="U33" s="240"/>
      <c r="V33" s="241"/>
      <c r="W33" s="241">
        <v>0</v>
      </c>
      <c r="X33" s="243">
        <f t="shared" si="0"/>
        <v>0</v>
      </c>
      <c r="AA33" s="244">
        <v>50</v>
      </c>
      <c r="AC33" s="238">
        <v>40</v>
      </c>
    </row>
    <row r="34" spans="1:29" ht="15.75">
      <c r="A34" s="241" t="s">
        <v>332</v>
      </c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0">
        <f>SUM(B34:S34)</f>
        <v>0</v>
      </c>
      <c r="U34" s="240"/>
      <c r="V34" s="241"/>
      <c r="W34" s="241">
        <v>0</v>
      </c>
      <c r="X34" s="243">
        <f t="shared" si="0"/>
        <v>0</v>
      </c>
      <c r="AA34" s="244">
        <v>50</v>
      </c>
      <c r="AC34" s="238">
        <v>40</v>
      </c>
    </row>
    <row r="35" spans="1:29" ht="15.75">
      <c r="A35" s="241" t="s">
        <v>333</v>
      </c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>
        <f>SUM(B35:S35)</f>
        <v>0</v>
      </c>
      <c r="U35" s="240"/>
      <c r="V35" s="241"/>
      <c r="W35" s="241">
        <v>0</v>
      </c>
      <c r="X35" s="243">
        <f t="shared" si="0"/>
        <v>0</v>
      </c>
      <c r="AA35" s="244">
        <v>50</v>
      </c>
      <c r="AC35" s="238">
        <v>40</v>
      </c>
    </row>
    <row r="36" spans="1:29" ht="15.75">
      <c r="A36" s="241" t="s">
        <v>334</v>
      </c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0">
        <f>SUM(B36:S36)</f>
        <v>0</v>
      </c>
      <c r="U36" s="240"/>
      <c r="V36" s="241"/>
      <c r="W36" s="241">
        <v>0</v>
      </c>
      <c r="X36" s="243">
        <f t="shared" si="0"/>
        <v>0</v>
      </c>
      <c r="AA36" s="244">
        <v>50</v>
      </c>
      <c r="AC36" s="238">
        <v>40</v>
      </c>
    </row>
    <row r="37" spans="1:29" ht="15.75">
      <c r="A37" s="241" t="s">
        <v>335</v>
      </c>
      <c r="B37" s="240">
        <v>-100</v>
      </c>
      <c r="C37" s="240">
        <v>-65</v>
      </c>
      <c r="D37" s="240">
        <v>-55</v>
      </c>
      <c r="E37" s="240">
        <v>-50</v>
      </c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>
        <f>SUM(B37:S37)</f>
        <v>-270</v>
      </c>
      <c r="U37" s="240"/>
      <c r="V37" s="241">
        <v>70.16</v>
      </c>
      <c r="W37" s="241">
        <v>0</v>
      </c>
      <c r="X37" s="243">
        <f t="shared" si="0"/>
        <v>-199.84</v>
      </c>
      <c r="AA37" s="244">
        <v>50</v>
      </c>
      <c r="AC37" s="238">
        <v>40</v>
      </c>
    </row>
    <row r="38" spans="1:29" ht="15.75">
      <c r="A38" s="241" t="s">
        <v>336</v>
      </c>
      <c r="B38" s="240">
        <v>-100</v>
      </c>
      <c r="C38" s="240">
        <v>-65</v>
      </c>
      <c r="D38" s="240">
        <v>-67</v>
      </c>
      <c r="E38" s="240">
        <v>-50</v>
      </c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0">
        <f>SUM(B38:S38)</f>
        <v>-282</v>
      </c>
      <c r="U38" s="240"/>
      <c r="V38" s="241">
        <v>70.16</v>
      </c>
      <c r="W38" s="241">
        <v>0</v>
      </c>
      <c r="X38" s="243">
        <f t="shared" si="0"/>
        <v>-211.84</v>
      </c>
      <c r="AA38" s="244">
        <v>50</v>
      </c>
      <c r="AC38" s="238">
        <v>45</v>
      </c>
    </row>
    <row r="39" spans="1:29" ht="15.75">
      <c r="A39" s="241" t="s">
        <v>337</v>
      </c>
      <c r="B39" s="240">
        <v>-100</v>
      </c>
      <c r="C39" s="240">
        <v>-65</v>
      </c>
      <c r="D39" s="240">
        <v>-67</v>
      </c>
      <c r="E39" s="240">
        <v>-50</v>
      </c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>
        <v>-1</v>
      </c>
      <c r="Q39" s="240"/>
      <c r="R39" s="240"/>
      <c r="S39" s="240"/>
      <c r="T39" s="240">
        <f>SUM(B39:S39)</f>
        <v>-283</v>
      </c>
      <c r="U39" s="240"/>
      <c r="V39" s="241">
        <v>70.16</v>
      </c>
      <c r="W39" s="241">
        <v>0</v>
      </c>
      <c r="X39" s="243">
        <f t="shared" si="0"/>
        <v>-212.84</v>
      </c>
      <c r="AA39" s="244">
        <v>50</v>
      </c>
      <c r="AC39" s="238">
        <v>45</v>
      </c>
    </row>
    <row r="40" spans="1:29" ht="15.75">
      <c r="A40" s="241" t="s">
        <v>338</v>
      </c>
      <c r="B40" s="240">
        <v>-100</v>
      </c>
      <c r="C40" s="240">
        <v>-65</v>
      </c>
      <c r="D40" s="240">
        <v>-67</v>
      </c>
      <c r="E40" s="240">
        <v>-50</v>
      </c>
      <c r="F40" s="240"/>
      <c r="G40" s="240"/>
      <c r="H40" s="240"/>
      <c r="I40" s="240"/>
      <c r="J40" s="240"/>
      <c r="K40" s="240"/>
      <c r="L40" s="240"/>
      <c r="M40" s="240"/>
      <c r="N40" s="240"/>
      <c r="O40" s="240"/>
      <c r="P40" s="240">
        <v>-1</v>
      </c>
      <c r="Q40" s="240"/>
      <c r="R40" s="240"/>
      <c r="S40" s="240"/>
      <c r="T40" s="240">
        <f>SUM(B40:S40)</f>
        <v>-283</v>
      </c>
      <c r="U40" s="240"/>
      <c r="V40" s="241">
        <v>70.16</v>
      </c>
      <c r="W40" s="241">
        <v>0</v>
      </c>
      <c r="X40" s="243">
        <f t="shared" si="0"/>
        <v>-212.84</v>
      </c>
      <c r="AA40" s="244">
        <v>50</v>
      </c>
      <c r="AC40" s="238">
        <v>45</v>
      </c>
    </row>
    <row r="41" spans="1:29" ht="15.75">
      <c r="A41" s="241" t="s">
        <v>339</v>
      </c>
      <c r="B41" s="240">
        <v>-120</v>
      </c>
      <c r="C41" s="240">
        <v>-65</v>
      </c>
      <c r="D41" s="240">
        <v>-67</v>
      </c>
      <c r="E41" s="240">
        <v>-50</v>
      </c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>
        <v>-1</v>
      </c>
      <c r="Q41" s="240"/>
      <c r="R41" s="240"/>
      <c r="S41" s="240"/>
      <c r="T41" s="240">
        <f>SUM(B41:S41)</f>
        <v>-303</v>
      </c>
      <c r="U41" s="240"/>
      <c r="V41" s="241">
        <v>70.16</v>
      </c>
      <c r="W41" s="241">
        <v>0</v>
      </c>
      <c r="X41" s="243">
        <f t="shared" si="0"/>
        <v>-232.84</v>
      </c>
      <c r="AA41" s="244">
        <v>50</v>
      </c>
      <c r="AC41" s="238">
        <v>45</v>
      </c>
    </row>
    <row r="42" spans="1:29" ht="15.75">
      <c r="A42" s="241" t="s">
        <v>340</v>
      </c>
      <c r="B42" s="240">
        <v>-120</v>
      </c>
      <c r="C42" s="240">
        <v>-65</v>
      </c>
      <c r="D42" s="240">
        <v>-67</v>
      </c>
      <c r="E42" s="240">
        <v>-50</v>
      </c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>
        <v>-1</v>
      </c>
      <c r="Q42" s="240"/>
      <c r="R42" s="240"/>
      <c r="S42" s="240"/>
      <c r="T42" s="240">
        <f>SUM(B42:S42)</f>
        <v>-303</v>
      </c>
      <c r="U42" s="240"/>
      <c r="V42" s="241">
        <v>70.16</v>
      </c>
      <c r="W42" s="241">
        <v>0</v>
      </c>
      <c r="X42" s="243">
        <f t="shared" si="0"/>
        <v>-232.84</v>
      </c>
      <c r="AA42" s="244">
        <v>50</v>
      </c>
      <c r="AC42" s="238">
        <v>45</v>
      </c>
    </row>
    <row r="43" spans="1:29" ht="15.75">
      <c r="A43" s="241" t="s">
        <v>341</v>
      </c>
      <c r="B43" s="240">
        <v>-140</v>
      </c>
      <c r="C43" s="240">
        <v>-65</v>
      </c>
      <c r="D43" s="240">
        <v>-67</v>
      </c>
      <c r="E43" s="240">
        <v>-50</v>
      </c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>
        <v>-1</v>
      </c>
      <c r="Q43" s="240"/>
      <c r="R43" s="240"/>
      <c r="S43" s="240"/>
      <c r="T43" s="240">
        <f>SUM(B43:S43)</f>
        <v>-323</v>
      </c>
      <c r="U43" s="240"/>
      <c r="V43" s="241">
        <v>70.16</v>
      </c>
      <c r="W43" s="241">
        <v>0</v>
      </c>
      <c r="X43" s="243">
        <f t="shared" si="0"/>
        <v>-252.84</v>
      </c>
      <c r="AA43" s="244">
        <v>50</v>
      </c>
      <c r="AC43" s="238">
        <v>45</v>
      </c>
    </row>
    <row r="44" spans="1:29" ht="15.75">
      <c r="A44" s="241" t="s">
        <v>342</v>
      </c>
      <c r="B44" s="240">
        <v>-140</v>
      </c>
      <c r="C44" s="240">
        <v>-65</v>
      </c>
      <c r="D44" s="240">
        <v>-67</v>
      </c>
      <c r="E44" s="240">
        <v>-50</v>
      </c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>
        <v>-1</v>
      </c>
      <c r="Q44" s="240"/>
      <c r="R44" s="240"/>
      <c r="S44" s="240"/>
      <c r="T44" s="240">
        <f>SUM(B44:S44)</f>
        <v>-323</v>
      </c>
      <c r="U44" s="240"/>
      <c r="V44" s="241">
        <v>70.16</v>
      </c>
      <c r="W44" s="241">
        <v>0</v>
      </c>
      <c r="X44" s="243">
        <f t="shared" si="0"/>
        <v>-252.84</v>
      </c>
      <c r="AA44" s="244">
        <v>50</v>
      </c>
      <c r="AC44" s="238">
        <v>45</v>
      </c>
    </row>
    <row r="45" spans="1:29" ht="15.75">
      <c r="A45" s="241" t="s">
        <v>343</v>
      </c>
      <c r="B45" s="240">
        <v>-140</v>
      </c>
      <c r="C45" s="240">
        <v>-65</v>
      </c>
      <c r="D45" s="240">
        <v>-67</v>
      </c>
      <c r="E45" s="240">
        <v>-50</v>
      </c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>
        <v>-1</v>
      </c>
      <c r="Q45" s="240"/>
      <c r="R45" s="240"/>
      <c r="S45" s="240"/>
      <c r="T45" s="240">
        <f>SUM(B45:S45)</f>
        <v>-323</v>
      </c>
      <c r="U45" s="240"/>
      <c r="V45" s="241">
        <v>70.16</v>
      </c>
      <c r="W45" s="241">
        <v>0</v>
      </c>
      <c r="X45" s="243">
        <f t="shared" si="0"/>
        <v>-252.84</v>
      </c>
      <c r="AA45" s="244">
        <v>50</v>
      </c>
      <c r="AC45" s="238">
        <v>45</v>
      </c>
    </row>
    <row r="46" spans="1:29" ht="15.75">
      <c r="A46" s="241" t="s">
        <v>344</v>
      </c>
      <c r="B46" s="240">
        <v>-140</v>
      </c>
      <c r="C46" s="240">
        <v>-65</v>
      </c>
      <c r="D46" s="240">
        <v>-67</v>
      </c>
      <c r="E46" s="240">
        <v>-50</v>
      </c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>
        <v>-1</v>
      </c>
      <c r="Q46" s="240"/>
      <c r="R46" s="240"/>
      <c r="S46" s="240"/>
      <c r="T46" s="240">
        <f>SUM(B46:S46)</f>
        <v>-323</v>
      </c>
      <c r="U46" s="240"/>
      <c r="V46" s="241">
        <v>70.16</v>
      </c>
      <c r="W46" s="241">
        <v>0</v>
      </c>
      <c r="X46" s="243">
        <f t="shared" si="0"/>
        <v>-252.84</v>
      </c>
      <c r="AA46" s="244">
        <v>50</v>
      </c>
      <c r="AC46" s="238">
        <v>45</v>
      </c>
    </row>
    <row r="47" spans="1:29" ht="15.75">
      <c r="A47" s="241" t="s">
        <v>345</v>
      </c>
      <c r="B47" s="240">
        <v>-140</v>
      </c>
      <c r="C47" s="240">
        <v>-65</v>
      </c>
      <c r="D47" s="240">
        <v>-67</v>
      </c>
      <c r="E47" s="240">
        <v>-50</v>
      </c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>
        <v>-1</v>
      </c>
      <c r="Q47" s="240"/>
      <c r="R47" s="240"/>
      <c r="S47" s="240"/>
      <c r="T47" s="240">
        <f>SUM(B47:S47)</f>
        <v>-323</v>
      </c>
      <c r="U47" s="240"/>
      <c r="V47" s="241">
        <v>70.16</v>
      </c>
      <c r="W47" s="241">
        <v>0</v>
      </c>
      <c r="X47" s="243">
        <f t="shared" si="0"/>
        <v>-252.84</v>
      </c>
      <c r="AA47" s="244">
        <v>50</v>
      </c>
      <c r="AC47" s="238">
        <v>45</v>
      </c>
    </row>
    <row r="48" spans="1:29" ht="15.75">
      <c r="A48" s="241" t="s">
        <v>346</v>
      </c>
      <c r="B48" s="240">
        <v>-140</v>
      </c>
      <c r="C48" s="240">
        <v>-65</v>
      </c>
      <c r="D48" s="240">
        <v>-67</v>
      </c>
      <c r="E48" s="240">
        <v>-50</v>
      </c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>
        <v>-1</v>
      </c>
      <c r="Q48" s="240"/>
      <c r="R48" s="240"/>
      <c r="S48" s="240"/>
      <c r="T48" s="240">
        <f>SUM(B48:S48)</f>
        <v>-323</v>
      </c>
      <c r="U48" s="240"/>
      <c r="V48" s="241">
        <v>70.16</v>
      </c>
      <c r="W48" s="241">
        <v>0</v>
      </c>
      <c r="X48" s="243">
        <f t="shared" si="0"/>
        <v>-252.84</v>
      </c>
      <c r="AA48" s="244">
        <v>50</v>
      </c>
      <c r="AC48" s="238">
        <v>45</v>
      </c>
    </row>
    <row r="49" spans="1:29" ht="15.75">
      <c r="A49" s="241" t="s">
        <v>347</v>
      </c>
      <c r="B49" s="240">
        <v>-140</v>
      </c>
      <c r="C49" s="240">
        <v>-65</v>
      </c>
      <c r="D49" s="240">
        <v>-67</v>
      </c>
      <c r="E49" s="240">
        <v>-50</v>
      </c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>
        <v>-1</v>
      </c>
      <c r="Q49" s="240"/>
      <c r="R49" s="240"/>
      <c r="S49" s="240"/>
      <c r="T49" s="240">
        <f>SUM(B49:S49)</f>
        <v>-323</v>
      </c>
      <c r="U49" s="240"/>
      <c r="V49" s="241">
        <v>70.16</v>
      </c>
      <c r="W49" s="241">
        <v>0</v>
      </c>
      <c r="X49" s="243">
        <f t="shared" si="0"/>
        <v>-252.84</v>
      </c>
      <c r="AA49" s="244">
        <v>50</v>
      </c>
      <c r="AC49" s="238">
        <v>45</v>
      </c>
    </row>
    <row r="50" spans="1:29" ht="15.75">
      <c r="A50" s="241" t="s">
        <v>348</v>
      </c>
      <c r="B50" s="240">
        <v>-140</v>
      </c>
      <c r="C50" s="240">
        <v>-65</v>
      </c>
      <c r="D50" s="240">
        <v>-67</v>
      </c>
      <c r="E50" s="240">
        <v>-50</v>
      </c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>
        <v>-1</v>
      </c>
      <c r="Q50" s="240"/>
      <c r="R50" s="240"/>
      <c r="S50" s="240"/>
      <c r="T50" s="240">
        <f>SUM(B50:S50)</f>
        <v>-323</v>
      </c>
      <c r="U50" s="240"/>
      <c r="V50" s="241">
        <v>70.16</v>
      </c>
      <c r="W50" s="241">
        <v>0</v>
      </c>
      <c r="X50" s="243">
        <f t="shared" si="0"/>
        <v>-252.84</v>
      </c>
      <c r="AA50" s="244">
        <v>50</v>
      </c>
      <c r="AC50" s="238">
        <v>45</v>
      </c>
    </row>
    <row r="51" spans="1:29" ht="15.75">
      <c r="A51" s="241" t="s">
        <v>349</v>
      </c>
      <c r="B51" s="240">
        <v>-140</v>
      </c>
      <c r="C51" s="240">
        <v>-65</v>
      </c>
      <c r="D51" s="240">
        <v>-67</v>
      </c>
      <c r="E51" s="240">
        <v>-50</v>
      </c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>
        <v>-1</v>
      </c>
      <c r="Q51" s="240"/>
      <c r="R51" s="240"/>
      <c r="S51" s="240"/>
      <c r="T51" s="240">
        <f>SUM(B51:S51)</f>
        <v>-323</v>
      </c>
      <c r="U51" s="240"/>
      <c r="V51" s="241">
        <v>70.16</v>
      </c>
      <c r="W51" s="241">
        <v>0</v>
      </c>
      <c r="X51" s="243">
        <f t="shared" si="0"/>
        <v>-252.84</v>
      </c>
      <c r="AA51" s="244">
        <v>50</v>
      </c>
      <c r="AC51" s="238">
        <v>45</v>
      </c>
    </row>
    <row r="52" spans="1:29" ht="15.75">
      <c r="A52" s="241" t="s">
        <v>350</v>
      </c>
      <c r="B52" s="240">
        <v>-140</v>
      </c>
      <c r="C52" s="240">
        <v>-65</v>
      </c>
      <c r="D52" s="240">
        <v>-67</v>
      </c>
      <c r="E52" s="240">
        <v>-50</v>
      </c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>
        <v>-1</v>
      </c>
      <c r="Q52" s="240"/>
      <c r="R52" s="240"/>
      <c r="S52" s="240"/>
      <c r="T52" s="240">
        <f>SUM(B52:S52)</f>
        <v>-323</v>
      </c>
      <c r="U52" s="240"/>
      <c r="V52" s="241">
        <v>70.16</v>
      </c>
      <c r="W52" s="241">
        <v>0</v>
      </c>
      <c r="X52" s="243">
        <f t="shared" si="0"/>
        <v>-252.84</v>
      </c>
      <c r="AA52" s="244">
        <v>50</v>
      </c>
      <c r="AC52" s="238">
        <v>45</v>
      </c>
    </row>
    <row r="53" spans="1:29" ht="15.75">
      <c r="A53" s="241" t="s">
        <v>351</v>
      </c>
      <c r="B53" s="240">
        <v>-140</v>
      </c>
      <c r="C53" s="240">
        <v>-65</v>
      </c>
      <c r="D53" s="240">
        <v>-67</v>
      </c>
      <c r="E53" s="240">
        <v>-50</v>
      </c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>
        <v>-1</v>
      </c>
      <c r="Q53" s="240"/>
      <c r="R53" s="240"/>
      <c r="S53" s="240"/>
      <c r="T53" s="240">
        <f>SUM(B53:S53)</f>
        <v>-323</v>
      </c>
      <c r="U53" s="240"/>
      <c r="V53" s="241">
        <v>70.16</v>
      </c>
      <c r="W53" s="241">
        <v>0</v>
      </c>
      <c r="X53" s="243">
        <f t="shared" si="0"/>
        <v>-252.84</v>
      </c>
      <c r="AA53" s="244">
        <v>50</v>
      </c>
      <c r="AC53" s="238">
        <v>45</v>
      </c>
    </row>
    <row r="54" spans="1:29" ht="15.75">
      <c r="A54" s="241" t="s">
        <v>352</v>
      </c>
      <c r="B54" s="240">
        <v>-140</v>
      </c>
      <c r="C54" s="240">
        <v>-65</v>
      </c>
      <c r="D54" s="240">
        <v>-67</v>
      </c>
      <c r="E54" s="240">
        <v>-50</v>
      </c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>
        <v>-1</v>
      </c>
      <c r="Q54" s="240"/>
      <c r="R54" s="240"/>
      <c r="S54" s="240"/>
      <c r="T54" s="240">
        <f>SUM(B54:S54)</f>
        <v>-323</v>
      </c>
      <c r="U54" s="240"/>
      <c r="V54" s="241">
        <v>70.16</v>
      </c>
      <c r="W54" s="241">
        <v>0</v>
      </c>
      <c r="X54" s="243">
        <f t="shared" si="0"/>
        <v>-252.84</v>
      </c>
      <c r="AA54" s="244">
        <v>50</v>
      </c>
      <c r="AC54" s="238">
        <v>45</v>
      </c>
    </row>
    <row r="55" spans="1:29" ht="15.75">
      <c r="A55" s="241" t="s">
        <v>353</v>
      </c>
      <c r="B55" s="240">
        <v>-140</v>
      </c>
      <c r="C55" s="240">
        <v>-65</v>
      </c>
      <c r="D55" s="240">
        <v>-67</v>
      </c>
      <c r="E55" s="240">
        <v>-50</v>
      </c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>
        <v>-1</v>
      </c>
      <c r="Q55" s="240"/>
      <c r="R55" s="240"/>
      <c r="S55" s="240"/>
      <c r="T55" s="240">
        <f>SUM(B55:S55)</f>
        <v>-323</v>
      </c>
      <c r="U55" s="240"/>
      <c r="V55" s="241">
        <v>70.16</v>
      </c>
      <c r="W55" s="241">
        <v>0</v>
      </c>
      <c r="X55" s="243">
        <f t="shared" si="0"/>
        <v>-252.84</v>
      </c>
      <c r="AA55" s="244">
        <v>50</v>
      </c>
      <c r="AC55" s="238">
        <v>45</v>
      </c>
    </row>
    <row r="56" spans="1:29" ht="15.75">
      <c r="A56" s="241" t="s">
        <v>354</v>
      </c>
      <c r="B56" s="240">
        <v>-140</v>
      </c>
      <c r="C56" s="240">
        <v>-65</v>
      </c>
      <c r="D56" s="240">
        <v>-67</v>
      </c>
      <c r="E56" s="240">
        <v>-50</v>
      </c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>
        <v>-1</v>
      </c>
      <c r="Q56" s="240"/>
      <c r="R56" s="240"/>
      <c r="S56" s="240"/>
      <c r="T56" s="240">
        <f>SUM(B56:S56)</f>
        <v>-323</v>
      </c>
      <c r="U56" s="240"/>
      <c r="V56" s="241">
        <v>70.16</v>
      </c>
      <c r="W56" s="241">
        <v>0</v>
      </c>
      <c r="X56" s="243">
        <f t="shared" si="0"/>
        <v>-252.84</v>
      </c>
      <c r="AA56" s="244">
        <v>50</v>
      </c>
      <c r="AC56" s="238">
        <v>45</v>
      </c>
    </row>
    <row r="57" spans="1:29" ht="15.75">
      <c r="A57" s="241" t="s">
        <v>355</v>
      </c>
      <c r="B57" s="240">
        <v>-140</v>
      </c>
      <c r="C57" s="240">
        <v>-65</v>
      </c>
      <c r="D57" s="240">
        <v>-67</v>
      </c>
      <c r="E57" s="240">
        <v>-50</v>
      </c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>
        <v>-1</v>
      </c>
      <c r="Q57" s="240"/>
      <c r="R57" s="240"/>
      <c r="S57" s="240"/>
      <c r="T57" s="240">
        <f>SUM(B57:S57)</f>
        <v>-323</v>
      </c>
      <c r="U57" s="240"/>
      <c r="V57" s="241">
        <v>70.16</v>
      </c>
      <c r="W57" s="241">
        <v>0</v>
      </c>
      <c r="X57" s="243">
        <f t="shared" si="0"/>
        <v>-252.84</v>
      </c>
      <c r="AA57" s="244">
        <v>50</v>
      </c>
      <c r="AC57" s="238">
        <v>45</v>
      </c>
    </row>
    <row r="58" spans="1:29" ht="15.75">
      <c r="A58" s="241" t="s">
        <v>356</v>
      </c>
      <c r="B58" s="240">
        <v>-140</v>
      </c>
      <c r="C58" s="240">
        <v>-65</v>
      </c>
      <c r="D58" s="240">
        <v>-67</v>
      </c>
      <c r="E58" s="240">
        <v>-50</v>
      </c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>
        <v>-1</v>
      </c>
      <c r="Q58" s="240"/>
      <c r="R58" s="240"/>
      <c r="S58" s="240"/>
      <c r="T58" s="240">
        <f>SUM(B58:S58)</f>
        <v>-323</v>
      </c>
      <c r="U58" s="240"/>
      <c r="V58" s="241">
        <v>70.16</v>
      </c>
      <c r="W58" s="241">
        <v>0</v>
      </c>
      <c r="X58" s="243">
        <f t="shared" si="0"/>
        <v>-252.84</v>
      </c>
      <c r="AA58" s="244">
        <v>50</v>
      </c>
      <c r="AC58" s="238">
        <v>45</v>
      </c>
    </row>
    <row r="59" spans="1:29" ht="15.75">
      <c r="A59" s="241" t="s">
        <v>357</v>
      </c>
      <c r="B59" s="240">
        <v>-140</v>
      </c>
      <c r="C59" s="240">
        <v>-65</v>
      </c>
      <c r="D59" s="240">
        <v>-67</v>
      </c>
      <c r="E59" s="240">
        <v>-50</v>
      </c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>
        <v>-1</v>
      </c>
      <c r="Q59" s="240"/>
      <c r="R59" s="240"/>
      <c r="S59" s="240"/>
      <c r="T59" s="240">
        <f>SUM(B59:S59)</f>
        <v>-323</v>
      </c>
      <c r="U59" s="240"/>
      <c r="V59" s="241">
        <v>70.16</v>
      </c>
      <c r="W59" s="241">
        <v>0</v>
      </c>
      <c r="X59" s="243">
        <f t="shared" si="0"/>
        <v>-252.84</v>
      </c>
      <c r="AA59" s="244">
        <v>50</v>
      </c>
      <c r="AC59" s="238">
        <v>45</v>
      </c>
    </row>
    <row r="60" spans="1:29" ht="15.75">
      <c r="A60" s="241" t="s">
        <v>358</v>
      </c>
      <c r="B60" s="240">
        <v>-140</v>
      </c>
      <c r="C60" s="240">
        <v>-65</v>
      </c>
      <c r="D60" s="240">
        <v>-67</v>
      </c>
      <c r="E60" s="240">
        <v>-50</v>
      </c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>
        <v>-1</v>
      </c>
      <c r="Q60" s="240"/>
      <c r="R60" s="240"/>
      <c r="S60" s="240"/>
      <c r="T60" s="240">
        <f>SUM(B60:S60)</f>
        <v>-323</v>
      </c>
      <c r="U60" s="240"/>
      <c r="V60" s="241">
        <v>70.16</v>
      </c>
      <c r="W60" s="241">
        <v>0</v>
      </c>
      <c r="X60" s="243">
        <f t="shared" si="0"/>
        <v>-252.84</v>
      </c>
      <c r="AA60" s="244">
        <v>50</v>
      </c>
      <c r="AC60" s="238">
        <v>45</v>
      </c>
    </row>
    <row r="61" spans="1:29" ht="15.75">
      <c r="A61" s="241" t="s">
        <v>359</v>
      </c>
      <c r="B61" s="240">
        <v>-140</v>
      </c>
      <c r="C61" s="240">
        <v>-65</v>
      </c>
      <c r="D61" s="240">
        <v>-67</v>
      </c>
      <c r="E61" s="240">
        <v>-50</v>
      </c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>
        <v>-1</v>
      </c>
      <c r="Q61" s="240"/>
      <c r="R61" s="240"/>
      <c r="S61" s="240"/>
      <c r="T61" s="240">
        <f>SUM(B61:S61)</f>
        <v>-323</v>
      </c>
      <c r="U61" s="240"/>
      <c r="V61" s="241">
        <v>70.16</v>
      </c>
      <c r="W61" s="241">
        <v>0</v>
      </c>
      <c r="X61" s="243">
        <f t="shared" si="0"/>
        <v>-252.84</v>
      </c>
      <c r="AA61" s="244">
        <v>50</v>
      </c>
      <c r="AC61" s="238">
        <v>45</v>
      </c>
    </row>
    <row r="62" spans="1:29" ht="15.75">
      <c r="A62" s="241" t="s">
        <v>360</v>
      </c>
      <c r="B62" s="240">
        <v>-140</v>
      </c>
      <c r="C62" s="240">
        <v>-65</v>
      </c>
      <c r="D62" s="240">
        <v>-67</v>
      </c>
      <c r="E62" s="240">
        <v>-50</v>
      </c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>
        <v>-1</v>
      </c>
      <c r="Q62" s="240"/>
      <c r="R62" s="240"/>
      <c r="S62" s="240"/>
      <c r="T62" s="240">
        <f>SUM(B62:S62)</f>
        <v>-323</v>
      </c>
      <c r="U62" s="240"/>
      <c r="V62" s="241">
        <v>70.16</v>
      </c>
      <c r="W62" s="241">
        <v>0</v>
      </c>
      <c r="X62" s="243">
        <f t="shared" si="0"/>
        <v>-252.84</v>
      </c>
      <c r="AA62" s="244">
        <v>50</v>
      </c>
      <c r="AC62" s="238">
        <v>45</v>
      </c>
    </row>
    <row r="63" spans="1:29" ht="15.75">
      <c r="A63" s="241" t="s">
        <v>361</v>
      </c>
      <c r="B63" s="240">
        <v>-140</v>
      </c>
      <c r="C63" s="240">
        <v>-65</v>
      </c>
      <c r="D63" s="240">
        <v>-67</v>
      </c>
      <c r="E63" s="240">
        <v>-50</v>
      </c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>
        <v>-1</v>
      </c>
      <c r="Q63" s="240"/>
      <c r="R63" s="240"/>
      <c r="S63" s="240"/>
      <c r="T63" s="240">
        <f>SUM(B63:S63)</f>
        <v>-323</v>
      </c>
      <c r="U63" s="240"/>
      <c r="V63" s="241">
        <v>70.16</v>
      </c>
      <c r="W63" s="241">
        <v>0</v>
      </c>
      <c r="X63" s="243">
        <f t="shared" si="0"/>
        <v>-252.84</v>
      </c>
      <c r="AA63" s="244">
        <v>50</v>
      </c>
      <c r="AC63" s="238">
        <v>45</v>
      </c>
    </row>
    <row r="64" spans="1:29" ht="15.75">
      <c r="A64" s="241" t="s">
        <v>362</v>
      </c>
      <c r="B64" s="240">
        <v>-140</v>
      </c>
      <c r="C64" s="240">
        <v>-65</v>
      </c>
      <c r="D64" s="240">
        <v>-67</v>
      </c>
      <c r="E64" s="240">
        <v>-50</v>
      </c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>
        <v>-1</v>
      </c>
      <c r="Q64" s="240"/>
      <c r="R64" s="240"/>
      <c r="S64" s="240"/>
      <c r="T64" s="240">
        <f>SUM(B64:S64)</f>
        <v>-323</v>
      </c>
      <c r="U64" s="240"/>
      <c r="V64" s="241">
        <v>70.16</v>
      </c>
      <c r="W64" s="241">
        <v>0</v>
      </c>
      <c r="X64" s="243">
        <f t="shared" si="0"/>
        <v>-252.84</v>
      </c>
      <c r="AA64" s="244">
        <v>50</v>
      </c>
      <c r="AC64" s="238">
        <v>45</v>
      </c>
    </row>
    <row r="65" spans="1:29" ht="15.75">
      <c r="A65" s="241" t="s">
        <v>363</v>
      </c>
      <c r="B65" s="240">
        <v>-140</v>
      </c>
      <c r="C65" s="240">
        <v>-65</v>
      </c>
      <c r="D65" s="240">
        <v>-67</v>
      </c>
      <c r="E65" s="240">
        <v>-50</v>
      </c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>
        <v>-1</v>
      </c>
      <c r="Q65" s="240"/>
      <c r="R65" s="240"/>
      <c r="S65" s="240"/>
      <c r="T65" s="240">
        <f>SUM(B65:S65)</f>
        <v>-323</v>
      </c>
      <c r="U65" s="240"/>
      <c r="V65" s="241">
        <v>70.16</v>
      </c>
      <c r="W65" s="241">
        <v>0</v>
      </c>
      <c r="X65" s="243">
        <f t="shared" si="0"/>
        <v>-252.84</v>
      </c>
      <c r="AA65" s="244">
        <v>50</v>
      </c>
      <c r="AC65" s="238">
        <v>45</v>
      </c>
    </row>
    <row r="66" spans="1:29" ht="15.75">
      <c r="A66" s="241" t="s">
        <v>364</v>
      </c>
      <c r="B66" s="240">
        <v>-140</v>
      </c>
      <c r="C66" s="240">
        <v>-65</v>
      </c>
      <c r="D66" s="240">
        <v>-67</v>
      </c>
      <c r="E66" s="240">
        <v>-50</v>
      </c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>
        <v>-1</v>
      </c>
      <c r="Q66" s="240"/>
      <c r="R66" s="240"/>
      <c r="S66" s="240"/>
      <c r="T66" s="240">
        <f>SUM(B66:S66)</f>
        <v>-323</v>
      </c>
      <c r="U66" s="240"/>
      <c r="V66" s="241">
        <v>70.16</v>
      </c>
      <c r="W66" s="241">
        <v>0</v>
      </c>
      <c r="X66" s="243">
        <f t="shared" si="0"/>
        <v>-252.84</v>
      </c>
      <c r="AA66" s="244">
        <v>50</v>
      </c>
      <c r="AC66" s="238">
        <v>45</v>
      </c>
    </row>
    <row r="67" spans="1:29" ht="15.75">
      <c r="A67" s="241" t="s">
        <v>365</v>
      </c>
      <c r="B67" s="240">
        <v>-140</v>
      </c>
      <c r="C67" s="240">
        <v>-65</v>
      </c>
      <c r="D67" s="240">
        <v>-67</v>
      </c>
      <c r="E67" s="240">
        <v>-50</v>
      </c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>
        <v>-1</v>
      </c>
      <c r="Q67" s="240"/>
      <c r="R67" s="240"/>
      <c r="S67" s="240"/>
      <c r="T67" s="240">
        <f>SUM(B67:S67)</f>
        <v>-323</v>
      </c>
      <c r="U67" s="240"/>
      <c r="V67" s="241">
        <v>70.16</v>
      </c>
      <c r="W67" s="241">
        <v>0</v>
      </c>
      <c r="X67" s="243">
        <f t="shared" si="0"/>
        <v>-252.84</v>
      </c>
      <c r="AA67" s="244">
        <v>50</v>
      </c>
      <c r="AC67" s="238">
        <v>45</v>
      </c>
    </row>
    <row r="68" spans="1:29" ht="15.75">
      <c r="A68" s="241" t="s">
        <v>366</v>
      </c>
      <c r="B68" s="240">
        <v>-140</v>
      </c>
      <c r="C68" s="240">
        <v>-65</v>
      </c>
      <c r="D68" s="240">
        <v>-67</v>
      </c>
      <c r="E68" s="240">
        <v>-50</v>
      </c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>
        <v>-1</v>
      </c>
      <c r="Q68" s="240"/>
      <c r="R68" s="240"/>
      <c r="S68" s="240"/>
      <c r="T68" s="240">
        <f>SUM(B68:S68)</f>
        <v>-323</v>
      </c>
      <c r="U68" s="240"/>
      <c r="V68" s="241">
        <v>70.16</v>
      </c>
      <c r="W68" s="241">
        <v>0</v>
      </c>
      <c r="X68" s="243">
        <f t="shared" ref="X68:X98" si="1">SUM(T68:W68)</f>
        <v>-252.84</v>
      </c>
      <c r="AA68" s="244">
        <v>50</v>
      </c>
      <c r="AC68" s="238">
        <v>45</v>
      </c>
    </row>
    <row r="69" spans="1:29" ht="15.75">
      <c r="A69" s="241" t="s">
        <v>367</v>
      </c>
      <c r="B69" s="240">
        <v>-140</v>
      </c>
      <c r="C69" s="240">
        <v>-65</v>
      </c>
      <c r="D69" s="240">
        <v>-67</v>
      </c>
      <c r="E69" s="240">
        <v>-50</v>
      </c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>
        <v>-1</v>
      </c>
      <c r="Q69" s="240"/>
      <c r="R69" s="240"/>
      <c r="S69" s="240"/>
      <c r="T69" s="240">
        <f>SUM(B69:S69)</f>
        <v>-323</v>
      </c>
      <c r="U69" s="240"/>
      <c r="V69" s="241">
        <v>70.16</v>
      </c>
      <c r="W69" s="241">
        <v>0</v>
      </c>
      <c r="X69" s="243">
        <f t="shared" si="1"/>
        <v>-252.84</v>
      </c>
      <c r="AA69" s="244">
        <v>50</v>
      </c>
      <c r="AC69" s="238">
        <v>45</v>
      </c>
    </row>
    <row r="70" spans="1:29" ht="15.75">
      <c r="A70" s="241" t="s">
        <v>368</v>
      </c>
      <c r="B70" s="240">
        <v>-140</v>
      </c>
      <c r="C70" s="240">
        <v>-65</v>
      </c>
      <c r="D70" s="240">
        <v>-67</v>
      </c>
      <c r="E70" s="240">
        <v>-50</v>
      </c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>
        <v>-1</v>
      </c>
      <c r="Q70" s="240"/>
      <c r="R70" s="240"/>
      <c r="S70" s="240"/>
      <c r="T70" s="240">
        <f>SUM(B70:S70)</f>
        <v>-323</v>
      </c>
      <c r="U70" s="240"/>
      <c r="V70" s="241">
        <v>70.16</v>
      </c>
      <c r="W70" s="241">
        <v>0</v>
      </c>
      <c r="X70" s="243">
        <f t="shared" si="1"/>
        <v>-252.84</v>
      </c>
      <c r="AA70" s="244">
        <v>50</v>
      </c>
      <c r="AC70" s="238">
        <v>45</v>
      </c>
    </row>
    <row r="71" spans="1:29" ht="15.75">
      <c r="A71" s="241" t="s">
        <v>369</v>
      </c>
      <c r="B71" s="240">
        <v>-140</v>
      </c>
      <c r="C71" s="240">
        <v>-65</v>
      </c>
      <c r="D71" s="240">
        <v>-67</v>
      </c>
      <c r="E71" s="240">
        <v>-50</v>
      </c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>
        <v>-1</v>
      </c>
      <c r="Q71" s="240"/>
      <c r="R71" s="240"/>
      <c r="S71" s="240"/>
      <c r="T71" s="240">
        <f>SUM(B71:S71)</f>
        <v>-323</v>
      </c>
      <c r="U71" s="240"/>
      <c r="V71" s="241">
        <v>70.16</v>
      </c>
      <c r="W71" s="241">
        <v>0</v>
      </c>
      <c r="X71" s="243">
        <f t="shared" si="1"/>
        <v>-252.84</v>
      </c>
      <c r="AA71" s="244">
        <v>50</v>
      </c>
      <c r="AC71" s="238">
        <v>45</v>
      </c>
    </row>
    <row r="72" spans="1:29" ht="15.75">
      <c r="A72" s="241" t="s">
        <v>370</v>
      </c>
      <c r="B72" s="240">
        <v>-140</v>
      </c>
      <c r="C72" s="240">
        <v>-65</v>
      </c>
      <c r="D72" s="240">
        <v>-67</v>
      </c>
      <c r="E72" s="240">
        <v>-50</v>
      </c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>
        <v>-1</v>
      </c>
      <c r="Q72" s="240"/>
      <c r="R72" s="240"/>
      <c r="S72" s="240"/>
      <c r="T72" s="240">
        <f>SUM(B72:S72)</f>
        <v>-323</v>
      </c>
      <c r="U72" s="240"/>
      <c r="V72" s="241">
        <v>70.16</v>
      </c>
      <c r="W72" s="241">
        <v>0</v>
      </c>
      <c r="X72" s="243">
        <f t="shared" si="1"/>
        <v>-252.84</v>
      </c>
      <c r="AA72" s="244">
        <v>50</v>
      </c>
      <c r="AC72" s="238">
        <v>45</v>
      </c>
    </row>
    <row r="73" spans="1:29" ht="15.75">
      <c r="A73" s="241" t="s">
        <v>371</v>
      </c>
      <c r="B73" s="240">
        <v>-140</v>
      </c>
      <c r="C73" s="240">
        <v>-65</v>
      </c>
      <c r="D73" s="240">
        <v>-67</v>
      </c>
      <c r="E73" s="240">
        <v>-50</v>
      </c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>
        <v>-1</v>
      </c>
      <c r="Q73" s="240"/>
      <c r="R73" s="240"/>
      <c r="S73" s="240"/>
      <c r="T73" s="240">
        <f>SUM(B73:S73)</f>
        <v>-323</v>
      </c>
      <c r="U73" s="240"/>
      <c r="V73" s="241">
        <v>70.16</v>
      </c>
      <c r="W73" s="241">
        <v>0</v>
      </c>
      <c r="X73" s="243">
        <f t="shared" si="1"/>
        <v>-252.84</v>
      </c>
      <c r="AA73" s="244">
        <v>50</v>
      </c>
      <c r="AC73" s="238">
        <v>45</v>
      </c>
    </row>
    <row r="74" spans="1:29" ht="15.75">
      <c r="A74" s="241" t="s">
        <v>372</v>
      </c>
      <c r="B74" s="240">
        <v>-140</v>
      </c>
      <c r="C74" s="240">
        <v>-65</v>
      </c>
      <c r="D74" s="240">
        <v>-67</v>
      </c>
      <c r="E74" s="240">
        <v>-50</v>
      </c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>
        <v>-1</v>
      </c>
      <c r="Q74" s="240"/>
      <c r="R74" s="240"/>
      <c r="S74" s="240"/>
      <c r="T74" s="240">
        <f>SUM(B74:S74)</f>
        <v>-323</v>
      </c>
      <c r="U74" s="240"/>
      <c r="V74" s="241">
        <v>70.16</v>
      </c>
      <c r="W74" s="241">
        <v>0</v>
      </c>
      <c r="X74" s="243">
        <f t="shared" si="1"/>
        <v>-252.84</v>
      </c>
      <c r="AA74" s="244">
        <v>50</v>
      </c>
      <c r="AC74" s="238">
        <v>45</v>
      </c>
    </row>
    <row r="75" spans="1:29" ht="15.75">
      <c r="A75" s="241" t="s">
        <v>373</v>
      </c>
      <c r="B75" s="240">
        <v>-140</v>
      </c>
      <c r="C75" s="240">
        <v>-65</v>
      </c>
      <c r="D75" s="240">
        <v>-67</v>
      </c>
      <c r="E75" s="240">
        <v>-50</v>
      </c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>
        <v>-1</v>
      </c>
      <c r="Q75" s="240"/>
      <c r="R75" s="240"/>
      <c r="S75" s="240"/>
      <c r="T75" s="240">
        <f>SUM(B75:S75)</f>
        <v>-323</v>
      </c>
      <c r="U75" s="240"/>
      <c r="V75" s="241">
        <v>70.16</v>
      </c>
      <c r="W75" s="241">
        <v>0</v>
      </c>
      <c r="X75" s="243">
        <f t="shared" si="1"/>
        <v>-252.84</v>
      </c>
      <c r="AA75" s="244">
        <v>50</v>
      </c>
      <c r="AC75" s="238">
        <v>45</v>
      </c>
    </row>
    <row r="76" spans="1:29" ht="15.75">
      <c r="A76" s="241" t="s">
        <v>374</v>
      </c>
      <c r="B76" s="240">
        <v>-140</v>
      </c>
      <c r="C76" s="240">
        <v>-65</v>
      </c>
      <c r="D76" s="240">
        <v>-67</v>
      </c>
      <c r="E76" s="240">
        <v>-50</v>
      </c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>
        <v>-1</v>
      </c>
      <c r="Q76" s="240"/>
      <c r="R76" s="240"/>
      <c r="S76" s="240"/>
      <c r="T76" s="240">
        <f>SUM(B76:S76)</f>
        <v>-323</v>
      </c>
      <c r="U76" s="240"/>
      <c r="V76" s="241">
        <v>70.16</v>
      </c>
      <c r="W76" s="241">
        <v>0</v>
      </c>
      <c r="X76" s="243">
        <f t="shared" si="1"/>
        <v>-252.84</v>
      </c>
      <c r="AA76" s="244">
        <v>50</v>
      </c>
      <c r="AC76" s="238">
        <v>45</v>
      </c>
    </row>
    <row r="77" spans="1:29" ht="15.75">
      <c r="A77" s="241" t="s">
        <v>375</v>
      </c>
      <c r="B77" s="240">
        <v>-140</v>
      </c>
      <c r="C77" s="240">
        <v>-65</v>
      </c>
      <c r="D77" s="240">
        <v>-67</v>
      </c>
      <c r="E77" s="240">
        <v>-50</v>
      </c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>
        <v>-1</v>
      </c>
      <c r="Q77" s="240"/>
      <c r="R77" s="240"/>
      <c r="S77" s="240"/>
      <c r="T77" s="240">
        <f>SUM(B77:S77)</f>
        <v>-323</v>
      </c>
      <c r="U77" s="240"/>
      <c r="V77" s="241">
        <v>70.16</v>
      </c>
      <c r="W77" s="241"/>
      <c r="X77" s="243">
        <f t="shared" si="1"/>
        <v>-252.84</v>
      </c>
      <c r="AA77" s="244">
        <v>50</v>
      </c>
      <c r="AC77" s="238">
        <v>45</v>
      </c>
    </row>
    <row r="78" spans="1:29" ht="15.75">
      <c r="A78" s="241" t="s">
        <v>376</v>
      </c>
      <c r="B78" s="240">
        <v>-140</v>
      </c>
      <c r="C78" s="240">
        <v>-65</v>
      </c>
      <c r="D78" s="240">
        <v>-67</v>
      </c>
      <c r="E78" s="240">
        <v>-50</v>
      </c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>
        <v>-1</v>
      </c>
      <c r="Q78" s="240"/>
      <c r="R78" s="240"/>
      <c r="S78" s="240"/>
      <c r="T78" s="240">
        <f>SUM(B78:S78)</f>
        <v>-323</v>
      </c>
      <c r="U78" s="240"/>
      <c r="V78" s="241">
        <v>70.16</v>
      </c>
      <c r="W78" s="241"/>
      <c r="X78" s="243">
        <f t="shared" si="1"/>
        <v>-252.84</v>
      </c>
      <c r="AA78" s="244">
        <v>50</v>
      </c>
      <c r="AC78" s="238">
        <v>45</v>
      </c>
    </row>
    <row r="79" spans="1:29" ht="15.75">
      <c r="A79" s="241" t="s">
        <v>377</v>
      </c>
      <c r="B79" s="240">
        <v>-140</v>
      </c>
      <c r="C79" s="240">
        <v>-65</v>
      </c>
      <c r="D79" s="240">
        <v>-67</v>
      </c>
      <c r="E79" s="240">
        <v>-50</v>
      </c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>
        <v>-1</v>
      </c>
      <c r="Q79" s="240"/>
      <c r="R79" s="240"/>
      <c r="S79" s="240"/>
      <c r="T79" s="240">
        <f>SUM(B79:S79)</f>
        <v>-323</v>
      </c>
      <c r="U79" s="240"/>
      <c r="V79" s="241">
        <v>70.16</v>
      </c>
      <c r="W79" s="241"/>
      <c r="X79" s="243">
        <f t="shared" si="1"/>
        <v>-252.84</v>
      </c>
      <c r="AA79" s="244">
        <v>50</v>
      </c>
      <c r="AC79" s="238">
        <v>45</v>
      </c>
    </row>
    <row r="80" spans="1:29" ht="15.75">
      <c r="A80" s="241" t="s">
        <v>378</v>
      </c>
      <c r="B80" s="240">
        <v>-140</v>
      </c>
      <c r="C80" s="240">
        <v>-65</v>
      </c>
      <c r="D80" s="240">
        <v>-67</v>
      </c>
      <c r="E80" s="240">
        <v>-50</v>
      </c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>
        <v>-1</v>
      </c>
      <c r="Q80" s="240"/>
      <c r="R80" s="240"/>
      <c r="S80" s="240"/>
      <c r="T80" s="240">
        <f>SUM(B80:S80)</f>
        <v>-323</v>
      </c>
      <c r="U80" s="240"/>
      <c r="V80" s="241">
        <v>70.16</v>
      </c>
      <c r="W80" s="241"/>
      <c r="X80" s="243">
        <f t="shared" si="1"/>
        <v>-252.84</v>
      </c>
      <c r="AA80" s="244">
        <v>50</v>
      </c>
      <c r="AC80" s="238">
        <v>45</v>
      </c>
    </row>
    <row r="81" spans="1:29" ht="15.75">
      <c r="A81" s="241" t="s">
        <v>379</v>
      </c>
      <c r="B81" s="240">
        <v>-140</v>
      </c>
      <c r="C81" s="240">
        <v>-65</v>
      </c>
      <c r="D81" s="240">
        <v>-67</v>
      </c>
      <c r="E81" s="240">
        <v>-50</v>
      </c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>
        <v>-1</v>
      </c>
      <c r="Q81" s="240"/>
      <c r="R81" s="240"/>
      <c r="S81" s="240"/>
      <c r="T81" s="240">
        <f>SUM(B81:S81)</f>
        <v>-323</v>
      </c>
      <c r="U81" s="240"/>
      <c r="V81" s="241">
        <v>70.16</v>
      </c>
      <c r="W81" s="241"/>
      <c r="X81" s="243">
        <f>SUM(T81:W81)</f>
        <v>-252.84</v>
      </c>
      <c r="AA81" s="244">
        <v>50</v>
      </c>
      <c r="AC81" s="238">
        <v>45</v>
      </c>
    </row>
    <row r="82" spans="1:29" ht="15.75">
      <c r="A82" s="241" t="s">
        <v>380</v>
      </c>
      <c r="B82" s="240"/>
      <c r="C82" s="240">
        <v>-65</v>
      </c>
      <c r="D82" s="240">
        <v>-67</v>
      </c>
      <c r="E82" s="240">
        <v>-50</v>
      </c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>
        <v>-1</v>
      </c>
      <c r="Q82" s="240"/>
      <c r="R82" s="240"/>
      <c r="S82" s="240"/>
      <c r="T82" s="240">
        <f>SUM(B82:S82)</f>
        <v>-183</v>
      </c>
      <c r="U82" s="240"/>
      <c r="V82" s="241">
        <v>70.16</v>
      </c>
      <c r="W82" s="241"/>
      <c r="X82" s="243">
        <f t="shared" si="1"/>
        <v>-112.84</v>
      </c>
      <c r="AA82" s="244">
        <v>50</v>
      </c>
      <c r="AC82" s="238">
        <v>45</v>
      </c>
    </row>
    <row r="83" spans="1:29" ht="15.75">
      <c r="A83" s="241" t="s">
        <v>381</v>
      </c>
      <c r="B83" s="240"/>
      <c r="C83" s="240">
        <v>-65</v>
      </c>
      <c r="D83" s="240">
        <v>-67</v>
      </c>
      <c r="E83" s="240">
        <v>-50</v>
      </c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>
        <v>-50</v>
      </c>
      <c r="Q83" s="240"/>
      <c r="R83" s="240"/>
      <c r="S83" s="240"/>
      <c r="T83" s="240">
        <f>SUM(B83:S83)</f>
        <v>-232</v>
      </c>
      <c r="U83" s="240"/>
      <c r="V83" s="241">
        <v>70.16</v>
      </c>
      <c r="W83" s="241"/>
      <c r="X83" s="243">
        <f t="shared" si="1"/>
        <v>-161.84</v>
      </c>
      <c r="AA83" s="244">
        <v>0</v>
      </c>
    </row>
    <row r="84" spans="1:29" ht="15.75">
      <c r="A84" s="241" t="s">
        <v>382</v>
      </c>
      <c r="B84" s="240"/>
      <c r="C84" s="240">
        <v>-65</v>
      </c>
      <c r="D84" s="240">
        <v>-67</v>
      </c>
      <c r="E84" s="240">
        <v>-50</v>
      </c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>
        <v>-60</v>
      </c>
      <c r="Q84" s="240"/>
      <c r="R84" s="240"/>
      <c r="S84" s="240"/>
      <c r="T84" s="240">
        <f>SUM(B84:S84)</f>
        <v>-242</v>
      </c>
      <c r="U84" s="240"/>
      <c r="V84" s="241">
        <v>70.16</v>
      </c>
      <c r="W84" s="241"/>
      <c r="X84" s="243">
        <f t="shared" si="1"/>
        <v>-171.84</v>
      </c>
      <c r="AA84" s="244">
        <v>0</v>
      </c>
    </row>
    <row r="85" spans="1:29" ht="15.75">
      <c r="A85" s="241" t="s">
        <v>383</v>
      </c>
      <c r="B85" s="240"/>
      <c r="C85" s="240">
        <v>-65</v>
      </c>
      <c r="D85" s="240">
        <v>-67</v>
      </c>
      <c r="E85" s="240">
        <v>-50</v>
      </c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>
        <v>-70</v>
      </c>
      <c r="Q85" s="240"/>
      <c r="R85" s="240"/>
      <c r="S85" s="240"/>
      <c r="T85" s="240">
        <f>SUM(B85:S85)</f>
        <v>-252</v>
      </c>
      <c r="U85" s="240"/>
      <c r="V85" s="241">
        <v>70.16</v>
      </c>
      <c r="W85" s="241"/>
      <c r="X85" s="243">
        <f t="shared" si="1"/>
        <v>-181.84</v>
      </c>
      <c r="AA85" s="244">
        <v>0</v>
      </c>
    </row>
    <row r="86" spans="1:29" ht="15.75">
      <c r="A86" s="241" t="s">
        <v>384</v>
      </c>
      <c r="B86" s="240"/>
      <c r="C86" s="240">
        <v>-65</v>
      </c>
      <c r="D86" s="240">
        <v>-67</v>
      </c>
      <c r="E86" s="240">
        <v>-50</v>
      </c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>
        <v>-80</v>
      </c>
      <c r="Q86" s="240"/>
      <c r="R86" s="240"/>
      <c r="S86" s="240"/>
      <c r="T86" s="240">
        <f>SUM(B86:S86)</f>
        <v>-262</v>
      </c>
      <c r="U86" s="240"/>
      <c r="V86" s="241">
        <v>70.16</v>
      </c>
      <c r="W86" s="241"/>
      <c r="X86" s="243">
        <f t="shared" si="1"/>
        <v>-191.84</v>
      </c>
      <c r="AA86" s="244">
        <v>0</v>
      </c>
    </row>
    <row r="87" spans="1:29" ht="15.75">
      <c r="A87" s="241" t="s">
        <v>385</v>
      </c>
      <c r="B87" s="240"/>
      <c r="C87" s="240">
        <v>-65</v>
      </c>
      <c r="D87" s="240">
        <v>-67</v>
      </c>
      <c r="E87" s="240">
        <v>-50</v>
      </c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>
        <v>-80</v>
      </c>
      <c r="Q87" s="240"/>
      <c r="R87" s="240"/>
      <c r="S87" s="240"/>
      <c r="T87" s="240">
        <f>SUM(B87:S87)</f>
        <v>-262</v>
      </c>
      <c r="U87" s="240"/>
      <c r="V87" s="241">
        <v>70.16</v>
      </c>
      <c r="W87" s="241"/>
      <c r="X87" s="243">
        <f t="shared" si="1"/>
        <v>-191.84</v>
      </c>
      <c r="AA87" s="244">
        <v>0</v>
      </c>
    </row>
    <row r="88" spans="1:29" ht="15.75">
      <c r="A88" s="241" t="s">
        <v>386</v>
      </c>
      <c r="B88" s="240"/>
      <c r="C88" s="240">
        <v>-65</v>
      </c>
      <c r="D88" s="240">
        <v>-67</v>
      </c>
      <c r="E88" s="240">
        <v>-50</v>
      </c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>
        <v>-80</v>
      </c>
      <c r="Q88" s="240"/>
      <c r="R88" s="240"/>
      <c r="S88" s="240"/>
      <c r="T88" s="240">
        <f>SUM(B88:S88)</f>
        <v>-262</v>
      </c>
      <c r="U88" s="240"/>
      <c r="V88" s="241">
        <v>70.16</v>
      </c>
      <c r="W88" s="241"/>
      <c r="X88" s="243">
        <f t="shared" si="1"/>
        <v>-191.84</v>
      </c>
      <c r="AA88" s="244">
        <v>0</v>
      </c>
    </row>
    <row r="89" spans="1:29" ht="15.75">
      <c r="A89" s="241" t="s">
        <v>387</v>
      </c>
      <c r="B89" s="240"/>
      <c r="C89" s="240">
        <v>-65</v>
      </c>
      <c r="D89" s="240">
        <v>-67</v>
      </c>
      <c r="E89" s="240">
        <v>-50</v>
      </c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>
        <v>-80</v>
      </c>
      <c r="Q89" s="240"/>
      <c r="R89" s="240"/>
      <c r="S89" s="240"/>
      <c r="T89" s="240">
        <f>SUM(B89:S89)</f>
        <v>-262</v>
      </c>
      <c r="U89" s="240"/>
      <c r="V89" s="241">
        <v>70.16</v>
      </c>
      <c r="W89" s="241"/>
      <c r="X89" s="243">
        <f t="shared" si="1"/>
        <v>-191.84</v>
      </c>
      <c r="AA89" s="244">
        <v>0</v>
      </c>
    </row>
    <row r="90" spans="1:29" ht="15.75">
      <c r="A90" s="241" t="s">
        <v>388</v>
      </c>
      <c r="B90" s="240"/>
      <c r="C90" s="240">
        <v>-65</v>
      </c>
      <c r="D90" s="240">
        <v>-67</v>
      </c>
      <c r="E90" s="240">
        <v>-50</v>
      </c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>
        <v>-80</v>
      </c>
      <c r="Q90" s="240"/>
      <c r="R90" s="240"/>
      <c r="S90" s="240"/>
      <c r="T90" s="240">
        <f>SUM(B90:S90)</f>
        <v>-262</v>
      </c>
      <c r="U90" s="240"/>
      <c r="V90" s="241">
        <v>70.16</v>
      </c>
      <c r="W90" s="241"/>
      <c r="X90" s="243">
        <f t="shared" si="1"/>
        <v>-191.84</v>
      </c>
      <c r="AA90" s="244">
        <v>0</v>
      </c>
    </row>
    <row r="91" spans="1:29" ht="15.75">
      <c r="A91" s="241" t="s">
        <v>389</v>
      </c>
      <c r="B91" s="240"/>
      <c r="C91" s="240">
        <v>-65</v>
      </c>
      <c r="D91" s="240">
        <v>-67</v>
      </c>
      <c r="E91" s="240">
        <v>-50</v>
      </c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>
        <v>-80</v>
      </c>
      <c r="Q91" s="240"/>
      <c r="R91" s="240"/>
      <c r="S91" s="240"/>
      <c r="T91" s="240">
        <f>SUM(B91:S91)</f>
        <v>-262</v>
      </c>
      <c r="U91" s="240"/>
      <c r="V91" s="241">
        <v>70.16</v>
      </c>
      <c r="W91" s="241"/>
      <c r="X91" s="243">
        <f t="shared" si="1"/>
        <v>-191.84</v>
      </c>
      <c r="AA91" s="244">
        <v>0</v>
      </c>
    </row>
    <row r="92" spans="1:29" ht="15.75">
      <c r="A92" s="241" t="s">
        <v>390</v>
      </c>
      <c r="B92" s="240"/>
      <c r="C92" s="240">
        <v>-65</v>
      </c>
      <c r="D92" s="240">
        <v>-67</v>
      </c>
      <c r="E92" s="240">
        <v>-50</v>
      </c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>
        <v>-80</v>
      </c>
      <c r="Q92" s="240"/>
      <c r="R92" s="240"/>
      <c r="S92" s="240"/>
      <c r="T92" s="240">
        <f>SUM(B92:S92)</f>
        <v>-262</v>
      </c>
      <c r="U92" s="240"/>
      <c r="V92" s="241">
        <v>70.16</v>
      </c>
      <c r="W92" s="241"/>
      <c r="X92" s="243">
        <f t="shared" si="1"/>
        <v>-191.84</v>
      </c>
      <c r="AA92" s="244">
        <v>0</v>
      </c>
    </row>
    <row r="93" spans="1:29" ht="15.75">
      <c r="A93" s="241" t="s">
        <v>391</v>
      </c>
      <c r="B93" s="240"/>
      <c r="C93" s="240">
        <v>-65</v>
      </c>
      <c r="D93" s="240">
        <v>-67</v>
      </c>
      <c r="E93" s="240">
        <v>-50</v>
      </c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>
        <v>-80</v>
      </c>
      <c r="Q93" s="240"/>
      <c r="R93" s="240"/>
      <c r="S93" s="240"/>
      <c r="T93" s="240">
        <f>SUM(B93:S93)</f>
        <v>-262</v>
      </c>
      <c r="U93" s="240"/>
      <c r="V93" s="241">
        <v>70.16</v>
      </c>
      <c r="W93" s="241"/>
      <c r="X93" s="243">
        <f t="shared" si="1"/>
        <v>-191.84</v>
      </c>
      <c r="AA93" s="244">
        <v>0</v>
      </c>
    </row>
    <row r="94" spans="1:29" ht="15.75">
      <c r="A94" s="241" t="s">
        <v>392</v>
      </c>
      <c r="B94" s="240"/>
      <c r="C94" s="240">
        <v>-65</v>
      </c>
      <c r="D94" s="240">
        <v>-67</v>
      </c>
      <c r="E94" s="240">
        <v>-50</v>
      </c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>
        <v>-80</v>
      </c>
      <c r="Q94" s="240"/>
      <c r="R94" s="240"/>
      <c r="S94" s="240"/>
      <c r="T94" s="240">
        <f>SUM(B94:S94)</f>
        <v>-262</v>
      </c>
      <c r="U94" s="240"/>
      <c r="V94" s="241">
        <v>70.16</v>
      </c>
      <c r="W94" s="241"/>
      <c r="X94" s="243">
        <f t="shared" si="1"/>
        <v>-191.84</v>
      </c>
      <c r="AA94" s="244">
        <v>0</v>
      </c>
    </row>
    <row r="95" spans="1:29" ht="15.75">
      <c r="A95" s="241" t="s">
        <v>393</v>
      </c>
      <c r="B95" s="240"/>
      <c r="C95" s="240">
        <v>-65</v>
      </c>
      <c r="D95" s="240">
        <v>-67</v>
      </c>
      <c r="E95" s="240">
        <v>-50</v>
      </c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>
        <v>-80</v>
      </c>
      <c r="Q95" s="240"/>
      <c r="R95" s="240"/>
      <c r="S95" s="240"/>
      <c r="T95" s="240">
        <f>SUM(B95:S95)</f>
        <v>-262</v>
      </c>
      <c r="U95" s="240"/>
      <c r="V95" s="241">
        <v>70.16</v>
      </c>
      <c r="W95" s="241"/>
      <c r="X95" s="243">
        <f t="shared" si="1"/>
        <v>-191.84</v>
      </c>
      <c r="AA95" s="244">
        <v>0</v>
      </c>
    </row>
    <row r="96" spans="1:29" ht="15.75">
      <c r="A96" s="241" t="s">
        <v>394</v>
      </c>
      <c r="B96" s="240"/>
      <c r="C96" s="240">
        <v>-65</v>
      </c>
      <c r="D96" s="240">
        <v>-67</v>
      </c>
      <c r="E96" s="240">
        <v>-50</v>
      </c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>
        <v>-80</v>
      </c>
      <c r="Q96" s="240"/>
      <c r="R96" s="240"/>
      <c r="S96" s="240"/>
      <c r="T96" s="240">
        <f>SUM(B96:S96)</f>
        <v>-262</v>
      </c>
      <c r="U96" s="240"/>
      <c r="V96" s="241">
        <v>70.16</v>
      </c>
      <c r="W96" s="241"/>
      <c r="X96" s="243">
        <f t="shared" si="1"/>
        <v>-191.84</v>
      </c>
      <c r="AA96" s="244">
        <v>0</v>
      </c>
    </row>
    <row r="97" spans="1:27" ht="15.75">
      <c r="A97" s="241" t="s">
        <v>395</v>
      </c>
      <c r="B97" s="240"/>
      <c r="C97" s="240">
        <v>-65</v>
      </c>
      <c r="D97" s="240">
        <v>-67</v>
      </c>
      <c r="E97" s="240">
        <v>-50</v>
      </c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>
        <v>-80</v>
      </c>
      <c r="Q97" s="240"/>
      <c r="R97" s="240"/>
      <c r="S97" s="240"/>
      <c r="T97" s="240">
        <f>SUM(B97:S97)</f>
        <v>-262</v>
      </c>
      <c r="U97" s="240"/>
      <c r="V97" s="241">
        <v>70.16</v>
      </c>
      <c r="W97" s="241"/>
      <c r="X97" s="243">
        <f t="shared" si="1"/>
        <v>-191.84</v>
      </c>
      <c r="AA97" s="244">
        <v>0</v>
      </c>
    </row>
    <row r="98" spans="1:27" ht="15.75">
      <c r="A98" s="241" t="s">
        <v>396</v>
      </c>
      <c r="B98" s="240"/>
      <c r="C98" s="240">
        <v>-65</v>
      </c>
      <c r="D98" s="240">
        <v>-67</v>
      </c>
      <c r="E98" s="240">
        <v>-50</v>
      </c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>
        <v>-80</v>
      </c>
      <c r="Q98" s="240"/>
      <c r="R98" s="240"/>
      <c r="S98" s="240"/>
      <c r="T98" s="240">
        <f>SUM(B98:S98)</f>
        <v>-262</v>
      </c>
      <c r="U98" s="240"/>
      <c r="V98" s="241">
        <v>70.16</v>
      </c>
      <c r="W98" s="241"/>
      <c r="X98" s="243">
        <f t="shared" si="1"/>
        <v>-191.84</v>
      </c>
      <c r="AA98" s="244">
        <v>0</v>
      </c>
    </row>
    <row r="99" spans="1:27">
      <c r="C99" s="245"/>
      <c r="D99" s="246"/>
      <c r="E99" s="246"/>
      <c r="W99" s="242"/>
    </row>
    <row r="100" spans="1:27">
      <c r="C100" s="246"/>
      <c r="D100" s="246"/>
      <c r="E100" s="246"/>
    </row>
    <row r="101" spans="1:27">
      <c r="C101" s="246"/>
      <c r="D101" s="246"/>
      <c r="E101" s="246"/>
    </row>
    <row r="102" spans="1:27">
      <c r="C102" s="246"/>
      <c r="D102" s="246"/>
      <c r="E102" s="246"/>
    </row>
    <row r="103" spans="1:27">
      <c r="C103" s="246"/>
      <c r="D103" s="246"/>
      <c r="E103" s="246"/>
    </row>
    <row r="104" spans="1:27">
      <c r="C104" s="246"/>
      <c r="D104" s="246"/>
      <c r="E104" s="246"/>
    </row>
    <row r="105" spans="1:27">
      <c r="C105" s="246"/>
      <c r="D105" s="246"/>
      <c r="E105" s="246"/>
    </row>
    <row r="106" spans="1:27">
      <c r="C106" s="246"/>
      <c r="D106" s="246"/>
      <c r="E106" s="246"/>
    </row>
    <row r="107" spans="1:27">
      <c r="C107" s="246"/>
      <c r="D107" s="246"/>
      <c r="E107" s="246"/>
    </row>
    <row r="108" spans="1:27">
      <c r="C108" s="246"/>
      <c r="D108" s="246"/>
      <c r="E108" s="246"/>
    </row>
    <row r="109" spans="1:27">
      <c r="C109" s="246"/>
      <c r="D109" s="246"/>
      <c r="E109" s="246"/>
    </row>
    <row r="110" spans="1:27">
      <c r="C110" s="246"/>
      <c r="D110" s="246"/>
      <c r="E110" s="246"/>
    </row>
    <row r="111" spans="1:27">
      <c r="C111" s="246"/>
      <c r="D111" s="246"/>
      <c r="E111" s="246"/>
    </row>
    <row r="112" spans="1:27">
      <c r="C112" s="246"/>
      <c r="D112" s="246"/>
      <c r="E112" s="246"/>
    </row>
    <row r="113" spans="3:5">
      <c r="C113" s="246"/>
      <c r="D113" s="246"/>
      <c r="E113" s="246"/>
    </row>
    <row r="114" spans="3:5">
      <c r="C114" s="246"/>
      <c r="D114" s="246"/>
      <c r="E114" s="246"/>
    </row>
    <row r="115" spans="3:5">
      <c r="C115" s="246"/>
      <c r="D115" s="246"/>
      <c r="E115" s="246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2026-05-17T03:26:26Z</dcterms:modified>
</cp:coreProperties>
</file>