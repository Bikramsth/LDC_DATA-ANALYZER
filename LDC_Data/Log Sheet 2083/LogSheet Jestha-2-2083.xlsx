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0" i="75" l="1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I120" i="75"/>
  <c r="H120" i="75"/>
  <c r="G120" i="75"/>
  <c r="F120" i="75"/>
  <c r="E120" i="75"/>
  <c r="AI120" i="75" s="1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AH92" i="75" s="1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AI90" i="75"/>
  <c r="AH90" i="75"/>
  <c r="BT89" i="75"/>
  <c r="BQ89" i="75"/>
  <c r="BM89" i="75"/>
  <c r="BJ89" i="75"/>
  <c r="BI89" i="75"/>
  <c r="AI89" i="75"/>
  <c r="AH89" i="75"/>
  <c r="BT88" i="75"/>
  <c r="BS88" i="75"/>
  <c r="BO88" i="75"/>
  <c r="BL88" i="75"/>
  <c r="BK88" i="75"/>
  <c r="BG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J123" i="75" l="1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J116" i="75" l="1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<sst xmlns="http://schemas.openxmlformats.org/spreadsheetml/2006/main" count="1572" uniqueCount="416">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</sst>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1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133" sqref="J13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1530.51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42.5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170</v>
      </c>
      <c r="L71" s="70">
        <f t="shared" si="22"/>
        <v>170</v>
      </c>
      <c r="M71" s="70">
        <f t="shared" si="22"/>
        <v>170</v>
      </c>
      <c r="N71" s="70">
        <f t="shared" si="22"/>
        <v>170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163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48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13.2</v>
      </c>
      <c r="AI76" s="47">
        <f t="shared" si="24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9.8000000000000007</v>
      </c>
      <c r="AI77" s="47">
        <f t="shared" si="24"/>
        <v>7.4</v>
      </c>
      <c r="AK77" s="49"/>
    </row>
    <row r="78" spans="1:88" ht="15.75" thickBot="1">
      <c r="A78" s="79" t="s">
        <v>97</v>
      </c>
      <c r="B78" s="70">
        <f t="shared" ref="B78:C78" si="25">SUM(B72:B77)</f>
        <v>525.5</v>
      </c>
      <c r="C78" s="70">
        <f t="shared" si="25"/>
        <v>454.5</v>
      </c>
      <c r="D78" s="70">
        <f t="shared" ref="D78:E78" si="26">SUM(D72:D77)</f>
        <v>565</v>
      </c>
      <c r="E78" s="70">
        <f t="shared" si="26"/>
        <v>406.49999999999994</v>
      </c>
      <c r="F78" s="70">
        <f t="shared" ref="D78:AG78" si="27">SUM(F72:F77)</f>
        <v>464.19999999999993</v>
      </c>
      <c r="G78" s="70">
        <f t="shared" si="27"/>
        <v>494.29999999999995</v>
      </c>
      <c r="H78" s="70">
        <f t="shared" si="27"/>
        <v>433.99999999999994</v>
      </c>
      <c r="I78" s="70">
        <f t="shared" si="27"/>
        <v>325.49999999999994</v>
      </c>
      <c r="J78" s="70">
        <f t="shared" si="27"/>
        <v>325.49999999999994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565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-507</v>
      </c>
      <c r="BA79" s="81">
        <f t="shared" ref="BA79:BD83" si="28">D97</f>
        <v>-515</v>
      </c>
      <c r="BB79" s="81">
        <f t="shared" si="28"/>
        <v>-532</v>
      </c>
      <c r="BC79" s="81">
        <f t="shared" si="28"/>
        <v>-496</v>
      </c>
      <c r="BD79" s="81">
        <f t="shared" si="28"/>
        <v>-478.6</v>
      </c>
      <c r="BE79" s="82">
        <f>I97</f>
        <v>-347.3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68.599999999999994</v>
      </c>
      <c r="AI80" s="47">
        <f t="shared" si="24"/>
        <v>35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70.099999999999994</v>
      </c>
      <c r="AI81" s="47">
        <f t="shared" si="24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8"/>
        <v>52.2</v>
      </c>
      <c r="BB81" s="81">
        <f t="shared" si="28"/>
        <v>60.5</v>
      </c>
      <c r="BC81" s="81">
        <f t="shared" si="28"/>
        <v>59.2</v>
      </c>
      <c r="BD81" s="81">
        <f t="shared" si="28"/>
        <v>58.2</v>
      </c>
      <c r="BE81" s="82">
        <f>I99</f>
        <v>53.3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60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16.100000000000001</v>
      </c>
      <c r="BC82" s="81">
        <f t="shared" si="28"/>
        <v>15.4</v>
      </c>
      <c r="BD82" s="81">
        <f t="shared" si="28"/>
        <v>15.3</v>
      </c>
      <c r="BE82" s="82">
        <f>I100</f>
        <v>8.4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14.3</v>
      </c>
      <c r="AI83" s="47">
        <f t="shared" si="24"/>
        <v>10.1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54.6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1.5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10.3</v>
      </c>
      <c r="AI85" s="47">
        <f t="shared" si="24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-507</v>
      </c>
      <c r="BA86" s="82">
        <f t="shared" si="32"/>
        <v>-515</v>
      </c>
      <c r="BB86" s="82">
        <f t="shared" si="32"/>
        <v>-532</v>
      </c>
      <c r="BC86" s="82">
        <f t="shared" si="32"/>
        <v>-496</v>
      </c>
      <c r="BD86" s="82">
        <f t="shared" si="32"/>
        <v>-478.6</v>
      </c>
      <c r="BE86" s="82">
        <f t="shared" si="32"/>
        <v>-347.3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9.4</v>
      </c>
      <c r="AI87" s="47">
        <f t="shared" si="24"/>
        <v>5.1100000000000003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10.7</v>
      </c>
      <c r="AI88" s="47">
        <f t="shared" si="24"/>
        <v>10.199999999999999</v>
      </c>
      <c r="AK88" s="49"/>
      <c r="AZ88" s="82">
        <f t="shared" si="32"/>
        <v>61</v>
      </c>
      <c r="BA88" s="82">
        <f t="shared" si="32"/>
        <v>52.2</v>
      </c>
      <c r="BB88" s="82">
        <f t="shared" si="32"/>
        <v>60.5</v>
      </c>
      <c r="BC88" s="82">
        <f t="shared" si="32"/>
        <v>59.2</v>
      </c>
      <c r="BD88" s="82">
        <f t="shared" si="32"/>
        <v>58.2</v>
      </c>
      <c r="BE88" s="82">
        <f t="shared" si="32"/>
        <v>53.3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8.6999999999999993</v>
      </c>
      <c r="AI89" s="47">
        <f t="shared" si="24"/>
        <v>7.7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16.100000000000001</v>
      </c>
      <c r="BC89" s="82">
        <f t="shared" si="32"/>
        <v>15.4</v>
      </c>
      <c r="BD89" s="82">
        <f t="shared" si="32"/>
        <v>15.3</v>
      </c>
      <c r="BE89" s="82">
        <f t="shared" si="32"/>
        <v>8.4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54.6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" si="33">SUM(B79:B91)</f>
        <v>315.31</v>
      </c>
      <c r="C92" s="70">
        <f t="shared" ref="B92:AG92" si="34">SUM(C79:C91)</f>
        <v>313.60000000000002</v>
      </c>
      <c r="D92" s="70">
        <f t="shared" si="34"/>
        <v>314.89999999999998</v>
      </c>
      <c r="E92" s="70">
        <f t="shared" si="34"/>
        <v>314.30000000000007</v>
      </c>
      <c r="F92" s="70">
        <f t="shared" si="34"/>
        <v>314.30000000000007</v>
      </c>
      <c r="G92" s="70">
        <f t="shared" si="34"/>
        <v>324.60000000000008</v>
      </c>
      <c r="H92" s="70">
        <f t="shared" si="34"/>
        <v>313.40000000000003</v>
      </c>
      <c r="I92" s="70">
        <f t="shared" si="34"/>
        <v>315.50000000000006</v>
      </c>
      <c r="J92" s="70">
        <f t="shared" si="34"/>
        <v>348.90000000000003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348.90000000000003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5">B93+B94+B95</f>
        <v>51</v>
      </c>
      <c r="C96" s="70">
        <f t="shared" ref="B96:AF96" si="36">C93+C94+C95</f>
        <v>43</v>
      </c>
      <c r="D96" s="70">
        <f t="shared" si="36"/>
        <v>43</v>
      </c>
      <c r="E96" s="70">
        <f t="shared" si="36"/>
        <v>43</v>
      </c>
      <c r="F96" s="70">
        <f t="shared" si="36"/>
        <v>43</v>
      </c>
      <c r="G96" s="70">
        <f t="shared" si="36"/>
        <v>43</v>
      </c>
      <c r="H96" s="70">
        <f t="shared" si="36"/>
        <v>25</v>
      </c>
      <c r="I96" s="70">
        <f t="shared" si="36"/>
        <v>25</v>
      </c>
      <c r="J96" s="70">
        <f t="shared" si="36"/>
        <v>51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-298</v>
      </c>
      <c r="AI97" s="47">
        <f t="shared" si="24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65.099999999999994</v>
      </c>
      <c r="AI99" s="47">
        <f t="shared" si="24"/>
        <v>49.9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16.100000000000001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54.6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57.5</v>
      </c>
      <c r="AI102" s="47">
        <f t="shared" si="24"/>
        <v>21.6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7">SUMIF(B97:B107,"&gt;0")</f>
        <v>99</v>
      </c>
      <c r="C108" s="70">
        <f t="shared" ref="B108:AF108" si="38">SUMIF(C97:C107,"&gt;0")</f>
        <v>96.8</v>
      </c>
      <c r="D108" s="70">
        <f t="shared" si="38"/>
        <v>83.7</v>
      </c>
      <c r="E108" s="70">
        <f t="shared" si="38"/>
        <v>105.69999999999999</v>
      </c>
      <c r="F108" s="70">
        <f t="shared" si="38"/>
        <v>100.10000000000001</v>
      </c>
      <c r="G108" s="70">
        <f t="shared" si="38"/>
        <v>95.1</v>
      </c>
      <c r="H108" s="70">
        <f t="shared" si="38"/>
        <v>151.19999999999999</v>
      </c>
      <c r="I108" s="70">
        <f t="shared" si="38"/>
        <v>161.4</v>
      </c>
      <c r="J108" s="70">
        <f t="shared" si="38"/>
        <v>169.5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169.5</v>
      </c>
      <c r="AI108" s="47">
        <f t="shared" si="24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9">B71+B78+B96+B92+B108+B112</f>
        <v>2015.5100000000002</v>
      </c>
      <c r="C113" s="108">
        <f t="shared" ref="B113:AG113" si="40">C71+C78+C96+C92+C108+C112</f>
        <v>1932.6000000000001</v>
      </c>
      <c r="D113" s="108">
        <f t="shared" si="40"/>
        <v>2031.3000000000004</v>
      </c>
      <c r="E113" s="108">
        <f t="shared" si="40"/>
        <v>1894.2000000000005</v>
      </c>
      <c r="F113" s="108">
        <f t="shared" si="40"/>
        <v>1946.3000000000002</v>
      </c>
      <c r="G113" s="108">
        <f t="shared" si="40"/>
        <v>1964.4000000000003</v>
      </c>
      <c r="H113" s="108">
        <f t="shared" si="40"/>
        <v>1931.0000000000005</v>
      </c>
      <c r="I113" s="108">
        <f t="shared" si="40"/>
        <v>1833.3000000000004</v>
      </c>
      <c r="J113" s="108">
        <f t="shared" si="40"/>
        <v>1868.8000000000002</v>
      </c>
      <c r="K113" s="108">
        <f t="shared" si="40"/>
        <v>172</v>
      </c>
      <c r="L113" s="108">
        <f t="shared" si="40"/>
        <v>172</v>
      </c>
      <c r="M113" s="108">
        <f t="shared" si="40"/>
        <v>172</v>
      </c>
      <c r="N113" s="108">
        <f t="shared" si="40"/>
        <v>172</v>
      </c>
      <c r="O113" s="108">
        <f t="shared" si="40"/>
        <v>172</v>
      </c>
      <c r="P113" s="108">
        <f t="shared" si="40"/>
        <v>172</v>
      </c>
      <c r="Q113" s="108">
        <f t="shared" si="40"/>
        <v>172</v>
      </c>
      <c r="R113" s="108">
        <f t="shared" si="40"/>
        <v>172</v>
      </c>
      <c r="S113" s="108">
        <f t="shared" si="40"/>
        <v>172</v>
      </c>
      <c r="T113" s="108">
        <f t="shared" si="40"/>
        <v>172</v>
      </c>
      <c r="U113" s="108">
        <f t="shared" si="40"/>
        <v>172</v>
      </c>
      <c r="V113" s="108">
        <f t="shared" si="40"/>
        <v>172</v>
      </c>
      <c r="W113" s="108">
        <f t="shared" si="40"/>
        <v>172</v>
      </c>
      <c r="X113" s="108">
        <f t="shared" si="40"/>
        <v>172</v>
      </c>
      <c r="Y113" s="108">
        <f t="shared" si="40"/>
        <v>172</v>
      </c>
      <c r="Z113" s="108">
        <f t="shared" si="40"/>
        <v>172</v>
      </c>
      <c r="AA113" s="108">
        <f t="shared" si="40"/>
        <v>172</v>
      </c>
      <c r="AB113" s="108">
        <f t="shared" si="40"/>
        <v>172</v>
      </c>
      <c r="AC113" s="108">
        <f t="shared" si="40"/>
        <v>172</v>
      </c>
      <c r="AD113" s="108">
        <f t="shared" si="40"/>
        <v>172</v>
      </c>
      <c r="AE113" s="108">
        <f t="shared" si="40"/>
        <v>172</v>
      </c>
      <c r="AF113" s="108">
        <f t="shared" si="40"/>
        <v>172</v>
      </c>
      <c r="AG113" s="80">
        <f t="shared" si="40"/>
        <v>3169.915</v>
      </c>
      <c r="AH113" s="46">
        <f t="shared" si="23"/>
        <v>2031.3000000000004</v>
      </c>
      <c r="AI113" s="47">
        <f t="shared" si="24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1">B113+B114</f>
        <v>2015.5100000000002</v>
      </c>
      <c r="C115" s="108">
        <f t="shared" ref="C115:AF115" si="42">C113+C114</f>
        <v>1932.6000000000001</v>
      </c>
      <c r="D115" s="108">
        <f t="shared" si="42"/>
        <v>2031.3000000000004</v>
      </c>
      <c r="E115" s="108">
        <f t="shared" si="42"/>
        <v>1894.2000000000005</v>
      </c>
      <c r="F115" s="108">
        <f t="shared" si="42"/>
        <v>1946.3000000000002</v>
      </c>
      <c r="G115" s="108">
        <f t="shared" si="42"/>
        <v>1964.4000000000003</v>
      </c>
      <c r="H115" s="108">
        <f t="shared" si="42"/>
        <v>1931.0000000000005</v>
      </c>
      <c r="I115" s="108">
        <f t="shared" si="42"/>
        <v>1833.3000000000004</v>
      </c>
      <c r="J115" s="108">
        <f t="shared" si="42"/>
        <v>1868.8000000000002</v>
      </c>
      <c r="K115" s="108">
        <f t="shared" si="42"/>
        <v>172</v>
      </c>
      <c r="L115" s="108">
        <f t="shared" si="42"/>
        <v>172</v>
      </c>
      <c r="M115" s="108">
        <f t="shared" si="42"/>
        <v>172</v>
      </c>
      <c r="N115" s="108">
        <f t="shared" si="42"/>
        <v>172</v>
      </c>
      <c r="O115" s="108">
        <f t="shared" si="42"/>
        <v>172</v>
      </c>
      <c r="P115" s="108">
        <f t="shared" si="42"/>
        <v>172</v>
      </c>
      <c r="Q115" s="108">
        <f t="shared" si="42"/>
        <v>172</v>
      </c>
      <c r="R115" s="108">
        <f t="shared" si="42"/>
        <v>172</v>
      </c>
      <c r="S115" s="108">
        <f t="shared" si="42"/>
        <v>172</v>
      </c>
      <c r="T115" s="108">
        <f t="shared" si="42"/>
        <v>172</v>
      </c>
      <c r="U115" s="108">
        <f t="shared" si="42"/>
        <v>172</v>
      </c>
      <c r="V115" s="108">
        <f t="shared" si="42"/>
        <v>172</v>
      </c>
      <c r="W115" s="108">
        <f t="shared" si="42"/>
        <v>172</v>
      </c>
      <c r="X115" s="108">
        <f t="shared" si="42"/>
        <v>172</v>
      </c>
      <c r="Y115" s="108">
        <f t="shared" si="42"/>
        <v>172</v>
      </c>
      <c r="Z115" s="108">
        <f t="shared" si="42"/>
        <v>172</v>
      </c>
      <c r="AA115" s="108">
        <f t="shared" si="42"/>
        <v>172</v>
      </c>
      <c r="AB115" s="108">
        <f t="shared" si="42"/>
        <v>172</v>
      </c>
      <c r="AC115" s="108">
        <f t="shared" si="42"/>
        <v>172</v>
      </c>
      <c r="AD115" s="108">
        <f t="shared" si="42"/>
        <v>172</v>
      </c>
      <c r="AE115" s="108">
        <f t="shared" si="42"/>
        <v>172</v>
      </c>
      <c r="AF115" s="108">
        <f t="shared" si="42"/>
        <v>172</v>
      </c>
      <c r="AG115" s="104">
        <f>AG112+AG108+AG96+AG92+AG71+AG114</f>
        <v>2463.5149999999999</v>
      </c>
      <c r="AH115" s="46">
        <f t="shared" si="23"/>
        <v>2031.3000000000004</v>
      </c>
      <c r="AI115" s="47">
        <f t="shared" si="24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3">B115-(B123)</f>
        <v>1530.5100000000002</v>
      </c>
      <c r="C116" s="108">
        <f t="shared" ref="C116:AF116" si="44">C115-(C123)</f>
        <v>1425.6000000000001</v>
      </c>
      <c r="D116" s="108">
        <f t="shared" si="44"/>
        <v>1516.3000000000004</v>
      </c>
      <c r="E116" s="108">
        <f t="shared" si="44"/>
        <v>1362.2000000000005</v>
      </c>
      <c r="F116" s="108">
        <f t="shared" si="44"/>
        <v>1450.3000000000002</v>
      </c>
      <c r="G116" s="108">
        <f t="shared" si="44"/>
        <v>1485.8000000000002</v>
      </c>
      <c r="H116" s="108">
        <f t="shared" si="44"/>
        <v>1451.4000000000005</v>
      </c>
      <c r="I116" s="108">
        <f t="shared" si="44"/>
        <v>1486.0000000000005</v>
      </c>
      <c r="J116" s="108">
        <f t="shared" si="44"/>
        <v>1570.8000000000002</v>
      </c>
      <c r="K116" s="108">
        <f t="shared" si="44"/>
        <v>172</v>
      </c>
      <c r="L116" s="108">
        <f t="shared" si="44"/>
        <v>172</v>
      </c>
      <c r="M116" s="108">
        <f t="shared" si="44"/>
        <v>172</v>
      </c>
      <c r="N116" s="108">
        <f t="shared" si="44"/>
        <v>172</v>
      </c>
      <c r="O116" s="108">
        <f t="shared" si="44"/>
        <v>172</v>
      </c>
      <c r="P116" s="108">
        <f t="shared" si="44"/>
        <v>172</v>
      </c>
      <c r="Q116" s="108">
        <f t="shared" si="44"/>
        <v>172</v>
      </c>
      <c r="R116" s="108">
        <f t="shared" si="44"/>
        <v>172</v>
      </c>
      <c r="S116" s="108">
        <f t="shared" si="44"/>
        <v>172</v>
      </c>
      <c r="T116" s="108">
        <f t="shared" si="44"/>
        <v>172</v>
      </c>
      <c r="U116" s="108">
        <f t="shared" si="44"/>
        <v>172</v>
      </c>
      <c r="V116" s="108">
        <f t="shared" si="44"/>
        <v>172</v>
      </c>
      <c r="W116" s="108">
        <f t="shared" si="44"/>
        <v>172</v>
      </c>
      <c r="X116" s="108">
        <f t="shared" si="44"/>
        <v>172</v>
      </c>
      <c r="Y116" s="108">
        <f t="shared" si="44"/>
        <v>172</v>
      </c>
      <c r="Z116" s="108">
        <f t="shared" si="44"/>
        <v>172</v>
      </c>
      <c r="AA116" s="108">
        <f t="shared" si="44"/>
        <v>172</v>
      </c>
      <c r="AB116" s="108">
        <f t="shared" si="44"/>
        <v>172</v>
      </c>
      <c r="AC116" s="108">
        <f t="shared" si="44"/>
        <v>172</v>
      </c>
      <c r="AD116" s="108">
        <f t="shared" si="44"/>
        <v>172</v>
      </c>
      <c r="AE116" s="108">
        <f t="shared" si="44"/>
        <v>172</v>
      </c>
      <c r="AF116" s="108">
        <f t="shared" si="44"/>
        <v>172</v>
      </c>
      <c r="AG116" s="104"/>
      <c r="AH116" s="46">
        <f t="shared" si="23"/>
        <v>1570.8000000000002</v>
      </c>
      <c r="AI116" s="47">
        <f t="shared" si="24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5">IF(B97&lt;0,B97*-1,0)</f>
        <v>485</v>
      </c>
      <c r="C117" s="93">
        <f t="shared" ref="B117:AF122" si="46">IF(C97&lt;0,C97*-1,0)</f>
        <v>507</v>
      </c>
      <c r="D117" s="93">
        <f t="shared" si="46"/>
        <v>515</v>
      </c>
      <c r="E117" s="93">
        <f t="shared" si="46"/>
        <v>532</v>
      </c>
      <c r="F117" s="93">
        <f t="shared" si="46"/>
        <v>496</v>
      </c>
      <c r="G117" s="93">
        <f t="shared" si="46"/>
        <v>478.6</v>
      </c>
      <c r="H117" s="93">
        <f t="shared" si="46"/>
        <v>479.6</v>
      </c>
      <c r="I117" s="93">
        <f t="shared" si="46"/>
        <v>347.3</v>
      </c>
      <c r="J117" s="93">
        <f t="shared" si="46"/>
        <v>298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532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" si="47">SUM(B117:B122)</f>
        <v>485</v>
      </c>
      <c r="C123" s="70">
        <f t="shared" ref="B123:AF123" si="48">SUM(C117:C122)</f>
        <v>507</v>
      </c>
      <c r="D123" s="70">
        <f t="shared" si="48"/>
        <v>515</v>
      </c>
      <c r="E123" s="70">
        <f t="shared" si="48"/>
        <v>532</v>
      </c>
      <c r="F123" s="70">
        <f t="shared" si="48"/>
        <v>496</v>
      </c>
      <c r="G123" s="70">
        <f t="shared" si="48"/>
        <v>478.6</v>
      </c>
      <c r="H123" s="70">
        <f t="shared" si="48"/>
        <v>479.6</v>
      </c>
      <c r="I123" s="70">
        <f t="shared" si="48"/>
        <v>347.3</v>
      </c>
      <c r="J123" s="70">
        <f t="shared" si="48"/>
        <v>298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532</v>
      </c>
      <c r="AI123" s="47">
        <f t="shared" si="24"/>
        <v>0</v>
      </c>
      <c r="AJ123" s="105">
        <f t="array" ref="AJ123">MIN(IF(B123:AF123&lt;&gt;0,B123:AF123))</f>
        <v>298</v>
      </c>
    </row>
    <row r="124" spans="1:64" ht="15.75" thickBot="1">
      <c r="A124" s="87" t="s">
        <v>146</v>
      </c>
      <c r="B124" s="70">
        <f t="shared" ref="B124" si="49">B108-B123</f>
        <v>-386</v>
      </c>
      <c r="C124" s="70">
        <f t="shared" ref="B124:AF124" si="50">C108-C123</f>
        <v>-410.2</v>
      </c>
      <c r="D124" s="70">
        <f t="shared" si="50"/>
        <v>-431.3</v>
      </c>
      <c r="E124" s="70">
        <f t="shared" si="50"/>
        <v>-426.3</v>
      </c>
      <c r="F124" s="70">
        <f t="shared" si="50"/>
        <v>-395.9</v>
      </c>
      <c r="G124" s="70">
        <f t="shared" si="50"/>
        <v>-383.5</v>
      </c>
      <c r="H124" s="70">
        <f t="shared" si="50"/>
        <v>-328.40000000000003</v>
      </c>
      <c r="I124" s="70">
        <f t="shared" si="50"/>
        <v>-185.9</v>
      </c>
      <c r="J124" s="70">
        <f t="shared" si="50"/>
        <v>-128.5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50.067999999999998</v>
      </c>
      <c r="AI126" s="47">
        <f t="shared" si="24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134.80000000000001</v>
      </c>
      <c r="AI127" s="47">
        <f t="shared" si="24"/>
        <v>131.19999999999999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132.30000000000001</v>
      </c>
      <c r="AI128" s="47">
        <f t="shared" si="24"/>
        <v>129.9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135.9</v>
      </c>
      <c r="AI130" s="47">
        <f t="shared" si="24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131.19999999999999</v>
      </c>
      <c r="AI131" s="47">
        <f t="shared" si="24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133</v>
      </c>
      <c r="AI132" s="47">
        <f t="shared" si="24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67.2</v>
      </c>
      <c r="AI133" s="47">
        <f t="shared" si="24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2">SUM(C26,C32,C45:C46,C82,C84:C85,C87,C89,C137:C142,C177,C183,C189,C198,C200,C212,C219,C222:C223,C230,C232,C234,C238:C240,C242:C244,C249,C255:C256,C258:C260,C161,C166)</f>
        <v>141.33999999999997</v>
      </c>
      <c r="D135" s="114">
        <f t="shared" si="52"/>
        <v>145.43999999999997</v>
      </c>
      <c r="E135" s="114">
        <f t="shared" si="52"/>
        <v>144.94</v>
      </c>
      <c r="F135" s="114">
        <f t="shared" si="52"/>
        <v>140.83999999999997</v>
      </c>
      <c r="G135" s="114">
        <f t="shared" si="52"/>
        <v>150.24</v>
      </c>
      <c r="H135" s="114">
        <f t="shared" si="52"/>
        <v>189.74</v>
      </c>
      <c r="I135" s="114">
        <f t="shared" si="52"/>
        <v>204.74</v>
      </c>
      <c r="J135" s="114">
        <f t="shared" si="52"/>
        <v>147.33999999999997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204.74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55.4</v>
      </c>
      <c r="AI137" s="47">
        <f t="shared" si="24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27</v>
      </c>
      <c r="AI138" s="47">
        <f t="shared" si="24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2.2999999999999998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-21.7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37.5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-182.3</v>
      </c>
      <c r="AI146" s="47">
        <f t="shared" ref="AI146:AI158" si="56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86.9</v>
      </c>
      <c r="AI147" s="47">
        <f t="shared" si="56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5</v>
      </c>
      <c r="AI148" s="47">
        <f t="shared" si="56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229</v>
      </c>
      <c r="AI149" s="47">
        <f t="shared" si="56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22.3</v>
      </c>
      <c r="AI150" s="47">
        <f t="shared" si="56"/>
        <v>21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8.4</v>
      </c>
      <c r="AI151" s="47">
        <f t="shared" si="56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420.53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1984.8</v>
      </c>
      <c r="AI153" s="47">
        <f t="shared" si="56"/>
        <v>1984.18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625.41</v>
      </c>
      <c r="AI155" s="47">
        <f t="shared" si="56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336.34</v>
      </c>
      <c r="AI156" s="47">
        <f t="shared" si="56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882.9</v>
      </c>
      <c r="AI157" s="47">
        <f t="shared" si="56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0</v>
      </c>
      <c r="AI158" s="47">
        <f t="shared" si="5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K11:AA13 AB12:AF13 K85:AF90 B9:AF10 C117:AF125 B113:B115 C109:AF115 B108:AF108 B117:B124 C152:AF152 C154:AF159 B153:AF153 C134:AF134 K126:AF133 F137:AF151 B76:E90 C97:AF107 B72:L72 F76:AF77 F79:J90 B93:AF96">
    <cfRule type="expression" dxfId="172" priority="106">
      <formula>B$9&gt;=20/24</formula>
    </cfRule>
  </conditionalFormatting>
  <conditionalFormatting sqref="B9:AF10 K11:AA13 AB12:AF13 K85:AF90 C117:AF125 B113:B115 C109:AF115 B108:AF108 B117:B124 C152:AF152 C154:AF159 B153:AF153 C134:AF134 K126:AF133 F137:AF151 B76:E90 C97:AF107 B72:L72 F76:AF77 F79:J90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K14:AF53 B29:J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K11:AA13 AB12:AF13 AF92:AF95 AF96:AG96 B71:AG71 B91:AF91 F78:AG78 B76:E90 B69:AF69 F76:AF77 F79:AC90 B92:AE96">
    <cfRule type="expression" dxfId="144" priority="105">
      <formula>B11&gt;$AG11*1</formula>
    </cfRule>
  </conditionalFormatting>
  <conditionalFormatting sqref="K83:O83 F79:J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K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K73:AF75">
    <cfRule type="expression" dxfId="131" priority="35">
      <formula>K$9&gt;=20/24</formula>
    </cfRule>
    <cfRule type="expression" dxfId="130" priority="36">
      <formula>AND(K$9&gt;=14/24,K$9&lt;20/24)</formula>
    </cfRule>
    <cfRule type="expression" dxfId="129" priority="37">
      <formula>AND(K$9&gt;=8/24,K$9&lt;14/24)</formula>
    </cfRule>
    <cfRule type="expression" dxfId="128" priority="38">
      <formula>K$9&lt;8/24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K69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37:E151 B11:J13 C126:J133">
    <cfRule type="expression" dxfId="22" priority="20">
      <formula>B$9&gt;=20/24</formula>
    </cfRule>
  </conditionalFormatting>
  <conditionalFormatting sqref="B97:B107 B137:B152 B109:B112 B125:B134 B154:B159 C137:E151 B11:J13 C126:J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J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J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L27" sqref="L27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2026-05-17T00:56:15Z</dcterms:modified>
</cp:coreProperties>
</file>