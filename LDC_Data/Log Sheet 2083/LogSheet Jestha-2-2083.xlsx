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1"/>
  </bookViews>
  <sheets>
    <sheet name="01" sheetId="72" r:id="rId1"/>
    <sheet name="02" sheetId="74" r:id="rId2"/>
    <sheet name="Sample" sheetId="1" r:id="rId3"/>
    <sheet name="Calc" sheetId="3" r:id="rId4"/>
    <sheet name="Sheet6" sheetId="36" r:id="rId5"/>
    <sheet name="Schedule@G4 dont delete " sheetId="73" r:id="rId6"/>
    <sheet name="Schedule 2026.5.11 BG" sheetId="67" state="hidden" r:id="rId7"/>
    <sheet name="Schedule 2026.5.11" sheetId="64" state="hidden" r:id="rId8"/>
  </sheets>
  <definedNames>
    <definedName name="a" localSheetId="0">#REF!</definedName>
    <definedName name="a" localSheetId="1">#REF!</definedName>
    <definedName name="a" localSheetId="2">#REF!</definedName>
    <definedName name="a" localSheetId="7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7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7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7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7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7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7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7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C149" i="74" l="1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A116" i="74" l="1"/>
  <c r="AA134" i="74" s="1"/>
  <c r="Z123" i="74"/>
  <c r="Z124" i="74"/>
  <c r="Z113" i="74"/>
  <c r="Z115" i="74" s="1"/>
  <c r="Z116" i="74" s="1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F123" i="74" s="1"/>
  <c r="BJ23" i="74" s="1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108" i="74"/>
  <c r="AD108" i="74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F116" i="74" s="1"/>
  <c r="AF7" i="74" s="1"/>
  <c r="AE92" i="74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BT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J22" i="74" s="1"/>
  <c r="BJ25" i="74" s="1"/>
  <c r="BI19" i="74"/>
  <c r="BH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J18" i="74"/>
  <c r="BI18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J16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E5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B123" i="74" l="1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E124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BH25" i="74" s="1"/>
  <c r="AD124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BI25" i="74" s="1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B124" i="74" l="1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Q98" i="73"/>
  <c r="U98" i="73" s="1"/>
  <c r="Q97" i="73"/>
  <c r="U97" i="73" s="1"/>
  <c r="Q96" i="73"/>
  <c r="U96" i="73" s="1"/>
  <c r="Q95" i="73"/>
  <c r="U95" i="73" s="1"/>
  <c r="Q94" i="73"/>
  <c r="U94" i="73" s="1"/>
  <c r="U93" i="73"/>
  <c r="Q93" i="73"/>
  <c r="U92" i="73"/>
  <c r="Q92" i="73"/>
  <c r="Q91" i="73"/>
  <c r="U91" i="73" s="1"/>
  <c r="Q90" i="73"/>
  <c r="U90" i="73" s="1"/>
  <c r="Q89" i="73"/>
  <c r="U89" i="73" s="1"/>
  <c r="Q88" i="73"/>
  <c r="U88" i="73" s="1"/>
  <c r="Q87" i="73"/>
  <c r="U87" i="73" s="1"/>
  <c r="Q86" i="73"/>
  <c r="U86" i="73" s="1"/>
  <c r="Q85" i="73"/>
  <c r="U85" i="73" s="1"/>
  <c r="U84" i="73"/>
  <c r="Q84" i="73"/>
  <c r="Q83" i="73"/>
  <c r="U83" i="73" s="1"/>
  <c r="Q82" i="73"/>
  <c r="U82" i="73" s="1"/>
  <c r="Q81" i="73"/>
  <c r="U81" i="73" s="1"/>
  <c r="Q80" i="73"/>
  <c r="U80" i="73" s="1"/>
  <c r="Q79" i="73"/>
  <c r="U79" i="73" s="1"/>
  <c r="U78" i="73"/>
  <c r="Q78" i="73"/>
  <c r="Q77" i="73"/>
  <c r="U77" i="73" s="1"/>
  <c r="Q76" i="73"/>
  <c r="U76" i="73" s="1"/>
  <c r="Q75" i="73"/>
  <c r="U75" i="73" s="1"/>
  <c r="Q74" i="73"/>
  <c r="U74" i="73" s="1"/>
  <c r="Q73" i="73"/>
  <c r="U73" i="73" s="1"/>
  <c r="Q72" i="73"/>
  <c r="U72" i="73" s="1"/>
  <c r="Q71" i="73"/>
  <c r="U71" i="73" s="1"/>
  <c r="U70" i="73"/>
  <c r="Q70" i="73"/>
  <c r="U69" i="73"/>
  <c r="Q69" i="73"/>
  <c r="Q68" i="73"/>
  <c r="U68" i="73" s="1"/>
  <c r="Q67" i="73"/>
  <c r="U67" i="73" s="1"/>
  <c r="Q66" i="73"/>
  <c r="U66" i="73" s="1"/>
  <c r="Q65" i="73"/>
  <c r="U65" i="73" s="1"/>
  <c r="Q64" i="73"/>
  <c r="U64" i="73" s="1"/>
  <c r="Q63" i="73"/>
  <c r="U63" i="73" s="1"/>
  <c r="Q62" i="73"/>
  <c r="U62" i="73" s="1"/>
  <c r="U61" i="73"/>
  <c r="Q61" i="73"/>
  <c r="U60" i="73"/>
  <c r="Q60" i="73"/>
  <c r="Q59" i="73"/>
  <c r="U59" i="73" s="1"/>
  <c r="Q58" i="73"/>
  <c r="U58" i="73" s="1"/>
  <c r="Q57" i="73"/>
  <c r="U57" i="73" s="1"/>
  <c r="Q56" i="73"/>
  <c r="U56" i="73" s="1"/>
  <c r="Q55" i="73"/>
  <c r="U55" i="73" s="1"/>
  <c r="Q54" i="73"/>
  <c r="U54" i="73" s="1"/>
  <c r="Q53" i="73"/>
  <c r="U53" i="73" s="1"/>
  <c r="U52" i="73"/>
  <c r="Q52" i="73"/>
  <c r="Q51" i="73"/>
  <c r="U51" i="73" s="1"/>
  <c r="Q50" i="73"/>
  <c r="U50" i="73" s="1"/>
  <c r="Q49" i="73"/>
  <c r="U49" i="73" s="1"/>
  <c r="Q48" i="73"/>
  <c r="U48" i="73" s="1"/>
  <c r="Q47" i="73"/>
  <c r="U47" i="73" s="1"/>
  <c r="Q46" i="73"/>
  <c r="U46" i="73" s="1"/>
  <c r="Q45" i="73"/>
  <c r="U45" i="73" s="1"/>
  <c r="Q44" i="73"/>
  <c r="U44" i="73" s="1"/>
  <c r="Q43" i="73"/>
  <c r="U43" i="73" s="1"/>
  <c r="Q42" i="73"/>
  <c r="U42" i="73" s="1"/>
  <c r="Q41" i="73"/>
  <c r="U41" i="73" s="1"/>
  <c r="Q40" i="73"/>
  <c r="U40" i="73" s="1"/>
  <c r="Q39" i="73"/>
  <c r="U39" i="73" s="1"/>
  <c r="Q38" i="73"/>
  <c r="U38" i="73" s="1"/>
  <c r="Q37" i="73"/>
  <c r="U37" i="73" s="1"/>
  <c r="Q36" i="73"/>
  <c r="U36" i="73" s="1"/>
  <c r="Q35" i="73"/>
  <c r="U35" i="73" s="1"/>
  <c r="Q34" i="73"/>
  <c r="U34" i="73" s="1"/>
  <c r="Q33" i="73"/>
  <c r="U33" i="73" s="1"/>
  <c r="Q32" i="73"/>
  <c r="U32" i="73" s="1"/>
  <c r="Q31" i="73"/>
  <c r="U31" i="73" s="1"/>
  <c r="Q30" i="73"/>
  <c r="U30" i="73" s="1"/>
  <c r="Q29" i="73"/>
  <c r="U29" i="73" s="1"/>
  <c r="Q28" i="73"/>
  <c r="U28" i="73" s="1"/>
  <c r="Q27" i="73"/>
  <c r="U27" i="73" s="1"/>
  <c r="Q26" i="73"/>
  <c r="U26" i="73" s="1"/>
  <c r="Q25" i="73"/>
  <c r="U25" i="73" s="1"/>
  <c r="Q24" i="73"/>
  <c r="U24" i="73" s="1"/>
  <c r="Q23" i="73"/>
  <c r="U23" i="73" s="1"/>
  <c r="Q22" i="73"/>
  <c r="U22" i="73" s="1"/>
  <c r="Q21" i="73"/>
  <c r="U21" i="73" s="1"/>
  <c r="Q20" i="73"/>
  <c r="U20" i="73" s="1"/>
  <c r="Q19" i="73"/>
  <c r="U19" i="73" s="1"/>
  <c r="Q18" i="73"/>
  <c r="U18" i="73" s="1"/>
  <c r="Q17" i="73"/>
  <c r="U17" i="73" s="1"/>
  <c r="Q16" i="73"/>
  <c r="U16" i="73" s="1"/>
  <c r="Q15" i="73"/>
  <c r="U15" i="73" s="1"/>
  <c r="Q14" i="73"/>
  <c r="U14" i="73" s="1"/>
  <c r="Q13" i="73"/>
  <c r="U13" i="73" s="1"/>
  <c r="Q12" i="73"/>
  <c r="U12" i="73" s="1"/>
  <c r="Q11" i="73"/>
  <c r="U11" i="73" s="1"/>
  <c r="Q10" i="73"/>
  <c r="U10" i="73" s="1"/>
  <c r="Q9" i="73"/>
  <c r="U9" i="73" s="1"/>
  <c r="Q8" i="73"/>
  <c r="U8" i="73" s="1"/>
  <c r="Q7" i="73"/>
  <c r="U7" i="73" s="1"/>
  <c r="Q6" i="73"/>
  <c r="U6" i="73" s="1"/>
  <c r="Q5" i="73"/>
  <c r="U5" i="73" s="1"/>
  <c r="Q4" i="73"/>
  <c r="U4" i="73" s="1"/>
  <c r="Q3" i="73"/>
  <c r="U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<sst xmlns="http://schemas.openxmlformats.org/spreadsheetml/2006/main" count="1263" uniqueCount="416">
  <si>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</si>
  <si>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</si>
  <si>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</si>
  <si>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</si>
  <si>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</si>
  <si>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</si>
  <si>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</si>
  <si>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</si>
  <si>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</si>
  <si>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</si>
  <si>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</si>
  <si>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</si>
  <si>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</si>
  <si>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</si>
  <si>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</si>
  <si>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</si>
  <si>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</si>
  <si>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</si>
  <si>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</si>
  <si>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</si>
  <si>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</si>
  <si>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</si>
  <si>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</si>
  <si>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</si>
  <si>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</si>
  <si>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</si>
  <si>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</si>
  <si>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</si>
  <si>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</si>
  <si>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</si>
  <si>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</si>
  <si>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</si>
  <si>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</si>
  <si>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</si>
  <si>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</si>
  <si>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</si>
  <si>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</si>
  <si>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</si>
  <si>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</si>
  <si>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</si>
  <si>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</si>
  <si>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</si>
  <si>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</si>
  <si>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</si>
  <si>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</si>
  <si>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</si>
  <si>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</si>
  <si>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</si>
  <si>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</si>
  <si>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</si>
  <si>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</si>
  <si>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</si>
  <si>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</si>
  <si>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</si>
  <si>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</si>
  <si>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</si>
  <si>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</si>
  <si>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</si>
  <si>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</si>
  <si>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</si>
  <si>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</si>
  <si>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</si>
  <si>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</si>
  <si>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</si>
  <si>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</si>
  <si>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</si>
  <si>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</si>
  <si>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</si>
  <si>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</si>
  <si>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</si>
  <si>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</si>
  <si>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</si>
  <si>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</si>
  <si>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</si>
  <si>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</si>
  <si>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</si>
  <si>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</si>
  <si>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</si>
  <si>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</si>
  <si>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</si>
  <si>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</si>
  <si>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</si>
  <si>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</si>
  <si>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</si>
  <si>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</si>
  <si>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</si>
  <si>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</si>
  <si>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</si>
  <si>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</si>
  <si>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</si>
  <si>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</si>
  <si>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</si>
  <si>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</si>
  <si>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</si>
  <si>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</si>
  <si>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</si>
  <si>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</si>
  <si>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</si>
  <si>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</si>
  <si>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</si>
  <si>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</si>
  <si>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</si>
  <si>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</si>
  <si>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</si>
  <si>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</si>
  <si>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</si>
  <si>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</si>
  <si>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</si>
  <si>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</si>
  <si>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</si>
  <si>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</si>
  <si>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</si>
  <si>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</si>
  <si>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</si>
  <si>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</si>
  <si>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</si>
  <si>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</si>
  <si>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</si>
  <si>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</si>
  <si>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</si>
  <si>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</si>
  <si>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</si>
  <si>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</si>
  <si>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</si>
  <si>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</si>
  <si>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</si>
  <si>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</si>
  <si>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</si>
  <si>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</si>
  <si>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</si>
  <si>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</si>
  <si>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</si>
  <si>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</si>
  <si>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</si>
  <si>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</si>
  <si>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</si>
  <si>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</si>
  <si>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</si>
  <si>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</si>
  <si>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</si>
  <si>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</si>
  <si>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</si>
  <si>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</si>
  <si>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</si>
  <si>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</si>
  <si>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</si>
  <si>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</si>
  <si>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</si>
  <si>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</si>
  <si>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</si>
  <si>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</si>
  <si>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</si>
  <si>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</si>
  <si>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</si>
  <si>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</si>
  <si>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</si>
  <si>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</si>
  <si>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</si>
  <si>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</si>
  <si>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</si>
  <si>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</si>
  <si>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</si>
  <si>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</si>
  <si>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</si>
  <si>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</si>
  <si>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</si>
  <si>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</si>
  <si>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</si>
  <si>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</si>
  <si>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</si>
  <si>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</si>
  <si>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</si>
  <si>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</si>
  <si>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</si>
  <si>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</si>
  <si>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</si>
  <si>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</si>
  <si>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</si>
  <si>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</si>
  <si>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</si>
  <si>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</si>
  <si>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</si>
  <si>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</si>
  <si>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</si>
  <si>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</si>
  <si>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</si>
  <si>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</si>
  <si>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</si>
  <si>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</si>
  <si>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</si>
  <si>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</si>
  <si>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</si>
  <si>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</si>
  <si>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</si>
  <si>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</si>
  <si>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</si>
  <si>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</si>
  <si>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</si>
  <si>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</si>
  <si>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</si>
  <si>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</si>
  <si>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</si>
  <si>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</si>
  <si>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</si>
  <si>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</si>
  <si>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</si>
  <si>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</si>
  <si>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</si>
  <si>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</si>
  <si>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</si>
  <si>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</si>
  <si>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</si>
  <si>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</si>
  <si>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</si>
  <si>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</si>
  <si>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</si>
  <si>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</si>
  <si>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</si>
  <si>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</si>
  <si>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</si>
  <si>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</si>
  <si>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</si>
  <si>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</si>
  <si>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</si>
  <si>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</si>
  <si>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</si>
  <si>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</si>
  <si>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</si>
  <si>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</si>
  <si>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</si>
  <si>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</si>
  <si>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</si>
  <si>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</si>
  <si>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</si>
  <si>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</si>
  <si>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</si>
  <si>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</si>
  <si>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</si>
  <si>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</si>
  <si>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</si>
  <si>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</si>
  <si>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</si>
  <si>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</si>
  <si>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</si>
  <si>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</si>
  <si>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</si>
  <si>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</si>
  <si>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</si>
  <si>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</si>
  <si>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</si>
  <si>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</si>
  <si>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</si>
  <si>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</si>
  <si>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</si>
  <si>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</si>
  <si>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</si>
  <si>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</si>
  <si>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</si>
  <si>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</si>
  <si>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</si>
  <si>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</si>
  <si>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</si>
  <si>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</si>
  <si>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</si>
  <si>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</si>
  <si>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</si>
  <si>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</si>
  <si>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</si>
  <si>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</si>
  <si>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</si>
  <si>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</si>
  <si>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</si>
  <si>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</si>
  <si>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</si>
  <si>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</si>
  <si>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</si>
  <si>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</si>
  <si>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</si>
  <si>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</si>
  <si>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</si>
  <si>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</si>
  <si>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</si>
  <si>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</si>
  <si>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</si>
  <si>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</si>
  <si>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</si>
  <si>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</si>
  <si>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</si>
  <si>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</si>
  <si>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</si>
  <si>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</si>
  <si>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</si>
  <si>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</si>
  <si>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</si>
  <si>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</si>
  <si>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</si>
  <si>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</si>
  <si>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</si>
  <si>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</si>
  <si>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</si>
  <si>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</si>
  <si>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</si>
  <si>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</si>
  <si>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</si>
  <si>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</si>
  <si>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</si>
  <si>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</si>
  <si>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</si>
  <si>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</si>
  <si>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</si>
  <si>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</si>
  <si>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</si>
  <si>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</si>
  <si>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</si>
  <si>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</si>
  <si>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</si>
  <si>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</si>
  <si>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</si>
  <si>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</si>
  <si>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</si>
  <si>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</si>
  <si>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</si>
  <si>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</si>
  <si>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</si>
  <si>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</si>
  <si>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</si>
  <si>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</si>
  <si>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</si>
  <si>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</si>
  <si>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</si>
  <si>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</si>
  <si>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</si>
  <si>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</si>
  <si>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</si>
  <si>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</si>
  <si>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</si>
  <si>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</si>
  <si>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</si>
  <si>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</si>
  <si>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</si>
  <si>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</si>
  <si>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</si>
  <si>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</si>
  <si>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</si>
  <si>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</si>
  <si>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</si>
  <si>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</si>
  <si>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</si>
  <si>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</si>
  <si>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</si>
  <si>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</si>
  <si>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</si>
  <si>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</si>
  <si>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</si>
  <si>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</si>
  <si>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</si>
  <si>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</si>
  <si>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</si>
  <si>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</si>
  <si>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</si>
  <si>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</si>
  <si>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</si>
  <si>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</si>
  <si>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</si>
  <si>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</si>
  <si>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</si>
  <si>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</si>
  <si>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</si>
  <si>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</si>
  <si>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</si>
  <si>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</si>
  <si>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</si>
  <si>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</si>
  <si>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</si>
  <si>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</si>
  <si>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</si>
  <si>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</si>
  <si>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</si>
  <si>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</si>
  <si>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</si>
  <si>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</si>
  <si>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</si>
  <si>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</si>
  <si>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</si>
  <si>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</si>
  <si>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</si>
  <si>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</si>
  <si>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</si>
  <si>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</si>
  <si>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</si>
  <si>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</si>
  <si>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</si>
  <si>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</si>
  <si>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</si>
  <si>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</si>
  <si>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</si>
  <si>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</si>
  <si>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</si>
  <si>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</si>
  <si>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</si>
  <si>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</si>
  <si>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</si>
  <si>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</si>
  <si>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</si>
  <si>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</si>
  <si>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</si>
  <si>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</si>
  <si>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</si>
  <si>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</si>
  <si>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</si>
  <si>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</si>
  <si>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</si>
  <si>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</si>
  <si>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</si>
  <si>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Date: 2083-02-02</t>
  </si>
  <si>
    <t>16..9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</si>
</sst>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4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608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8" t="s">
        <v>0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9" t="s">
        <v>1</v>
      </c>
      <c r="AH1" s="219"/>
      <c r="AI1" s="219"/>
      <c r="AL1" s="2"/>
    </row>
    <row r="2" spans="1:88" ht="20.25" hidden="1">
      <c r="A2" s="3"/>
      <c r="B2" s="220" t="s">
        <v>2</v>
      </c>
      <c r="C2" s="4"/>
      <c r="D2" s="222" t="s">
        <v>3</v>
      </c>
      <c r="E2" s="4"/>
      <c r="F2" s="222" t="s">
        <v>4</v>
      </c>
      <c r="G2" s="4"/>
      <c r="H2" s="222" t="s">
        <v>5</v>
      </c>
      <c r="I2" s="5"/>
      <c r="J2" s="224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1"/>
      <c r="C3" s="16"/>
      <c r="D3" s="223"/>
      <c r="E3" s="16"/>
      <c r="F3" s="223"/>
      <c r="G3" s="16"/>
      <c r="H3" s="223"/>
      <c r="I3" s="17"/>
      <c r="J3" s="224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5" t="str">
        <f ca="1">"2080/"&amp;"10/"&amp;INT(MID(CELL("filename",D6),FIND("]",CELL("filename",D6))+1,200))</f>
        <v>2080/10/1</v>
      </c>
      <c r="C4" s="225"/>
      <c r="D4" s="225"/>
      <c r="E4" s="226" t="str">
        <f ca="1">"2080/"&amp;"10/"&amp;INT(MID(CELL("filename",G6),FIND("]",CELL("filename",G6))+1,200))</f>
        <v>2080/10/1</v>
      </c>
      <c r="F4" s="226"/>
      <c r="G4" s="226"/>
      <c r="H4" s="226" t="str">
        <f ca="1">TEXT(E4,"dddd")</f>
        <v>Tuesday</v>
      </c>
      <c r="I4" s="226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30" t="s">
        <v>15</v>
      </c>
      <c r="N8" s="231"/>
      <c r="O8" s="231"/>
      <c r="P8" s="231"/>
      <c r="Q8" s="231"/>
      <c r="R8" s="232"/>
      <c r="S8" s="230" t="s">
        <v>16</v>
      </c>
      <c r="T8" s="231"/>
      <c r="U8" s="231"/>
      <c r="V8" s="231"/>
      <c r="W8" s="231"/>
      <c r="X8" s="231"/>
      <c r="Y8" s="231"/>
      <c r="Z8" s="231"/>
      <c r="AA8" s="232"/>
      <c r="AB8" s="230" t="s">
        <v>17</v>
      </c>
      <c r="AC8" s="231"/>
      <c r="AD8" s="231"/>
      <c r="AE8" s="231"/>
      <c r="AF8" s="232"/>
      <c r="AG8" s="39"/>
      <c r="AH8" s="233"/>
      <c r="AI8" s="233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5" t="s">
        <v>18</v>
      </c>
      <c r="B9" s="237">
        <v>0</v>
      </c>
      <c r="C9" s="237">
        <v>4.1666666666666664E-2</v>
      </c>
      <c r="D9" s="237">
        <v>8.3333333333333301E-2</v>
      </c>
      <c r="E9" s="237">
        <v>0.125</v>
      </c>
      <c r="F9" s="237">
        <v>0.16666666666666699</v>
      </c>
      <c r="G9" s="237">
        <v>0.20833333333333301</v>
      </c>
      <c r="H9" s="237">
        <v>0.22916666666666699</v>
      </c>
      <c r="I9" s="237">
        <v>0.25</v>
      </c>
      <c r="J9" s="237">
        <v>0.27083333333333298</v>
      </c>
      <c r="K9" s="237">
        <v>0.29166666666666702</v>
      </c>
      <c r="L9" s="237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3">
        <v>0.58333333333333304</v>
      </c>
      <c r="T9" s="233">
        <v>0.625</v>
      </c>
      <c r="U9" s="233">
        <v>0.66666666666666696</v>
      </c>
      <c r="V9" s="233">
        <v>0.70833333333333304</v>
      </c>
      <c r="W9" s="233">
        <v>0.72916666666666696</v>
      </c>
      <c r="X9" s="233">
        <v>0.75</v>
      </c>
      <c r="Y9" s="233">
        <v>0.77083333333333304</v>
      </c>
      <c r="Z9" s="233">
        <v>0.79166666666666696</v>
      </c>
      <c r="AA9" s="233">
        <v>0.8125</v>
      </c>
      <c r="AB9" s="233">
        <v>0.83333333333333304</v>
      </c>
      <c r="AC9" s="233">
        <v>0.85416666666666696</v>
      </c>
      <c r="AD9" s="233">
        <v>0.875</v>
      </c>
      <c r="AE9" s="233">
        <v>0.91666666666666696</v>
      </c>
      <c r="AF9" s="233">
        <v>0.95833333333333304</v>
      </c>
      <c r="AG9" s="240" t="s">
        <v>1</v>
      </c>
      <c r="AH9" s="234"/>
      <c r="AI9" s="234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6"/>
      <c r="B10" s="237"/>
      <c r="C10" s="237"/>
      <c r="D10" s="237"/>
      <c r="E10" s="237"/>
      <c r="F10" s="237"/>
      <c r="G10" s="237"/>
      <c r="H10" s="234"/>
      <c r="I10" s="234"/>
      <c r="J10" s="234"/>
      <c r="K10" s="234"/>
      <c r="L10" s="234"/>
      <c r="M10" s="239"/>
      <c r="N10" s="239"/>
      <c r="O10" s="239"/>
      <c r="P10" s="239"/>
      <c r="Q10" s="239"/>
      <c r="R10" s="239"/>
      <c r="S10" s="234"/>
      <c r="T10" s="234"/>
      <c r="U10" s="234"/>
      <c r="V10" s="234"/>
      <c r="W10" s="234"/>
      <c r="X10" s="234"/>
      <c r="Y10" s="234"/>
      <c r="Z10" s="234"/>
      <c r="AA10" s="234"/>
      <c r="AB10" s="234"/>
      <c r="AC10" s="234"/>
      <c r="AD10" s="234"/>
      <c r="AE10" s="234"/>
      <c r="AF10" s="234"/>
      <c r="AG10" s="241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42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43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607" priority="47">
      <formula>$AH11=0</formula>
    </cfRule>
  </conditionalFormatting>
  <conditionalFormatting sqref="A101:A102">
    <cfRule type="expression" dxfId="606" priority="215">
      <formula>$AH106=0</formula>
    </cfRule>
  </conditionalFormatting>
  <conditionalFormatting sqref="A103:A107">
    <cfRule type="expression" dxfId="605" priority="163">
      <formula>$AH102=0</formula>
    </cfRule>
  </conditionalFormatting>
  <conditionalFormatting sqref="A160:A167">
    <cfRule type="expression" dxfId="604" priority="216">
      <formula>$AH267=0</formula>
    </cfRule>
  </conditionalFormatting>
  <conditionalFormatting sqref="A168:A275">
    <cfRule type="expression" dxfId="603" priority="86">
      <formula>$AH168=0</formula>
    </cfRule>
  </conditionalFormatting>
  <conditionalFormatting sqref="B8">
    <cfRule type="expression" dxfId="602" priority="211">
      <formula>AND(C$9&gt;=14/24,C$9&lt;20/24)</formula>
    </cfRule>
    <cfRule type="expression" dxfId="601" priority="212">
      <formula>AND(C$9&gt;=8/24,C$9&lt;14/24)</formula>
    </cfRule>
    <cfRule type="expression" dxfId="600" priority="213">
      <formula>C$9&lt;8/24</formula>
    </cfRule>
    <cfRule type="expression" dxfId="599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598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597" priority="129">
      <formula>AND(B$9&gt;=14/24,B$9&lt;20/24)</formula>
    </cfRule>
    <cfRule type="expression" dxfId="596" priority="130">
      <formula>AND(B$9&gt;=8/24,B$9&lt;14/24)</formula>
    </cfRule>
    <cfRule type="expression" dxfId="595" priority="131">
      <formula>B$9&lt;8/24</formula>
    </cfRule>
  </conditionalFormatting>
  <conditionalFormatting sqref="B29:Y53">
    <cfRule type="expression" dxfId="594" priority="71">
      <formula>B29&gt;$AG29*1</formula>
    </cfRule>
    <cfRule type="expression" dxfId="593" priority="72">
      <formula>B$9&gt;=20/24</formula>
    </cfRule>
    <cfRule type="expression" dxfId="592" priority="73">
      <formula>AND(B$9&gt;=14/24,B$9&lt;20/24)</formula>
    </cfRule>
    <cfRule type="expression" dxfId="591" priority="74">
      <formula>AND(B$9&gt;=8/24,B$9&lt;14/24)</formula>
    </cfRule>
    <cfRule type="expression" dxfId="590" priority="75">
      <formula>B$9&lt;8/24</formula>
    </cfRule>
  </conditionalFormatting>
  <conditionalFormatting sqref="B54:Y68">
    <cfRule type="expression" dxfId="589" priority="64">
      <formula>B$9&lt;8/24</formula>
    </cfRule>
  </conditionalFormatting>
  <conditionalFormatting sqref="B54:Y70">
    <cfRule type="expression" dxfId="588" priority="61">
      <formula>B$9&gt;=20/24</formula>
    </cfRule>
    <cfRule type="expression" dxfId="587" priority="62">
      <formula>AND(B$9&gt;=14/24,B$9&lt;20/24)</formula>
    </cfRule>
    <cfRule type="expression" dxfId="586" priority="63">
      <formula>AND(B$9&gt;=8/24,B$9&lt;14/24)</formula>
    </cfRule>
  </conditionalFormatting>
  <conditionalFormatting sqref="B63:Y65">
    <cfRule type="expression" dxfId="585" priority="65">
      <formula>B63&gt;$AG63</formula>
    </cfRule>
  </conditionalFormatting>
  <conditionalFormatting sqref="B69:Y70">
    <cfRule type="expression" dxfId="584" priority="136">
      <formula>B$9&lt;8/24</formula>
    </cfRule>
  </conditionalFormatting>
  <conditionalFormatting sqref="B72:AF75">
    <cfRule type="expression" dxfId="583" priority="52">
      <formula>B72&gt;$AG72*1</formula>
    </cfRule>
  </conditionalFormatting>
  <conditionalFormatting sqref="B73:AF75">
    <cfRule type="expression" dxfId="582" priority="53">
      <formula>B$9&gt;=20/24</formula>
    </cfRule>
    <cfRule type="expression" dxfId="581" priority="54">
      <formula>AND(B$9&gt;=14/24,B$9&lt;20/24)</formula>
    </cfRule>
    <cfRule type="expression" dxfId="580" priority="55">
      <formula>AND(B$9&gt;=8/24,B$9&lt;14/24)</formula>
    </cfRule>
    <cfRule type="expression" dxfId="579" priority="56">
      <formula>B$9&lt;8/24</formula>
    </cfRule>
  </conditionalFormatting>
  <conditionalFormatting sqref="F161:AF167">
    <cfRule type="expression" dxfId="578" priority="87">
      <formula>F$9&gt;=20/24</formula>
    </cfRule>
    <cfRule type="expression" dxfId="577" priority="88">
      <formula>AND(F$9&gt;=14/24,F$9&lt;20/24)</formula>
    </cfRule>
    <cfRule type="expression" dxfId="576" priority="89">
      <formula>AND(F$9&gt;=8/24,F$9&lt;14/24)</formula>
    </cfRule>
    <cfRule type="expression" dxfId="575" priority="90">
      <formula>F$9&lt;8/24</formula>
    </cfRule>
  </conditionalFormatting>
  <conditionalFormatting sqref="F169:AF274">
    <cfRule type="expression" dxfId="574" priority="48">
      <formula>F$9&gt;=20/24</formula>
    </cfRule>
    <cfRule type="expression" dxfId="573" priority="49">
      <formula>AND(F$9&gt;=14/24,F$9&lt;20/24)</formula>
    </cfRule>
    <cfRule type="expression" dxfId="572" priority="50">
      <formula>AND(F$9&gt;=8/24,F$9&lt;14/24)</formula>
    </cfRule>
    <cfRule type="expression" dxfId="571" priority="51">
      <formula>F$9&lt;8/24</formula>
    </cfRule>
  </conditionalFormatting>
  <conditionalFormatting sqref="AF96:AG96 B71:AG71 Z78:AG78 X91:AF91 B76:W96 B69:Y69 X76:Y90 X92:AE96 Z76:AF77 Z79:AF90 AF92:AF95">
    <cfRule type="expression" dxfId="570" priority="127">
      <formula>B69&gt;$AG69*1</formula>
    </cfRule>
  </conditionalFormatting>
  <conditionalFormatting sqref="F79:Y83">
    <cfRule type="expression" dxfId="569" priority="137">
      <formula>F$9&gt;=20/24</formula>
    </cfRule>
    <cfRule type="expression" dxfId="568" priority="138">
      <formula>AND(F$9&gt;=14/24,F$9&lt;20/24)</formula>
    </cfRule>
    <cfRule type="expression" dxfId="567" priority="139">
      <formula>AND(F$9&gt;=8/24,F$9&lt;14/24)</formula>
    </cfRule>
    <cfRule type="expression" dxfId="566" priority="140">
      <formula>F$9&lt;8/24</formula>
    </cfRule>
  </conditionalFormatting>
  <conditionalFormatting sqref="F84:Y84">
    <cfRule type="expression" dxfId="565" priority="132">
      <formula>F$9&gt;=20/24</formula>
    </cfRule>
    <cfRule type="expression" dxfId="564" priority="133">
      <formula>AND(F$9&gt;=14/24,F$9&lt;20/24)</formula>
    </cfRule>
    <cfRule type="expression" dxfId="563" priority="134">
      <formula>AND(F$9&gt;=8/24,F$9&lt;14/24)</formula>
    </cfRule>
    <cfRule type="expression" dxfId="562" priority="135">
      <formula>F$9&lt;8/24</formula>
    </cfRule>
  </conditionalFormatting>
  <conditionalFormatting sqref="F78:AF78 B72:AF72">
    <cfRule type="expression" dxfId="561" priority="147">
      <formula>B$9&gt;=20/24</formula>
    </cfRule>
    <cfRule type="expression" dxfId="560" priority="148">
      <formula>AND(B$9&gt;=14/24,B$9&lt;20/24)</formula>
    </cfRule>
    <cfRule type="expression" dxfId="559" priority="149">
      <formula>AND(B$9&gt;=8/24,B$9&lt;14/24)</formula>
    </cfRule>
    <cfRule type="expression" dxfId="558" priority="150">
      <formula>B$9&lt;8/24</formula>
    </cfRule>
  </conditionalFormatting>
  <conditionalFormatting sqref="F79:Y81">
    <cfRule type="expression" dxfId="557" priority="155">
      <formula>F$9&gt;=20/24</formula>
    </cfRule>
    <cfRule type="expression" dxfId="556" priority="156">
      <formula>AND(F$9&gt;=14/24,F$9&lt;20/24)</formula>
    </cfRule>
    <cfRule type="expression" dxfId="555" priority="157">
      <formula>AND(F$9&gt;=8/24,F$9&lt;14/24)</formula>
    </cfRule>
    <cfRule type="expression" dxfId="554" priority="158">
      <formula>F$9&lt;8/24</formula>
    </cfRule>
  </conditionalFormatting>
  <conditionalFormatting sqref="L84:AF84">
    <cfRule type="expression" dxfId="553" priority="151">
      <formula>L$9&gt;=20/24</formula>
    </cfRule>
    <cfRule type="expression" dxfId="552" priority="152">
      <formula>AND(L$9&gt;=14/24,L$9&lt;20/24)</formula>
    </cfRule>
    <cfRule type="expression" dxfId="551" priority="153">
      <formula>AND(L$9&gt;=8/24,L$9&lt;14/24)</formula>
    </cfRule>
    <cfRule type="expression" dxfId="550" priority="154">
      <formula>L$9&lt;8/24</formula>
    </cfRule>
  </conditionalFormatting>
  <conditionalFormatting sqref="M8 S8 AB8">
    <cfRule type="expression" dxfId="549" priority="204">
      <formula>AND(N$9&gt;=14/24,N$9&lt;20/24)</formula>
    </cfRule>
    <cfRule type="expression" dxfId="548" priority="205">
      <formula>AND(N$9&gt;=8/24,N$9&lt;14/24)</formula>
    </cfRule>
    <cfRule type="expression" dxfId="547" priority="206">
      <formula>N$9&lt;8/24</formula>
    </cfRule>
  </conditionalFormatting>
  <conditionalFormatting sqref="T79:Y83 Z80:AF83">
    <cfRule type="expression" dxfId="546" priority="159">
      <formula>T$9&gt;=20/24</formula>
    </cfRule>
    <cfRule type="expression" dxfId="545" priority="160">
      <formula>AND(T$9&gt;=14/24,T$9&lt;20/24)</formula>
    </cfRule>
    <cfRule type="expression" dxfId="544" priority="161">
      <formula>AND(T$9&gt;=8/24,T$9&lt;14/24)</formula>
    </cfRule>
    <cfRule type="expression" dxfId="543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42" priority="203">
      <formula>N$9&gt;=20/24</formula>
    </cfRule>
  </conditionalFormatting>
  <conditionalFormatting sqref="S8">
    <cfRule type="expression" dxfId="541" priority="194">
      <formula>U$9&gt;=20/24</formula>
    </cfRule>
    <cfRule type="expression" dxfId="540" priority="195">
      <formula>AND(U$9&gt;=14/24,U$9&lt;20/24)</formula>
    </cfRule>
    <cfRule type="expression" dxfId="539" priority="196">
      <formula>AND(U$9&gt;=8/24,U$9&lt;14/24)</formula>
    </cfRule>
    <cfRule type="expression" dxfId="538" priority="197">
      <formula>U$9&lt;8/24</formula>
    </cfRule>
  </conditionalFormatting>
  <conditionalFormatting sqref="T79:AF84">
    <cfRule type="expression" dxfId="537" priority="81">
      <formula>T$9&gt;=20/24</formula>
    </cfRule>
    <cfRule type="expression" dxfId="536" priority="82">
      <formula>AND(T$9&gt;=14/24,T$9&lt;20/24)</formula>
    </cfRule>
    <cfRule type="expression" dxfId="535" priority="83">
      <formula>AND(T$9&gt;=8/24,T$9&lt;14/24)</formula>
    </cfRule>
    <cfRule type="expression" dxfId="534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533" priority="141">
      <formula>B54&gt;$AG54</formula>
    </cfRule>
  </conditionalFormatting>
  <conditionalFormatting sqref="AB8">
    <cfRule type="expression" dxfId="532" priority="190">
      <formula>AD$9&gt;=20/24</formula>
    </cfRule>
    <cfRule type="expression" dxfId="531" priority="191">
      <formula>AND(AD$9&gt;=14/24,AD$9&lt;20/24)</formula>
    </cfRule>
    <cfRule type="expression" dxfId="530" priority="192">
      <formula>AND(AD$9&gt;=8/24,AD$9&lt;14/24)</formula>
    </cfRule>
    <cfRule type="expression" dxfId="529" priority="193">
      <formula>AD$9&lt;8/24</formula>
    </cfRule>
  </conditionalFormatting>
  <conditionalFormatting sqref="AG78">
    <cfRule type="expression" dxfId="528" priority="169">
      <formula>AG$9&gt;=20/24</formula>
    </cfRule>
    <cfRule type="expression" dxfId="527" priority="170">
      <formula>AND(AG$9&gt;=14/24,AG$9&lt;20/24)</formula>
    </cfRule>
    <cfRule type="expression" dxfId="526" priority="171">
      <formula>AND(AG$9&gt;=8/24,AG$9&lt;14/24)</formula>
    </cfRule>
    <cfRule type="expression" dxfId="525" priority="172">
      <formula>AG$9&lt;8/24</formula>
    </cfRule>
  </conditionalFormatting>
  <conditionalFormatting sqref="AG91:AG92">
    <cfRule type="expression" dxfId="524" priority="164">
      <formula>AG91&gt;$AG91</formula>
    </cfRule>
  </conditionalFormatting>
  <conditionalFormatting sqref="AG96">
    <cfRule type="expression" dxfId="523" priority="165">
      <formula>AG$9&gt;=20/24</formula>
    </cfRule>
    <cfRule type="expression" dxfId="522" priority="166">
      <formula>AND(AG$9&gt;=14/24,AG$9&lt;20/24)</formula>
    </cfRule>
    <cfRule type="expression" dxfId="521" priority="167">
      <formula>AND(AG$9&gt;=8/24,AG$9&lt;14/24)</formula>
    </cfRule>
    <cfRule type="expression" dxfId="520" priority="168">
      <formula>AG$9&lt;8/24</formula>
    </cfRule>
  </conditionalFormatting>
  <conditionalFormatting sqref="AG113">
    <cfRule type="expression" dxfId="519" priority="186">
      <formula>AG$9&gt;=20/24</formula>
    </cfRule>
    <cfRule type="expression" dxfId="518" priority="187">
      <formula>AND(AG$9&gt;=14/24,AG$9&lt;20/24)</formula>
    </cfRule>
    <cfRule type="expression" dxfId="517" priority="188">
      <formula>AND(AG$9&gt;=8/24,AG$9&lt;14/24)</formula>
    </cfRule>
    <cfRule type="expression" dxfId="516" priority="189">
      <formula>AG$9&lt;8/24</formula>
    </cfRule>
  </conditionalFormatting>
  <conditionalFormatting sqref="AH8:AI10">
    <cfRule type="expression" dxfId="515" priority="77">
      <formula>AH$9&gt;=20/24</formula>
    </cfRule>
    <cfRule type="expression" dxfId="514" priority="78">
      <formula>AND(AH$9&gt;=14/24,AH$9&lt;20/24)</formula>
    </cfRule>
    <cfRule type="expression" dxfId="513" priority="79">
      <formula>AND(AH$9&gt;=8/24,AH$9&lt;14/24)</formula>
    </cfRule>
    <cfRule type="expression" dxfId="512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11" priority="207">
      <formula>AJ$9&gt;=20/24</formula>
    </cfRule>
    <cfRule type="expression" dxfId="510" priority="208">
      <formula>AND(AJ$9&gt;=14/24,AJ$9&lt;20/24)</formula>
    </cfRule>
    <cfRule type="expression" dxfId="509" priority="209">
      <formula>AND(AJ$9&gt;=8/24,AJ$9&lt;14/24)</formula>
    </cfRule>
    <cfRule type="expression" dxfId="508" priority="210">
      <formula>AJ$9&lt;8/24</formula>
    </cfRule>
  </conditionalFormatting>
  <conditionalFormatting sqref="AL99:AN99 AL105:AN105">
    <cfRule type="expression" dxfId="507" priority="179">
      <formula>AL$9&gt;=20/24</formula>
    </cfRule>
    <cfRule type="expression" dxfId="506" priority="180">
      <formula>AND(AL$9&gt;=14/24,AL$9&lt;20/24)</formula>
    </cfRule>
    <cfRule type="expression" dxfId="505" priority="181">
      <formula>AND(AL$9&gt;=8/24,AL$9&lt;14/24)</formula>
    </cfRule>
    <cfRule type="expression" dxfId="504" priority="182">
      <formula>AL$9&lt;8/24</formula>
    </cfRule>
  </conditionalFormatting>
  <conditionalFormatting sqref="AM15:AM21 AN16:AR21">
    <cfRule type="expression" dxfId="503" priority="103">
      <formula>AX$9&gt;=20/24</formula>
    </cfRule>
    <cfRule type="expression" dxfId="502" priority="104">
      <formula>AND(AX$9&gt;=14/24,AX$9&lt;20/24)</formula>
    </cfRule>
    <cfRule type="expression" dxfId="501" priority="105">
      <formula>AND(AX$9&gt;=8/24,AX$9&lt;14/24)</formula>
    </cfRule>
    <cfRule type="expression" dxfId="500" priority="106">
      <formula>AX$9&lt;8/24</formula>
    </cfRule>
  </conditionalFormatting>
  <conditionalFormatting sqref="AN100:AN103">
    <cfRule type="expression" dxfId="499" priority="175">
      <formula>AN$9&gt;=20/24</formula>
    </cfRule>
    <cfRule type="expression" dxfId="498" priority="176">
      <formula>AND(AN$9&gt;=14/24,AN$9&lt;20/24)</formula>
    </cfRule>
    <cfRule type="expression" dxfId="497" priority="177">
      <formula>AND(AN$9&gt;=8/24,AN$9&lt;14/24)</formula>
    </cfRule>
    <cfRule type="expression" dxfId="496" priority="178">
      <formula>AN$9&lt;8/24</formula>
    </cfRule>
  </conditionalFormatting>
  <conditionalFormatting sqref="AN15:AR15">
    <cfRule type="expression" dxfId="495" priority="91">
      <formula>U$9&gt;=20/24</formula>
    </cfRule>
    <cfRule type="expression" dxfId="494" priority="92">
      <formula>AND(U$9&gt;=14/24,U$9&lt;20/24)</formula>
    </cfRule>
    <cfRule type="expression" dxfId="493" priority="93">
      <formula>AND(U$9&gt;=8/24,U$9&lt;14/24)</formula>
    </cfRule>
    <cfRule type="expression" dxfId="492" priority="94">
      <formula>U$9&lt;8/24</formula>
    </cfRule>
  </conditionalFormatting>
  <conditionalFormatting sqref="AS15">
    <cfRule type="expression" dxfId="491" priority="99">
      <formula>AA$9&gt;=20/24</formula>
    </cfRule>
    <cfRule type="expression" dxfId="490" priority="100">
      <formula>AND(AA$9&gt;=14/24,AA$9&lt;20/24)</formula>
    </cfRule>
    <cfRule type="expression" dxfId="489" priority="101">
      <formula>AND(AA$9&gt;=8/24,AA$9&lt;14/24)</formula>
    </cfRule>
    <cfRule type="expression" dxfId="488" priority="102">
      <formula>AA$9&lt;8/24</formula>
    </cfRule>
  </conditionalFormatting>
  <conditionalFormatting sqref="AS16:AS21">
    <cfRule type="expression" dxfId="487" priority="107">
      <formula>BE$9&gt;=20/24</formula>
    </cfRule>
    <cfRule type="expression" dxfId="486" priority="108">
      <formula>AND(BE$9&gt;=14/24,BE$9&lt;20/24)</formula>
    </cfRule>
    <cfRule type="expression" dxfId="485" priority="109">
      <formula>AND(BE$9&gt;=8/24,BE$9&lt;14/24)</formula>
    </cfRule>
    <cfRule type="expression" dxfId="484" priority="110">
      <formula>BE$9&lt;8/24</formula>
    </cfRule>
  </conditionalFormatting>
  <conditionalFormatting sqref="AT15 AX15:BJ15">
    <cfRule type="expression" dxfId="483" priority="111">
      <formula>AC$9&gt;=20/24</formula>
    </cfRule>
    <cfRule type="expression" dxfId="482" priority="112">
      <formula>AND(AC$9&gt;=14/24,AC$9&lt;20/24)</formula>
    </cfRule>
    <cfRule type="expression" dxfId="481" priority="113">
      <formula>AND(AC$9&gt;=8/24,AC$9&lt;14/24)</formula>
    </cfRule>
    <cfRule type="expression" dxfId="480" priority="114">
      <formula>AC$9&lt;8/24</formula>
    </cfRule>
  </conditionalFormatting>
  <conditionalFormatting sqref="AT16:AT21">
    <cfRule type="expression" dxfId="479" priority="115">
      <formula>BG$9&gt;=20/24</formula>
    </cfRule>
    <cfRule type="expression" dxfId="478" priority="116">
      <formula>AND(BG$9&gt;=14/24,BG$9&lt;20/24)</formula>
    </cfRule>
    <cfRule type="expression" dxfId="477" priority="117">
      <formula>AND(BG$9&gt;=8/24,BG$9&lt;14/24)</formula>
    </cfRule>
    <cfRule type="expression" dxfId="476" priority="118">
      <formula>BG$9&lt;8/24</formula>
    </cfRule>
  </conditionalFormatting>
  <conditionalFormatting sqref="AU15:AV15">
    <cfRule type="expression" dxfId="475" priority="119">
      <formula>AE$9&gt;=20/24</formula>
    </cfRule>
    <cfRule type="expression" dxfId="474" priority="120">
      <formula>AND(AE$9&gt;=14/24,AE$9&lt;20/24)</formula>
    </cfRule>
    <cfRule type="expression" dxfId="473" priority="121">
      <formula>AND(AE$9&gt;=8/24,AE$9&lt;14/24)</formula>
    </cfRule>
    <cfRule type="expression" dxfId="472" priority="122">
      <formula>AE$9&lt;8/24</formula>
    </cfRule>
  </conditionalFormatting>
  <conditionalFormatting sqref="AU16:BJ21">
    <cfRule type="expression" dxfId="471" priority="123">
      <formula>BI$9&gt;=20/24</formula>
    </cfRule>
    <cfRule type="expression" dxfId="470" priority="124">
      <formula>AND(BI$9&gt;=14/24,BI$9&lt;20/24)</formula>
    </cfRule>
    <cfRule type="expression" dxfId="469" priority="125">
      <formula>AND(BI$9&gt;=8/24,BI$9&lt;14/24)</formula>
    </cfRule>
    <cfRule type="expression" dxfId="468" priority="126">
      <formula>BI$9&lt;8/24</formula>
    </cfRule>
  </conditionalFormatting>
  <conditionalFormatting sqref="AW15">
    <cfRule type="expression" dxfId="467" priority="95">
      <formula>B$9&gt;=20/24</formula>
    </cfRule>
    <cfRule type="expression" dxfId="466" priority="96">
      <formula>AND(B$9&gt;=14/24,B$9&lt;20/24)</formula>
    </cfRule>
    <cfRule type="expression" dxfId="465" priority="97">
      <formula>AND(B$9&gt;=8/24,B$9&lt;14/24)</formula>
    </cfRule>
    <cfRule type="expression" dxfId="464" priority="98">
      <formula>B$9&lt;8/24</formula>
    </cfRule>
  </conditionalFormatting>
  <conditionalFormatting sqref="A73">
    <cfRule type="expression" dxfId="463" priority="46">
      <formula>$AH73=0</formula>
    </cfRule>
  </conditionalFormatting>
  <conditionalFormatting sqref="B97:E107 B137:E152 B109:E112 B125:E134 B154:E159 F97:F102 G98:G102 F126:G133 F137:G151 B11:Y13 AA11:AF13">
    <cfRule type="expression" dxfId="462" priority="42">
      <formula>B$9&gt;=20/24</formula>
    </cfRule>
  </conditionalFormatting>
  <conditionalFormatting sqref="B97:E107 B137:E152 B109:E112 B125:E134 B154:E159 F97:F102 G98:G102 F126:G133 F137:G151 B11:Y13 AA11:AF13">
    <cfRule type="expression" dxfId="461" priority="43">
      <formula>AND(B$9&gt;=14/24,B$9&lt;20/24)</formula>
    </cfRule>
    <cfRule type="expression" dxfId="460" priority="44">
      <formula>AND(B$9&gt;=8/24,B$9&lt;14/24)</formula>
    </cfRule>
    <cfRule type="expression" dxfId="459" priority="45">
      <formula>B$9&lt;8/24</formula>
    </cfRule>
  </conditionalFormatting>
  <conditionalFormatting sqref="B14:Y28 AA14:AF16">
    <cfRule type="expression" dxfId="458" priority="32">
      <formula>B14&gt;$AG14*1</formula>
    </cfRule>
    <cfRule type="expression" dxfId="457" priority="33">
      <formula>B$9&gt;=20/24</formula>
    </cfRule>
    <cfRule type="expression" dxfId="456" priority="34">
      <formula>AND(B$9&gt;=14/24,B$9&lt;20/24)</formula>
    </cfRule>
    <cfRule type="expression" dxfId="455" priority="35">
      <formula>AND(B$9&gt;=8/24,B$9&lt;14/24)</formula>
    </cfRule>
    <cfRule type="expression" dxfId="454" priority="36">
      <formula>B$9&lt;8/24</formula>
    </cfRule>
  </conditionalFormatting>
  <conditionalFormatting sqref="B161:E167">
    <cfRule type="expression" dxfId="453" priority="37">
      <formula>B$9&gt;=20/24</formula>
    </cfRule>
    <cfRule type="expression" dxfId="452" priority="38">
      <formula>AND(B$9&gt;=14/24,B$9&lt;20/24)</formula>
    </cfRule>
    <cfRule type="expression" dxfId="451" priority="39">
      <formula>AND(B$9&gt;=8/24,B$9&lt;14/24)</formula>
    </cfRule>
    <cfRule type="expression" dxfId="450" priority="40">
      <formula>B$9&lt;8/24</formula>
    </cfRule>
  </conditionalFormatting>
  <conditionalFormatting sqref="B169:E274">
    <cfRule type="expression" dxfId="449" priority="28">
      <formula>B$9&gt;=20/24</formula>
    </cfRule>
    <cfRule type="expression" dxfId="448" priority="29">
      <formula>AND(B$9&gt;=14/24,B$9&lt;20/24)</formula>
    </cfRule>
    <cfRule type="expression" dxfId="447" priority="30">
      <formula>AND(B$9&gt;=8/24,B$9&lt;14/24)</formula>
    </cfRule>
    <cfRule type="expression" dxfId="446" priority="31">
      <formula>B$9&lt;8/24</formula>
    </cfRule>
  </conditionalFormatting>
  <conditionalFormatting sqref="B11:Y13 AA11:AF13">
    <cfRule type="expression" dxfId="445" priority="41">
      <formula>B11&gt;$AG11*1</formula>
    </cfRule>
  </conditionalFormatting>
  <conditionalFormatting sqref="A153">
    <cfRule type="expression" dxfId="444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43" priority="23">
      <formula>AL$9&gt;=20/24</formula>
    </cfRule>
  </conditionalFormatting>
  <conditionalFormatting sqref="AL153">
    <cfRule type="expression" dxfId="442" priority="24">
      <formula>AND(AL$9&gt;=14/24,AL$9&lt;20/24)</formula>
    </cfRule>
    <cfRule type="expression" dxfId="441" priority="25">
      <formula>AND(AL$9&gt;=8/24,AL$9&lt;14/24)</formula>
    </cfRule>
    <cfRule type="expression" dxfId="440" priority="26">
      <formula>AL$9&lt;8/24</formula>
    </cfRule>
  </conditionalFormatting>
  <conditionalFormatting sqref="Z56:AF68">
    <cfRule type="expression" dxfId="439" priority="1">
      <formula>Z$9&gt;=20/24</formula>
    </cfRule>
    <cfRule type="expression" dxfId="438" priority="2">
      <formula>AND(Z$9&gt;=14/24,Z$9&lt;20/24)</formula>
    </cfRule>
    <cfRule type="expression" dxfId="437" priority="3">
      <formula>AND(Z$9&gt;=8/24,Z$9&lt;14/24)</formula>
    </cfRule>
  </conditionalFormatting>
  <conditionalFormatting sqref="Z11:Z13">
    <cfRule type="expression" dxfId="436" priority="17">
      <formula>Z$9&gt;=20/24</formula>
    </cfRule>
  </conditionalFormatting>
  <conditionalFormatting sqref="Z11:Z13">
    <cfRule type="expression" dxfId="435" priority="18">
      <formula>AND(Z$9&gt;=14/24,Z$9&lt;20/24)</formula>
    </cfRule>
    <cfRule type="expression" dxfId="434" priority="19">
      <formula>AND(Z$9&gt;=8/24,Z$9&lt;14/24)</formula>
    </cfRule>
    <cfRule type="expression" dxfId="433" priority="20">
      <formula>Z$9&lt;8/24</formula>
    </cfRule>
  </conditionalFormatting>
  <conditionalFormatting sqref="Z14:Z53 AA17:AF53">
    <cfRule type="expression" dxfId="432" priority="11">
      <formula>Z14&gt;$AG14*1</formula>
    </cfRule>
    <cfRule type="expression" dxfId="431" priority="12">
      <formula>Z$9&gt;=20/24</formula>
    </cfRule>
    <cfRule type="expression" dxfId="430" priority="13">
      <formula>AND(Z$9&gt;=14/24,Z$9&lt;20/24)</formula>
    </cfRule>
    <cfRule type="expression" dxfId="429" priority="14">
      <formula>AND(Z$9&gt;=8/24,Z$9&lt;14/24)</formula>
    </cfRule>
    <cfRule type="expression" dxfId="428" priority="15">
      <formula>Z$9&lt;8/24</formula>
    </cfRule>
  </conditionalFormatting>
  <conditionalFormatting sqref="Z54:AF55">
    <cfRule type="expression" dxfId="427" priority="10">
      <formula>Z$9&lt;8/24</formula>
    </cfRule>
  </conditionalFormatting>
  <conditionalFormatting sqref="Z54:AF55 Z69:AF70">
    <cfRule type="expression" dxfId="426" priority="7">
      <formula>Z$9&gt;=20/24</formula>
    </cfRule>
    <cfRule type="expression" dxfId="425" priority="8">
      <formula>AND(Z$9&gt;=14/24,Z$9&lt;20/24)</formula>
    </cfRule>
    <cfRule type="expression" dxfId="424" priority="9">
      <formula>AND(Z$9&gt;=8/24,Z$9&lt;14/24)</formula>
    </cfRule>
  </conditionalFormatting>
  <conditionalFormatting sqref="Z69:AF70">
    <cfRule type="expression" dxfId="423" priority="21">
      <formula>Z$9&lt;8/24</formula>
    </cfRule>
  </conditionalFormatting>
  <conditionalFormatting sqref="Z11:Z13 Z69:AF69">
    <cfRule type="expression" dxfId="422" priority="16">
      <formula>Z11&gt;$AG11*1</formula>
    </cfRule>
  </conditionalFormatting>
  <conditionalFormatting sqref="Z54:AF55 Z69:AF70">
    <cfRule type="expression" dxfId="421" priority="22">
      <formula>Z54&gt;$AG54</formula>
    </cfRule>
  </conditionalFormatting>
  <conditionalFormatting sqref="Z56:AF68">
    <cfRule type="expression" dxfId="420" priority="4">
      <formula>Z$9&lt;8/24</formula>
    </cfRule>
  </conditionalFormatting>
  <conditionalFormatting sqref="Z63:AF65">
    <cfRule type="expression" dxfId="419" priority="5">
      <formula>Z63&gt;$AG63</formula>
    </cfRule>
  </conditionalFormatting>
  <conditionalFormatting sqref="Z66:AF68 Z56:AF62">
    <cfRule type="expression" dxfId="418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J77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D144" sqref="AD144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8" t="s">
        <v>0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9" t="s">
        <v>1</v>
      </c>
      <c r="AH1" s="219"/>
      <c r="AI1" s="219"/>
      <c r="AL1" s="2"/>
    </row>
    <row r="2" spans="1:88" ht="20.25" hidden="1">
      <c r="A2" s="3"/>
      <c r="B2" s="220" t="s">
        <v>2</v>
      </c>
      <c r="C2" s="4"/>
      <c r="D2" s="222" t="s">
        <v>3</v>
      </c>
      <c r="E2" s="4"/>
      <c r="F2" s="222" t="s">
        <v>4</v>
      </c>
      <c r="G2" s="4"/>
      <c r="H2" s="222" t="s">
        <v>5</v>
      </c>
      <c r="I2" s="5"/>
      <c r="J2" s="224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1"/>
      <c r="C3" s="16"/>
      <c r="D3" s="223"/>
      <c r="E3" s="16"/>
      <c r="F3" s="223"/>
      <c r="G3" s="16"/>
      <c r="H3" s="223"/>
      <c r="I3" s="17"/>
      <c r="J3" s="224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5" t="str">
        <f ca="1">"2080/"&amp;"10/"&amp;INT(MID(CELL("filename",D6),FIND("]",CELL("filename",D6))+1,200))</f>
        <v>2080/10/2</v>
      </c>
      <c r="C4" s="225"/>
      <c r="D4" s="225"/>
      <c r="E4" s="226" t="str">
        <f ca="1">"2080/"&amp;"10/"&amp;INT(MID(CELL("filename",G6),FIND("]",CELL("filename",G6))+1,200))</f>
        <v>2080/10/2</v>
      </c>
      <c r="F4" s="226"/>
      <c r="G4" s="226"/>
      <c r="H4" s="226" t="str">
        <f ca="1">TEXT(E4,"dddd")</f>
        <v>Wednesday</v>
      </c>
      <c r="I4" s="226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1592.7000000000003</v>
      </c>
      <c r="AC7" s="35">
        <f t="shared" si="1"/>
        <v>1532.9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30" t="s">
        <v>15</v>
      </c>
      <c r="N8" s="231"/>
      <c r="O8" s="231"/>
      <c r="P8" s="231"/>
      <c r="Q8" s="231"/>
      <c r="R8" s="232"/>
      <c r="S8" s="230" t="s">
        <v>16</v>
      </c>
      <c r="T8" s="231"/>
      <c r="U8" s="231"/>
      <c r="V8" s="231"/>
      <c r="W8" s="231"/>
      <c r="X8" s="231"/>
      <c r="Y8" s="231"/>
      <c r="Z8" s="231"/>
      <c r="AA8" s="232"/>
      <c r="AB8" s="230" t="s">
        <v>17</v>
      </c>
      <c r="AC8" s="231"/>
      <c r="AD8" s="231"/>
      <c r="AE8" s="231"/>
      <c r="AF8" s="232"/>
      <c r="AG8" s="39"/>
      <c r="AH8" s="233"/>
      <c r="AI8" s="233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1998.9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5" t="s">
        <v>18</v>
      </c>
      <c r="B9" s="237">
        <v>0</v>
      </c>
      <c r="C9" s="237">
        <v>4.1666666666666664E-2</v>
      </c>
      <c r="D9" s="237">
        <v>8.3333333333333301E-2</v>
      </c>
      <c r="E9" s="237">
        <v>0.125</v>
      </c>
      <c r="F9" s="237">
        <v>0.16666666666666699</v>
      </c>
      <c r="G9" s="237">
        <v>0.20833333333333301</v>
      </c>
      <c r="H9" s="237">
        <v>0.22916666666666699</v>
      </c>
      <c r="I9" s="237">
        <v>0.25</v>
      </c>
      <c r="J9" s="237">
        <v>0.27083333333333298</v>
      </c>
      <c r="K9" s="237">
        <v>0.29166666666666702</v>
      </c>
      <c r="L9" s="237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3">
        <v>0.58333333333333304</v>
      </c>
      <c r="T9" s="233">
        <v>0.625</v>
      </c>
      <c r="U9" s="233">
        <v>0.66666666666666696</v>
      </c>
      <c r="V9" s="233">
        <v>0.70833333333333304</v>
      </c>
      <c r="W9" s="233">
        <v>0.72916666666666696</v>
      </c>
      <c r="X9" s="233">
        <v>0.75</v>
      </c>
      <c r="Y9" s="233">
        <v>0.77083333333333304</v>
      </c>
      <c r="Z9" s="233">
        <v>0.79166666666666696</v>
      </c>
      <c r="AA9" s="233">
        <v>0.8125</v>
      </c>
      <c r="AB9" s="233">
        <v>0.83333333333333304</v>
      </c>
      <c r="AC9" s="233">
        <v>0.85416666666666696</v>
      </c>
      <c r="AD9" s="233">
        <v>0.875</v>
      </c>
      <c r="AE9" s="233">
        <v>0.91666666666666696</v>
      </c>
      <c r="AF9" s="233">
        <v>0.95833333333333304</v>
      </c>
      <c r="AG9" s="240" t="s">
        <v>1</v>
      </c>
      <c r="AH9" s="234"/>
      <c r="AI9" s="234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1592.7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6"/>
      <c r="B10" s="237"/>
      <c r="C10" s="237"/>
      <c r="D10" s="237"/>
      <c r="E10" s="237"/>
      <c r="F10" s="237"/>
      <c r="G10" s="237"/>
      <c r="H10" s="234"/>
      <c r="I10" s="234"/>
      <c r="J10" s="234"/>
      <c r="K10" s="234"/>
      <c r="L10" s="234"/>
      <c r="M10" s="239"/>
      <c r="N10" s="239"/>
      <c r="O10" s="239"/>
      <c r="P10" s="239"/>
      <c r="Q10" s="239"/>
      <c r="R10" s="239"/>
      <c r="S10" s="234"/>
      <c r="T10" s="234"/>
      <c r="U10" s="234"/>
      <c r="V10" s="234"/>
      <c r="W10" s="234"/>
      <c r="X10" s="234"/>
      <c r="Y10" s="234"/>
      <c r="Z10" s="234"/>
      <c r="AA10" s="234"/>
      <c r="AB10" s="234"/>
      <c r="AC10" s="234"/>
      <c r="AD10" s="234"/>
      <c r="AE10" s="234"/>
      <c r="AF10" s="234"/>
      <c r="AG10" s="241"/>
      <c r="AH10" s="217" t="s">
        <v>19</v>
      </c>
      <c r="AI10" s="21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/>
      <c r="AE11" s="44"/>
      <c r="AF11" s="44"/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/>
      <c r="AE12" s="44"/>
      <c r="AF12" s="44"/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/>
      <c r="AE13" s="44"/>
      <c r="AF13" s="44"/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/>
      <c r="AE14" s="44"/>
      <c r="AF14" s="44"/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/>
      <c r="AE15" s="44"/>
      <c r="AF15" s="44"/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/>
      <c r="AE16" s="44"/>
      <c r="AF16" s="44"/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/>
      <c r="AE17" s="44"/>
      <c r="AF17" s="44"/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/>
      <c r="AE18" s="44"/>
      <c r="AF18" s="44"/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347.09999999999997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/>
      <c r="AE22" s="44"/>
      <c r="AF22" s="44"/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1998.9000000000003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/>
      <c r="AE24" s="44"/>
      <c r="AF24" s="44"/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/>
      <c r="AE25" s="44"/>
      <c r="AF25" s="44"/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1592.7000000000003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/>
      <c r="AE26" s="44"/>
      <c r="AF26" s="44"/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/>
      <c r="AE27" s="44"/>
      <c r="AF27" s="44"/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/>
      <c r="AE28" s="44"/>
      <c r="AF28" s="44"/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/>
      <c r="AE31" s="44"/>
      <c r="AF31" s="44"/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/>
      <c r="AE32" s="44"/>
      <c r="AF32" s="44"/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/>
      <c r="AE33" s="44"/>
      <c r="AF33" s="44"/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/>
      <c r="AE34" s="44"/>
      <c r="AF34" s="44"/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/>
      <c r="AE37" s="44"/>
      <c r="AF37" s="44"/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/>
      <c r="AE42" s="44"/>
      <c r="AF42" s="44"/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/>
      <c r="AE44" s="44"/>
      <c r="AF44" s="44"/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/>
      <c r="AE45" s="44"/>
      <c r="AF45" s="44"/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/>
      <c r="AE46" s="44"/>
      <c r="AF46" s="44"/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/>
      <c r="AE47" s="44"/>
      <c r="AF47" s="44"/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/>
      <c r="AE48" s="44"/>
      <c r="AF48" s="44"/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/>
      <c r="AE49" s="44"/>
      <c r="AF49" s="44"/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/>
      <c r="AE55" s="44"/>
      <c r="AF55" s="44"/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/>
      <c r="AE58" s="44"/>
      <c r="AF58" s="44"/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/>
      <c r="AE59" s="44"/>
      <c r="AF59" s="44"/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/>
      <c r="AE61" s="44"/>
      <c r="AF61" s="44"/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/>
      <c r="AE65" s="44"/>
      <c r="AF65" s="44"/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/>
      <c r="AE66" s="44"/>
      <c r="AF66" s="44"/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/>
      <c r="AE67" s="44"/>
      <c r="AF67" s="44"/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/>
      <c r="AE70" s="66"/>
      <c r="AF70" s="66"/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1013.5000000000002</v>
      </c>
      <c r="AI71" s="47">
        <f t="shared" si="3"/>
        <v>150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/>
      <c r="AE72" s="44"/>
      <c r="AF72" s="44"/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/>
      <c r="AE73" s="43"/>
      <c r="AF73" s="43"/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52.5</v>
      </c>
      <c r="AD74" s="43"/>
      <c r="AE74" s="43"/>
      <c r="AF74" s="43"/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/>
      <c r="AE75" s="43"/>
      <c r="AF75" s="43"/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/>
      <c r="AE76" s="43"/>
      <c r="AF76" s="43"/>
      <c r="AG76" s="75">
        <v>22.1</v>
      </c>
      <c r="AH76" s="46">
        <f t="shared" si="28"/>
        <v>22.2</v>
      </c>
      <c r="AI76" s="47">
        <f t="shared" si="29"/>
        <v>20.3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/>
      <c r="AE77" s="77"/>
      <c r="AF77" s="77"/>
      <c r="AG77" s="78">
        <v>14.8</v>
      </c>
      <c r="AH77" s="46">
        <f t="shared" si="28"/>
        <v>9.6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376.3</v>
      </c>
      <c r="AD78" s="70">
        <f t="shared" si="30"/>
        <v>0</v>
      </c>
      <c r="AE78" s="70">
        <f t="shared" si="30"/>
        <v>0</v>
      </c>
      <c r="AF78" s="70">
        <f t="shared" si="30"/>
        <v>0</v>
      </c>
      <c r="AG78" s="80">
        <f t="shared" si="30"/>
        <v>706.4</v>
      </c>
      <c r="AH78" s="46">
        <f t="shared" si="28"/>
        <v>515.29999999999995</v>
      </c>
      <c r="AI78" s="47">
        <f t="shared" si="29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/>
      <c r="AE79" s="44"/>
      <c r="AF79" s="44"/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0</v>
      </c>
      <c r="BU79" s="81">
        <f t="shared" si="40"/>
        <v>0</v>
      </c>
      <c r="BV79" s="81">
        <f t="shared" si="40"/>
        <v>0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4"/>
      <c r="AE80" s="44"/>
      <c r="AF80" s="44"/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4"/>
      <c r="AE81" s="44"/>
      <c r="AF81" s="44"/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0</v>
      </c>
      <c r="BU81" s="81">
        <f t="shared" si="40"/>
        <v>0</v>
      </c>
      <c r="BV81" s="81">
        <f t="shared" si="40"/>
        <v>0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4"/>
      <c r="AE82" s="44"/>
      <c r="AF82" s="44"/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10.1</v>
      </c>
      <c r="AC83" s="43">
        <v>10.1</v>
      </c>
      <c r="AD83" s="44"/>
      <c r="AE83" s="44"/>
      <c r="AF83" s="44"/>
      <c r="AG83" s="64">
        <v>30</v>
      </c>
      <c r="AH83" s="46">
        <f t="shared" si="28"/>
        <v>25.3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/>
      <c r="AE84" s="43"/>
      <c r="AF84" s="43"/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/>
      <c r="AE85" s="43"/>
      <c r="AF85" s="43"/>
      <c r="AG85" s="64">
        <v>24</v>
      </c>
      <c r="AH85" s="46">
        <f t="shared" si="28"/>
        <v>12.3</v>
      </c>
      <c r="AI85" s="47">
        <f t="shared" si="29"/>
        <v>11.8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/>
      <c r="AE86" s="43"/>
      <c r="AF86" s="43"/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0</v>
      </c>
      <c r="BU86" s="82">
        <f t="shared" si="42"/>
        <v>0</v>
      </c>
      <c r="BV86" s="82">
        <f t="shared" si="42"/>
        <v>0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8.1999999999999993</v>
      </c>
      <c r="AC87" s="43">
        <v>8.1999999999999993</v>
      </c>
      <c r="AD87" s="43"/>
      <c r="AE87" s="43"/>
      <c r="AF87" s="43"/>
      <c r="AG87" s="64">
        <v>14.1</v>
      </c>
      <c r="AH87" s="46">
        <f t="shared" si="28"/>
        <v>9.1999999999999993</v>
      </c>
      <c r="AI87" s="47">
        <f t="shared" si="29"/>
        <v>7.3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/>
      <c r="AE88" s="43"/>
      <c r="AF88" s="43"/>
      <c r="AG88" s="64">
        <v>14</v>
      </c>
      <c r="AH88" s="46">
        <f t="shared" si="28"/>
        <v>8.3000000000000007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0</v>
      </c>
      <c r="BU88" s="82">
        <f t="shared" si="42"/>
        <v>0</v>
      </c>
      <c r="BV88" s="82">
        <f t="shared" si="42"/>
        <v>0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/>
      <c r="AE89" s="43"/>
      <c r="AF89" s="43"/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/>
      <c r="AE90" s="43"/>
      <c r="AF90" s="43"/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347.09999999999997</v>
      </c>
      <c r="AC92" s="70">
        <f t="shared" si="43"/>
        <v>347.09999999999997</v>
      </c>
      <c r="AD92" s="70">
        <f t="shared" si="43"/>
        <v>2</v>
      </c>
      <c r="AE92" s="70">
        <f t="shared" si="43"/>
        <v>2</v>
      </c>
      <c r="AF92" s="70">
        <f t="shared" si="43"/>
        <v>2</v>
      </c>
      <c r="AG92" s="80">
        <f t="shared" si="43"/>
        <v>489.91</v>
      </c>
      <c r="AH92" s="46">
        <f t="shared" si="28"/>
        <v>348.6</v>
      </c>
      <c r="AI92" s="47">
        <f t="shared" si="29"/>
        <v>2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/>
      <c r="AE93" s="44"/>
      <c r="AF93" s="44"/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/>
      <c r="AE94" s="43"/>
      <c r="AF94" s="43"/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/>
      <c r="AE95" s="77"/>
      <c r="AF95" s="77"/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0</v>
      </c>
      <c r="AE96" s="70">
        <f t="shared" si="53"/>
        <v>0</v>
      </c>
      <c r="AF96" s="70">
        <f t="shared" si="53"/>
        <v>0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/>
      <c r="AE97" s="44"/>
      <c r="AF97" s="44"/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/>
      <c r="AE98" s="43"/>
      <c r="AF98" s="43"/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/>
      <c r="AE99" s="43"/>
      <c r="AF99" s="43"/>
      <c r="AG99" s="89"/>
      <c r="AH99" s="46">
        <f t="shared" si="28"/>
        <v>62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/>
      <c r="AE100" s="93"/>
      <c r="AF100" s="93"/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/>
      <c r="AE101" s="44"/>
      <c r="AF101" s="44"/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/>
      <c r="AE102" s="97"/>
      <c r="AF102" s="97"/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42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43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0</v>
      </c>
      <c r="AE108" s="70">
        <f t="shared" si="61"/>
        <v>0</v>
      </c>
      <c r="AF108" s="70">
        <f t="shared" si="61"/>
        <v>0</v>
      </c>
      <c r="AG108" s="104">
        <f>SUM(AG97:AG107)</f>
        <v>0</v>
      </c>
      <c r="AH108" s="46">
        <f t="shared" si="28"/>
        <v>196</v>
      </c>
      <c r="AI108" s="47">
        <f t="shared" si="29"/>
        <v>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1998.9000000000003</v>
      </c>
      <c r="AC113" s="108">
        <f t="shared" si="69"/>
        <v>1884.9</v>
      </c>
      <c r="AD113" s="108">
        <f t="shared" si="69"/>
        <v>152</v>
      </c>
      <c r="AE113" s="108">
        <f t="shared" si="69"/>
        <v>152</v>
      </c>
      <c r="AF113" s="108">
        <f t="shared" si="69"/>
        <v>152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152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1998.9000000000003</v>
      </c>
      <c r="AC115" s="108">
        <f t="shared" si="77"/>
        <v>1884.9</v>
      </c>
      <c r="AD115" s="108">
        <f t="shared" si="77"/>
        <v>152</v>
      </c>
      <c r="AE115" s="108">
        <f t="shared" si="77"/>
        <v>152</v>
      </c>
      <c r="AF115" s="108">
        <f t="shared" si="77"/>
        <v>152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1592.7000000000003</v>
      </c>
      <c r="AC116" s="108">
        <f t="shared" si="85"/>
        <v>1532.9</v>
      </c>
      <c r="AD116" s="108">
        <f t="shared" si="85"/>
        <v>152</v>
      </c>
      <c r="AE116" s="108">
        <f t="shared" si="85"/>
        <v>152</v>
      </c>
      <c r="AF116" s="108">
        <f t="shared" si="85"/>
        <v>152</v>
      </c>
      <c r="AG116" s="104"/>
      <c r="AH116" s="46">
        <f t="shared" si="28"/>
        <v>1700.5000000000002</v>
      </c>
      <c r="AI116" s="47">
        <f t="shared" si="29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0</v>
      </c>
      <c r="AE117" s="93">
        <f t="shared" si="93"/>
        <v>0</v>
      </c>
      <c r="AF117" s="93">
        <f t="shared" si="93"/>
        <v>0</v>
      </c>
      <c r="AG117" s="61"/>
      <c r="AH117" s="46">
        <f t="shared" si="28"/>
        <v>530.1</v>
      </c>
      <c r="AI117" s="47">
        <f t="shared" si="29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0</v>
      </c>
      <c r="AE123" s="70">
        <f t="shared" si="136"/>
        <v>0</v>
      </c>
      <c r="AF123" s="70">
        <f t="shared" si="136"/>
        <v>0</v>
      </c>
      <c r="AG123" s="104"/>
      <c r="AH123" s="46">
        <f t="shared" si="28"/>
        <v>530.1</v>
      </c>
      <c r="AI123" s="47">
        <f t="shared" si="29"/>
        <v>0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0</v>
      </c>
      <c r="AE124" s="70">
        <f t="shared" si="144"/>
        <v>0</v>
      </c>
      <c r="AF124" s="70">
        <f t="shared" si="144"/>
        <v>0</v>
      </c>
      <c r="AG124" s="104"/>
      <c r="AH124" s="46">
        <f t="shared" si="28"/>
        <v>0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/>
      <c r="AE126" s="117"/>
      <c r="AF126" s="117"/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/>
      <c r="AE127" s="43"/>
      <c r="AF127" s="43"/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/>
      <c r="AE128" s="43"/>
      <c r="AF128" s="43"/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/>
      <c r="AE130" s="43"/>
      <c r="AF130" s="43"/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/>
      <c r="AE131" s="122"/>
      <c r="AF131" s="122"/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/>
      <c r="AE132" s="43"/>
      <c r="AF132" s="43"/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/>
      <c r="AE133" s="101"/>
      <c r="AF133" s="101"/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330.53999999999996</v>
      </c>
      <c r="AC135" s="114">
        <f t="shared" si="164"/>
        <v>253.93999999999997</v>
      </c>
      <c r="AD135" s="114">
        <f t="shared" si="164"/>
        <v>0.94</v>
      </c>
      <c r="AE135" s="114">
        <f t="shared" si="164"/>
        <v>0.94</v>
      </c>
      <c r="AF135" s="114">
        <f t="shared" si="164"/>
        <v>0.94</v>
      </c>
      <c r="AG135" s="127"/>
      <c r="AH135" s="46">
        <f t="shared" si="28"/>
        <v>424.6</v>
      </c>
      <c r="AI135" s="47">
        <f t="shared" si="29"/>
        <v>0.94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/>
      <c r="AE137" s="133"/>
      <c r="AF137" s="133"/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415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/>
      <c r="AE138" s="136"/>
      <c r="AF138" s="136"/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/>
      <c r="AE139" s="136"/>
      <c r="AF139" s="136"/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/>
      <c r="AE140" s="137"/>
      <c r="AF140" s="137"/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/>
      <c r="AE141" s="136"/>
      <c r="AF141" s="136"/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/>
      <c r="AE142" s="137"/>
      <c r="AF142" s="137"/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/>
      <c r="AE143" s="137"/>
      <c r="AF143" s="137"/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/>
      <c r="AE144" s="137"/>
      <c r="AF144" s="137"/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/>
      <c r="AE145" s="137"/>
      <c r="AF145" s="137"/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/>
      <c r="AE146" s="137"/>
      <c r="AF146" s="137"/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/>
      <c r="AE147" s="137"/>
      <c r="AF147" s="137"/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/>
      <c r="AE148" s="137"/>
      <c r="AF148" s="137"/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/>
      <c r="AE149" s="122"/>
      <c r="AF149" s="122"/>
      <c r="AG149" s="134"/>
      <c r="AH149" s="46">
        <f t="shared" si="167"/>
        <v>234.6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/>
      <c r="AE150" s="122"/>
      <c r="AF150" s="122"/>
      <c r="AG150" s="134"/>
      <c r="AH150" s="46">
        <f t="shared" si="167"/>
        <v>31.6</v>
      </c>
      <c r="AI150" s="47">
        <f t="shared" si="168"/>
        <v>29.7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/>
      <c r="AE151" s="122"/>
      <c r="AF151" s="122"/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11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417" priority="97">
      <formula>$AH11=0</formula>
    </cfRule>
  </conditionalFormatting>
  <conditionalFormatting sqref="A101:A102">
    <cfRule type="expression" dxfId="416" priority="265">
      <formula>$AH106=0</formula>
    </cfRule>
  </conditionalFormatting>
  <conditionalFormatting sqref="A103:A107">
    <cfRule type="expression" dxfId="415" priority="213">
      <formula>$AH102=0</formula>
    </cfRule>
  </conditionalFormatting>
  <conditionalFormatting sqref="A160:A167">
    <cfRule type="expression" dxfId="414" priority="266">
      <formula>$AH267=0</formula>
    </cfRule>
  </conditionalFormatting>
  <conditionalFormatting sqref="A168:A275">
    <cfRule type="expression" dxfId="413" priority="136">
      <formula>$AH168=0</formula>
    </cfRule>
  </conditionalFormatting>
  <conditionalFormatting sqref="B8">
    <cfRule type="expression" dxfId="412" priority="261">
      <formula>AND(C$9&gt;=14/24,C$9&lt;20/24)</formula>
    </cfRule>
    <cfRule type="expression" dxfId="411" priority="262">
      <formula>AND(C$9&gt;=8/24,C$9&lt;14/24)</formula>
    </cfRule>
    <cfRule type="expression" dxfId="410" priority="263">
      <formula>C$9&lt;8/24</formula>
    </cfRule>
    <cfRule type="expression" dxfId="409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D12:AF13 AA11:AC13 AA76:AF77 AA85:AF90 N93:AF115 N117:AF134 Z137:AF159">
    <cfRule type="expression" dxfId="408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D12:AF13 AA11:AC13 AA76:AF77 AA85:AF90 N93:AF115 N117:AF134 Z137:AF159">
    <cfRule type="expression" dxfId="407" priority="179">
      <formula>AND(B$9&gt;=14/24,B$9&lt;20/24)</formula>
    </cfRule>
    <cfRule type="expression" dxfId="406" priority="180">
      <formula>AND(B$9&gt;=8/24,B$9&lt;14/24)</formula>
    </cfRule>
    <cfRule type="expression" dxfId="405" priority="181">
      <formula>B$9&lt;8/24</formula>
    </cfRule>
  </conditionalFormatting>
  <conditionalFormatting sqref="AA14:AF53">
    <cfRule type="expression" dxfId="404" priority="121">
      <formula>AA14&gt;$AG14*1</formula>
    </cfRule>
    <cfRule type="expression" dxfId="403" priority="122">
      <formula>AA$9&gt;=20/24</formula>
    </cfRule>
    <cfRule type="expression" dxfId="402" priority="123">
      <formula>AND(AA$9&gt;=14/24,AA$9&lt;20/24)</formula>
    </cfRule>
    <cfRule type="expression" dxfId="401" priority="124">
      <formula>AND(AA$9&gt;=8/24,AA$9&lt;14/24)</formula>
    </cfRule>
    <cfRule type="expression" dxfId="400" priority="125">
      <formula>AA$9&lt;8/24</formula>
    </cfRule>
  </conditionalFormatting>
  <conditionalFormatting sqref="AA54:AF68">
    <cfRule type="expression" dxfId="399" priority="114">
      <formula>AA$9&lt;8/24</formula>
    </cfRule>
  </conditionalFormatting>
  <conditionalFormatting sqref="AA54:AF70">
    <cfRule type="expression" dxfId="398" priority="111">
      <formula>AA$9&gt;=20/24</formula>
    </cfRule>
    <cfRule type="expression" dxfId="397" priority="112">
      <formula>AND(AA$9&gt;=14/24,AA$9&lt;20/24)</formula>
    </cfRule>
    <cfRule type="expression" dxfId="396" priority="113">
      <formula>AND(AA$9&gt;=8/24,AA$9&lt;14/24)</formula>
    </cfRule>
  </conditionalFormatting>
  <conditionalFormatting sqref="AA63:AF65">
    <cfRule type="expression" dxfId="395" priority="115">
      <formula>AA63&gt;$AG63</formula>
    </cfRule>
  </conditionalFormatting>
  <conditionalFormatting sqref="AA69:AF70">
    <cfRule type="expression" dxfId="394" priority="186">
      <formula>AA$9&lt;8/24</formula>
    </cfRule>
  </conditionalFormatting>
  <conditionalFormatting sqref="AA72:AF75">
    <cfRule type="expression" dxfId="393" priority="102">
      <formula>AA72&gt;$AG72*1</formula>
    </cfRule>
  </conditionalFormatting>
  <conditionalFormatting sqref="AA73:AF75">
    <cfRule type="expression" dxfId="392" priority="103">
      <formula>AA$9&gt;=20/24</formula>
    </cfRule>
    <cfRule type="expression" dxfId="391" priority="104">
      <formula>AND(AA$9&gt;=14/24,AA$9&lt;20/24)</formula>
    </cfRule>
    <cfRule type="expression" dxfId="390" priority="105">
      <formula>AND(AA$9&gt;=8/24,AA$9&lt;14/24)</formula>
    </cfRule>
    <cfRule type="expression" dxfId="389" priority="106">
      <formula>AA$9&lt;8/24</formula>
    </cfRule>
  </conditionalFormatting>
  <conditionalFormatting sqref="C161:AF167">
    <cfRule type="expression" dxfId="388" priority="137">
      <formula>C$9&gt;=20/24</formula>
    </cfRule>
    <cfRule type="expression" dxfId="387" priority="138">
      <formula>AND(C$9&gt;=14/24,C$9&lt;20/24)</formula>
    </cfRule>
    <cfRule type="expression" dxfId="386" priority="139">
      <formula>AND(C$9&gt;=8/24,C$9&lt;14/24)</formula>
    </cfRule>
    <cfRule type="expression" dxfId="385" priority="140">
      <formula>C$9&lt;8/24</formula>
    </cfRule>
  </conditionalFormatting>
  <conditionalFormatting sqref="C169:AF274">
    <cfRule type="expression" dxfId="384" priority="98">
      <formula>C$9&gt;=20/24</formula>
    </cfRule>
    <cfRule type="expression" dxfId="383" priority="99">
      <formula>AND(C$9&gt;=14/24,C$9&lt;20/24)</formula>
    </cfRule>
    <cfRule type="expression" dxfId="382" priority="100">
      <formula>AND(C$9&gt;=8/24,C$9&lt;14/24)</formula>
    </cfRule>
    <cfRule type="expression" dxfId="381" priority="101">
      <formula>C$9&lt;8/24</formula>
    </cfRule>
  </conditionalFormatting>
  <conditionalFormatting sqref="AD80:AF90 B96:M96 B91:D92 E91:M95 AA96:AG96 N91:Z96 B71:AG71 B78:AG78 AD12:AF13 AA69:AF70 AA11:AC13 AA76:AF77 AA79:AC90 AA91:AF95">
    <cfRule type="expression" dxfId="380" priority="177">
      <formula>B11&gt;$AG11*1</formula>
    </cfRule>
  </conditionalFormatting>
  <conditionalFormatting sqref="G78:AF78 AA72:AF72 AA76:AF77">
    <cfRule type="expression" dxfId="379" priority="197">
      <formula>G$9&gt;=20/24</formula>
    </cfRule>
    <cfRule type="expression" dxfId="378" priority="198">
      <formula>AND(G$9&gt;=14/24,G$9&lt;20/24)</formula>
    </cfRule>
    <cfRule type="expression" dxfId="377" priority="199">
      <formula>AND(G$9&gt;=8/24,G$9&lt;14/24)</formula>
    </cfRule>
    <cfRule type="expression" dxfId="376" priority="200">
      <formula>G$9&lt;8/24</formula>
    </cfRule>
  </conditionalFormatting>
  <conditionalFormatting sqref="AA73:AF75">
    <cfRule type="expression" dxfId="375" priority="107">
      <formula>AA$9&gt;=20/24</formula>
    </cfRule>
    <cfRule type="expression" dxfId="374" priority="108">
      <formula>AND(AA$9&gt;=14/24,AA$9&lt;20/24)</formula>
    </cfRule>
    <cfRule type="expression" dxfId="373" priority="109">
      <formula>AND(AA$9&gt;=8/24,AA$9&lt;14/24)</formula>
    </cfRule>
    <cfRule type="expression" dxfId="372" priority="110">
      <formula>AA$9&lt;8/24</formula>
    </cfRule>
  </conditionalFormatting>
  <conditionalFormatting sqref="AA84:AF84">
    <cfRule type="expression" dxfId="371" priority="201">
      <formula>AA$9&gt;=20/24</formula>
    </cfRule>
    <cfRule type="expression" dxfId="370" priority="202">
      <formula>AND(AA$9&gt;=14/24,AA$9&lt;20/24)</formula>
    </cfRule>
    <cfRule type="expression" dxfId="369" priority="203">
      <formula>AND(AA$9&gt;=8/24,AA$9&lt;14/24)</formula>
    </cfRule>
    <cfRule type="expression" dxfId="368" priority="204">
      <formula>AA$9&lt;8/24</formula>
    </cfRule>
  </conditionalFormatting>
  <conditionalFormatting sqref="M8 S8 AB8">
    <cfRule type="expression" dxfId="367" priority="254">
      <formula>AND(N$9&gt;=14/24,N$9&lt;20/24)</formula>
    </cfRule>
    <cfRule type="expression" dxfId="366" priority="255">
      <formula>AND(N$9&gt;=8/24,N$9&lt;14/24)</formula>
    </cfRule>
    <cfRule type="expression" dxfId="365" priority="256">
      <formula>N$9&lt;8/24</formula>
    </cfRule>
  </conditionalFormatting>
  <conditionalFormatting sqref="AA80:AC83">
    <cfRule type="expression" dxfId="364" priority="209">
      <formula>AA$9&gt;=20/24</formula>
    </cfRule>
    <cfRule type="expression" dxfId="363" priority="210">
      <formula>AND(AA$9&gt;=14/24,AA$9&lt;20/24)</formula>
    </cfRule>
    <cfRule type="expression" dxfId="362" priority="211">
      <formula>AND(AA$9&gt;=8/24,AA$9&lt;14/24)</formula>
    </cfRule>
    <cfRule type="expression" dxfId="361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60" priority="253">
      <formula>N$9&gt;=20/24</formula>
    </cfRule>
  </conditionalFormatting>
  <conditionalFormatting sqref="S8">
    <cfRule type="expression" dxfId="359" priority="244">
      <formula>U$9&gt;=20/24</formula>
    </cfRule>
    <cfRule type="expression" dxfId="358" priority="245">
      <formula>AND(U$9&gt;=14/24,U$9&lt;20/24)</formula>
    </cfRule>
    <cfRule type="expression" dxfId="357" priority="246">
      <formula>AND(U$9&gt;=8/24,U$9&lt;14/24)</formula>
    </cfRule>
    <cfRule type="expression" dxfId="356" priority="247">
      <formula>U$9&lt;8/24</formula>
    </cfRule>
  </conditionalFormatting>
  <conditionalFormatting sqref="AA79:AF84">
    <cfRule type="expression" dxfId="355" priority="131">
      <formula>AA$9&gt;=20/24</formula>
    </cfRule>
    <cfRule type="expression" dxfId="354" priority="132">
      <formula>AND(AA$9&gt;=14/24,AA$9&lt;20/24)</formula>
    </cfRule>
    <cfRule type="expression" dxfId="353" priority="133">
      <formula>AND(AA$9&gt;=8/24,AA$9&lt;14/24)</formula>
    </cfRule>
    <cfRule type="expression" dxfId="352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351" priority="116">
      <formula>AA$9&gt;=20/24</formula>
    </cfRule>
    <cfRule type="expression" dxfId="350" priority="117">
      <formula>AND(AA$9&gt;=14/24,AA$9&lt;20/24)</formula>
    </cfRule>
    <cfRule type="expression" dxfId="349" priority="118">
      <formula>AND(AA$9&gt;=8/24,AA$9&lt;14/24)</formula>
    </cfRule>
    <cfRule type="expression" dxfId="348" priority="119">
      <formula>AA$9&lt;8/24</formula>
    </cfRule>
  </conditionalFormatting>
  <conditionalFormatting sqref="AD11:AF11 AA66:AF69 AA54:AF62">
    <cfRule type="expression" dxfId="346" priority="191">
      <formula>AA11&gt;$AG11</formula>
    </cfRule>
  </conditionalFormatting>
  <conditionalFormatting sqref="AB8">
    <cfRule type="expression" dxfId="345" priority="240">
      <formula>AD$9&gt;=20/24</formula>
    </cfRule>
    <cfRule type="expression" dxfId="344" priority="241">
      <formula>AND(AD$9&gt;=14/24,AD$9&lt;20/24)</formula>
    </cfRule>
    <cfRule type="expression" dxfId="343" priority="242">
      <formula>AND(AD$9&gt;=8/24,AD$9&lt;14/24)</formula>
    </cfRule>
    <cfRule type="expression" dxfId="342" priority="243">
      <formula>AD$9&lt;8/24</formula>
    </cfRule>
  </conditionalFormatting>
  <conditionalFormatting sqref="AD11:AF11">
    <cfRule type="expression" dxfId="341" priority="192">
      <formula>AD$9&gt;=20/24</formula>
    </cfRule>
    <cfRule type="expression" dxfId="340" priority="193">
      <formula>AND(AD$9&gt;=14/24,AD$9&lt;20/24)</formula>
    </cfRule>
    <cfRule type="expression" dxfId="339" priority="194">
      <formula>AND(AD$9&gt;=8/24,AD$9&lt;14/24)</formula>
    </cfRule>
    <cfRule type="expression" dxfId="338" priority="195">
      <formula>AD$9&lt;8/24</formula>
    </cfRule>
  </conditionalFormatting>
  <conditionalFormatting sqref="AD79:AF79">
    <cfRule type="expression" dxfId="337" priority="267">
      <formula>AD79&gt;$AG80*1</formula>
    </cfRule>
  </conditionalFormatting>
  <conditionalFormatting sqref="AG78">
    <cfRule type="expression" dxfId="336" priority="219">
      <formula>AG$9&gt;=20/24</formula>
    </cfRule>
    <cfRule type="expression" dxfId="335" priority="220">
      <formula>AND(AG$9&gt;=14/24,AG$9&lt;20/24)</formula>
    </cfRule>
    <cfRule type="expression" dxfId="334" priority="221">
      <formula>AND(AG$9&gt;=8/24,AG$9&lt;14/24)</formula>
    </cfRule>
    <cfRule type="expression" dxfId="333" priority="222">
      <formula>AG$9&lt;8/24</formula>
    </cfRule>
  </conditionalFormatting>
  <conditionalFormatting sqref="AG91:AG92">
    <cfRule type="expression" dxfId="332" priority="214">
      <formula>AG91&gt;$AG91</formula>
    </cfRule>
  </conditionalFormatting>
  <conditionalFormatting sqref="AG96">
    <cfRule type="expression" dxfId="331" priority="215">
      <formula>AG$9&gt;=20/24</formula>
    </cfRule>
    <cfRule type="expression" dxfId="330" priority="216">
      <formula>AND(AG$9&gt;=14/24,AG$9&lt;20/24)</formula>
    </cfRule>
    <cfRule type="expression" dxfId="329" priority="217">
      <formula>AND(AG$9&gt;=8/24,AG$9&lt;14/24)</formula>
    </cfRule>
    <cfRule type="expression" dxfId="328" priority="218">
      <formula>AG$9&lt;8/24</formula>
    </cfRule>
  </conditionalFormatting>
  <conditionalFormatting sqref="AG113">
    <cfRule type="expression" dxfId="327" priority="236">
      <formula>AG$9&gt;=20/24</formula>
    </cfRule>
    <cfRule type="expression" dxfId="326" priority="237">
      <formula>AND(AG$9&gt;=14/24,AG$9&lt;20/24)</formula>
    </cfRule>
    <cfRule type="expression" dxfId="325" priority="238">
      <formula>AND(AG$9&gt;=8/24,AG$9&lt;14/24)</formula>
    </cfRule>
    <cfRule type="expression" dxfId="324" priority="239">
      <formula>AG$9&lt;8/24</formula>
    </cfRule>
  </conditionalFormatting>
  <conditionalFormatting sqref="AH8:AI10">
    <cfRule type="expression" dxfId="323" priority="127">
      <formula>AH$9&gt;=20/24</formula>
    </cfRule>
    <cfRule type="expression" dxfId="322" priority="128">
      <formula>AND(AH$9&gt;=14/24,AH$9&lt;20/24)</formula>
    </cfRule>
    <cfRule type="expression" dxfId="321" priority="129">
      <formula>AND(AH$9&gt;=8/24,AH$9&lt;14/24)</formula>
    </cfRule>
    <cfRule type="expression" dxfId="320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19" priority="257">
      <formula>AJ$9&gt;=20/24</formula>
    </cfRule>
    <cfRule type="expression" dxfId="318" priority="258">
      <formula>AND(AJ$9&gt;=14/24,AJ$9&lt;20/24)</formula>
    </cfRule>
    <cfRule type="expression" dxfId="317" priority="259">
      <formula>AND(AJ$9&gt;=8/24,AJ$9&lt;14/24)</formula>
    </cfRule>
    <cfRule type="expression" dxfId="316" priority="260">
      <formula>AJ$9&lt;8/24</formula>
    </cfRule>
  </conditionalFormatting>
  <conditionalFormatting sqref="AL99:AN99 AL105:AN105">
    <cfRule type="expression" dxfId="315" priority="229">
      <formula>AL$9&gt;=20/24</formula>
    </cfRule>
    <cfRule type="expression" dxfId="314" priority="230">
      <formula>AND(AL$9&gt;=14/24,AL$9&lt;20/24)</formula>
    </cfRule>
    <cfRule type="expression" dxfId="313" priority="231">
      <formula>AND(AL$9&gt;=8/24,AL$9&lt;14/24)</formula>
    </cfRule>
    <cfRule type="expression" dxfId="312" priority="232">
      <formula>AL$9&lt;8/24</formula>
    </cfRule>
  </conditionalFormatting>
  <conditionalFormatting sqref="AM15:AM21 AN16:AR21">
    <cfRule type="expression" dxfId="311" priority="153">
      <formula>AX$9&gt;=20/24</formula>
    </cfRule>
    <cfRule type="expression" dxfId="310" priority="154">
      <formula>AND(AX$9&gt;=14/24,AX$9&lt;20/24)</formula>
    </cfRule>
    <cfRule type="expression" dxfId="309" priority="155">
      <formula>AND(AX$9&gt;=8/24,AX$9&lt;14/24)</formula>
    </cfRule>
    <cfRule type="expression" dxfId="308" priority="156">
      <formula>AX$9&lt;8/24</formula>
    </cfRule>
  </conditionalFormatting>
  <conditionalFormatting sqref="AN100:AN103">
    <cfRule type="expression" dxfId="307" priority="225">
      <formula>AN$9&gt;=20/24</formula>
    </cfRule>
    <cfRule type="expression" dxfId="306" priority="226">
      <formula>AND(AN$9&gt;=14/24,AN$9&lt;20/24)</formula>
    </cfRule>
    <cfRule type="expression" dxfId="305" priority="227">
      <formula>AND(AN$9&gt;=8/24,AN$9&lt;14/24)</formula>
    </cfRule>
    <cfRule type="expression" dxfId="304" priority="228">
      <formula>AN$9&lt;8/24</formula>
    </cfRule>
  </conditionalFormatting>
  <conditionalFormatting sqref="AN15:AR15">
    <cfRule type="expression" dxfId="303" priority="141">
      <formula>U$9&gt;=20/24</formula>
    </cfRule>
    <cfRule type="expression" dxfId="302" priority="142">
      <formula>AND(U$9&gt;=14/24,U$9&lt;20/24)</formula>
    </cfRule>
    <cfRule type="expression" dxfId="301" priority="143">
      <formula>AND(U$9&gt;=8/24,U$9&lt;14/24)</formula>
    </cfRule>
    <cfRule type="expression" dxfId="300" priority="144">
      <formula>U$9&lt;8/24</formula>
    </cfRule>
  </conditionalFormatting>
  <conditionalFormatting sqref="AS15">
    <cfRule type="expression" dxfId="299" priority="149">
      <formula>AA$9&gt;=20/24</formula>
    </cfRule>
    <cfRule type="expression" dxfId="298" priority="150">
      <formula>AND(AA$9&gt;=14/24,AA$9&lt;20/24)</formula>
    </cfRule>
    <cfRule type="expression" dxfId="297" priority="151">
      <formula>AND(AA$9&gt;=8/24,AA$9&lt;14/24)</formula>
    </cfRule>
    <cfRule type="expression" dxfId="296" priority="152">
      <formula>AA$9&lt;8/24</formula>
    </cfRule>
  </conditionalFormatting>
  <conditionalFormatting sqref="AS16:AS21">
    <cfRule type="expression" dxfId="295" priority="157">
      <formula>BE$9&gt;=20/24</formula>
    </cfRule>
    <cfRule type="expression" dxfId="294" priority="158">
      <formula>AND(BE$9&gt;=14/24,BE$9&lt;20/24)</formula>
    </cfRule>
    <cfRule type="expression" dxfId="293" priority="159">
      <formula>AND(BE$9&gt;=8/24,BE$9&lt;14/24)</formula>
    </cfRule>
    <cfRule type="expression" dxfId="292" priority="160">
      <formula>BE$9&lt;8/24</formula>
    </cfRule>
  </conditionalFormatting>
  <conditionalFormatting sqref="AT15 AX15:BJ15">
    <cfRule type="expression" dxfId="291" priority="161">
      <formula>AC$9&gt;=20/24</formula>
    </cfRule>
    <cfRule type="expression" dxfId="290" priority="162">
      <formula>AND(AC$9&gt;=14/24,AC$9&lt;20/24)</formula>
    </cfRule>
    <cfRule type="expression" dxfId="289" priority="163">
      <formula>AND(AC$9&gt;=8/24,AC$9&lt;14/24)</formula>
    </cfRule>
    <cfRule type="expression" dxfId="288" priority="164">
      <formula>AC$9&lt;8/24</formula>
    </cfRule>
  </conditionalFormatting>
  <conditionalFormatting sqref="AT16:AT21">
    <cfRule type="expression" dxfId="287" priority="165">
      <formula>BG$9&gt;=20/24</formula>
    </cfRule>
    <cfRule type="expression" dxfId="286" priority="166">
      <formula>AND(BG$9&gt;=14/24,BG$9&lt;20/24)</formula>
    </cfRule>
    <cfRule type="expression" dxfId="285" priority="167">
      <formula>AND(BG$9&gt;=8/24,BG$9&lt;14/24)</formula>
    </cfRule>
    <cfRule type="expression" dxfId="284" priority="168">
      <formula>BG$9&lt;8/24</formula>
    </cfRule>
  </conditionalFormatting>
  <conditionalFormatting sqref="AU15:AV15">
    <cfRule type="expression" dxfId="283" priority="169">
      <formula>AE$9&gt;=20/24</formula>
    </cfRule>
    <cfRule type="expression" dxfId="282" priority="170">
      <formula>AND(AE$9&gt;=14/24,AE$9&lt;20/24)</formula>
    </cfRule>
    <cfRule type="expression" dxfId="281" priority="171">
      <formula>AND(AE$9&gt;=8/24,AE$9&lt;14/24)</formula>
    </cfRule>
    <cfRule type="expression" dxfId="280" priority="172">
      <formula>AE$9&lt;8/24</formula>
    </cfRule>
  </conditionalFormatting>
  <conditionalFormatting sqref="AU16:BJ21">
    <cfRule type="expression" dxfId="279" priority="173">
      <formula>BI$9&gt;=20/24</formula>
    </cfRule>
    <cfRule type="expression" dxfId="278" priority="174">
      <formula>AND(BI$9&gt;=14/24,BI$9&lt;20/24)</formula>
    </cfRule>
    <cfRule type="expression" dxfId="277" priority="175">
      <formula>AND(BI$9&gt;=8/24,BI$9&lt;14/24)</formula>
    </cfRule>
    <cfRule type="expression" dxfId="276" priority="176">
      <formula>BI$9&lt;8/24</formula>
    </cfRule>
  </conditionalFormatting>
  <conditionalFormatting sqref="AW15">
    <cfRule type="expression" dxfId="275" priority="145">
      <formula>B$9&gt;=20/24</formula>
    </cfRule>
    <cfRule type="expression" dxfId="274" priority="146">
      <formula>AND(B$9&gt;=14/24,B$9&lt;20/24)</formula>
    </cfRule>
    <cfRule type="expression" dxfId="273" priority="147">
      <formula>AND(B$9&gt;=8/24,B$9&lt;14/24)</formula>
    </cfRule>
    <cfRule type="expression" dxfId="272" priority="148">
      <formula>B$9&lt;8/24</formula>
    </cfRule>
  </conditionalFormatting>
  <conditionalFormatting sqref="A73">
    <cfRule type="expression" dxfId="271" priority="96">
      <formula>$AH73=0</formula>
    </cfRule>
  </conditionalFormatting>
  <conditionalFormatting sqref="B97:B107 B152 B109:B112 B125 B154:B159 B134">
    <cfRule type="expression" dxfId="270" priority="92">
      <formula>B$9&gt;=20/24</formula>
    </cfRule>
  </conditionalFormatting>
  <conditionalFormatting sqref="B97:B107 B152 B109:B112 B125 B154:B159 B134">
    <cfRule type="expression" dxfId="269" priority="93">
      <formula>AND(B$9&gt;=14/24,B$9&lt;20/24)</formula>
    </cfRule>
    <cfRule type="expression" dxfId="268" priority="94">
      <formula>AND(B$9&gt;=8/24,B$9&lt;14/24)</formula>
    </cfRule>
    <cfRule type="expression" dxfId="267" priority="95">
      <formula>B$9&lt;8/24</formula>
    </cfRule>
  </conditionalFormatting>
  <conditionalFormatting sqref="B161:B167">
    <cfRule type="expression" dxfId="266" priority="87">
      <formula>B$9&gt;=20/24</formula>
    </cfRule>
    <cfRule type="expression" dxfId="265" priority="88">
      <formula>AND(B$9&gt;=14/24,B$9&lt;20/24)</formula>
    </cfRule>
    <cfRule type="expression" dxfId="264" priority="89">
      <formula>AND(B$9&gt;=8/24,B$9&lt;14/24)</formula>
    </cfRule>
    <cfRule type="expression" dxfId="263" priority="90">
      <formula>B$9&lt;8/24</formula>
    </cfRule>
  </conditionalFormatting>
  <conditionalFormatting sqref="B169:B274">
    <cfRule type="expression" dxfId="262" priority="78">
      <formula>B$9&gt;=20/24</formula>
    </cfRule>
    <cfRule type="expression" dxfId="261" priority="79">
      <formula>AND(B$9&gt;=14/24,B$9&lt;20/24)</formula>
    </cfRule>
    <cfRule type="expression" dxfId="260" priority="80">
      <formula>AND(B$9&gt;=8/24,B$9&lt;14/24)</formula>
    </cfRule>
    <cfRule type="expression" dxfId="259" priority="81">
      <formula>B$9&lt;8/24</formula>
    </cfRule>
  </conditionalFormatting>
  <conditionalFormatting sqref="A153">
    <cfRule type="expression" dxfId="258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57" priority="73">
      <formula>AL$9&gt;=20/24</formula>
    </cfRule>
  </conditionalFormatting>
  <conditionalFormatting sqref="AL153">
    <cfRule type="expression" dxfId="256" priority="74">
      <formula>AND(AL$9&gt;=14/24,AL$9&lt;20/24)</formula>
    </cfRule>
    <cfRule type="expression" dxfId="255" priority="75">
      <formula>AND(AL$9&gt;=8/24,AL$9&lt;14/24)</formula>
    </cfRule>
    <cfRule type="expression" dxfId="254" priority="76">
      <formula>AL$9&lt;8/24</formula>
    </cfRule>
  </conditionalFormatting>
  <conditionalFormatting sqref="B11:Z13">
    <cfRule type="expression" dxfId="253" priority="69">
      <formula>B$9&gt;=20/24</formula>
    </cfRule>
  </conditionalFormatting>
  <conditionalFormatting sqref="B11:Z13">
    <cfRule type="expression" dxfId="252" priority="70">
      <formula>AND(B$9&gt;=14/24,B$9&lt;20/24)</formula>
    </cfRule>
    <cfRule type="expression" dxfId="251" priority="71">
      <formula>AND(B$9&gt;=8/24,B$9&lt;14/24)</formula>
    </cfRule>
    <cfRule type="expression" dxfId="250" priority="72">
      <formula>B$9&lt;8/24</formula>
    </cfRule>
  </conditionalFormatting>
  <conditionalFormatting sqref="B14:Z16">
    <cfRule type="expression" dxfId="249" priority="63">
      <formula>B14&gt;$AG14*1</formula>
    </cfRule>
    <cfRule type="expression" dxfId="248" priority="64">
      <formula>B$9&gt;=20/24</formula>
    </cfRule>
    <cfRule type="expression" dxfId="247" priority="65">
      <formula>AND(B$9&gt;=14/24,B$9&lt;20/24)</formula>
    </cfRule>
    <cfRule type="expression" dxfId="246" priority="66">
      <formula>AND(B$9&gt;=8/24,B$9&lt;14/24)</formula>
    </cfRule>
    <cfRule type="expression" dxfId="245" priority="67">
      <formula>B$9&lt;8/24</formula>
    </cfRule>
  </conditionalFormatting>
  <conditionalFormatting sqref="B11:Z13">
    <cfRule type="expression" dxfId="244" priority="68">
      <formula>B11&gt;$AG11*1</formula>
    </cfRule>
  </conditionalFormatting>
  <conditionalFormatting sqref="B17:Z53">
    <cfRule type="expression" dxfId="243" priority="55">
      <formula>B17&gt;$AG17*1</formula>
    </cfRule>
    <cfRule type="expression" dxfId="242" priority="56">
      <formula>B$9&gt;=20/24</formula>
    </cfRule>
    <cfRule type="expression" dxfId="241" priority="57">
      <formula>AND(B$9&gt;=14/24,B$9&lt;20/24)</formula>
    </cfRule>
    <cfRule type="expression" dxfId="240" priority="58">
      <formula>AND(B$9&gt;=8/24,B$9&lt;14/24)</formula>
    </cfRule>
    <cfRule type="expression" dxfId="239" priority="59">
      <formula>B$9&lt;8/24</formula>
    </cfRule>
  </conditionalFormatting>
  <conditionalFormatting sqref="B54:Z55">
    <cfRule type="expression" dxfId="238" priority="54">
      <formula>B$9&lt;8/24</formula>
    </cfRule>
  </conditionalFormatting>
  <conditionalFormatting sqref="B54:Z55 B69:Z70">
    <cfRule type="expression" dxfId="237" priority="51">
      <formula>B$9&gt;=20/24</formula>
    </cfRule>
    <cfRule type="expression" dxfId="236" priority="52">
      <formula>AND(B$9&gt;=14/24,B$9&lt;20/24)</formula>
    </cfRule>
    <cfRule type="expression" dxfId="235" priority="53">
      <formula>AND(B$9&gt;=8/24,B$9&lt;14/24)</formula>
    </cfRule>
  </conditionalFormatting>
  <conditionalFormatting sqref="B69:Z70">
    <cfRule type="expression" dxfId="234" priority="61">
      <formula>B$9&lt;8/24</formula>
    </cfRule>
  </conditionalFormatting>
  <conditionalFormatting sqref="B69:Z69">
    <cfRule type="expression" dxfId="233" priority="60">
      <formula>B69&gt;$AG69*1</formula>
    </cfRule>
  </conditionalFormatting>
  <conditionalFormatting sqref="B54:Z55 B69:Z70">
    <cfRule type="expression" dxfId="232" priority="62">
      <formula>B54&gt;$AG54</formula>
    </cfRule>
  </conditionalFormatting>
  <conditionalFormatting sqref="B56:Z68">
    <cfRule type="expression" dxfId="231" priority="48">
      <formula>B$9&lt;8/24</formula>
    </cfRule>
  </conditionalFormatting>
  <conditionalFormatting sqref="B56:Z68">
    <cfRule type="expression" dxfId="230" priority="45">
      <formula>B$9&gt;=20/24</formula>
    </cfRule>
    <cfRule type="expression" dxfId="229" priority="46">
      <formula>AND(B$9&gt;=14/24,B$9&lt;20/24)</formula>
    </cfRule>
    <cfRule type="expression" dxfId="228" priority="47">
      <formula>AND(B$9&gt;=8/24,B$9&lt;14/24)</formula>
    </cfRule>
  </conditionalFormatting>
  <conditionalFormatting sqref="B63:Z65">
    <cfRule type="expression" dxfId="227" priority="49">
      <formula>B63&gt;$AG63</formula>
    </cfRule>
  </conditionalFormatting>
  <conditionalFormatting sqref="B56:Z62 B66:Z68">
    <cfRule type="expression" dxfId="226" priority="50">
      <formula>B56&gt;$AG56</formula>
    </cfRule>
  </conditionalFormatting>
  <conditionalFormatting sqref="B76:Z77">
    <cfRule type="expression" dxfId="225" priority="37">
      <formula>B$9&gt;=20/24</formula>
    </cfRule>
  </conditionalFormatting>
  <conditionalFormatting sqref="B76:Z77">
    <cfRule type="expression" dxfId="224" priority="38">
      <formula>AND(B$9&gt;=14/24,B$9&lt;20/24)</formula>
    </cfRule>
    <cfRule type="expression" dxfId="223" priority="39">
      <formula>AND(B$9&gt;=8/24,B$9&lt;14/24)</formula>
    </cfRule>
    <cfRule type="expression" dxfId="222" priority="40">
      <formula>B$9&lt;8/24</formula>
    </cfRule>
  </conditionalFormatting>
  <conditionalFormatting sqref="B72:Z75">
    <cfRule type="expression" dxfId="221" priority="31">
      <formula>B72&gt;$AG72*1</formula>
    </cfRule>
  </conditionalFormatting>
  <conditionalFormatting sqref="B73:Z75">
    <cfRule type="expression" dxfId="220" priority="32">
      <formula>B$9&gt;=20/24</formula>
    </cfRule>
    <cfRule type="expression" dxfId="219" priority="33">
      <formula>AND(B$9&gt;=14/24,B$9&lt;20/24)</formula>
    </cfRule>
    <cfRule type="expression" dxfId="218" priority="34">
      <formula>AND(B$9&gt;=8/24,B$9&lt;14/24)</formula>
    </cfRule>
    <cfRule type="expression" dxfId="217" priority="35">
      <formula>B$9&lt;8/24</formula>
    </cfRule>
  </conditionalFormatting>
  <conditionalFormatting sqref="B76:Z77">
    <cfRule type="expression" dxfId="216" priority="36">
      <formula>B76&gt;$AG76*1</formula>
    </cfRule>
  </conditionalFormatting>
  <conditionalFormatting sqref="B72:Z72">
    <cfRule type="expression" dxfId="215" priority="41">
      <formula>B$9&gt;=20/24</formula>
    </cfRule>
    <cfRule type="expression" dxfId="214" priority="42">
      <formula>AND(B$9&gt;=14/24,B$9&lt;20/24)</formula>
    </cfRule>
    <cfRule type="expression" dxfId="213" priority="43">
      <formula>AND(B$9&gt;=8/24,B$9&lt;14/24)</formula>
    </cfRule>
    <cfRule type="expression" dxfId="212" priority="44">
      <formula>B$9&lt;8/24</formula>
    </cfRule>
  </conditionalFormatting>
  <conditionalFormatting sqref="B85:Z90">
    <cfRule type="expression" dxfId="211" priority="19">
      <formula>B$9&gt;=20/24</formula>
    </cfRule>
  </conditionalFormatting>
  <conditionalFormatting sqref="B85:Z90">
    <cfRule type="expression" dxfId="210" priority="20">
      <formula>AND(B$9&gt;=14/24,B$9&lt;20/24)</formula>
    </cfRule>
    <cfRule type="expression" dxfId="209" priority="21">
      <formula>AND(B$9&gt;=8/24,B$9&lt;14/24)</formula>
    </cfRule>
    <cfRule type="expression" dxfId="208" priority="22">
      <formula>B$9&lt;8/24</formula>
    </cfRule>
  </conditionalFormatting>
  <conditionalFormatting sqref="B79:Z90">
    <cfRule type="expression" dxfId="207" priority="18">
      <formula>B79&gt;$AG79*1</formula>
    </cfRule>
  </conditionalFormatting>
  <conditionalFormatting sqref="B84:Z84">
    <cfRule type="expression" dxfId="206" priority="23">
      <formula>B$9&gt;=20/24</formula>
    </cfRule>
    <cfRule type="expression" dxfId="205" priority="24">
      <formula>AND(B$9&gt;=14/24,B$9&lt;20/24)</formula>
    </cfRule>
    <cfRule type="expression" dxfId="204" priority="25">
      <formula>AND(B$9&gt;=8/24,B$9&lt;14/24)</formula>
    </cfRule>
    <cfRule type="expression" dxfId="203" priority="26">
      <formula>B$9&lt;8/24</formula>
    </cfRule>
  </conditionalFormatting>
  <conditionalFormatting sqref="B80:Z83">
    <cfRule type="expression" dxfId="202" priority="27">
      <formula>B$9&gt;=20/24</formula>
    </cfRule>
    <cfRule type="expression" dxfId="201" priority="28">
      <formula>AND(B$9&gt;=14/24,B$9&lt;20/24)</formula>
    </cfRule>
    <cfRule type="expression" dxfId="200" priority="29">
      <formula>AND(B$9&gt;=8/24,B$9&lt;14/24)</formula>
    </cfRule>
    <cfRule type="expression" dxfId="199" priority="30">
      <formula>B$9&lt;8/24</formula>
    </cfRule>
  </conditionalFormatting>
  <conditionalFormatting sqref="B79:Z84">
    <cfRule type="expression" dxfId="198" priority="14">
      <formula>B$9&gt;=20/24</formula>
    </cfRule>
    <cfRule type="expression" dxfId="197" priority="15">
      <formula>AND(B$9&gt;=14/24,B$9&lt;20/24)</formula>
    </cfRule>
    <cfRule type="expression" dxfId="196" priority="16">
      <formula>AND(B$9&gt;=8/24,B$9&lt;14/24)</formula>
    </cfRule>
    <cfRule type="expression" dxfId="195" priority="17">
      <formula>B$9&lt;8/24</formula>
    </cfRule>
  </conditionalFormatting>
  <conditionalFormatting sqref="B93:D95">
    <cfRule type="expression" dxfId="194" priority="10">
      <formula>B$9&gt;=20/24</formula>
    </cfRule>
  </conditionalFormatting>
  <conditionalFormatting sqref="B93:D95">
    <cfRule type="expression" dxfId="193" priority="11">
      <formula>AND(B$9&gt;=14/24,B$9&lt;20/24)</formula>
    </cfRule>
    <cfRule type="expression" dxfId="192" priority="12">
      <formula>AND(B$9&gt;=8/24,B$9&lt;14/24)</formula>
    </cfRule>
    <cfRule type="expression" dxfId="191" priority="13">
      <formula>B$9&lt;8/24</formula>
    </cfRule>
  </conditionalFormatting>
  <conditionalFormatting sqref="B93:D95">
    <cfRule type="expression" dxfId="190" priority="9">
      <formula>B93&gt;$AG93*1</formula>
    </cfRule>
  </conditionalFormatting>
  <conditionalFormatting sqref="B126:C133">
    <cfRule type="expression" dxfId="189" priority="5">
      <formula>B$9&gt;=20/24</formula>
    </cfRule>
  </conditionalFormatting>
  <conditionalFormatting sqref="B126:C133">
    <cfRule type="expression" dxfId="188" priority="6">
      <formula>AND(B$9&gt;=14/24,B$9&lt;20/24)</formula>
    </cfRule>
    <cfRule type="expression" dxfId="187" priority="7">
      <formula>AND(B$9&gt;=8/24,B$9&lt;14/24)</formula>
    </cfRule>
    <cfRule type="expression" dxfId="186" priority="8">
      <formula>B$9&lt;8/24</formula>
    </cfRule>
  </conditionalFormatting>
  <conditionalFormatting sqref="B137:C151">
    <cfRule type="expression" dxfId="185" priority="1">
      <formula>B$9&gt;=20/24</formula>
    </cfRule>
  </conditionalFormatting>
  <conditionalFormatting sqref="B137:C151">
    <cfRule type="expression" dxfId="184" priority="2">
      <formula>AND(B$9&gt;=14/24,B$9&lt;20/24)</formula>
    </cfRule>
    <cfRule type="expression" dxfId="183" priority="3">
      <formula>AND(B$9&gt;=8/24,B$9&lt;14/24)</formula>
    </cfRule>
    <cfRule type="expression" dxfId="182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8" t="s">
        <v>0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9" t="s">
        <v>1</v>
      </c>
      <c r="AH1" s="219"/>
      <c r="AI1" s="219"/>
      <c r="AL1" s="2"/>
    </row>
    <row r="2" spans="1:88" ht="20.25" hidden="1">
      <c r="A2" s="3"/>
      <c r="B2" s="220" t="s">
        <v>2</v>
      </c>
      <c r="C2" s="4"/>
      <c r="D2" s="222" t="s">
        <v>3</v>
      </c>
      <c r="E2" s="4"/>
      <c r="F2" s="222" t="s">
        <v>4</v>
      </c>
      <c r="G2" s="4"/>
      <c r="H2" s="222" t="s">
        <v>5</v>
      </c>
      <c r="I2" s="5"/>
      <c r="J2" s="224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1"/>
      <c r="C3" s="16"/>
      <c r="D3" s="223"/>
      <c r="E3" s="16"/>
      <c r="F3" s="223"/>
      <c r="G3" s="16"/>
      <c r="H3" s="223"/>
      <c r="I3" s="17"/>
      <c r="J3" s="224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5" t="e">
        <f ca="1">"2080/"&amp;"10/"&amp;INT(MID(CELL("filename",D6),FIND("]",CELL("filename",D6))+1,200))</f>
        <v>#VALUE!</v>
      </c>
      <c r="C4" s="225"/>
      <c r="D4" s="225"/>
      <c r="E4" s="226" t="e">
        <f ca="1">"2080/"&amp;"10/"&amp;INT(MID(CELL("filename",G6),FIND("]",CELL("filename",G6))+1,200))</f>
        <v>#VALUE!</v>
      </c>
      <c r="F4" s="226"/>
      <c r="G4" s="226"/>
      <c r="H4" s="226" t="e">
        <f ca="1">TEXT(E4,"dddd")</f>
        <v>#VALUE!</v>
      </c>
      <c r="I4" s="226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30" t="s">
        <v>15</v>
      </c>
      <c r="N8" s="231"/>
      <c r="O8" s="231"/>
      <c r="P8" s="231"/>
      <c r="Q8" s="231"/>
      <c r="R8" s="232"/>
      <c r="S8" s="230" t="s">
        <v>16</v>
      </c>
      <c r="T8" s="231"/>
      <c r="U8" s="231"/>
      <c r="V8" s="231"/>
      <c r="W8" s="231"/>
      <c r="X8" s="231"/>
      <c r="Y8" s="231"/>
      <c r="Z8" s="231"/>
      <c r="AA8" s="232"/>
      <c r="AB8" s="230" t="s">
        <v>17</v>
      </c>
      <c r="AC8" s="231"/>
      <c r="AD8" s="231"/>
      <c r="AE8" s="231"/>
      <c r="AF8" s="232"/>
      <c r="AG8" s="39"/>
      <c r="AH8" s="233"/>
      <c r="AI8" s="233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5" t="s">
        <v>18</v>
      </c>
      <c r="B9" s="237">
        <v>0</v>
      </c>
      <c r="C9" s="237">
        <v>4.1666666666666664E-2</v>
      </c>
      <c r="D9" s="237">
        <v>8.3333333333333301E-2</v>
      </c>
      <c r="E9" s="237">
        <v>0.125</v>
      </c>
      <c r="F9" s="237">
        <v>0.16666666666666699</v>
      </c>
      <c r="G9" s="237">
        <v>0.20833333333333301</v>
      </c>
      <c r="H9" s="237">
        <v>0.22916666666666699</v>
      </c>
      <c r="I9" s="237">
        <v>0.25</v>
      </c>
      <c r="J9" s="237">
        <v>0.27083333333333298</v>
      </c>
      <c r="K9" s="237">
        <v>0.29166666666666702</v>
      </c>
      <c r="L9" s="237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3">
        <v>0.58333333333333304</v>
      </c>
      <c r="T9" s="233">
        <v>0.625</v>
      </c>
      <c r="U9" s="233">
        <v>0.66666666666666696</v>
      </c>
      <c r="V9" s="233">
        <v>0.70833333333333304</v>
      </c>
      <c r="W9" s="233">
        <v>0.72916666666666696</v>
      </c>
      <c r="X9" s="233">
        <v>0.75</v>
      </c>
      <c r="Y9" s="233">
        <v>0.77083333333333304</v>
      </c>
      <c r="Z9" s="233">
        <v>0.79166666666666696</v>
      </c>
      <c r="AA9" s="233">
        <v>0.8125</v>
      </c>
      <c r="AB9" s="233">
        <v>0.83333333333333304</v>
      </c>
      <c r="AC9" s="233">
        <v>0.85416666666666696</v>
      </c>
      <c r="AD9" s="233">
        <v>0.875</v>
      </c>
      <c r="AE9" s="233">
        <v>0.91666666666666696</v>
      </c>
      <c r="AF9" s="233">
        <v>0.95833333333333304</v>
      </c>
      <c r="AG9" s="240" t="s">
        <v>1</v>
      </c>
      <c r="AH9" s="234"/>
      <c r="AI9" s="234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6"/>
      <c r="B10" s="237"/>
      <c r="C10" s="237"/>
      <c r="D10" s="237"/>
      <c r="E10" s="237"/>
      <c r="F10" s="237"/>
      <c r="G10" s="237"/>
      <c r="H10" s="234"/>
      <c r="I10" s="234"/>
      <c r="J10" s="234"/>
      <c r="K10" s="234"/>
      <c r="L10" s="234"/>
      <c r="M10" s="239"/>
      <c r="N10" s="239"/>
      <c r="O10" s="239"/>
      <c r="P10" s="239"/>
      <c r="Q10" s="239"/>
      <c r="R10" s="239"/>
      <c r="S10" s="234"/>
      <c r="T10" s="234"/>
      <c r="U10" s="234"/>
      <c r="V10" s="234"/>
      <c r="W10" s="234"/>
      <c r="X10" s="234"/>
      <c r="Y10" s="234"/>
      <c r="Z10" s="234"/>
      <c r="AA10" s="234"/>
      <c r="AB10" s="234"/>
      <c r="AC10" s="234"/>
      <c r="AD10" s="234"/>
      <c r="AE10" s="234"/>
      <c r="AF10" s="234"/>
      <c r="AG10" s="241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42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43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17" activePane="bottomLeft" state="frozen"/>
      <selection activeCell="AO100" sqref="AO100"/>
      <selection pane="bottomLeft" activeCell="U45" sqref="U45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45">
      <c r="A1" s="196" t="s">
        <v>414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413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410</v>
      </c>
      <c r="Z1" s="212" t="s">
        <v>411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-67</v>
      </c>
      <c r="D3" s="193">
        <v>-68</v>
      </c>
      <c r="E3" s="193">
        <v>-50</v>
      </c>
      <c r="F3" s="193"/>
      <c r="G3" s="193"/>
      <c r="H3" s="193"/>
      <c r="I3" s="193">
        <v>-50</v>
      </c>
      <c r="J3" s="193"/>
      <c r="K3" s="193">
        <v>-80</v>
      </c>
      <c r="L3" s="193"/>
      <c r="M3" s="193"/>
      <c r="N3" s="193"/>
      <c r="O3" s="193"/>
      <c r="P3" s="193"/>
      <c r="Q3" s="193">
        <f>SUM(B3:P3)</f>
        <v>-315</v>
      </c>
      <c r="R3" s="193"/>
      <c r="S3" s="206">
        <v>37.549999999999997</v>
      </c>
      <c r="T3" s="206">
        <v>-140</v>
      </c>
      <c r="U3" s="213">
        <f>SUM(Q3:T3)</f>
        <v>-417.45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-67</v>
      </c>
      <c r="D4" s="193">
        <v>-68</v>
      </c>
      <c r="E4" s="193">
        <v>-50</v>
      </c>
      <c r="F4" s="193"/>
      <c r="G4" s="193"/>
      <c r="H4" s="193"/>
      <c r="I4" s="193">
        <v>-50</v>
      </c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-315</v>
      </c>
      <c r="R4" s="193"/>
      <c r="S4" s="206">
        <v>37.549999999999997</v>
      </c>
      <c r="T4" s="206">
        <v>-140</v>
      </c>
      <c r="U4" s="213">
        <f t="shared" ref="U4:U67" si="1">SUM(Q4:T4)</f>
        <v>-417.45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-67</v>
      </c>
      <c r="D5" s="193">
        <v>-68</v>
      </c>
      <c r="E5" s="193">
        <v>-50</v>
      </c>
      <c r="F5" s="193"/>
      <c r="G5" s="193"/>
      <c r="H5" s="193"/>
      <c r="I5" s="193"/>
      <c r="J5" s="193"/>
      <c r="K5" s="193">
        <v>-80</v>
      </c>
      <c r="L5" s="193">
        <v>-75</v>
      </c>
      <c r="M5" s="193"/>
      <c r="N5" s="193"/>
      <c r="O5" s="193"/>
      <c r="P5" s="193"/>
      <c r="Q5" s="193">
        <f t="shared" si="0"/>
        <v>-340</v>
      </c>
      <c r="R5" s="193"/>
      <c r="S5" s="206">
        <v>37.549999999999997</v>
      </c>
      <c r="T5" s="206">
        <v>-140</v>
      </c>
      <c r="U5" s="213">
        <f t="shared" si="1"/>
        <v>-442.45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-67</v>
      </c>
      <c r="D6" s="193">
        <v>-68</v>
      </c>
      <c r="E6" s="193">
        <v>-50</v>
      </c>
      <c r="F6" s="193"/>
      <c r="G6" s="193"/>
      <c r="H6" s="193"/>
      <c r="I6" s="193"/>
      <c r="J6" s="193"/>
      <c r="K6" s="193">
        <v>-80</v>
      </c>
      <c r="L6" s="193">
        <v>-75</v>
      </c>
      <c r="M6" s="193"/>
      <c r="N6" s="193"/>
      <c r="O6" s="193"/>
      <c r="P6" s="193"/>
      <c r="Q6" s="193">
        <f t="shared" si="0"/>
        <v>-340</v>
      </c>
      <c r="R6" s="193"/>
      <c r="S6" s="206">
        <v>37.549999999999997</v>
      </c>
      <c r="T6" s="206">
        <v>-140</v>
      </c>
      <c r="U6" s="213">
        <f t="shared" si="1"/>
        <v>-442.45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-67</v>
      </c>
      <c r="D7" s="193">
        <v>-68</v>
      </c>
      <c r="E7" s="193">
        <v>-50</v>
      </c>
      <c r="F7" s="193"/>
      <c r="G7" s="193"/>
      <c r="H7" s="193"/>
      <c r="I7" s="193"/>
      <c r="J7" s="193"/>
      <c r="K7" s="193">
        <v>-80</v>
      </c>
      <c r="L7" s="193">
        <v>-75</v>
      </c>
      <c r="M7" s="193"/>
      <c r="N7" s="193"/>
      <c r="O7" s="193"/>
      <c r="P7" s="193"/>
      <c r="Q7" s="193">
        <f t="shared" si="0"/>
        <v>-340</v>
      </c>
      <c r="R7" s="193"/>
      <c r="S7" s="206">
        <v>37.549999999999997</v>
      </c>
      <c r="T7" s="206">
        <v>-140</v>
      </c>
      <c r="U7" s="213">
        <f t="shared" si="1"/>
        <v>-442.45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-67</v>
      </c>
      <c r="D8" s="193">
        <v>-68</v>
      </c>
      <c r="E8" s="193">
        <v>-50</v>
      </c>
      <c r="F8" s="193"/>
      <c r="G8" s="193"/>
      <c r="H8" s="193"/>
      <c r="I8" s="193"/>
      <c r="J8" s="193"/>
      <c r="K8" s="193">
        <v>-80</v>
      </c>
      <c r="L8" s="193">
        <v>-75</v>
      </c>
      <c r="M8" s="193"/>
      <c r="N8" s="193"/>
      <c r="O8" s="193"/>
      <c r="P8" s="193"/>
      <c r="Q8" s="193">
        <f t="shared" si="0"/>
        <v>-340</v>
      </c>
      <c r="R8" s="193"/>
      <c r="S8" s="206">
        <v>37.549999999999997</v>
      </c>
      <c r="T8" s="206">
        <v>-140</v>
      </c>
      <c r="U8" s="213">
        <f t="shared" si="1"/>
        <v>-442.45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-67</v>
      </c>
      <c r="D9" s="193">
        <v>-68</v>
      </c>
      <c r="E9" s="193">
        <v>-50</v>
      </c>
      <c r="F9" s="193"/>
      <c r="G9" s="193"/>
      <c r="H9" s="193"/>
      <c r="I9" s="193">
        <v>-50</v>
      </c>
      <c r="J9" s="193"/>
      <c r="K9" s="193">
        <v>-80</v>
      </c>
      <c r="L9" s="193">
        <v>-75</v>
      </c>
      <c r="M9" s="193"/>
      <c r="N9" s="193"/>
      <c r="O9" s="193"/>
      <c r="P9" s="193"/>
      <c r="Q9" s="193">
        <f t="shared" si="0"/>
        <v>-390</v>
      </c>
      <c r="R9" s="193"/>
      <c r="S9" s="206">
        <v>37.549999999999997</v>
      </c>
      <c r="T9" s="206">
        <v>-140</v>
      </c>
      <c r="U9" s="213">
        <f t="shared" si="1"/>
        <v>-492.45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-67</v>
      </c>
      <c r="D10" s="193">
        <v>-68</v>
      </c>
      <c r="E10" s="193">
        <v>-50</v>
      </c>
      <c r="F10" s="193"/>
      <c r="G10" s="193"/>
      <c r="H10" s="193"/>
      <c r="I10" s="193">
        <v>-50</v>
      </c>
      <c r="J10" s="193"/>
      <c r="K10" s="193">
        <v>-80</v>
      </c>
      <c r="L10" s="193">
        <v>-75</v>
      </c>
      <c r="M10" s="193"/>
      <c r="N10" s="193"/>
      <c r="O10" s="193"/>
      <c r="P10" s="193"/>
      <c r="Q10" s="193">
        <f t="shared" si="0"/>
        <v>-390</v>
      </c>
      <c r="R10" s="193"/>
      <c r="S10" s="206">
        <v>37.549999999999997</v>
      </c>
      <c r="T10" s="206">
        <v>-140</v>
      </c>
      <c r="U10" s="213">
        <f t="shared" si="1"/>
        <v>-492.45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-67</v>
      </c>
      <c r="D11" s="193">
        <v>-68</v>
      </c>
      <c r="E11" s="193">
        <v>-50</v>
      </c>
      <c r="F11" s="193"/>
      <c r="G11" s="193"/>
      <c r="H11" s="193"/>
      <c r="I11" s="193">
        <v>-50</v>
      </c>
      <c r="J11" s="193"/>
      <c r="K11" s="193">
        <v>-80</v>
      </c>
      <c r="L11" s="193">
        <v>-75</v>
      </c>
      <c r="M11" s="193"/>
      <c r="N11" s="193"/>
      <c r="O11" s="193"/>
      <c r="P11" s="193"/>
      <c r="Q11" s="193">
        <f t="shared" si="0"/>
        <v>-390</v>
      </c>
      <c r="R11" s="193"/>
      <c r="S11" s="206">
        <v>37.549999999999997</v>
      </c>
      <c r="T11" s="206">
        <v>-140</v>
      </c>
      <c r="U11" s="213">
        <f t="shared" si="1"/>
        <v>-492.45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-67</v>
      </c>
      <c r="D12" s="193">
        <v>-68</v>
      </c>
      <c r="E12" s="193">
        <v>-50</v>
      </c>
      <c r="F12" s="193"/>
      <c r="G12" s="193"/>
      <c r="H12" s="193"/>
      <c r="I12" s="193">
        <v>-50</v>
      </c>
      <c r="J12" s="193"/>
      <c r="K12" s="193">
        <v>-80</v>
      </c>
      <c r="L12" s="193">
        <v>-75</v>
      </c>
      <c r="M12" s="193"/>
      <c r="N12" s="193"/>
      <c r="O12" s="193"/>
      <c r="P12" s="193"/>
      <c r="Q12" s="193">
        <f t="shared" si="0"/>
        <v>-390</v>
      </c>
      <c r="R12" s="193"/>
      <c r="S12" s="206">
        <v>37.549999999999997</v>
      </c>
      <c r="T12" s="206">
        <v>-140</v>
      </c>
      <c r="U12" s="213">
        <f t="shared" si="1"/>
        <v>-492.45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-67</v>
      </c>
      <c r="D13" s="193">
        <v>-68</v>
      </c>
      <c r="E13" s="193">
        <v>-50</v>
      </c>
      <c r="F13" s="193"/>
      <c r="G13" s="193"/>
      <c r="H13" s="193"/>
      <c r="I13" s="193">
        <v>-50</v>
      </c>
      <c r="J13" s="193"/>
      <c r="K13" s="193">
        <v>-80</v>
      </c>
      <c r="L13" s="193">
        <v>-75</v>
      </c>
      <c r="M13" s="193"/>
      <c r="N13" s="193"/>
      <c r="O13" s="193"/>
      <c r="P13" s="193"/>
      <c r="Q13" s="193">
        <f t="shared" si="0"/>
        <v>-390</v>
      </c>
      <c r="R13" s="193"/>
      <c r="S13" s="206">
        <v>37.549999999999997</v>
      </c>
      <c r="T13" s="206">
        <v>-140</v>
      </c>
      <c r="U13" s="213">
        <f t="shared" si="1"/>
        <v>-492.45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-67</v>
      </c>
      <c r="D14" s="193">
        <v>-68</v>
      </c>
      <c r="E14" s="193">
        <v>-50</v>
      </c>
      <c r="F14" s="193"/>
      <c r="G14" s="193"/>
      <c r="H14" s="193"/>
      <c r="I14" s="193">
        <v>-50</v>
      </c>
      <c r="J14" s="193"/>
      <c r="K14" s="193">
        <v>-80</v>
      </c>
      <c r="L14" s="193">
        <v>-75</v>
      </c>
      <c r="M14" s="193"/>
      <c r="N14" s="193"/>
      <c r="O14" s="193"/>
      <c r="P14" s="193"/>
      <c r="Q14" s="193">
        <f t="shared" si="0"/>
        <v>-390</v>
      </c>
      <c r="R14" s="193"/>
      <c r="S14" s="206">
        <v>37.549999999999997</v>
      </c>
      <c r="T14" s="206">
        <v>-140</v>
      </c>
      <c r="U14" s="213">
        <f t="shared" si="1"/>
        <v>-492.45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3">
        <v>-67</v>
      </c>
      <c r="D15" s="193">
        <v>-68</v>
      </c>
      <c r="E15" s="193">
        <v>-50</v>
      </c>
      <c r="F15" s="193"/>
      <c r="G15" s="193"/>
      <c r="H15" s="193"/>
      <c r="I15" s="193">
        <v>-50</v>
      </c>
      <c r="J15" s="193"/>
      <c r="K15" s="193">
        <v>-80</v>
      </c>
      <c r="L15" s="193">
        <v>-75</v>
      </c>
      <c r="M15" s="197"/>
      <c r="N15" s="197"/>
      <c r="O15" s="197"/>
      <c r="P15" s="197"/>
      <c r="Q15" s="197">
        <f t="shared" si="0"/>
        <v>-530</v>
      </c>
      <c r="R15" s="197"/>
      <c r="S15" s="206">
        <v>70.16</v>
      </c>
      <c r="T15" s="206">
        <v>0</v>
      </c>
      <c r="U15" s="215">
        <f t="shared" si="1"/>
        <v>-459.84000000000003</v>
      </c>
      <c r="X15" s="216">
        <v>0</v>
      </c>
      <c r="Z15" s="198">
        <v>0</v>
      </c>
    </row>
    <row r="16" spans="1:26" ht="15.75">
      <c r="A16" s="195" t="s">
        <v>314</v>
      </c>
      <c r="B16" s="197">
        <v>-140</v>
      </c>
      <c r="C16" s="193">
        <v>-67</v>
      </c>
      <c r="D16" s="193">
        <v>-68</v>
      </c>
      <c r="E16" s="193">
        <v>-50</v>
      </c>
      <c r="F16" s="193"/>
      <c r="G16" s="193"/>
      <c r="H16" s="193"/>
      <c r="I16" s="193">
        <v>-50</v>
      </c>
      <c r="J16" s="193"/>
      <c r="K16" s="193">
        <v>-80</v>
      </c>
      <c r="L16" s="193">
        <v>-75</v>
      </c>
      <c r="M16" s="193"/>
      <c r="N16" s="193"/>
      <c r="O16" s="193"/>
      <c r="P16" s="193"/>
      <c r="Q16" s="193">
        <f t="shared" si="0"/>
        <v>-530</v>
      </c>
      <c r="R16" s="193"/>
      <c r="S16" s="206">
        <v>70.16</v>
      </c>
      <c r="T16" s="206">
        <v>0</v>
      </c>
      <c r="U16" s="213">
        <f t="shared" si="1"/>
        <v>-459.84000000000003</v>
      </c>
      <c r="X16" s="211">
        <v>0</v>
      </c>
      <c r="Z16">
        <v>0</v>
      </c>
    </row>
    <row r="17" spans="1:26" ht="15.75">
      <c r="A17" s="195" t="s">
        <v>315</v>
      </c>
      <c r="B17" s="197">
        <v>-140</v>
      </c>
      <c r="C17" s="193">
        <v>-67</v>
      </c>
      <c r="D17" s="193">
        <v>-68</v>
      </c>
      <c r="E17" s="193">
        <v>-50</v>
      </c>
      <c r="F17" s="193"/>
      <c r="G17" s="193"/>
      <c r="H17" s="193"/>
      <c r="I17" s="193">
        <v>-50</v>
      </c>
      <c r="J17" s="193"/>
      <c r="K17" s="193">
        <v>-80</v>
      </c>
      <c r="L17" s="193">
        <v>-75</v>
      </c>
      <c r="M17" s="193"/>
      <c r="N17" s="193"/>
      <c r="O17" s="193"/>
      <c r="P17" s="193"/>
      <c r="Q17" s="193">
        <f t="shared" si="0"/>
        <v>-530</v>
      </c>
      <c r="R17" s="193"/>
      <c r="S17" s="206">
        <v>70.16</v>
      </c>
      <c r="T17" s="206">
        <v>0</v>
      </c>
      <c r="U17" s="213">
        <f t="shared" si="1"/>
        <v>-459.84000000000003</v>
      </c>
      <c r="X17" s="211">
        <v>0</v>
      </c>
      <c r="Z17">
        <v>0</v>
      </c>
    </row>
    <row r="18" spans="1:26" ht="15.75">
      <c r="A18" s="195" t="s">
        <v>316</v>
      </c>
      <c r="B18" s="197">
        <v>-140</v>
      </c>
      <c r="C18" s="193">
        <v>-67</v>
      </c>
      <c r="D18" s="193">
        <v>-68</v>
      </c>
      <c r="E18" s="193">
        <v>-50</v>
      </c>
      <c r="F18" s="193"/>
      <c r="G18" s="193"/>
      <c r="H18" s="193"/>
      <c r="I18" s="193">
        <v>-50</v>
      </c>
      <c r="J18" s="193"/>
      <c r="K18" s="193">
        <v>-80</v>
      </c>
      <c r="L18" s="193">
        <v>-75</v>
      </c>
      <c r="M18" s="193"/>
      <c r="N18" s="193"/>
      <c r="O18" s="193"/>
      <c r="P18" s="193"/>
      <c r="Q18" s="193">
        <f t="shared" si="0"/>
        <v>-530</v>
      </c>
      <c r="R18" s="193"/>
      <c r="S18" s="206">
        <v>70.16</v>
      </c>
      <c r="T18" s="206">
        <v>0</v>
      </c>
      <c r="U18" s="213">
        <f t="shared" si="1"/>
        <v>-459.84000000000003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3">
        <v>-67</v>
      </c>
      <c r="D19" s="193">
        <v>-68</v>
      </c>
      <c r="E19" s="193">
        <v>-50</v>
      </c>
      <c r="F19" s="193"/>
      <c r="G19" s="193"/>
      <c r="H19" s="193"/>
      <c r="I19" s="193">
        <v>-50</v>
      </c>
      <c r="J19" s="193"/>
      <c r="K19" s="193">
        <v>-80</v>
      </c>
      <c r="L19" s="193">
        <v>-75</v>
      </c>
      <c r="M19" s="197"/>
      <c r="N19" s="197"/>
      <c r="O19" s="197"/>
      <c r="P19" s="197"/>
      <c r="Q19" s="197">
        <f t="shared" si="0"/>
        <v>-530</v>
      </c>
      <c r="R19" s="197"/>
      <c r="S19" s="206">
        <v>70.16</v>
      </c>
      <c r="T19" s="206">
        <v>0</v>
      </c>
      <c r="U19" s="215">
        <f t="shared" si="1"/>
        <v>-459.84000000000003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7">
        <v>-140</v>
      </c>
      <c r="C20" s="193">
        <v>-67</v>
      </c>
      <c r="D20" s="193">
        <v>-68</v>
      </c>
      <c r="E20" s="193">
        <v>-50</v>
      </c>
      <c r="F20" s="193"/>
      <c r="G20" s="193"/>
      <c r="H20" s="193"/>
      <c r="I20" s="193">
        <v>-50</v>
      </c>
      <c r="J20" s="193"/>
      <c r="K20" s="193">
        <v>-80</v>
      </c>
      <c r="L20" s="193">
        <v>-75</v>
      </c>
      <c r="M20" s="193"/>
      <c r="N20" s="193"/>
      <c r="O20" s="193"/>
      <c r="P20" s="193"/>
      <c r="Q20" s="193">
        <f>SUM(B20:P20)</f>
        <v>-530</v>
      </c>
      <c r="R20" s="193"/>
      <c r="S20" s="206">
        <v>70.16</v>
      </c>
      <c r="T20" s="206">
        <v>0</v>
      </c>
      <c r="U20" s="213">
        <f t="shared" si="1"/>
        <v>-459.84000000000003</v>
      </c>
      <c r="X20" s="211">
        <v>50</v>
      </c>
      <c r="Z20">
        <v>30</v>
      </c>
    </row>
    <row r="21" spans="1:26" ht="15.75">
      <c r="A21" s="195" t="s">
        <v>319</v>
      </c>
      <c r="B21" s="197">
        <v>-140</v>
      </c>
      <c r="C21" s="193">
        <v>-67</v>
      </c>
      <c r="D21" s="193">
        <v>-68</v>
      </c>
      <c r="E21" s="193">
        <v>-50</v>
      </c>
      <c r="F21" s="193"/>
      <c r="G21" s="193"/>
      <c r="H21" s="193"/>
      <c r="I21" s="193">
        <v>-50</v>
      </c>
      <c r="J21" s="193"/>
      <c r="K21" s="193">
        <v>-80</v>
      </c>
      <c r="L21" s="193">
        <v>-75</v>
      </c>
      <c r="M21" s="193"/>
      <c r="N21" s="193"/>
      <c r="O21" s="193"/>
      <c r="P21" s="193"/>
      <c r="Q21" s="193">
        <f t="shared" si="0"/>
        <v>-530</v>
      </c>
      <c r="R21" s="193"/>
      <c r="S21" s="206">
        <v>70.16</v>
      </c>
      <c r="T21" s="206">
        <v>0</v>
      </c>
      <c r="U21" s="213">
        <f t="shared" si="1"/>
        <v>-459.84000000000003</v>
      </c>
      <c r="X21" s="211">
        <v>50</v>
      </c>
      <c r="Z21">
        <v>30</v>
      </c>
    </row>
    <row r="22" spans="1:26" ht="15.75">
      <c r="A22" s="195" t="s">
        <v>320</v>
      </c>
      <c r="B22" s="197">
        <v>-140</v>
      </c>
      <c r="C22" s="193">
        <v>-67</v>
      </c>
      <c r="D22" s="193">
        <v>-68</v>
      </c>
      <c r="E22" s="193">
        <v>-50</v>
      </c>
      <c r="F22" s="193"/>
      <c r="G22" s="193"/>
      <c r="H22" s="193"/>
      <c r="I22" s="193">
        <v>-50</v>
      </c>
      <c r="J22" s="193"/>
      <c r="K22" s="193">
        <v>-80</v>
      </c>
      <c r="L22" s="193">
        <v>-75</v>
      </c>
      <c r="M22" s="193"/>
      <c r="N22" s="193"/>
      <c r="O22" s="193"/>
      <c r="P22" s="193"/>
      <c r="Q22" s="193">
        <f t="shared" si="0"/>
        <v>-530</v>
      </c>
      <c r="R22" s="193"/>
      <c r="S22" s="206">
        <v>70.16</v>
      </c>
      <c r="T22" s="206">
        <v>0</v>
      </c>
      <c r="U22" s="213">
        <f t="shared" si="1"/>
        <v>-459.84000000000003</v>
      </c>
      <c r="X22" s="211">
        <v>50</v>
      </c>
      <c r="Z22">
        <v>32</v>
      </c>
    </row>
    <row r="23" spans="1:26" ht="15.75">
      <c r="A23" s="195" t="s">
        <v>321</v>
      </c>
      <c r="B23" s="197">
        <v>-140</v>
      </c>
      <c r="C23" s="193">
        <v>-67</v>
      </c>
      <c r="D23" s="193">
        <v>-68</v>
      </c>
      <c r="E23" s="193">
        <v>-50</v>
      </c>
      <c r="F23" s="193"/>
      <c r="G23" s="193"/>
      <c r="H23" s="193"/>
      <c r="I23" s="193">
        <v>-50</v>
      </c>
      <c r="J23" s="193"/>
      <c r="K23" s="193">
        <v>-80</v>
      </c>
      <c r="L23" s="193">
        <v>-75</v>
      </c>
      <c r="M23" s="193"/>
      <c r="N23" s="193"/>
      <c r="O23" s="193"/>
      <c r="P23" s="193"/>
      <c r="Q23" s="193">
        <f t="shared" si="0"/>
        <v>-530</v>
      </c>
      <c r="R23" s="193"/>
      <c r="S23" s="206">
        <v>70.16</v>
      </c>
      <c r="T23" s="206">
        <v>0</v>
      </c>
      <c r="U23" s="213">
        <f>SUM(Q23:T23)</f>
        <v>-459.84000000000003</v>
      </c>
      <c r="X23" s="211">
        <v>50</v>
      </c>
      <c r="Z23">
        <v>33</v>
      </c>
    </row>
    <row r="24" spans="1:26" ht="15.75">
      <c r="A24" s="195" t="s">
        <v>322</v>
      </c>
      <c r="B24" s="197">
        <v>-140</v>
      </c>
      <c r="C24" s="193">
        <v>-67</v>
      </c>
      <c r="D24" s="193">
        <v>-68</v>
      </c>
      <c r="E24" s="193">
        <v>-50</v>
      </c>
      <c r="F24" s="193"/>
      <c r="G24" s="193"/>
      <c r="H24" s="193"/>
      <c r="I24" s="193">
        <v>-50</v>
      </c>
      <c r="J24" s="193"/>
      <c r="K24" s="193">
        <v>-80</v>
      </c>
      <c r="L24" s="193">
        <v>-75</v>
      </c>
      <c r="M24" s="193"/>
      <c r="N24" s="193"/>
      <c r="O24" s="193"/>
      <c r="P24" s="193"/>
      <c r="Q24" s="193">
        <f t="shared" si="0"/>
        <v>-530</v>
      </c>
      <c r="R24" s="193"/>
      <c r="S24" s="206">
        <v>70.16</v>
      </c>
      <c r="T24" s="206">
        <v>0</v>
      </c>
      <c r="U24" s="213">
        <f t="shared" si="1"/>
        <v>-459.84000000000003</v>
      </c>
      <c r="X24" s="211">
        <v>50</v>
      </c>
      <c r="Z24">
        <v>35</v>
      </c>
    </row>
    <row r="25" spans="1:26" ht="15.75">
      <c r="A25" s="195" t="s">
        <v>323</v>
      </c>
      <c r="B25" s="197">
        <v>-140</v>
      </c>
      <c r="C25" s="193">
        <v>-67</v>
      </c>
      <c r="D25" s="193">
        <v>-68</v>
      </c>
      <c r="E25" s="193">
        <v>-50</v>
      </c>
      <c r="F25" s="193"/>
      <c r="G25" s="193"/>
      <c r="H25" s="193"/>
      <c r="I25" s="193">
        <v>-50</v>
      </c>
      <c r="J25" s="193"/>
      <c r="K25" s="193">
        <v>-80</v>
      </c>
      <c r="L25" s="193">
        <v>-75</v>
      </c>
      <c r="M25" s="193"/>
      <c r="N25" s="193"/>
      <c r="O25" s="193"/>
      <c r="P25" s="193"/>
      <c r="Q25" s="193">
        <f t="shared" si="0"/>
        <v>-530</v>
      </c>
      <c r="R25" s="193"/>
      <c r="S25" s="206">
        <v>70.16</v>
      </c>
      <c r="T25" s="206">
        <v>0</v>
      </c>
      <c r="U25" s="213">
        <f t="shared" si="1"/>
        <v>-459.84000000000003</v>
      </c>
      <c r="X25" s="211">
        <v>50</v>
      </c>
      <c r="Z25">
        <v>35</v>
      </c>
    </row>
    <row r="26" spans="1:26" ht="15.75">
      <c r="A26" s="195" t="s">
        <v>324</v>
      </c>
      <c r="B26" s="197">
        <v>-140</v>
      </c>
      <c r="C26" s="193">
        <v>-67</v>
      </c>
      <c r="D26" s="193">
        <v>-68</v>
      </c>
      <c r="E26" s="193">
        <v>-50</v>
      </c>
      <c r="F26" s="193"/>
      <c r="G26" s="193"/>
      <c r="H26" s="193"/>
      <c r="I26" s="193">
        <v>-50</v>
      </c>
      <c r="J26" s="193"/>
      <c r="K26" s="193">
        <v>-80</v>
      </c>
      <c r="L26" s="193">
        <v>-75</v>
      </c>
      <c r="M26" s="193"/>
      <c r="N26" s="193"/>
      <c r="O26" s="193"/>
      <c r="P26" s="193"/>
      <c r="Q26" s="193">
        <f t="shared" si="0"/>
        <v>-530</v>
      </c>
      <c r="R26" s="193"/>
      <c r="S26" s="206">
        <v>70.16</v>
      </c>
      <c r="T26" s="206">
        <v>0</v>
      </c>
      <c r="U26" s="213">
        <f t="shared" si="1"/>
        <v>-459.84000000000003</v>
      </c>
      <c r="X26" s="211">
        <v>50</v>
      </c>
      <c r="Z26">
        <v>35</v>
      </c>
    </row>
    <row r="27" spans="1:26" ht="15.75">
      <c r="A27" s="195" t="s">
        <v>325</v>
      </c>
      <c r="B27" s="197">
        <v>-140</v>
      </c>
      <c r="C27" s="193">
        <v>-67</v>
      </c>
      <c r="D27" s="193">
        <v>-68</v>
      </c>
      <c r="E27" s="193">
        <v>-50</v>
      </c>
      <c r="F27" s="193"/>
      <c r="G27" s="193"/>
      <c r="H27" s="193"/>
      <c r="I27" s="193">
        <v>-50</v>
      </c>
      <c r="J27" s="193"/>
      <c r="K27" s="193">
        <v>-80</v>
      </c>
      <c r="L27" s="193">
        <v>-75</v>
      </c>
      <c r="M27" s="193"/>
      <c r="N27" s="193"/>
      <c r="O27" s="193"/>
      <c r="P27" s="193"/>
      <c r="Q27" s="193">
        <f t="shared" si="0"/>
        <v>-530</v>
      </c>
      <c r="R27" s="193"/>
      <c r="S27" s="206">
        <v>70.16</v>
      </c>
      <c r="T27" s="206">
        <v>0</v>
      </c>
      <c r="U27" s="213">
        <f t="shared" si="1"/>
        <v>-459.84000000000003</v>
      </c>
      <c r="X27" s="211">
        <v>50</v>
      </c>
      <c r="Z27">
        <v>35</v>
      </c>
    </row>
    <row r="28" spans="1:26" ht="15.75">
      <c r="A28" s="195" t="s">
        <v>326</v>
      </c>
      <c r="B28" s="197">
        <v>-140</v>
      </c>
      <c r="C28" s="193">
        <v>-67</v>
      </c>
      <c r="D28" s="193">
        <v>-68</v>
      </c>
      <c r="E28" s="193">
        <v>-50</v>
      </c>
      <c r="F28" s="193"/>
      <c r="G28" s="193"/>
      <c r="H28" s="193"/>
      <c r="I28" s="193">
        <v>-50</v>
      </c>
      <c r="J28" s="193"/>
      <c r="K28" s="193">
        <v>-80</v>
      </c>
      <c r="L28" s="193">
        <v>-75</v>
      </c>
      <c r="M28" s="193"/>
      <c r="N28" s="193"/>
      <c r="O28" s="193"/>
      <c r="P28" s="193"/>
      <c r="Q28" s="193">
        <f t="shared" si="0"/>
        <v>-530</v>
      </c>
      <c r="R28" s="193"/>
      <c r="S28" s="206">
        <v>70.16</v>
      </c>
      <c r="T28" s="206">
        <v>0</v>
      </c>
      <c r="U28" s="213">
        <f t="shared" si="1"/>
        <v>-459.84000000000003</v>
      </c>
      <c r="X28" s="211">
        <v>50</v>
      </c>
      <c r="Z28">
        <v>35</v>
      </c>
    </row>
    <row r="29" spans="1:26" ht="15.75">
      <c r="A29" s="195" t="s">
        <v>327</v>
      </c>
      <c r="B29" s="197">
        <v>-140</v>
      </c>
      <c r="C29" s="193">
        <v>-67</v>
      </c>
      <c r="D29" s="193">
        <v>-68</v>
      </c>
      <c r="E29" s="193">
        <v>-50</v>
      </c>
      <c r="F29" s="193"/>
      <c r="G29" s="193"/>
      <c r="H29" s="193"/>
      <c r="I29" s="193">
        <v>-50</v>
      </c>
      <c r="J29" s="193"/>
      <c r="K29" s="193">
        <v>-80</v>
      </c>
      <c r="L29" s="193">
        <v>-75</v>
      </c>
      <c r="M29" s="193"/>
      <c r="N29" s="193"/>
      <c r="O29" s="193"/>
      <c r="P29" s="193"/>
      <c r="Q29" s="193">
        <f t="shared" si="0"/>
        <v>-530</v>
      </c>
      <c r="R29" s="193"/>
      <c r="S29" s="206">
        <v>70.16</v>
      </c>
      <c r="T29" s="206">
        <v>0</v>
      </c>
      <c r="U29" s="213">
        <f t="shared" si="1"/>
        <v>-459.84000000000003</v>
      </c>
      <c r="X29" s="211">
        <v>50</v>
      </c>
      <c r="Z29">
        <v>35</v>
      </c>
    </row>
    <row r="30" spans="1:26" ht="15.75">
      <c r="A30" s="195" t="s">
        <v>328</v>
      </c>
      <c r="B30" s="197">
        <v>-140</v>
      </c>
      <c r="C30" s="193">
        <v>-67</v>
      </c>
      <c r="D30" s="193">
        <v>-68</v>
      </c>
      <c r="E30" s="193">
        <v>-50</v>
      </c>
      <c r="F30" s="193"/>
      <c r="G30" s="193"/>
      <c r="H30" s="193"/>
      <c r="I30" s="193">
        <v>-50</v>
      </c>
      <c r="J30" s="193"/>
      <c r="K30" s="193">
        <v>-80</v>
      </c>
      <c r="L30" s="193">
        <v>-75</v>
      </c>
      <c r="M30" s="193"/>
      <c r="N30" s="193"/>
      <c r="O30" s="193"/>
      <c r="P30" s="193"/>
      <c r="Q30" s="193">
        <f t="shared" si="0"/>
        <v>-530</v>
      </c>
      <c r="R30" s="193"/>
      <c r="S30" s="206">
        <v>70.16</v>
      </c>
      <c r="T30" s="206">
        <v>0</v>
      </c>
      <c r="U30" s="213">
        <f t="shared" si="1"/>
        <v>-459.84000000000003</v>
      </c>
      <c r="X30" s="211">
        <v>50</v>
      </c>
      <c r="Z30">
        <v>35</v>
      </c>
    </row>
    <row r="31" spans="1:26" ht="15.75">
      <c r="A31" s="195" t="s">
        <v>329</v>
      </c>
      <c r="B31" s="197">
        <v>-140</v>
      </c>
      <c r="C31" s="193">
        <v>-67</v>
      </c>
      <c r="D31" s="193">
        <v>-68</v>
      </c>
      <c r="E31" s="193">
        <v>-50</v>
      </c>
      <c r="F31" s="193"/>
      <c r="G31" s="193"/>
      <c r="H31" s="193"/>
      <c r="I31" s="193">
        <v>-50</v>
      </c>
      <c r="J31" s="193"/>
      <c r="K31" s="193">
        <v>-80</v>
      </c>
      <c r="L31" s="193">
        <v>-75</v>
      </c>
      <c r="M31" s="193"/>
      <c r="N31" s="193"/>
      <c r="O31" s="193"/>
      <c r="P31" s="193"/>
      <c r="Q31" s="193">
        <f t="shared" si="0"/>
        <v>-530</v>
      </c>
      <c r="R31" s="193"/>
      <c r="S31" s="206">
        <v>70.16</v>
      </c>
      <c r="T31" s="206">
        <v>0</v>
      </c>
      <c r="U31" s="213">
        <f t="shared" si="1"/>
        <v>-459.84000000000003</v>
      </c>
      <c r="X31" s="211">
        <v>50</v>
      </c>
      <c r="Z31">
        <v>40</v>
      </c>
    </row>
    <row r="32" spans="1:26" ht="15.75">
      <c r="A32" s="195" t="s">
        <v>330</v>
      </c>
      <c r="B32" s="197">
        <v>-140</v>
      </c>
      <c r="C32" s="193">
        <v>-67</v>
      </c>
      <c r="D32" s="193">
        <v>-68</v>
      </c>
      <c r="E32" s="193">
        <v>-50</v>
      </c>
      <c r="F32" s="193"/>
      <c r="G32" s="193"/>
      <c r="H32" s="193"/>
      <c r="I32" s="193">
        <v>-50</v>
      </c>
      <c r="J32" s="193"/>
      <c r="K32" s="193">
        <v>-80</v>
      </c>
      <c r="L32" s="193">
        <v>-75</v>
      </c>
      <c r="M32" s="193"/>
      <c r="N32" s="193"/>
      <c r="O32" s="193"/>
      <c r="P32" s="193"/>
      <c r="Q32" s="193">
        <f t="shared" si="0"/>
        <v>-530</v>
      </c>
      <c r="R32" s="193"/>
      <c r="S32" s="206">
        <v>70.16</v>
      </c>
      <c r="T32" s="206">
        <v>0</v>
      </c>
      <c r="U32" s="213">
        <f t="shared" si="1"/>
        <v>-459.84000000000003</v>
      </c>
      <c r="X32" s="211">
        <v>50</v>
      </c>
      <c r="Z32">
        <v>40</v>
      </c>
    </row>
    <row r="33" spans="1:26" ht="15.75">
      <c r="A33" s="195" t="s">
        <v>331</v>
      </c>
      <c r="B33" s="197">
        <v>-140</v>
      </c>
      <c r="C33" s="193">
        <v>-67</v>
      </c>
      <c r="D33" s="193">
        <v>-68</v>
      </c>
      <c r="E33" s="193">
        <v>-50</v>
      </c>
      <c r="F33" s="193"/>
      <c r="G33" s="193"/>
      <c r="H33" s="193"/>
      <c r="I33" s="193">
        <v>-50</v>
      </c>
      <c r="J33" s="193"/>
      <c r="K33" s="193">
        <v>-80</v>
      </c>
      <c r="L33" s="193">
        <v>-75</v>
      </c>
      <c r="M33" s="193"/>
      <c r="N33" s="193"/>
      <c r="O33" s="193"/>
      <c r="P33" s="193"/>
      <c r="Q33" s="193">
        <f t="shared" si="0"/>
        <v>-530</v>
      </c>
      <c r="R33" s="193"/>
      <c r="S33" s="206">
        <v>70.16</v>
      </c>
      <c r="T33" s="206">
        <v>0</v>
      </c>
      <c r="U33" s="213">
        <f t="shared" si="1"/>
        <v>-459.84000000000003</v>
      </c>
      <c r="X33" s="211">
        <v>50</v>
      </c>
      <c r="Z33">
        <v>40</v>
      </c>
    </row>
    <row r="34" spans="1:26" ht="15.75">
      <c r="A34" s="195" t="s">
        <v>332</v>
      </c>
      <c r="B34" s="197">
        <v>-140</v>
      </c>
      <c r="C34" s="193">
        <v>-67</v>
      </c>
      <c r="D34" s="193">
        <v>-68</v>
      </c>
      <c r="E34" s="193">
        <v>-50</v>
      </c>
      <c r="F34" s="193"/>
      <c r="G34" s="193"/>
      <c r="H34" s="193"/>
      <c r="I34" s="193">
        <v>-50</v>
      </c>
      <c r="J34" s="193"/>
      <c r="K34" s="193">
        <v>-80</v>
      </c>
      <c r="L34" s="193">
        <v>-75</v>
      </c>
      <c r="M34" s="193"/>
      <c r="N34" s="193"/>
      <c r="O34" s="193"/>
      <c r="P34" s="193"/>
      <c r="Q34" s="193">
        <f t="shared" si="0"/>
        <v>-530</v>
      </c>
      <c r="R34" s="193"/>
      <c r="S34" s="206">
        <v>70.16</v>
      </c>
      <c r="T34" s="206">
        <v>0</v>
      </c>
      <c r="U34" s="213">
        <f t="shared" si="1"/>
        <v>-459.84000000000003</v>
      </c>
      <c r="X34" s="211">
        <v>50</v>
      </c>
      <c r="Z34">
        <v>40</v>
      </c>
    </row>
    <row r="35" spans="1:26" ht="15.75">
      <c r="A35" s="195" t="s">
        <v>333</v>
      </c>
      <c r="B35" s="197">
        <v>-140</v>
      </c>
      <c r="C35" s="193">
        <v>-67</v>
      </c>
      <c r="D35" s="193">
        <v>-68</v>
      </c>
      <c r="E35" s="193">
        <v>-50</v>
      </c>
      <c r="F35" s="193"/>
      <c r="G35" s="193"/>
      <c r="H35" s="193"/>
      <c r="I35" s="193">
        <v>-50</v>
      </c>
      <c r="J35" s="193"/>
      <c r="K35" s="193">
        <v>-80</v>
      </c>
      <c r="L35" s="193">
        <v>-75</v>
      </c>
      <c r="M35" s="193"/>
      <c r="N35" s="193"/>
      <c r="O35" s="193"/>
      <c r="P35" s="193"/>
      <c r="Q35" s="193">
        <f t="shared" si="0"/>
        <v>-530</v>
      </c>
      <c r="R35" s="193"/>
      <c r="S35" s="206">
        <v>70.16</v>
      </c>
      <c r="T35" s="206">
        <v>0</v>
      </c>
      <c r="U35" s="213">
        <f t="shared" si="1"/>
        <v>-459.84000000000003</v>
      </c>
      <c r="X35" s="211">
        <v>50</v>
      </c>
      <c r="Z35">
        <v>40</v>
      </c>
    </row>
    <row r="36" spans="1:26" ht="15.75">
      <c r="A36" s="195" t="s">
        <v>334</v>
      </c>
      <c r="B36" s="197">
        <v>-140</v>
      </c>
      <c r="C36" s="193">
        <v>-67</v>
      </c>
      <c r="D36" s="193">
        <v>-68</v>
      </c>
      <c r="E36" s="193">
        <v>-50</v>
      </c>
      <c r="F36" s="193"/>
      <c r="G36" s="193"/>
      <c r="H36" s="193"/>
      <c r="I36" s="193">
        <v>-50</v>
      </c>
      <c r="J36" s="193"/>
      <c r="K36" s="193">
        <v>-80</v>
      </c>
      <c r="L36" s="193">
        <v>-75</v>
      </c>
      <c r="M36" s="193"/>
      <c r="N36" s="193"/>
      <c r="O36" s="193"/>
      <c r="P36" s="193"/>
      <c r="Q36" s="193">
        <f t="shared" si="0"/>
        <v>-530</v>
      </c>
      <c r="R36" s="193"/>
      <c r="S36" s="206">
        <v>70.16</v>
      </c>
      <c r="T36" s="206">
        <v>0</v>
      </c>
      <c r="U36" s="213">
        <f t="shared" si="1"/>
        <v>-459.84000000000003</v>
      </c>
      <c r="X36" s="211">
        <v>50</v>
      </c>
      <c r="Z36">
        <v>40</v>
      </c>
    </row>
    <row r="37" spans="1:26" ht="15.75">
      <c r="A37" s="195" t="s">
        <v>335</v>
      </c>
      <c r="B37" s="197">
        <v>-140</v>
      </c>
      <c r="C37" s="193">
        <v>-67</v>
      </c>
      <c r="D37" s="193">
        <v>-68</v>
      </c>
      <c r="E37" s="193">
        <v>-50</v>
      </c>
      <c r="F37" s="193"/>
      <c r="G37" s="193"/>
      <c r="H37" s="193"/>
      <c r="I37" s="193">
        <v>-50</v>
      </c>
      <c r="J37" s="193"/>
      <c r="K37" s="193">
        <v>-80</v>
      </c>
      <c r="L37" s="193">
        <v>-75</v>
      </c>
      <c r="M37" s="193"/>
      <c r="N37" s="193"/>
      <c r="O37" s="193"/>
      <c r="P37" s="193"/>
      <c r="Q37" s="193">
        <f t="shared" si="0"/>
        <v>-530</v>
      </c>
      <c r="R37" s="193"/>
      <c r="S37" s="206">
        <v>70.16</v>
      </c>
      <c r="T37" s="206">
        <v>0</v>
      </c>
      <c r="U37" s="213">
        <f t="shared" si="1"/>
        <v>-459.84000000000003</v>
      </c>
      <c r="X37" s="211">
        <v>50</v>
      </c>
      <c r="Z37">
        <v>40</v>
      </c>
    </row>
    <row r="38" spans="1:26" ht="15.75">
      <c r="A38" s="195" t="s">
        <v>336</v>
      </c>
      <c r="B38" s="197">
        <v>-140</v>
      </c>
      <c r="C38" s="193">
        <v>-67</v>
      </c>
      <c r="D38" s="193">
        <v>-68</v>
      </c>
      <c r="E38" s="193">
        <v>-50</v>
      </c>
      <c r="F38" s="193"/>
      <c r="G38" s="193"/>
      <c r="H38" s="193"/>
      <c r="I38" s="193">
        <v>-50</v>
      </c>
      <c r="J38" s="193"/>
      <c r="K38" s="193">
        <v>-80</v>
      </c>
      <c r="L38" s="193">
        <v>-75</v>
      </c>
      <c r="M38" s="193"/>
      <c r="N38" s="193"/>
      <c r="O38" s="193"/>
      <c r="P38" s="193"/>
      <c r="Q38" s="193">
        <f t="shared" si="0"/>
        <v>-530</v>
      </c>
      <c r="R38" s="193"/>
      <c r="S38" s="206">
        <v>70.16</v>
      </c>
      <c r="T38" s="206">
        <v>0</v>
      </c>
      <c r="U38" s="213">
        <f t="shared" si="1"/>
        <v>-459.84000000000003</v>
      </c>
      <c r="X38" s="211">
        <v>50</v>
      </c>
      <c r="Z38">
        <v>45</v>
      </c>
    </row>
    <row r="39" spans="1:26" ht="15.75">
      <c r="A39" s="195" t="s">
        <v>337</v>
      </c>
      <c r="B39" s="197">
        <v>-140</v>
      </c>
      <c r="C39" s="193">
        <v>-67</v>
      </c>
      <c r="D39" s="193">
        <v>-68</v>
      </c>
      <c r="E39" s="193">
        <v>-50</v>
      </c>
      <c r="F39" s="193"/>
      <c r="G39" s="193"/>
      <c r="H39" s="193"/>
      <c r="I39" s="193">
        <v>-50</v>
      </c>
      <c r="J39" s="193"/>
      <c r="K39" s="193">
        <v>-80</v>
      </c>
      <c r="L39" s="193">
        <v>-75</v>
      </c>
      <c r="M39" s="193"/>
      <c r="N39" s="193"/>
      <c r="O39" s="193"/>
      <c r="P39" s="193"/>
      <c r="Q39" s="193">
        <f t="shared" si="0"/>
        <v>-530</v>
      </c>
      <c r="R39" s="193"/>
      <c r="S39" s="206">
        <v>70.16</v>
      </c>
      <c r="T39" s="206">
        <v>0</v>
      </c>
      <c r="U39" s="213">
        <f t="shared" si="1"/>
        <v>-459.84000000000003</v>
      </c>
      <c r="X39" s="211">
        <v>50</v>
      </c>
      <c r="Z39">
        <v>45</v>
      </c>
    </row>
    <row r="40" spans="1:26" ht="15.75">
      <c r="A40" s="195" t="s">
        <v>338</v>
      </c>
      <c r="B40" s="197">
        <v>-140</v>
      </c>
      <c r="C40" s="193">
        <v>-67</v>
      </c>
      <c r="D40" s="193">
        <v>-68</v>
      </c>
      <c r="E40" s="193">
        <v>-50</v>
      </c>
      <c r="F40" s="193"/>
      <c r="G40" s="193"/>
      <c r="H40" s="193"/>
      <c r="I40" s="193">
        <v>-50</v>
      </c>
      <c r="J40" s="193"/>
      <c r="K40" s="193">
        <v>-80</v>
      </c>
      <c r="L40" s="193">
        <v>-75</v>
      </c>
      <c r="M40" s="193"/>
      <c r="N40" s="193"/>
      <c r="O40" s="193"/>
      <c r="P40" s="193"/>
      <c r="Q40" s="193">
        <f t="shared" si="0"/>
        <v>-530</v>
      </c>
      <c r="R40" s="193"/>
      <c r="S40" s="206">
        <v>70.16</v>
      </c>
      <c r="T40" s="206">
        <v>0</v>
      </c>
      <c r="U40" s="213">
        <f t="shared" si="1"/>
        <v>-459.84000000000003</v>
      </c>
      <c r="X40" s="211">
        <v>50</v>
      </c>
      <c r="Z40">
        <v>45</v>
      </c>
    </row>
    <row r="41" spans="1:26" ht="15.75">
      <c r="A41" s="195" t="s">
        <v>339</v>
      </c>
      <c r="B41" s="197">
        <v>-140</v>
      </c>
      <c r="C41" s="193">
        <v>-67</v>
      </c>
      <c r="D41" s="193">
        <v>-68</v>
      </c>
      <c r="E41" s="193">
        <v>-50</v>
      </c>
      <c r="F41" s="193"/>
      <c r="G41" s="193"/>
      <c r="H41" s="193"/>
      <c r="I41" s="193">
        <v>-50</v>
      </c>
      <c r="J41" s="193"/>
      <c r="K41" s="193">
        <v>-80</v>
      </c>
      <c r="L41" s="193">
        <v>-75</v>
      </c>
      <c r="M41" s="193"/>
      <c r="N41" s="193"/>
      <c r="O41" s="193"/>
      <c r="P41" s="193"/>
      <c r="Q41" s="193">
        <f t="shared" si="0"/>
        <v>-530</v>
      </c>
      <c r="R41" s="193"/>
      <c r="S41" s="206">
        <v>70.16</v>
      </c>
      <c r="T41" s="206">
        <v>0</v>
      </c>
      <c r="U41" s="213">
        <f t="shared" si="1"/>
        <v>-459.84000000000003</v>
      </c>
      <c r="X41" s="211">
        <v>50</v>
      </c>
      <c r="Z41">
        <v>45</v>
      </c>
    </row>
    <row r="42" spans="1:26" ht="15.75">
      <c r="A42" s="195" t="s">
        <v>340</v>
      </c>
      <c r="B42" s="197">
        <v>-140</v>
      </c>
      <c r="C42" s="193">
        <v>-67</v>
      </c>
      <c r="D42" s="193">
        <v>-68</v>
      </c>
      <c r="E42" s="193">
        <v>-50</v>
      </c>
      <c r="F42" s="193"/>
      <c r="G42" s="193"/>
      <c r="H42" s="193"/>
      <c r="I42" s="193">
        <v>-50</v>
      </c>
      <c r="J42" s="193"/>
      <c r="K42" s="193">
        <v>-80</v>
      </c>
      <c r="L42" s="193">
        <v>-75</v>
      </c>
      <c r="M42" s="193"/>
      <c r="N42" s="193"/>
      <c r="O42" s="193"/>
      <c r="P42" s="193"/>
      <c r="Q42" s="193">
        <f t="shared" si="0"/>
        <v>-530</v>
      </c>
      <c r="R42" s="193"/>
      <c r="S42" s="206">
        <v>70.16</v>
      </c>
      <c r="T42" s="206">
        <v>0</v>
      </c>
      <c r="U42" s="213">
        <f t="shared" si="1"/>
        <v>-459.84000000000003</v>
      </c>
      <c r="X42" s="211">
        <v>50</v>
      </c>
      <c r="Z42">
        <v>45</v>
      </c>
    </row>
    <row r="43" spans="1:26" ht="15.75">
      <c r="A43" s="195" t="s">
        <v>341</v>
      </c>
      <c r="B43" s="197">
        <v>-140</v>
      </c>
      <c r="C43" s="193">
        <v>-67</v>
      </c>
      <c r="D43" s="193">
        <v>-68</v>
      </c>
      <c r="E43" s="193">
        <v>-50</v>
      </c>
      <c r="F43" s="193"/>
      <c r="G43" s="193"/>
      <c r="H43" s="193"/>
      <c r="I43" s="193">
        <v>-50</v>
      </c>
      <c r="J43" s="193"/>
      <c r="K43" s="193">
        <v>-80</v>
      </c>
      <c r="L43" s="193">
        <v>-75</v>
      </c>
      <c r="M43" s="193"/>
      <c r="N43" s="193"/>
      <c r="O43" s="193"/>
      <c r="P43" s="193"/>
      <c r="Q43" s="193">
        <f t="shared" si="0"/>
        <v>-530</v>
      </c>
      <c r="R43" s="193"/>
      <c r="S43" s="206">
        <v>70.16</v>
      </c>
      <c r="T43" s="206">
        <v>0</v>
      </c>
      <c r="U43" s="213">
        <f t="shared" si="1"/>
        <v>-459.84000000000003</v>
      </c>
      <c r="X43" s="211">
        <v>50</v>
      </c>
      <c r="Z43">
        <v>45</v>
      </c>
    </row>
    <row r="44" spans="1:26" ht="15.75">
      <c r="A44" s="195" t="s">
        <v>342</v>
      </c>
      <c r="B44" s="197">
        <v>-140</v>
      </c>
      <c r="C44" s="193">
        <v>-67</v>
      </c>
      <c r="D44" s="193">
        <v>-68</v>
      </c>
      <c r="E44" s="193">
        <v>-50</v>
      </c>
      <c r="F44" s="193"/>
      <c r="G44" s="193"/>
      <c r="H44" s="193"/>
      <c r="I44" s="193">
        <v>-50</v>
      </c>
      <c r="J44" s="193"/>
      <c r="K44" s="193">
        <v>-80</v>
      </c>
      <c r="L44" s="193">
        <v>-75</v>
      </c>
      <c r="M44" s="193"/>
      <c r="N44" s="193"/>
      <c r="O44" s="193"/>
      <c r="P44" s="193"/>
      <c r="Q44" s="193">
        <f t="shared" si="0"/>
        <v>-530</v>
      </c>
      <c r="R44" s="193"/>
      <c r="S44" s="206">
        <v>70.16</v>
      </c>
      <c r="T44" s="206">
        <v>0</v>
      </c>
      <c r="U44" s="213">
        <f t="shared" si="1"/>
        <v>-459.84000000000003</v>
      </c>
      <c r="X44" s="211">
        <v>50</v>
      </c>
      <c r="Z44">
        <v>45</v>
      </c>
    </row>
    <row r="45" spans="1:26" ht="15.75">
      <c r="A45" s="195" t="s">
        <v>343</v>
      </c>
      <c r="B45" s="197">
        <v>-140</v>
      </c>
      <c r="C45" s="193">
        <v>-67</v>
      </c>
      <c r="D45" s="193">
        <v>-68</v>
      </c>
      <c r="E45" s="193">
        <v>-50</v>
      </c>
      <c r="F45" s="193"/>
      <c r="G45" s="193"/>
      <c r="H45" s="193"/>
      <c r="I45" s="193">
        <v>-50</v>
      </c>
      <c r="J45" s="193"/>
      <c r="K45" s="193">
        <v>-80</v>
      </c>
      <c r="L45" s="193">
        <v>-75</v>
      </c>
      <c r="M45" s="193"/>
      <c r="N45" s="193"/>
      <c r="O45" s="193"/>
      <c r="P45" s="193"/>
      <c r="Q45" s="193">
        <f t="shared" si="0"/>
        <v>-530</v>
      </c>
      <c r="R45" s="193"/>
      <c r="S45" s="206">
        <v>70.16</v>
      </c>
      <c r="T45" s="206">
        <v>0</v>
      </c>
      <c r="U45" s="213">
        <f t="shared" si="1"/>
        <v>-459.84000000000003</v>
      </c>
      <c r="X45" s="211">
        <v>50</v>
      </c>
      <c r="Z45">
        <v>45</v>
      </c>
    </row>
    <row r="46" spans="1:26" ht="15.75">
      <c r="A46" s="195" t="s">
        <v>344</v>
      </c>
      <c r="B46" s="197">
        <v>-140</v>
      </c>
      <c r="C46" s="193">
        <v>-67</v>
      </c>
      <c r="D46" s="193">
        <v>-68</v>
      </c>
      <c r="E46" s="193">
        <v>-50</v>
      </c>
      <c r="F46" s="193"/>
      <c r="G46" s="193"/>
      <c r="H46" s="193"/>
      <c r="I46" s="193">
        <v>-50</v>
      </c>
      <c r="J46" s="193"/>
      <c r="K46" s="193">
        <v>-80</v>
      </c>
      <c r="L46" s="193">
        <v>-75</v>
      </c>
      <c r="M46" s="193"/>
      <c r="N46" s="193"/>
      <c r="O46" s="193"/>
      <c r="P46" s="193"/>
      <c r="Q46" s="193">
        <f t="shared" si="0"/>
        <v>-530</v>
      </c>
      <c r="R46" s="193"/>
      <c r="S46" s="206">
        <v>70.16</v>
      </c>
      <c r="T46" s="206">
        <v>0</v>
      </c>
      <c r="U46" s="213">
        <f t="shared" si="1"/>
        <v>-459.84000000000003</v>
      </c>
      <c r="X46" s="211">
        <v>50</v>
      </c>
      <c r="Z46">
        <v>45</v>
      </c>
    </row>
    <row r="47" spans="1:26" ht="15.75">
      <c r="A47" s="195" t="s">
        <v>345</v>
      </c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0</v>
      </c>
      <c r="R47" s="193"/>
      <c r="S47" s="206">
        <v>70.16</v>
      </c>
      <c r="T47" s="206">
        <v>0</v>
      </c>
      <c r="U47" s="213">
        <f t="shared" si="1"/>
        <v>70.16</v>
      </c>
      <c r="X47" s="211">
        <v>50</v>
      </c>
      <c r="Z47">
        <v>45</v>
      </c>
    </row>
    <row r="48" spans="1:26" ht="15.75">
      <c r="A48" s="195" t="s">
        <v>346</v>
      </c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0</v>
      </c>
      <c r="R48" s="193"/>
      <c r="S48" s="206">
        <v>70.16</v>
      </c>
      <c r="T48" s="206">
        <v>0</v>
      </c>
      <c r="U48" s="213">
        <f t="shared" si="1"/>
        <v>70.16</v>
      </c>
      <c r="X48" s="211">
        <v>50</v>
      </c>
      <c r="Z48">
        <v>45</v>
      </c>
    </row>
    <row r="49" spans="1:26" ht="15.75">
      <c r="A49" s="195" t="s">
        <v>347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0</v>
      </c>
      <c r="R49" s="193"/>
      <c r="S49" s="206">
        <v>70.16</v>
      </c>
      <c r="T49" s="206">
        <v>0</v>
      </c>
      <c r="U49" s="213">
        <f t="shared" si="1"/>
        <v>70.16</v>
      </c>
      <c r="X49" s="211">
        <v>50</v>
      </c>
      <c r="Z49">
        <v>45</v>
      </c>
    </row>
    <row r="50" spans="1:26" ht="15.75">
      <c r="A50" s="195" t="s">
        <v>348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0</v>
      </c>
      <c r="R50" s="193"/>
      <c r="S50" s="206">
        <v>70.16</v>
      </c>
      <c r="T50" s="206">
        <v>0</v>
      </c>
      <c r="U50" s="213">
        <f t="shared" si="1"/>
        <v>70.16</v>
      </c>
      <c r="X50" s="211">
        <v>50</v>
      </c>
      <c r="Z50">
        <v>45</v>
      </c>
    </row>
    <row r="51" spans="1:26" ht="15.75">
      <c r="A51" s="195" t="s">
        <v>349</v>
      </c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0</v>
      </c>
      <c r="R51" s="193"/>
      <c r="S51" s="206">
        <v>70.16</v>
      </c>
      <c r="T51" s="206">
        <v>0</v>
      </c>
      <c r="U51" s="213">
        <f t="shared" si="1"/>
        <v>70.16</v>
      </c>
      <c r="X51" s="211">
        <v>50</v>
      </c>
      <c r="Z51">
        <v>45</v>
      </c>
    </row>
    <row r="52" spans="1:26" ht="15.75">
      <c r="A52" s="195" t="s">
        <v>350</v>
      </c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0</v>
      </c>
      <c r="R52" s="193"/>
      <c r="S52" s="206">
        <v>70.16</v>
      </c>
      <c r="T52" s="206">
        <v>0</v>
      </c>
      <c r="U52" s="213">
        <f t="shared" si="1"/>
        <v>70.16</v>
      </c>
      <c r="X52" s="211">
        <v>50</v>
      </c>
      <c r="Z52">
        <v>45</v>
      </c>
    </row>
    <row r="53" spans="1:26" ht="15.75">
      <c r="A53" s="195" t="s">
        <v>351</v>
      </c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0</v>
      </c>
      <c r="R53" s="193"/>
      <c r="S53" s="206">
        <v>70.16</v>
      </c>
      <c r="T53" s="206">
        <v>0</v>
      </c>
      <c r="U53" s="213">
        <f t="shared" si="1"/>
        <v>70.16</v>
      </c>
      <c r="X53" s="211">
        <v>50</v>
      </c>
      <c r="Z53">
        <v>45</v>
      </c>
    </row>
    <row r="54" spans="1:26" ht="15.75">
      <c r="A54" s="195" t="s">
        <v>352</v>
      </c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0</v>
      </c>
      <c r="R54" s="193"/>
      <c r="S54" s="206">
        <v>70.16</v>
      </c>
      <c r="T54" s="206">
        <v>0</v>
      </c>
      <c r="U54" s="213">
        <f t="shared" si="1"/>
        <v>70.16</v>
      </c>
      <c r="X54" s="211">
        <v>50</v>
      </c>
      <c r="Z54">
        <v>45</v>
      </c>
    </row>
    <row r="55" spans="1:26" ht="15.75">
      <c r="A55" s="195" t="s">
        <v>353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0</v>
      </c>
      <c r="R55" s="193"/>
      <c r="S55" s="206">
        <v>70.16</v>
      </c>
      <c r="T55" s="206">
        <v>0</v>
      </c>
      <c r="U55" s="213">
        <f t="shared" si="1"/>
        <v>70.16</v>
      </c>
      <c r="X55" s="211">
        <v>50</v>
      </c>
      <c r="Z55">
        <v>45</v>
      </c>
    </row>
    <row r="56" spans="1:26" ht="15.75">
      <c r="A56" s="195" t="s">
        <v>354</v>
      </c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0</v>
      </c>
      <c r="R56" s="193"/>
      <c r="S56" s="206">
        <v>70.16</v>
      </c>
      <c r="T56" s="206">
        <v>0</v>
      </c>
      <c r="U56" s="213">
        <f t="shared" si="1"/>
        <v>70.16</v>
      </c>
      <c r="X56" s="211">
        <v>50</v>
      </c>
      <c r="Z56">
        <v>45</v>
      </c>
    </row>
    <row r="57" spans="1:26" ht="15.75">
      <c r="A57" s="195" t="s">
        <v>355</v>
      </c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0</v>
      </c>
      <c r="R57" s="193"/>
      <c r="S57" s="206">
        <v>70.16</v>
      </c>
      <c r="T57" s="206">
        <v>0</v>
      </c>
      <c r="U57" s="213">
        <f t="shared" si="1"/>
        <v>70.16</v>
      </c>
      <c r="X57" s="211">
        <v>50</v>
      </c>
      <c r="Z57">
        <v>45</v>
      </c>
    </row>
    <row r="58" spans="1:26" ht="15.75">
      <c r="A58" s="195" t="s">
        <v>356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70.16</v>
      </c>
      <c r="T67" s="206">
        <v>0</v>
      </c>
      <c r="U67" s="213">
        <f t="shared" si="1"/>
        <v>70.16</v>
      </c>
      <c r="X67" s="211">
        <v>50</v>
      </c>
      <c r="Z67">
        <v>45</v>
      </c>
    </row>
    <row r="68" spans="1:26" ht="15.75">
      <c r="A68" s="195" t="s">
        <v>366</v>
      </c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70.16</v>
      </c>
      <c r="T68" s="206">
        <v>0</v>
      </c>
      <c r="U68" s="213">
        <f t="shared" ref="U68:U98" si="3">SUM(Q68:T68)</f>
        <v>70.16</v>
      </c>
      <c r="X68" s="211">
        <v>50</v>
      </c>
      <c r="Z68">
        <v>45</v>
      </c>
    </row>
    <row r="69" spans="1:26" ht="15.75">
      <c r="A69" s="195" t="s">
        <v>367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70.16</v>
      </c>
      <c r="T69" s="206">
        <v>0</v>
      </c>
      <c r="U69" s="213">
        <f t="shared" si="3"/>
        <v>70.16</v>
      </c>
      <c r="X69" s="211">
        <v>50</v>
      </c>
      <c r="Z69">
        <v>45</v>
      </c>
    </row>
    <row r="70" spans="1:26" ht="15.75">
      <c r="A70" s="195" t="s">
        <v>368</v>
      </c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70.16</v>
      </c>
      <c r="T70" s="206">
        <v>0</v>
      </c>
      <c r="U70" s="213">
        <f t="shared" si="3"/>
        <v>70.16</v>
      </c>
      <c r="X70" s="211">
        <v>50</v>
      </c>
      <c r="Z70">
        <v>45</v>
      </c>
    </row>
    <row r="71" spans="1:26" ht="15.75">
      <c r="A71" s="195" t="s">
        <v>369</v>
      </c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70.16</v>
      </c>
      <c r="T71" s="206">
        <v>0</v>
      </c>
      <c r="U71" s="213">
        <f t="shared" si="3"/>
        <v>70.16</v>
      </c>
      <c r="X71" s="211">
        <v>50</v>
      </c>
      <c r="Z71">
        <v>45</v>
      </c>
    </row>
    <row r="72" spans="1:26" ht="15.75">
      <c r="A72" s="195" t="s">
        <v>370</v>
      </c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70.16</v>
      </c>
      <c r="T72" s="206">
        <v>0</v>
      </c>
      <c r="U72" s="213">
        <f t="shared" si="3"/>
        <v>70.16</v>
      </c>
      <c r="X72" s="211">
        <v>50</v>
      </c>
      <c r="Z72">
        <v>45</v>
      </c>
    </row>
    <row r="73" spans="1:26" ht="15.75">
      <c r="A73" s="195" t="s">
        <v>371</v>
      </c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70.16</v>
      </c>
      <c r="T73" s="206">
        <v>0</v>
      </c>
      <c r="U73" s="213">
        <f t="shared" si="3"/>
        <v>70.16</v>
      </c>
      <c r="X73" s="211">
        <v>50</v>
      </c>
      <c r="Z73">
        <v>45</v>
      </c>
    </row>
    <row r="74" spans="1:26" ht="15.75">
      <c r="A74" s="195" t="s">
        <v>372</v>
      </c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70.16</v>
      </c>
      <c r="T74" s="206">
        <v>0</v>
      </c>
      <c r="U74" s="213">
        <f t="shared" si="3"/>
        <v>70.16</v>
      </c>
      <c r="X74" s="211">
        <v>50</v>
      </c>
      <c r="Z74">
        <v>45</v>
      </c>
    </row>
    <row r="75" spans="1:26" ht="15.75">
      <c r="A75" s="195" t="s">
        <v>373</v>
      </c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70.16</v>
      </c>
      <c r="T75" s="206">
        <v>0</v>
      </c>
      <c r="U75" s="213">
        <f t="shared" si="3"/>
        <v>70.16</v>
      </c>
      <c r="X75" s="211">
        <v>50</v>
      </c>
      <c r="Z75">
        <v>45</v>
      </c>
    </row>
    <row r="76" spans="1:26" ht="15.75">
      <c r="A76" s="195" t="s">
        <v>374</v>
      </c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70.16</v>
      </c>
      <c r="T76" s="206">
        <v>0</v>
      </c>
      <c r="U76" s="213">
        <f t="shared" si="3"/>
        <v>70.16</v>
      </c>
      <c r="X76" s="211">
        <v>50</v>
      </c>
      <c r="Z76">
        <v>45</v>
      </c>
    </row>
    <row r="77" spans="1:26" ht="15.75">
      <c r="A77" s="195" t="s">
        <v>375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206">
        <v>70.16</v>
      </c>
      <c r="T77" s="206">
        <v>-140</v>
      </c>
      <c r="U77" s="213">
        <f t="shared" si="3"/>
        <v>-69.84</v>
      </c>
      <c r="X77" s="211">
        <v>50</v>
      </c>
      <c r="Z77">
        <v>45</v>
      </c>
    </row>
    <row r="78" spans="1:26" ht="15.75">
      <c r="A78" s="195" t="s">
        <v>376</v>
      </c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206">
        <v>70.16</v>
      </c>
      <c r="T78" s="206">
        <v>-140</v>
      </c>
      <c r="U78" s="213">
        <f t="shared" si="3"/>
        <v>-69.84</v>
      </c>
      <c r="X78" s="211">
        <v>50</v>
      </c>
      <c r="Z78">
        <v>45</v>
      </c>
    </row>
    <row r="79" spans="1:26" ht="15.75">
      <c r="A79" s="195" t="s">
        <v>377</v>
      </c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206">
        <v>70.16</v>
      </c>
      <c r="T79" s="206">
        <v>-140</v>
      </c>
      <c r="U79" s="213">
        <f t="shared" si="3"/>
        <v>-69.84</v>
      </c>
      <c r="X79" s="211">
        <v>50</v>
      </c>
      <c r="Z79">
        <v>45</v>
      </c>
    </row>
    <row r="80" spans="1:26" ht="15.75">
      <c r="A80" s="195" t="s">
        <v>378</v>
      </c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206">
        <v>70.16</v>
      </c>
      <c r="T80" s="206">
        <v>-140</v>
      </c>
      <c r="U80" s="213">
        <f t="shared" si="3"/>
        <v>-69.84</v>
      </c>
      <c r="X80" s="211">
        <v>50</v>
      </c>
      <c r="Z80">
        <v>45</v>
      </c>
    </row>
    <row r="81" spans="1:26" ht="15.75">
      <c r="A81" s="195" t="s">
        <v>379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0</v>
      </c>
      <c r="R81" s="193"/>
      <c r="S81" s="206">
        <v>70.16</v>
      </c>
      <c r="T81" s="206">
        <v>-140</v>
      </c>
      <c r="U81" s="213">
        <f>SUM(Q81:T81)</f>
        <v>-69.84</v>
      </c>
      <c r="X81" s="211">
        <v>50</v>
      </c>
      <c r="Z81">
        <v>45</v>
      </c>
    </row>
    <row r="82" spans="1:26" ht="15.75">
      <c r="A82" s="195" t="s">
        <v>380</v>
      </c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0</v>
      </c>
      <c r="R82" s="193"/>
      <c r="S82" s="206">
        <v>70.16</v>
      </c>
      <c r="T82" s="206">
        <v>-140</v>
      </c>
      <c r="U82" s="213">
        <f t="shared" si="3"/>
        <v>-69.84</v>
      </c>
      <c r="X82" s="211">
        <v>50</v>
      </c>
      <c r="Z82">
        <v>45</v>
      </c>
    </row>
    <row r="83" spans="1:26" ht="15.75">
      <c r="A83" s="195" t="s">
        <v>381</v>
      </c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0</v>
      </c>
      <c r="R83" s="193"/>
      <c r="S83" s="206">
        <v>70.16</v>
      </c>
      <c r="T83" s="206">
        <v>-140</v>
      </c>
      <c r="U83" s="213">
        <f t="shared" si="3"/>
        <v>-69.84</v>
      </c>
      <c r="X83" s="211">
        <v>0</v>
      </c>
    </row>
    <row r="84" spans="1:26" ht="15.75">
      <c r="A84" s="195" t="s">
        <v>382</v>
      </c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0</v>
      </c>
      <c r="R84" s="193"/>
      <c r="S84" s="206">
        <v>70.16</v>
      </c>
      <c r="T84" s="206">
        <v>-140</v>
      </c>
      <c r="U84" s="213">
        <f t="shared" si="3"/>
        <v>-69.84</v>
      </c>
      <c r="X84" s="211">
        <v>0</v>
      </c>
    </row>
    <row r="85" spans="1:26" ht="15.75">
      <c r="A85" s="195" t="s">
        <v>383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0</v>
      </c>
      <c r="R85" s="193"/>
      <c r="S85" s="206">
        <v>70.16</v>
      </c>
      <c r="T85" s="206">
        <v>-140</v>
      </c>
      <c r="U85" s="213">
        <f t="shared" si="3"/>
        <v>-69.84</v>
      </c>
      <c r="X85" s="211">
        <v>0</v>
      </c>
    </row>
    <row r="86" spans="1:26" ht="15.75">
      <c r="A86" s="195" t="s">
        <v>384</v>
      </c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0</v>
      </c>
      <c r="R86" s="193"/>
      <c r="S86" s="206">
        <v>70.16</v>
      </c>
      <c r="T86" s="206">
        <v>-140</v>
      </c>
      <c r="U86" s="213">
        <f t="shared" si="3"/>
        <v>-69.84</v>
      </c>
      <c r="X86" s="211">
        <v>0</v>
      </c>
    </row>
    <row r="87" spans="1:26" ht="15.75">
      <c r="A87" s="195" t="s">
        <v>385</v>
      </c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0</v>
      </c>
      <c r="R87" s="193"/>
      <c r="S87" s="206">
        <v>70.16</v>
      </c>
      <c r="T87" s="206">
        <v>-140</v>
      </c>
      <c r="U87" s="213">
        <f t="shared" si="3"/>
        <v>-69.84</v>
      </c>
      <c r="X87" s="211">
        <v>0</v>
      </c>
    </row>
    <row r="88" spans="1:26" ht="15.75">
      <c r="A88" s="195" t="s">
        <v>386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0</v>
      </c>
      <c r="R88" s="193"/>
      <c r="S88" s="206">
        <v>70.16</v>
      </c>
      <c r="T88" s="206">
        <v>-140</v>
      </c>
      <c r="U88" s="213">
        <f t="shared" si="3"/>
        <v>-69.84</v>
      </c>
      <c r="X88" s="211">
        <v>0</v>
      </c>
    </row>
    <row r="89" spans="1:26" ht="15.75">
      <c r="A89" s="195" t="s">
        <v>387</v>
      </c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0</v>
      </c>
      <c r="R89" s="193"/>
      <c r="S89" s="206">
        <v>70.16</v>
      </c>
      <c r="T89" s="206">
        <v>-140</v>
      </c>
      <c r="U89" s="213">
        <f t="shared" si="3"/>
        <v>-69.84</v>
      </c>
      <c r="X89" s="211">
        <v>0</v>
      </c>
    </row>
    <row r="90" spans="1:26" ht="15.75">
      <c r="A90" s="195" t="s">
        <v>388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0</v>
      </c>
      <c r="R90" s="193"/>
      <c r="S90" s="206">
        <v>70.16</v>
      </c>
      <c r="T90" s="206">
        <v>-140</v>
      </c>
      <c r="U90" s="213">
        <f t="shared" si="3"/>
        <v>-69.84</v>
      </c>
      <c r="X90" s="211">
        <v>0</v>
      </c>
    </row>
    <row r="91" spans="1:26" ht="15.75">
      <c r="A91" s="195" t="s">
        <v>389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0</v>
      </c>
      <c r="R91" s="193"/>
      <c r="S91" s="206">
        <v>70.16</v>
      </c>
      <c r="T91" s="206">
        <v>-140</v>
      </c>
      <c r="U91" s="213">
        <f t="shared" si="3"/>
        <v>-69.84</v>
      </c>
      <c r="X91" s="211">
        <v>0</v>
      </c>
    </row>
    <row r="92" spans="1:26" ht="15.75">
      <c r="A92" s="195" t="s">
        <v>390</v>
      </c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0</v>
      </c>
      <c r="R92" s="193"/>
      <c r="S92" s="206">
        <v>70.16</v>
      </c>
      <c r="T92" s="206">
        <v>-140</v>
      </c>
      <c r="U92" s="213">
        <f t="shared" si="3"/>
        <v>-69.84</v>
      </c>
      <c r="X92" s="211">
        <v>0</v>
      </c>
    </row>
    <row r="93" spans="1:26" ht="15.75">
      <c r="A93" s="195" t="s">
        <v>391</v>
      </c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0</v>
      </c>
      <c r="R93" s="193"/>
      <c r="S93" s="206">
        <v>70.16</v>
      </c>
      <c r="T93" s="206">
        <v>-140</v>
      </c>
      <c r="U93" s="213">
        <f t="shared" si="3"/>
        <v>-69.84</v>
      </c>
      <c r="X93" s="211">
        <v>0</v>
      </c>
    </row>
    <row r="94" spans="1:26" ht="15.75">
      <c r="A94" s="195" t="s">
        <v>392</v>
      </c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0</v>
      </c>
      <c r="R94" s="193"/>
      <c r="S94" s="206">
        <v>70.16</v>
      </c>
      <c r="T94" s="206">
        <v>-140</v>
      </c>
      <c r="U94" s="213">
        <f t="shared" si="3"/>
        <v>-69.84</v>
      </c>
      <c r="X94" s="211">
        <v>0</v>
      </c>
    </row>
    <row r="95" spans="1:26" ht="15.75">
      <c r="A95" s="195" t="s">
        <v>393</v>
      </c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0</v>
      </c>
      <c r="R95" s="193"/>
      <c r="S95" s="206">
        <v>70.16</v>
      </c>
      <c r="T95" s="206">
        <v>-140</v>
      </c>
      <c r="U95" s="213">
        <f t="shared" si="3"/>
        <v>-69.84</v>
      </c>
      <c r="X95" s="211">
        <v>0</v>
      </c>
    </row>
    <row r="96" spans="1:26" ht="15.75">
      <c r="A96" s="195" t="s">
        <v>394</v>
      </c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0</v>
      </c>
      <c r="R96" s="193"/>
      <c r="S96" s="206">
        <v>70.16</v>
      </c>
      <c r="T96" s="206">
        <v>-139.99</v>
      </c>
      <c r="U96" s="213">
        <f t="shared" si="3"/>
        <v>-69.830000000000013</v>
      </c>
      <c r="X96" s="211">
        <v>0</v>
      </c>
    </row>
    <row r="97" spans="1:24" ht="15.75">
      <c r="A97" s="195" t="s">
        <v>395</v>
      </c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0</v>
      </c>
      <c r="R97" s="193"/>
      <c r="S97" s="206">
        <v>70.16</v>
      </c>
      <c r="T97" s="206">
        <v>-140</v>
      </c>
      <c r="U97" s="213">
        <f t="shared" si="3"/>
        <v>-69.84</v>
      </c>
      <c r="X97" s="211">
        <v>0</v>
      </c>
    </row>
    <row r="98" spans="1:24" ht="15.75">
      <c r="A98" s="195" t="s">
        <v>396</v>
      </c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0</v>
      </c>
      <c r="R98" s="193"/>
      <c r="S98" s="206">
        <v>70.16</v>
      </c>
      <c r="T98" s="206">
        <v>-140</v>
      </c>
      <c r="U98" s="213">
        <f t="shared" si="3"/>
        <v>-69.84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01</vt:lpstr>
      <vt:lpstr>02</vt:lpstr>
      <vt:lpstr>Sample</vt:lpstr>
      <vt:lpstr>Calc</vt:lpstr>
      <vt:lpstr>Sheet6</vt:lpstr>
      <vt:lpstr>Schedule@G4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2026-05-16T15:01:35Z</dcterms:modified>
</cp:coreProperties>
</file>