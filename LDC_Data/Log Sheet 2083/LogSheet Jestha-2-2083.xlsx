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8" i="75" l="1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I121" i="75" s="1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AO20" i="75" s="1"/>
  <c r="C96" i="75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BC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BD88" i="75"/>
  <c r="BC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BC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F113" i="75" s="1"/>
  <c r="F115" i="75" s="1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N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Q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Q16" i="75"/>
  <c r="AQ22" i="75" s="1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E5" i="75"/>
  <c r="B5" i="75"/>
  <c r="AG4" i="75"/>
  <c r="K4" i="75"/>
  <c r="E4" i="75"/>
  <c r="H4" i="75" s="1"/>
  <c r="B4" i="75"/>
  <c r="AL13" i="75" s="1"/>
  <c r="AG3" i="75"/>
  <c r="AG2" i="75"/>
  <c r="AG6" i="75" s="1"/>
  <c r="E123" i="75" l="1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AQ25" i="75"/>
  <c r="G116" i="75"/>
  <c r="G7" i="75" s="1"/>
  <c r="AE116" i="75"/>
  <c r="AE7" i="75" s="1"/>
  <c r="AH78" i="75"/>
  <c r="AI96" i="75"/>
  <c r="AM20" i="75"/>
  <c r="AH96" i="75"/>
  <c r="F116" i="75"/>
  <c r="F7" i="75" s="1"/>
  <c r="V123" i="75"/>
  <c r="BD23" i="75" s="1"/>
  <c r="F123" i="75"/>
  <c r="AQ23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F124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E124" i="75" l="1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<sst xmlns="http://schemas.openxmlformats.org/spreadsheetml/2006/main" count="1572" uniqueCount="416">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</sst>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1" sqref="AF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37" sqref="E13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574.40000000000009</v>
      </c>
      <c r="D7" s="35">
        <f t="shared" si="1"/>
        <v>665.10000000000014</v>
      </c>
      <c r="E7" s="35">
        <f t="shared" si="1"/>
        <v>464.5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2015.51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170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46.5</v>
      </c>
      <c r="AO20" s="57">
        <f t="shared" si="12"/>
        <v>46.5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1081.4000000000001</v>
      </c>
      <c r="AO22" s="60">
        <f t="shared" si="16"/>
        <v>1180.1000000000001</v>
      </c>
      <c r="AP22" s="60">
        <f t="shared" si="16"/>
        <v>996.5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574.40000000000009</v>
      </c>
      <c r="AO25" s="60">
        <f t="shared" si="19"/>
        <v>665.10000000000014</v>
      </c>
      <c r="AP25" s="60">
        <f t="shared" si="19"/>
        <v>464.5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144.80000000000001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0">SUM(B11:B69)</f>
        <v>1024.7000000000003</v>
      </c>
      <c r="C71" s="70">
        <f>SUM(C11:C69)</f>
        <v>170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170</v>
      </c>
      <c r="Y71" s="70">
        <f t="shared" si="21"/>
        <v>170</v>
      </c>
      <c r="Z71" s="70">
        <f t="shared" si="21"/>
        <v>170</v>
      </c>
      <c r="AA71" s="70">
        <f t="shared" si="21"/>
        <v>170</v>
      </c>
      <c r="AB71" s="70">
        <f>SUM(AB11:AB69)</f>
        <v>170</v>
      </c>
      <c r="AC71" s="70">
        <f t="shared" si="21"/>
        <v>170</v>
      </c>
      <c r="AD71" s="70">
        <f t="shared" si="21"/>
        <v>170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13.2</v>
      </c>
      <c r="AI76" s="47">
        <f t="shared" si="23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9.8000000000000007</v>
      </c>
      <c r="AI77" s="47">
        <f t="shared" si="23"/>
        <v>7.4</v>
      </c>
      <c r="AK77" s="49"/>
    </row>
    <row r="78" spans="1:88" ht="15.75" thickBot="1">
      <c r="A78" s="79" t="s">
        <v>97</v>
      </c>
      <c r="B78" s="70">
        <f t="shared" ref="B78:C78" si="24">SUM(B72:B77)</f>
        <v>525.5</v>
      </c>
      <c r="C78" s="70">
        <f t="shared" si="24"/>
        <v>454.5</v>
      </c>
      <c r="D78" s="70">
        <f t="shared" ref="D78:E78" si="25">SUM(D72:D77)</f>
        <v>565</v>
      </c>
      <c r="E78" s="70">
        <f t="shared" si="25"/>
        <v>406.49999999999994</v>
      </c>
      <c r="F78" s="70">
        <f t="shared" ref="D78:AG78" si="26">SUM(F72:F77)</f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2"/>
        <v>565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-507</v>
      </c>
      <c r="BA79" s="81">
        <f t="shared" ref="BA79:BD83" si="27">D97</f>
        <v>-515</v>
      </c>
      <c r="BB79" s="81">
        <f t="shared" si="27"/>
        <v>-532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35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70.099999999999994</v>
      </c>
      <c r="AI81" s="47">
        <f t="shared" si="23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7"/>
        <v>52.2</v>
      </c>
      <c r="BB81" s="81">
        <f t="shared" si="27"/>
        <v>60.5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60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16.100000000000001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14.3</v>
      </c>
      <c r="AI83" s="47">
        <f t="shared" si="23"/>
        <v>10.1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10.3</v>
      </c>
      <c r="AI85" s="47">
        <f t="shared" si="2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1">VALUE(AZ79)</f>
        <v>-507</v>
      </c>
      <c r="BA86" s="82">
        <f t="shared" si="31"/>
        <v>-515</v>
      </c>
      <c r="BB86" s="82">
        <f t="shared" si="31"/>
        <v>-532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9.4</v>
      </c>
      <c r="AI87" s="47">
        <f t="shared" si="23"/>
        <v>5.1100000000000003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10.7</v>
      </c>
      <c r="AI88" s="47">
        <f t="shared" si="23"/>
        <v>10.199999999999999</v>
      </c>
      <c r="AK88" s="49"/>
      <c r="AZ88" s="82">
        <f t="shared" si="31"/>
        <v>61</v>
      </c>
      <c r="BA88" s="82">
        <f t="shared" si="31"/>
        <v>52.2</v>
      </c>
      <c r="BB88" s="82">
        <f t="shared" si="31"/>
        <v>60.5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8.6999999999999993</v>
      </c>
      <c r="AI89" s="47">
        <f t="shared" si="23"/>
        <v>7.7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16.100000000000001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" si="32">SUM(B79:B91)</f>
        <v>315.31</v>
      </c>
      <c r="C92" s="70">
        <f t="shared" ref="B92:AG92" si="33">SUM(C79:C91)</f>
        <v>313.60000000000002</v>
      </c>
      <c r="D92" s="70">
        <f t="shared" si="33"/>
        <v>314.89999999999998</v>
      </c>
      <c r="E92" s="70">
        <f t="shared" si="33"/>
        <v>314.30000000000007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2"/>
        <v>315.31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14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7.5</v>
      </c>
      <c r="D95" s="77">
        <v>7.5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7.5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4">B93+B94+B95</f>
        <v>51</v>
      </c>
      <c r="C96" s="70">
        <f t="shared" ref="B96:AF96" si="35">C93+C94+C95</f>
        <v>46.5</v>
      </c>
      <c r="D96" s="70">
        <f t="shared" si="35"/>
        <v>46.5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51</v>
      </c>
      <c r="AI96" s="47">
        <f t="shared" si="2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-485</v>
      </c>
      <c r="AI97" s="47">
        <f t="shared" si="2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65.099999999999994</v>
      </c>
      <c r="AI99" s="47">
        <f t="shared" si="23"/>
        <v>52.2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16.100000000000001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35.799999999999997</v>
      </c>
      <c r="AI102" s="47">
        <f t="shared" si="23"/>
        <v>29.1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6">SUMIF(B97:B107,"&gt;0")</f>
        <v>99</v>
      </c>
      <c r="C108" s="70">
        <f t="shared" ref="B108:AF108" si="37">SUMIF(C97:C107,"&gt;0")</f>
        <v>96.8</v>
      </c>
      <c r="D108" s="70">
        <f t="shared" si="37"/>
        <v>83.7</v>
      </c>
      <c r="E108" s="70">
        <f t="shared" si="37"/>
        <v>105.69999999999999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105.69999999999999</v>
      </c>
      <c r="AI108" s="47">
        <f t="shared" si="23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8">B71+B78+B96+B92+B108+B112</f>
        <v>2015.5100000000002</v>
      </c>
      <c r="C113" s="108">
        <f t="shared" ref="B113:AG113" si="39">C71+C78+C96+C92+C108+C112</f>
        <v>1081.4000000000001</v>
      </c>
      <c r="D113" s="108">
        <f t="shared" si="39"/>
        <v>1180.1000000000001</v>
      </c>
      <c r="E113" s="108">
        <f t="shared" si="39"/>
        <v>996.5</v>
      </c>
      <c r="F113" s="108">
        <f t="shared" si="39"/>
        <v>172</v>
      </c>
      <c r="G113" s="108">
        <f t="shared" si="39"/>
        <v>172</v>
      </c>
      <c r="H113" s="108">
        <f t="shared" si="39"/>
        <v>172</v>
      </c>
      <c r="I113" s="108">
        <f t="shared" si="39"/>
        <v>172</v>
      </c>
      <c r="J113" s="108">
        <f t="shared" si="39"/>
        <v>172</v>
      </c>
      <c r="K113" s="108">
        <f t="shared" si="39"/>
        <v>172</v>
      </c>
      <c r="L113" s="108">
        <f t="shared" si="39"/>
        <v>172</v>
      </c>
      <c r="M113" s="108">
        <f t="shared" si="39"/>
        <v>172</v>
      </c>
      <c r="N113" s="108">
        <f t="shared" si="39"/>
        <v>172</v>
      </c>
      <c r="O113" s="108">
        <f t="shared" si="39"/>
        <v>172</v>
      </c>
      <c r="P113" s="108">
        <f t="shared" si="39"/>
        <v>172</v>
      </c>
      <c r="Q113" s="108">
        <f t="shared" si="39"/>
        <v>172</v>
      </c>
      <c r="R113" s="108">
        <f t="shared" si="39"/>
        <v>172</v>
      </c>
      <c r="S113" s="108">
        <f t="shared" si="39"/>
        <v>172</v>
      </c>
      <c r="T113" s="108">
        <f t="shared" si="39"/>
        <v>172</v>
      </c>
      <c r="U113" s="108">
        <f t="shared" si="39"/>
        <v>172</v>
      </c>
      <c r="V113" s="108">
        <f t="shared" si="39"/>
        <v>172</v>
      </c>
      <c r="W113" s="108">
        <f t="shared" si="39"/>
        <v>172</v>
      </c>
      <c r="X113" s="108">
        <f t="shared" si="39"/>
        <v>172</v>
      </c>
      <c r="Y113" s="108">
        <f t="shared" si="39"/>
        <v>172</v>
      </c>
      <c r="Z113" s="108">
        <f t="shared" si="39"/>
        <v>172</v>
      </c>
      <c r="AA113" s="108">
        <f t="shared" si="39"/>
        <v>172</v>
      </c>
      <c r="AB113" s="108">
        <f t="shared" si="39"/>
        <v>172</v>
      </c>
      <c r="AC113" s="108">
        <f t="shared" si="39"/>
        <v>172</v>
      </c>
      <c r="AD113" s="108">
        <f t="shared" si="39"/>
        <v>172</v>
      </c>
      <c r="AE113" s="108">
        <f t="shared" si="39"/>
        <v>172</v>
      </c>
      <c r="AF113" s="108">
        <f t="shared" si="39"/>
        <v>172</v>
      </c>
      <c r="AG113" s="80">
        <f t="shared" si="39"/>
        <v>3169.915</v>
      </c>
      <c r="AH113" s="46">
        <f t="shared" si="22"/>
        <v>2015.5100000000002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0">B113+B114</f>
        <v>2015.5100000000002</v>
      </c>
      <c r="C115" s="108">
        <f t="shared" ref="C115:AF115" si="41">C113+C114</f>
        <v>1081.4000000000001</v>
      </c>
      <c r="D115" s="108">
        <f t="shared" si="41"/>
        <v>1180.1000000000001</v>
      </c>
      <c r="E115" s="108">
        <f t="shared" si="41"/>
        <v>996.5</v>
      </c>
      <c r="F115" s="108">
        <f t="shared" si="41"/>
        <v>172</v>
      </c>
      <c r="G115" s="108">
        <f t="shared" si="41"/>
        <v>172</v>
      </c>
      <c r="H115" s="108">
        <f t="shared" si="41"/>
        <v>172</v>
      </c>
      <c r="I115" s="108">
        <f t="shared" si="41"/>
        <v>172</v>
      </c>
      <c r="J115" s="108">
        <f t="shared" si="41"/>
        <v>172</v>
      </c>
      <c r="K115" s="108">
        <f t="shared" si="41"/>
        <v>172</v>
      </c>
      <c r="L115" s="108">
        <f t="shared" si="41"/>
        <v>172</v>
      </c>
      <c r="M115" s="108">
        <f t="shared" si="41"/>
        <v>172</v>
      </c>
      <c r="N115" s="108">
        <f t="shared" si="41"/>
        <v>172</v>
      </c>
      <c r="O115" s="108">
        <f t="shared" si="41"/>
        <v>172</v>
      </c>
      <c r="P115" s="108">
        <f t="shared" si="41"/>
        <v>172</v>
      </c>
      <c r="Q115" s="108">
        <f t="shared" si="41"/>
        <v>172</v>
      </c>
      <c r="R115" s="108">
        <f t="shared" si="41"/>
        <v>172</v>
      </c>
      <c r="S115" s="108">
        <f t="shared" si="41"/>
        <v>172</v>
      </c>
      <c r="T115" s="108">
        <f t="shared" si="41"/>
        <v>172</v>
      </c>
      <c r="U115" s="108">
        <f t="shared" si="41"/>
        <v>172</v>
      </c>
      <c r="V115" s="108">
        <f t="shared" si="41"/>
        <v>172</v>
      </c>
      <c r="W115" s="108">
        <f t="shared" si="41"/>
        <v>172</v>
      </c>
      <c r="X115" s="108">
        <f t="shared" si="41"/>
        <v>172</v>
      </c>
      <c r="Y115" s="108">
        <f t="shared" si="41"/>
        <v>172</v>
      </c>
      <c r="Z115" s="108">
        <f t="shared" si="41"/>
        <v>172</v>
      </c>
      <c r="AA115" s="108">
        <f t="shared" si="41"/>
        <v>172</v>
      </c>
      <c r="AB115" s="108">
        <f t="shared" si="41"/>
        <v>172</v>
      </c>
      <c r="AC115" s="108">
        <f t="shared" si="41"/>
        <v>172</v>
      </c>
      <c r="AD115" s="108">
        <f t="shared" si="41"/>
        <v>172</v>
      </c>
      <c r="AE115" s="108">
        <f t="shared" si="41"/>
        <v>172</v>
      </c>
      <c r="AF115" s="108">
        <f t="shared" si="41"/>
        <v>172</v>
      </c>
      <c r="AG115" s="104">
        <f>AG112+AG108+AG96+AG92+AG71+AG114</f>
        <v>2463.5149999999999</v>
      </c>
      <c r="AH115" s="46">
        <f t="shared" si="22"/>
        <v>2015.5100000000002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2">B115-(B123)</f>
        <v>1530.5100000000002</v>
      </c>
      <c r="C116" s="108">
        <f t="shared" ref="C116:AF116" si="43">C115-(C123)</f>
        <v>574.40000000000009</v>
      </c>
      <c r="D116" s="108">
        <f t="shared" si="43"/>
        <v>665.10000000000014</v>
      </c>
      <c r="E116" s="108">
        <f t="shared" si="43"/>
        <v>464.5</v>
      </c>
      <c r="F116" s="108">
        <f t="shared" si="43"/>
        <v>172</v>
      </c>
      <c r="G116" s="108">
        <f t="shared" si="43"/>
        <v>172</v>
      </c>
      <c r="H116" s="108">
        <f t="shared" si="43"/>
        <v>172</v>
      </c>
      <c r="I116" s="108">
        <f t="shared" si="43"/>
        <v>172</v>
      </c>
      <c r="J116" s="108">
        <f t="shared" si="43"/>
        <v>172</v>
      </c>
      <c r="K116" s="108">
        <f t="shared" si="43"/>
        <v>172</v>
      </c>
      <c r="L116" s="108">
        <f t="shared" si="43"/>
        <v>172</v>
      </c>
      <c r="M116" s="108">
        <f t="shared" si="43"/>
        <v>172</v>
      </c>
      <c r="N116" s="108">
        <f t="shared" si="43"/>
        <v>172</v>
      </c>
      <c r="O116" s="108">
        <f t="shared" si="43"/>
        <v>172</v>
      </c>
      <c r="P116" s="108">
        <f t="shared" si="43"/>
        <v>172</v>
      </c>
      <c r="Q116" s="108">
        <f t="shared" si="43"/>
        <v>172</v>
      </c>
      <c r="R116" s="108">
        <f t="shared" si="43"/>
        <v>172</v>
      </c>
      <c r="S116" s="108">
        <f t="shared" si="43"/>
        <v>172</v>
      </c>
      <c r="T116" s="108">
        <f t="shared" si="43"/>
        <v>172</v>
      </c>
      <c r="U116" s="108">
        <f t="shared" si="43"/>
        <v>172</v>
      </c>
      <c r="V116" s="108">
        <f t="shared" si="43"/>
        <v>172</v>
      </c>
      <c r="W116" s="108">
        <f t="shared" si="43"/>
        <v>172</v>
      </c>
      <c r="X116" s="108">
        <f t="shared" si="43"/>
        <v>172</v>
      </c>
      <c r="Y116" s="108">
        <f t="shared" si="43"/>
        <v>172</v>
      </c>
      <c r="Z116" s="108">
        <f t="shared" si="43"/>
        <v>172</v>
      </c>
      <c r="AA116" s="108">
        <f t="shared" si="43"/>
        <v>172</v>
      </c>
      <c r="AB116" s="108">
        <f t="shared" si="43"/>
        <v>172</v>
      </c>
      <c r="AC116" s="108">
        <f t="shared" si="43"/>
        <v>172</v>
      </c>
      <c r="AD116" s="108">
        <f t="shared" si="43"/>
        <v>172</v>
      </c>
      <c r="AE116" s="108">
        <f t="shared" si="43"/>
        <v>172</v>
      </c>
      <c r="AF116" s="108">
        <f t="shared" si="43"/>
        <v>172</v>
      </c>
      <c r="AG116" s="104"/>
      <c r="AH116" s="46">
        <f t="shared" si="22"/>
        <v>1530.5100000000002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4">IF(B97&lt;0,B97*-1,0)</f>
        <v>485</v>
      </c>
      <c r="C117" s="93">
        <f t="shared" ref="B117:AF122" si="45">IF(C97&lt;0,C97*-1,0)</f>
        <v>507</v>
      </c>
      <c r="D117" s="93">
        <f t="shared" si="45"/>
        <v>515</v>
      </c>
      <c r="E117" s="93">
        <f t="shared" si="45"/>
        <v>532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2"/>
        <v>532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6">SUM(B117:B122)</f>
        <v>485</v>
      </c>
      <c r="C123" s="70">
        <f t="shared" ref="B123:AF123" si="47">SUM(C117:C122)</f>
        <v>507</v>
      </c>
      <c r="D123" s="70">
        <f t="shared" si="47"/>
        <v>515</v>
      </c>
      <c r="E123" s="70">
        <f t="shared" si="47"/>
        <v>532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2"/>
        <v>532</v>
      </c>
      <c r="AI123" s="47">
        <f t="shared" si="23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8">B108-B123</f>
        <v>-386</v>
      </c>
      <c r="C124" s="70">
        <f t="shared" ref="B124:AF124" si="49">C108-C123</f>
        <v>-410.2</v>
      </c>
      <c r="D124" s="70">
        <f t="shared" si="49"/>
        <v>-431.3</v>
      </c>
      <c r="E124" s="70">
        <f t="shared" si="49"/>
        <v>-426.3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2"/>
        <v>0</v>
      </c>
      <c r="AI124" s="47">
        <f t="shared" si="2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50.067999999999998</v>
      </c>
      <c r="AI126" s="47">
        <f t="shared" si="23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134.30000000000001</v>
      </c>
      <c r="AI127" s="47">
        <f t="shared" si="23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131.19999999999999</v>
      </c>
      <c r="AI128" s="47">
        <f t="shared" si="23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135.9</v>
      </c>
      <c r="AI130" s="47">
        <f t="shared" si="23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</v>
      </c>
      <c r="AI132" s="47">
        <f t="shared" si="2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67.2</v>
      </c>
      <c r="AI133" s="47">
        <f t="shared" si="23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1">SUM(C26,C32,C45:C46,C82,C84:C85,C87,C89,C137:C142,C177,C183,C189,C198,C200,C212,C219,C222:C223,C230,C232,C234,C238:C240,C242:C244,C249,C255:C256,C258:C260,C161,C166)</f>
        <v>82.339999999999975</v>
      </c>
      <c r="D135" s="114">
        <f t="shared" si="51"/>
        <v>86.44</v>
      </c>
      <c r="E135" s="114">
        <f t="shared" si="51"/>
        <v>85.939999999999969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2"/>
        <v>148.55000000000004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44</v>
      </c>
      <c r="AI137" s="47">
        <f t="shared" si="23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8.4</v>
      </c>
      <c r="AI138" s="47">
        <f t="shared" si="2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-1.3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-52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2"/>
      <c r="E144" s="132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-271.5</v>
      </c>
      <c r="AI146" s="47">
        <f t="shared" ref="AI146:AI158" si="55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72.599999999999994</v>
      </c>
      <c r="AI147" s="47">
        <f t="shared" si="55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5</v>
      </c>
      <c r="AI148" s="47">
        <f t="shared" si="55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229</v>
      </c>
      <c r="AI149" s="47">
        <f t="shared" si="55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22</v>
      </c>
      <c r="AI150" s="47">
        <f t="shared" si="55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8.4</v>
      </c>
      <c r="AI151" s="47">
        <f t="shared" si="55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3.33 Hrs)</v>
      </c>
      <c r="B153" s="144"/>
      <c r="C153" s="144"/>
      <c r="D153" s="144">
        <v>1984.8</v>
      </c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1984.8</v>
      </c>
      <c r="AI153" s="47">
        <f t="shared" si="55"/>
        <v>1984.8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F76:AF77 F82:G90 H84:J90 K85:AF90 C97:AF107 B9:AF10 C117:AF125 B113:B115 C109:AF115 B108:AF108 B117:B124 C152:AF152 C154:AF159 B153:AF153 C134:AF134 F126:AF133 F137:AF151 B93:AF96 B72:L72 B76:E90">
    <cfRule type="expression" dxfId="172" priority="106">
      <formula>B$9&gt;=20/24</formula>
    </cfRule>
  </conditionalFormatting>
  <conditionalFormatting sqref="B9:AF10 C11:AA13 AB12:AF13 F76:AF77 F82:G90 H84:J90 K85:AF90 C97:AF107 C117:AF125 B113:B115 C109:AF115 B108:AF108 B117:B124 C152:AF152 C154:AF159 B153:AF153 C134:AF134 F126:AF133 F137:AF151 B93:AF96 B72:L72 B76:E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69:AF69 F76:AF78 F79:AC90 B92:AE96 B76:E90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 C69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E133 C137:E151">
    <cfRule type="expression" dxfId="22" priority="20">
      <formula>B$9&gt;=20/24</formula>
    </cfRule>
  </conditionalFormatting>
  <conditionalFormatting sqref="B11:B13 B97:B107 B137:B152 B109:B112 B125:B134 B154:B159 C126:E133 C137:E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1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2026-05-16T21:25:08Z</dcterms:modified>
</cp:coreProperties>
</file>