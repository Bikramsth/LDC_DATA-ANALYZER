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Schedule dont delete  (3)" sheetId="82" r:id="rId11"/>
    <sheet name="Calc" sheetId="3" r:id="rId12"/>
    <sheet name="Schedule 2026.5.11 BG" sheetId="67" state="hidden" r:id="rId13"/>
    <sheet name="Schedule 2026.5.11" sheetId="64" state="hidden" r:id="rId14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3">#REF!</definedName>
    <definedName name="a" localSheetId="12">#REF!</definedName>
    <definedName name="a" localSheetId="8">#REF!</definedName>
    <definedName name="a" localSheetId="9">#REF!</definedName>
    <definedName name="a" localSheetId="10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3">#REF!</definedName>
    <definedName name="IPP" localSheetId="12">#REF!</definedName>
    <definedName name="IPP" localSheetId="8">#REF!</definedName>
    <definedName name="IPP" localSheetId="9">#REF!</definedName>
    <definedName name="IPP" localSheetId="10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3">#REF!</definedName>
    <definedName name="ippp" localSheetId="12">#REF!</definedName>
    <definedName name="ippp" localSheetId="8">#REF!</definedName>
    <definedName name="ippp" localSheetId="9">#REF!</definedName>
    <definedName name="ippp" localSheetId="10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3">#REF!</definedName>
    <definedName name="samolea" localSheetId="12">#REF!</definedName>
    <definedName name="samolea" localSheetId="8">#REF!</definedName>
    <definedName name="samolea" localSheetId="9">#REF!</definedName>
    <definedName name="samolea" localSheetId="10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3">#REF!</definedName>
    <definedName name="sampke1" localSheetId="12">#REF!</definedName>
    <definedName name="sampke1" localSheetId="8">#REF!</definedName>
    <definedName name="sampke1" localSheetId="9">#REF!</definedName>
    <definedName name="sampke1" localSheetId="10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3">#REF!</definedName>
    <definedName name="sample" localSheetId="12">#REF!</definedName>
    <definedName name="sample" localSheetId="8">#REF!</definedName>
    <definedName name="sample" localSheetId="9">#REF!</definedName>
    <definedName name="sample" localSheetId="10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3">#REF!</definedName>
    <definedName name="SAMPLE1" localSheetId="12">#REF!</definedName>
    <definedName name="SAMPLE1" localSheetId="8">#REF!</definedName>
    <definedName name="SAMPLE1" localSheetId="9">#REF!</definedName>
    <definedName name="SAMPLE1" localSheetId="10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3">#REF!</definedName>
    <definedName name="sdasdf" localSheetId="12">#REF!</definedName>
    <definedName name="sdasdf" localSheetId="8">#REF!</definedName>
    <definedName name="sdasdf" localSheetId="9">#REF!</definedName>
    <definedName name="sdasdf" localSheetId="10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70" i="81" l="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X98" i="82"/>
  <c r="T98" i="82"/>
  <c r="X97" i="82"/>
  <c r="T97" i="82"/>
  <c r="X96" i="82"/>
  <c r="T96" i="82"/>
  <c r="X95" i="82"/>
  <c r="T95" i="82"/>
  <c r="X94" i="82"/>
  <c r="T94" i="82"/>
  <c r="X93" i="82"/>
  <c r="T93" i="82"/>
  <c r="X92" i="82"/>
  <c r="T92" i="82"/>
  <c r="X91" i="82"/>
  <c r="T91" i="82"/>
  <c r="X90" i="82"/>
  <c r="T90" i="82"/>
  <c r="X89" i="82"/>
  <c r="T89" i="82"/>
  <c r="X88" i="82"/>
  <c r="T88" i="82"/>
  <c r="X87" i="82"/>
  <c r="T87" i="82"/>
  <c r="X86" i="82"/>
  <c r="T86" i="82"/>
  <c r="X85" i="82"/>
  <c r="T85" i="82"/>
  <c r="X84" i="82"/>
  <c r="T84" i="82"/>
  <c r="X83" i="82"/>
  <c r="T83" i="82"/>
  <c r="X82" i="82"/>
  <c r="T82" i="82"/>
  <c r="X81" i="82"/>
  <c r="T81" i="82"/>
  <c r="X80" i="82"/>
  <c r="T80" i="82"/>
  <c r="X79" i="82"/>
  <c r="T79" i="82"/>
  <c r="X78" i="82"/>
  <c r="T78" i="82"/>
  <c r="X77" i="82"/>
  <c r="T77" i="82"/>
  <c r="X76" i="82"/>
  <c r="T76" i="82"/>
  <c r="X75" i="82"/>
  <c r="T75" i="82"/>
  <c r="X74" i="82"/>
  <c r="T74" i="82"/>
  <c r="X73" i="82"/>
  <c r="T73" i="82"/>
  <c r="X72" i="82"/>
  <c r="T72" i="82"/>
  <c r="X71" i="82"/>
  <c r="T71" i="82"/>
  <c r="X70" i="82"/>
  <c r="T70" i="82"/>
  <c r="X69" i="82"/>
  <c r="T69" i="82"/>
  <c r="X68" i="82"/>
  <c r="T68" i="82"/>
  <c r="X67" i="82"/>
  <c r="T67" i="82"/>
  <c r="X66" i="82"/>
  <c r="T66" i="82"/>
  <c r="X65" i="82"/>
  <c r="T65" i="82"/>
  <c r="X64" i="82"/>
  <c r="T64" i="82"/>
  <c r="X63" i="82"/>
  <c r="T63" i="82"/>
  <c r="X62" i="82"/>
  <c r="T62" i="82"/>
  <c r="X61" i="82"/>
  <c r="T61" i="82"/>
  <c r="X60" i="82"/>
  <c r="T60" i="82"/>
  <c r="X59" i="82"/>
  <c r="T59" i="82"/>
  <c r="X58" i="82"/>
  <c r="T58" i="82"/>
  <c r="X57" i="82"/>
  <c r="T57" i="82"/>
  <c r="X56" i="82"/>
  <c r="T56" i="82"/>
  <c r="X55" i="82"/>
  <c r="T55" i="82"/>
  <c r="X54" i="82"/>
  <c r="T54" i="82"/>
  <c r="X53" i="82"/>
  <c r="T53" i="82"/>
  <c r="X52" i="82"/>
  <c r="T52" i="82"/>
  <c r="X51" i="82"/>
  <c r="T51" i="82"/>
  <c r="X50" i="82"/>
  <c r="T50" i="82"/>
  <c r="X49" i="82"/>
  <c r="T49" i="82"/>
  <c r="X48" i="82"/>
  <c r="T48" i="82"/>
  <c r="X47" i="82"/>
  <c r="T47" i="82"/>
  <c r="X46" i="82"/>
  <c r="T46" i="82"/>
  <c r="X45" i="82"/>
  <c r="T45" i="82"/>
  <c r="X44" i="82"/>
  <c r="T44" i="82"/>
  <c r="X43" i="82"/>
  <c r="T43" i="82"/>
  <c r="X42" i="82"/>
  <c r="T42" i="82"/>
  <c r="X41" i="82"/>
  <c r="T41" i="82"/>
  <c r="X40" i="82"/>
  <c r="T40" i="82"/>
  <c r="X39" i="82"/>
  <c r="T39" i="82"/>
  <c r="X38" i="82"/>
  <c r="T38" i="82"/>
  <c r="X37" i="82"/>
  <c r="T37" i="82"/>
  <c r="X36" i="82"/>
  <c r="T36" i="82"/>
  <c r="X35" i="82"/>
  <c r="T35" i="82"/>
  <c r="X34" i="82"/>
  <c r="T34" i="82"/>
  <c r="X33" i="82"/>
  <c r="T33" i="82"/>
  <c r="X32" i="82"/>
  <c r="T32" i="82"/>
  <c r="X31" i="82"/>
  <c r="T31" i="82"/>
  <c r="X30" i="82"/>
  <c r="T30" i="82"/>
  <c r="X29" i="82"/>
  <c r="T29" i="82"/>
  <c r="X28" i="82"/>
  <c r="T28" i="82"/>
  <c r="X27" i="82"/>
  <c r="T27" i="82"/>
  <c r="X26" i="82"/>
  <c r="T26" i="82"/>
  <c r="X25" i="82"/>
  <c r="T25" i="82"/>
  <c r="X24" i="82"/>
  <c r="T24" i="82"/>
  <c r="X23" i="82"/>
  <c r="T23" i="82"/>
  <c r="X22" i="82"/>
  <c r="T22" i="82"/>
  <c r="X21" i="82"/>
  <c r="T21" i="82"/>
  <c r="X20" i="82"/>
  <c r="T20" i="82"/>
  <c r="X19" i="82"/>
  <c r="T19" i="82"/>
  <c r="X18" i="82"/>
  <c r="T18" i="82"/>
  <c r="X17" i="82"/>
  <c r="T17" i="82"/>
  <c r="X16" i="82"/>
  <c r="T16" i="82"/>
  <c r="X15" i="82"/>
  <c r="T15" i="82"/>
  <c r="X14" i="82"/>
  <c r="T14" i="82"/>
  <c r="X13" i="82"/>
  <c r="T13" i="82"/>
  <c r="X12" i="82"/>
  <c r="T12" i="82"/>
  <c r="X11" i="82"/>
  <c r="T11" i="82"/>
  <c r="X10" i="82"/>
  <c r="T10" i="82"/>
  <c r="X9" i="82"/>
  <c r="T9" i="82"/>
  <c r="X8" i="82"/>
  <c r="T8" i="82"/>
  <c r="X7" i="82"/>
  <c r="T7" i="82"/>
  <c r="X6" i="82"/>
  <c r="T6" i="82"/>
  <c r="X5" i="82"/>
  <c r="T5" i="82"/>
  <c r="X4" i="82"/>
  <c r="T4" i="82"/>
  <c r="X3" i="82"/>
  <c r="T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AE113" i="81" l="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W124" i="81" l="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V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I22" i="81" l="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BJ25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24" i="81" l="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B7" i="81" l="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I134" i="81" l="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P274" i="81" l="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M123" i="79"/>
  <c r="M124" i="79" s="1"/>
  <c r="M113" i="79"/>
  <c r="M115" i="79" s="1"/>
  <c r="R274" i="81" l="1"/>
  <c r="M116" i="79"/>
  <c r="S274" i="81" l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U274" i="81" l="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<sst xmlns="http://schemas.openxmlformats.org/spreadsheetml/2006/main" count="3273" uniqueCount="431">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</sst>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477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76" priority="47">
      <formula>$AH11=0</formula>
    </cfRule>
  </conditionalFormatting>
  <conditionalFormatting sqref="A101:A102">
    <cfRule type="expression" dxfId="1475" priority="215">
      <formula>$AH106=0</formula>
    </cfRule>
  </conditionalFormatting>
  <conditionalFormatting sqref="A103:A107">
    <cfRule type="expression" dxfId="1474" priority="163">
      <formula>$AH102=0</formula>
    </cfRule>
  </conditionalFormatting>
  <conditionalFormatting sqref="A160:A167">
    <cfRule type="expression" dxfId="1473" priority="216">
      <formula>$AH267=0</formula>
    </cfRule>
  </conditionalFormatting>
  <conditionalFormatting sqref="A168:A275">
    <cfRule type="expression" dxfId="1472" priority="86">
      <formula>$AH168=0</formula>
    </cfRule>
  </conditionalFormatting>
  <conditionalFormatting sqref="B8">
    <cfRule type="expression" dxfId="1471" priority="211">
      <formula>AND(C$9&gt;=14/24,C$9&lt;20/24)</formula>
    </cfRule>
    <cfRule type="expression" dxfId="1470" priority="212">
      <formula>AND(C$9&gt;=8/24,C$9&lt;14/24)</formula>
    </cfRule>
    <cfRule type="expression" dxfId="1469" priority="213">
      <formula>C$9&lt;8/24</formula>
    </cfRule>
    <cfRule type="expression" dxfId="1468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467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466" priority="129">
      <formula>AND(B$9&gt;=14/24,B$9&lt;20/24)</formula>
    </cfRule>
    <cfRule type="expression" dxfId="1465" priority="130">
      <formula>AND(B$9&gt;=8/24,B$9&lt;14/24)</formula>
    </cfRule>
    <cfRule type="expression" dxfId="1464" priority="131">
      <formula>B$9&lt;8/24</formula>
    </cfRule>
  </conditionalFormatting>
  <conditionalFormatting sqref="B29:Y53">
    <cfRule type="expression" dxfId="1463" priority="71">
      <formula>B29&gt;$AG29*1</formula>
    </cfRule>
    <cfRule type="expression" dxfId="1462" priority="72">
      <formula>B$9&gt;=20/24</formula>
    </cfRule>
    <cfRule type="expression" dxfId="1461" priority="73">
      <formula>AND(B$9&gt;=14/24,B$9&lt;20/24)</formula>
    </cfRule>
    <cfRule type="expression" dxfId="1460" priority="74">
      <formula>AND(B$9&gt;=8/24,B$9&lt;14/24)</formula>
    </cfRule>
    <cfRule type="expression" dxfId="1459" priority="75">
      <formula>B$9&lt;8/24</formula>
    </cfRule>
  </conditionalFormatting>
  <conditionalFormatting sqref="B54:Y68">
    <cfRule type="expression" dxfId="1458" priority="64">
      <formula>B$9&lt;8/24</formula>
    </cfRule>
  </conditionalFormatting>
  <conditionalFormatting sqref="B54:Y70">
    <cfRule type="expression" dxfId="1457" priority="61">
      <formula>B$9&gt;=20/24</formula>
    </cfRule>
    <cfRule type="expression" dxfId="1456" priority="62">
      <formula>AND(B$9&gt;=14/24,B$9&lt;20/24)</formula>
    </cfRule>
    <cfRule type="expression" dxfId="1455" priority="63">
      <formula>AND(B$9&gt;=8/24,B$9&lt;14/24)</formula>
    </cfRule>
  </conditionalFormatting>
  <conditionalFormatting sqref="B63:Y65">
    <cfRule type="expression" dxfId="1454" priority="65">
      <formula>B63&gt;$AG63</formula>
    </cfRule>
  </conditionalFormatting>
  <conditionalFormatting sqref="B69:Y70">
    <cfRule type="expression" dxfId="1453" priority="136">
      <formula>B$9&lt;8/24</formula>
    </cfRule>
  </conditionalFormatting>
  <conditionalFormatting sqref="B72:AF75">
    <cfRule type="expression" dxfId="1452" priority="52">
      <formula>B72&gt;$AG72*1</formula>
    </cfRule>
  </conditionalFormatting>
  <conditionalFormatting sqref="B73:AF75">
    <cfRule type="expression" dxfId="1451" priority="53">
      <formula>B$9&gt;=20/24</formula>
    </cfRule>
    <cfRule type="expression" dxfId="1450" priority="54">
      <formula>AND(B$9&gt;=14/24,B$9&lt;20/24)</formula>
    </cfRule>
    <cfRule type="expression" dxfId="1449" priority="55">
      <formula>AND(B$9&gt;=8/24,B$9&lt;14/24)</formula>
    </cfRule>
    <cfRule type="expression" dxfId="1448" priority="56">
      <formula>B$9&lt;8/24</formula>
    </cfRule>
  </conditionalFormatting>
  <conditionalFormatting sqref="F161:AF167">
    <cfRule type="expression" dxfId="1447" priority="87">
      <formula>F$9&gt;=20/24</formula>
    </cfRule>
    <cfRule type="expression" dxfId="1446" priority="88">
      <formula>AND(F$9&gt;=14/24,F$9&lt;20/24)</formula>
    </cfRule>
    <cfRule type="expression" dxfId="1445" priority="89">
      <formula>AND(F$9&gt;=8/24,F$9&lt;14/24)</formula>
    </cfRule>
    <cfRule type="expression" dxfId="1444" priority="90">
      <formula>F$9&lt;8/24</formula>
    </cfRule>
  </conditionalFormatting>
  <conditionalFormatting sqref="F169:AF274">
    <cfRule type="expression" dxfId="1443" priority="48">
      <formula>F$9&gt;=20/24</formula>
    </cfRule>
    <cfRule type="expression" dxfId="1442" priority="49">
      <formula>AND(F$9&gt;=14/24,F$9&lt;20/24)</formula>
    </cfRule>
    <cfRule type="expression" dxfId="1441" priority="50">
      <formula>AND(F$9&gt;=8/24,F$9&lt;14/24)</formula>
    </cfRule>
    <cfRule type="expression" dxfId="1440" priority="51">
      <formula>F$9&lt;8/24</formula>
    </cfRule>
  </conditionalFormatting>
  <conditionalFormatting sqref="AF96:AG96 B71:AG71 Z78:AG78 X91:AF91 B76:W96 B69:Y69 X76:Y90 X92:AE96 Z76:AF77 Z79:AF90 AF92:AF95">
    <cfRule type="expression" dxfId="1439" priority="127">
      <formula>B69&gt;$AG69*1</formula>
    </cfRule>
  </conditionalFormatting>
  <conditionalFormatting sqref="F79:Y83">
    <cfRule type="expression" dxfId="1438" priority="137">
      <formula>F$9&gt;=20/24</formula>
    </cfRule>
    <cfRule type="expression" dxfId="1437" priority="138">
      <formula>AND(F$9&gt;=14/24,F$9&lt;20/24)</formula>
    </cfRule>
    <cfRule type="expression" dxfId="1436" priority="139">
      <formula>AND(F$9&gt;=8/24,F$9&lt;14/24)</formula>
    </cfRule>
    <cfRule type="expression" dxfId="1435" priority="140">
      <formula>F$9&lt;8/24</formula>
    </cfRule>
  </conditionalFormatting>
  <conditionalFormatting sqref="F84:Y84">
    <cfRule type="expression" dxfId="1434" priority="132">
      <formula>F$9&gt;=20/24</formula>
    </cfRule>
    <cfRule type="expression" dxfId="1433" priority="133">
      <formula>AND(F$9&gt;=14/24,F$9&lt;20/24)</formula>
    </cfRule>
    <cfRule type="expression" dxfId="1432" priority="134">
      <formula>AND(F$9&gt;=8/24,F$9&lt;14/24)</formula>
    </cfRule>
    <cfRule type="expression" dxfId="1431" priority="135">
      <formula>F$9&lt;8/24</formula>
    </cfRule>
  </conditionalFormatting>
  <conditionalFormatting sqref="F78:AF78 B72:AF72">
    <cfRule type="expression" dxfId="1430" priority="147">
      <formula>B$9&gt;=20/24</formula>
    </cfRule>
    <cfRule type="expression" dxfId="1429" priority="148">
      <formula>AND(B$9&gt;=14/24,B$9&lt;20/24)</formula>
    </cfRule>
    <cfRule type="expression" dxfId="1428" priority="149">
      <formula>AND(B$9&gt;=8/24,B$9&lt;14/24)</formula>
    </cfRule>
    <cfRule type="expression" dxfId="1427" priority="150">
      <formula>B$9&lt;8/24</formula>
    </cfRule>
  </conditionalFormatting>
  <conditionalFormatting sqref="F79:Y81">
    <cfRule type="expression" dxfId="1426" priority="155">
      <formula>F$9&gt;=20/24</formula>
    </cfRule>
    <cfRule type="expression" dxfId="1425" priority="156">
      <formula>AND(F$9&gt;=14/24,F$9&lt;20/24)</formula>
    </cfRule>
    <cfRule type="expression" dxfId="1424" priority="157">
      <formula>AND(F$9&gt;=8/24,F$9&lt;14/24)</formula>
    </cfRule>
    <cfRule type="expression" dxfId="1423" priority="158">
      <formula>F$9&lt;8/24</formula>
    </cfRule>
  </conditionalFormatting>
  <conditionalFormatting sqref="L84:AF84">
    <cfRule type="expression" dxfId="1422" priority="151">
      <formula>L$9&gt;=20/24</formula>
    </cfRule>
    <cfRule type="expression" dxfId="1421" priority="152">
      <formula>AND(L$9&gt;=14/24,L$9&lt;20/24)</formula>
    </cfRule>
    <cfRule type="expression" dxfId="1420" priority="153">
      <formula>AND(L$9&gt;=8/24,L$9&lt;14/24)</formula>
    </cfRule>
    <cfRule type="expression" dxfId="1419" priority="154">
      <formula>L$9&lt;8/24</formula>
    </cfRule>
  </conditionalFormatting>
  <conditionalFormatting sqref="M8 S8 AB8">
    <cfRule type="expression" dxfId="1418" priority="204">
      <formula>AND(N$9&gt;=14/24,N$9&lt;20/24)</formula>
    </cfRule>
    <cfRule type="expression" dxfId="1417" priority="205">
      <formula>AND(N$9&gt;=8/24,N$9&lt;14/24)</formula>
    </cfRule>
    <cfRule type="expression" dxfId="1416" priority="206">
      <formula>N$9&lt;8/24</formula>
    </cfRule>
  </conditionalFormatting>
  <conditionalFormatting sqref="T79:Y83 Z80:AF83">
    <cfRule type="expression" dxfId="1415" priority="159">
      <formula>T$9&gt;=20/24</formula>
    </cfRule>
    <cfRule type="expression" dxfId="1414" priority="160">
      <formula>AND(T$9&gt;=14/24,T$9&lt;20/24)</formula>
    </cfRule>
    <cfRule type="expression" dxfId="1413" priority="161">
      <formula>AND(T$9&gt;=8/24,T$9&lt;14/24)</formula>
    </cfRule>
    <cfRule type="expression" dxfId="1412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03">
      <formula>N$9&gt;=20/24</formula>
    </cfRule>
  </conditionalFormatting>
  <conditionalFormatting sqref="S8">
    <cfRule type="expression" dxfId="1410" priority="194">
      <formula>U$9&gt;=20/24</formula>
    </cfRule>
    <cfRule type="expression" dxfId="1409" priority="195">
      <formula>AND(U$9&gt;=14/24,U$9&lt;20/24)</formula>
    </cfRule>
    <cfRule type="expression" dxfId="1408" priority="196">
      <formula>AND(U$9&gt;=8/24,U$9&lt;14/24)</formula>
    </cfRule>
    <cfRule type="expression" dxfId="1407" priority="197">
      <formula>U$9&lt;8/24</formula>
    </cfRule>
  </conditionalFormatting>
  <conditionalFormatting sqref="T79:AF84">
    <cfRule type="expression" dxfId="1406" priority="81">
      <formula>T$9&gt;=20/24</formula>
    </cfRule>
    <cfRule type="expression" dxfId="1405" priority="82">
      <formula>AND(T$9&gt;=14/24,T$9&lt;20/24)</formula>
    </cfRule>
    <cfRule type="expression" dxfId="1404" priority="83">
      <formula>AND(T$9&gt;=8/24,T$9&lt;14/24)</formula>
    </cfRule>
    <cfRule type="expression" dxfId="1403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02" priority="141">
      <formula>B54&gt;$AG54</formula>
    </cfRule>
  </conditionalFormatting>
  <conditionalFormatting sqref="AB8">
    <cfRule type="expression" dxfId="1401" priority="190">
      <formula>AD$9&gt;=20/24</formula>
    </cfRule>
    <cfRule type="expression" dxfId="1400" priority="191">
      <formula>AND(AD$9&gt;=14/24,AD$9&lt;20/24)</formula>
    </cfRule>
    <cfRule type="expression" dxfId="1399" priority="192">
      <formula>AND(AD$9&gt;=8/24,AD$9&lt;14/24)</formula>
    </cfRule>
    <cfRule type="expression" dxfId="1398" priority="193">
      <formula>AD$9&lt;8/24</formula>
    </cfRule>
  </conditionalFormatting>
  <conditionalFormatting sqref="AG78">
    <cfRule type="expression" dxfId="1397" priority="169">
      <formula>AG$9&gt;=20/24</formula>
    </cfRule>
    <cfRule type="expression" dxfId="1396" priority="170">
      <formula>AND(AG$9&gt;=14/24,AG$9&lt;20/24)</formula>
    </cfRule>
    <cfRule type="expression" dxfId="1395" priority="171">
      <formula>AND(AG$9&gt;=8/24,AG$9&lt;14/24)</formula>
    </cfRule>
    <cfRule type="expression" dxfId="1394" priority="172">
      <formula>AG$9&lt;8/24</formula>
    </cfRule>
  </conditionalFormatting>
  <conditionalFormatting sqref="AG91:AG92">
    <cfRule type="expression" dxfId="1393" priority="164">
      <formula>AG91&gt;$AG91</formula>
    </cfRule>
  </conditionalFormatting>
  <conditionalFormatting sqref="AG96">
    <cfRule type="expression" dxfId="1392" priority="165">
      <formula>AG$9&gt;=20/24</formula>
    </cfRule>
    <cfRule type="expression" dxfId="1391" priority="166">
      <formula>AND(AG$9&gt;=14/24,AG$9&lt;20/24)</formula>
    </cfRule>
    <cfRule type="expression" dxfId="1390" priority="167">
      <formula>AND(AG$9&gt;=8/24,AG$9&lt;14/24)</formula>
    </cfRule>
    <cfRule type="expression" dxfId="1389" priority="168">
      <formula>AG$9&lt;8/24</formula>
    </cfRule>
  </conditionalFormatting>
  <conditionalFormatting sqref="AG113">
    <cfRule type="expression" dxfId="1388" priority="186">
      <formula>AG$9&gt;=20/24</formula>
    </cfRule>
    <cfRule type="expression" dxfId="1387" priority="187">
      <formula>AND(AG$9&gt;=14/24,AG$9&lt;20/24)</formula>
    </cfRule>
    <cfRule type="expression" dxfId="1386" priority="188">
      <formula>AND(AG$9&gt;=8/24,AG$9&lt;14/24)</formula>
    </cfRule>
    <cfRule type="expression" dxfId="1385" priority="189">
      <formula>AG$9&lt;8/24</formula>
    </cfRule>
  </conditionalFormatting>
  <conditionalFormatting sqref="AH8:AI10">
    <cfRule type="expression" dxfId="1384" priority="77">
      <formula>AH$9&gt;=20/24</formula>
    </cfRule>
    <cfRule type="expression" dxfId="1383" priority="78">
      <formula>AND(AH$9&gt;=14/24,AH$9&lt;20/24)</formula>
    </cfRule>
    <cfRule type="expression" dxfId="1382" priority="79">
      <formula>AND(AH$9&gt;=8/24,AH$9&lt;14/24)</formula>
    </cfRule>
    <cfRule type="expression" dxfId="1381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80" priority="207">
      <formula>AJ$9&gt;=20/24</formula>
    </cfRule>
    <cfRule type="expression" dxfId="1379" priority="208">
      <formula>AND(AJ$9&gt;=14/24,AJ$9&lt;20/24)</formula>
    </cfRule>
    <cfRule type="expression" dxfId="1378" priority="209">
      <formula>AND(AJ$9&gt;=8/24,AJ$9&lt;14/24)</formula>
    </cfRule>
    <cfRule type="expression" dxfId="1377" priority="210">
      <formula>AJ$9&lt;8/24</formula>
    </cfRule>
  </conditionalFormatting>
  <conditionalFormatting sqref="AL99:AN99 AL105:AN105">
    <cfRule type="expression" dxfId="1376" priority="179">
      <formula>AL$9&gt;=20/24</formula>
    </cfRule>
    <cfRule type="expression" dxfId="1375" priority="180">
      <formula>AND(AL$9&gt;=14/24,AL$9&lt;20/24)</formula>
    </cfRule>
    <cfRule type="expression" dxfId="1374" priority="181">
      <formula>AND(AL$9&gt;=8/24,AL$9&lt;14/24)</formula>
    </cfRule>
    <cfRule type="expression" dxfId="1373" priority="182">
      <formula>AL$9&lt;8/24</formula>
    </cfRule>
  </conditionalFormatting>
  <conditionalFormatting sqref="AM15:AM21 AN16:AR21">
    <cfRule type="expression" dxfId="1372" priority="103">
      <formula>AX$9&gt;=20/24</formula>
    </cfRule>
    <cfRule type="expression" dxfId="1371" priority="104">
      <formula>AND(AX$9&gt;=14/24,AX$9&lt;20/24)</formula>
    </cfRule>
    <cfRule type="expression" dxfId="1370" priority="105">
      <formula>AND(AX$9&gt;=8/24,AX$9&lt;14/24)</formula>
    </cfRule>
    <cfRule type="expression" dxfId="1369" priority="106">
      <formula>AX$9&lt;8/24</formula>
    </cfRule>
  </conditionalFormatting>
  <conditionalFormatting sqref="AN100:AN103">
    <cfRule type="expression" dxfId="1368" priority="175">
      <formula>AN$9&gt;=20/24</formula>
    </cfRule>
    <cfRule type="expression" dxfId="1367" priority="176">
      <formula>AND(AN$9&gt;=14/24,AN$9&lt;20/24)</formula>
    </cfRule>
    <cfRule type="expression" dxfId="1366" priority="177">
      <formula>AND(AN$9&gt;=8/24,AN$9&lt;14/24)</formula>
    </cfRule>
    <cfRule type="expression" dxfId="1365" priority="178">
      <formula>AN$9&lt;8/24</formula>
    </cfRule>
  </conditionalFormatting>
  <conditionalFormatting sqref="AN15:AR15">
    <cfRule type="expression" dxfId="1364" priority="91">
      <formula>U$9&gt;=20/24</formula>
    </cfRule>
    <cfRule type="expression" dxfId="1363" priority="92">
      <formula>AND(U$9&gt;=14/24,U$9&lt;20/24)</formula>
    </cfRule>
    <cfRule type="expression" dxfId="1362" priority="93">
      <formula>AND(U$9&gt;=8/24,U$9&lt;14/24)</formula>
    </cfRule>
    <cfRule type="expression" dxfId="1361" priority="94">
      <formula>U$9&lt;8/24</formula>
    </cfRule>
  </conditionalFormatting>
  <conditionalFormatting sqref="AS15">
    <cfRule type="expression" dxfId="1360" priority="99">
      <formula>AA$9&gt;=20/24</formula>
    </cfRule>
    <cfRule type="expression" dxfId="1359" priority="100">
      <formula>AND(AA$9&gt;=14/24,AA$9&lt;20/24)</formula>
    </cfRule>
    <cfRule type="expression" dxfId="1358" priority="101">
      <formula>AND(AA$9&gt;=8/24,AA$9&lt;14/24)</formula>
    </cfRule>
    <cfRule type="expression" dxfId="1357" priority="102">
      <formula>AA$9&lt;8/24</formula>
    </cfRule>
  </conditionalFormatting>
  <conditionalFormatting sqref="AS16:AS21">
    <cfRule type="expression" dxfId="1356" priority="107">
      <formula>BE$9&gt;=20/24</formula>
    </cfRule>
    <cfRule type="expression" dxfId="1355" priority="108">
      <formula>AND(BE$9&gt;=14/24,BE$9&lt;20/24)</formula>
    </cfRule>
    <cfRule type="expression" dxfId="1354" priority="109">
      <formula>AND(BE$9&gt;=8/24,BE$9&lt;14/24)</formula>
    </cfRule>
    <cfRule type="expression" dxfId="1353" priority="110">
      <formula>BE$9&lt;8/24</formula>
    </cfRule>
  </conditionalFormatting>
  <conditionalFormatting sqref="AT15 AX15:BJ15">
    <cfRule type="expression" dxfId="1352" priority="111">
      <formula>AC$9&gt;=20/24</formula>
    </cfRule>
    <cfRule type="expression" dxfId="1351" priority="112">
      <formula>AND(AC$9&gt;=14/24,AC$9&lt;20/24)</formula>
    </cfRule>
    <cfRule type="expression" dxfId="1350" priority="113">
      <formula>AND(AC$9&gt;=8/24,AC$9&lt;14/24)</formula>
    </cfRule>
    <cfRule type="expression" dxfId="1349" priority="114">
      <formula>AC$9&lt;8/24</formula>
    </cfRule>
  </conditionalFormatting>
  <conditionalFormatting sqref="AT16:AT21">
    <cfRule type="expression" dxfId="1348" priority="115">
      <formula>BG$9&gt;=20/24</formula>
    </cfRule>
    <cfRule type="expression" dxfId="1347" priority="116">
      <formula>AND(BG$9&gt;=14/24,BG$9&lt;20/24)</formula>
    </cfRule>
    <cfRule type="expression" dxfId="1346" priority="117">
      <formula>AND(BG$9&gt;=8/24,BG$9&lt;14/24)</formula>
    </cfRule>
    <cfRule type="expression" dxfId="1345" priority="118">
      <formula>BG$9&lt;8/24</formula>
    </cfRule>
  </conditionalFormatting>
  <conditionalFormatting sqref="AU15:AV15">
    <cfRule type="expression" dxfId="1344" priority="119">
      <formula>AE$9&gt;=20/24</formula>
    </cfRule>
    <cfRule type="expression" dxfId="1343" priority="120">
      <formula>AND(AE$9&gt;=14/24,AE$9&lt;20/24)</formula>
    </cfRule>
    <cfRule type="expression" dxfId="1342" priority="121">
      <formula>AND(AE$9&gt;=8/24,AE$9&lt;14/24)</formula>
    </cfRule>
    <cfRule type="expression" dxfId="1341" priority="122">
      <formula>AE$9&lt;8/24</formula>
    </cfRule>
  </conditionalFormatting>
  <conditionalFormatting sqref="AU16:BJ21">
    <cfRule type="expression" dxfId="1340" priority="123">
      <formula>BI$9&gt;=20/24</formula>
    </cfRule>
    <cfRule type="expression" dxfId="1339" priority="124">
      <formula>AND(BI$9&gt;=14/24,BI$9&lt;20/24)</formula>
    </cfRule>
    <cfRule type="expression" dxfId="1338" priority="125">
      <formula>AND(BI$9&gt;=8/24,BI$9&lt;14/24)</formula>
    </cfRule>
    <cfRule type="expression" dxfId="1337" priority="126">
      <formula>BI$9&lt;8/24</formula>
    </cfRule>
  </conditionalFormatting>
  <conditionalFormatting sqref="AW15">
    <cfRule type="expression" dxfId="1336" priority="95">
      <formula>B$9&gt;=20/24</formula>
    </cfRule>
    <cfRule type="expression" dxfId="1335" priority="96">
      <formula>AND(B$9&gt;=14/24,B$9&lt;20/24)</formula>
    </cfRule>
    <cfRule type="expression" dxfId="1334" priority="97">
      <formula>AND(B$9&gt;=8/24,B$9&lt;14/24)</formula>
    </cfRule>
    <cfRule type="expression" dxfId="1333" priority="98">
      <formula>B$9&lt;8/24</formula>
    </cfRule>
  </conditionalFormatting>
  <conditionalFormatting sqref="A73">
    <cfRule type="expression" dxfId="1332" priority="46">
      <formula>$AH73=0</formula>
    </cfRule>
  </conditionalFormatting>
  <conditionalFormatting sqref="B97:E107 B137:E152 B109:E112 B125:E134 B154:E159 F97:F102 G98:G102 F126:G133 F137:G151 B11:Y13 AA11:AF13">
    <cfRule type="expression" dxfId="1331" priority="42">
      <formula>B$9&gt;=20/24</formula>
    </cfRule>
  </conditionalFormatting>
  <conditionalFormatting sqref="B97:E107 B137:E152 B109:E112 B125:E134 B154:E159 F97:F102 G98:G102 F126:G133 F137:G151 B11:Y13 AA11:AF13">
    <cfRule type="expression" dxfId="1330" priority="43">
      <formula>AND(B$9&gt;=14/24,B$9&lt;20/24)</formula>
    </cfRule>
    <cfRule type="expression" dxfId="1329" priority="44">
      <formula>AND(B$9&gt;=8/24,B$9&lt;14/24)</formula>
    </cfRule>
    <cfRule type="expression" dxfId="1328" priority="45">
      <formula>B$9&lt;8/24</formula>
    </cfRule>
  </conditionalFormatting>
  <conditionalFormatting sqref="B14:Y28 AA14:AF16">
    <cfRule type="expression" dxfId="1327" priority="32">
      <formula>B14&gt;$AG14*1</formula>
    </cfRule>
    <cfRule type="expression" dxfId="1326" priority="33">
      <formula>B$9&gt;=20/24</formula>
    </cfRule>
    <cfRule type="expression" dxfId="1325" priority="34">
      <formula>AND(B$9&gt;=14/24,B$9&lt;20/24)</formula>
    </cfRule>
    <cfRule type="expression" dxfId="1324" priority="35">
      <formula>AND(B$9&gt;=8/24,B$9&lt;14/24)</formula>
    </cfRule>
    <cfRule type="expression" dxfId="1323" priority="36">
      <formula>B$9&lt;8/24</formula>
    </cfRule>
  </conditionalFormatting>
  <conditionalFormatting sqref="B161:E167">
    <cfRule type="expression" dxfId="1322" priority="37">
      <formula>B$9&gt;=20/24</formula>
    </cfRule>
    <cfRule type="expression" dxfId="1321" priority="38">
      <formula>AND(B$9&gt;=14/24,B$9&lt;20/24)</formula>
    </cfRule>
    <cfRule type="expression" dxfId="1320" priority="39">
      <formula>AND(B$9&gt;=8/24,B$9&lt;14/24)</formula>
    </cfRule>
    <cfRule type="expression" dxfId="1319" priority="40">
      <formula>B$9&lt;8/24</formula>
    </cfRule>
  </conditionalFormatting>
  <conditionalFormatting sqref="B169:E274">
    <cfRule type="expression" dxfId="1318" priority="28">
      <formula>B$9&gt;=20/24</formula>
    </cfRule>
    <cfRule type="expression" dxfId="1317" priority="29">
      <formula>AND(B$9&gt;=14/24,B$9&lt;20/24)</formula>
    </cfRule>
    <cfRule type="expression" dxfId="1316" priority="30">
      <formula>AND(B$9&gt;=8/24,B$9&lt;14/24)</formula>
    </cfRule>
    <cfRule type="expression" dxfId="1315" priority="31">
      <formula>B$9&lt;8/24</formula>
    </cfRule>
  </conditionalFormatting>
  <conditionalFormatting sqref="B11:Y13 AA11:AF13">
    <cfRule type="expression" dxfId="1314" priority="41">
      <formula>B11&gt;$AG11*1</formula>
    </cfRule>
  </conditionalFormatting>
  <conditionalFormatting sqref="A153">
    <cfRule type="expression" dxfId="1313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2" priority="23">
      <formula>AL$9&gt;=20/24</formula>
    </cfRule>
  </conditionalFormatting>
  <conditionalFormatting sqref="AL153">
    <cfRule type="expression" dxfId="1311" priority="24">
      <formula>AND(AL$9&gt;=14/24,AL$9&lt;20/24)</formula>
    </cfRule>
    <cfRule type="expression" dxfId="1310" priority="25">
      <formula>AND(AL$9&gt;=8/24,AL$9&lt;14/24)</formula>
    </cfRule>
    <cfRule type="expression" dxfId="1309" priority="26">
      <formula>AL$9&lt;8/24</formula>
    </cfRule>
  </conditionalFormatting>
  <conditionalFormatting sqref="Z56:AF68">
    <cfRule type="expression" dxfId="1308" priority="1">
      <formula>Z$9&gt;=20/24</formula>
    </cfRule>
    <cfRule type="expression" dxfId="1307" priority="2">
      <formula>AND(Z$9&gt;=14/24,Z$9&lt;20/24)</formula>
    </cfRule>
    <cfRule type="expression" dxfId="1306" priority="3">
      <formula>AND(Z$9&gt;=8/24,Z$9&lt;14/24)</formula>
    </cfRule>
  </conditionalFormatting>
  <conditionalFormatting sqref="Z11:Z13">
    <cfRule type="expression" dxfId="1305" priority="17">
      <formula>Z$9&gt;=20/24</formula>
    </cfRule>
  </conditionalFormatting>
  <conditionalFormatting sqref="Z11:Z13">
    <cfRule type="expression" dxfId="1304" priority="18">
      <formula>AND(Z$9&gt;=14/24,Z$9&lt;20/24)</formula>
    </cfRule>
    <cfRule type="expression" dxfId="1303" priority="19">
      <formula>AND(Z$9&gt;=8/24,Z$9&lt;14/24)</formula>
    </cfRule>
    <cfRule type="expression" dxfId="1302" priority="20">
      <formula>Z$9&lt;8/24</formula>
    </cfRule>
  </conditionalFormatting>
  <conditionalFormatting sqref="Z14:Z53 AA17:AF53">
    <cfRule type="expression" dxfId="1301" priority="11">
      <formula>Z14&gt;$AG14*1</formula>
    </cfRule>
    <cfRule type="expression" dxfId="1300" priority="12">
      <formula>Z$9&gt;=20/24</formula>
    </cfRule>
    <cfRule type="expression" dxfId="1299" priority="13">
      <formula>AND(Z$9&gt;=14/24,Z$9&lt;20/24)</formula>
    </cfRule>
    <cfRule type="expression" dxfId="1298" priority="14">
      <formula>AND(Z$9&gt;=8/24,Z$9&lt;14/24)</formula>
    </cfRule>
    <cfRule type="expression" dxfId="1297" priority="15">
      <formula>Z$9&lt;8/24</formula>
    </cfRule>
  </conditionalFormatting>
  <conditionalFormatting sqref="Z54:AF55">
    <cfRule type="expression" dxfId="1296" priority="10">
      <formula>Z$9&lt;8/24</formula>
    </cfRule>
  </conditionalFormatting>
  <conditionalFormatting sqref="Z54:AF55 Z69:AF70">
    <cfRule type="expression" dxfId="1295" priority="7">
      <formula>Z$9&gt;=20/24</formula>
    </cfRule>
    <cfRule type="expression" dxfId="1294" priority="8">
      <formula>AND(Z$9&gt;=14/24,Z$9&lt;20/24)</formula>
    </cfRule>
    <cfRule type="expression" dxfId="1293" priority="9">
      <formula>AND(Z$9&gt;=8/24,Z$9&lt;14/24)</formula>
    </cfRule>
  </conditionalFormatting>
  <conditionalFormatting sqref="Z69:AF70">
    <cfRule type="expression" dxfId="1292" priority="21">
      <formula>Z$9&lt;8/24</formula>
    </cfRule>
  </conditionalFormatting>
  <conditionalFormatting sqref="Z11:Z13 Z69:AF69">
    <cfRule type="expression" dxfId="1291" priority="16">
      <formula>Z11&gt;$AG11*1</formula>
    </cfRule>
  </conditionalFormatting>
  <conditionalFormatting sqref="Z54:AF55 Z69:AF70">
    <cfRule type="expression" dxfId="1290" priority="22">
      <formula>Z54&gt;$AG54</formula>
    </cfRule>
  </conditionalFormatting>
  <conditionalFormatting sqref="Z56:AF68">
    <cfRule type="expression" dxfId="1289" priority="4">
      <formula>Z$9&lt;8/24</formula>
    </cfRule>
  </conditionalFormatting>
  <conditionalFormatting sqref="Z63:AF65">
    <cfRule type="expression" dxfId="1288" priority="5">
      <formula>Z63&gt;$AG63</formula>
    </cfRule>
  </conditionalFormatting>
  <conditionalFormatting sqref="Z66:AF68 Z56:AF62">
    <cfRule type="expression" dxfId="1287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86" priority="97">
      <formula>$AH11=0</formula>
    </cfRule>
  </conditionalFormatting>
  <conditionalFormatting sqref="A101:A102">
    <cfRule type="expression" dxfId="1285" priority="265">
      <formula>$AH106=0</formula>
    </cfRule>
  </conditionalFormatting>
  <conditionalFormatting sqref="A103:A107">
    <cfRule type="expression" dxfId="1284" priority="213">
      <formula>$AH102=0</formula>
    </cfRule>
  </conditionalFormatting>
  <conditionalFormatting sqref="A160:A167">
    <cfRule type="expression" dxfId="1283" priority="266">
      <formula>$AH267=0</formula>
    </cfRule>
  </conditionalFormatting>
  <conditionalFormatting sqref="A168:A275">
    <cfRule type="expression" dxfId="1282" priority="136">
      <formula>$AH168=0</formula>
    </cfRule>
  </conditionalFormatting>
  <conditionalFormatting sqref="B8">
    <cfRule type="expression" dxfId="1281" priority="261">
      <formula>AND(C$9&gt;=14/24,C$9&lt;20/24)</formula>
    </cfRule>
    <cfRule type="expression" dxfId="1280" priority="262">
      <formula>AND(C$9&gt;=8/24,C$9&lt;14/24)</formula>
    </cfRule>
    <cfRule type="expression" dxfId="1279" priority="263">
      <formula>C$9&lt;8/24</formula>
    </cfRule>
    <cfRule type="expression" dxfId="1278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277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276" priority="179">
      <formula>AND(B$9&gt;=14/24,B$9&lt;20/24)</formula>
    </cfRule>
    <cfRule type="expression" dxfId="1275" priority="180">
      <formula>AND(B$9&gt;=8/24,B$9&lt;14/24)</formula>
    </cfRule>
    <cfRule type="expression" dxfId="1274" priority="181">
      <formula>B$9&lt;8/24</formula>
    </cfRule>
  </conditionalFormatting>
  <conditionalFormatting sqref="AA14:AF53">
    <cfRule type="expression" dxfId="1273" priority="121">
      <formula>AA14&gt;$AG14*1</formula>
    </cfRule>
    <cfRule type="expression" dxfId="1272" priority="122">
      <formula>AA$9&gt;=20/24</formula>
    </cfRule>
    <cfRule type="expression" dxfId="1271" priority="123">
      <formula>AND(AA$9&gt;=14/24,AA$9&lt;20/24)</formula>
    </cfRule>
    <cfRule type="expression" dxfId="1270" priority="124">
      <formula>AND(AA$9&gt;=8/24,AA$9&lt;14/24)</formula>
    </cfRule>
    <cfRule type="expression" dxfId="1269" priority="125">
      <formula>AA$9&lt;8/24</formula>
    </cfRule>
  </conditionalFormatting>
  <conditionalFormatting sqref="AA54:AF68">
    <cfRule type="expression" dxfId="1268" priority="114">
      <formula>AA$9&lt;8/24</formula>
    </cfRule>
  </conditionalFormatting>
  <conditionalFormatting sqref="AA54:AF70">
    <cfRule type="expression" dxfId="1267" priority="111">
      <formula>AA$9&gt;=20/24</formula>
    </cfRule>
    <cfRule type="expression" dxfId="1266" priority="112">
      <formula>AND(AA$9&gt;=14/24,AA$9&lt;20/24)</formula>
    </cfRule>
    <cfRule type="expression" dxfId="1265" priority="113">
      <formula>AND(AA$9&gt;=8/24,AA$9&lt;14/24)</formula>
    </cfRule>
  </conditionalFormatting>
  <conditionalFormatting sqref="AA63:AF65">
    <cfRule type="expression" dxfId="1264" priority="115">
      <formula>AA63&gt;$AG63</formula>
    </cfRule>
  </conditionalFormatting>
  <conditionalFormatting sqref="AA69:AF70">
    <cfRule type="expression" dxfId="1263" priority="186">
      <formula>AA$9&lt;8/24</formula>
    </cfRule>
  </conditionalFormatting>
  <conditionalFormatting sqref="AA72:AF75">
    <cfRule type="expression" dxfId="1262" priority="102">
      <formula>AA72&gt;$AG72*1</formula>
    </cfRule>
  </conditionalFormatting>
  <conditionalFormatting sqref="AA73:AF75">
    <cfRule type="expression" dxfId="1261" priority="103">
      <formula>AA$9&gt;=20/24</formula>
    </cfRule>
    <cfRule type="expression" dxfId="1260" priority="104">
      <formula>AND(AA$9&gt;=14/24,AA$9&lt;20/24)</formula>
    </cfRule>
    <cfRule type="expression" dxfId="1259" priority="105">
      <formula>AND(AA$9&gt;=8/24,AA$9&lt;14/24)</formula>
    </cfRule>
    <cfRule type="expression" dxfId="1258" priority="106">
      <formula>AA$9&lt;8/24</formula>
    </cfRule>
  </conditionalFormatting>
  <conditionalFormatting sqref="C161:AF167">
    <cfRule type="expression" dxfId="1257" priority="137">
      <formula>C$9&gt;=20/24</formula>
    </cfRule>
    <cfRule type="expression" dxfId="1256" priority="138">
      <formula>AND(C$9&gt;=14/24,C$9&lt;20/24)</formula>
    </cfRule>
    <cfRule type="expression" dxfId="1255" priority="139">
      <formula>AND(C$9&gt;=8/24,C$9&lt;14/24)</formula>
    </cfRule>
    <cfRule type="expression" dxfId="1254" priority="140">
      <formula>C$9&lt;8/24</formula>
    </cfRule>
  </conditionalFormatting>
  <conditionalFormatting sqref="C169:AF274">
    <cfRule type="expression" dxfId="1253" priority="98">
      <formula>C$9&gt;=20/24</formula>
    </cfRule>
    <cfRule type="expression" dxfId="1252" priority="99">
      <formula>AND(C$9&gt;=14/24,C$9&lt;20/24)</formula>
    </cfRule>
    <cfRule type="expression" dxfId="1251" priority="100">
      <formula>AND(C$9&gt;=8/24,C$9&lt;14/24)</formula>
    </cfRule>
    <cfRule type="expression" dxfId="1250" priority="101">
      <formula>C$9&lt;8/24</formula>
    </cfRule>
  </conditionalFormatting>
  <conditionalFormatting sqref="B96:M96 B91:D92 E91:M95 AA96:AG96 N91:Z96 B71:AG71 B78:AG78 AA11:AF13 AA69:AF70 AA76:AF77 AA79:AF95">
    <cfRule type="expression" dxfId="1249" priority="177">
      <formula>B11&gt;$AG11*1</formula>
    </cfRule>
  </conditionalFormatting>
  <conditionalFormatting sqref="G78:AF78 AA72:AF72 AA76:AF77">
    <cfRule type="expression" dxfId="1248" priority="197">
      <formula>G$9&gt;=20/24</formula>
    </cfRule>
    <cfRule type="expression" dxfId="1247" priority="198">
      <formula>AND(G$9&gt;=14/24,G$9&lt;20/24)</formula>
    </cfRule>
    <cfRule type="expression" dxfId="1246" priority="199">
      <formula>AND(G$9&gt;=8/24,G$9&lt;14/24)</formula>
    </cfRule>
    <cfRule type="expression" dxfId="1245" priority="200">
      <formula>G$9&lt;8/24</formula>
    </cfRule>
  </conditionalFormatting>
  <conditionalFormatting sqref="AA73:AF75">
    <cfRule type="expression" dxfId="1244" priority="107">
      <formula>AA$9&gt;=20/24</formula>
    </cfRule>
    <cfRule type="expression" dxfId="1243" priority="108">
      <formula>AND(AA$9&gt;=14/24,AA$9&lt;20/24)</formula>
    </cfRule>
    <cfRule type="expression" dxfId="1242" priority="109">
      <formula>AND(AA$9&gt;=8/24,AA$9&lt;14/24)</formula>
    </cfRule>
    <cfRule type="expression" dxfId="1241" priority="110">
      <formula>AA$9&lt;8/24</formula>
    </cfRule>
  </conditionalFormatting>
  <conditionalFormatting sqref="AA84:AF84">
    <cfRule type="expression" dxfId="1240" priority="201">
      <formula>AA$9&gt;=20/24</formula>
    </cfRule>
    <cfRule type="expression" dxfId="1239" priority="202">
      <formula>AND(AA$9&gt;=14/24,AA$9&lt;20/24)</formula>
    </cfRule>
    <cfRule type="expression" dxfId="1238" priority="203">
      <formula>AND(AA$9&gt;=8/24,AA$9&lt;14/24)</formula>
    </cfRule>
    <cfRule type="expression" dxfId="1237" priority="204">
      <formula>AA$9&lt;8/24</formula>
    </cfRule>
  </conditionalFormatting>
  <conditionalFormatting sqref="M8 S8 AB8">
    <cfRule type="expression" dxfId="1236" priority="254">
      <formula>AND(N$9&gt;=14/24,N$9&lt;20/24)</formula>
    </cfRule>
    <cfRule type="expression" dxfId="1235" priority="255">
      <formula>AND(N$9&gt;=8/24,N$9&lt;14/24)</formula>
    </cfRule>
    <cfRule type="expression" dxfId="1234" priority="256">
      <formula>N$9&lt;8/24</formula>
    </cfRule>
  </conditionalFormatting>
  <conditionalFormatting sqref="AA80:AF83">
    <cfRule type="expression" dxfId="1233" priority="209">
      <formula>AA$9&gt;=20/24</formula>
    </cfRule>
    <cfRule type="expression" dxfId="1232" priority="210">
      <formula>AND(AA$9&gt;=14/24,AA$9&lt;20/24)</formula>
    </cfRule>
    <cfRule type="expression" dxfId="1231" priority="211">
      <formula>AND(AA$9&gt;=8/24,AA$9&lt;14/24)</formula>
    </cfRule>
    <cfRule type="expression" dxfId="1230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29" priority="253">
      <formula>N$9&gt;=20/24</formula>
    </cfRule>
  </conditionalFormatting>
  <conditionalFormatting sqref="S8">
    <cfRule type="expression" dxfId="1228" priority="244">
      <formula>U$9&gt;=20/24</formula>
    </cfRule>
    <cfRule type="expression" dxfId="1227" priority="245">
      <formula>AND(U$9&gt;=14/24,U$9&lt;20/24)</formula>
    </cfRule>
    <cfRule type="expression" dxfId="1226" priority="246">
      <formula>AND(U$9&gt;=8/24,U$9&lt;14/24)</formula>
    </cfRule>
    <cfRule type="expression" dxfId="1225" priority="247">
      <formula>U$9&lt;8/24</formula>
    </cfRule>
  </conditionalFormatting>
  <conditionalFormatting sqref="AA79:AF84">
    <cfRule type="expression" dxfId="1224" priority="131">
      <formula>AA$9&gt;=20/24</formula>
    </cfRule>
    <cfRule type="expression" dxfId="1223" priority="132">
      <formula>AND(AA$9&gt;=14/24,AA$9&lt;20/24)</formula>
    </cfRule>
    <cfRule type="expression" dxfId="1222" priority="133">
      <formula>AND(AA$9&gt;=8/24,AA$9&lt;14/24)</formula>
    </cfRule>
    <cfRule type="expression" dxfId="1221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220" priority="116">
      <formula>AA$9&gt;=20/24</formula>
    </cfRule>
    <cfRule type="expression" dxfId="1219" priority="117">
      <formula>AND(AA$9&gt;=14/24,AA$9&lt;20/24)</formula>
    </cfRule>
    <cfRule type="expression" dxfId="1218" priority="118">
      <formula>AND(AA$9&gt;=8/24,AA$9&lt;14/24)</formula>
    </cfRule>
    <cfRule type="expression" dxfId="1217" priority="119">
      <formula>AA$9&lt;8/24</formula>
    </cfRule>
  </conditionalFormatting>
  <conditionalFormatting sqref="AA54:AF62 AA66:AF69">
    <cfRule type="expression" dxfId="1216" priority="191">
      <formula>AA54&gt;$AG54</formula>
    </cfRule>
  </conditionalFormatting>
  <conditionalFormatting sqref="AB8">
    <cfRule type="expression" dxfId="1215" priority="240">
      <formula>AD$9&gt;=20/24</formula>
    </cfRule>
    <cfRule type="expression" dxfId="1214" priority="241">
      <formula>AND(AD$9&gt;=14/24,AD$9&lt;20/24)</formula>
    </cfRule>
    <cfRule type="expression" dxfId="1213" priority="242">
      <formula>AND(AD$9&gt;=8/24,AD$9&lt;14/24)</formula>
    </cfRule>
    <cfRule type="expression" dxfId="1212" priority="243">
      <formula>AD$9&lt;8/24</formula>
    </cfRule>
  </conditionalFormatting>
  <conditionalFormatting sqref="AG78">
    <cfRule type="expression" dxfId="1211" priority="219">
      <formula>AG$9&gt;=20/24</formula>
    </cfRule>
    <cfRule type="expression" dxfId="1210" priority="220">
      <formula>AND(AG$9&gt;=14/24,AG$9&lt;20/24)</formula>
    </cfRule>
    <cfRule type="expression" dxfId="1209" priority="221">
      <formula>AND(AG$9&gt;=8/24,AG$9&lt;14/24)</formula>
    </cfRule>
    <cfRule type="expression" dxfId="1208" priority="222">
      <formula>AG$9&lt;8/24</formula>
    </cfRule>
  </conditionalFormatting>
  <conditionalFormatting sqref="AG91:AG92">
    <cfRule type="expression" dxfId="1207" priority="214">
      <formula>AG91&gt;$AG91</formula>
    </cfRule>
  </conditionalFormatting>
  <conditionalFormatting sqref="AG96">
    <cfRule type="expression" dxfId="1206" priority="215">
      <formula>AG$9&gt;=20/24</formula>
    </cfRule>
    <cfRule type="expression" dxfId="1205" priority="216">
      <formula>AND(AG$9&gt;=14/24,AG$9&lt;20/24)</formula>
    </cfRule>
    <cfRule type="expression" dxfId="1204" priority="217">
      <formula>AND(AG$9&gt;=8/24,AG$9&lt;14/24)</formula>
    </cfRule>
    <cfRule type="expression" dxfId="1203" priority="218">
      <formula>AG$9&lt;8/24</formula>
    </cfRule>
  </conditionalFormatting>
  <conditionalFormatting sqref="AG113">
    <cfRule type="expression" dxfId="1202" priority="236">
      <formula>AG$9&gt;=20/24</formula>
    </cfRule>
    <cfRule type="expression" dxfId="1201" priority="237">
      <formula>AND(AG$9&gt;=14/24,AG$9&lt;20/24)</formula>
    </cfRule>
    <cfRule type="expression" dxfId="1200" priority="238">
      <formula>AND(AG$9&gt;=8/24,AG$9&lt;14/24)</formula>
    </cfRule>
    <cfRule type="expression" dxfId="1199" priority="239">
      <formula>AG$9&lt;8/24</formula>
    </cfRule>
  </conditionalFormatting>
  <conditionalFormatting sqref="AH8:AI10">
    <cfRule type="expression" dxfId="1198" priority="127">
      <formula>AH$9&gt;=20/24</formula>
    </cfRule>
    <cfRule type="expression" dxfId="1197" priority="128">
      <formula>AND(AH$9&gt;=14/24,AH$9&lt;20/24)</formula>
    </cfRule>
    <cfRule type="expression" dxfId="1196" priority="129">
      <formula>AND(AH$9&gt;=8/24,AH$9&lt;14/24)</formula>
    </cfRule>
    <cfRule type="expression" dxfId="1195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94" priority="257">
      <formula>AJ$9&gt;=20/24</formula>
    </cfRule>
    <cfRule type="expression" dxfId="1193" priority="258">
      <formula>AND(AJ$9&gt;=14/24,AJ$9&lt;20/24)</formula>
    </cfRule>
    <cfRule type="expression" dxfId="1192" priority="259">
      <formula>AND(AJ$9&gt;=8/24,AJ$9&lt;14/24)</formula>
    </cfRule>
    <cfRule type="expression" dxfId="1191" priority="260">
      <formula>AJ$9&lt;8/24</formula>
    </cfRule>
  </conditionalFormatting>
  <conditionalFormatting sqref="AL99:AN99 AL105:AN105">
    <cfRule type="expression" dxfId="1190" priority="229">
      <formula>AL$9&gt;=20/24</formula>
    </cfRule>
    <cfRule type="expression" dxfId="1189" priority="230">
      <formula>AND(AL$9&gt;=14/24,AL$9&lt;20/24)</formula>
    </cfRule>
    <cfRule type="expression" dxfId="1188" priority="231">
      <formula>AND(AL$9&gt;=8/24,AL$9&lt;14/24)</formula>
    </cfRule>
    <cfRule type="expression" dxfId="1187" priority="232">
      <formula>AL$9&lt;8/24</formula>
    </cfRule>
  </conditionalFormatting>
  <conditionalFormatting sqref="AM15:AM21 AN16:AR21">
    <cfRule type="expression" dxfId="1186" priority="153">
      <formula>AX$9&gt;=20/24</formula>
    </cfRule>
    <cfRule type="expression" dxfId="1185" priority="154">
      <formula>AND(AX$9&gt;=14/24,AX$9&lt;20/24)</formula>
    </cfRule>
    <cfRule type="expression" dxfId="1184" priority="155">
      <formula>AND(AX$9&gt;=8/24,AX$9&lt;14/24)</formula>
    </cfRule>
    <cfRule type="expression" dxfId="1183" priority="156">
      <formula>AX$9&lt;8/24</formula>
    </cfRule>
  </conditionalFormatting>
  <conditionalFormatting sqref="AN100:AN103">
    <cfRule type="expression" dxfId="1182" priority="225">
      <formula>AN$9&gt;=20/24</formula>
    </cfRule>
    <cfRule type="expression" dxfId="1181" priority="226">
      <formula>AND(AN$9&gt;=14/24,AN$9&lt;20/24)</formula>
    </cfRule>
    <cfRule type="expression" dxfId="1180" priority="227">
      <formula>AND(AN$9&gt;=8/24,AN$9&lt;14/24)</formula>
    </cfRule>
    <cfRule type="expression" dxfId="1179" priority="228">
      <formula>AN$9&lt;8/24</formula>
    </cfRule>
  </conditionalFormatting>
  <conditionalFormatting sqref="AN15:AR15">
    <cfRule type="expression" dxfId="1178" priority="141">
      <formula>U$9&gt;=20/24</formula>
    </cfRule>
    <cfRule type="expression" dxfId="1177" priority="142">
      <formula>AND(U$9&gt;=14/24,U$9&lt;20/24)</formula>
    </cfRule>
    <cfRule type="expression" dxfId="1176" priority="143">
      <formula>AND(U$9&gt;=8/24,U$9&lt;14/24)</formula>
    </cfRule>
    <cfRule type="expression" dxfId="1175" priority="144">
      <formula>U$9&lt;8/24</formula>
    </cfRule>
  </conditionalFormatting>
  <conditionalFormatting sqref="AS15">
    <cfRule type="expression" dxfId="1174" priority="149">
      <formula>AA$9&gt;=20/24</formula>
    </cfRule>
    <cfRule type="expression" dxfId="1173" priority="150">
      <formula>AND(AA$9&gt;=14/24,AA$9&lt;20/24)</formula>
    </cfRule>
    <cfRule type="expression" dxfId="1172" priority="151">
      <formula>AND(AA$9&gt;=8/24,AA$9&lt;14/24)</formula>
    </cfRule>
    <cfRule type="expression" dxfId="1171" priority="152">
      <formula>AA$9&lt;8/24</formula>
    </cfRule>
  </conditionalFormatting>
  <conditionalFormatting sqref="AS16:AS21">
    <cfRule type="expression" dxfId="1170" priority="157">
      <formula>BE$9&gt;=20/24</formula>
    </cfRule>
    <cfRule type="expression" dxfId="1169" priority="158">
      <formula>AND(BE$9&gt;=14/24,BE$9&lt;20/24)</formula>
    </cfRule>
    <cfRule type="expression" dxfId="1168" priority="159">
      <formula>AND(BE$9&gt;=8/24,BE$9&lt;14/24)</formula>
    </cfRule>
    <cfRule type="expression" dxfId="1167" priority="160">
      <formula>BE$9&lt;8/24</formula>
    </cfRule>
  </conditionalFormatting>
  <conditionalFormatting sqref="AT15 AX15:BJ15">
    <cfRule type="expression" dxfId="1166" priority="161">
      <formula>AC$9&gt;=20/24</formula>
    </cfRule>
    <cfRule type="expression" dxfId="1165" priority="162">
      <formula>AND(AC$9&gt;=14/24,AC$9&lt;20/24)</formula>
    </cfRule>
    <cfRule type="expression" dxfId="1164" priority="163">
      <formula>AND(AC$9&gt;=8/24,AC$9&lt;14/24)</formula>
    </cfRule>
    <cfRule type="expression" dxfId="1163" priority="164">
      <formula>AC$9&lt;8/24</formula>
    </cfRule>
  </conditionalFormatting>
  <conditionalFormatting sqref="AT16:AT21">
    <cfRule type="expression" dxfId="1162" priority="165">
      <formula>BG$9&gt;=20/24</formula>
    </cfRule>
    <cfRule type="expression" dxfId="1161" priority="166">
      <formula>AND(BG$9&gt;=14/24,BG$9&lt;20/24)</formula>
    </cfRule>
    <cfRule type="expression" dxfId="1160" priority="167">
      <formula>AND(BG$9&gt;=8/24,BG$9&lt;14/24)</formula>
    </cfRule>
    <cfRule type="expression" dxfId="1159" priority="168">
      <formula>BG$9&lt;8/24</formula>
    </cfRule>
  </conditionalFormatting>
  <conditionalFormatting sqref="AU15:AV15">
    <cfRule type="expression" dxfId="1158" priority="169">
      <formula>AE$9&gt;=20/24</formula>
    </cfRule>
    <cfRule type="expression" dxfId="1157" priority="170">
      <formula>AND(AE$9&gt;=14/24,AE$9&lt;20/24)</formula>
    </cfRule>
    <cfRule type="expression" dxfId="1156" priority="171">
      <formula>AND(AE$9&gt;=8/24,AE$9&lt;14/24)</formula>
    </cfRule>
    <cfRule type="expression" dxfId="1155" priority="172">
      <formula>AE$9&lt;8/24</formula>
    </cfRule>
  </conditionalFormatting>
  <conditionalFormatting sqref="AU16:BJ21">
    <cfRule type="expression" dxfId="1154" priority="173">
      <formula>BI$9&gt;=20/24</formula>
    </cfRule>
    <cfRule type="expression" dxfId="1153" priority="174">
      <formula>AND(BI$9&gt;=14/24,BI$9&lt;20/24)</formula>
    </cfRule>
    <cfRule type="expression" dxfId="1152" priority="175">
      <formula>AND(BI$9&gt;=8/24,BI$9&lt;14/24)</formula>
    </cfRule>
    <cfRule type="expression" dxfId="1151" priority="176">
      <formula>BI$9&lt;8/24</formula>
    </cfRule>
  </conditionalFormatting>
  <conditionalFormatting sqref="AW15">
    <cfRule type="expression" dxfId="1150" priority="145">
      <formula>B$9&gt;=20/24</formula>
    </cfRule>
    <cfRule type="expression" dxfId="1149" priority="146">
      <formula>AND(B$9&gt;=14/24,B$9&lt;20/24)</formula>
    </cfRule>
    <cfRule type="expression" dxfId="1148" priority="147">
      <formula>AND(B$9&gt;=8/24,B$9&lt;14/24)</formula>
    </cfRule>
    <cfRule type="expression" dxfId="1147" priority="148">
      <formula>B$9&lt;8/24</formula>
    </cfRule>
  </conditionalFormatting>
  <conditionalFormatting sqref="A73">
    <cfRule type="expression" dxfId="1146" priority="96">
      <formula>$AH73=0</formula>
    </cfRule>
  </conditionalFormatting>
  <conditionalFormatting sqref="B97:B107 B152 B109:B112 B125 B154:B159 B134">
    <cfRule type="expression" dxfId="1145" priority="92">
      <formula>B$9&gt;=20/24</formula>
    </cfRule>
  </conditionalFormatting>
  <conditionalFormatting sqref="B97:B107 B152 B109:B112 B125 B154:B159 B134">
    <cfRule type="expression" dxfId="1144" priority="93">
      <formula>AND(B$9&gt;=14/24,B$9&lt;20/24)</formula>
    </cfRule>
    <cfRule type="expression" dxfId="1143" priority="94">
      <formula>AND(B$9&gt;=8/24,B$9&lt;14/24)</formula>
    </cfRule>
    <cfRule type="expression" dxfId="1142" priority="95">
      <formula>B$9&lt;8/24</formula>
    </cfRule>
  </conditionalFormatting>
  <conditionalFormatting sqref="B161:B167">
    <cfRule type="expression" dxfId="1141" priority="87">
      <formula>B$9&gt;=20/24</formula>
    </cfRule>
    <cfRule type="expression" dxfId="1140" priority="88">
      <formula>AND(B$9&gt;=14/24,B$9&lt;20/24)</formula>
    </cfRule>
    <cfRule type="expression" dxfId="1139" priority="89">
      <formula>AND(B$9&gt;=8/24,B$9&lt;14/24)</formula>
    </cfRule>
    <cfRule type="expression" dxfId="1138" priority="90">
      <formula>B$9&lt;8/24</formula>
    </cfRule>
  </conditionalFormatting>
  <conditionalFormatting sqref="B169:B274">
    <cfRule type="expression" dxfId="1137" priority="78">
      <formula>B$9&gt;=20/24</formula>
    </cfRule>
    <cfRule type="expression" dxfId="1136" priority="79">
      <formula>AND(B$9&gt;=14/24,B$9&lt;20/24)</formula>
    </cfRule>
    <cfRule type="expression" dxfId="1135" priority="80">
      <formula>AND(B$9&gt;=8/24,B$9&lt;14/24)</formula>
    </cfRule>
    <cfRule type="expression" dxfId="1134" priority="81">
      <formula>B$9&lt;8/24</formula>
    </cfRule>
  </conditionalFormatting>
  <conditionalFormatting sqref="A153">
    <cfRule type="expression" dxfId="1133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32" priority="73">
      <formula>AL$9&gt;=20/24</formula>
    </cfRule>
  </conditionalFormatting>
  <conditionalFormatting sqref="AL153">
    <cfRule type="expression" dxfId="1131" priority="74">
      <formula>AND(AL$9&gt;=14/24,AL$9&lt;20/24)</formula>
    </cfRule>
    <cfRule type="expression" dxfId="1130" priority="75">
      <formula>AND(AL$9&gt;=8/24,AL$9&lt;14/24)</formula>
    </cfRule>
    <cfRule type="expression" dxfId="1129" priority="76">
      <formula>AL$9&lt;8/24</formula>
    </cfRule>
  </conditionalFormatting>
  <conditionalFormatting sqref="B11:Z13">
    <cfRule type="expression" dxfId="1128" priority="69">
      <formula>B$9&gt;=20/24</formula>
    </cfRule>
  </conditionalFormatting>
  <conditionalFormatting sqref="B11:Z13">
    <cfRule type="expression" dxfId="1127" priority="70">
      <formula>AND(B$9&gt;=14/24,B$9&lt;20/24)</formula>
    </cfRule>
    <cfRule type="expression" dxfId="1126" priority="71">
      <formula>AND(B$9&gt;=8/24,B$9&lt;14/24)</formula>
    </cfRule>
    <cfRule type="expression" dxfId="1125" priority="72">
      <formula>B$9&lt;8/24</formula>
    </cfRule>
  </conditionalFormatting>
  <conditionalFormatting sqref="B14:Z16">
    <cfRule type="expression" dxfId="1124" priority="63">
      <formula>B14&gt;$AG14*1</formula>
    </cfRule>
    <cfRule type="expression" dxfId="1123" priority="64">
      <formula>B$9&gt;=20/24</formula>
    </cfRule>
    <cfRule type="expression" dxfId="1122" priority="65">
      <formula>AND(B$9&gt;=14/24,B$9&lt;20/24)</formula>
    </cfRule>
    <cfRule type="expression" dxfId="1121" priority="66">
      <formula>AND(B$9&gt;=8/24,B$9&lt;14/24)</formula>
    </cfRule>
    <cfRule type="expression" dxfId="1120" priority="67">
      <formula>B$9&lt;8/24</formula>
    </cfRule>
  </conditionalFormatting>
  <conditionalFormatting sqref="B11:Z13">
    <cfRule type="expression" dxfId="1119" priority="68">
      <formula>B11&gt;$AG11*1</formula>
    </cfRule>
  </conditionalFormatting>
  <conditionalFormatting sqref="B17:Z53">
    <cfRule type="expression" dxfId="1118" priority="55">
      <formula>B17&gt;$AG17*1</formula>
    </cfRule>
    <cfRule type="expression" dxfId="1117" priority="56">
      <formula>B$9&gt;=20/24</formula>
    </cfRule>
    <cfRule type="expression" dxfId="1116" priority="57">
      <formula>AND(B$9&gt;=14/24,B$9&lt;20/24)</formula>
    </cfRule>
    <cfRule type="expression" dxfId="1115" priority="58">
      <formula>AND(B$9&gt;=8/24,B$9&lt;14/24)</formula>
    </cfRule>
    <cfRule type="expression" dxfId="1114" priority="59">
      <formula>B$9&lt;8/24</formula>
    </cfRule>
  </conditionalFormatting>
  <conditionalFormatting sqref="B54:Z55">
    <cfRule type="expression" dxfId="1113" priority="54">
      <formula>B$9&lt;8/24</formula>
    </cfRule>
  </conditionalFormatting>
  <conditionalFormatting sqref="B54:Z55 B69:Z70">
    <cfRule type="expression" dxfId="1112" priority="51">
      <formula>B$9&gt;=20/24</formula>
    </cfRule>
    <cfRule type="expression" dxfId="1111" priority="52">
      <formula>AND(B$9&gt;=14/24,B$9&lt;20/24)</formula>
    </cfRule>
    <cfRule type="expression" dxfId="1110" priority="53">
      <formula>AND(B$9&gt;=8/24,B$9&lt;14/24)</formula>
    </cfRule>
  </conditionalFormatting>
  <conditionalFormatting sqref="B69:Z70">
    <cfRule type="expression" dxfId="1109" priority="61">
      <formula>B$9&lt;8/24</formula>
    </cfRule>
  </conditionalFormatting>
  <conditionalFormatting sqref="B69:Z69">
    <cfRule type="expression" dxfId="1108" priority="60">
      <formula>B69&gt;$AG69*1</formula>
    </cfRule>
  </conditionalFormatting>
  <conditionalFormatting sqref="B54:Z55 B69:Z70">
    <cfRule type="expression" dxfId="1107" priority="62">
      <formula>B54&gt;$AG54</formula>
    </cfRule>
  </conditionalFormatting>
  <conditionalFormatting sqref="B56:Z68">
    <cfRule type="expression" dxfId="1106" priority="48">
      <formula>B$9&lt;8/24</formula>
    </cfRule>
  </conditionalFormatting>
  <conditionalFormatting sqref="B56:Z68">
    <cfRule type="expression" dxfId="1105" priority="45">
      <formula>B$9&gt;=20/24</formula>
    </cfRule>
    <cfRule type="expression" dxfId="1104" priority="46">
      <formula>AND(B$9&gt;=14/24,B$9&lt;20/24)</formula>
    </cfRule>
    <cfRule type="expression" dxfId="1103" priority="47">
      <formula>AND(B$9&gt;=8/24,B$9&lt;14/24)</formula>
    </cfRule>
  </conditionalFormatting>
  <conditionalFormatting sqref="B63:Z65">
    <cfRule type="expression" dxfId="1102" priority="49">
      <formula>B63&gt;$AG63</formula>
    </cfRule>
  </conditionalFormatting>
  <conditionalFormatting sqref="B56:Z62 B66:Z68">
    <cfRule type="expression" dxfId="1101" priority="50">
      <formula>B56&gt;$AG56</formula>
    </cfRule>
  </conditionalFormatting>
  <conditionalFormatting sqref="B76:Z77">
    <cfRule type="expression" dxfId="1100" priority="37">
      <formula>B$9&gt;=20/24</formula>
    </cfRule>
  </conditionalFormatting>
  <conditionalFormatting sqref="B76:Z77">
    <cfRule type="expression" dxfId="1099" priority="38">
      <formula>AND(B$9&gt;=14/24,B$9&lt;20/24)</formula>
    </cfRule>
    <cfRule type="expression" dxfId="1098" priority="39">
      <formula>AND(B$9&gt;=8/24,B$9&lt;14/24)</formula>
    </cfRule>
    <cfRule type="expression" dxfId="1097" priority="40">
      <formula>B$9&lt;8/24</formula>
    </cfRule>
  </conditionalFormatting>
  <conditionalFormatting sqref="B72:Z75">
    <cfRule type="expression" dxfId="1096" priority="31">
      <formula>B72&gt;$AG72*1</formula>
    </cfRule>
  </conditionalFormatting>
  <conditionalFormatting sqref="B73:Z75">
    <cfRule type="expression" dxfId="1095" priority="32">
      <formula>B$9&gt;=20/24</formula>
    </cfRule>
    <cfRule type="expression" dxfId="1094" priority="33">
      <formula>AND(B$9&gt;=14/24,B$9&lt;20/24)</formula>
    </cfRule>
    <cfRule type="expression" dxfId="1093" priority="34">
      <formula>AND(B$9&gt;=8/24,B$9&lt;14/24)</formula>
    </cfRule>
    <cfRule type="expression" dxfId="1092" priority="35">
      <formula>B$9&lt;8/24</formula>
    </cfRule>
  </conditionalFormatting>
  <conditionalFormatting sqref="B76:Z77">
    <cfRule type="expression" dxfId="1091" priority="36">
      <formula>B76&gt;$AG76*1</formula>
    </cfRule>
  </conditionalFormatting>
  <conditionalFormatting sqref="B72:Z72">
    <cfRule type="expression" dxfId="1090" priority="41">
      <formula>B$9&gt;=20/24</formula>
    </cfRule>
    <cfRule type="expression" dxfId="1089" priority="42">
      <formula>AND(B$9&gt;=14/24,B$9&lt;20/24)</formula>
    </cfRule>
    <cfRule type="expression" dxfId="1088" priority="43">
      <formula>AND(B$9&gt;=8/24,B$9&lt;14/24)</formula>
    </cfRule>
    <cfRule type="expression" dxfId="1087" priority="44">
      <formula>B$9&lt;8/24</formula>
    </cfRule>
  </conditionalFormatting>
  <conditionalFormatting sqref="B85:Z90">
    <cfRule type="expression" dxfId="1086" priority="19">
      <formula>B$9&gt;=20/24</formula>
    </cfRule>
  </conditionalFormatting>
  <conditionalFormatting sqref="B85:Z90">
    <cfRule type="expression" dxfId="1085" priority="20">
      <formula>AND(B$9&gt;=14/24,B$9&lt;20/24)</formula>
    </cfRule>
    <cfRule type="expression" dxfId="1084" priority="21">
      <formula>AND(B$9&gt;=8/24,B$9&lt;14/24)</formula>
    </cfRule>
    <cfRule type="expression" dxfId="1083" priority="22">
      <formula>B$9&lt;8/24</formula>
    </cfRule>
  </conditionalFormatting>
  <conditionalFormatting sqref="B79:Z90">
    <cfRule type="expression" dxfId="1082" priority="18">
      <formula>B79&gt;$AG79*1</formula>
    </cfRule>
  </conditionalFormatting>
  <conditionalFormatting sqref="B84:Z84">
    <cfRule type="expression" dxfId="1081" priority="23">
      <formula>B$9&gt;=20/24</formula>
    </cfRule>
    <cfRule type="expression" dxfId="1080" priority="24">
      <formula>AND(B$9&gt;=14/24,B$9&lt;20/24)</formula>
    </cfRule>
    <cfRule type="expression" dxfId="1079" priority="25">
      <formula>AND(B$9&gt;=8/24,B$9&lt;14/24)</formula>
    </cfRule>
    <cfRule type="expression" dxfId="1078" priority="26">
      <formula>B$9&lt;8/24</formula>
    </cfRule>
  </conditionalFormatting>
  <conditionalFormatting sqref="B80:Z83">
    <cfRule type="expression" dxfId="1077" priority="27">
      <formula>B$9&gt;=20/24</formula>
    </cfRule>
    <cfRule type="expression" dxfId="1076" priority="28">
      <formula>AND(B$9&gt;=14/24,B$9&lt;20/24)</formula>
    </cfRule>
    <cfRule type="expression" dxfId="1075" priority="29">
      <formula>AND(B$9&gt;=8/24,B$9&lt;14/24)</formula>
    </cfRule>
    <cfRule type="expression" dxfId="1074" priority="30">
      <formula>B$9&lt;8/24</formula>
    </cfRule>
  </conditionalFormatting>
  <conditionalFormatting sqref="B79:Z84">
    <cfRule type="expression" dxfId="1073" priority="14">
      <formula>B$9&gt;=20/24</formula>
    </cfRule>
    <cfRule type="expression" dxfId="1072" priority="15">
      <formula>AND(B$9&gt;=14/24,B$9&lt;20/24)</formula>
    </cfRule>
    <cfRule type="expression" dxfId="1071" priority="16">
      <formula>AND(B$9&gt;=8/24,B$9&lt;14/24)</formula>
    </cfRule>
    <cfRule type="expression" dxfId="1070" priority="17">
      <formula>B$9&lt;8/24</formula>
    </cfRule>
  </conditionalFormatting>
  <conditionalFormatting sqref="B93:D95">
    <cfRule type="expression" dxfId="1069" priority="10">
      <formula>B$9&gt;=20/24</formula>
    </cfRule>
  </conditionalFormatting>
  <conditionalFormatting sqref="B93:D95">
    <cfRule type="expression" dxfId="1068" priority="11">
      <formula>AND(B$9&gt;=14/24,B$9&lt;20/24)</formula>
    </cfRule>
    <cfRule type="expression" dxfId="1067" priority="12">
      <formula>AND(B$9&gt;=8/24,B$9&lt;14/24)</formula>
    </cfRule>
    <cfRule type="expression" dxfId="1066" priority="13">
      <formula>B$9&lt;8/24</formula>
    </cfRule>
  </conditionalFormatting>
  <conditionalFormatting sqref="B93:D95">
    <cfRule type="expression" dxfId="1065" priority="9">
      <formula>B93&gt;$AG93*1</formula>
    </cfRule>
  </conditionalFormatting>
  <conditionalFormatting sqref="B126:C133">
    <cfRule type="expression" dxfId="1064" priority="5">
      <formula>B$9&gt;=20/24</formula>
    </cfRule>
  </conditionalFormatting>
  <conditionalFormatting sqref="B126:C133">
    <cfRule type="expression" dxfId="1063" priority="6">
      <formula>AND(B$9&gt;=14/24,B$9&lt;20/24)</formula>
    </cfRule>
    <cfRule type="expression" dxfId="1062" priority="7">
      <formula>AND(B$9&gt;=8/24,B$9&lt;14/24)</formula>
    </cfRule>
    <cfRule type="expression" dxfId="1061" priority="8">
      <formula>B$9&lt;8/24</formula>
    </cfRule>
  </conditionalFormatting>
  <conditionalFormatting sqref="B137:C151">
    <cfRule type="expression" dxfId="1060" priority="1">
      <formula>B$9&gt;=20/24</formula>
    </cfRule>
  </conditionalFormatting>
  <conditionalFormatting sqref="B137:C151">
    <cfRule type="expression" dxfId="1059" priority="2">
      <formula>AND(B$9&gt;=14/24,B$9&lt;20/24)</formula>
    </cfRule>
    <cfRule type="expression" dxfId="1058" priority="3">
      <formula>AND(B$9&gt;=8/24,B$9&lt;14/24)</formula>
    </cfRule>
    <cfRule type="expression" dxfId="1057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56" priority="25">
      <formula>$AH11=0</formula>
    </cfRule>
  </conditionalFormatting>
  <conditionalFormatting sqref="A101:A102">
    <cfRule type="expression" dxfId="1055" priority="193">
      <formula>$AH106=0</formula>
    </cfRule>
  </conditionalFormatting>
  <conditionalFormatting sqref="A103:A107">
    <cfRule type="expression" dxfId="1054" priority="141">
      <formula>$AH102=0</formula>
    </cfRule>
  </conditionalFormatting>
  <conditionalFormatting sqref="A160:A167">
    <cfRule type="expression" dxfId="1053" priority="194">
      <formula>$AH267=0</formula>
    </cfRule>
  </conditionalFormatting>
  <conditionalFormatting sqref="A168:A275">
    <cfRule type="expression" dxfId="1052" priority="64">
      <formula>$AH168=0</formula>
    </cfRule>
  </conditionalFormatting>
  <conditionalFormatting sqref="B8">
    <cfRule type="expression" dxfId="1051" priority="189">
      <formula>AND(C$9&gt;=14/24,C$9&lt;20/24)</formula>
    </cfRule>
    <cfRule type="expression" dxfId="1050" priority="190">
      <formula>AND(C$9&gt;=8/24,C$9&lt;14/24)</formula>
    </cfRule>
    <cfRule type="expression" dxfId="1049" priority="191">
      <formula>C$9&lt;8/24</formula>
    </cfRule>
    <cfRule type="expression" dxfId="1048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047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046" priority="107">
      <formula>AND(B$9&gt;=14/24,B$9&lt;20/24)</formula>
    </cfRule>
    <cfRule type="expression" dxfId="1045" priority="108">
      <formula>AND(B$9&gt;=8/24,B$9&lt;14/24)</formula>
    </cfRule>
    <cfRule type="expression" dxfId="1044" priority="109">
      <formula>B$9&lt;8/24</formula>
    </cfRule>
  </conditionalFormatting>
  <conditionalFormatting sqref="B29:Y53 Z14:AF53">
    <cfRule type="expression" dxfId="1043" priority="49">
      <formula>B14&gt;$AG14*1</formula>
    </cfRule>
    <cfRule type="expression" dxfId="1042" priority="50">
      <formula>B$9&gt;=20/24</formula>
    </cfRule>
    <cfRule type="expression" dxfId="1041" priority="51">
      <formula>AND(B$9&gt;=14/24,B$9&lt;20/24)</formula>
    </cfRule>
    <cfRule type="expression" dxfId="1040" priority="52">
      <formula>AND(B$9&gt;=8/24,B$9&lt;14/24)</formula>
    </cfRule>
    <cfRule type="expression" dxfId="1039" priority="53">
      <formula>B$9&lt;8/24</formula>
    </cfRule>
  </conditionalFormatting>
  <conditionalFormatting sqref="B54:AF68">
    <cfRule type="expression" dxfId="1038" priority="42">
      <formula>B$9&lt;8/24</formula>
    </cfRule>
  </conditionalFormatting>
  <conditionalFormatting sqref="B54:AF70">
    <cfRule type="expression" dxfId="1037" priority="39">
      <formula>B$9&gt;=20/24</formula>
    </cfRule>
    <cfRule type="expression" dxfId="1036" priority="40">
      <formula>AND(B$9&gt;=14/24,B$9&lt;20/24)</formula>
    </cfRule>
    <cfRule type="expression" dxfId="1035" priority="41">
      <formula>AND(B$9&gt;=8/24,B$9&lt;14/24)</formula>
    </cfRule>
  </conditionalFormatting>
  <conditionalFormatting sqref="B63:AF65">
    <cfRule type="expression" dxfId="1034" priority="43">
      <formula>B63&gt;$AG63</formula>
    </cfRule>
  </conditionalFormatting>
  <conditionalFormatting sqref="B69:AF70">
    <cfRule type="expression" dxfId="1033" priority="114">
      <formula>B$9&lt;8/24</formula>
    </cfRule>
  </conditionalFormatting>
  <conditionalFormatting sqref="B72:AF75">
    <cfRule type="expression" dxfId="1032" priority="30">
      <formula>B72&gt;$AG72*1</formula>
    </cfRule>
  </conditionalFormatting>
  <conditionalFormatting sqref="B73:AF75">
    <cfRule type="expression" dxfId="1031" priority="31">
      <formula>B$9&gt;=20/24</formula>
    </cfRule>
    <cfRule type="expression" dxfId="1030" priority="32">
      <formula>AND(B$9&gt;=14/24,B$9&lt;20/24)</formula>
    </cfRule>
    <cfRule type="expression" dxfId="1029" priority="33">
      <formula>AND(B$9&gt;=8/24,B$9&lt;14/24)</formula>
    </cfRule>
    <cfRule type="expression" dxfId="1028" priority="34">
      <formula>B$9&lt;8/24</formula>
    </cfRule>
  </conditionalFormatting>
  <conditionalFormatting sqref="C161:AF167">
    <cfRule type="expression" dxfId="1027" priority="65">
      <formula>C$9&gt;=20/24</formula>
    </cfRule>
    <cfRule type="expression" dxfId="1026" priority="66">
      <formula>AND(C$9&gt;=14/24,C$9&lt;20/24)</formula>
    </cfRule>
    <cfRule type="expression" dxfId="1025" priority="67">
      <formula>AND(C$9&gt;=8/24,C$9&lt;14/24)</formula>
    </cfRule>
    <cfRule type="expression" dxfId="1024" priority="68">
      <formula>C$9&lt;8/24</formula>
    </cfRule>
  </conditionalFormatting>
  <conditionalFormatting sqref="C169:AF274">
    <cfRule type="expression" dxfId="1023" priority="26">
      <formula>C$9&gt;=20/24</formula>
    </cfRule>
    <cfRule type="expression" dxfId="1022" priority="27">
      <formula>AND(C$9&gt;=14/24,C$9&lt;20/24)</formula>
    </cfRule>
    <cfRule type="expression" dxfId="1021" priority="28">
      <formula>AND(C$9&gt;=8/24,C$9&lt;14/24)</formula>
    </cfRule>
    <cfRule type="expression" dxfId="1020" priority="29">
      <formula>C$9&lt;8/24</formula>
    </cfRule>
  </conditionalFormatting>
  <conditionalFormatting sqref="AA70 AG96 B71:AA71 B69:AA69 AG78 AG71 AB69:AF71 B76:AF96 Z11:AF13">
    <cfRule type="expression" dxfId="1019" priority="105">
      <formula>B11&gt;$AG11*1</formula>
    </cfRule>
  </conditionalFormatting>
  <conditionalFormatting sqref="F79:Y83">
    <cfRule type="expression" dxfId="1018" priority="115">
      <formula>F$9&gt;=20/24</formula>
    </cfRule>
    <cfRule type="expression" dxfId="1017" priority="116">
      <formula>AND(F$9&gt;=14/24,F$9&lt;20/24)</formula>
    </cfRule>
    <cfRule type="expression" dxfId="1016" priority="117">
      <formula>AND(F$9&gt;=8/24,F$9&lt;14/24)</formula>
    </cfRule>
    <cfRule type="expression" dxfId="1015" priority="118">
      <formula>F$9&lt;8/24</formula>
    </cfRule>
  </conditionalFormatting>
  <conditionalFormatting sqref="F84:Y84">
    <cfRule type="expression" dxfId="1014" priority="110">
      <formula>F$9&gt;=20/24</formula>
    </cfRule>
    <cfRule type="expression" dxfId="1013" priority="111">
      <formula>AND(F$9&gt;=14/24,F$9&lt;20/24)</formula>
    </cfRule>
    <cfRule type="expression" dxfId="1012" priority="112">
      <formula>AND(F$9&gt;=8/24,F$9&lt;14/24)</formula>
    </cfRule>
    <cfRule type="expression" dxfId="1011" priority="113">
      <formula>F$9&lt;8/24</formula>
    </cfRule>
  </conditionalFormatting>
  <conditionalFormatting sqref="F78:AC78 Z76:AC77 B72:AF72 AD76:AF78">
    <cfRule type="expression" dxfId="1010" priority="125">
      <formula>B$9&gt;=20/24</formula>
    </cfRule>
    <cfRule type="expression" dxfId="1009" priority="126">
      <formula>AND(B$9&gt;=14/24,B$9&lt;20/24)</formula>
    </cfRule>
    <cfRule type="expression" dxfId="1008" priority="127">
      <formula>AND(B$9&gt;=8/24,B$9&lt;14/24)</formula>
    </cfRule>
    <cfRule type="expression" dxfId="1007" priority="128">
      <formula>B$9&lt;8/24</formula>
    </cfRule>
  </conditionalFormatting>
  <conditionalFormatting sqref="Z73:AF75">
    <cfRule type="expression" dxfId="1006" priority="35">
      <formula>Z$9&gt;=20/24</formula>
    </cfRule>
    <cfRule type="expression" dxfId="1005" priority="36">
      <formula>AND(Z$9&gt;=14/24,Z$9&lt;20/24)</formula>
    </cfRule>
    <cfRule type="expression" dxfId="1004" priority="37">
      <formula>AND(Z$9&gt;=8/24,Z$9&lt;14/24)</formula>
    </cfRule>
    <cfRule type="expression" dxfId="1003" priority="38">
      <formula>Z$9&lt;8/24</formula>
    </cfRule>
  </conditionalFormatting>
  <conditionalFormatting sqref="F79:Y81">
    <cfRule type="expression" dxfId="1002" priority="133">
      <formula>F$9&gt;=20/24</formula>
    </cfRule>
    <cfRule type="expression" dxfId="1001" priority="134">
      <formula>AND(F$9&gt;=14/24,F$9&lt;20/24)</formula>
    </cfRule>
    <cfRule type="expression" dxfId="1000" priority="135">
      <formula>AND(F$9&gt;=8/24,F$9&lt;14/24)</formula>
    </cfRule>
    <cfRule type="expression" dxfId="999" priority="136">
      <formula>F$9&lt;8/24</formula>
    </cfRule>
  </conditionalFormatting>
  <conditionalFormatting sqref="L84:AF84">
    <cfRule type="expression" dxfId="998" priority="129">
      <formula>L$9&gt;=20/24</formula>
    </cfRule>
    <cfRule type="expression" dxfId="997" priority="130">
      <formula>AND(L$9&gt;=14/24,L$9&lt;20/24)</formula>
    </cfRule>
    <cfRule type="expression" dxfId="996" priority="131">
      <formula>AND(L$9&gt;=8/24,L$9&lt;14/24)</formula>
    </cfRule>
    <cfRule type="expression" dxfId="995" priority="132">
      <formula>L$9&lt;8/24</formula>
    </cfRule>
  </conditionalFormatting>
  <conditionalFormatting sqref="M8 S8 AB8">
    <cfRule type="expression" dxfId="994" priority="182">
      <formula>AND(N$9&gt;=14/24,N$9&lt;20/24)</formula>
    </cfRule>
    <cfRule type="expression" dxfId="993" priority="183">
      <formula>AND(N$9&gt;=8/24,N$9&lt;14/24)</formula>
    </cfRule>
    <cfRule type="expression" dxfId="992" priority="184">
      <formula>N$9&lt;8/24</formula>
    </cfRule>
  </conditionalFormatting>
  <conditionalFormatting sqref="R79:Y83 Z80:AF83">
    <cfRule type="expression" dxfId="991" priority="137">
      <formula>R$9&gt;=20/24</formula>
    </cfRule>
    <cfRule type="expression" dxfId="990" priority="138">
      <formula>AND(R$9&gt;=14/24,R$9&lt;20/24)</formula>
    </cfRule>
    <cfRule type="expression" dxfId="989" priority="139">
      <formula>AND(R$9&gt;=8/24,R$9&lt;14/24)</formula>
    </cfRule>
    <cfRule type="expression" dxfId="988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87" priority="181">
      <formula>N$9&gt;=20/24</formula>
    </cfRule>
  </conditionalFormatting>
  <conditionalFormatting sqref="S8">
    <cfRule type="expression" dxfId="986" priority="172">
      <formula>U$9&gt;=20/24</formula>
    </cfRule>
    <cfRule type="expression" dxfId="985" priority="173">
      <formula>AND(U$9&gt;=14/24,U$9&lt;20/24)</formula>
    </cfRule>
    <cfRule type="expression" dxfId="984" priority="174">
      <formula>AND(U$9&gt;=8/24,U$9&lt;14/24)</formula>
    </cfRule>
    <cfRule type="expression" dxfId="983" priority="175">
      <formula>U$9&lt;8/24</formula>
    </cfRule>
  </conditionalFormatting>
  <conditionalFormatting sqref="Z79:AF84">
    <cfRule type="expression" dxfId="982" priority="59">
      <formula>Z$9&gt;=20/24</formula>
    </cfRule>
    <cfRule type="expression" dxfId="981" priority="60">
      <formula>AND(Z$9&gt;=14/24,Z$9&lt;20/24)</formula>
    </cfRule>
    <cfRule type="expression" dxfId="980" priority="61">
      <formula>AND(Z$9&gt;=8/24,Z$9&lt;14/24)</formula>
    </cfRule>
    <cfRule type="expression" dxfId="979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978" priority="44">
      <formula>Z$9&gt;=20/24</formula>
    </cfRule>
    <cfRule type="expression" dxfId="977" priority="45">
      <formula>AND(Z$9&gt;=14/24,Z$9&lt;20/24)</formula>
    </cfRule>
    <cfRule type="expression" dxfId="976" priority="46">
      <formula>AND(Z$9&gt;=8/24,Z$9&lt;14/24)</formula>
    </cfRule>
    <cfRule type="expression" dxfId="975" priority="47">
      <formula>Z$9&lt;8/24</formula>
    </cfRule>
  </conditionalFormatting>
  <conditionalFormatting sqref="Z69:Z70">
    <cfRule type="expression" dxfId="974" priority="124">
      <formula>Z69&gt;$AG69</formula>
    </cfRule>
  </conditionalFormatting>
  <conditionalFormatting sqref="B66:Y70 B54:AF62 Z66:AF69">
    <cfRule type="expression" dxfId="973" priority="119">
      <formula>B54&gt;$AG54</formula>
    </cfRule>
  </conditionalFormatting>
  <conditionalFormatting sqref="AB8">
    <cfRule type="expression" dxfId="972" priority="168">
      <formula>AD$9&gt;=20/24</formula>
    </cfRule>
    <cfRule type="expression" dxfId="971" priority="169">
      <formula>AND(AD$9&gt;=14/24,AD$9&lt;20/24)</formula>
    </cfRule>
    <cfRule type="expression" dxfId="970" priority="170">
      <formula>AND(AD$9&gt;=8/24,AD$9&lt;14/24)</formula>
    </cfRule>
    <cfRule type="expression" dxfId="969" priority="171">
      <formula>AD$9&lt;8/24</formula>
    </cfRule>
  </conditionalFormatting>
  <conditionalFormatting sqref="AG78">
    <cfRule type="expression" dxfId="968" priority="147">
      <formula>AG$9&gt;=20/24</formula>
    </cfRule>
    <cfRule type="expression" dxfId="967" priority="148">
      <formula>AND(AG$9&gt;=14/24,AG$9&lt;20/24)</formula>
    </cfRule>
    <cfRule type="expression" dxfId="966" priority="149">
      <formula>AND(AG$9&gt;=8/24,AG$9&lt;14/24)</formula>
    </cfRule>
    <cfRule type="expression" dxfId="965" priority="150">
      <formula>AG$9&lt;8/24</formula>
    </cfRule>
  </conditionalFormatting>
  <conditionalFormatting sqref="AG91:AG92">
    <cfRule type="expression" dxfId="964" priority="142">
      <formula>AG91&gt;$AG91</formula>
    </cfRule>
  </conditionalFormatting>
  <conditionalFormatting sqref="AG96">
    <cfRule type="expression" dxfId="963" priority="143">
      <formula>AG$9&gt;=20/24</formula>
    </cfRule>
    <cfRule type="expression" dxfId="962" priority="144">
      <formula>AND(AG$9&gt;=14/24,AG$9&lt;20/24)</formula>
    </cfRule>
    <cfRule type="expression" dxfId="961" priority="145">
      <formula>AND(AG$9&gt;=8/24,AG$9&lt;14/24)</formula>
    </cfRule>
    <cfRule type="expression" dxfId="960" priority="146">
      <formula>AG$9&lt;8/24</formula>
    </cfRule>
  </conditionalFormatting>
  <conditionalFormatting sqref="AG113">
    <cfRule type="expression" dxfId="959" priority="164">
      <formula>AG$9&gt;=20/24</formula>
    </cfRule>
    <cfRule type="expression" dxfId="958" priority="165">
      <formula>AND(AG$9&gt;=14/24,AG$9&lt;20/24)</formula>
    </cfRule>
    <cfRule type="expression" dxfId="957" priority="166">
      <formula>AND(AG$9&gt;=8/24,AG$9&lt;14/24)</formula>
    </cfRule>
    <cfRule type="expression" dxfId="956" priority="167">
      <formula>AG$9&lt;8/24</formula>
    </cfRule>
  </conditionalFormatting>
  <conditionalFormatting sqref="AH8:AI10">
    <cfRule type="expression" dxfId="955" priority="55">
      <formula>AH$9&gt;=20/24</formula>
    </cfRule>
    <cfRule type="expression" dxfId="954" priority="56">
      <formula>AND(AH$9&gt;=14/24,AH$9&lt;20/24)</formula>
    </cfRule>
    <cfRule type="expression" dxfId="953" priority="57">
      <formula>AND(AH$9&gt;=8/24,AH$9&lt;14/24)</formula>
    </cfRule>
    <cfRule type="expression" dxfId="9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51" priority="185">
      <formula>AJ$9&gt;=20/24</formula>
    </cfRule>
    <cfRule type="expression" dxfId="950" priority="186">
      <formula>AND(AJ$9&gt;=14/24,AJ$9&lt;20/24)</formula>
    </cfRule>
    <cfRule type="expression" dxfId="949" priority="187">
      <formula>AND(AJ$9&gt;=8/24,AJ$9&lt;14/24)</formula>
    </cfRule>
    <cfRule type="expression" dxfId="948" priority="188">
      <formula>AJ$9&lt;8/24</formula>
    </cfRule>
  </conditionalFormatting>
  <conditionalFormatting sqref="AL99:AN99 AL105:AN105">
    <cfRule type="expression" dxfId="947" priority="157">
      <formula>AL$9&gt;=20/24</formula>
    </cfRule>
    <cfRule type="expression" dxfId="946" priority="158">
      <formula>AND(AL$9&gt;=14/24,AL$9&lt;20/24)</formula>
    </cfRule>
    <cfRule type="expression" dxfId="945" priority="159">
      <formula>AND(AL$9&gt;=8/24,AL$9&lt;14/24)</formula>
    </cfRule>
    <cfRule type="expression" dxfId="944" priority="160">
      <formula>AL$9&lt;8/24</formula>
    </cfRule>
  </conditionalFormatting>
  <conditionalFormatting sqref="AM15:AM21 AN16:AR21">
    <cfRule type="expression" dxfId="943" priority="81">
      <formula>AX$9&gt;=20/24</formula>
    </cfRule>
    <cfRule type="expression" dxfId="942" priority="82">
      <formula>AND(AX$9&gt;=14/24,AX$9&lt;20/24)</formula>
    </cfRule>
    <cfRule type="expression" dxfId="941" priority="83">
      <formula>AND(AX$9&gt;=8/24,AX$9&lt;14/24)</formula>
    </cfRule>
    <cfRule type="expression" dxfId="940" priority="84">
      <formula>AX$9&lt;8/24</formula>
    </cfRule>
  </conditionalFormatting>
  <conditionalFormatting sqref="AN100:AN103">
    <cfRule type="expression" dxfId="939" priority="153">
      <formula>AN$9&gt;=20/24</formula>
    </cfRule>
    <cfRule type="expression" dxfId="938" priority="154">
      <formula>AND(AN$9&gt;=14/24,AN$9&lt;20/24)</formula>
    </cfRule>
    <cfRule type="expression" dxfId="937" priority="155">
      <formula>AND(AN$9&gt;=8/24,AN$9&lt;14/24)</formula>
    </cfRule>
    <cfRule type="expression" dxfId="936" priority="156">
      <formula>AN$9&lt;8/24</formula>
    </cfRule>
  </conditionalFormatting>
  <conditionalFormatting sqref="AN15:AR15">
    <cfRule type="expression" dxfId="935" priority="69">
      <formula>U$9&gt;=20/24</formula>
    </cfRule>
    <cfRule type="expression" dxfId="934" priority="70">
      <formula>AND(U$9&gt;=14/24,U$9&lt;20/24)</formula>
    </cfRule>
    <cfRule type="expression" dxfId="933" priority="71">
      <formula>AND(U$9&gt;=8/24,U$9&lt;14/24)</formula>
    </cfRule>
    <cfRule type="expression" dxfId="932" priority="72">
      <formula>U$9&lt;8/24</formula>
    </cfRule>
  </conditionalFormatting>
  <conditionalFormatting sqref="AS15">
    <cfRule type="expression" dxfId="931" priority="77">
      <formula>AA$9&gt;=20/24</formula>
    </cfRule>
    <cfRule type="expression" dxfId="930" priority="78">
      <formula>AND(AA$9&gt;=14/24,AA$9&lt;20/24)</formula>
    </cfRule>
    <cfRule type="expression" dxfId="929" priority="79">
      <formula>AND(AA$9&gt;=8/24,AA$9&lt;14/24)</formula>
    </cfRule>
    <cfRule type="expression" dxfId="928" priority="80">
      <formula>AA$9&lt;8/24</formula>
    </cfRule>
  </conditionalFormatting>
  <conditionalFormatting sqref="AS16:AS21">
    <cfRule type="expression" dxfId="927" priority="85">
      <formula>BE$9&gt;=20/24</formula>
    </cfRule>
    <cfRule type="expression" dxfId="926" priority="86">
      <formula>AND(BE$9&gt;=14/24,BE$9&lt;20/24)</formula>
    </cfRule>
    <cfRule type="expression" dxfId="925" priority="87">
      <formula>AND(BE$9&gt;=8/24,BE$9&lt;14/24)</formula>
    </cfRule>
    <cfRule type="expression" dxfId="924" priority="88">
      <formula>BE$9&lt;8/24</formula>
    </cfRule>
  </conditionalFormatting>
  <conditionalFormatting sqref="AT15 AX15:BJ15">
    <cfRule type="expression" dxfId="923" priority="89">
      <formula>AC$9&gt;=20/24</formula>
    </cfRule>
    <cfRule type="expression" dxfId="922" priority="90">
      <formula>AND(AC$9&gt;=14/24,AC$9&lt;20/24)</formula>
    </cfRule>
    <cfRule type="expression" dxfId="921" priority="91">
      <formula>AND(AC$9&gt;=8/24,AC$9&lt;14/24)</formula>
    </cfRule>
    <cfRule type="expression" dxfId="920" priority="92">
      <formula>AC$9&lt;8/24</formula>
    </cfRule>
  </conditionalFormatting>
  <conditionalFormatting sqref="AT16:AT21">
    <cfRule type="expression" dxfId="919" priority="93">
      <formula>BG$9&gt;=20/24</formula>
    </cfRule>
    <cfRule type="expression" dxfId="918" priority="94">
      <formula>AND(BG$9&gt;=14/24,BG$9&lt;20/24)</formula>
    </cfRule>
    <cfRule type="expression" dxfId="917" priority="95">
      <formula>AND(BG$9&gt;=8/24,BG$9&lt;14/24)</formula>
    </cfRule>
    <cfRule type="expression" dxfId="916" priority="96">
      <formula>BG$9&lt;8/24</formula>
    </cfRule>
  </conditionalFormatting>
  <conditionalFormatting sqref="AU15:AV15">
    <cfRule type="expression" dxfId="915" priority="97">
      <formula>AE$9&gt;=20/24</formula>
    </cfRule>
    <cfRule type="expression" dxfId="914" priority="98">
      <formula>AND(AE$9&gt;=14/24,AE$9&lt;20/24)</formula>
    </cfRule>
    <cfRule type="expression" dxfId="913" priority="99">
      <formula>AND(AE$9&gt;=8/24,AE$9&lt;14/24)</formula>
    </cfRule>
    <cfRule type="expression" dxfId="912" priority="100">
      <formula>AE$9&lt;8/24</formula>
    </cfRule>
  </conditionalFormatting>
  <conditionalFormatting sqref="AU16:BJ21">
    <cfRule type="expression" dxfId="911" priority="101">
      <formula>BI$9&gt;=20/24</formula>
    </cfRule>
    <cfRule type="expression" dxfId="910" priority="102">
      <formula>AND(BI$9&gt;=14/24,BI$9&lt;20/24)</formula>
    </cfRule>
    <cfRule type="expression" dxfId="909" priority="103">
      <formula>AND(BI$9&gt;=8/24,BI$9&lt;14/24)</formula>
    </cfRule>
    <cfRule type="expression" dxfId="908" priority="104">
      <formula>BI$9&lt;8/24</formula>
    </cfRule>
  </conditionalFormatting>
  <conditionalFormatting sqref="AW15">
    <cfRule type="expression" dxfId="907" priority="73">
      <formula>B$9&gt;=20/24</formula>
    </cfRule>
    <cfRule type="expression" dxfId="906" priority="74">
      <formula>AND(B$9&gt;=14/24,B$9&lt;20/24)</formula>
    </cfRule>
    <cfRule type="expression" dxfId="905" priority="75">
      <formula>AND(B$9&gt;=8/24,B$9&lt;14/24)</formula>
    </cfRule>
    <cfRule type="expression" dxfId="904" priority="76">
      <formula>B$9&lt;8/24</formula>
    </cfRule>
  </conditionalFormatting>
  <conditionalFormatting sqref="A73">
    <cfRule type="expression" dxfId="903" priority="24">
      <formula>$AH73=0</formula>
    </cfRule>
  </conditionalFormatting>
  <conditionalFormatting sqref="B97:B107 B137:B152 B109:B112 B125:B134 B154:B159 C137:E151 C126:Q133 B11:Y13">
    <cfRule type="expression" dxfId="902" priority="20">
      <formula>B$9&gt;=20/24</formula>
    </cfRule>
  </conditionalFormatting>
  <conditionalFormatting sqref="B97:B107 B137:B152 B109:B112 B125:B134 B154:B159 C137:E151 C126:Q133 B11:Y13">
    <cfRule type="expression" dxfId="901" priority="21">
      <formula>AND(B$9&gt;=14/24,B$9&lt;20/24)</formula>
    </cfRule>
    <cfRule type="expression" dxfId="900" priority="22">
      <formula>AND(B$9&gt;=8/24,B$9&lt;14/24)</formula>
    </cfRule>
    <cfRule type="expression" dxfId="899" priority="23">
      <formula>B$9&lt;8/24</formula>
    </cfRule>
  </conditionalFormatting>
  <conditionalFormatting sqref="B14:Y28">
    <cfRule type="expression" dxfId="898" priority="10">
      <formula>B14&gt;$AG14*1</formula>
    </cfRule>
    <cfRule type="expression" dxfId="897" priority="11">
      <formula>B$9&gt;=20/24</formula>
    </cfRule>
    <cfRule type="expression" dxfId="896" priority="12">
      <formula>AND(B$9&gt;=14/24,B$9&lt;20/24)</formula>
    </cfRule>
    <cfRule type="expression" dxfId="895" priority="13">
      <formula>AND(B$9&gt;=8/24,B$9&lt;14/24)</formula>
    </cfRule>
    <cfRule type="expression" dxfId="894" priority="14">
      <formula>B$9&lt;8/24</formula>
    </cfRule>
  </conditionalFormatting>
  <conditionalFormatting sqref="B161:B167">
    <cfRule type="expression" dxfId="893" priority="15">
      <formula>B$9&gt;=20/24</formula>
    </cfRule>
    <cfRule type="expression" dxfId="892" priority="16">
      <formula>AND(B$9&gt;=14/24,B$9&lt;20/24)</formula>
    </cfRule>
    <cfRule type="expression" dxfId="891" priority="17">
      <formula>AND(B$9&gt;=8/24,B$9&lt;14/24)</formula>
    </cfRule>
    <cfRule type="expression" dxfId="890" priority="18">
      <formula>B$9&lt;8/24</formula>
    </cfRule>
  </conditionalFormatting>
  <conditionalFormatting sqref="B169:B274">
    <cfRule type="expression" dxfId="889" priority="6">
      <formula>B$9&gt;=20/24</formula>
    </cfRule>
    <cfRule type="expression" dxfId="888" priority="7">
      <formula>AND(B$9&gt;=14/24,B$9&lt;20/24)</formula>
    </cfRule>
    <cfRule type="expression" dxfId="887" priority="8">
      <formula>AND(B$9&gt;=8/24,B$9&lt;14/24)</formula>
    </cfRule>
    <cfRule type="expression" dxfId="886" priority="9">
      <formula>B$9&lt;8/24</formula>
    </cfRule>
  </conditionalFormatting>
  <conditionalFormatting sqref="B11:Y13">
    <cfRule type="expression" dxfId="885" priority="19">
      <formula>B11&gt;$AG11*1</formula>
    </cfRule>
  </conditionalFormatting>
  <conditionalFormatting sqref="A153">
    <cfRule type="expression" dxfId="8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83" priority="1">
      <formula>AL$9&gt;=20/24</formula>
    </cfRule>
  </conditionalFormatting>
  <conditionalFormatting sqref="AL153">
    <cfRule type="expression" dxfId="882" priority="2">
      <formula>AND(AL$9&gt;=14/24,AL$9&lt;20/24)</formula>
    </cfRule>
    <cfRule type="expression" dxfId="881" priority="3">
      <formula>AND(AL$9&gt;=8/24,AL$9&lt;14/24)</formula>
    </cfRule>
    <cfRule type="expression" dxfId="8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79" priority="25">
      <formula>$AH11=0</formula>
    </cfRule>
  </conditionalFormatting>
  <conditionalFormatting sqref="A101:A102">
    <cfRule type="expression" dxfId="878" priority="193">
      <formula>$AH106=0</formula>
    </cfRule>
  </conditionalFormatting>
  <conditionalFormatting sqref="A103:A107">
    <cfRule type="expression" dxfId="877" priority="141">
      <formula>$AH102=0</formula>
    </cfRule>
  </conditionalFormatting>
  <conditionalFormatting sqref="A160:A167">
    <cfRule type="expression" dxfId="876" priority="194">
      <formula>$AH267=0</formula>
    </cfRule>
  </conditionalFormatting>
  <conditionalFormatting sqref="A168:A275">
    <cfRule type="expression" dxfId="875" priority="64">
      <formula>$AH168=0</formula>
    </cfRule>
  </conditionalFormatting>
  <conditionalFormatting sqref="B8">
    <cfRule type="expression" dxfId="874" priority="189">
      <formula>AND(C$9&gt;=14/24,C$9&lt;20/24)</formula>
    </cfRule>
    <cfRule type="expression" dxfId="873" priority="190">
      <formula>AND(C$9&gt;=8/24,C$9&lt;14/24)</formula>
    </cfRule>
    <cfRule type="expression" dxfId="872" priority="191">
      <formula>C$9&lt;8/24</formula>
    </cfRule>
    <cfRule type="expression" dxfId="87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87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869" priority="107">
      <formula>AND(B$9&gt;=14/24,B$9&lt;20/24)</formula>
    </cfRule>
    <cfRule type="expression" dxfId="868" priority="108">
      <formula>AND(B$9&gt;=8/24,B$9&lt;14/24)</formula>
    </cfRule>
    <cfRule type="expression" dxfId="867" priority="109">
      <formula>B$9&lt;8/24</formula>
    </cfRule>
  </conditionalFormatting>
  <conditionalFormatting sqref="B29:AF53">
    <cfRule type="expression" dxfId="866" priority="49">
      <formula>B29&gt;$AG29*1</formula>
    </cfRule>
    <cfRule type="expression" dxfId="865" priority="50">
      <formula>B$9&gt;=20/24</formula>
    </cfRule>
    <cfRule type="expression" dxfId="864" priority="51">
      <formula>AND(B$9&gt;=14/24,B$9&lt;20/24)</formula>
    </cfRule>
    <cfRule type="expression" dxfId="863" priority="52">
      <formula>AND(B$9&gt;=8/24,B$9&lt;14/24)</formula>
    </cfRule>
    <cfRule type="expression" dxfId="862" priority="53">
      <formula>B$9&lt;8/24</formula>
    </cfRule>
  </conditionalFormatting>
  <conditionalFormatting sqref="B54:AF68">
    <cfRule type="expression" dxfId="861" priority="42">
      <formula>B$9&lt;8/24</formula>
    </cfRule>
  </conditionalFormatting>
  <conditionalFormatting sqref="B54:AF70">
    <cfRule type="expression" dxfId="860" priority="39">
      <formula>B$9&gt;=20/24</formula>
    </cfRule>
    <cfRule type="expression" dxfId="859" priority="40">
      <formula>AND(B$9&gt;=14/24,B$9&lt;20/24)</formula>
    </cfRule>
    <cfRule type="expression" dxfId="858" priority="41">
      <formula>AND(B$9&gt;=8/24,B$9&lt;14/24)</formula>
    </cfRule>
  </conditionalFormatting>
  <conditionalFormatting sqref="B63:AF65">
    <cfRule type="expression" dxfId="857" priority="43">
      <formula>B63&gt;$AG63</formula>
    </cfRule>
  </conditionalFormatting>
  <conditionalFormatting sqref="B69:AF70">
    <cfRule type="expression" dxfId="856" priority="114">
      <formula>B$9&lt;8/24</formula>
    </cfRule>
  </conditionalFormatting>
  <conditionalFormatting sqref="B72:AF75">
    <cfRule type="expression" dxfId="855" priority="30">
      <formula>B72&gt;$AG72*1</formula>
    </cfRule>
  </conditionalFormatting>
  <conditionalFormatting sqref="B73:AF75">
    <cfRule type="expression" dxfId="854" priority="31">
      <formula>B$9&gt;=20/24</formula>
    </cfRule>
    <cfRule type="expression" dxfId="853" priority="32">
      <formula>AND(B$9&gt;=14/24,B$9&lt;20/24)</formula>
    </cfRule>
    <cfRule type="expression" dxfId="852" priority="33">
      <formula>AND(B$9&gt;=8/24,B$9&lt;14/24)</formula>
    </cfRule>
    <cfRule type="expression" dxfId="851" priority="34">
      <formula>B$9&lt;8/24</formula>
    </cfRule>
  </conditionalFormatting>
  <conditionalFormatting sqref="C161:AF167">
    <cfRule type="expression" dxfId="850" priority="65">
      <formula>C$9&gt;=20/24</formula>
    </cfRule>
    <cfRule type="expression" dxfId="849" priority="66">
      <formula>AND(C$9&gt;=14/24,C$9&lt;20/24)</formula>
    </cfRule>
    <cfRule type="expression" dxfId="848" priority="67">
      <formula>AND(C$9&gt;=8/24,C$9&lt;14/24)</formula>
    </cfRule>
    <cfRule type="expression" dxfId="847" priority="68">
      <formula>C$9&lt;8/24</formula>
    </cfRule>
  </conditionalFormatting>
  <conditionalFormatting sqref="C169:AF274">
    <cfRule type="expression" dxfId="846" priority="26">
      <formula>C$9&gt;=20/24</formula>
    </cfRule>
    <cfRule type="expression" dxfId="845" priority="27">
      <formula>AND(C$9&gt;=14/24,C$9&lt;20/24)</formula>
    </cfRule>
    <cfRule type="expression" dxfId="844" priority="28">
      <formula>AND(C$9&gt;=8/24,C$9&lt;14/24)</formula>
    </cfRule>
    <cfRule type="expression" dxfId="843" priority="29">
      <formula>C$9&lt;8/24</formula>
    </cfRule>
  </conditionalFormatting>
  <conditionalFormatting sqref="AG78 AG96 B71:AG71 B69:AF69 B76:AF96">
    <cfRule type="expression" dxfId="842" priority="105">
      <formula>B69&gt;$AG69*1</formula>
    </cfRule>
  </conditionalFormatting>
  <conditionalFormatting sqref="G79:AF83">
    <cfRule type="expression" dxfId="841" priority="115">
      <formula>G$9&gt;=20/24</formula>
    </cfRule>
    <cfRule type="expression" dxfId="840" priority="116">
      <formula>AND(G$9&gt;=14/24,G$9&lt;20/24)</formula>
    </cfRule>
    <cfRule type="expression" dxfId="839" priority="117">
      <formula>AND(G$9&gt;=8/24,G$9&lt;14/24)</formula>
    </cfRule>
    <cfRule type="expression" dxfId="838" priority="118">
      <formula>G$9&lt;8/24</formula>
    </cfRule>
  </conditionalFormatting>
  <conditionalFormatting sqref="G84:AF84">
    <cfRule type="expression" dxfId="837" priority="110">
      <formula>G$9&gt;=20/24</formula>
    </cfRule>
    <cfRule type="expression" dxfId="836" priority="111">
      <formula>AND(G$9&gt;=14/24,G$9&lt;20/24)</formula>
    </cfRule>
    <cfRule type="expression" dxfId="835" priority="112">
      <formula>AND(G$9&gt;=8/24,G$9&lt;14/24)</formula>
    </cfRule>
    <cfRule type="expression" dxfId="834" priority="113">
      <formula>G$9&lt;8/24</formula>
    </cfRule>
  </conditionalFormatting>
  <conditionalFormatting sqref="G78:AF78 B72:AF72">
    <cfRule type="expression" dxfId="833" priority="125">
      <formula>B$9&gt;=20/24</formula>
    </cfRule>
    <cfRule type="expression" dxfId="832" priority="126">
      <formula>AND(B$9&gt;=14/24,B$9&lt;20/24)</formula>
    </cfRule>
    <cfRule type="expression" dxfId="831" priority="127">
      <formula>AND(B$9&gt;=8/24,B$9&lt;14/24)</formula>
    </cfRule>
    <cfRule type="expression" dxfId="830" priority="128">
      <formula>B$9&lt;8/24</formula>
    </cfRule>
  </conditionalFormatting>
  <conditionalFormatting sqref="G79:AF81">
    <cfRule type="expression" dxfId="829" priority="133">
      <formula>G$9&gt;=20/24</formula>
    </cfRule>
    <cfRule type="expression" dxfId="828" priority="134">
      <formula>AND(G$9&gt;=14/24,G$9&lt;20/24)</formula>
    </cfRule>
    <cfRule type="expression" dxfId="827" priority="135">
      <formula>AND(G$9&gt;=8/24,G$9&lt;14/24)</formula>
    </cfRule>
    <cfRule type="expression" dxfId="826" priority="136">
      <formula>G$9&lt;8/24</formula>
    </cfRule>
  </conditionalFormatting>
  <conditionalFormatting sqref="L84:AF84">
    <cfRule type="expression" dxfId="825" priority="129">
      <formula>L$9&gt;=20/24</formula>
    </cfRule>
    <cfRule type="expression" dxfId="824" priority="130">
      <formula>AND(L$9&gt;=14/24,L$9&lt;20/24)</formula>
    </cfRule>
    <cfRule type="expression" dxfId="823" priority="131">
      <formula>AND(L$9&gt;=8/24,L$9&lt;14/24)</formula>
    </cfRule>
    <cfRule type="expression" dxfId="822" priority="132">
      <formula>L$9&lt;8/24</formula>
    </cfRule>
  </conditionalFormatting>
  <conditionalFormatting sqref="M8 S8 AB8">
    <cfRule type="expression" dxfId="821" priority="182">
      <formula>AND(N$9&gt;=14/24,N$9&lt;20/24)</formula>
    </cfRule>
    <cfRule type="expression" dxfId="820" priority="183">
      <formula>AND(N$9&gt;=8/24,N$9&lt;14/24)</formula>
    </cfRule>
    <cfRule type="expression" dxfId="819" priority="184">
      <formula>N$9&lt;8/24</formula>
    </cfRule>
  </conditionalFormatting>
  <conditionalFormatting sqref="Y79:AF83">
    <cfRule type="expression" dxfId="818" priority="137">
      <formula>Y$9&gt;=20/24</formula>
    </cfRule>
    <cfRule type="expression" dxfId="817" priority="138">
      <formula>AND(Y$9&gt;=14/24,Y$9&lt;20/24)</formula>
    </cfRule>
    <cfRule type="expression" dxfId="816" priority="139">
      <formula>AND(Y$9&gt;=8/24,Y$9&lt;14/24)</formula>
    </cfRule>
    <cfRule type="expression" dxfId="8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14" priority="181">
      <formula>N$9&gt;=20/24</formula>
    </cfRule>
  </conditionalFormatting>
  <conditionalFormatting sqref="S8">
    <cfRule type="expression" dxfId="813" priority="172">
      <formula>U$9&gt;=20/24</formula>
    </cfRule>
    <cfRule type="expression" dxfId="812" priority="173">
      <formula>AND(U$9&gt;=14/24,U$9&lt;20/24)</formula>
    </cfRule>
    <cfRule type="expression" dxfId="811" priority="174">
      <formula>AND(U$9&gt;=8/24,U$9&lt;14/24)</formula>
    </cfRule>
    <cfRule type="expression" dxfId="810" priority="175">
      <formula>U$9&lt;8/24</formula>
    </cfRule>
  </conditionalFormatting>
  <conditionalFormatting sqref="Y79:AF84">
    <cfRule type="expression" dxfId="809" priority="59">
      <formula>Y$9&gt;=20/24</formula>
    </cfRule>
    <cfRule type="expression" dxfId="808" priority="60">
      <formula>AND(Y$9&gt;=14/24,Y$9&lt;20/24)</formula>
    </cfRule>
    <cfRule type="expression" dxfId="807" priority="61">
      <formula>AND(Y$9&gt;=8/24,Y$9&lt;14/24)</formula>
    </cfRule>
    <cfRule type="expression" dxfId="8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05" priority="119">
      <formula>B54&gt;$AG54</formula>
    </cfRule>
  </conditionalFormatting>
  <conditionalFormatting sqref="AB8">
    <cfRule type="expression" dxfId="804" priority="168">
      <formula>AD$9&gt;=20/24</formula>
    </cfRule>
    <cfRule type="expression" dxfId="803" priority="169">
      <formula>AND(AD$9&gt;=14/24,AD$9&lt;20/24)</formula>
    </cfRule>
    <cfRule type="expression" dxfId="802" priority="170">
      <formula>AND(AD$9&gt;=8/24,AD$9&lt;14/24)</formula>
    </cfRule>
    <cfRule type="expression" dxfId="801" priority="171">
      <formula>AD$9&lt;8/24</formula>
    </cfRule>
  </conditionalFormatting>
  <conditionalFormatting sqref="AG78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91:AG92">
    <cfRule type="expression" dxfId="796" priority="142">
      <formula>AG91&gt;$AG91</formula>
    </cfRule>
  </conditionalFormatting>
  <conditionalFormatting sqref="AG96">
    <cfRule type="expression" dxfId="795" priority="143">
      <formula>AG$9&gt;=20/24</formula>
    </cfRule>
    <cfRule type="expression" dxfId="794" priority="144">
      <formula>AND(AG$9&gt;=14/24,AG$9&lt;20/24)</formula>
    </cfRule>
    <cfRule type="expression" dxfId="793" priority="145">
      <formula>AND(AG$9&gt;=8/24,AG$9&lt;14/24)</formula>
    </cfRule>
    <cfRule type="expression" dxfId="792" priority="146">
      <formula>AG$9&lt;8/24</formula>
    </cfRule>
  </conditionalFormatting>
  <conditionalFormatting sqref="AG113">
    <cfRule type="expression" dxfId="791" priority="164">
      <formula>AG$9&gt;=20/24</formula>
    </cfRule>
    <cfRule type="expression" dxfId="790" priority="165">
      <formula>AND(AG$9&gt;=14/24,AG$9&lt;20/24)</formula>
    </cfRule>
    <cfRule type="expression" dxfId="789" priority="166">
      <formula>AND(AG$9&gt;=8/24,AG$9&lt;14/24)</formula>
    </cfRule>
    <cfRule type="expression" dxfId="788" priority="167">
      <formula>AG$9&lt;8/24</formula>
    </cfRule>
  </conditionalFormatting>
  <conditionalFormatting sqref="AH8:AI10">
    <cfRule type="expression" dxfId="787" priority="55">
      <formula>AH$9&gt;=20/24</formula>
    </cfRule>
    <cfRule type="expression" dxfId="786" priority="56">
      <formula>AND(AH$9&gt;=14/24,AH$9&lt;20/24)</formula>
    </cfRule>
    <cfRule type="expression" dxfId="785" priority="57">
      <formula>AND(AH$9&gt;=8/24,AH$9&lt;14/24)</formula>
    </cfRule>
    <cfRule type="expression" dxfId="78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3" priority="185">
      <formula>AJ$9&gt;=20/24</formula>
    </cfRule>
    <cfRule type="expression" dxfId="782" priority="186">
      <formula>AND(AJ$9&gt;=14/24,AJ$9&lt;20/24)</formula>
    </cfRule>
    <cfRule type="expression" dxfId="781" priority="187">
      <formula>AND(AJ$9&gt;=8/24,AJ$9&lt;14/24)</formula>
    </cfRule>
    <cfRule type="expression" dxfId="780" priority="188">
      <formula>AJ$9&lt;8/24</formula>
    </cfRule>
  </conditionalFormatting>
  <conditionalFormatting sqref="AL99:AN99 AL105:AN105">
    <cfRule type="expression" dxfId="779" priority="157">
      <formula>AL$9&gt;=20/24</formula>
    </cfRule>
    <cfRule type="expression" dxfId="778" priority="158">
      <formula>AND(AL$9&gt;=14/24,AL$9&lt;20/24)</formula>
    </cfRule>
    <cfRule type="expression" dxfId="777" priority="159">
      <formula>AND(AL$9&gt;=8/24,AL$9&lt;14/24)</formula>
    </cfRule>
    <cfRule type="expression" dxfId="776" priority="160">
      <formula>AL$9&lt;8/24</formula>
    </cfRule>
  </conditionalFormatting>
  <conditionalFormatting sqref="AM15:AM21 AN16:AR21">
    <cfRule type="expression" dxfId="775" priority="81">
      <formula>AX$9&gt;=20/24</formula>
    </cfRule>
    <cfRule type="expression" dxfId="774" priority="82">
      <formula>AND(AX$9&gt;=14/24,AX$9&lt;20/24)</formula>
    </cfRule>
    <cfRule type="expression" dxfId="773" priority="83">
      <formula>AND(AX$9&gt;=8/24,AX$9&lt;14/24)</formula>
    </cfRule>
    <cfRule type="expression" dxfId="772" priority="84">
      <formula>AX$9&lt;8/24</formula>
    </cfRule>
  </conditionalFormatting>
  <conditionalFormatting sqref="AN100:AN103">
    <cfRule type="expression" dxfId="771" priority="153">
      <formula>AN$9&gt;=20/24</formula>
    </cfRule>
    <cfRule type="expression" dxfId="770" priority="154">
      <formula>AND(AN$9&gt;=14/24,AN$9&lt;20/24)</formula>
    </cfRule>
    <cfRule type="expression" dxfId="769" priority="155">
      <formula>AND(AN$9&gt;=8/24,AN$9&lt;14/24)</formula>
    </cfRule>
    <cfRule type="expression" dxfId="768" priority="156">
      <formula>AN$9&lt;8/24</formula>
    </cfRule>
  </conditionalFormatting>
  <conditionalFormatting sqref="AN15:AR15">
    <cfRule type="expression" dxfId="767" priority="69">
      <formula>U$9&gt;=20/24</formula>
    </cfRule>
    <cfRule type="expression" dxfId="766" priority="70">
      <formula>AND(U$9&gt;=14/24,U$9&lt;20/24)</formula>
    </cfRule>
    <cfRule type="expression" dxfId="765" priority="71">
      <formula>AND(U$9&gt;=8/24,U$9&lt;14/24)</formula>
    </cfRule>
    <cfRule type="expression" dxfId="764" priority="72">
      <formula>U$9&lt;8/24</formula>
    </cfRule>
  </conditionalFormatting>
  <conditionalFormatting sqref="AS15">
    <cfRule type="expression" dxfId="763" priority="77">
      <formula>AA$9&gt;=20/24</formula>
    </cfRule>
    <cfRule type="expression" dxfId="762" priority="78">
      <formula>AND(AA$9&gt;=14/24,AA$9&lt;20/24)</formula>
    </cfRule>
    <cfRule type="expression" dxfId="761" priority="79">
      <formula>AND(AA$9&gt;=8/24,AA$9&lt;14/24)</formula>
    </cfRule>
    <cfRule type="expression" dxfId="760" priority="80">
      <formula>AA$9&lt;8/24</formula>
    </cfRule>
  </conditionalFormatting>
  <conditionalFormatting sqref="AS16:AS21">
    <cfRule type="expression" dxfId="759" priority="85">
      <formula>BE$9&gt;=20/24</formula>
    </cfRule>
    <cfRule type="expression" dxfId="758" priority="86">
      <formula>AND(BE$9&gt;=14/24,BE$9&lt;20/24)</formula>
    </cfRule>
    <cfRule type="expression" dxfId="757" priority="87">
      <formula>AND(BE$9&gt;=8/24,BE$9&lt;14/24)</formula>
    </cfRule>
    <cfRule type="expression" dxfId="756" priority="88">
      <formula>BE$9&lt;8/24</formula>
    </cfRule>
  </conditionalFormatting>
  <conditionalFormatting sqref="AT15 AX15:BJ15">
    <cfRule type="expression" dxfId="755" priority="89">
      <formula>AC$9&gt;=20/24</formula>
    </cfRule>
    <cfRule type="expression" dxfId="754" priority="90">
      <formula>AND(AC$9&gt;=14/24,AC$9&lt;20/24)</formula>
    </cfRule>
    <cfRule type="expression" dxfId="753" priority="91">
      <formula>AND(AC$9&gt;=8/24,AC$9&lt;14/24)</formula>
    </cfRule>
    <cfRule type="expression" dxfId="752" priority="92">
      <formula>AC$9&lt;8/24</formula>
    </cfRule>
  </conditionalFormatting>
  <conditionalFormatting sqref="AT16:AT21">
    <cfRule type="expression" dxfId="751" priority="93">
      <formula>BG$9&gt;=20/24</formula>
    </cfRule>
    <cfRule type="expression" dxfId="750" priority="94">
      <formula>AND(BG$9&gt;=14/24,BG$9&lt;20/24)</formula>
    </cfRule>
    <cfRule type="expression" dxfId="749" priority="95">
      <formula>AND(BG$9&gt;=8/24,BG$9&lt;14/24)</formula>
    </cfRule>
    <cfRule type="expression" dxfId="748" priority="96">
      <formula>BG$9&lt;8/24</formula>
    </cfRule>
  </conditionalFormatting>
  <conditionalFormatting sqref="AU15:AV15">
    <cfRule type="expression" dxfId="747" priority="97">
      <formula>AE$9&gt;=20/24</formula>
    </cfRule>
    <cfRule type="expression" dxfId="746" priority="98">
      <formula>AND(AE$9&gt;=14/24,AE$9&lt;20/24)</formula>
    </cfRule>
    <cfRule type="expression" dxfId="745" priority="99">
      <formula>AND(AE$9&gt;=8/24,AE$9&lt;14/24)</formula>
    </cfRule>
    <cfRule type="expression" dxfId="744" priority="100">
      <formula>AE$9&lt;8/24</formula>
    </cfRule>
  </conditionalFormatting>
  <conditionalFormatting sqref="AU16:BJ21">
    <cfRule type="expression" dxfId="743" priority="101">
      <formula>BI$9&gt;=20/24</formula>
    </cfRule>
    <cfRule type="expression" dxfId="742" priority="102">
      <formula>AND(BI$9&gt;=14/24,BI$9&lt;20/24)</formula>
    </cfRule>
    <cfRule type="expression" dxfId="741" priority="103">
      <formula>AND(BI$9&gt;=8/24,BI$9&lt;14/24)</formula>
    </cfRule>
    <cfRule type="expression" dxfId="740" priority="104">
      <formula>BI$9&lt;8/24</formula>
    </cfRule>
  </conditionalFormatting>
  <conditionalFormatting sqref="AW15">
    <cfRule type="expression" dxfId="739" priority="73">
      <formula>B$9&gt;=20/24</formula>
    </cfRule>
    <cfRule type="expression" dxfId="738" priority="74">
      <formula>AND(B$9&gt;=14/24,B$9&lt;20/24)</formula>
    </cfRule>
    <cfRule type="expression" dxfId="737" priority="75">
      <formula>AND(B$9&gt;=8/24,B$9&lt;14/24)</formula>
    </cfRule>
    <cfRule type="expression" dxfId="736" priority="76">
      <formula>B$9&lt;8/24</formula>
    </cfRule>
  </conditionalFormatting>
  <conditionalFormatting sqref="A73">
    <cfRule type="expression" dxfId="735" priority="24">
      <formula>$AH73=0</formula>
    </cfRule>
  </conditionalFormatting>
  <conditionalFormatting sqref="B137:B152 B154:B159 B97:F107 C137:F151 B109:F112 B125:F134 G131:R133 B11:AF13">
    <cfRule type="expression" dxfId="734" priority="20">
      <formula>B$9&gt;=20/24</formula>
    </cfRule>
  </conditionalFormatting>
  <conditionalFormatting sqref="B137:B152 B154:B159 B97:F107 C137:F151 B109:F112 B125:F134 G131:R133 B11:AF13">
    <cfRule type="expression" dxfId="733" priority="21">
      <formula>AND(B$9&gt;=14/24,B$9&lt;20/24)</formula>
    </cfRule>
    <cfRule type="expression" dxfId="732" priority="22">
      <formula>AND(B$9&gt;=8/24,B$9&lt;14/24)</formula>
    </cfRule>
    <cfRule type="expression" dxfId="731" priority="23">
      <formula>B$9&lt;8/24</formula>
    </cfRule>
  </conditionalFormatting>
  <conditionalFormatting sqref="B14:AF28">
    <cfRule type="expression" dxfId="730" priority="10">
      <formula>B14&gt;$AG14*1</formula>
    </cfRule>
    <cfRule type="expression" dxfId="729" priority="11">
      <formula>B$9&gt;=20/24</formula>
    </cfRule>
    <cfRule type="expression" dxfId="728" priority="12">
      <formula>AND(B$9&gt;=14/24,B$9&lt;20/24)</formula>
    </cfRule>
    <cfRule type="expression" dxfId="727" priority="13">
      <formula>AND(B$9&gt;=8/24,B$9&lt;14/24)</formula>
    </cfRule>
    <cfRule type="expression" dxfId="726" priority="14">
      <formula>B$9&lt;8/24</formula>
    </cfRule>
  </conditionalFormatting>
  <conditionalFormatting sqref="B161:B167">
    <cfRule type="expression" dxfId="725" priority="15">
      <formula>B$9&gt;=20/24</formula>
    </cfRule>
    <cfRule type="expression" dxfId="724" priority="16">
      <formula>AND(B$9&gt;=14/24,B$9&lt;20/24)</formula>
    </cfRule>
    <cfRule type="expression" dxfId="723" priority="17">
      <formula>AND(B$9&gt;=8/24,B$9&lt;14/24)</formula>
    </cfRule>
    <cfRule type="expression" dxfId="722" priority="18">
      <formula>B$9&lt;8/24</formula>
    </cfRule>
  </conditionalFormatting>
  <conditionalFormatting sqref="B169:B274">
    <cfRule type="expression" dxfId="721" priority="6">
      <formula>B$9&gt;=20/24</formula>
    </cfRule>
    <cfRule type="expression" dxfId="720" priority="7">
      <formula>AND(B$9&gt;=14/24,B$9&lt;20/24)</formula>
    </cfRule>
    <cfRule type="expression" dxfId="719" priority="8">
      <formula>AND(B$9&gt;=8/24,B$9&lt;14/24)</formula>
    </cfRule>
    <cfRule type="expression" dxfId="718" priority="9">
      <formula>B$9&lt;8/24</formula>
    </cfRule>
  </conditionalFormatting>
  <conditionalFormatting sqref="B11:AF13">
    <cfRule type="expression" dxfId="717" priority="19">
      <formula>B11&gt;$AG11*1</formula>
    </cfRule>
  </conditionalFormatting>
  <conditionalFormatting sqref="A153">
    <cfRule type="expression" dxfId="71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15" priority="1">
      <formula>AL$9&gt;=20/24</formula>
    </cfRule>
  </conditionalFormatting>
  <conditionalFormatting sqref="AL153">
    <cfRule type="expression" dxfId="714" priority="2">
      <formula>AND(AL$9&gt;=14/24,AL$9&lt;20/24)</formula>
    </cfRule>
    <cfRule type="expression" dxfId="713" priority="3">
      <formula>AND(AL$9&gt;=8/24,AL$9&lt;14/24)</formula>
    </cfRule>
    <cfRule type="expression" dxfId="71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1" priority="29">
      <formula>$AH11=0</formula>
    </cfRule>
  </conditionalFormatting>
  <conditionalFormatting sqref="A101:A102">
    <cfRule type="expression" dxfId="710" priority="197">
      <formula>$AH106=0</formula>
    </cfRule>
  </conditionalFormatting>
  <conditionalFormatting sqref="A103:A107">
    <cfRule type="expression" dxfId="709" priority="145">
      <formula>$AH102=0</formula>
    </cfRule>
  </conditionalFormatting>
  <conditionalFormatting sqref="A160:A167">
    <cfRule type="expression" dxfId="708" priority="198">
      <formula>$AH267=0</formula>
    </cfRule>
  </conditionalFormatting>
  <conditionalFormatting sqref="A168:A275">
    <cfRule type="expression" dxfId="707" priority="68">
      <formula>$AH168=0</formula>
    </cfRule>
  </conditionalFormatting>
  <conditionalFormatting sqref="B8">
    <cfRule type="expression" dxfId="706" priority="193">
      <formula>AND(C$9&gt;=14/24,C$9&lt;20/24)</formula>
    </cfRule>
    <cfRule type="expression" dxfId="705" priority="194">
      <formula>AND(C$9&gt;=8/24,C$9&lt;14/24)</formula>
    </cfRule>
    <cfRule type="expression" dxfId="704" priority="195">
      <formula>C$9&lt;8/24</formula>
    </cfRule>
    <cfRule type="expression" dxfId="70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70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701" priority="111">
      <formula>AND(B$9&gt;=14/24,B$9&lt;20/24)</formula>
    </cfRule>
    <cfRule type="expression" dxfId="700" priority="112">
      <formula>AND(B$9&gt;=8/24,B$9&lt;14/24)</formula>
    </cfRule>
    <cfRule type="expression" dxfId="699" priority="113">
      <formula>B$9&lt;8/24</formula>
    </cfRule>
  </conditionalFormatting>
  <conditionalFormatting sqref="B29:Y53 Z14:AF53">
    <cfRule type="expression" dxfId="698" priority="53">
      <formula>B14&gt;$AG14*1</formula>
    </cfRule>
    <cfRule type="expression" dxfId="697" priority="54">
      <formula>B$9&gt;=20/24</formula>
    </cfRule>
    <cfRule type="expression" dxfId="696" priority="55">
      <formula>AND(B$9&gt;=14/24,B$9&lt;20/24)</formula>
    </cfRule>
    <cfRule type="expression" dxfId="695" priority="56">
      <formula>AND(B$9&gt;=8/24,B$9&lt;14/24)</formula>
    </cfRule>
    <cfRule type="expression" dxfId="694" priority="57">
      <formula>B$9&lt;8/24</formula>
    </cfRule>
  </conditionalFormatting>
  <conditionalFormatting sqref="B54:AF68">
    <cfRule type="expression" dxfId="693" priority="46">
      <formula>B$9&lt;8/24</formula>
    </cfRule>
  </conditionalFormatting>
  <conditionalFormatting sqref="B54:AF70">
    <cfRule type="expression" dxfId="692" priority="43">
      <formula>B$9&gt;=20/24</formula>
    </cfRule>
    <cfRule type="expression" dxfId="691" priority="44">
      <formula>AND(B$9&gt;=14/24,B$9&lt;20/24)</formula>
    </cfRule>
    <cfRule type="expression" dxfId="690" priority="45">
      <formula>AND(B$9&gt;=8/24,B$9&lt;14/24)</formula>
    </cfRule>
  </conditionalFormatting>
  <conditionalFormatting sqref="B63:AF65">
    <cfRule type="expression" dxfId="689" priority="47">
      <formula>B63&gt;$AG63</formula>
    </cfRule>
  </conditionalFormatting>
  <conditionalFormatting sqref="B69:AF70">
    <cfRule type="expression" dxfId="688" priority="118">
      <formula>B$9&lt;8/24</formula>
    </cfRule>
  </conditionalFormatting>
  <conditionalFormatting sqref="B72:AF75">
    <cfRule type="expression" dxfId="687" priority="34">
      <formula>B72&gt;$AG72*1</formula>
    </cfRule>
  </conditionalFormatting>
  <conditionalFormatting sqref="B73:AF75">
    <cfRule type="expression" dxfId="686" priority="35">
      <formula>B$9&gt;=20/24</formula>
    </cfRule>
    <cfRule type="expression" dxfId="685" priority="36">
      <formula>AND(B$9&gt;=14/24,B$9&lt;20/24)</formula>
    </cfRule>
    <cfRule type="expression" dxfId="684" priority="37">
      <formula>AND(B$9&gt;=8/24,B$9&lt;14/24)</formula>
    </cfRule>
    <cfRule type="expression" dxfId="683" priority="38">
      <formula>B$9&lt;8/24</formula>
    </cfRule>
  </conditionalFormatting>
  <conditionalFormatting sqref="D161:AF167">
    <cfRule type="expression" dxfId="682" priority="69">
      <formula>D$9&gt;=20/24</formula>
    </cfRule>
    <cfRule type="expression" dxfId="681" priority="70">
      <formula>AND(D$9&gt;=14/24,D$9&lt;20/24)</formula>
    </cfRule>
    <cfRule type="expression" dxfId="680" priority="71">
      <formula>AND(D$9&gt;=8/24,D$9&lt;14/24)</formula>
    </cfRule>
    <cfRule type="expression" dxfId="679" priority="72">
      <formula>D$9&lt;8/24</formula>
    </cfRule>
  </conditionalFormatting>
  <conditionalFormatting sqref="C207:AA274 D169:S174 C175:S206 T169:AA206 AB169:AF274">
    <cfRule type="expression" dxfId="678" priority="30">
      <formula>C$9&gt;=20/24</formula>
    </cfRule>
    <cfRule type="expression" dxfId="677" priority="31">
      <formula>AND(C$9&gt;=14/24,C$9&lt;20/24)</formula>
    </cfRule>
    <cfRule type="expression" dxfId="676" priority="32">
      <formula>AND(C$9&gt;=8/24,C$9&lt;14/24)</formula>
    </cfRule>
    <cfRule type="expression" dxfId="67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674" priority="109">
      <formula>B11&gt;$AG11*1</formula>
    </cfRule>
  </conditionalFormatting>
  <conditionalFormatting sqref="E79:AF83">
    <cfRule type="expression" dxfId="673" priority="119">
      <formula>E$9&gt;=20/24</formula>
    </cfRule>
    <cfRule type="expression" dxfId="672" priority="120">
      <formula>AND(E$9&gt;=14/24,E$9&lt;20/24)</formula>
    </cfRule>
    <cfRule type="expression" dxfId="671" priority="121">
      <formula>AND(E$9&gt;=8/24,E$9&lt;14/24)</formula>
    </cfRule>
    <cfRule type="expression" dxfId="670" priority="122">
      <formula>E$9&lt;8/24</formula>
    </cfRule>
  </conditionalFormatting>
  <conditionalFormatting sqref="E84:AF84">
    <cfRule type="expression" dxfId="669" priority="114">
      <formula>E$9&gt;=20/24</formula>
    </cfRule>
    <cfRule type="expression" dxfId="668" priority="115">
      <formula>AND(E$9&gt;=14/24,E$9&lt;20/24)</formula>
    </cfRule>
    <cfRule type="expression" dxfId="667" priority="116">
      <formula>AND(E$9&gt;=8/24,E$9&lt;14/24)</formula>
    </cfRule>
    <cfRule type="expression" dxfId="666" priority="117">
      <formula>E$9&lt;8/24</formula>
    </cfRule>
  </conditionalFormatting>
  <conditionalFormatting sqref="E78:Y78 Z76:AF78 B72:AF72">
    <cfRule type="expression" dxfId="665" priority="129">
      <formula>B$9&gt;=20/24</formula>
    </cfRule>
    <cfRule type="expression" dxfId="664" priority="130">
      <formula>AND(B$9&gt;=14/24,B$9&lt;20/24)</formula>
    </cfRule>
    <cfRule type="expression" dxfId="663" priority="131">
      <formula>AND(B$9&gt;=8/24,B$9&lt;14/24)</formula>
    </cfRule>
    <cfRule type="expression" dxfId="662" priority="132">
      <formula>B$9&lt;8/24</formula>
    </cfRule>
  </conditionalFormatting>
  <conditionalFormatting sqref="J73:Y73 Z73:AF75">
    <cfRule type="expression" dxfId="661" priority="39">
      <formula>J$9&gt;=20/24</formula>
    </cfRule>
    <cfRule type="expression" dxfId="660" priority="40">
      <formula>AND(J$9&gt;=14/24,J$9&lt;20/24)</formula>
    </cfRule>
    <cfRule type="expression" dxfId="659" priority="41">
      <formula>AND(J$9&gt;=8/24,J$9&lt;14/24)</formula>
    </cfRule>
    <cfRule type="expression" dxfId="658" priority="42">
      <formula>J$9&lt;8/24</formula>
    </cfRule>
  </conditionalFormatting>
  <conditionalFormatting sqref="F79:AF81">
    <cfRule type="expression" dxfId="657" priority="137">
      <formula>F$9&gt;=20/24</formula>
    </cfRule>
    <cfRule type="expression" dxfId="656" priority="138">
      <formula>AND(F$9&gt;=14/24,F$9&lt;20/24)</formula>
    </cfRule>
    <cfRule type="expression" dxfId="655" priority="139">
      <formula>AND(F$9&gt;=8/24,F$9&lt;14/24)</formula>
    </cfRule>
    <cfRule type="expression" dxfId="654" priority="140">
      <formula>F$9&lt;8/24</formula>
    </cfRule>
  </conditionalFormatting>
  <conditionalFormatting sqref="L84:AF84">
    <cfRule type="expression" dxfId="653" priority="133">
      <formula>L$9&gt;=20/24</formula>
    </cfRule>
    <cfRule type="expression" dxfId="652" priority="134">
      <formula>AND(L$9&gt;=14/24,L$9&lt;20/24)</formula>
    </cfRule>
    <cfRule type="expression" dxfId="651" priority="135">
      <formula>AND(L$9&gt;=8/24,L$9&lt;14/24)</formula>
    </cfRule>
    <cfRule type="expression" dxfId="650" priority="136">
      <formula>L$9&lt;8/24</formula>
    </cfRule>
  </conditionalFormatting>
  <conditionalFormatting sqref="M8 S8 AB8">
    <cfRule type="expression" dxfId="649" priority="186">
      <formula>AND(N$9&gt;=14/24,N$9&lt;20/24)</formula>
    </cfRule>
    <cfRule type="expression" dxfId="648" priority="187">
      <formula>AND(N$9&gt;=8/24,N$9&lt;14/24)</formula>
    </cfRule>
    <cfRule type="expression" dxfId="647" priority="188">
      <formula>N$9&lt;8/24</formula>
    </cfRule>
  </conditionalFormatting>
  <conditionalFormatting sqref="R79:AF83">
    <cfRule type="expression" dxfId="646" priority="141">
      <formula>R$9&gt;=20/24</formula>
    </cfRule>
    <cfRule type="expression" dxfId="645" priority="142">
      <formula>AND(R$9&gt;=14/24,R$9&lt;20/24)</formula>
    </cfRule>
    <cfRule type="expression" dxfId="644" priority="143">
      <formula>AND(R$9&gt;=8/24,R$9&lt;14/24)</formula>
    </cfRule>
    <cfRule type="expression" dxfId="64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2" priority="185">
      <formula>N$9&gt;=20/24</formula>
    </cfRule>
  </conditionalFormatting>
  <conditionalFormatting sqref="S8">
    <cfRule type="expression" dxfId="641" priority="176">
      <formula>U$9&gt;=20/24</formula>
    </cfRule>
    <cfRule type="expression" dxfId="640" priority="177">
      <formula>AND(U$9&gt;=14/24,U$9&lt;20/24)</formula>
    </cfRule>
    <cfRule type="expression" dxfId="639" priority="178">
      <formula>AND(U$9&gt;=8/24,U$9&lt;14/24)</formula>
    </cfRule>
    <cfRule type="expression" dxfId="638" priority="179">
      <formula>U$9&lt;8/24</formula>
    </cfRule>
  </conditionalFormatting>
  <conditionalFormatting sqref="X79:AF84">
    <cfRule type="expression" dxfId="637" priority="63">
      <formula>X$9&gt;=20/24</formula>
    </cfRule>
    <cfRule type="expression" dxfId="636" priority="64">
      <formula>AND(X$9&gt;=14/24,X$9&lt;20/24)</formula>
    </cfRule>
    <cfRule type="expression" dxfId="635" priority="65">
      <formula>AND(X$9&gt;=8/24,X$9&lt;14/24)</formula>
    </cfRule>
    <cfRule type="expression" dxfId="63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33" priority="48">
      <formula>Z$9&gt;=20/24</formula>
    </cfRule>
    <cfRule type="expression" dxfId="632" priority="49">
      <formula>AND(Z$9&gt;=14/24,Z$9&lt;20/24)</formula>
    </cfRule>
    <cfRule type="expression" dxfId="631" priority="50">
      <formula>AND(Z$9&gt;=8/24,Z$9&lt;14/24)</formula>
    </cfRule>
    <cfRule type="expression" dxfId="630" priority="51">
      <formula>Z$9&lt;8/24</formula>
    </cfRule>
  </conditionalFormatting>
  <conditionalFormatting sqref="Z69:AF70">
    <cfRule type="expression" dxfId="629" priority="128">
      <formula>Z69&gt;$AG69</formula>
    </cfRule>
  </conditionalFormatting>
  <conditionalFormatting sqref="B66:Y70 B54:AF62 Z66:AF69">
    <cfRule type="expression" dxfId="628" priority="123">
      <formula>B54&gt;$AG54</formula>
    </cfRule>
  </conditionalFormatting>
  <conditionalFormatting sqref="AB8">
    <cfRule type="expression" dxfId="627" priority="172">
      <formula>AD$9&gt;=20/24</formula>
    </cfRule>
    <cfRule type="expression" dxfId="626" priority="173">
      <formula>AND(AD$9&gt;=14/24,AD$9&lt;20/24)</formula>
    </cfRule>
    <cfRule type="expression" dxfId="625" priority="174">
      <formula>AND(AD$9&gt;=8/24,AD$9&lt;14/24)</formula>
    </cfRule>
    <cfRule type="expression" dxfId="624" priority="175">
      <formula>AD$9&lt;8/24</formula>
    </cfRule>
  </conditionalFormatting>
  <conditionalFormatting sqref="AG78">
    <cfRule type="expression" dxfId="623" priority="151">
      <formula>AG$9&gt;=20/24</formula>
    </cfRule>
    <cfRule type="expression" dxfId="622" priority="152">
      <formula>AND(AG$9&gt;=14/24,AG$9&lt;20/24)</formula>
    </cfRule>
    <cfRule type="expression" dxfId="621" priority="153">
      <formula>AND(AG$9&gt;=8/24,AG$9&lt;14/24)</formula>
    </cfRule>
    <cfRule type="expression" dxfId="620" priority="154">
      <formula>AG$9&lt;8/24</formula>
    </cfRule>
  </conditionalFormatting>
  <conditionalFormatting sqref="AG91:AG92">
    <cfRule type="expression" dxfId="619" priority="146">
      <formula>AG91&gt;$AG91</formula>
    </cfRule>
  </conditionalFormatting>
  <conditionalFormatting sqref="AG96">
    <cfRule type="expression" dxfId="618" priority="147">
      <formula>AG$9&gt;=20/24</formula>
    </cfRule>
    <cfRule type="expression" dxfId="617" priority="148">
      <formula>AND(AG$9&gt;=14/24,AG$9&lt;20/24)</formula>
    </cfRule>
    <cfRule type="expression" dxfId="616" priority="149">
      <formula>AND(AG$9&gt;=8/24,AG$9&lt;14/24)</formula>
    </cfRule>
    <cfRule type="expression" dxfId="615" priority="150">
      <formula>AG$9&lt;8/24</formula>
    </cfRule>
  </conditionalFormatting>
  <conditionalFormatting sqref="AG113">
    <cfRule type="expression" dxfId="614" priority="168">
      <formula>AG$9&gt;=20/24</formula>
    </cfRule>
    <cfRule type="expression" dxfId="613" priority="169">
      <formula>AND(AG$9&gt;=14/24,AG$9&lt;20/24)</formula>
    </cfRule>
    <cfRule type="expression" dxfId="612" priority="170">
      <formula>AND(AG$9&gt;=8/24,AG$9&lt;14/24)</formula>
    </cfRule>
    <cfRule type="expression" dxfId="611" priority="171">
      <formula>AG$9&lt;8/24</formula>
    </cfRule>
  </conditionalFormatting>
  <conditionalFormatting sqref="AH8:AI10">
    <cfRule type="expression" dxfId="610" priority="59">
      <formula>AH$9&gt;=20/24</formula>
    </cfRule>
    <cfRule type="expression" dxfId="609" priority="60">
      <formula>AND(AH$9&gt;=14/24,AH$9&lt;20/24)</formula>
    </cfRule>
    <cfRule type="expression" dxfId="608" priority="61">
      <formula>AND(AH$9&gt;=8/24,AH$9&lt;14/24)</formula>
    </cfRule>
    <cfRule type="expression" dxfId="607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06" priority="189">
      <formula>AJ$9&gt;=20/24</formula>
    </cfRule>
    <cfRule type="expression" dxfId="605" priority="190">
      <formula>AND(AJ$9&gt;=14/24,AJ$9&lt;20/24)</formula>
    </cfRule>
    <cfRule type="expression" dxfId="604" priority="191">
      <formula>AND(AJ$9&gt;=8/24,AJ$9&lt;14/24)</formula>
    </cfRule>
    <cfRule type="expression" dxfId="603" priority="192">
      <formula>AJ$9&lt;8/24</formula>
    </cfRule>
  </conditionalFormatting>
  <conditionalFormatting sqref="AL99:AN99 AL105:AN105">
    <cfRule type="expression" dxfId="602" priority="161">
      <formula>AL$9&gt;=20/24</formula>
    </cfRule>
    <cfRule type="expression" dxfId="601" priority="162">
      <formula>AND(AL$9&gt;=14/24,AL$9&lt;20/24)</formula>
    </cfRule>
    <cfRule type="expression" dxfId="600" priority="163">
      <formula>AND(AL$9&gt;=8/24,AL$9&lt;14/24)</formula>
    </cfRule>
    <cfRule type="expression" dxfId="599" priority="164">
      <formula>AL$9&lt;8/24</formula>
    </cfRule>
  </conditionalFormatting>
  <conditionalFormatting sqref="AM15:AM21 AN16:AR21">
    <cfRule type="expression" dxfId="598" priority="85">
      <formula>AX$9&gt;=20/24</formula>
    </cfRule>
    <cfRule type="expression" dxfId="597" priority="86">
      <formula>AND(AX$9&gt;=14/24,AX$9&lt;20/24)</formula>
    </cfRule>
    <cfRule type="expression" dxfId="596" priority="87">
      <formula>AND(AX$9&gt;=8/24,AX$9&lt;14/24)</formula>
    </cfRule>
    <cfRule type="expression" dxfId="595" priority="88">
      <formula>AX$9&lt;8/24</formula>
    </cfRule>
  </conditionalFormatting>
  <conditionalFormatting sqref="AN100:AN103">
    <cfRule type="expression" dxfId="594" priority="157">
      <formula>AN$9&gt;=20/24</formula>
    </cfRule>
    <cfRule type="expression" dxfId="593" priority="158">
      <formula>AND(AN$9&gt;=14/24,AN$9&lt;20/24)</formula>
    </cfRule>
    <cfRule type="expression" dxfId="592" priority="159">
      <formula>AND(AN$9&gt;=8/24,AN$9&lt;14/24)</formula>
    </cfRule>
    <cfRule type="expression" dxfId="591" priority="160">
      <formula>AN$9&lt;8/24</formula>
    </cfRule>
  </conditionalFormatting>
  <conditionalFormatting sqref="AN15:AR15">
    <cfRule type="expression" dxfId="590" priority="73">
      <formula>U$9&gt;=20/24</formula>
    </cfRule>
    <cfRule type="expression" dxfId="589" priority="74">
      <formula>AND(U$9&gt;=14/24,U$9&lt;20/24)</formula>
    </cfRule>
    <cfRule type="expression" dxfId="588" priority="75">
      <formula>AND(U$9&gt;=8/24,U$9&lt;14/24)</formula>
    </cfRule>
    <cfRule type="expression" dxfId="587" priority="76">
      <formula>U$9&lt;8/24</formula>
    </cfRule>
  </conditionalFormatting>
  <conditionalFormatting sqref="AS15">
    <cfRule type="expression" dxfId="586" priority="81">
      <formula>AA$9&gt;=20/24</formula>
    </cfRule>
    <cfRule type="expression" dxfId="585" priority="82">
      <formula>AND(AA$9&gt;=14/24,AA$9&lt;20/24)</formula>
    </cfRule>
    <cfRule type="expression" dxfId="584" priority="83">
      <formula>AND(AA$9&gt;=8/24,AA$9&lt;14/24)</formula>
    </cfRule>
    <cfRule type="expression" dxfId="583" priority="84">
      <formula>AA$9&lt;8/24</formula>
    </cfRule>
  </conditionalFormatting>
  <conditionalFormatting sqref="AS16:AS21">
    <cfRule type="expression" dxfId="582" priority="89">
      <formula>BE$9&gt;=20/24</formula>
    </cfRule>
    <cfRule type="expression" dxfId="581" priority="90">
      <formula>AND(BE$9&gt;=14/24,BE$9&lt;20/24)</formula>
    </cfRule>
    <cfRule type="expression" dxfId="580" priority="91">
      <formula>AND(BE$9&gt;=8/24,BE$9&lt;14/24)</formula>
    </cfRule>
    <cfRule type="expression" dxfId="579" priority="92">
      <formula>BE$9&lt;8/24</formula>
    </cfRule>
  </conditionalFormatting>
  <conditionalFormatting sqref="AT15 AX15:BJ15">
    <cfRule type="expression" dxfId="578" priority="93">
      <formula>AC$9&gt;=20/24</formula>
    </cfRule>
    <cfRule type="expression" dxfId="577" priority="94">
      <formula>AND(AC$9&gt;=14/24,AC$9&lt;20/24)</formula>
    </cfRule>
    <cfRule type="expression" dxfId="576" priority="95">
      <formula>AND(AC$9&gt;=8/24,AC$9&lt;14/24)</formula>
    </cfRule>
    <cfRule type="expression" dxfId="575" priority="96">
      <formula>AC$9&lt;8/24</formula>
    </cfRule>
  </conditionalFormatting>
  <conditionalFormatting sqref="AT16:AT21">
    <cfRule type="expression" dxfId="574" priority="97">
      <formula>BG$9&gt;=20/24</formula>
    </cfRule>
    <cfRule type="expression" dxfId="573" priority="98">
      <formula>AND(BG$9&gt;=14/24,BG$9&lt;20/24)</formula>
    </cfRule>
    <cfRule type="expression" dxfId="572" priority="99">
      <formula>AND(BG$9&gt;=8/24,BG$9&lt;14/24)</formula>
    </cfRule>
    <cfRule type="expression" dxfId="571" priority="100">
      <formula>BG$9&lt;8/24</formula>
    </cfRule>
  </conditionalFormatting>
  <conditionalFormatting sqref="AU15:AV15">
    <cfRule type="expression" dxfId="570" priority="101">
      <formula>AE$9&gt;=20/24</formula>
    </cfRule>
    <cfRule type="expression" dxfId="569" priority="102">
      <formula>AND(AE$9&gt;=14/24,AE$9&lt;20/24)</formula>
    </cfRule>
    <cfRule type="expression" dxfId="568" priority="103">
      <formula>AND(AE$9&gt;=8/24,AE$9&lt;14/24)</formula>
    </cfRule>
    <cfRule type="expression" dxfId="567" priority="104">
      <formula>AE$9&lt;8/24</formula>
    </cfRule>
  </conditionalFormatting>
  <conditionalFormatting sqref="AU16:BJ21">
    <cfRule type="expression" dxfId="566" priority="105">
      <formula>BI$9&gt;=20/24</formula>
    </cfRule>
    <cfRule type="expression" dxfId="565" priority="106">
      <formula>AND(BI$9&gt;=14/24,BI$9&lt;20/24)</formula>
    </cfRule>
    <cfRule type="expression" dxfId="564" priority="107">
      <formula>AND(BI$9&gt;=8/24,BI$9&lt;14/24)</formula>
    </cfRule>
    <cfRule type="expression" dxfId="563" priority="108">
      <formula>BI$9&lt;8/24</formula>
    </cfRule>
  </conditionalFormatting>
  <conditionalFormatting sqref="AW15">
    <cfRule type="expression" dxfId="562" priority="77">
      <formula>B$9&gt;=20/24</formula>
    </cfRule>
    <cfRule type="expression" dxfId="561" priority="78">
      <formula>AND(B$9&gt;=14/24,B$9&lt;20/24)</formula>
    </cfRule>
    <cfRule type="expression" dxfId="560" priority="79">
      <formula>AND(B$9&gt;=8/24,B$9&lt;14/24)</formula>
    </cfRule>
    <cfRule type="expression" dxfId="559" priority="80">
      <formula>B$9&lt;8/24</formula>
    </cfRule>
  </conditionalFormatting>
  <conditionalFormatting sqref="A73">
    <cfRule type="expression" dxfId="558" priority="28">
      <formula>$AH73=0</formula>
    </cfRule>
  </conditionalFormatting>
  <conditionalFormatting sqref="B97:C107 B137:C152 B109:C112 B125:C134 B154:C159 B11:Q13 R11:Y12">
    <cfRule type="expression" dxfId="557" priority="24">
      <formula>B$9&gt;=20/24</formula>
    </cfRule>
  </conditionalFormatting>
  <conditionalFormatting sqref="B97:C107 B137:C152 B109:C112 B125:C134 B154:C159 B11:Q13 R11:Y12">
    <cfRule type="expression" dxfId="556" priority="25">
      <formula>AND(B$9&gt;=14/24,B$9&lt;20/24)</formula>
    </cfRule>
    <cfRule type="expression" dxfId="555" priority="26">
      <formula>AND(B$9&gt;=8/24,B$9&lt;14/24)</formula>
    </cfRule>
    <cfRule type="expression" dxfId="554" priority="27">
      <formula>B$9&lt;8/24</formula>
    </cfRule>
  </conditionalFormatting>
  <conditionalFormatting sqref="B14:Y28">
    <cfRule type="expression" dxfId="553" priority="14">
      <formula>B14&gt;$AG14*1</formula>
    </cfRule>
    <cfRule type="expression" dxfId="552" priority="15">
      <formula>B$9&gt;=20/24</formula>
    </cfRule>
    <cfRule type="expression" dxfId="551" priority="16">
      <formula>AND(B$9&gt;=14/24,B$9&lt;20/24)</formula>
    </cfRule>
    <cfRule type="expression" dxfId="550" priority="17">
      <formula>AND(B$9&gt;=8/24,B$9&lt;14/24)</formula>
    </cfRule>
    <cfRule type="expression" dxfId="549" priority="18">
      <formula>B$9&lt;8/24</formula>
    </cfRule>
  </conditionalFormatting>
  <conditionalFormatting sqref="B161:C167">
    <cfRule type="expression" dxfId="548" priority="19">
      <formula>B$9&gt;=20/24</formula>
    </cfRule>
    <cfRule type="expression" dxfId="547" priority="20">
      <formula>AND(B$9&gt;=14/24,B$9&lt;20/24)</formula>
    </cfRule>
    <cfRule type="expression" dxfId="546" priority="21">
      <formula>AND(B$9&gt;=8/24,B$9&lt;14/24)</formula>
    </cfRule>
    <cfRule type="expression" dxfId="545" priority="22">
      <formula>B$9&lt;8/24</formula>
    </cfRule>
  </conditionalFormatting>
  <conditionalFormatting sqref="B169:B274 C169:C174">
    <cfRule type="expression" dxfId="544" priority="10">
      <formula>B$9&gt;=20/24</formula>
    </cfRule>
    <cfRule type="expression" dxfId="543" priority="11">
      <formula>AND(B$9&gt;=14/24,B$9&lt;20/24)</formula>
    </cfRule>
    <cfRule type="expression" dxfId="542" priority="12">
      <formula>AND(B$9&gt;=8/24,B$9&lt;14/24)</formula>
    </cfRule>
    <cfRule type="expression" dxfId="541" priority="13">
      <formula>B$9&lt;8/24</formula>
    </cfRule>
  </conditionalFormatting>
  <conditionalFormatting sqref="B11:Q13 R11:Y12">
    <cfRule type="expression" dxfId="540" priority="23">
      <formula>B11&gt;$AG11*1</formula>
    </cfRule>
  </conditionalFormatting>
  <conditionalFormatting sqref="A153">
    <cfRule type="expression" dxfId="539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38" priority="5">
      <formula>AL$9&gt;=20/24</formula>
    </cfRule>
  </conditionalFormatting>
  <conditionalFormatting sqref="AL153">
    <cfRule type="expression" dxfId="537" priority="6">
      <formula>AND(AL$9&gt;=14/24,AL$9&lt;20/24)</formula>
    </cfRule>
    <cfRule type="expression" dxfId="536" priority="7">
      <formula>AND(AL$9&gt;=8/24,AL$9&lt;14/24)</formula>
    </cfRule>
    <cfRule type="expression" dxfId="535" priority="8">
      <formula>AL$9&lt;8/24</formula>
    </cfRule>
  </conditionalFormatting>
  <conditionalFormatting sqref="AA137:AF151">
    <cfRule type="expression" dxfId="534" priority="1">
      <formula>AA$9&gt;=20/24</formula>
    </cfRule>
    <cfRule type="expression" dxfId="533" priority="2">
      <formula>AND(AA$9&gt;=14/24,AA$9&lt;20/24)</formula>
    </cfRule>
    <cfRule type="expression" dxfId="532" priority="3">
      <formula>AND(AA$9&gt;=8/24,AA$9&lt;14/24)</formula>
    </cfRule>
    <cfRule type="expression" dxfId="531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30" priority="25">
      <formula>$AH11=0</formula>
    </cfRule>
  </conditionalFormatting>
  <conditionalFormatting sqref="A101:A102">
    <cfRule type="expression" dxfId="529" priority="193">
      <formula>$AH106=0</formula>
    </cfRule>
  </conditionalFormatting>
  <conditionalFormatting sqref="A103:A107">
    <cfRule type="expression" dxfId="528" priority="141">
      <formula>$AH102=0</formula>
    </cfRule>
  </conditionalFormatting>
  <conditionalFormatting sqref="A160:A167">
    <cfRule type="expression" dxfId="527" priority="194">
      <formula>$AH267=0</formula>
    </cfRule>
  </conditionalFormatting>
  <conditionalFormatting sqref="A168:A275">
    <cfRule type="expression" dxfId="526" priority="64">
      <formula>$AH168=0</formula>
    </cfRule>
  </conditionalFormatting>
  <conditionalFormatting sqref="B8">
    <cfRule type="expression" dxfId="525" priority="189">
      <formula>AND(C$9&gt;=14/24,C$9&lt;20/24)</formula>
    </cfRule>
    <cfRule type="expression" dxfId="524" priority="190">
      <formula>AND(C$9&gt;=8/24,C$9&lt;14/24)</formula>
    </cfRule>
    <cfRule type="expression" dxfId="523" priority="191">
      <formula>C$9&lt;8/24</formula>
    </cfRule>
    <cfRule type="expression" dxfId="522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521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520" priority="107">
      <formula>AND(B$9&gt;=14/24,B$9&lt;20/24)</formula>
    </cfRule>
    <cfRule type="expression" dxfId="519" priority="108">
      <formula>AND(B$9&gt;=8/24,B$9&lt;14/24)</formula>
    </cfRule>
    <cfRule type="expression" dxfId="518" priority="109">
      <formula>B$9&lt;8/24</formula>
    </cfRule>
  </conditionalFormatting>
  <conditionalFormatting sqref="B29:O53 P14:R32 R33:R53 P11:Q151 S14:AF53">
    <cfRule type="expression" dxfId="517" priority="49">
      <formula>B11&gt;$AG11*1</formula>
    </cfRule>
    <cfRule type="expression" dxfId="516" priority="50">
      <formula>B$9&gt;=20/24</formula>
    </cfRule>
    <cfRule type="expression" dxfId="515" priority="51">
      <formula>AND(B$9&gt;=14/24,B$9&lt;20/24)</formula>
    </cfRule>
    <cfRule type="expression" dxfId="514" priority="52">
      <formula>AND(B$9&gt;=8/24,B$9&lt;14/24)</formula>
    </cfRule>
    <cfRule type="expression" dxfId="513" priority="53">
      <formula>B$9&lt;8/24</formula>
    </cfRule>
  </conditionalFormatting>
  <conditionalFormatting sqref="B54:O68 R54:AF68">
    <cfRule type="expression" dxfId="512" priority="42">
      <formula>B$9&lt;8/24</formula>
    </cfRule>
  </conditionalFormatting>
  <conditionalFormatting sqref="B54:O70 R54:AF70">
    <cfRule type="expression" dxfId="511" priority="39">
      <formula>B$9&gt;=20/24</formula>
    </cfRule>
    <cfRule type="expression" dxfId="510" priority="40">
      <formula>AND(B$9&gt;=14/24,B$9&lt;20/24)</formula>
    </cfRule>
    <cfRule type="expression" dxfId="509" priority="41">
      <formula>AND(B$9&gt;=8/24,B$9&lt;14/24)</formula>
    </cfRule>
  </conditionalFormatting>
  <conditionalFormatting sqref="B63:O65 R63:AF65">
    <cfRule type="expression" dxfId="508" priority="43">
      <formula>B63&gt;$AG63</formula>
    </cfRule>
  </conditionalFormatting>
  <conditionalFormatting sqref="B69:O70 R69:AF70">
    <cfRule type="expression" dxfId="507" priority="114">
      <formula>B$9&lt;8/24</formula>
    </cfRule>
  </conditionalFormatting>
  <conditionalFormatting sqref="B72:O75 R72:AF75">
    <cfRule type="expression" dxfId="506" priority="30">
      <formula>B72&gt;$AG72*1</formula>
    </cfRule>
  </conditionalFormatting>
  <conditionalFormatting sqref="B73:O75 R73:AF75">
    <cfRule type="expression" dxfId="505" priority="31">
      <formula>B$9&gt;=20/24</formula>
    </cfRule>
    <cfRule type="expression" dxfId="504" priority="32">
      <formula>AND(B$9&gt;=14/24,B$9&lt;20/24)</formula>
    </cfRule>
    <cfRule type="expression" dxfId="503" priority="33">
      <formula>AND(B$9&gt;=8/24,B$9&lt;14/24)</formula>
    </cfRule>
    <cfRule type="expression" dxfId="502" priority="34">
      <formula>B$9&lt;8/24</formula>
    </cfRule>
  </conditionalFormatting>
  <conditionalFormatting sqref="G161:AF167">
    <cfRule type="expression" dxfId="501" priority="65">
      <formula>G$9&gt;=20/24</formula>
    </cfRule>
    <cfRule type="expression" dxfId="500" priority="66">
      <formula>AND(G$9&gt;=14/24,G$9&lt;20/24)</formula>
    </cfRule>
    <cfRule type="expression" dxfId="499" priority="67">
      <formula>AND(G$9&gt;=8/24,G$9&lt;14/24)</formula>
    </cfRule>
    <cfRule type="expression" dxfId="498" priority="68">
      <formula>G$9&lt;8/24</formula>
    </cfRule>
  </conditionalFormatting>
  <conditionalFormatting sqref="G169:AF274">
    <cfRule type="expression" dxfId="497" priority="26">
      <formula>G$9&gt;=20/24</formula>
    </cfRule>
    <cfRule type="expression" dxfId="496" priority="27">
      <formula>AND(G$9&gt;=14/24,G$9&lt;20/24)</formula>
    </cfRule>
    <cfRule type="expression" dxfId="495" priority="28">
      <formula>AND(G$9&gt;=8/24,G$9&lt;14/24)</formula>
    </cfRule>
    <cfRule type="expression" dxfId="49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493" priority="105">
      <formula>B11&gt;$AG11*1</formula>
    </cfRule>
  </conditionalFormatting>
  <conditionalFormatting sqref="G79:O83">
    <cfRule type="expression" dxfId="492" priority="115">
      <formula>G$9&gt;=20/24</formula>
    </cfRule>
    <cfRule type="expression" dxfId="491" priority="116">
      <formula>AND(G$9&gt;=14/24,G$9&lt;20/24)</formula>
    </cfRule>
    <cfRule type="expression" dxfId="490" priority="117">
      <formula>AND(G$9&gt;=8/24,G$9&lt;14/24)</formula>
    </cfRule>
    <cfRule type="expression" dxfId="489" priority="118">
      <formula>G$9&lt;8/24</formula>
    </cfRule>
  </conditionalFormatting>
  <conditionalFormatting sqref="G84:O84">
    <cfRule type="expression" dxfId="488" priority="110">
      <formula>G$9&gt;=20/24</formula>
    </cfRule>
    <cfRule type="expression" dxfId="487" priority="111">
      <formula>AND(G$9&gt;=14/24,G$9&lt;20/24)</formula>
    </cfRule>
    <cfRule type="expression" dxfId="486" priority="112">
      <formula>AND(G$9&gt;=8/24,G$9&lt;14/24)</formula>
    </cfRule>
    <cfRule type="expression" dxfId="485" priority="113">
      <formula>G$9&lt;8/24</formula>
    </cfRule>
  </conditionalFormatting>
  <conditionalFormatting sqref="G78:O78 B72:O72 R72:AF72 R76:AF78">
    <cfRule type="expression" dxfId="484" priority="125">
      <formula>B$9&gt;=20/24</formula>
    </cfRule>
    <cfRule type="expression" dxfId="483" priority="126">
      <formula>AND(B$9&gt;=14/24,B$9&lt;20/24)</formula>
    </cfRule>
    <cfRule type="expression" dxfId="482" priority="127">
      <formula>AND(B$9&gt;=8/24,B$9&lt;14/24)</formula>
    </cfRule>
    <cfRule type="expression" dxfId="481" priority="128">
      <formula>B$9&lt;8/24</formula>
    </cfRule>
  </conditionalFormatting>
  <conditionalFormatting sqref="R73:AF75">
    <cfRule type="expression" dxfId="480" priority="35">
      <formula>R$9&gt;=20/24</formula>
    </cfRule>
    <cfRule type="expression" dxfId="479" priority="36">
      <formula>AND(R$9&gt;=14/24,R$9&lt;20/24)</formula>
    </cfRule>
    <cfRule type="expression" dxfId="478" priority="37">
      <formula>AND(R$9&gt;=8/24,R$9&lt;14/24)</formula>
    </cfRule>
    <cfRule type="expression" dxfId="477" priority="38">
      <formula>R$9&lt;8/24</formula>
    </cfRule>
  </conditionalFormatting>
  <conditionalFormatting sqref="G79:O81">
    <cfRule type="expression" dxfId="476" priority="133">
      <formula>G$9&gt;=20/24</formula>
    </cfRule>
    <cfRule type="expression" dxfId="475" priority="134">
      <formula>AND(G$9&gt;=14/24,G$9&lt;20/24)</formula>
    </cfRule>
    <cfRule type="expression" dxfId="474" priority="135">
      <formula>AND(G$9&gt;=8/24,G$9&lt;14/24)</formula>
    </cfRule>
    <cfRule type="expression" dxfId="473" priority="136">
      <formula>G$9&lt;8/24</formula>
    </cfRule>
  </conditionalFormatting>
  <conditionalFormatting sqref="L84:O84 R84:AF84">
    <cfRule type="expression" dxfId="472" priority="129">
      <formula>L$9&gt;=20/24</formula>
    </cfRule>
    <cfRule type="expression" dxfId="471" priority="130">
      <formula>AND(L$9&gt;=14/24,L$9&lt;20/24)</formula>
    </cfRule>
    <cfRule type="expression" dxfId="470" priority="131">
      <formula>AND(L$9&gt;=8/24,L$9&lt;14/24)</formula>
    </cfRule>
    <cfRule type="expression" dxfId="469" priority="132">
      <formula>L$9&lt;8/24</formula>
    </cfRule>
  </conditionalFormatting>
  <conditionalFormatting sqref="M8 S8 AB8">
    <cfRule type="expression" dxfId="468" priority="182">
      <formula>AND(N$9&gt;=14/24,N$9&lt;20/24)</formula>
    </cfRule>
    <cfRule type="expression" dxfId="467" priority="183">
      <formula>AND(N$9&gt;=8/24,N$9&lt;14/24)</formula>
    </cfRule>
    <cfRule type="expression" dxfId="466" priority="184">
      <formula>N$9&lt;8/24</formula>
    </cfRule>
  </conditionalFormatting>
  <conditionalFormatting sqref="R79:Z83 Z80:AF83">
    <cfRule type="expression" dxfId="465" priority="137">
      <formula>R$9&gt;=20/24</formula>
    </cfRule>
    <cfRule type="expression" dxfId="464" priority="138">
      <formula>AND(R$9&gt;=14/24,R$9&lt;20/24)</formula>
    </cfRule>
    <cfRule type="expression" dxfId="463" priority="139">
      <formula>AND(R$9&gt;=8/24,R$9&lt;14/24)</formula>
    </cfRule>
    <cfRule type="expression" dxfId="46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61" priority="181">
      <formula>N$9&gt;=20/24</formula>
    </cfRule>
  </conditionalFormatting>
  <conditionalFormatting sqref="S8">
    <cfRule type="expression" dxfId="460" priority="172">
      <formula>U$9&gt;=20/24</formula>
    </cfRule>
    <cfRule type="expression" dxfId="459" priority="173">
      <formula>AND(U$9&gt;=14/24,U$9&lt;20/24)</formula>
    </cfRule>
    <cfRule type="expression" dxfId="458" priority="174">
      <formula>AND(U$9&gt;=8/24,U$9&lt;14/24)</formula>
    </cfRule>
    <cfRule type="expression" dxfId="457" priority="175">
      <formula>U$9&lt;8/24</formula>
    </cfRule>
  </conditionalFormatting>
  <conditionalFormatting sqref="Z79:AF84">
    <cfRule type="expression" dxfId="456" priority="59">
      <formula>Z$9&gt;=20/24</formula>
    </cfRule>
    <cfRule type="expression" dxfId="455" priority="60">
      <formula>AND(Z$9&gt;=14/24,Z$9&lt;20/24)</formula>
    </cfRule>
    <cfRule type="expression" dxfId="454" priority="61">
      <formula>AND(Z$9&gt;=8/24,Z$9&lt;14/24)</formula>
    </cfRule>
    <cfRule type="expression" dxfId="45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452" priority="119">
      <formula>B54&gt;$AG54</formula>
    </cfRule>
  </conditionalFormatting>
  <conditionalFormatting sqref="AB8">
    <cfRule type="expression" dxfId="451" priority="168">
      <formula>AD$9&gt;=20/24</formula>
    </cfRule>
    <cfRule type="expression" dxfId="450" priority="169">
      <formula>AND(AD$9&gt;=14/24,AD$9&lt;20/24)</formula>
    </cfRule>
    <cfRule type="expression" dxfId="449" priority="170">
      <formula>AND(AD$9&gt;=8/24,AD$9&lt;14/24)</formula>
    </cfRule>
    <cfRule type="expression" dxfId="448" priority="171">
      <formula>AD$9&lt;8/24</formula>
    </cfRule>
  </conditionalFormatting>
  <conditionalFormatting sqref="AG78">
    <cfRule type="expression" dxfId="447" priority="147">
      <formula>AG$9&gt;=20/24</formula>
    </cfRule>
    <cfRule type="expression" dxfId="446" priority="148">
      <formula>AND(AG$9&gt;=14/24,AG$9&lt;20/24)</formula>
    </cfRule>
    <cfRule type="expression" dxfId="445" priority="149">
      <formula>AND(AG$9&gt;=8/24,AG$9&lt;14/24)</formula>
    </cfRule>
    <cfRule type="expression" dxfId="444" priority="150">
      <formula>AG$9&lt;8/24</formula>
    </cfRule>
  </conditionalFormatting>
  <conditionalFormatting sqref="AG91:AG92">
    <cfRule type="expression" dxfId="443" priority="142">
      <formula>AG91&gt;$AG91</formula>
    </cfRule>
  </conditionalFormatting>
  <conditionalFormatting sqref="AG96">
    <cfRule type="expression" dxfId="442" priority="143">
      <formula>AG$9&gt;=20/24</formula>
    </cfRule>
    <cfRule type="expression" dxfId="441" priority="144">
      <formula>AND(AG$9&gt;=14/24,AG$9&lt;20/24)</formula>
    </cfRule>
    <cfRule type="expression" dxfId="440" priority="145">
      <formula>AND(AG$9&gt;=8/24,AG$9&lt;14/24)</formula>
    </cfRule>
    <cfRule type="expression" dxfId="439" priority="146">
      <formula>AG$9&lt;8/24</formula>
    </cfRule>
  </conditionalFormatting>
  <conditionalFormatting sqref="AG113">
    <cfRule type="expression" dxfId="438" priority="164">
      <formula>AG$9&gt;=20/24</formula>
    </cfRule>
    <cfRule type="expression" dxfId="437" priority="165">
      <formula>AND(AG$9&gt;=14/24,AG$9&lt;20/24)</formula>
    </cfRule>
    <cfRule type="expression" dxfId="436" priority="166">
      <formula>AND(AG$9&gt;=8/24,AG$9&lt;14/24)</formula>
    </cfRule>
    <cfRule type="expression" dxfId="435" priority="167">
      <formula>AG$9&lt;8/24</formula>
    </cfRule>
  </conditionalFormatting>
  <conditionalFormatting sqref="AH8:AI10">
    <cfRule type="expression" dxfId="434" priority="55">
      <formula>AH$9&gt;=20/24</formula>
    </cfRule>
    <cfRule type="expression" dxfId="433" priority="56">
      <formula>AND(AH$9&gt;=14/24,AH$9&lt;20/24)</formula>
    </cfRule>
    <cfRule type="expression" dxfId="432" priority="57">
      <formula>AND(AH$9&gt;=8/24,AH$9&lt;14/24)</formula>
    </cfRule>
    <cfRule type="expression" dxfId="43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0" priority="185">
      <formula>AJ$9&gt;=20/24</formula>
    </cfRule>
    <cfRule type="expression" dxfId="429" priority="186">
      <formula>AND(AJ$9&gt;=14/24,AJ$9&lt;20/24)</formula>
    </cfRule>
    <cfRule type="expression" dxfId="428" priority="187">
      <formula>AND(AJ$9&gt;=8/24,AJ$9&lt;14/24)</formula>
    </cfRule>
    <cfRule type="expression" dxfId="427" priority="188">
      <formula>AJ$9&lt;8/24</formula>
    </cfRule>
  </conditionalFormatting>
  <conditionalFormatting sqref="AL99:AN99 AL105:AN105">
    <cfRule type="expression" dxfId="426" priority="157">
      <formula>AL$9&gt;=20/24</formula>
    </cfRule>
    <cfRule type="expression" dxfId="425" priority="158">
      <formula>AND(AL$9&gt;=14/24,AL$9&lt;20/24)</formula>
    </cfRule>
    <cfRule type="expression" dxfId="424" priority="159">
      <formula>AND(AL$9&gt;=8/24,AL$9&lt;14/24)</formula>
    </cfRule>
    <cfRule type="expression" dxfId="423" priority="160">
      <formula>AL$9&lt;8/24</formula>
    </cfRule>
  </conditionalFormatting>
  <conditionalFormatting sqref="AM15:AM21 AN16:AR21">
    <cfRule type="expression" dxfId="422" priority="81">
      <formula>AX$9&gt;=20/24</formula>
    </cfRule>
    <cfRule type="expression" dxfId="421" priority="82">
      <formula>AND(AX$9&gt;=14/24,AX$9&lt;20/24)</formula>
    </cfRule>
    <cfRule type="expression" dxfId="420" priority="83">
      <formula>AND(AX$9&gt;=8/24,AX$9&lt;14/24)</formula>
    </cfRule>
    <cfRule type="expression" dxfId="419" priority="84">
      <formula>AX$9&lt;8/24</formula>
    </cfRule>
  </conditionalFormatting>
  <conditionalFormatting sqref="AN100:AN103">
    <cfRule type="expression" dxfId="418" priority="153">
      <formula>AN$9&gt;=20/24</formula>
    </cfRule>
    <cfRule type="expression" dxfId="417" priority="154">
      <formula>AND(AN$9&gt;=14/24,AN$9&lt;20/24)</formula>
    </cfRule>
    <cfRule type="expression" dxfId="416" priority="155">
      <formula>AND(AN$9&gt;=8/24,AN$9&lt;14/24)</formula>
    </cfRule>
    <cfRule type="expression" dxfId="415" priority="156">
      <formula>AN$9&lt;8/24</formula>
    </cfRule>
  </conditionalFormatting>
  <conditionalFormatting sqref="AN15:AR15">
    <cfRule type="expression" dxfId="414" priority="69">
      <formula>U$9&gt;=20/24</formula>
    </cfRule>
    <cfRule type="expression" dxfId="413" priority="70">
      <formula>AND(U$9&gt;=14/24,U$9&lt;20/24)</formula>
    </cfRule>
    <cfRule type="expression" dxfId="412" priority="71">
      <formula>AND(U$9&gt;=8/24,U$9&lt;14/24)</formula>
    </cfRule>
    <cfRule type="expression" dxfId="411" priority="72">
      <formula>U$9&lt;8/24</formula>
    </cfRule>
  </conditionalFormatting>
  <conditionalFormatting sqref="AS15">
    <cfRule type="expression" dxfId="410" priority="77">
      <formula>AA$9&gt;=20/24</formula>
    </cfRule>
    <cfRule type="expression" dxfId="409" priority="78">
      <formula>AND(AA$9&gt;=14/24,AA$9&lt;20/24)</formula>
    </cfRule>
    <cfRule type="expression" dxfId="408" priority="79">
      <formula>AND(AA$9&gt;=8/24,AA$9&lt;14/24)</formula>
    </cfRule>
    <cfRule type="expression" dxfId="407" priority="80">
      <formula>AA$9&lt;8/24</formula>
    </cfRule>
  </conditionalFormatting>
  <conditionalFormatting sqref="AS16:AS21">
    <cfRule type="expression" dxfId="406" priority="85">
      <formula>BE$9&gt;=20/24</formula>
    </cfRule>
    <cfRule type="expression" dxfId="405" priority="86">
      <formula>AND(BE$9&gt;=14/24,BE$9&lt;20/24)</formula>
    </cfRule>
    <cfRule type="expression" dxfId="404" priority="87">
      <formula>AND(BE$9&gt;=8/24,BE$9&lt;14/24)</formula>
    </cfRule>
    <cfRule type="expression" dxfId="403" priority="88">
      <formula>BE$9&lt;8/24</formula>
    </cfRule>
  </conditionalFormatting>
  <conditionalFormatting sqref="AT15 AX15:BJ15">
    <cfRule type="expression" dxfId="402" priority="89">
      <formula>AC$9&gt;=20/24</formula>
    </cfRule>
    <cfRule type="expression" dxfId="401" priority="90">
      <formula>AND(AC$9&gt;=14/24,AC$9&lt;20/24)</formula>
    </cfRule>
    <cfRule type="expression" dxfId="400" priority="91">
      <formula>AND(AC$9&gt;=8/24,AC$9&lt;14/24)</formula>
    </cfRule>
    <cfRule type="expression" dxfId="399" priority="92">
      <formula>AC$9&lt;8/24</formula>
    </cfRule>
  </conditionalFormatting>
  <conditionalFormatting sqref="AT16:AT21">
    <cfRule type="expression" dxfId="398" priority="93">
      <formula>BG$9&gt;=20/24</formula>
    </cfRule>
    <cfRule type="expression" dxfId="397" priority="94">
      <formula>AND(BG$9&gt;=14/24,BG$9&lt;20/24)</formula>
    </cfRule>
    <cfRule type="expression" dxfId="396" priority="95">
      <formula>AND(BG$9&gt;=8/24,BG$9&lt;14/24)</formula>
    </cfRule>
    <cfRule type="expression" dxfId="395" priority="96">
      <formula>BG$9&lt;8/24</formula>
    </cfRule>
  </conditionalFormatting>
  <conditionalFormatting sqref="AU15:AV15">
    <cfRule type="expression" dxfId="394" priority="97">
      <formula>AE$9&gt;=20/24</formula>
    </cfRule>
    <cfRule type="expression" dxfId="393" priority="98">
      <formula>AND(AE$9&gt;=14/24,AE$9&lt;20/24)</formula>
    </cfRule>
    <cfRule type="expression" dxfId="392" priority="99">
      <formula>AND(AE$9&gt;=8/24,AE$9&lt;14/24)</formula>
    </cfRule>
    <cfRule type="expression" dxfId="391" priority="100">
      <formula>AE$9&lt;8/24</formula>
    </cfRule>
  </conditionalFormatting>
  <conditionalFormatting sqref="AU16:BJ21">
    <cfRule type="expression" dxfId="390" priority="101">
      <formula>BI$9&gt;=20/24</formula>
    </cfRule>
    <cfRule type="expression" dxfId="389" priority="102">
      <formula>AND(BI$9&gt;=14/24,BI$9&lt;20/24)</formula>
    </cfRule>
    <cfRule type="expression" dxfId="388" priority="103">
      <formula>AND(BI$9&gt;=8/24,BI$9&lt;14/24)</formula>
    </cfRule>
    <cfRule type="expression" dxfId="387" priority="104">
      <formula>BI$9&lt;8/24</formula>
    </cfRule>
  </conditionalFormatting>
  <conditionalFormatting sqref="AW15">
    <cfRule type="expression" dxfId="386" priority="73">
      <formula>B$9&gt;=20/24</formula>
    </cfRule>
    <cfRule type="expression" dxfId="385" priority="74">
      <formula>AND(B$9&gt;=14/24,B$9&lt;20/24)</formula>
    </cfRule>
    <cfRule type="expression" dxfId="384" priority="75">
      <formula>AND(B$9&gt;=8/24,B$9&lt;14/24)</formula>
    </cfRule>
    <cfRule type="expression" dxfId="383" priority="76">
      <formula>B$9&lt;8/24</formula>
    </cfRule>
  </conditionalFormatting>
  <conditionalFormatting sqref="A73">
    <cfRule type="expression" dxfId="382" priority="24">
      <formula>$AH73=0</formula>
    </cfRule>
  </conditionalFormatting>
  <conditionalFormatting sqref="B97:F107 B137:F152 B109:F112 B125:F134 B154:F159 B11:O13">
    <cfRule type="expression" dxfId="381" priority="20">
      <formula>B$9&gt;=20/24</formula>
    </cfRule>
  </conditionalFormatting>
  <conditionalFormatting sqref="B97:F107 B137:F152 B109:F112 B125:F134 B154:F159 B11:O13">
    <cfRule type="expression" dxfId="380" priority="21">
      <formula>AND(B$9&gt;=14/24,B$9&lt;20/24)</formula>
    </cfRule>
    <cfRule type="expression" dxfId="379" priority="22">
      <formula>AND(B$9&gt;=8/24,B$9&lt;14/24)</formula>
    </cfRule>
    <cfRule type="expression" dxfId="378" priority="23">
      <formula>B$9&lt;8/24</formula>
    </cfRule>
  </conditionalFormatting>
  <conditionalFormatting sqref="B14:O28">
    <cfRule type="expression" dxfId="377" priority="10">
      <formula>B14&gt;$AG14*1</formula>
    </cfRule>
    <cfRule type="expression" dxfId="376" priority="11">
      <formula>B$9&gt;=20/24</formula>
    </cfRule>
    <cfRule type="expression" dxfId="375" priority="12">
      <formula>AND(B$9&gt;=14/24,B$9&lt;20/24)</formula>
    </cfRule>
    <cfRule type="expression" dxfId="374" priority="13">
      <formula>AND(B$9&gt;=8/24,B$9&lt;14/24)</formula>
    </cfRule>
    <cfRule type="expression" dxfId="373" priority="14">
      <formula>B$9&lt;8/24</formula>
    </cfRule>
  </conditionalFormatting>
  <conditionalFormatting sqref="B161:F167">
    <cfRule type="expression" dxfId="372" priority="15">
      <formula>B$9&gt;=20/24</formula>
    </cfRule>
    <cfRule type="expression" dxfId="371" priority="16">
      <formula>AND(B$9&gt;=14/24,B$9&lt;20/24)</formula>
    </cfRule>
    <cfRule type="expression" dxfId="370" priority="17">
      <formula>AND(B$9&gt;=8/24,B$9&lt;14/24)</formula>
    </cfRule>
    <cfRule type="expression" dxfId="369" priority="18">
      <formula>B$9&lt;8/24</formula>
    </cfRule>
  </conditionalFormatting>
  <conditionalFormatting sqref="B169:F274">
    <cfRule type="expression" dxfId="368" priority="6">
      <formula>B$9&gt;=20/24</formula>
    </cfRule>
    <cfRule type="expression" dxfId="367" priority="7">
      <formula>AND(B$9&gt;=14/24,B$9&lt;20/24)</formula>
    </cfRule>
    <cfRule type="expression" dxfId="366" priority="8">
      <formula>AND(B$9&gt;=8/24,B$9&lt;14/24)</formula>
    </cfRule>
    <cfRule type="expression" dxfId="365" priority="9">
      <formula>B$9&lt;8/24</formula>
    </cfRule>
  </conditionalFormatting>
  <conditionalFormatting sqref="B11:O13">
    <cfRule type="expression" dxfId="364" priority="19">
      <formula>B11&gt;$AG11*1</formula>
    </cfRule>
  </conditionalFormatting>
  <conditionalFormatting sqref="A153">
    <cfRule type="expression" dxfId="36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2" priority="1">
      <formula>AL$9&gt;=20/24</formula>
    </cfRule>
  </conditionalFormatting>
  <conditionalFormatting sqref="AL153">
    <cfRule type="expression" dxfId="361" priority="2">
      <formula>AND(AL$9&gt;=14/24,AL$9&lt;20/24)</formula>
    </cfRule>
    <cfRule type="expression" dxfId="360" priority="3">
      <formula>AND(AL$9&gt;=8/24,AL$9&lt;14/24)</formula>
    </cfRule>
    <cfRule type="expression" dxfId="35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L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52" sqref="AF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Load=202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1860.6</v>
      </c>
      <c r="AC7" s="35">
        <f t="shared" si="1"/>
        <v>1890.9</v>
      </c>
      <c r="AD7" s="35">
        <f t="shared" si="1"/>
        <v>1848.4</v>
      </c>
      <c r="AE7" s="35">
        <f t="shared" si="1"/>
        <v>1798.2000000000003</v>
      </c>
      <c r="AF7" s="35">
        <f t="shared" si="1"/>
        <v>202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2398.2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4"/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4"/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4"/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4"/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200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/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668.50000000000011</v>
      </c>
      <c r="BH17" s="58">
        <f>AD78</f>
        <v>668.50000000000011</v>
      </c>
      <c r="BI17" s="58">
        <f>AE78</f>
        <v>668.50000000000011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/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344.00000000000006</v>
      </c>
      <c r="BH18" s="58">
        <f>AD92</f>
        <v>344.00000000000006</v>
      </c>
      <c r="BI18" s="58">
        <f>AE92</f>
        <v>344.00000000000006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/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2393.6</v>
      </c>
      <c r="BH22" s="60">
        <f t="shared" si="16"/>
        <v>2393.4</v>
      </c>
      <c r="BI22" s="60">
        <f t="shared" si="16"/>
        <v>2398.2000000000003</v>
      </c>
      <c r="BJ22" s="60">
        <f t="shared" si="16"/>
        <v>202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/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/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/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1860.6</v>
      </c>
      <c r="BH25" s="60">
        <f t="shared" si="19"/>
        <v>1848.4</v>
      </c>
      <c r="BI25" s="60">
        <f t="shared" si="19"/>
        <v>1798.2000000000003</v>
      </c>
      <c r="BJ25" s="60">
        <f t="shared" si="19"/>
        <v>202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/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/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/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/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/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/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/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/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/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/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/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/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/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/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/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/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/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/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/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/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E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/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200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200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37</v>
      </c>
      <c r="AC74" s="43">
        <v>37</v>
      </c>
      <c r="AD74" s="43">
        <v>37</v>
      </c>
      <c r="AE74" s="43">
        <v>37</v>
      </c>
      <c r="AF74" s="43"/>
      <c r="AG74" s="64">
        <v>60</v>
      </c>
      <c r="AH74" s="46">
        <f t="shared" si="2"/>
        <v>53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/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/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/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668.50000000000011</v>
      </c>
      <c r="AC78" s="70">
        <f t="shared" si="37"/>
        <v>668.50000000000011</v>
      </c>
      <c r="AD78" s="70">
        <f t="shared" si="37"/>
        <v>668.50000000000011</v>
      </c>
      <c r="AE78" s="70">
        <f t="shared" ref="AE78" si="46">SUM(AE72:AE77)</f>
        <v>668.50000000000011</v>
      </c>
      <c r="AF78" s="70">
        <f t="shared" si="37"/>
        <v>0</v>
      </c>
      <c r="AG78" s="80">
        <f t="shared" si="37"/>
        <v>706.4</v>
      </c>
      <c r="AH78" s="46">
        <f t="shared" si="34"/>
        <v>668.50000000000011</v>
      </c>
      <c r="AI78" s="47">
        <f t="shared" si="3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/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63</v>
      </c>
      <c r="AC80" s="43">
        <v>63</v>
      </c>
      <c r="AD80" s="43">
        <v>63</v>
      </c>
      <c r="AE80" s="43">
        <v>63</v>
      </c>
      <c r="AF80" s="44"/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62</v>
      </c>
      <c r="AC81" s="43">
        <v>62</v>
      </c>
      <c r="AD81" s="43">
        <v>62</v>
      </c>
      <c r="AE81" s="43">
        <v>62</v>
      </c>
      <c r="AF81" s="44"/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4"/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/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3"/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/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/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0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/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/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0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/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/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344.00000000000006</v>
      </c>
      <c r="AC92" s="70">
        <f t="shared" si="53"/>
        <v>344.00000000000006</v>
      </c>
      <c r="AD92" s="70">
        <f t="shared" si="53"/>
        <v>344.00000000000006</v>
      </c>
      <c r="AE92" s="70">
        <f t="shared" ref="AE92" si="63">SUM(AE79:AE91)</f>
        <v>344.00000000000006</v>
      </c>
      <c r="AF92" s="70">
        <f t="shared" si="53"/>
        <v>2</v>
      </c>
      <c r="AG92" s="80">
        <f t="shared" si="53"/>
        <v>489.91</v>
      </c>
      <c r="AH92" s="46">
        <f t="shared" si="34"/>
        <v>371.40000000000003</v>
      </c>
      <c r="AI92" s="47">
        <f t="shared" si="3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/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/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/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" si="74">AE93+AE94+AE95</f>
        <v>0</v>
      </c>
      <c r="AF96" s="70">
        <f t="shared" si="65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/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/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/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/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/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/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0</v>
      </c>
      <c r="AG108" s="104">
        <f>SUM(AG97:AG107)</f>
        <v>0</v>
      </c>
      <c r="AH108" s="46">
        <f t="shared" si="34"/>
        <v>205.6</v>
      </c>
      <c r="AI108" s="47">
        <f t="shared" si="35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2313.6</v>
      </c>
      <c r="AC113" s="108">
        <f t="shared" si="87"/>
        <v>2310.9</v>
      </c>
      <c r="AD113" s="108">
        <f t="shared" si="87"/>
        <v>2313.4</v>
      </c>
      <c r="AE113" s="108">
        <f t="shared" ref="AE113" si="96">AE71+AE78+AE96+AE92+AE108+AE112</f>
        <v>2328.2000000000003</v>
      </c>
      <c r="AF113" s="108">
        <f t="shared" si="87"/>
        <v>202</v>
      </c>
      <c r="AG113" s="80">
        <f t="shared" si="87"/>
        <v>3169.915</v>
      </c>
      <c r="AH113" s="46">
        <f t="shared" si="34"/>
        <v>2369.96</v>
      </c>
      <c r="AI113" s="47">
        <f t="shared" si="35"/>
        <v>202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/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2393.6</v>
      </c>
      <c r="AC115" s="108">
        <f t="shared" si="98"/>
        <v>2390.9</v>
      </c>
      <c r="AD115" s="108">
        <f t="shared" si="98"/>
        <v>2393.4</v>
      </c>
      <c r="AE115" s="108">
        <f t="shared" ref="AE115" si="107">AE113+AE114</f>
        <v>2398.2000000000003</v>
      </c>
      <c r="AF115" s="108">
        <f t="shared" si="98"/>
        <v>202</v>
      </c>
      <c r="AG115" s="104">
        <f>AG112+AG108+AG96+AG92+AG71+AG114</f>
        <v>2463.5149999999999</v>
      </c>
      <c r="AH115" s="46">
        <f t="shared" si="34"/>
        <v>2416.6999999999998</v>
      </c>
      <c r="AI115" s="47">
        <f t="shared" si="35"/>
        <v>202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1860.6</v>
      </c>
      <c r="AC116" s="108">
        <f t="shared" si="109"/>
        <v>1890.9</v>
      </c>
      <c r="AD116" s="108">
        <f t="shared" si="109"/>
        <v>1848.4</v>
      </c>
      <c r="AE116" s="108">
        <f t="shared" ref="AE116" si="118">AE115-(AE123)</f>
        <v>1798.2000000000003</v>
      </c>
      <c r="AF116" s="108">
        <f t="shared" si="109"/>
        <v>202</v>
      </c>
      <c r="AG116" s="104"/>
      <c r="AH116" s="46">
        <f t="shared" si="34"/>
        <v>1972.4999999999998</v>
      </c>
      <c r="AI116" s="47">
        <f t="shared" si="35"/>
        <v>202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0</v>
      </c>
      <c r="AG117" s="61"/>
      <c r="AH117" s="46">
        <f t="shared" si="34"/>
        <v>600</v>
      </c>
      <c r="AI117" s="47">
        <f t="shared" si="3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0</v>
      </c>
      <c r="AG123" s="104"/>
      <c r="AH123" s="46">
        <f t="shared" si="34"/>
        <v>600</v>
      </c>
      <c r="AI123" s="47">
        <f t="shared" si="35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0</v>
      </c>
      <c r="AG124" s="104"/>
      <c r="AH124" s="46">
        <f t="shared" si="34"/>
        <v>0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/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/>
      <c r="AG127" s="120"/>
      <c r="AH127" s="46">
        <f t="shared" si="34"/>
        <v>133.80000000000001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/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/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/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128.5</v>
      </c>
      <c r="AD132" s="43">
        <v>125.4</v>
      </c>
      <c r="AE132" s="43">
        <v>125.4</v>
      </c>
      <c r="AF132" s="43"/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/>
      <c r="AG133" s="124"/>
      <c r="AH133" s="46">
        <f t="shared" si="34"/>
        <v>67.099999999999994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0.94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/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/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/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/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/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/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/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/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/>
      <c r="AG150" s="134"/>
      <c r="AH150" s="46">
        <f t="shared" si="209"/>
        <v>30.1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/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58" priority="25">
      <formula>$AH11=0</formula>
    </cfRule>
  </conditionalFormatting>
  <conditionalFormatting sqref="A101:A102">
    <cfRule type="expression" dxfId="357" priority="193">
      <formula>$AH106=0</formula>
    </cfRule>
  </conditionalFormatting>
  <conditionalFormatting sqref="A103:A107">
    <cfRule type="expression" dxfId="356" priority="141">
      <formula>$AH102=0</formula>
    </cfRule>
  </conditionalFormatting>
  <conditionalFormatting sqref="A160:A167">
    <cfRule type="expression" dxfId="355" priority="194">
      <formula>$AH267=0</formula>
    </cfRule>
  </conditionalFormatting>
  <conditionalFormatting sqref="A168:A275">
    <cfRule type="expression" dxfId="354" priority="64">
      <formula>$AH168=0</formula>
    </cfRule>
  </conditionalFormatting>
  <conditionalFormatting sqref="B8">
    <cfRule type="expression" dxfId="353" priority="189">
      <formula>AND(C$9&gt;=14/24,C$9&lt;20/24)</formula>
    </cfRule>
    <cfRule type="expression" dxfId="352" priority="190">
      <formula>AND(C$9&gt;=8/24,C$9&lt;14/24)</formula>
    </cfRule>
    <cfRule type="expression" dxfId="351" priority="191">
      <formula>C$9&lt;8/24</formula>
    </cfRule>
    <cfRule type="expression" dxfId="350" priority="192">
      <formula>C$9&gt;=20/24</formula>
    </cfRule>
  </conditionalFormatting>
  <conditionalFormatting sqref="AF12:AF13 B9:AF10 B113:B115 C109:L115 B108:L108 B117:B124 C154:L159 B153:L153 B76:F90 C97:L107 B93:L96 C137:L152 AF85:AF90 C117:AF134 M93:AF115 G79:AE90 B72:AE72 G76:AF77 M137:AF159">
    <cfRule type="expression" dxfId="349" priority="106">
      <formula>B$9&gt;=20/24</formula>
    </cfRule>
  </conditionalFormatting>
  <conditionalFormatting sqref="B9:AF10 AF12:AF13 B113:B115 C109:L115 B108:L108 B117:B124 C154:L159 B153:L153 B76:F90 C97:L107 B93:L96 C137:L152 AF85:AF90 C117:AF134 M93:AF115 G79:AE90 B72:AE72 G76:AF77 M137:AF159">
    <cfRule type="expression" dxfId="348" priority="107">
      <formula>AND(B$9&gt;=14/24,B$9&lt;20/24)</formula>
    </cfRule>
    <cfRule type="expression" dxfId="347" priority="108">
      <formula>AND(B$9&gt;=8/24,B$9&lt;14/24)</formula>
    </cfRule>
    <cfRule type="expression" dxfId="346" priority="109">
      <formula>B$9&lt;8/24</formula>
    </cfRule>
  </conditionalFormatting>
  <conditionalFormatting sqref="AF14:AF53 B29:AE53">
    <cfRule type="expression" dxfId="345" priority="49">
      <formula>B14&gt;$AG14*1</formula>
    </cfRule>
    <cfRule type="expression" dxfId="344" priority="50">
      <formula>B$9&gt;=20/24</formula>
    </cfRule>
    <cfRule type="expression" dxfId="343" priority="51">
      <formula>AND(B$9&gt;=14/24,B$9&lt;20/24)</formula>
    </cfRule>
    <cfRule type="expression" dxfId="342" priority="52">
      <formula>AND(B$9&gt;=8/24,B$9&lt;14/24)</formula>
    </cfRule>
    <cfRule type="expression" dxfId="341" priority="53">
      <formula>B$9&lt;8/24</formula>
    </cfRule>
  </conditionalFormatting>
  <conditionalFormatting sqref="B54:AF68">
    <cfRule type="expression" dxfId="340" priority="42">
      <formula>B$9&lt;8/24</formula>
    </cfRule>
  </conditionalFormatting>
  <conditionalFormatting sqref="B54:AF70">
    <cfRule type="expression" dxfId="339" priority="39">
      <formula>B$9&gt;=20/24</formula>
    </cfRule>
    <cfRule type="expression" dxfId="338" priority="40">
      <formula>AND(B$9&gt;=14/24,B$9&lt;20/24)</formula>
    </cfRule>
    <cfRule type="expression" dxfId="337" priority="41">
      <formula>AND(B$9&gt;=8/24,B$9&lt;14/24)</formula>
    </cfRule>
  </conditionalFormatting>
  <conditionalFormatting sqref="B63:AF65">
    <cfRule type="expression" dxfId="336" priority="43">
      <formula>B63&gt;$AG63</formula>
    </cfRule>
  </conditionalFormatting>
  <conditionalFormatting sqref="B69:AF70">
    <cfRule type="expression" dxfId="335" priority="114">
      <formula>B$9&lt;8/24</formula>
    </cfRule>
  </conditionalFormatting>
  <conditionalFormatting sqref="B72:AF75">
    <cfRule type="expression" dxfId="334" priority="30">
      <formula>B72&gt;$AG72*1</formula>
    </cfRule>
  </conditionalFormatting>
  <conditionalFormatting sqref="B73:AF75">
    <cfRule type="expression" dxfId="333" priority="31">
      <formula>B$9&gt;=20/24</formula>
    </cfRule>
    <cfRule type="expression" dxfId="332" priority="32">
      <formula>AND(B$9&gt;=14/24,B$9&lt;20/24)</formula>
    </cfRule>
    <cfRule type="expression" dxfId="331" priority="33">
      <formula>AND(B$9&gt;=8/24,B$9&lt;14/24)</formula>
    </cfRule>
    <cfRule type="expression" dxfId="330" priority="34">
      <formula>B$9&lt;8/24</formula>
    </cfRule>
  </conditionalFormatting>
  <conditionalFormatting sqref="C161:AF167">
    <cfRule type="expression" dxfId="329" priority="65">
      <formula>C$9&gt;=20/24</formula>
    </cfRule>
    <cfRule type="expression" dxfId="328" priority="66">
      <formula>AND(C$9&gt;=14/24,C$9&lt;20/24)</formula>
    </cfRule>
    <cfRule type="expression" dxfId="327" priority="67">
      <formula>AND(C$9&gt;=8/24,C$9&lt;14/24)</formula>
    </cfRule>
    <cfRule type="expression" dxfId="326" priority="68">
      <formula>C$9&lt;8/24</formula>
    </cfRule>
  </conditionalFormatting>
  <conditionalFormatting sqref="C169:AF274">
    <cfRule type="expression" dxfId="325" priority="26">
      <formula>C$9&gt;=20/24</formula>
    </cfRule>
    <cfRule type="expression" dxfId="324" priority="27">
      <formula>AND(C$9&gt;=14/24,C$9&lt;20/24)</formula>
    </cfRule>
    <cfRule type="expression" dxfId="323" priority="28">
      <formula>AND(C$9&gt;=8/24,C$9&lt;14/24)</formula>
    </cfRule>
    <cfRule type="expression" dxfId="322" priority="29">
      <formula>C$9&lt;8/24</formula>
    </cfRule>
  </conditionalFormatting>
  <conditionalFormatting sqref="AF12:AF13 AF69:AF70 AF76:AF77 AF80:AF95 AF96:AG96 AF78:AG78 B71:AG71 B76:AE96 B69:AF69">
    <cfRule type="expression" dxfId="321" priority="105">
      <formula>B12&gt;$AG12*1</formula>
    </cfRule>
  </conditionalFormatting>
  <conditionalFormatting sqref="G79:AE83">
    <cfRule type="expression" dxfId="320" priority="115">
      <formula>G$9&gt;=20/24</formula>
    </cfRule>
    <cfRule type="expression" dxfId="319" priority="116">
      <formula>AND(G$9&gt;=14/24,G$9&lt;20/24)</formula>
    </cfRule>
    <cfRule type="expression" dxfId="318" priority="117">
      <formula>AND(G$9&gt;=8/24,G$9&lt;14/24)</formula>
    </cfRule>
    <cfRule type="expression" dxfId="317" priority="118">
      <formula>G$9&lt;8/24</formula>
    </cfRule>
  </conditionalFormatting>
  <conditionalFormatting sqref="G84:AE84">
    <cfRule type="expression" dxfId="316" priority="110">
      <formula>G$9&gt;=20/24</formula>
    </cfRule>
    <cfRule type="expression" dxfId="315" priority="111">
      <formula>AND(G$9&gt;=14/24,G$9&lt;20/24)</formula>
    </cfRule>
    <cfRule type="expression" dxfId="314" priority="112">
      <formula>AND(G$9&gt;=8/24,G$9&lt;14/24)</formula>
    </cfRule>
    <cfRule type="expression" dxfId="313" priority="113">
      <formula>G$9&lt;8/24</formula>
    </cfRule>
  </conditionalFormatting>
  <conditionalFormatting sqref="AF76:AF78 G78:AE78 B72:AF72">
    <cfRule type="expression" dxfId="312" priority="125">
      <formula>B$9&gt;=20/24</formula>
    </cfRule>
    <cfRule type="expression" dxfId="311" priority="126">
      <formula>AND(B$9&gt;=14/24,B$9&lt;20/24)</formula>
    </cfRule>
    <cfRule type="expression" dxfId="310" priority="127">
      <formula>AND(B$9&gt;=8/24,B$9&lt;14/24)</formula>
    </cfRule>
    <cfRule type="expression" dxfId="309" priority="128">
      <formula>B$9&lt;8/24</formula>
    </cfRule>
  </conditionalFormatting>
  <conditionalFormatting sqref="AF73:AF75">
    <cfRule type="expression" dxfId="308" priority="35">
      <formula>AF$9&gt;=20/24</formula>
    </cfRule>
    <cfRule type="expression" dxfId="307" priority="36">
      <formula>AND(AF$9&gt;=14/24,AF$9&lt;20/24)</formula>
    </cfRule>
    <cfRule type="expression" dxfId="306" priority="37">
      <formula>AND(AF$9&gt;=8/24,AF$9&lt;14/24)</formula>
    </cfRule>
    <cfRule type="expression" dxfId="305" priority="38">
      <formula>AF$9&lt;8/24</formula>
    </cfRule>
  </conditionalFormatting>
  <conditionalFormatting sqref="G79:AE81">
    <cfRule type="expression" dxfId="304" priority="133">
      <formula>G$9&gt;=20/24</formula>
    </cfRule>
    <cfRule type="expression" dxfId="303" priority="134">
      <formula>AND(G$9&gt;=14/24,G$9&lt;20/24)</formula>
    </cfRule>
    <cfRule type="expression" dxfId="302" priority="135">
      <formula>AND(G$9&gt;=8/24,G$9&lt;14/24)</formula>
    </cfRule>
    <cfRule type="expression" dxfId="301" priority="136">
      <formula>G$9&lt;8/24</formula>
    </cfRule>
  </conditionalFormatting>
  <conditionalFormatting sqref="L84:AF84">
    <cfRule type="expression" dxfId="300" priority="129">
      <formula>L$9&gt;=20/24</formula>
    </cfRule>
    <cfRule type="expression" dxfId="299" priority="130">
      <formula>AND(L$9&gt;=14/24,L$9&lt;20/24)</formula>
    </cfRule>
    <cfRule type="expression" dxfId="298" priority="131">
      <formula>AND(L$9&gt;=8/24,L$9&lt;14/24)</formula>
    </cfRule>
    <cfRule type="expression" dxfId="297" priority="132">
      <formula>L$9&lt;8/24</formula>
    </cfRule>
  </conditionalFormatting>
  <conditionalFormatting sqref="M8 S8 AB8">
    <cfRule type="expression" dxfId="296" priority="182">
      <formula>AND(N$9&gt;=14/24,N$9&lt;20/24)</formula>
    </cfRule>
    <cfRule type="expression" dxfId="295" priority="183">
      <formula>AND(N$9&gt;=8/24,N$9&lt;14/24)</formula>
    </cfRule>
    <cfRule type="expression" dxfId="294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3" priority="181">
      <formula>N$9&gt;=20/24</formula>
    </cfRule>
  </conditionalFormatting>
  <conditionalFormatting sqref="S8">
    <cfRule type="expression" dxfId="292" priority="172">
      <formula>U$9&gt;=20/24</formula>
    </cfRule>
    <cfRule type="expression" dxfId="291" priority="173">
      <formula>AND(U$9&gt;=14/24,U$9&lt;20/24)</formula>
    </cfRule>
    <cfRule type="expression" dxfId="290" priority="174">
      <formula>AND(U$9&gt;=8/24,U$9&lt;14/24)</formula>
    </cfRule>
    <cfRule type="expression" dxfId="289" priority="175">
      <formula>U$9&lt;8/24</formula>
    </cfRule>
  </conditionalFormatting>
  <conditionalFormatting sqref="AC79:AF84">
    <cfRule type="expression" dxfId="288" priority="59">
      <formula>AC$9&gt;=20/24</formula>
    </cfRule>
    <cfRule type="expression" dxfId="287" priority="60">
      <formula>AND(AC$9&gt;=14/24,AC$9&lt;20/24)</formula>
    </cfRule>
    <cfRule type="expression" dxfId="286" priority="61">
      <formula>AND(AC$9&gt;=8/24,AC$9&lt;14/24)</formula>
    </cfRule>
    <cfRule type="expression" dxfId="285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F65">
    <cfRule type="expression" dxfId="284" priority="44">
      <formula>AF$9&gt;=20/24</formula>
    </cfRule>
    <cfRule type="expression" dxfId="283" priority="45">
      <formula>AND(AF$9&gt;=14/24,AF$9&lt;20/24)</formula>
    </cfRule>
    <cfRule type="expression" dxfId="282" priority="46">
      <formula>AND(AF$9&gt;=8/24,AF$9&lt;14/24)</formula>
    </cfRule>
    <cfRule type="expression" dxfId="281" priority="47">
      <formula>AF$9&lt;8/24</formula>
    </cfRule>
  </conditionalFormatting>
  <conditionalFormatting sqref="AF66:AF69 AF11 B66:AE70 B54:AF62 AA69:AF69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F11">
    <cfRule type="expression" dxfId="275" priority="120">
      <formula>AF$9&gt;=20/24</formula>
    </cfRule>
    <cfRule type="expression" dxfId="274" priority="121">
      <formula>AND(AF$9&gt;=14/24,AF$9&lt;20/24)</formula>
    </cfRule>
    <cfRule type="expression" dxfId="273" priority="122">
      <formula>AND(AF$9&gt;=8/24,AF$9&lt;14/24)</formula>
    </cfRule>
    <cfRule type="expression" dxfId="272" priority="123">
      <formula>AF$9&lt;8/24</formula>
    </cfRule>
  </conditionalFormatting>
  <conditionalFormatting sqref="AF79">
    <cfRule type="expression" dxfId="271" priority="195">
      <formula>AF79&gt;$AG80*1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B11:AE13">
    <cfRule type="expression" dxfId="204" priority="20">
      <formula>B$9&gt;=20/24</formula>
    </cfRule>
  </conditionalFormatting>
  <conditionalFormatting sqref="B97:B107 B137:B152 B109:B112 B125:B134 B154:B159 B11:AE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E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E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U105" sqref="U105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37.78</v>
      </c>
      <c r="W3" s="244">
        <v>-140</v>
      </c>
      <c r="X3" s="237">
        <f>SUM(T3:W3)</f>
        <v>-450.91999999999996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37.78</v>
      </c>
      <c r="W4" s="244">
        <v>-140</v>
      </c>
      <c r="X4" s="237">
        <f t="shared" ref="X4:X67" si="0">SUM(T4:W4)</f>
        <v>-450.91999999999996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37.78</v>
      </c>
      <c r="W5" s="244">
        <v>-140</v>
      </c>
      <c r="X5" s="237">
        <f t="shared" si="0"/>
        <v>-450.91999999999996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37.78</v>
      </c>
      <c r="W6" s="244">
        <v>-140</v>
      </c>
      <c r="X6" s="237">
        <f t="shared" si="0"/>
        <v>-450.91999999999996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37.78</v>
      </c>
      <c r="W7" s="244">
        <v>-139.99</v>
      </c>
      <c r="X7" s="237">
        <f t="shared" si="0"/>
        <v>-450.90999999999997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37.78</v>
      </c>
      <c r="W8" s="244">
        <v>-140</v>
      </c>
      <c r="X8" s="237">
        <f t="shared" si="0"/>
        <v>-450.91999999999996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37.78</v>
      </c>
      <c r="W9" s="244">
        <v>-139.99</v>
      </c>
      <c r="X9" s="237">
        <f t="shared" si="0"/>
        <v>-450.90999999999997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37.78</v>
      </c>
      <c r="W10" s="244">
        <v>-140</v>
      </c>
      <c r="X10" s="237">
        <f t="shared" si="0"/>
        <v>-450.91999999999996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37.78</v>
      </c>
      <c r="W11" s="244">
        <v>-140</v>
      </c>
      <c r="X11" s="237">
        <f t="shared" si="0"/>
        <v>-450.91999999999996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37.78</v>
      </c>
      <c r="W12" s="244">
        <v>-140</v>
      </c>
      <c r="X12" s="237">
        <f t="shared" si="0"/>
        <v>-450.91999999999996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37.78</v>
      </c>
      <c r="W13" s="244">
        <v>-140</v>
      </c>
      <c r="X13" s="237">
        <f t="shared" si="0"/>
        <v>-450.91999999999996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37.78</v>
      </c>
      <c r="W14" s="244">
        <v>-139.99</v>
      </c>
      <c r="X14" s="237">
        <f t="shared" si="0"/>
        <v>-450.90999999999997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37.78</v>
      </c>
      <c r="W15" s="244">
        <v>-139.99</v>
      </c>
      <c r="X15" s="237">
        <f t="shared" si="0"/>
        <v>-450.90999999999997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37.78</v>
      </c>
      <c r="W16" s="244">
        <v>-140</v>
      </c>
      <c r="X16" s="237">
        <f t="shared" si="0"/>
        <v>-450.91999999999996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37.78</v>
      </c>
      <c r="W17" s="244">
        <v>-140</v>
      </c>
      <c r="X17" s="237">
        <f t="shared" si="0"/>
        <v>-450.91999999999996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37.78</v>
      </c>
      <c r="W18" s="244">
        <v>-140</v>
      </c>
      <c r="X18" s="237">
        <f t="shared" si="0"/>
        <v>-450.91999999999996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37.78</v>
      </c>
      <c r="W19" s="244">
        <v>-140</v>
      </c>
      <c r="X19" s="237">
        <f t="shared" si="0"/>
        <v>-450.91999999999996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37.78</v>
      </c>
      <c r="W20" s="244">
        <v>-140</v>
      </c>
      <c r="X20" s="237">
        <f t="shared" si="0"/>
        <v>-450.91999999999996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37.78</v>
      </c>
      <c r="W21" s="244">
        <v>-140</v>
      </c>
      <c r="X21" s="237">
        <f t="shared" si="0"/>
        <v>-450.91999999999996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37.78</v>
      </c>
      <c r="W22" s="244">
        <v>-140</v>
      </c>
      <c r="X22" s="237">
        <f t="shared" si="0"/>
        <v>-450.91999999999996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42.49</v>
      </c>
      <c r="W23" s="244">
        <v>-140</v>
      </c>
      <c r="X23" s="237">
        <f>SUM(T23:W23)</f>
        <v>-581.21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42.49</v>
      </c>
      <c r="W24" s="244">
        <v>-140</v>
      </c>
      <c r="X24" s="237">
        <f t="shared" si="0"/>
        <v>-586.21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42.49</v>
      </c>
      <c r="W25" s="244">
        <v>-140</v>
      </c>
      <c r="X25" s="237">
        <f t="shared" si="0"/>
        <v>-586.21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42.49</v>
      </c>
      <c r="W26" s="244">
        <v>-140</v>
      </c>
      <c r="X26" s="237">
        <f t="shared" si="0"/>
        <v>-536.21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42.49</v>
      </c>
      <c r="W27" s="244">
        <v>-140</v>
      </c>
      <c r="X27" s="237">
        <f t="shared" si="0"/>
        <v>-506.21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42.49</v>
      </c>
      <c r="W28" s="244">
        <v>-140</v>
      </c>
      <c r="X28" s="237">
        <f t="shared" si="0"/>
        <v>-506.21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57.93</v>
      </c>
      <c r="W29" s="244">
        <v>-122.05</v>
      </c>
      <c r="X29" s="237">
        <f t="shared" si="0"/>
        <v>-472.82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57.93</v>
      </c>
      <c r="W30" s="244">
        <v>0</v>
      </c>
      <c r="X30" s="237">
        <f t="shared" si="0"/>
        <v>-350.77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57.93</v>
      </c>
      <c r="W31" s="244">
        <v>0</v>
      </c>
      <c r="X31" s="237">
        <f t="shared" si="0"/>
        <v>-350.77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57.93</v>
      </c>
      <c r="W32" s="244">
        <v>0</v>
      </c>
      <c r="X32" s="237">
        <f t="shared" si="0"/>
        <v>-350.77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57.93</v>
      </c>
      <c r="W33" s="244">
        <v>0</v>
      </c>
      <c r="X33" s="237">
        <f t="shared" si="0"/>
        <v>-350.77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57.93</v>
      </c>
      <c r="W34" s="244">
        <v>0</v>
      </c>
      <c r="X34" s="237">
        <f t="shared" si="0"/>
        <v>-350.77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57.93</v>
      </c>
      <c r="W35" s="244">
        <v>0</v>
      </c>
      <c r="X35" s="237">
        <f t="shared" si="0"/>
        <v>-350.77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57.93</v>
      </c>
      <c r="W36" s="244">
        <v>0</v>
      </c>
      <c r="X36" s="237">
        <f t="shared" si="0"/>
        <v>-350.77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57.93</v>
      </c>
      <c r="W37" s="247">
        <v>0</v>
      </c>
      <c r="X37" s="242">
        <f t="shared" si="0"/>
        <v>-350.77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57.93</v>
      </c>
      <c r="W38" s="244">
        <v>0</v>
      </c>
      <c r="X38" s="237">
        <f t="shared" si="0"/>
        <v>-350.77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57.93</v>
      </c>
      <c r="W39" s="244">
        <v>0</v>
      </c>
      <c r="X39" s="237">
        <f t="shared" si="0"/>
        <v>-299.77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57.93</v>
      </c>
      <c r="W40" s="244">
        <v>0</v>
      </c>
      <c r="X40" s="237">
        <f t="shared" si="0"/>
        <v>-299.77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57.93</v>
      </c>
      <c r="W41" s="244">
        <v>0</v>
      </c>
      <c r="X41" s="237">
        <f t="shared" si="0"/>
        <v>-299.77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57.93</v>
      </c>
      <c r="W42" s="244">
        <v>0</v>
      </c>
      <c r="X42" s="237">
        <f t="shared" si="0"/>
        <v>-299.77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57.93</v>
      </c>
      <c r="W43" s="244">
        <v>0</v>
      </c>
      <c r="X43" s="237">
        <f t="shared" si="0"/>
        <v>-299.77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57.93</v>
      </c>
      <c r="W44" s="244">
        <v>0</v>
      </c>
      <c r="X44" s="237">
        <f t="shared" si="0"/>
        <v>-232.76999999999998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57.93</v>
      </c>
      <c r="W45" s="244">
        <v>0</v>
      </c>
      <c r="X45" s="237">
        <f t="shared" si="0"/>
        <v>-167.76999999999998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57.93</v>
      </c>
      <c r="W46" s="244">
        <v>0</v>
      </c>
      <c r="X46" s="237">
        <f t="shared" si="0"/>
        <v>-167.76999999999998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57.93</v>
      </c>
      <c r="W47" s="244">
        <v>0</v>
      </c>
      <c r="X47" s="237">
        <f t="shared" si="0"/>
        <v>-167.76999999999998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57.93</v>
      </c>
      <c r="W48" s="244">
        <v>0</v>
      </c>
      <c r="X48" s="237">
        <f t="shared" si="0"/>
        <v>-167.76999999999998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57.93</v>
      </c>
      <c r="W49" s="244">
        <v>0</v>
      </c>
      <c r="X49" s="237">
        <f t="shared" si="0"/>
        <v>-167.76999999999998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57.93</v>
      </c>
      <c r="W50" s="244">
        <v>0</v>
      </c>
      <c r="X50" s="237">
        <f t="shared" si="0"/>
        <v>-167.76999999999998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57.93</v>
      </c>
      <c r="W51" s="244">
        <v>0</v>
      </c>
      <c r="X51" s="237">
        <f t="shared" si="0"/>
        <v>-167.76999999999998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57.93</v>
      </c>
      <c r="W52" s="244">
        <v>0</v>
      </c>
      <c r="X52" s="237">
        <f t="shared" si="0"/>
        <v>-167.76999999999998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57.93</v>
      </c>
      <c r="W53" s="244">
        <v>0</v>
      </c>
      <c r="X53" s="237">
        <f t="shared" si="0"/>
        <v>-107.76999999999998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57.93</v>
      </c>
      <c r="W54" s="244">
        <v>0</v>
      </c>
      <c r="X54" s="237">
        <f t="shared" si="0"/>
        <v>-107.76999999999998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57.93</v>
      </c>
      <c r="W55" s="244">
        <v>0</v>
      </c>
      <c r="X55" s="237">
        <f t="shared" si="0"/>
        <v>-107.76999999999998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57.93</v>
      </c>
      <c r="W56" s="244">
        <v>0</v>
      </c>
      <c r="X56" s="237">
        <f t="shared" si="0"/>
        <v>-107.76999999999998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57.93</v>
      </c>
      <c r="W57" s="244">
        <v>0</v>
      </c>
      <c r="X57" s="237">
        <f t="shared" si="0"/>
        <v>-107.76999999999998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57.93</v>
      </c>
      <c r="W58" s="244">
        <v>0</v>
      </c>
      <c r="X58" s="237">
        <f t="shared" si="0"/>
        <v>-107.76999999999998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57.93</v>
      </c>
      <c r="W59" s="247">
        <v>0</v>
      </c>
      <c r="X59" s="242">
        <f t="shared" si="0"/>
        <v>-167.76999999999998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57.93</v>
      </c>
      <c r="W60" s="244">
        <v>0</v>
      </c>
      <c r="X60" s="237">
        <f t="shared" si="0"/>
        <v>-167.76999999999998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57.93</v>
      </c>
      <c r="W61" s="244">
        <v>0</v>
      </c>
      <c r="X61" s="237">
        <f t="shared" si="0"/>
        <v>-167.76999999999998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57.93</v>
      </c>
      <c r="W62" s="244">
        <v>0</v>
      </c>
      <c r="X62" s="237">
        <f t="shared" si="0"/>
        <v>-167.76999999999998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57.93</v>
      </c>
      <c r="W63" s="244">
        <v>0</v>
      </c>
      <c r="X63" s="237">
        <f t="shared" si="0"/>
        <v>-167.76999999999998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57.93</v>
      </c>
      <c r="W64" s="244">
        <v>0</v>
      </c>
      <c r="X64" s="237">
        <f t="shared" si="0"/>
        <v>-167.76999999999998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57.93</v>
      </c>
      <c r="W65" s="244">
        <v>0</v>
      </c>
      <c r="X65" s="237">
        <f t="shared" si="0"/>
        <v>-167.76999999999998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57.93</v>
      </c>
      <c r="W66" s="244">
        <v>0</v>
      </c>
      <c r="X66" s="237">
        <f t="shared" si="0"/>
        <v>-167.76999999999998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57.93</v>
      </c>
      <c r="W67" s="244">
        <v>0</v>
      </c>
      <c r="X67" s="237">
        <f t="shared" si="0"/>
        <v>-167.76999999999998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57.93</v>
      </c>
      <c r="W68" s="244">
        <v>0</v>
      </c>
      <c r="X68" s="237">
        <f t="shared" ref="X68:X98" si="1">SUM(T68:W68)</f>
        <v>-167.76999999999998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57.93</v>
      </c>
      <c r="W69" s="244">
        <v>0</v>
      </c>
      <c r="X69" s="237">
        <f t="shared" si="1"/>
        <v>-167.76999999999998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57.93</v>
      </c>
      <c r="W70" s="247">
        <v>0</v>
      </c>
      <c r="X70" s="242">
        <f t="shared" si="1"/>
        <v>-167.76999999999998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57.93</v>
      </c>
      <c r="W71" s="244">
        <v>0</v>
      </c>
      <c r="X71" s="237">
        <f t="shared" si="1"/>
        <v>-167.76999999999998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57.93</v>
      </c>
      <c r="W72" s="244">
        <v>0</v>
      </c>
      <c r="X72" s="237">
        <f t="shared" si="1"/>
        <v>-167.76999999999998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57.93</v>
      </c>
      <c r="W73" s="244">
        <v>0</v>
      </c>
      <c r="X73" s="237">
        <f t="shared" si="1"/>
        <v>-234.76999999999998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57.93</v>
      </c>
      <c r="W74" s="244">
        <v>0</v>
      </c>
      <c r="X74" s="237">
        <f t="shared" si="1"/>
        <v>-234.76999999999998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57.93</v>
      </c>
      <c r="W75" s="244">
        <v>0</v>
      </c>
      <c r="X75" s="237">
        <f t="shared" si="1"/>
        <v>-234.76999999999998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57.93</v>
      </c>
      <c r="W76" s="244">
        <v>-140</v>
      </c>
      <c r="X76" s="237">
        <f t="shared" si="1"/>
        <v>-441.77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42.49</v>
      </c>
      <c r="W77" s="244">
        <v>-140</v>
      </c>
      <c r="X77" s="237">
        <f t="shared" si="1"/>
        <v>-317.20999999999998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42.49</v>
      </c>
      <c r="W78" s="244">
        <v>-140</v>
      </c>
      <c r="X78" s="237">
        <f t="shared" si="1"/>
        <v>-317.20999999999998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39.049999999999997</v>
      </c>
      <c r="W79" s="244">
        <v>-140</v>
      </c>
      <c r="X79" s="237">
        <f t="shared" si="1"/>
        <v>-320.64999999999998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39.049999999999997</v>
      </c>
      <c r="W80" s="244">
        <v>-140</v>
      </c>
      <c r="X80" s="237">
        <f t="shared" si="1"/>
        <v>-320.64999999999998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39.049999999999997</v>
      </c>
      <c r="W81" s="244">
        <v>-139.99</v>
      </c>
      <c r="X81" s="237">
        <f t="shared" si="1"/>
        <v>-320.64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39.049999999999997</v>
      </c>
      <c r="W82" s="244">
        <v>-140</v>
      </c>
      <c r="X82" s="237">
        <f t="shared" si="1"/>
        <v>-320.64999999999998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39.049999999999997</v>
      </c>
      <c r="W83" s="244">
        <v>-139.99</v>
      </c>
      <c r="X83" s="237">
        <f t="shared" si="1"/>
        <v>-320.64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39.049999999999997</v>
      </c>
      <c r="W84" s="244">
        <v>-139.99</v>
      </c>
      <c r="X84" s="237">
        <f t="shared" si="1"/>
        <v>-320.64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39.049999999999997</v>
      </c>
      <c r="W85" s="244">
        <v>-139.99</v>
      </c>
      <c r="X85" s="237">
        <f t="shared" si="1"/>
        <v>-320.64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39.049999999999997</v>
      </c>
      <c r="W86" s="244">
        <v>-140</v>
      </c>
      <c r="X86" s="237">
        <f t="shared" si="1"/>
        <v>-320.64999999999998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-139.97999999999999</v>
      </c>
      <c r="X88" s="237">
        <f t="shared" si="1"/>
        <v>-617.82999999999993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2026-05-21T16:23:43Z</dcterms:modified>
</cp:coreProperties>
</file>