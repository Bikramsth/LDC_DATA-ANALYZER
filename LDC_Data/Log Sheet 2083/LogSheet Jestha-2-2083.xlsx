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" i="79" l="1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I273" i="79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C273" i="79"/>
  <c r="D273" i="79" s="1"/>
  <c r="E273" i="79" s="1"/>
  <c r="F273" i="79" s="1"/>
  <c r="G273" i="79" s="1"/>
  <c r="H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D272" i="79"/>
  <c r="E272" i="79" s="1"/>
  <c r="F272" i="79" s="1"/>
  <c r="C272" i="79"/>
  <c r="N271" i="79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M271" i="79"/>
  <c r="F271" i="79"/>
  <c r="G271" i="79" s="1"/>
  <c r="H271" i="79" s="1"/>
  <c r="I271" i="79" s="1"/>
  <c r="J271" i="79" s="1"/>
  <c r="K271" i="79" s="1"/>
  <c r="L271" i="79" s="1"/>
  <c r="E271" i="79"/>
  <c r="D271" i="79"/>
  <c r="C271" i="79"/>
  <c r="D270" i="79"/>
  <c r="E270" i="79" s="1"/>
  <c r="F270" i="79" s="1"/>
  <c r="G270" i="79" s="1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C270" i="79"/>
  <c r="C269" i="79"/>
  <c r="D269" i="79" s="1"/>
  <c r="E269" i="79" s="1"/>
  <c r="F269" i="79" s="1"/>
  <c r="G269" i="79" s="1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S268" i="79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C268" i="79"/>
  <c r="D268" i="79" s="1"/>
  <c r="E268" i="79" s="1"/>
  <c r="F268" i="79" s="1"/>
  <c r="G268" i="79" s="1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F267" i="79"/>
  <c r="G267" i="79" s="1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E267" i="79"/>
  <c r="C267" i="79"/>
  <c r="D267" i="79" s="1"/>
  <c r="L266" i="79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C266" i="79"/>
  <c r="D266" i="79" s="1"/>
  <c r="E266" i="79" s="1"/>
  <c r="F266" i="79" s="1"/>
  <c r="G266" i="79" s="1"/>
  <c r="H266" i="79" s="1"/>
  <c r="I266" i="79" s="1"/>
  <c r="J266" i="79" s="1"/>
  <c r="K266" i="79" s="1"/>
  <c r="Y265" i="79"/>
  <c r="Z265" i="79" s="1"/>
  <c r="AA265" i="79" s="1"/>
  <c r="AB265" i="79" s="1"/>
  <c r="AC265" i="79" s="1"/>
  <c r="AD265" i="79" s="1"/>
  <c r="AE265" i="79" s="1"/>
  <c r="AF265" i="79" s="1"/>
  <c r="U265" i="79"/>
  <c r="V265" i="79" s="1"/>
  <c r="W265" i="79" s="1"/>
  <c r="X265" i="79" s="1"/>
  <c r="E265" i="79"/>
  <c r="F265" i="79" s="1"/>
  <c r="G265" i="79" s="1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D265" i="79"/>
  <c r="C265" i="79"/>
  <c r="S264" i="79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C264" i="79"/>
  <c r="D264" i="79" s="1"/>
  <c r="E264" i="79" s="1"/>
  <c r="F264" i="79" s="1"/>
  <c r="G264" i="79" s="1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E263" i="79"/>
  <c r="F263" i="79" s="1"/>
  <c r="G263" i="79" s="1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C263" i="79"/>
  <c r="D263" i="79" s="1"/>
  <c r="L262" i="79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C262" i="79"/>
  <c r="D262" i="79" s="1"/>
  <c r="E262" i="79" s="1"/>
  <c r="F262" i="79" s="1"/>
  <c r="G262" i="79" s="1"/>
  <c r="H262" i="79" s="1"/>
  <c r="I262" i="79" s="1"/>
  <c r="J262" i="79" s="1"/>
  <c r="K262" i="79" s="1"/>
  <c r="U261" i="79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E261" i="79"/>
  <c r="F261" i="79" s="1"/>
  <c r="G261" i="79" s="1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D261" i="79"/>
  <c r="C261" i="79"/>
  <c r="O260" i="79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C260" i="79"/>
  <c r="D260" i="79" s="1"/>
  <c r="E260" i="79" s="1"/>
  <c r="F260" i="79" s="1"/>
  <c r="G260" i="79" s="1"/>
  <c r="H260" i="79" s="1"/>
  <c r="I260" i="79" s="1"/>
  <c r="J260" i="79" s="1"/>
  <c r="K260" i="79" s="1"/>
  <c r="L260" i="79" s="1"/>
  <c r="M260" i="79" s="1"/>
  <c r="N260" i="79" s="1"/>
  <c r="V259" i="79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C259" i="79"/>
  <c r="D259" i="79" s="1"/>
  <c r="E259" i="79" s="1"/>
  <c r="F259" i="79" s="1"/>
  <c r="G259" i="79" s="1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L258" i="79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C258" i="79"/>
  <c r="D258" i="79" s="1"/>
  <c r="E258" i="79" s="1"/>
  <c r="F258" i="79" s="1"/>
  <c r="G258" i="79" s="1"/>
  <c r="H258" i="79" s="1"/>
  <c r="I258" i="79" s="1"/>
  <c r="J258" i="79" s="1"/>
  <c r="K258" i="79" s="1"/>
  <c r="E257" i="79"/>
  <c r="F257" i="79" s="1"/>
  <c r="G257" i="79" s="1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D257" i="79"/>
  <c r="C257" i="79"/>
  <c r="O256" i="79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C256" i="79"/>
  <c r="D256" i="79" s="1"/>
  <c r="E256" i="79" s="1"/>
  <c r="F256" i="79" s="1"/>
  <c r="G256" i="79" s="1"/>
  <c r="H256" i="79" s="1"/>
  <c r="I256" i="79" s="1"/>
  <c r="J256" i="79" s="1"/>
  <c r="K256" i="79" s="1"/>
  <c r="L256" i="79" s="1"/>
  <c r="M256" i="79" s="1"/>
  <c r="N256" i="79" s="1"/>
  <c r="Y255" i="79"/>
  <c r="Z255" i="79" s="1"/>
  <c r="AA255" i="79" s="1"/>
  <c r="AB255" i="79" s="1"/>
  <c r="AC255" i="79" s="1"/>
  <c r="AD255" i="79" s="1"/>
  <c r="AE255" i="79" s="1"/>
  <c r="AF255" i="79" s="1"/>
  <c r="I255" i="79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C255" i="79"/>
  <c r="D255" i="79" s="1"/>
  <c r="E255" i="79" s="1"/>
  <c r="F255" i="79" s="1"/>
  <c r="G255" i="79" s="1"/>
  <c r="H255" i="79" s="1"/>
  <c r="AA254" i="79"/>
  <c r="AB254" i="79" s="1"/>
  <c r="AC254" i="79" s="1"/>
  <c r="AD254" i="79" s="1"/>
  <c r="AE254" i="79" s="1"/>
  <c r="AF254" i="79" s="1"/>
  <c r="K254" i="79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C254" i="79"/>
  <c r="D254" i="79" s="1"/>
  <c r="E254" i="79" s="1"/>
  <c r="F254" i="79" s="1"/>
  <c r="G254" i="79" s="1"/>
  <c r="H254" i="79" s="1"/>
  <c r="I254" i="79" s="1"/>
  <c r="J254" i="79" s="1"/>
  <c r="F253" i="79"/>
  <c r="G253" i="79" s="1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E253" i="79"/>
  <c r="D253" i="79"/>
  <c r="C253" i="79"/>
  <c r="C252" i="79"/>
  <c r="D252" i="79" s="1"/>
  <c r="E252" i="79" s="1"/>
  <c r="F252" i="79" s="1"/>
  <c r="G252" i="79" s="1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C251" i="79"/>
  <c r="D251" i="79" s="1"/>
  <c r="E251" i="79" s="1"/>
  <c r="F251" i="79" s="1"/>
  <c r="G251" i="79" s="1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U250" i="79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F250" i="79"/>
  <c r="G250" i="79" s="1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E250" i="79"/>
  <c r="C250" i="79"/>
  <c r="D250" i="79" s="1"/>
  <c r="C249" i="79"/>
  <c r="D249" i="79" s="1"/>
  <c r="E249" i="79" s="1"/>
  <c r="F249" i="79" s="1"/>
  <c r="G249" i="79" s="1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C248" i="79"/>
  <c r="D248" i="79" s="1"/>
  <c r="E248" i="79" s="1"/>
  <c r="F248" i="79" s="1"/>
  <c r="G248" i="79" s="1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D247" i="79"/>
  <c r="E247" i="79" s="1"/>
  <c r="F247" i="79" s="1"/>
  <c r="G247" i="79" s="1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C247" i="79"/>
  <c r="C246" i="79"/>
  <c r="D246" i="79" s="1"/>
  <c r="E246" i="79" s="1"/>
  <c r="F246" i="79" s="1"/>
  <c r="G246" i="79" s="1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I245" i="79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H245" i="79"/>
  <c r="F245" i="79"/>
  <c r="G245" i="79" s="1"/>
  <c r="C245" i="79"/>
  <c r="D245" i="79" s="1"/>
  <c r="E245" i="79" s="1"/>
  <c r="K244" i="79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F244" i="79"/>
  <c r="G244" i="79" s="1"/>
  <c r="H244" i="79" s="1"/>
  <c r="I244" i="79" s="1"/>
  <c r="J244" i="79" s="1"/>
  <c r="D244" i="79"/>
  <c r="E244" i="79" s="1"/>
  <c r="C244" i="79"/>
  <c r="D243" i="79"/>
  <c r="E243" i="79" s="1"/>
  <c r="F243" i="79" s="1"/>
  <c r="G243" i="79" s="1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C243" i="79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C242" i="79"/>
  <c r="D242" i="79" s="1"/>
  <c r="E242" i="79" s="1"/>
  <c r="F242" i="79" s="1"/>
  <c r="L241" i="79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C241" i="79"/>
  <c r="D241" i="79" s="1"/>
  <c r="E241" i="79" s="1"/>
  <c r="F241" i="79" s="1"/>
  <c r="G241" i="79" s="1"/>
  <c r="H241" i="79" s="1"/>
  <c r="I241" i="79" s="1"/>
  <c r="J241" i="79" s="1"/>
  <c r="K241" i="79" s="1"/>
  <c r="I240" i="79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D240" i="79"/>
  <c r="E240" i="79" s="1"/>
  <c r="F240" i="79" s="1"/>
  <c r="G240" i="79" s="1"/>
  <c r="H240" i="79" s="1"/>
  <c r="C240" i="79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E239" i="79"/>
  <c r="F239" i="79" s="1"/>
  <c r="D239" i="79"/>
  <c r="C239" i="79"/>
  <c r="F238" i="79"/>
  <c r="G238" i="79" s="1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E238" i="79"/>
  <c r="C238" i="79"/>
  <c r="D238" i="79" s="1"/>
  <c r="K237" i="79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D237" i="79"/>
  <c r="E237" i="79" s="1"/>
  <c r="F237" i="79" s="1"/>
  <c r="G237" i="79" s="1"/>
  <c r="H237" i="79" s="1"/>
  <c r="I237" i="79" s="1"/>
  <c r="J237" i="79" s="1"/>
  <c r="C237" i="79"/>
  <c r="I236" i="79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D236" i="79"/>
  <c r="E236" i="79" s="1"/>
  <c r="F236" i="79" s="1"/>
  <c r="G236" i="79" s="1"/>
  <c r="H236" i="79" s="1"/>
  <c r="C236" i="79"/>
  <c r="H235" i="79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C235" i="79"/>
  <c r="D235" i="79" s="1"/>
  <c r="E235" i="79" s="1"/>
  <c r="F235" i="79" s="1"/>
  <c r="G235" i="79" s="1"/>
  <c r="M234" i="79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F234" i="79"/>
  <c r="G234" i="79" s="1"/>
  <c r="H234" i="79" s="1"/>
  <c r="I234" i="79" s="1"/>
  <c r="J234" i="79" s="1"/>
  <c r="K234" i="79" s="1"/>
  <c r="L234" i="79" s="1"/>
  <c r="D234" i="79"/>
  <c r="E234" i="79" s="1"/>
  <c r="C234" i="79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F233" i="79"/>
  <c r="D233" i="79"/>
  <c r="E233" i="79" s="1"/>
  <c r="C233" i="79"/>
  <c r="D232" i="79"/>
  <c r="E232" i="79" s="1"/>
  <c r="F232" i="79" s="1"/>
  <c r="G232" i="79" s="1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C232" i="79"/>
  <c r="R231" i="79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P231" i="79"/>
  <c r="Q231" i="79" s="1"/>
  <c r="F231" i="79"/>
  <c r="G231" i="79" s="1"/>
  <c r="H231" i="79" s="1"/>
  <c r="I231" i="79" s="1"/>
  <c r="J231" i="79" s="1"/>
  <c r="K231" i="79" s="1"/>
  <c r="L231" i="79" s="1"/>
  <c r="M231" i="79" s="1"/>
  <c r="N231" i="79" s="1"/>
  <c r="O231" i="79" s="1"/>
  <c r="E231" i="79"/>
  <c r="C231" i="79"/>
  <c r="D231" i="79" s="1"/>
  <c r="X230" i="79"/>
  <c r="Y230" i="79" s="1"/>
  <c r="Z230" i="79" s="1"/>
  <c r="AA230" i="79" s="1"/>
  <c r="AB230" i="79" s="1"/>
  <c r="AC230" i="79" s="1"/>
  <c r="AD230" i="79" s="1"/>
  <c r="AE230" i="79" s="1"/>
  <c r="AF230" i="79" s="1"/>
  <c r="S230" i="79"/>
  <c r="T230" i="79" s="1"/>
  <c r="U230" i="79" s="1"/>
  <c r="V230" i="79" s="1"/>
  <c r="W230" i="79" s="1"/>
  <c r="D230" i="79"/>
  <c r="E230" i="79" s="1"/>
  <c r="F230" i="79" s="1"/>
  <c r="G230" i="79" s="1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C230" i="79"/>
  <c r="F229" i="79"/>
  <c r="G229" i="79" s="1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C229" i="79"/>
  <c r="D229" i="79" s="1"/>
  <c r="E229" i="79" s="1"/>
  <c r="D228" i="79"/>
  <c r="E228" i="79" s="1"/>
  <c r="F228" i="79" s="1"/>
  <c r="G228" i="79" s="1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C228" i="79"/>
  <c r="E227" i="79"/>
  <c r="F227" i="79" s="1"/>
  <c r="G227" i="79" s="1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C227" i="79"/>
  <c r="D227" i="79" s="1"/>
  <c r="S226" i="79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C226" i="79"/>
  <c r="D226" i="79" s="1"/>
  <c r="E226" i="79" s="1"/>
  <c r="F226" i="79" s="1"/>
  <c r="N225" i="79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E225" i="79"/>
  <c r="F225" i="79" s="1"/>
  <c r="G225" i="79" s="1"/>
  <c r="H225" i="79" s="1"/>
  <c r="I225" i="79" s="1"/>
  <c r="J225" i="79" s="1"/>
  <c r="K225" i="79" s="1"/>
  <c r="L225" i="79" s="1"/>
  <c r="M225" i="79" s="1"/>
  <c r="D225" i="79"/>
  <c r="C225" i="79"/>
  <c r="S224" i="79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C224" i="79"/>
  <c r="D224" i="79" s="1"/>
  <c r="E224" i="79" s="1"/>
  <c r="F224" i="79" s="1"/>
  <c r="E223" i="79"/>
  <c r="F223" i="79" s="1"/>
  <c r="G223" i="79" s="1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C223" i="79"/>
  <c r="D223" i="79" s="1"/>
  <c r="C222" i="79"/>
  <c r="D222" i="79" s="1"/>
  <c r="E222" i="79" s="1"/>
  <c r="F222" i="79" s="1"/>
  <c r="G222" i="79" s="1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N221" i="79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E221" i="79"/>
  <c r="F221" i="79" s="1"/>
  <c r="G221" i="79" s="1"/>
  <c r="H221" i="79" s="1"/>
  <c r="I221" i="79" s="1"/>
  <c r="J221" i="79" s="1"/>
  <c r="K221" i="79" s="1"/>
  <c r="L221" i="79" s="1"/>
  <c r="M221" i="79" s="1"/>
  <c r="D221" i="79"/>
  <c r="C221" i="79"/>
  <c r="L220" i="79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20" i="79"/>
  <c r="H220" i="79" s="1"/>
  <c r="I220" i="79" s="1"/>
  <c r="J220" i="79" s="1"/>
  <c r="K220" i="79" s="1"/>
  <c r="D220" i="79"/>
  <c r="E220" i="79" s="1"/>
  <c r="F220" i="79" s="1"/>
  <c r="C220" i="79"/>
  <c r="AF219" i="79"/>
  <c r="F219" i="79"/>
  <c r="G219" i="79" s="1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E219" i="79"/>
  <c r="C219" i="79"/>
  <c r="D219" i="79" s="1"/>
  <c r="V218" i="79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P218" i="79"/>
  <c r="Q218" i="79" s="1"/>
  <c r="R218" i="79" s="1"/>
  <c r="S218" i="79" s="1"/>
  <c r="T218" i="79" s="1"/>
  <c r="U218" i="79" s="1"/>
  <c r="F218" i="79"/>
  <c r="G218" i="79" s="1"/>
  <c r="H218" i="79" s="1"/>
  <c r="I218" i="79" s="1"/>
  <c r="J218" i="79" s="1"/>
  <c r="K218" i="79" s="1"/>
  <c r="L218" i="79" s="1"/>
  <c r="M218" i="79" s="1"/>
  <c r="N218" i="79" s="1"/>
  <c r="O218" i="79" s="1"/>
  <c r="D218" i="79"/>
  <c r="E218" i="79" s="1"/>
  <c r="C218" i="79"/>
  <c r="M217" i="79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D217" i="79"/>
  <c r="E217" i="79" s="1"/>
  <c r="F217" i="79" s="1"/>
  <c r="G217" i="79" s="1"/>
  <c r="H217" i="79" s="1"/>
  <c r="I217" i="79" s="1"/>
  <c r="J217" i="79" s="1"/>
  <c r="K217" i="79" s="1"/>
  <c r="L217" i="79" s="1"/>
  <c r="C217" i="79"/>
  <c r="E216" i="79"/>
  <c r="F216" i="79" s="1"/>
  <c r="G216" i="79" s="1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C216" i="79"/>
  <c r="D216" i="79" s="1"/>
  <c r="J215" i="79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F215" i="79"/>
  <c r="G215" i="79" s="1"/>
  <c r="H215" i="79" s="1"/>
  <c r="I215" i="79" s="1"/>
  <c r="C215" i="79"/>
  <c r="D215" i="79" s="1"/>
  <c r="E215" i="79" s="1"/>
  <c r="H214" i="79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4" i="79"/>
  <c r="D214" i="79"/>
  <c r="E214" i="79" s="1"/>
  <c r="F214" i="79" s="1"/>
  <c r="C214" i="79"/>
  <c r="E213" i="79"/>
  <c r="F213" i="79" s="1"/>
  <c r="G213" i="79" s="1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D213" i="79"/>
  <c r="C213" i="79"/>
  <c r="W212" i="79"/>
  <c r="X212" i="79" s="1"/>
  <c r="Y212" i="79" s="1"/>
  <c r="Z212" i="79" s="1"/>
  <c r="AA212" i="79" s="1"/>
  <c r="AB212" i="79" s="1"/>
  <c r="AC212" i="79" s="1"/>
  <c r="AD212" i="79" s="1"/>
  <c r="AE212" i="79" s="1"/>
  <c r="AF212" i="79" s="1"/>
  <c r="T212" i="79"/>
  <c r="U212" i="79" s="1"/>
  <c r="V212" i="79" s="1"/>
  <c r="P212" i="79"/>
  <c r="Q212" i="79" s="1"/>
  <c r="R212" i="79" s="1"/>
  <c r="S212" i="79" s="1"/>
  <c r="E212" i="79"/>
  <c r="F212" i="79" s="1"/>
  <c r="G212" i="79" s="1"/>
  <c r="H212" i="79" s="1"/>
  <c r="I212" i="79" s="1"/>
  <c r="J212" i="79" s="1"/>
  <c r="K212" i="79" s="1"/>
  <c r="L212" i="79" s="1"/>
  <c r="M212" i="79" s="1"/>
  <c r="N212" i="79" s="1"/>
  <c r="O212" i="79" s="1"/>
  <c r="D212" i="79"/>
  <c r="C212" i="79"/>
  <c r="R211" i="79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N211" i="79"/>
  <c r="O211" i="79" s="1"/>
  <c r="P211" i="79" s="1"/>
  <c r="Q211" i="79" s="1"/>
  <c r="C211" i="79"/>
  <c r="D211" i="79" s="1"/>
  <c r="E211" i="79" s="1"/>
  <c r="F211" i="79" s="1"/>
  <c r="G211" i="79" s="1"/>
  <c r="H211" i="79" s="1"/>
  <c r="I211" i="79" s="1"/>
  <c r="J211" i="79" s="1"/>
  <c r="K211" i="79" s="1"/>
  <c r="L211" i="79" s="1"/>
  <c r="M211" i="79" s="1"/>
  <c r="F210" i="79"/>
  <c r="G210" i="79" s="1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C210" i="79"/>
  <c r="D210" i="79" s="1"/>
  <c r="E210" i="79" s="1"/>
  <c r="J209" i="79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F209" i="79"/>
  <c r="G209" i="79" s="1"/>
  <c r="H209" i="79" s="1"/>
  <c r="I209" i="79" s="1"/>
  <c r="D209" i="79"/>
  <c r="E209" i="79" s="1"/>
  <c r="C209" i="79"/>
  <c r="J208" i="79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E208" i="79"/>
  <c r="F208" i="79" s="1"/>
  <c r="G208" i="79" s="1"/>
  <c r="H208" i="79" s="1"/>
  <c r="I208" i="79" s="1"/>
  <c r="C208" i="79"/>
  <c r="D208" i="79" s="1"/>
  <c r="F207" i="79"/>
  <c r="G207" i="79" s="1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C207" i="79"/>
  <c r="D207" i="79" s="1"/>
  <c r="E207" i="79" s="1"/>
  <c r="W206" i="79"/>
  <c r="X206" i="79" s="1"/>
  <c r="Y206" i="79" s="1"/>
  <c r="Z206" i="79" s="1"/>
  <c r="AA206" i="79" s="1"/>
  <c r="AB206" i="79" s="1"/>
  <c r="AC206" i="79" s="1"/>
  <c r="AD206" i="79" s="1"/>
  <c r="AE206" i="79" s="1"/>
  <c r="AF206" i="79" s="1"/>
  <c r="O206" i="79"/>
  <c r="P206" i="79" s="1"/>
  <c r="Q206" i="79" s="1"/>
  <c r="R206" i="79" s="1"/>
  <c r="S206" i="79" s="1"/>
  <c r="T206" i="79" s="1"/>
  <c r="U206" i="79" s="1"/>
  <c r="V206" i="79" s="1"/>
  <c r="I206" i="79"/>
  <c r="J206" i="79" s="1"/>
  <c r="K206" i="79" s="1"/>
  <c r="L206" i="79" s="1"/>
  <c r="M206" i="79" s="1"/>
  <c r="N206" i="79" s="1"/>
  <c r="F206" i="79"/>
  <c r="G206" i="79" s="1"/>
  <c r="H206" i="79" s="1"/>
  <c r="D206" i="79"/>
  <c r="E206" i="79" s="1"/>
  <c r="C206" i="79"/>
  <c r="U205" i="79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O205" i="79"/>
  <c r="P205" i="79" s="1"/>
  <c r="Q205" i="79" s="1"/>
  <c r="R205" i="79" s="1"/>
  <c r="S205" i="79" s="1"/>
  <c r="T205" i="79" s="1"/>
  <c r="M205" i="79"/>
  <c r="N205" i="79" s="1"/>
  <c r="G205" i="79"/>
  <c r="H205" i="79" s="1"/>
  <c r="I205" i="79" s="1"/>
  <c r="J205" i="79" s="1"/>
  <c r="K205" i="79" s="1"/>
  <c r="L205" i="79" s="1"/>
  <c r="D205" i="79"/>
  <c r="E205" i="79" s="1"/>
  <c r="F205" i="79" s="1"/>
  <c r="C205" i="79"/>
  <c r="D204" i="79"/>
  <c r="E204" i="79" s="1"/>
  <c r="F204" i="79" s="1"/>
  <c r="G204" i="79" s="1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C204" i="79"/>
  <c r="E203" i="79"/>
  <c r="F203" i="79" s="1"/>
  <c r="G203" i="79" s="1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C203" i="79"/>
  <c r="D203" i="79" s="1"/>
  <c r="H202" i="79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C202" i="79"/>
  <c r="D202" i="79" s="1"/>
  <c r="E202" i="79" s="1"/>
  <c r="F202" i="79" s="1"/>
  <c r="G202" i="79" s="1"/>
  <c r="L201" i="79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1" i="79"/>
  <c r="H201" i="79" s="1"/>
  <c r="I201" i="79" s="1"/>
  <c r="J201" i="79" s="1"/>
  <c r="K201" i="79" s="1"/>
  <c r="F201" i="79"/>
  <c r="D201" i="79"/>
  <c r="E201" i="79" s="1"/>
  <c r="C201" i="79"/>
  <c r="X200" i="79"/>
  <c r="Y200" i="79" s="1"/>
  <c r="Z200" i="79" s="1"/>
  <c r="AA200" i="79" s="1"/>
  <c r="AB200" i="79" s="1"/>
  <c r="AC200" i="79" s="1"/>
  <c r="AD200" i="79" s="1"/>
  <c r="AE200" i="79" s="1"/>
  <c r="AF200" i="79" s="1"/>
  <c r="S200" i="79"/>
  <c r="T200" i="79" s="1"/>
  <c r="U200" i="79" s="1"/>
  <c r="V200" i="79" s="1"/>
  <c r="W200" i="79" s="1"/>
  <c r="E200" i="79"/>
  <c r="F200" i="79" s="1"/>
  <c r="G200" i="79" s="1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C200" i="79"/>
  <c r="D200" i="79" s="1"/>
  <c r="K199" i="79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C199" i="79"/>
  <c r="D199" i="79" s="1"/>
  <c r="E199" i="79" s="1"/>
  <c r="F199" i="79" s="1"/>
  <c r="G199" i="79" s="1"/>
  <c r="H199" i="79" s="1"/>
  <c r="I199" i="79" s="1"/>
  <c r="J199" i="79" s="1"/>
  <c r="D198" i="79"/>
  <c r="E198" i="79" s="1"/>
  <c r="F198" i="79" s="1"/>
  <c r="G198" i="79" s="1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C198" i="79"/>
  <c r="AE197" i="79"/>
  <c r="AF197" i="79" s="1"/>
  <c r="J197" i="79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G197" i="79"/>
  <c r="H197" i="79" s="1"/>
  <c r="I197" i="79" s="1"/>
  <c r="E197" i="79"/>
  <c r="F197" i="79" s="1"/>
  <c r="D197" i="79"/>
  <c r="C197" i="79"/>
  <c r="R196" i="79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K196" i="79"/>
  <c r="L196" i="79" s="1"/>
  <c r="M196" i="79" s="1"/>
  <c r="N196" i="79" s="1"/>
  <c r="O196" i="79" s="1"/>
  <c r="P196" i="79" s="1"/>
  <c r="Q196" i="79" s="1"/>
  <c r="J196" i="79"/>
  <c r="G196" i="79"/>
  <c r="H196" i="79" s="1"/>
  <c r="I196" i="79" s="1"/>
  <c r="D196" i="79"/>
  <c r="E196" i="79" s="1"/>
  <c r="F196" i="79" s="1"/>
  <c r="C196" i="79"/>
  <c r="H195" i="79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E195" i="79"/>
  <c r="F195" i="79" s="1"/>
  <c r="G195" i="79" s="1"/>
  <c r="C195" i="79"/>
  <c r="D195" i="79" s="1"/>
  <c r="AA194" i="79"/>
  <c r="AB194" i="79" s="1"/>
  <c r="AC194" i="79" s="1"/>
  <c r="AD194" i="79" s="1"/>
  <c r="AE194" i="79" s="1"/>
  <c r="AF194" i="79" s="1"/>
  <c r="I194" i="79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G194" i="79"/>
  <c r="H194" i="79" s="1"/>
  <c r="E194" i="79"/>
  <c r="F194" i="79" s="1"/>
  <c r="C194" i="79"/>
  <c r="D194" i="79" s="1"/>
  <c r="C193" i="79"/>
  <c r="D193" i="79" s="1"/>
  <c r="E193" i="79" s="1"/>
  <c r="F193" i="79" s="1"/>
  <c r="G193" i="79" s="1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E192" i="79"/>
  <c r="F192" i="79" s="1"/>
  <c r="G192" i="79" s="1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C192" i="79"/>
  <c r="D192" i="79" s="1"/>
  <c r="C191" i="79"/>
  <c r="D191" i="79" s="1"/>
  <c r="E191" i="79" s="1"/>
  <c r="F191" i="79" s="1"/>
  <c r="G191" i="79" s="1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E190" i="79"/>
  <c r="F190" i="79" s="1"/>
  <c r="G190" i="79" s="1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D190" i="79"/>
  <c r="C190" i="79"/>
  <c r="C189" i="79"/>
  <c r="D189" i="79" s="1"/>
  <c r="E189" i="79" s="1"/>
  <c r="F189" i="79" s="1"/>
  <c r="G189" i="79" s="1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F188" i="79"/>
  <c r="G188" i="79" s="1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E188" i="79"/>
  <c r="D188" i="79"/>
  <c r="C188" i="79"/>
  <c r="D187" i="79"/>
  <c r="E187" i="79" s="1"/>
  <c r="F187" i="79" s="1"/>
  <c r="G187" i="79" s="1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C187" i="79"/>
  <c r="T186" i="79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D186" i="79"/>
  <c r="E186" i="79" s="1"/>
  <c r="F186" i="79" s="1"/>
  <c r="G186" i="79" s="1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C186" i="79"/>
  <c r="D185" i="79"/>
  <c r="E185" i="79" s="1"/>
  <c r="F185" i="79" s="1"/>
  <c r="G185" i="79" s="1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C185" i="79"/>
  <c r="O184" i="79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F184" i="79"/>
  <c r="G184" i="79" s="1"/>
  <c r="H184" i="79" s="1"/>
  <c r="I184" i="79" s="1"/>
  <c r="J184" i="79" s="1"/>
  <c r="K184" i="79" s="1"/>
  <c r="L184" i="79" s="1"/>
  <c r="M184" i="79" s="1"/>
  <c r="N184" i="79" s="1"/>
  <c r="E184" i="79"/>
  <c r="D184" i="79"/>
  <c r="C184" i="79"/>
  <c r="D183" i="79"/>
  <c r="E183" i="79" s="1"/>
  <c r="F183" i="79" s="1"/>
  <c r="G183" i="79" s="1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C183" i="79"/>
  <c r="F182" i="79"/>
  <c r="G182" i="79" s="1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C182" i="79"/>
  <c r="D182" i="79" s="1"/>
  <c r="E182" i="79" s="1"/>
  <c r="P181" i="79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D181" i="79"/>
  <c r="E181" i="79" s="1"/>
  <c r="F181" i="79" s="1"/>
  <c r="G181" i="79" s="1"/>
  <c r="H181" i="79" s="1"/>
  <c r="I181" i="79" s="1"/>
  <c r="J181" i="79" s="1"/>
  <c r="K181" i="79" s="1"/>
  <c r="L181" i="79" s="1"/>
  <c r="M181" i="79" s="1"/>
  <c r="N181" i="79" s="1"/>
  <c r="O181" i="79" s="1"/>
  <c r="C181" i="79"/>
  <c r="F180" i="79"/>
  <c r="G180" i="79" s="1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E180" i="79"/>
  <c r="D180" i="79"/>
  <c r="C180" i="79"/>
  <c r="E179" i="79"/>
  <c r="F179" i="79" s="1"/>
  <c r="G179" i="79" s="1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D179" i="79"/>
  <c r="C179" i="79"/>
  <c r="C178" i="79"/>
  <c r="D178" i="79" s="1"/>
  <c r="E178" i="79" s="1"/>
  <c r="F178" i="79" s="1"/>
  <c r="G178" i="79" s="1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D177" i="79"/>
  <c r="C177" i="79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F176" i="79"/>
  <c r="E176" i="79"/>
  <c r="D176" i="79"/>
  <c r="C176" i="79"/>
  <c r="F175" i="79"/>
  <c r="G175" i="79" s="1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E175" i="79"/>
  <c r="D175" i="79"/>
  <c r="C175" i="79"/>
  <c r="F174" i="79"/>
  <c r="G174" i="79" s="1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D174" i="79"/>
  <c r="E174" i="79" s="1"/>
  <c r="C174" i="79"/>
  <c r="D173" i="79"/>
  <c r="E173" i="79" s="1"/>
  <c r="F173" i="79" s="1"/>
  <c r="G173" i="79" s="1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C173" i="79"/>
  <c r="H172" i="79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F172" i="79"/>
  <c r="G172" i="79" s="1"/>
  <c r="E172" i="79"/>
  <c r="D172" i="79"/>
  <c r="C172" i="79"/>
  <c r="D171" i="79"/>
  <c r="E171" i="79" s="1"/>
  <c r="F171" i="79" s="1"/>
  <c r="G171" i="79" s="1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C171" i="79"/>
  <c r="C170" i="79"/>
  <c r="D170" i="79" s="1"/>
  <c r="E170" i="79" s="1"/>
  <c r="F170" i="79" s="1"/>
  <c r="G170" i="79" s="1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D169" i="79"/>
  <c r="C169" i="79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E166" i="79"/>
  <c r="F166" i="79" s="1"/>
  <c r="D166" i="79"/>
  <c r="C166" i="79"/>
  <c r="K165" i="79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J165" i="79"/>
  <c r="C165" i="79"/>
  <c r="D165" i="79" s="1"/>
  <c r="E165" i="79" s="1"/>
  <c r="F165" i="79" s="1"/>
  <c r="G165" i="79" s="1"/>
  <c r="H165" i="79" s="1"/>
  <c r="I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E164" i="79"/>
  <c r="F164" i="79" s="1"/>
  <c r="G164" i="79" s="1"/>
  <c r="H164" i="79" s="1"/>
  <c r="I164" i="79" s="1"/>
  <c r="J164" i="79" s="1"/>
  <c r="K164" i="79" s="1"/>
  <c r="L164" i="79" s="1"/>
  <c r="C164" i="79"/>
  <c r="D164" i="79" s="1"/>
  <c r="I163" i="79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3" i="79"/>
  <c r="H163" i="79" s="1"/>
  <c r="F163" i="79"/>
  <c r="C163" i="79"/>
  <c r="D163" i="79" s="1"/>
  <c r="E163" i="79" s="1"/>
  <c r="L162" i="79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I162" i="79"/>
  <c r="J162" i="79" s="1"/>
  <c r="K162" i="79" s="1"/>
  <c r="D162" i="79"/>
  <c r="E162" i="79" s="1"/>
  <c r="F162" i="79" s="1"/>
  <c r="G162" i="79" s="1"/>
  <c r="H162" i="79" s="1"/>
  <c r="C162" i="79"/>
  <c r="C161" i="79"/>
  <c r="C135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G124" i="79"/>
  <c r="AE123" i="79"/>
  <c r="AD123" i="79"/>
  <c r="U123" i="79"/>
  <c r="U124" i="79" s="1"/>
  <c r="M123" i="79"/>
  <c r="M124" i="79" s="1"/>
  <c r="G123" i="79"/>
  <c r="E123" i="79"/>
  <c r="E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AH122" i="79" s="1"/>
  <c r="H122" i="79"/>
  <c r="G122" i="79"/>
  <c r="F122" i="79"/>
  <c r="E122" i="79"/>
  <c r="D122" i="79"/>
  <c r="C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F121" i="79"/>
  <c r="E121" i="79"/>
  <c r="D121" i="79"/>
  <c r="C121" i="79"/>
  <c r="AH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F120" i="79"/>
  <c r="E120" i="79"/>
  <c r="D120" i="79"/>
  <c r="C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F119" i="79"/>
  <c r="E119" i="79"/>
  <c r="D119" i="79"/>
  <c r="C119" i="79"/>
  <c r="AI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F118" i="79"/>
  <c r="E118" i="79"/>
  <c r="D118" i="79"/>
  <c r="C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H123" i="79" s="1"/>
  <c r="G117" i="79"/>
  <c r="F117" i="79"/>
  <c r="F123" i="79" s="1"/>
  <c r="AQ23" i="79" s="1"/>
  <c r="E117" i="79"/>
  <c r="D117" i="79"/>
  <c r="C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D113" i="79"/>
  <c r="D115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108" i="79"/>
  <c r="F108" i="79"/>
  <c r="E108" i="79"/>
  <c r="D108" i="79"/>
  <c r="C108" i="79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F96" i="79"/>
  <c r="E96" i="79"/>
  <c r="D96" i="79"/>
  <c r="C96" i="79"/>
  <c r="AI95" i="79"/>
  <c r="AH95" i="79"/>
  <c r="AI94" i="79"/>
  <c r="AH94" i="79"/>
  <c r="AI93" i="79"/>
  <c r="AH93" i="79"/>
  <c r="AI92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F92" i="79"/>
  <c r="E92" i="79"/>
  <c r="D92" i="79"/>
  <c r="C92" i="79"/>
  <c r="AH92" i="79"/>
  <c r="BU91" i="79"/>
  <c r="BT91" i="79"/>
  <c r="BS91" i="79"/>
  <c r="BQ91" i="79"/>
  <c r="BM91" i="79"/>
  <c r="BL91" i="79"/>
  <c r="BI91" i="79"/>
  <c r="BG91" i="79"/>
  <c r="BD91" i="79"/>
  <c r="BA91" i="79"/>
  <c r="AZ91" i="79"/>
  <c r="AI91" i="79"/>
  <c r="AH91" i="79"/>
  <c r="AG91" i="79"/>
  <c r="BV90" i="79"/>
  <c r="BS90" i="79"/>
  <c r="BR90" i="79"/>
  <c r="BG90" i="79"/>
  <c r="BB90" i="79"/>
  <c r="BA90" i="79"/>
  <c r="AI90" i="79"/>
  <c r="AH90" i="79"/>
  <c r="BT89" i="79"/>
  <c r="BS89" i="79"/>
  <c r="BQ89" i="79"/>
  <c r="BP89" i="79"/>
  <c r="BN89" i="79"/>
  <c r="BK89" i="79"/>
  <c r="BI89" i="79"/>
  <c r="BH89" i="79"/>
  <c r="BA89" i="79"/>
  <c r="AZ89" i="79"/>
  <c r="AI89" i="79"/>
  <c r="AH89" i="79"/>
  <c r="BS88" i="79"/>
  <c r="BR88" i="79"/>
  <c r="BP88" i="79"/>
  <c r="BK88" i="79"/>
  <c r="BJ88" i="79"/>
  <c r="BE88" i="79"/>
  <c r="BC88" i="79"/>
  <c r="BB88" i="79"/>
  <c r="AZ88" i="79"/>
  <c r="AI88" i="79"/>
  <c r="AH88" i="79"/>
  <c r="BR87" i="79"/>
  <c r="BO87" i="79"/>
  <c r="BN87" i="79"/>
  <c r="BM87" i="79"/>
  <c r="BG87" i="79"/>
  <c r="BE87" i="79"/>
  <c r="BD87" i="79"/>
  <c r="AZ87" i="79"/>
  <c r="AI87" i="79"/>
  <c r="AH87" i="79"/>
  <c r="BV86" i="79"/>
  <c r="BO86" i="79"/>
  <c r="BL86" i="79"/>
  <c r="BG86" i="79"/>
  <c r="BD86" i="79"/>
  <c r="BC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AZ84" i="79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AZ82" i="79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B81" i="79"/>
  <c r="BA81" i="79"/>
  <c r="BA88" i="79" s="1"/>
  <c r="AZ81" i="79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C80" i="79"/>
  <c r="BC87" i="79" s="1"/>
  <c r="BB80" i="79"/>
  <c r="BB87" i="79" s="1"/>
  <c r="BA80" i="79"/>
  <c r="BA87" i="79" s="1"/>
  <c r="AZ80" i="79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C79" i="79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F78" i="79"/>
  <c r="AQ17" i="79" s="1"/>
  <c r="E78" i="79"/>
  <c r="D78" i="79"/>
  <c r="C78" i="79"/>
  <c r="AN17" i="79" s="1"/>
  <c r="AN22" i="79" s="1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H113" i="79" s="1"/>
  <c r="H115" i="79" s="1"/>
  <c r="G71" i="79"/>
  <c r="G113" i="79" s="1"/>
  <c r="G115" i="79" s="1"/>
  <c r="G116" i="79" s="1"/>
  <c r="G7" i="79" s="1"/>
  <c r="F71" i="79"/>
  <c r="E71" i="79"/>
  <c r="AP16" i="79" s="1"/>
  <c r="AP22" i="79" s="1"/>
  <c r="D71" i="79"/>
  <c r="C71" i="79"/>
  <c r="AI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R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R19" i="79"/>
  <c r="AQ19" i="79"/>
  <c r="AP19" i="79"/>
  <c r="AO19" i="79"/>
  <c r="AN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P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R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R22" i="79" s="1"/>
  <c r="AR25" i="79" s="1"/>
  <c r="AQ16" i="79"/>
  <c r="AQ22" i="79" s="1"/>
  <c r="AO16" i="79"/>
  <c r="AO22" i="79" s="1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D5" i="79"/>
  <c r="C5" i="79"/>
  <c r="B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M19" i="79" l="1"/>
  <c r="AJ108" i="79" a="1"/>
  <c r="AJ108" i="79" s="1"/>
  <c r="B113" i="79"/>
  <c r="B115" i="79" s="1"/>
  <c r="AF5" i="79"/>
  <c r="B116" i="79"/>
  <c r="AH78" i="79"/>
  <c r="AO25" i="79"/>
  <c r="AQ25" i="79"/>
  <c r="J116" i="79"/>
  <c r="J7" i="79" s="1"/>
  <c r="BF22" i="79"/>
  <c r="BF25" i="79" s="1"/>
  <c r="BA22" i="79"/>
  <c r="BC25" i="79"/>
  <c r="AZ23" i="79"/>
  <c r="R124" i="79"/>
  <c r="AT22" i="79"/>
  <c r="D116" i="79"/>
  <c r="D7" i="79" s="1"/>
  <c r="Z170" i="79"/>
  <c r="Y135" i="79"/>
  <c r="BH22" i="79"/>
  <c r="BH25" i="79" s="1"/>
  <c r="D124" i="79"/>
  <c r="BI22" i="79"/>
  <c r="BI25" i="79" s="1"/>
  <c r="AI121" i="79"/>
  <c r="AH120" i="79"/>
  <c r="BG95" i="79" a="1"/>
  <c r="AZ86" i="79"/>
  <c r="AI96" i="79"/>
  <c r="AH96" i="79"/>
  <c r="D161" i="79"/>
  <c r="AU23" i="79"/>
  <c r="AU25" i="79" s="1"/>
  <c r="BC23" i="79"/>
  <c r="L113" i="79"/>
  <c r="L115" i="79" s="1"/>
  <c r="AB113" i="79"/>
  <c r="AB115" i="79" s="1"/>
  <c r="L124" i="79"/>
  <c r="AH119" i="79"/>
  <c r="C167" i="79"/>
  <c r="C113" i="79"/>
  <c r="C115" i="79" s="1"/>
  <c r="C116" i="79" s="1"/>
  <c r="C7" i="79" s="1"/>
  <c r="J123" i="79"/>
  <c r="J124" i="79" s="1"/>
  <c r="AI118" i="79"/>
  <c r="D274" i="79"/>
  <c r="E169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F124" i="79"/>
  <c r="N124" i="79"/>
  <c r="C123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F113" i="79"/>
  <c r="F115" i="79" s="1"/>
  <c r="F116" i="79" s="1"/>
  <c r="F7" i="79" s="1"/>
  <c r="AV16" i="79"/>
  <c r="AV22" i="79" s="1"/>
  <c r="AV25" i="79" s="1"/>
  <c r="BD16" i="79"/>
  <c r="BD22" i="79" s="1"/>
  <c r="BD25" i="79" s="1"/>
  <c r="AP23" i="79"/>
  <c r="AP25" i="79" s="1"/>
  <c r="AE124" i="79"/>
  <c r="E113" i="79"/>
  <c r="E115" i="79" s="1"/>
  <c r="E116" i="79" s="1"/>
  <c r="E7" i="79" s="1"/>
  <c r="D123" i="79"/>
  <c r="AO23" i="79" s="1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E177" i="79"/>
  <c r="D135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C274" i="79"/>
  <c r="AE113" i="77"/>
  <c r="AE115" i="77" s="1"/>
  <c r="AE116" i="77" s="1"/>
  <c r="AF124" i="77"/>
  <c r="AF113" i="77"/>
  <c r="AF115" i="77" s="1"/>
  <c r="AF116" i="77" s="1"/>
  <c r="AM22" i="79" l="1"/>
  <c r="D167" i="79"/>
  <c r="E161" i="79"/>
  <c r="AA116" i="79"/>
  <c r="AA7" i="79" s="1"/>
  <c r="F177" i="79"/>
  <c r="E135" i="79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E274" i="79"/>
  <c r="F169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C124" i="79"/>
  <c r="AH124" i="79" s="1"/>
  <c r="AN23" i="79"/>
  <c r="AN25" i="79" s="1"/>
  <c r="I116" i="79"/>
  <c r="I7" i="79" s="1"/>
  <c r="AJ123" i="79" a="1"/>
  <c r="AJ123" i="79" s="1"/>
  <c r="AH123" i="79"/>
  <c r="AI123" i="79"/>
  <c r="AM23" i="79"/>
  <c r="AM25" i="79" s="1"/>
  <c r="AT9" i="79" s="1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F274" i="79" l="1"/>
  <c r="G169" i="79"/>
  <c r="AI124" i="79"/>
  <c r="G177" i="79"/>
  <c r="F135" i="79"/>
  <c r="E167" i="79"/>
  <c r="F161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F167" i="79"/>
  <c r="G161" i="79"/>
  <c r="I177" i="79" l="1"/>
  <c r="H135" i="79"/>
  <c r="H161" i="79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35" i="79"/>
  <c r="L161" i="79"/>
  <c r="K167" i="79"/>
  <c r="L167" i="79" l="1"/>
  <c r="M161" i="79"/>
  <c r="N177" i="79"/>
  <c r="M135" i="79"/>
  <c r="M274" i="79"/>
  <c r="N169" i="79"/>
  <c r="N274" i="79" l="1"/>
  <c r="O169" i="79"/>
  <c r="O177" i="79"/>
  <c r="N135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O135" i="79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<sst xmlns="http://schemas.openxmlformats.org/spreadsheetml/2006/main" count="2506" uniqueCount="418">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</sst>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Y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8.73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B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5" sqref="B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1722.1799999999998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2182.18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1722.18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32.4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32.4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25.98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25.98</v>
      </c>
      <c r="AI12" s="47">
        <f t="shared" si="3"/>
        <v>25.98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67.5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67.5</v>
      </c>
      <c r="AI13" s="47">
        <f t="shared" si="3"/>
        <v>67.5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35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</v>
      </c>
      <c r="AI14" s="47">
        <f t="shared" si="3"/>
        <v>35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55.4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55.4</v>
      </c>
      <c r="AI15" s="47">
        <f t="shared" si="3"/>
        <v>55.4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49.1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49.1</v>
      </c>
      <c r="AI16" s="47">
        <f t="shared" si="3"/>
        <v>49.1</v>
      </c>
      <c r="AK16" s="49"/>
      <c r="AL16" s="52" t="s">
        <v>7</v>
      </c>
      <c r="AM16" s="57">
        <f t="shared" ref="AM16:AR16" si="4">B71</f>
        <v>1127.58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42.9</v>
      </c>
      <c r="AI17" s="47">
        <f t="shared" si="3"/>
        <v>42.9</v>
      </c>
      <c r="AK17" s="49"/>
      <c r="AL17" s="52" t="s">
        <v>29</v>
      </c>
      <c r="AM17" s="57">
        <f t="shared" ref="AM17:AR17" si="6">B78</f>
        <v>645.20000000000005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24.1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24.1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40.1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40.1</v>
      </c>
      <c r="AI22" s="47">
        <f t="shared" si="3"/>
        <v>40.1</v>
      </c>
      <c r="AK22" s="49"/>
      <c r="AL22" s="59" t="s">
        <v>39</v>
      </c>
      <c r="AM22" s="60">
        <f t="shared" ref="AM22:BJ22" si="16">SUM(AM16:AM21)</f>
        <v>2182.1799999999998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33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33</v>
      </c>
      <c r="AI23" s="47">
        <f t="shared" si="3"/>
        <v>33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27.7</v>
      </c>
      <c r="AI24" s="47">
        <f t="shared" si="3"/>
        <v>27.7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22.7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22.7</v>
      </c>
      <c r="AI25" s="47">
        <f t="shared" si="3"/>
        <v>22.7</v>
      </c>
      <c r="AK25" s="49"/>
      <c r="AL25" s="59" t="s">
        <v>44</v>
      </c>
      <c r="AM25" s="60">
        <f t="shared" ref="AM25:BJ25" si="19">AM22+AM23</f>
        <v>1722.1799999999998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23.5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23.5</v>
      </c>
      <c r="AI27" s="47">
        <f t="shared" si="3"/>
        <v>23.5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33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33</v>
      </c>
      <c r="AI28" s="47">
        <f t="shared" si="3"/>
        <v>33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12.2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11.8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11.8</v>
      </c>
      <c r="AI32" s="47">
        <f t="shared" si="3"/>
        <v>11.8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15.6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15.6</v>
      </c>
      <c r="AI33" s="47">
        <f t="shared" si="3"/>
        <v>15.6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23.5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23.5</v>
      </c>
      <c r="AI37" s="47">
        <f t="shared" si="3"/>
        <v>23.5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19.5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19.5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</v>
      </c>
      <c r="AI46" s="47">
        <f t="shared" si="3"/>
        <v>11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7.3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7.3</v>
      </c>
      <c r="AI52" s="47">
        <f t="shared" si="3"/>
        <v>7.3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4.5999999999999996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4.5999999999999996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60.8+69.1</f>
        <v>129.89999999999998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129.89999999999998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1127.58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1127.58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84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</v>
      </c>
      <c r="AI73" s="47">
        <f t="shared" si="3"/>
        <v>84</v>
      </c>
      <c r="AK73" s="49"/>
    </row>
    <row r="74" spans="1:88" x14ac:dyDescent="0.25">
      <c r="A74" s="73" t="s">
        <v>93</v>
      </c>
      <c r="B74" s="43">
        <v>37.5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37.5</v>
      </c>
      <c r="AI74" s="47">
        <f t="shared" si="3"/>
        <v>37.5</v>
      </c>
      <c r="AK74" s="49"/>
    </row>
    <row r="75" spans="1:88" x14ac:dyDescent="0.25">
      <c r="A75" s="74" t="s">
        <v>94</v>
      </c>
      <c r="B75" s="43">
        <v>29.9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29.9</v>
      </c>
      <c r="AI75" s="47">
        <f t="shared" ref="AI75:AI138" si="24">MIN(B75:AF75)</f>
        <v>29.9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645.20000000000005</v>
      </c>
      <c r="C78" s="70">
        <f>SUM(C72:C77)</f>
        <v>0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645.20000000000005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0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59.7</v>
      </c>
      <c r="AI80" s="47">
        <f t="shared" si="24"/>
        <v>59.7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53</v>
      </c>
      <c r="AI81" s="47">
        <f t="shared" si="24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30</v>
      </c>
      <c r="AI83" s="47">
        <f t="shared" si="24"/>
        <v>30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9.1</v>
      </c>
      <c r="AI85" s="47">
        <f t="shared" si="24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0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-460</v>
      </c>
    </row>
    <row r="87" spans="1:75" x14ac:dyDescent="0.25">
      <c r="A87" s="63" t="s">
        <v>112</v>
      </c>
      <c r="B87" s="43">
        <v>6.9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6.9</v>
      </c>
      <c r="AI87" s="47">
        <f t="shared" si="24"/>
        <v>6.9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9.1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9.1</v>
      </c>
      <c r="AI88" s="47">
        <f t="shared" si="24"/>
        <v>9.1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0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22</v>
      </c>
    </row>
    <row r="90" spans="1:75" x14ac:dyDescent="0.2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337.40000000000003</v>
      </c>
      <c r="C92" s="70">
        <f t="shared" ref="B92:AG92" si="33">SUM(C79:C91)</f>
        <v>2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337.40000000000003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-460</v>
      </c>
      <c r="AI97" s="47">
        <f t="shared" si="24"/>
        <v>-460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0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22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22</v>
      </c>
      <c r="AI100" s="47">
        <f t="shared" si="24"/>
        <v>22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50</v>
      </c>
      <c r="AI102" s="47">
        <f t="shared" si="24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72</v>
      </c>
      <c r="C108" s="70">
        <f t="shared" ref="B108:AF108" si="37">SUMIF(C97:C107,"&gt;0")</f>
        <v>0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72</v>
      </c>
      <c r="AI108" s="47">
        <f t="shared" si="24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2182.1799999999998</v>
      </c>
      <c r="C113" s="108">
        <f t="shared" ref="B113:AG113" si="39">C71+C78+C96+C92+C108+C112</f>
        <v>152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2182.1799999999998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2182.1799999999998</v>
      </c>
      <c r="C115" s="108">
        <f t="shared" ref="C115:AF115" si="41">C113+C114</f>
        <v>152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2182.1799999999998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1722.1799999999998</v>
      </c>
      <c r="C116" s="108">
        <f t="shared" ref="C116:AF116" si="43">C115-(C123)</f>
        <v>152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1722.1799999999998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460</v>
      </c>
      <c r="C117" s="93">
        <f t="shared" ref="B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460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460</v>
      </c>
      <c r="C123" s="70">
        <f t="shared" ref="B123:AF123" si="47">SUM(C117:C122)</f>
        <v>0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460</v>
      </c>
      <c r="AI123" s="47">
        <f t="shared" si="24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" si="48">B108-B123</f>
        <v>-388</v>
      </c>
      <c r="C124" s="70">
        <f t="shared" ref="B124:AF124" si="49">C108-C123</f>
        <v>0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-388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50.01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50.01</v>
      </c>
      <c r="AI126" s="47">
        <f t="shared" si="24"/>
        <v>50.01</v>
      </c>
    </row>
    <row r="127" spans="1:64" x14ac:dyDescent="0.25">
      <c r="A127" s="119" t="s">
        <v>149</v>
      </c>
      <c r="B127" s="43">
        <v>132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132</v>
      </c>
      <c r="AI127" s="47">
        <f t="shared" si="24"/>
        <v>132</v>
      </c>
    </row>
    <row r="128" spans="1:64" x14ac:dyDescent="0.25">
      <c r="A128" s="119" t="s">
        <v>150</v>
      </c>
      <c r="B128" s="43">
        <v>130.4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130.4</v>
      </c>
      <c r="AI128" s="47">
        <f t="shared" si="24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136.69999999999999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136.69999999999999</v>
      </c>
      <c r="AI130" s="47">
        <f t="shared" si="24"/>
        <v>136.69999999999999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124.6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124.6</v>
      </c>
      <c r="AI132" s="47">
        <f t="shared" si="24"/>
        <v>124.6</v>
      </c>
    </row>
    <row r="133" spans="1:35" ht="15.75" thickBot="1" x14ac:dyDescent="0.3">
      <c r="A133" s="119" t="s">
        <v>155</v>
      </c>
      <c r="B133" s="101">
        <v>66.8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66.8</v>
      </c>
      <c r="AI133" s="47">
        <f t="shared" si="24"/>
        <v>66.8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331.64</v>
      </c>
      <c r="C135" s="114">
        <f t="shared" ref="C135:O135" si="51">SUM(C26,C32,C45:C46,C82,C84:C85,C87,C89,C137:C142,C177,C183,C189,C198,C200,C212,C219,C222:C223,C230,C232,C234,C238:C240,C242:C244,C249,C255:C256,C258:C260,C161,C166)</f>
        <v>0.94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331.64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54.2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54.2</v>
      </c>
      <c r="AI137" s="47">
        <f t="shared" si="24"/>
        <v>54.2</v>
      </c>
    </row>
    <row r="138" spans="1:35" x14ac:dyDescent="0.25">
      <c r="A138" s="135" t="s">
        <v>160</v>
      </c>
      <c r="B138" s="132">
        <v>5.4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5.4</v>
      </c>
      <c r="AI138" s="47">
        <f t="shared" si="24"/>
        <v>5.4</v>
      </c>
    </row>
    <row r="139" spans="1:35" x14ac:dyDescent="0.25">
      <c r="A139" s="135" t="s">
        <v>161</v>
      </c>
      <c r="B139" s="132">
        <v>-62.5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-62.5</v>
      </c>
    </row>
    <row r="140" spans="1:35" x14ac:dyDescent="0.25">
      <c r="A140" s="135" t="s">
        <v>162</v>
      </c>
      <c r="B140" s="132">
        <v>82.1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82.1</v>
      </c>
      <c r="AI140" s="47">
        <f>MIN(B140:AF140)</f>
        <v>82.1</v>
      </c>
    </row>
    <row r="141" spans="1:35" x14ac:dyDescent="0.25">
      <c r="A141" s="135" t="s">
        <v>163</v>
      </c>
      <c r="B141" s="132">
        <v>22.1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22.1</v>
      </c>
    </row>
    <row r="142" spans="1:35" x14ac:dyDescent="0.25">
      <c r="A142" s="135" t="s">
        <v>164</v>
      </c>
      <c r="B142" s="132">
        <v>77.599999999999994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77.599999999999994</v>
      </c>
    </row>
    <row r="143" spans="1:35" x14ac:dyDescent="0.25">
      <c r="A143" s="135" t="s">
        <v>165</v>
      </c>
      <c r="B143" s="132">
        <v>91.9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-2.9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-9.8000000000000007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-257.89999999999998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-257.89999999999998</v>
      </c>
      <c r="AI146" s="47">
        <f t="shared" ref="AI146:AI158" si="55">MIN(B146:AF146)</f>
        <v>-257.89999999999998</v>
      </c>
    </row>
    <row r="147" spans="1:38" x14ac:dyDescent="0.25">
      <c r="A147" s="135" t="s">
        <v>169</v>
      </c>
      <c r="B147" s="132">
        <v>22.2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22.2</v>
      </c>
      <c r="AI147" s="47">
        <f t="shared" si="55"/>
        <v>22.2</v>
      </c>
    </row>
    <row r="148" spans="1:38" x14ac:dyDescent="0.25">
      <c r="A148" s="135" t="s">
        <v>170</v>
      </c>
      <c r="B148" s="132">
        <v>-8.3000000000000007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-8.3000000000000007</v>
      </c>
      <c r="AI148" s="47">
        <f t="shared" si="55"/>
        <v>-8.3000000000000007</v>
      </c>
    </row>
    <row r="149" spans="1:38" x14ac:dyDescent="0.25">
      <c r="A149" s="135" t="s">
        <v>171</v>
      </c>
      <c r="B149" s="132">
        <v>257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257</v>
      </c>
      <c r="AI149" s="47">
        <f t="shared" si="55"/>
        <v>257</v>
      </c>
    </row>
    <row r="150" spans="1:38" x14ac:dyDescent="0.25">
      <c r="A150" s="135" t="s">
        <v>172</v>
      </c>
      <c r="B150" s="132">
        <v>28.8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28.8</v>
      </c>
      <c r="AI150" s="47">
        <f t="shared" si="55"/>
        <v>28.8</v>
      </c>
    </row>
    <row r="151" spans="1:38" ht="15.75" thickBot="1" x14ac:dyDescent="0.3">
      <c r="A151" s="139" t="s">
        <v>173</v>
      </c>
      <c r="B151" s="132">
        <v>-2.6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-2.6</v>
      </c>
      <c r="AI151" s="47">
        <f t="shared" si="55"/>
        <v>-2.6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E17" sqref="E17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2026-05-19T18:53:36Z</dcterms:modified>
</cp:coreProperties>
</file>