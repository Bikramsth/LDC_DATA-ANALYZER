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2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70" i="75" l="1"/>
  <c r="AF71" i="75"/>
  <c r="AF78" i="75"/>
  <c r="AF92" i="75"/>
  <c r="AF96" i="75"/>
  <c r="AF108" i="75"/>
  <c r="AF117" i="75"/>
  <c r="AF118" i="75"/>
  <c r="AF119" i="75"/>
  <c r="AF120" i="75"/>
  <c r="AF121" i="75"/>
  <c r="AF122" i="75"/>
  <c r="AF123" i="75" l="1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AE124" i="75" l="1"/>
  <c r="AE113" i="75"/>
  <c r="AE115" i="75" s="1"/>
  <c r="AE116" i="75" s="1"/>
  <c r="AD70" i="75"/>
  <c r="AD71" i="75"/>
  <c r="AD78" i="75"/>
  <c r="AD92" i="75"/>
  <c r="AD96" i="75"/>
  <c r="AC70" i="75" l="1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X66" i="73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AB124" i="75" l="1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Y116" i="75" l="1"/>
  <c r="S116" i="75"/>
  <c r="P70" i="75" l="1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P123" i="75" l="1"/>
  <c r="P124" i="75" s="1"/>
  <c r="P113" i="75"/>
  <c r="P115" i="75" s="1"/>
  <c r="P116" i="75" s="1"/>
  <c r="O70" i="75" l="1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O123" i="75" l="1"/>
  <c r="O124" i="75" s="1"/>
  <c r="O113" i="75"/>
  <c r="O115" i="75" s="1"/>
  <c r="O116" i="75" s="1"/>
  <c r="N70" i="75" l="1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N123" i="75" l="1"/>
  <c r="N124" i="75" s="1"/>
  <c r="N116" i="75"/>
  <c r="M123" i="75"/>
  <c r="M124" i="75" s="1"/>
  <c r="M113" i="75"/>
  <c r="M115" i="75" s="1"/>
  <c r="M116" i="75" l="1"/>
  <c r="L149" i="75" l="1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C123" i="75" l="1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BH25" i="75" l="1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AH124" i="75" l="1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L135" i="75" l="1"/>
  <c r="K274" i="75"/>
  <c r="L169" i="75"/>
  <c r="L167" i="75"/>
  <c r="L274" i="75" l="1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T98" i="73"/>
  <c r="X98" i="73" s="1"/>
  <c r="T97" i="73"/>
  <c r="X97" i="73" s="1"/>
  <c r="T96" i="73"/>
  <c r="X96" i="73" s="1"/>
  <c r="T95" i="73"/>
  <c r="X95" i="73" s="1"/>
  <c r="T94" i="73"/>
  <c r="X94" i="73" s="1"/>
  <c r="T93" i="73"/>
  <c r="X93" i="73" s="1"/>
  <c r="T92" i="73"/>
  <c r="X92" i="73" s="1"/>
  <c r="T91" i="73"/>
  <c r="X91" i="73" s="1"/>
  <c r="T90" i="73"/>
  <c r="X90" i="73" s="1"/>
  <c r="T89" i="73"/>
  <c r="X89" i="73" s="1"/>
  <c r="T88" i="73"/>
  <c r="X88" i="73" s="1"/>
  <c r="T87" i="73"/>
  <c r="X87" i="73" s="1"/>
  <c r="T86" i="73"/>
  <c r="X86" i="73" s="1"/>
  <c r="T85" i="73"/>
  <c r="X85" i="73" s="1"/>
  <c r="T84" i="73"/>
  <c r="X84" i="73" s="1"/>
  <c r="T83" i="73"/>
  <c r="X83" i="73" s="1"/>
  <c r="T82" i="73"/>
  <c r="X82" i="73" s="1"/>
  <c r="T81" i="73"/>
  <c r="X81" i="73" s="1"/>
  <c r="T80" i="73"/>
  <c r="X80" i="73" s="1"/>
  <c r="T79" i="73"/>
  <c r="X79" i="73" s="1"/>
  <c r="T78" i="73"/>
  <c r="X78" i="73" s="1"/>
  <c r="T77" i="73"/>
  <c r="X77" i="73" s="1"/>
  <c r="T76" i="73"/>
  <c r="X76" i="73" s="1"/>
  <c r="T75" i="73"/>
  <c r="X75" i="73" s="1"/>
  <c r="T74" i="73"/>
  <c r="X74" i="73" s="1"/>
  <c r="T73" i="73"/>
  <c r="X73" i="73" s="1"/>
  <c r="T72" i="73"/>
  <c r="X72" i="73" s="1"/>
  <c r="T71" i="73"/>
  <c r="X71" i="73" s="1"/>
  <c r="T70" i="73"/>
  <c r="X70" i="73" s="1"/>
  <c r="T69" i="73"/>
  <c r="X69" i="73" s="1"/>
  <c r="T68" i="73"/>
  <c r="X68" i="73" s="1"/>
  <c r="T67" i="73"/>
  <c r="X67" i="73" s="1"/>
  <c r="T66" i="73"/>
  <c r="T65" i="73"/>
  <c r="X65" i="73" s="1"/>
  <c r="T64" i="73"/>
  <c r="X64" i="73" s="1"/>
  <c r="T63" i="73"/>
  <c r="X63" i="73" s="1"/>
  <c r="T62" i="73"/>
  <c r="X62" i="73" s="1"/>
  <c r="T61" i="73"/>
  <c r="X61" i="73" s="1"/>
  <c r="T60" i="73"/>
  <c r="X60" i="73" s="1"/>
  <c r="T59" i="73"/>
  <c r="X59" i="73" s="1"/>
  <c r="T58" i="73"/>
  <c r="X58" i="73" s="1"/>
  <c r="T57" i="73"/>
  <c r="X57" i="73" s="1"/>
  <c r="T56" i="73"/>
  <c r="X56" i="73" s="1"/>
  <c r="T55" i="73"/>
  <c r="X55" i="73" s="1"/>
  <c r="T54" i="73"/>
  <c r="X54" i="73" s="1"/>
  <c r="T53" i="73"/>
  <c r="X53" i="73" s="1"/>
  <c r="T52" i="73"/>
  <c r="X52" i="73" s="1"/>
  <c r="T51" i="73"/>
  <c r="X51" i="73" s="1"/>
  <c r="T50" i="73"/>
  <c r="X50" i="73" s="1"/>
  <c r="T49" i="73"/>
  <c r="X49" i="73" s="1"/>
  <c r="T48" i="73"/>
  <c r="X48" i="73" s="1"/>
  <c r="T47" i="73"/>
  <c r="X47" i="73" s="1"/>
  <c r="T46" i="73"/>
  <c r="X46" i="73" s="1"/>
  <c r="T45" i="73"/>
  <c r="X45" i="73" s="1"/>
  <c r="T44" i="73"/>
  <c r="X44" i="73" s="1"/>
  <c r="T43" i="73"/>
  <c r="X43" i="73" s="1"/>
  <c r="T42" i="73"/>
  <c r="X42" i="73" s="1"/>
  <c r="T41" i="73"/>
  <c r="X41" i="73" s="1"/>
  <c r="T40" i="73"/>
  <c r="X40" i="73" s="1"/>
  <c r="T39" i="73"/>
  <c r="X39" i="73" s="1"/>
  <c r="T38" i="73"/>
  <c r="X38" i="73" s="1"/>
  <c r="T37" i="73"/>
  <c r="X37" i="73" s="1"/>
  <c r="T36" i="73"/>
  <c r="X36" i="73" s="1"/>
  <c r="T35" i="73"/>
  <c r="X35" i="73" s="1"/>
  <c r="T34" i="73"/>
  <c r="X34" i="73" s="1"/>
  <c r="T33" i="73"/>
  <c r="X33" i="73" s="1"/>
  <c r="T32" i="73"/>
  <c r="X32" i="73" s="1"/>
  <c r="T31" i="73"/>
  <c r="X31" i="73" s="1"/>
  <c r="T30" i="73"/>
  <c r="X30" i="73" s="1"/>
  <c r="T29" i="73"/>
  <c r="X29" i="73" s="1"/>
  <c r="T28" i="73"/>
  <c r="X28" i="73" s="1"/>
  <c r="T27" i="73"/>
  <c r="X27" i="73" s="1"/>
  <c r="T26" i="73"/>
  <c r="X26" i="73" s="1"/>
  <c r="T25" i="73"/>
  <c r="X25" i="73" s="1"/>
  <c r="T24" i="73"/>
  <c r="X24" i="73" s="1"/>
  <c r="T23" i="73"/>
  <c r="X23" i="73" s="1"/>
  <c r="T22" i="73"/>
  <c r="X22" i="73" s="1"/>
  <c r="T21" i="73"/>
  <c r="X21" i="73" s="1"/>
  <c r="T20" i="73"/>
  <c r="X20" i="73" s="1"/>
  <c r="T19" i="73"/>
  <c r="X19" i="73" s="1"/>
  <c r="T18" i="73"/>
  <c r="X18" i="73" s="1"/>
  <c r="T17" i="73"/>
  <c r="X17" i="73" s="1"/>
  <c r="T16" i="73"/>
  <c r="X16" i="73" s="1"/>
  <c r="T15" i="73"/>
  <c r="X15" i="73" s="1"/>
  <c r="T14" i="73"/>
  <c r="X14" i="73" s="1"/>
  <c r="T13" i="73"/>
  <c r="X13" i="73" s="1"/>
  <c r="T12" i="73"/>
  <c r="X12" i="73" s="1"/>
  <c r="T11" i="73"/>
  <c r="X11" i="73" s="1"/>
  <c r="T10" i="73"/>
  <c r="X10" i="73" s="1"/>
  <c r="T9" i="73"/>
  <c r="X9" i="73" s="1"/>
  <c r="T8" i="73"/>
  <c r="X8" i="73" s="1"/>
  <c r="T7" i="73"/>
  <c r="X7" i="73" s="1"/>
  <c r="T6" i="73"/>
  <c r="X6" i="73" s="1"/>
  <c r="T5" i="73"/>
  <c r="X5" i="73" s="1"/>
  <c r="T4" i="73"/>
  <c r="X4" i="73" s="1"/>
  <c r="T3" i="73"/>
  <c r="X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<sst xmlns="http://schemas.openxmlformats.org/spreadsheetml/2006/main" count="1571" uniqueCount="416">
  <si>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</si>
  <si>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</si>
  <si>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</si>
  <si>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</si>
  <si>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</si>
  <si>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</si>
  <si>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</si>
  <si>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</si>
  <si>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</si>
  <si>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</si>
  <si>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</si>
  <si>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</si>
  <si>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</si>
  <si>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</si>
  <si>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</si>
  <si>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</si>
  <si>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</si>
  <si>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</si>
  <si>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</si>
  <si>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</si>
  <si>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</si>
  <si>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</si>
  <si>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</si>
  <si>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</si>
  <si>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</si>
  <si>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</si>
  <si>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</si>
  <si>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</si>
  <si>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</si>
  <si>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</si>
  <si>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</si>
  <si>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</si>
  <si>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</si>
  <si>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</si>
  <si>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</si>
  <si>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</si>
  <si>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</si>
  <si>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</si>
  <si>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</si>
  <si>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</si>
  <si>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</si>
  <si>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</si>
  <si>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</si>
  <si>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</si>
  <si>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</si>
  <si>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</si>
  <si>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</si>
  <si>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</si>
  <si>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</si>
  <si>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</si>
  <si>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</si>
  <si>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</si>
  <si>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</si>
  <si>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</si>
  <si>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</si>
  <si>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</si>
  <si>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</si>
  <si>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</si>
  <si>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</si>
  <si>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</si>
  <si>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</si>
  <si>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</si>
  <si>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</si>
  <si>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</si>
  <si>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</si>
  <si>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</si>
  <si>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</si>
  <si>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</si>
  <si>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</si>
  <si>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</si>
  <si>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</si>
  <si>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</si>
  <si>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</si>
  <si>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</si>
  <si>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</si>
  <si>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</si>
  <si>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</si>
  <si>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</si>
  <si>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</si>
  <si>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</si>
  <si>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</si>
  <si>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</si>
  <si>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</si>
  <si>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</si>
  <si>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</si>
  <si>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</si>
  <si>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</si>
  <si>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</si>
  <si>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</si>
  <si>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</si>
  <si>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</si>
  <si>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</si>
  <si>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</si>
  <si>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</si>
  <si>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</si>
  <si>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</si>
  <si>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</si>
  <si>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</si>
  <si>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</si>
  <si>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</si>
  <si>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</si>
  <si>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</si>
  <si>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</si>
  <si>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</si>
  <si>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</si>
  <si>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</si>
  <si>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</si>
  <si>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</si>
  <si>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</si>
  <si>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</si>
  <si>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</si>
  <si>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</si>
  <si>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</si>
  <si>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</si>
  <si>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</si>
  <si>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</si>
  <si>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</si>
  <si>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</si>
  <si>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</si>
  <si>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</si>
  <si>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</si>
  <si>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</si>
  <si>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</si>
  <si>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</si>
  <si>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</si>
  <si>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</si>
  <si>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</si>
  <si>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</si>
  <si>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</si>
  <si>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</si>
  <si>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</si>
  <si>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</si>
  <si>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</si>
  <si>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</si>
  <si>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</si>
  <si>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</si>
  <si>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</si>
  <si>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</si>
  <si>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</si>
  <si>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</si>
  <si>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</si>
  <si>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</si>
  <si>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</si>
  <si>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</si>
  <si>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</si>
  <si>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</si>
  <si>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</si>
  <si>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</si>
  <si>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</si>
  <si>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</si>
  <si>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</si>
  <si>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</si>
  <si>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</si>
  <si>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</si>
  <si>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</si>
  <si>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</si>
  <si>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</si>
  <si>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</si>
  <si>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</si>
  <si>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</si>
  <si>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</si>
  <si>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</si>
  <si>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</si>
  <si>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</si>
  <si>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</si>
  <si>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</si>
  <si>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</si>
  <si>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</si>
  <si>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</si>
  <si>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</si>
  <si>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</si>
  <si>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</si>
  <si>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</si>
  <si>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</si>
  <si>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</si>
  <si>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</si>
  <si>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</si>
  <si>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</si>
  <si>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</si>
  <si>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</si>
  <si>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</si>
  <si>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</si>
  <si>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</si>
  <si>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</si>
  <si>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</si>
  <si>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</si>
  <si>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</si>
  <si>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</si>
  <si>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</si>
  <si>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</si>
  <si>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</si>
  <si>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</si>
  <si>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</si>
  <si>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</si>
  <si>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</si>
  <si>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</si>
  <si>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</si>
  <si>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</si>
  <si>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</si>
  <si>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</si>
  <si>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</si>
  <si>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</si>
  <si>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</si>
  <si>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</si>
  <si>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</si>
  <si>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</si>
  <si>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</si>
  <si>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</si>
  <si>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</si>
  <si>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</si>
  <si>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</si>
  <si>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</si>
  <si>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</si>
  <si>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</si>
  <si>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</si>
  <si>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</si>
  <si>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</si>
  <si>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</si>
  <si>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</si>
  <si>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</si>
  <si>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</si>
  <si>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</si>
  <si>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</si>
  <si>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</si>
  <si>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</si>
  <si>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</si>
  <si>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</si>
  <si>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</si>
  <si>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</si>
  <si>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</si>
  <si>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</si>
  <si>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</si>
  <si>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</si>
  <si>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</si>
  <si>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</si>
  <si>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</si>
  <si>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</si>
  <si>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</si>
  <si>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</si>
  <si>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</si>
  <si>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</si>
  <si>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</si>
  <si>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</si>
  <si>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</si>
  <si>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</si>
  <si>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</si>
  <si>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</si>
  <si>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</si>
  <si>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</si>
  <si>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</si>
  <si>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</si>
  <si>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</si>
  <si>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</si>
  <si>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</si>
  <si>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</si>
  <si>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</si>
  <si>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</si>
  <si>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</si>
  <si>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</si>
  <si>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</si>
  <si>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</si>
  <si>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</si>
  <si>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</si>
  <si>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</si>
  <si>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</si>
  <si>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</si>
  <si>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</si>
  <si>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</si>
  <si>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</si>
  <si>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</si>
  <si>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</si>
  <si>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</si>
  <si>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</si>
  <si>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</si>
  <si>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</si>
  <si>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</si>
  <si>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</si>
  <si>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</si>
  <si>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</si>
  <si>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</si>
  <si>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</si>
  <si>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</si>
  <si>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</si>
  <si>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</si>
  <si>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</si>
  <si>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</si>
  <si>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</si>
  <si>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</si>
  <si>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</si>
  <si>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</si>
  <si>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</si>
  <si>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</si>
  <si>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</si>
  <si>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</si>
  <si>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</si>
  <si>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</si>
  <si>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</si>
  <si>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</si>
  <si>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</si>
  <si>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</si>
  <si>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</si>
  <si>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</si>
  <si>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</si>
  <si>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</si>
  <si>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</si>
  <si>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</si>
  <si>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</si>
  <si>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</si>
  <si>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</si>
  <si>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</si>
  <si>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</si>
  <si>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</si>
  <si>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</si>
  <si>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</si>
  <si>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</si>
  <si>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</si>
  <si>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</si>
  <si>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</si>
  <si>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</si>
  <si>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</si>
  <si>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</si>
  <si>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</si>
  <si>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</si>
  <si>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</si>
  <si>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</si>
  <si>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</si>
  <si>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</si>
  <si>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</si>
  <si>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</si>
  <si>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</si>
  <si>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</si>
  <si>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</si>
  <si>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</si>
  <si>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</si>
  <si>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</si>
  <si>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</si>
  <si>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</si>
  <si>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</si>
  <si>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</si>
  <si>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</si>
  <si>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</si>
  <si>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</si>
  <si>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</si>
  <si>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</si>
  <si>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</si>
  <si>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</si>
  <si>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</si>
  <si>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</si>
  <si>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</si>
  <si>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</si>
  <si>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</si>
  <si>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</si>
  <si>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</si>
  <si>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</si>
  <si>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</si>
  <si>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</si>
  <si>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</si>
  <si>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</si>
  <si>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</si>
  <si>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</si>
  <si>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</si>
  <si>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</si>
  <si>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</si>
  <si>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</si>
  <si>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</si>
  <si>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</si>
  <si>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</si>
  <si>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</si>
  <si>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</si>
  <si>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</si>
  <si>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</si>
  <si>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</si>
  <si>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</si>
  <si>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</si>
  <si>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</si>
  <si>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</si>
  <si>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</si>
  <si>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</si>
  <si>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</si>
  <si>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</si>
  <si>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</si>
  <si>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</si>
  <si>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</si>
  <si>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</si>
  <si>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</si>
  <si>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</si>
  <si>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</si>
  <si>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</si>
  <si>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</si>
  <si>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</si>
  <si>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</si>
  <si>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</si>
  <si>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</si>
  <si>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</si>
  <si>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</si>
  <si>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</si>
  <si>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</si>
  <si>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</si>
  <si>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</si>
  <si>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</si>
  <si>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</si>
  <si>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</si>
  <si>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</si>
  <si>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</si>
  <si>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</si>
  <si>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</si>
  <si>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</si>
  <si>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</si>
  <si>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</si>
  <si>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</si>
  <si>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</si>
  <si>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</si>
  <si>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</si>
  <si>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</si>
  <si>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16..9</t>
  </si>
  <si>
    <t>Date: 2083-02-03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</si>
</sst>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5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4" fontId="3" fillId="10" borderId="6" xfId="0" applyNumberFormat="1" applyFont="1" applyFill="1" applyBorder="1" applyAlignment="1">
      <alignment wrapText="1"/>
    </xf>
    <xf numFmtId="0" fontId="3" fillId="10" borderId="6" xfId="0" applyFont="1" applyFill="1" applyBorder="1"/>
    <xf numFmtId="0" fontId="3" fillId="10" borderId="6" xfId="0" applyFont="1" applyFill="1" applyBorder="1" applyAlignment="1">
      <alignment wrapText="1"/>
    </xf>
    <xf numFmtId="0" fontId="0" fillId="10" borderId="0" xfId="0" applyFill="1"/>
    <xf numFmtId="0" fontId="3" fillId="10" borderId="0" xfId="0" applyFont="1" applyFill="1"/>
    <xf numFmtId="0" fontId="0" fillId="10" borderId="6" xfId="0" applyFill="1" applyBorder="1"/>
    <xf numFmtId="0" fontId="0" fillId="10" borderId="6" xfId="0" applyFill="1" applyBorder="1" applyAlignment="1">
      <alignment vertical="center" wrapText="1"/>
    </xf>
    <xf numFmtId="0" fontId="0" fillId="10" borderId="0" xfId="0" applyFill="1" applyAlignment="1">
      <alignment vertical="center" wrapText="1"/>
    </xf>
    <xf numFmtId="0" fontId="19" fillId="10" borderId="6" xfId="0" applyFont="1" applyFill="1" applyBorder="1"/>
    <xf numFmtId="2" fontId="37" fillId="10" borderId="6" xfId="0" applyNumberFormat="1" applyFont="1" applyFill="1" applyBorder="1" applyAlignment="1">
      <alignment horizontal="center" vertical="center" wrapText="1"/>
    </xf>
    <xf numFmtId="0" fontId="0" fillId="10" borderId="19" xfId="0" applyFill="1" applyBorder="1"/>
    <xf numFmtId="0" fontId="0" fillId="10" borderId="0" xfId="0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2080/10/1</v>
      </c>
      <c r="C4" s="219"/>
      <c r="D4" s="219"/>
      <c r="E4" s="220" t="str">
        <f ca="1">"2080/"&amp;"10/"&amp;INT(MID(CELL("filename",G6),FIND("]",CELL("filename",G6))+1,200))</f>
        <v>2080/10/1</v>
      </c>
      <c r="F4" s="220"/>
      <c r="G4" s="220"/>
      <c r="H4" s="220" t="str">
        <f ca="1">TEXT(E4,"dddd")</f>
        <v>Tuesday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2080/10/2</v>
      </c>
      <c r="C4" s="219"/>
      <c r="D4" s="219"/>
      <c r="E4" s="220" t="str">
        <f ca="1">"2080/"&amp;"10/"&amp;INT(MID(CELL("filename",G6),FIND("]",CELL("filename",G6))+1,200))</f>
        <v>2080/10/2</v>
      </c>
      <c r="F4" s="220"/>
      <c r="G4" s="220"/>
      <c r="H4" s="220" t="str">
        <f ca="1">TEXT(E4,"dddd")</f>
        <v>Wednesday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0" t="s">
        <v>19</v>
      </c>
      <c r="AI10" s="210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414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K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17" sqref="AF1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2080/10/3</v>
      </c>
      <c r="C4" s="219"/>
      <c r="D4" s="219"/>
      <c r="E4" s="220" t="str">
        <f ca="1">"2080/"&amp;"10/"&amp;INT(MID(CELL("filename",G6),FIND("]",CELL("filename",G6))+1,200))</f>
        <v>2080/10/3</v>
      </c>
      <c r="F4" s="220"/>
      <c r="G4" s="220"/>
      <c r="H4" s="220" t="str">
        <f ca="1">TEXT(E4,"dddd")</f>
        <v>Thursday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1923.2999999999995</v>
      </c>
      <c r="AC7" s="35">
        <f t="shared" si="1"/>
        <v>1902.7199999999996</v>
      </c>
      <c r="AD7" s="35">
        <f t="shared" si="1"/>
        <v>1787.6199999999997</v>
      </c>
      <c r="AE7" s="35">
        <f t="shared" si="1"/>
        <v>1781.6199999999997</v>
      </c>
      <c r="AF7" s="35">
        <f t="shared" si="1"/>
        <v>1689.02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2197.92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1923.3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1" t="s">
        <v>19</v>
      </c>
      <c r="AI10" s="21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994.79999999999984</v>
      </c>
      <c r="BH16" s="58">
        <f>AD71</f>
        <v>990.19999999999982</v>
      </c>
      <c r="BI16" s="58">
        <f>AE71</f>
        <v>990.19999999999982</v>
      </c>
      <c r="BJ16" s="58">
        <f>AF71</f>
        <v>984.89999999999986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2176.5999999999995</v>
      </c>
      <c r="BH22" s="60">
        <f t="shared" si="16"/>
        <v>2197.9199999999996</v>
      </c>
      <c r="BI22" s="60">
        <f t="shared" si="16"/>
        <v>2181.9199999999996</v>
      </c>
      <c r="BJ22" s="60">
        <f t="shared" si="16"/>
        <v>1998.62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19</v>
      </c>
      <c r="AC24" s="44">
        <v>19</v>
      </c>
      <c r="AD24" s="44">
        <v>19</v>
      </c>
      <c r="AE24" s="44">
        <v>19</v>
      </c>
      <c r="AF24" s="44">
        <v>19</v>
      </c>
      <c r="AG24" s="48">
        <v>40</v>
      </c>
      <c r="AH24" s="46">
        <f t="shared" si="2"/>
        <v>22.8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22.3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1923.2999999999995</v>
      </c>
      <c r="BH25" s="60">
        <f t="shared" si="19"/>
        <v>1787.6199999999997</v>
      </c>
      <c r="BI25" s="60">
        <f t="shared" si="19"/>
        <v>1781.6199999999997</v>
      </c>
      <c r="BJ25" s="60">
        <f t="shared" si="19"/>
        <v>1689.02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994.79999999999984</v>
      </c>
      <c r="AC71" s="70">
        <f t="shared" si="22"/>
        <v>990.19999999999982</v>
      </c>
      <c r="AD71" s="70">
        <f t="shared" ref="AD71:AE71" si="30">SUM(AD11:AD69)</f>
        <v>990.19999999999982</v>
      </c>
      <c r="AE71" s="70">
        <f t="shared" si="30"/>
        <v>990.19999999999982</v>
      </c>
      <c r="AF71" s="70">
        <f t="shared" ref="AF71" si="31">SUM(AF11:AF69)</f>
        <v>984.89999999999986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6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7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2136.5999999999995</v>
      </c>
      <c r="AC113" s="108">
        <f t="shared" si="84"/>
        <v>2152.0199999999995</v>
      </c>
      <c r="AD113" s="108">
        <f t="shared" si="84"/>
        <v>2197.9199999999996</v>
      </c>
      <c r="AE113" s="108">
        <f t="shared" ref="AE113:AF113" si="92">AE71+AE78+AE96+AE92+AE108+AE112</f>
        <v>2181.9199999999996</v>
      </c>
      <c r="AF113" s="108">
        <f t="shared" si="92"/>
        <v>1998.62</v>
      </c>
      <c r="AG113" s="80">
        <f t="shared" si="84"/>
        <v>3169.915</v>
      </c>
      <c r="AH113" s="46">
        <f t="shared" si="32"/>
        <v>2197.9199999999996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2176.5999999999995</v>
      </c>
      <c r="AC115" s="108">
        <f t="shared" si="94"/>
        <v>2192.0199999999995</v>
      </c>
      <c r="AD115" s="108">
        <f t="shared" si="94"/>
        <v>2197.9199999999996</v>
      </c>
      <c r="AE115" s="108">
        <f t="shared" ref="AE115:AF115" si="102">AE113+AE114</f>
        <v>2181.9199999999996</v>
      </c>
      <c r="AF115" s="108">
        <f t="shared" si="102"/>
        <v>1998.62</v>
      </c>
      <c r="AG115" s="104">
        <f>AG112+AG108+AG96+AG92+AG71+AG114</f>
        <v>2463.5149999999999</v>
      </c>
      <c r="AH115" s="46">
        <f t="shared" si="32"/>
        <v>2197.9199999999996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1923.2999999999995</v>
      </c>
      <c r="AC116" s="108">
        <f t="shared" si="104"/>
        <v>1902.7199999999996</v>
      </c>
      <c r="AD116" s="108">
        <f t="shared" si="104"/>
        <v>1787.6199999999997</v>
      </c>
      <c r="AE116" s="108">
        <f t="shared" ref="AE116:AF116" si="112">AE115-(AE123)</f>
        <v>1781.6199999999997</v>
      </c>
      <c r="AF116" s="108">
        <f t="shared" si="112"/>
        <v>1689.02</v>
      </c>
      <c r="AG116" s="104"/>
      <c r="AH116" s="46">
        <f t="shared" si="32"/>
        <v>1923.2999999999995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354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B29:Y53 Z14:AF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A70 AG96 B71:AA71 B69:AA69 AG78 AG71 AB69:AF71 B76:AF96 Z11:AF13">
    <cfRule type="expression" dxfId="326" priority="105">
      <formula>B11&gt;$AG11*1</formula>
    </cfRule>
  </conditionalFormatting>
  <conditionalFormatting sqref="F79:Y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Y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F78:AC78 Z76:AC77 B72:AF72 AD76:AF78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Z73:AF75">
    <cfRule type="expression" dxfId="313" priority="35">
      <formula>Z$9&gt;=20/24</formula>
    </cfRule>
    <cfRule type="expression" dxfId="312" priority="36">
      <formula>AND(Z$9&gt;=14/24,Z$9&lt;20/24)</formula>
    </cfRule>
    <cfRule type="expression" dxfId="311" priority="37">
      <formula>AND(Z$9&gt;=8/24,Z$9&lt;14/24)</formula>
    </cfRule>
    <cfRule type="expression" dxfId="310" priority="38">
      <formula>Z$9&lt;8/24</formula>
    </cfRule>
  </conditionalFormatting>
  <conditionalFormatting sqref="F79:Y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R79:Y83 Z80:AF83">
    <cfRule type="expression" dxfId="298" priority="137">
      <formula>R$9&gt;=20/24</formula>
    </cfRule>
    <cfRule type="expression" dxfId="297" priority="138">
      <formula>AND(R$9&gt;=14/24,R$9&lt;20/24)</formula>
    </cfRule>
    <cfRule type="expression" dxfId="296" priority="139">
      <formula>AND(R$9&gt;=8/24,R$9&lt;14/24)</formula>
    </cfRule>
    <cfRule type="expression" dxfId="295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Z79:AF84">
    <cfRule type="expression" dxfId="289" priority="59">
      <formula>Z$9&gt;=20/24</formula>
    </cfRule>
    <cfRule type="expression" dxfId="288" priority="60">
      <formula>AND(Z$9&gt;=14/24,Z$9&lt;20/24)</formula>
    </cfRule>
    <cfRule type="expression" dxfId="287" priority="61">
      <formula>AND(Z$9&gt;=8/24,Z$9&lt;14/24)</formula>
    </cfRule>
    <cfRule type="expression" dxfId="286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285" priority="44">
      <formula>Z$9&gt;=20/24</formula>
    </cfRule>
    <cfRule type="expression" dxfId="284" priority="45">
      <formula>AND(Z$9&gt;=14/24,Z$9&lt;20/24)</formula>
    </cfRule>
    <cfRule type="expression" dxfId="283" priority="46">
      <formula>AND(Z$9&gt;=8/24,Z$9&lt;14/24)</formula>
    </cfRule>
    <cfRule type="expression" dxfId="282" priority="47">
      <formula>Z$9&lt;8/24</formula>
    </cfRule>
  </conditionalFormatting>
  <conditionalFormatting sqref="Z69:Z70">
    <cfRule type="expression" dxfId="281" priority="124">
      <formula>Z69&gt;$AG69</formula>
    </cfRule>
  </conditionalFormatting>
  <conditionalFormatting sqref="B66:Y70 B54:AF62 Z66:AF69">
    <cfRule type="expression" dxfId="280" priority="119">
      <formula>B54&gt;$AG54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B107 B137:B152 B109:B112 B125:B134 B154:B159 C137:E151 C126:Q133 B11:Y13">
    <cfRule type="expression" dxfId="204" priority="20">
      <formula>B$9&gt;=20/24</formula>
    </cfRule>
  </conditionalFormatting>
  <conditionalFormatting sqref="B97:B107 B137:B152 B109:B112 B125:B134 B154:B159 C137:E151 C126:Q133 B11:Y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Y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Y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e">
        <f ca="1">"2080/"&amp;"10/"&amp;INT(MID(CELL("filename",D6),FIND("]",CELL("filename",D6))+1,200))</f>
        <v>#VALUE!</v>
      </c>
      <c r="C4" s="219"/>
      <c r="D4" s="219"/>
      <c r="E4" s="220" t="e">
        <f ca="1">"2080/"&amp;"10/"&amp;INT(MID(CELL("filename",G6),FIND("]",CELL("filename",G6))+1,200))</f>
        <v>#VALUE!</v>
      </c>
      <c r="F4" s="220"/>
      <c r="G4" s="220"/>
      <c r="H4" s="220" t="e">
        <f ca="1">TEXT(E4,"dddd")</f>
        <v>#VALUE!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6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7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15"/>
  <sheetViews>
    <sheetView view="pageBreakPreview" zoomScaleNormal="100" zoomScaleSheetLayoutView="100" workbookViewId="0">
      <pane xSplit="14" ySplit="16" topLeftCell="S59" activePane="bottomRight" state="frozen"/>
      <selection pane="topRight" activeCell="O1" sqref="O1"/>
      <selection pane="bottomLeft" activeCell="A17" sqref="A17"/>
      <selection pane="bottomRight" activeCell="U65" sqref="U65"/>
    </sheetView>
  </sheetViews>
  <sheetFormatPr defaultRowHeight="15"/>
  <cols>
    <col min="1" max="1" width="16" style="241" customWidth="1"/>
    <col min="2" max="21" width="9.140625" style="241"/>
    <col min="22" max="22" width="8.85546875" style="241" customWidth="1"/>
    <col min="23" max="23" width="9.140625" style="241"/>
    <col min="24" max="24" width="12.7109375" style="241" bestFit="1" customWidth="1"/>
    <col min="25" max="26" width="9.140625" style="241"/>
    <col min="27" max="27" width="12.28515625" style="241" bestFit="1" customWidth="1"/>
    <col min="28" max="28" width="9.140625" style="241"/>
    <col min="29" max="29" width="14.5703125" style="241" customWidth="1"/>
    <col min="30" max="16384" width="9.140625" style="241"/>
  </cols>
  <sheetData>
    <row r="1" spans="1:29" ht="45">
      <c r="A1" s="238" t="s">
        <v>415</v>
      </c>
      <c r="B1" s="239">
        <v>176</v>
      </c>
      <c r="C1" s="239">
        <v>179</v>
      </c>
      <c r="D1" s="239">
        <v>180</v>
      </c>
      <c r="E1" s="239">
        <v>182</v>
      </c>
      <c r="F1" s="239">
        <v>187</v>
      </c>
      <c r="G1" s="239">
        <v>188</v>
      </c>
      <c r="H1" s="239">
        <v>204</v>
      </c>
      <c r="I1" s="239">
        <v>205</v>
      </c>
      <c r="J1" s="239">
        <v>218</v>
      </c>
      <c r="K1" s="239">
        <v>223</v>
      </c>
      <c r="L1" s="239">
        <v>232</v>
      </c>
      <c r="M1" s="239">
        <v>264</v>
      </c>
      <c r="N1" s="239">
        <v>265</v>
      </c>
      <c r="O1" s="239">
        <v>266</v>
      </c>
      <c r="P1" s="239">
        <v>267</v>
      </c>
      <c r="Q1" s="239">
        <v>270</v>
      </c>
      <c r="R1" s="239">
        <v>271</v>
      </c>
      <c r="S1" s="239">
        <v>272</v>
      </c>
      <c r="T1" s="240" t="s">
        <v>413</v>
      </c>
      <c r="U1" s="239" t="s">
        <v>407</v>
      </c>
      <c r="V1" s="240" t="s">
        <v>408</v>
      </c>
      <c r="W1" s="239" t="s">
        <v>409</v>
      </c>
      <c r="X1" s="239" t="s">
        <v>397</v>
      </c>
      <c r="AA1" s="242" t="s">
        <v>410</v>
      </c>
      <c r="AC1" s="242" t="s">
        <v>411</v>
      </c>
    </row>
    <row r="2" spans="1:29" s="198" customForma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24.2</v>
      </c>
      <c r="I2" s="204">
        <v>19.399999999999999</v>
      </c>
      <c r="J2" s="204">
        <v>24.2</v>
      </c>
      <c r="K2" s="204">
        <v>26.19</v>
      </c>
      <c r="L2" s="204">
        <v>34.9</v>
      </c>
      <c r="M2" s="204">
        <v>28.2</v>
      </c>
      <c r="N2" s="204">
        <v>50.8</v>
      </c>
      <c r="O2" s="204">
        <v>20.7</v>
      </c>
      <c r="P2" s="204">
        <v>80</v>
      </c>
      <c r="Q2" s="204">
        <v>75</v>
      </c>
      <c r="R2" s="204">
        <v>24.25</v>
      </c>
      <c r="S2" s="204">
        <v>10.7</v>
      </c>
      <c r="T2" s="197"/>
      <c r="U2" s="197"/>
      <c r="V2" s="197"/>
      <c r="W2" s="197"/>
      <c r="X2" s="197"/>
    </row>
    <row r="3" spans="1:29" ht="15.75">
      <c r="A3" s="244" t="s">
        <v>301</v>
      </c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243"/>
      <c r="Q3" s="243"/>
      <c r="R3" s="243"/>
      <c r="S3" s="243"/>
      <c r="T3" s="243">
        <f>SUM(B3:S3)</f>
        <v>0</v>
      </c>
      <c r="U3" s="243"/>
      <c r="V3" s="244"/>
      <c r="W3" s="244"/>
      <c r="X3" s="246">
        <f>SUM(T3:W3)</f>
        <v>0</v>
      </c>
      <c r="AA3" s="247">
        <v>0</v>
      </c>
      <c r="AC3" s="241">
        <v>0</v>
      </c>
    </row>
    <row r="4" spans="1:29" ht="15.75">
      <c r="A4" s="244" t="s">
        <v>302</v>
      </c>
      <c r="B4" s="243"/>
      <c r="C4" s="243"/>
      <c r="D4" s="243"/>
      <c r="E4" s="243"/>
      <c r="F4" s="243"/>
      <c r="G4" s="243"/>
      <c r="H4" s="243"/>
      <c r="I4" s="243"/>
      <c r="J4" s="243"/>
      <c r="K4" s="243"/>
      <c r="L4" s="243"/>
      <c r="M4" s="243"/>
      <c r="N4" s="243"/>
      <c r="O4" s="243"/>
      <c r="P4" s="243"/>
      <c r="Q4" s="243"/>
      <c r="R4" s="243"/>
      <c r="S4" s="243"/>
      <c r="T4" s="243">
        <f>SUM(B4:S4)</f>
        <v>0</v>
      </c>
      <c r="U4" s="243"/>
      <c r="V4" s="244"/>
      <c r="W4" s="244"/>
      <c r="X4" s="246">
        <f t="shared" ref="X4:X67" si="0">SUM(T4:W4)</f>
        <v>0</v>
      </c>
      <c r="AA4" s="247">
        <v>0</v>
      </c>
      <c r="AC4" s="241">
        <v>0</v>
      </c>
    </row>
    <row r="5" spans="1:29" ht="15.75">
      <c r="A5" s="244" t="s">
        <v>303</v>
      </c>
      <c r="B5" s="243"/>
      <c r="C5" s="243"/>
      <c r="D5" s="243"/>
      <c r="E5" s="243"/>
      <c r="F5" s="243"/>
      <c r="G5" s="243"/>
      <c r="H5" s="243"/>
      <c r="I5" s="243"/>
      <c r="J5" s="243"/>
      <c r="K5" s="243"/>
      <c r="L5" s="243"/>
      <c r="M5" s="243"/>
      <c r="N5" s="243"/>
      <c r="O5" s="243"/>
      <c r="P5" s="243"/>
      <c r="Q5" s="243"/>
      <c r="R5" s="243"/>
      <c r="S5" s="243"/>
      <c r="T5" s="243">
        <f>SUM(B5:S5)</f>
        <v>0</v>
      </c>
      <c r="U5" s="243"/>
      <c r="V5" s="244"/>
      <c r="W5" s="244"/>
      <c r="X5" s="246">
        <f t="shared" si="0"/>
        <v>0</v>
      </c>
      <c r="AA5" s="247">
        <v>0</v>
      </c>
      <c r="AC5" s="241">
        <v>0</v>
      </c>
    </row>
    <row r="6" spans="1:29" ht="15.75">
      <c r="A6" s="244" t="s">
        <v>304</v>
      </c>
      <c r="B6" s="243"/>
      <c r="C6" s="243"/>
      <c r="D6" s="243"/>
      <c r="E6" s="243"/>
      <c r="F6" s="243"/>
      <c r="G6" s="243"/>
      <c r="H6" s="243"/>
      <c r="I6" s="243"/>
      <c r="J6" s="243"/>
      <c r="K6" s="243"/>
      <c r="L6" s="243"/>
      <c r="M6" s="243"/>
      <c r="N6" s="243"/>
      <c r="O6" s="243"/>
      <c r="P6" s="243"/>
      <c r="Q6" s="243"/>
      <c r="R6" s="243"/>
      <c r="S6" s="243"/>
      <c r="T6" s="243">
        <f>SUM(B6:S6)</f>
        <v>0</v>
      </c>
      <c r="U6" s="243"/>
      <c r="V6" s="244"/>
      <c r="W6" s="244"/>
      <c r="X6" s="246">
        <f t="shared" si="0"/>
        <v>0</v>
      </c>
      <c r="AA6" s="247">
        <v>0</v>
      </c>
      <c r="AC6" s="241">
        <v>0</v>
      </c>
    </row>
    <row r="7" spans="1:29" ht="15.75">
      <c r="A7" s="244" t="s">
        <v>305</v>
      </c>
      <c r="B7" s="243"/>
      <c r="C7" s="243"/>
      <c r="D7" s="243"/>
      <c r="E7" s="243"/>
      <c r="F7" s="243"/>
      <c r="G7" s="243"/>
      <c r="H7" s="243"/>
      <c r="I7" s="243"/>
      <c r="J7" s="243"/>
      <c r="K7" s="243"/>
      <c r="L7" s="243"/>
      <c r="M7" s="243"/>
      <c r="N7" s="243"/>
      <c r="O7" s="243"/>
      <c r="P7" s="243"/>
      <c r="Q7" s="243"/>
      <c r="R7" s="243"/>
      <c r="S7" s="243"/>
      <c r="T7" s="243">
        <f>SUM(B7:S7)</f>
        <v>0</v>
      </c>
      <c r="U7" s="243"/>
      <c r="V7" s="244"/>
      <c r="W7" s="244"/>
      <c r="X7" s="246">
        <f t="shared" si="0"/>
        <v>0</v>
      </c>
      <c r="AA7" s="247">
        <v>0</v>
      </c>
      <c r="AC7" s="241">
        <v>0</v>
      </c>
    </row>
    <row r="8" spans="1:29" ht="15.75">
      <c r="A8" s="244" t="s">
        <v>306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  <c r="O8" s="243"/>
      <c r="P8" s="243"/>
      <c r="Q8" s="243"/>
      <c r="R8" s="243"/>
      <c r="S8" s="243"/>
      <c r="T8" s="243">
        <f>SUM(B8:S8)</f>
        <v>0</v>
      </c>
      <c r="U8" s="243"/>
      <c r="V8" s="244"/>
      <c r="W8" s="244"/>
      <c r="X8" s="246">
        <f t="shared" si="0"/>
        <v>0</v>
      </c>
      <c r="AA8" s="247">
        <v>0</v>
      </c>
      <c r="AC8" s="241">
        <v>0</v>
      </c>
    </row>
    <row r="9" spans="1:29" ht="15.75">
      <c r="A9" s="244" t="s">
        <v>307</v>
      </c>
      <c r="B9" s="243"/>
      <c r="C9" s="243"/>
      <c r="D9" s="243"/>
      <c r="E9" s="243"/>
      <c r="F9" s="243"/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3"/>
      <c r="R9" s="243"/>
      <c r="S9" s="243"/>
      <c r="T9" s="243">
        <f>SUM(B9:S9)</f>
        <v>0</v>
      </c>
      <c r="U9" s="243"/>
      <c r="V9" s="244"/>
      <c r="W9" s="244"/>
      <c r="X9" s="246">
        <f t="shared" si="0"/>
        <v>0</v>
      </c>
      <c r="AA9" s="247">
        <v>0</v>
      </c>
      <c r="AC9" s="241">
        <v>0</v>
      </c>
    </row>
    <row r="10" spans="1:29" ht="15.75">
      <c r="A10" s="244" t="s">
        <v>308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  <c r="O10" s="243"/>
      <c r="P10" s="243"/>
      <c r="Q10" s="243"/>
      <c r="R10" s="243"/>
      <c r="S10" s="243"/>
      <c r="T10" s="243">
        <f>SUM(B10:S10)</f>
        <v>0</v>
      </c>
      <c r="U10" s="243"/>
      <c r="V10" s="244"/>
      <c r="W10" s="244"/>
      <c r="X10" s="246">
        <f t="shared" si="0"/>
        <v>0</v>
      </c>
      <c r="AA10" s="247">
        <v>0</v>
      </c>
      <c r="AC10" s="241">
        <v>0</v>
      </c>
    </row>
    <row r="11" spans="1:29" ht="15.75">
      <c r="A11" s="244" t="s">
        <v>309</v>
      </c>
      <c r="B11" s="243"/>
      <c r="C11" s="243"/>
      <c r="D11" s="243"/>
      <c r="E11" s="243"/>
      <c r="F11" s="243"/>
      <c r="G11" s="243"/>
      <c r="H11" s="243"/>
      <c r="I11" s="243"/>
      <c r="J11" s="243"/>
      <c r="K11" s="243"/>
      <c r="L11" s="243"/>
      <c r="M11" s="243"/>
      <c r="N11" s="243"/>
      <c r="O11" s="243"/>
      <c r="P11" s="243"/>
      <c r="Q11" s="243"/>
      <c r="R11" s="243"/>
      <c r="S11" s="243"/>
      <c r="T11" s="243">
        <f>SUM(B11:S11)</f>
        <v>0</v>
      </c>
      <c r="U11" s="243"/>
      <c r="V11" s="244"/>
      <c r="W11" s="244"/>
      <c r="X11" s="246">
        <f t="shared" si="0"/>
        <v>0</v>
      </c>
      <c r="AA11" s="247">
        <v>0</v>
      </c>
      <c r="AC11" s="241">
        <v>0</v>
      </c>
    </row>
    <row r="12" spans="1:29" ht="15.75">
      <c r="A12" s="244" t="s">
        <v>310</v>
      </c>
      <c r="B12" s="243"/>
      <c r="C12" s="243"/>
      <c r="D12" s="243"/>
      <c r="E12" s="243"/>
      <c r="F12" s="243"/>
      <c r="G12" s="243"/>
      <c r="H12" s="243"/>
      <c r="I12" s="243"/>
      <c r="J12" s="243"/>
      <c r="K12" s="243"/>
      <c r="L12" s="243"/>
      <c r="M12" s="243"/>
      <c r="N12" s="243"/>
      <c r="O12" s="243"/>
      <c r="P12" s="243"/>
      <c r="Q12" s="243"/>
      <c r="R12" s="243"/>
      <c r="S12" s="243"/>
      <c r="T12" s="243">
        <f>SUM(B12:S12)</f>
        <v>0</v>
      </c>
      <c r="U12" s="243"/>
      <c r="V12" s="244"/>
      <c r="W12" s="244"/>
      <c r="X12" s="246">
        <f t="shared" si="0"/>
        <v>0</v>
      </c>
      <c r="AA12" s="247">
        <v>0</v>
      </c>
      <c r="AC12" s="241">
        <v>0</v>
      </c>
    </row>
    <row r="13" spans="1:29" ht="15.75">
      <c r="A13" s="244" t="s">
        <v>311</v>
      </c>
      <c r="B13" s="243"/>
      <c r="C13" s="243"/>
      <c r="D13" s="243"/>
      <c r="E13" s="243"/>
      <c r="F13" s="243"/>
      <c r="G13" s="243"/>
      <c r="H13" s="243"/>
      <c r="I13" s="243"/>
      <c r="J13" s="243"/>
      <c r="K13" s="243"/>
      <c r="L13" s="243"/>
      <c r="M13" s="243"/>
      <c r="N13" s="243"/>
      <c r="O13" s="243"/>
      <c r="P13" s="243"/>
      <c r="Q13" s="243"/>
      <c r="R13" s="243"/>
      <c r="S13" s="243"/>
      <c r="T13" s="243">
        <f>SUM(B13:S13)</f>
        <v>0</v>
      </c>
      <c r="U13" s="243"/>
      <c r="V13" s="244"/>
      <c r="W13" s="244"/>
      <c r="X13" s="246">
        <f t="shared" si="0"/>
        <v>0</v>
      </c>
      <c r="AA13" s="247">
        <v>0</v>
      </c>
      <c r="AC13" s="241">
        <v>0</v>
      </c>
    </row>
    <row r="14" spans="1:29" ht="15.75">
      <c r="A14" s="244" t="s">
        <v>312</v>
      </c>
      <c r="B14" s="243"/>
      <c r="C14" s="243"/>
      <c r="D14" s="243"/>
      <c r="E14" s="243"/>
      <c r="F14" s="243"/>
      <c r="G14" s="243"/>
      <c r="H14" s="243"/>
      <c r="I14" s="243"/>
      <c r="J14" s="243"/>
      <c r="K14" s="243"/>
      <c r="L14" s="243"/>
      <c r="M14" s="243"/>
      <c r="N14" s="243"/>
      <c r="O14" s="243"/>
      <c r="P14" s="243"/>
      <c r="Q14" s="243"/>
      <c r="R14" s="243"/>
      <c r="S14" s="243"/>
      <c r="T14" s="243">
        <f>SUM(B14:S14)</f>
        <v>0</v>
      </c>
      <c r="U14" s="243"/>
      <c r="V14" s="244"/>
      <c r="W14" s="244"/>
      <c r="X14" s="246">
        <f t="shared" si="0"/>
        <v>0</v>
      </c>
      <c r="AA14" s="247">
        <v>0</v>
      </c>
      <c r="AC14" s="241">
        <v>0</v>
      </c>
    </row>
    <row r="15" spans="1:29" ht="15.75">
      <c r="A15" s="244" t="s">
        <v>313</v>
      </c>
      <c r="B15" s="243"/>
      <c r="C15" s="243"/>
      <c r="D15" s="243"/>
      <c r="E15" s="243"/>
      <c r="F15" s="243"/>
      <c r="G15" s="243"/>
      <c r="H15" s="243"/>
      <c r="I15" s="243"/>
      <c r="J15" s="243"/>
      <c r="K15" s="243"/>
      <c r="L15" s="243"/>
      <c r="M15" s="243"/>
      <c r="N15" s="243"/>
      <c r="O15" s="243"/>
      <c r="P15" s="243"/>
      <c r="Q15" s="243"/>
      <c r="R15" s="243"/>
      <c r="S15" s="243"/>
      <c r="T15" s="243">
        <f>SUM(B15:S15)</f>
        <v>0</v>
      </c>
      <c r="U15" s="243"/>
      <c r="V15" s="244"/>
      <c r="W15" s="244">
        <v>0</v>
      </c>
      <c r="X15" s="246">
        <f t="shared" si="0"/>
        <v>0</v>
      </c>
      <c r="AA15" s="247">
        <v>0</v>
      </c>
      <c r="AC15" s="241">
        <v>0</v>
      </c>
    </row>
    <row r="16" spans="1:29" ht="15.75">
      <c r="A16" s="244" t="s">
        <v>314</v>
      </c>
      <c r="B16" s="243"/>
      <c r="C16" s="243"/>
      <c r="D16" s="243"/>
      <c r="E16" s="243"/>
      <c r="F16" s="243"/>
      <c r="G16" s="243"/>
      <c r="H16" s="243"/>
      <c r="I16" s="243"/>
      <c r="J16" s="243"/>
      <c r="K16" s="243"/>
      <c r="L16" s="243"/>
      <c r="M16" s="243"/>
      <c r="N16" s="243"/>
      <c r="O16" s="243"/>
      <c r="P16" s="243"/>
      <c r="Q16" s="243"/>
      <c r="R16" s="243"/>
      <c r="S16" s="243"/>
      <c r="T16" s="243">
        <f>SUM(B16:S16)</f>
        <v>0</v>
      </c>
      <c r="U16" s="243"/>
      <c r="V16" s="244"/>
      <c r="W16" s="244">
        <v>0</v>
      </c>
      <c r="X16" s="246">
        <f t="shared" si="0"/>
        <v>0</v>
      </c>
      <c r="AA16" s="247">
        <v>0</v>
      </c>
      <c r="AC16" s="241">
        <v>0</v>
      </c>
    </row>
    <row r="17" spans="1:29" ht="15.75">
      <c r="A17" s="244" t="s">
        <v>315</v>
      </c>
      <c r="B17" s="243"/>
      <c r="C17" s="243"/>
      <c r="D17" s="243"/>
      <c r="E17" s="243"/>
      <c r="F17" s="243"/>
      <c r="G17" s="243"/>
      <c r="H17" s="243"/>
      <c r="I17" s="243"/>
      <c r="J17" s="243"/>
      <c r="K17" s="243"/>
      <c r="L17" s="243"/>
      <c r="M17" s="243"/>
      <c r="N17" s="243"/>
      <c r="O17" s="243"/>
      <c r="P17" s="243"/>
      <c r="Q17" s="243"/>
      <c r="R17" s="243"/>
      <c r="S17" s="243"/>
      <c r="T17" s="243">
        <f>SUM(B17:S17)</f>
        <v>0</v>
      </c>
      <c r="U17" s="243"/>
      <c r="V17" s="244"/>
      <c r="W17" s="244">
        <v>0</v>
      </c>
      <c r="X17" s="246">
        <f t="shared" si="0"/>
        <v>0</v>
      </c>
      <c r="AA17" s="247">
        <v>0</v>
      </c>
      <c r="AC17" s="241">
        <v>0</v>
      </c>
    </row>
    <row r="18" spans="1:29" ht="15.75">
      <c r="A18" s="244" t="s">
        <v>316</v>
      </c>
      <c r="B18" s="243"/>
      <c r="C18" s="243"/>
      <c r="D18" s="243"/>
      <c r="E18" s="243"/>
      <c r="F18" s="243"/>
      <c r="G18" s="243"/>
      <c r="H18" s="243"/>
      <c r="I18" s="243"/>
      <c r="J18" s="243"/>
      <c r="K18" s="243"/>
      <c r="L18" s="243"/>
      <c r="M18" s="243"/>
      <c r="N18" s="243"/>
      <c r="O18" s="243"/>
      <c r="P18" s="243"/>
      <c r="Q18" s="243"/>
      <c r="R18" s="243"/>
      <c r="S18" s="243"/>
      <c r="T18" s="243">
        <f>SUM(B18:S18)</f>
        <v>0</v>
      </c>
      <c r="U18" s="243"/>
      <c r="V18" s="244"/>
      <c r="W18" s="244">
        <v>0</v>
      </c>
      <c r="X18" s="246">
        <f t="shared" si="0"/>
        <v>0</v>
      </c>
      <c r="AA18" s="247">
        <v>0</v>
      </c>
      <c r="AC18" s="241">
        <v>0</v>
      </c>
    </row>
    <row r="19" spans="1:29" ht="15.75">
      <c r="A19" s="244" t="s">
        <v>317</v>
      </c>
      <c r="B19" s="243"/>
      <c r="C19" s="243"/>
      <c r="D19" s="243"/>
      <c r="E19" s="243"/>
      <c r="F19" s="243"/>
      <c r="G19" s="243"/>
      <c r="H19" s="243"/>
      <c r="I19" s="243"/>
      <c r="J19" s="243"/>
      <c r="K19" s="243"/>
      <c r="L19" s="243"/>
      <c r="M19" s="243"/>
      <c r="N19" s="243"/>
      <c r="O19" s="243"/>
      <c r="P19" s="243"/>
      <c r="Q19" s="243"/>
      <c r="R19" s="243"/>
      <c r="S19" s="243"/>
      <c r="T19" s="243">
        <f>SUM(B19:S19)</f>
        <v>0</v>
      </c>
      <c r="U19" s="243"/>
      <c r="V19" s="244"/>
      <c r="W19" s="244">
        <v>0</v>
      </c>
      <c r="X19" s="246">
        <f t="shared" si="0"/>
        <v>0</v>
      </c>
      <c r="AA19" s="247"/>
    </row>
    <row r="20" spans="1:29" ht="15.75">
      <c r="A20" s="244" t="s">
        <v>318</v>
      </c>
      <c r="B20" s="243"/>
      <c r="C20" s="243"/>
      <c r="D20" s="243"/>
      <c r="E20" s="243"/>
      <c r="F20" s="243"/>
      <c r="G20" s="243"/>
      <c r="H20" s="243"/>
      <c r="I20" s="243"/>
      <c r="J20" s="243"/>
      <c r="K20" s="243"/>
      <c r="L20" s="243"/>
      <c r="M20" s="243"/>
      <c r="N20" s="243"/>
      <c r="O20" s="243"/>
      <c r="P20" s="243"/>
      <c r="Q20" s="243"/>
      <c r="R20" s="243"/>
      <c r="S20" s="243"/>
      <c r="T20" s="243">
        <f>SUM(B20:S20)</f>
        <v>0</v>
      </c>
      <c r="U20" s="243"/>
      <c r="V20" s="244"/>
      <c r="W20" s="244">
        <v>0</v>
      </c>
      <c r="X20" s="246">
        <f t="shared" si="0"/>
        <v>0</v>
      </c>
      <c r="AA20" s="247"/>
    </row>
    <row r="21" spans="1:29" ht="15.75">
      <c r="A21" s="244" t="s">
        <v>319</v>
      </c>
      <c r="B21" s="243"/>
      <c r="C21" s="243"/>
      <c r="D21" s="243"/>
      <c r="E21" s="243"/>
      <c r="F21" s="243"/>
      <c r="G21" s="243"/>
      <c r="H21" s="243"/>
      <c r="I21" s="243"/>
      <c r="J21" s="243"/>
      <c r="K21" s="243"/>
      <c r="L21" s="243"/>
      <c r="M21" s="243"/>
      <c r="N21" s="243"/>
      <c r="O21" s="243"/>
      <c r="P21" s="243"/>
      <c r="Q21" s="243"/>
      <c r="R21" s="243"/>
      <c r="S21" s="243"/>
      <c r="T21" s="243">
        <f>SUM(B21:S21)</f>
        <v>0</v>
      </c>
      <c r="U21" s="243"/>
      <c r="V21" s="244"/>
      <c r="W21" s="244">
        <v>0</v>
      </c>
      <c r="X21" s="246">
        <f t="shared" si="0"/>
        <v>0</v>
      </c>
      <c r="AA21" s="247"/>
    </row>
    <row r="22" spans="1:29" ht="15.75">
      <c r="A22" s="244" t="s">
        <v>320</v>
      </c>
      <c r="B22" s="243"/>
      <c r="C22" s="243"/>
      <c r="D22" s="243"/>
      <c r="E22" s="243"/>
      <c r="F22" s="243"/>
      <c r="G22" s="243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>
        <f>SUM(B22:S22)</f>
        <v>0</v>
      </c>
      <c r="U22" s="243"/>
      <c r="V22" s="244"/>
      <c r="W22" s="244">
        <v>0</v>
      </c>
      <c r="X22" s="246">
        <f t="shared" si="0"/>
        <v>0</v>
      </c>
      <c r="AA22" s="247"/>
    </row>
    <row r="23" spans="1:29" ht="15.75">
      <c r="A23" s="244" t="s">
        <v>321</v>
      </c>
      <c r="B23" s="243"/>
      <c r="C23" s="243"/>
      <c r="D23" s="243"/>
      <c r="E23" s="243"/>
      <c r="F23" s="243"/>
      <c r="G23" s="243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>
        <f>SUM(B23:S23)</f>
        <v>0</v>
      </c>
      <c r="U23" s="243"/>
      <c r="V23" s="244"/>
      <c r="W23" s="244">
        <v>0</v>
      </c>
      <c r="X23" s="246">
        <f>SUM(T23:W23)</f>
        <v>0</v>
      </c>
      <c r="AA23" s="247"/>
    </row>
    <row r="24" spans="1:29" ht="15.75">
      <c r="A24" s="244" t="s">
        <v>322</v>
      </c>
      <c r="B24" s="243"/>
      <c r="C24" s="243"/>
      <c r="D24" s="243"/>
      <c r="E24" s="243"/>
      <c r="F24" s="243"/>
      <c r="G24" s="243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>
        <f>SUM(B24:S24)</f>
        <v>0</v>
      </c>
      <c r="U24" s="243"/>
      <c r="V24" s="244"/>
      <c r="W24" s="244">
        <v>0</v>
      </c>
      <c r="X24" s="246">
        <f t="shared" si="0"/>
        <v>0</v>
      </c>
      <c r="AA24" s="247"/>
    </row>
    <row r="25" spans="1:29" ht="15.75">
      <c r="A25" s="244" t="s">
        <v>323</v>
      </c>
      <c r="B25" s="243"/>
      <c r="C25" s="243"/>
      <c r="D25" s="243"/>
      <c r="E25" s="243"/>
      <c r="F25" s="243"/>
      <c r="G25" s="243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>
        <f>SUM(B25:S25)</f>
        <v>0</v>
      </c>
      <c r="U25" s="243"/>
      <c r="V25" s="244"/>
      <c r="W25" s="244">
        <v>0</v>
      </c>
      <c r="X25" s="246">
        <f t="shared" si="0"/>
        <v>0</v>
      </c>
      <c r="AA25" s="247"/>
    </row>
    <row r="26" spans="1:29" ht="15.75">
      <c r="A26" s="244" t="s">
        <v>324</v>
      </c>
      <c r="B26" s="243"/>
      <c r="C26" s="243"/>
      <c r="D26" s="243"/>
      <c r="E26" s="243"/>
      <c r="F26" s="243"/>
      <c r="G26" s="243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>
        <f>SUM(B26:S26)</f>
        <v>0</v>
      </c>
      <c r="U26" s="243"/>
      <c r="V26" s="244"/>
      <c r="W26" s="244">
        <v>0</v>
      </c>
      <c r="X26" s="246">
        <f t="shared" si="0"/>
        <v>0</v>
      </c>
      <c r="AA26" s="247"/>
    </row>
    <row r="27" spans="1:29" ht="15.75">
      <c r="A27" s="244" t="s">
        <v>325</v>
      </c>
      <c r="B27" s="243"/>
      <c r="C27" s="243"/>
      <c r="D27" s="243"/>
      <c r="E27" s="243"/>
      <c r="F27" s="243"/>
      <c r="G27" s="243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>
        <f>SUM(B27:S27)</f>
        <v>0</v>
      </c>
      <c r="U27" s="243"/>
      <c r="V27" s="244"/>
      <c r="W27" s="244">
        <v>0</v>
      </c>
      <c r="X27" s="246">
        <f t="shared" si="0"/>
        <v>0</v>
      </c>
      <c r="AA27" s="247"/>
    </row>
    <row r="28" spans="1:29" ht="15.75">
      <c r="A28" s="244" t="s">
        <v>326</v>
      </c>
      <c r="B28" s="243"/>
      <c r="C28" s="243"/>
      <c r="D28" s="243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>
        <f>SUM(B28:S28)</f>
        <v>0</v>
      </c>
      <c r="U28" s="243"/>
      <c r="V28" s="244"/>
      <c r="W28" s="244">
        <v>0</v>
      </c>
      <c r="X28" s="246">
        <f t="shared" si="0"/>
        <v>0</v>
      </c>
      <c r="AA28" s="247"/>
    </row>
    <row r="29" spans="1:29" ht="15.75">
      <c r="A29" s="244" t="s">
        <v>327</v>
      </c>
      <c r="B29" s="243"/>
      <c r="C29" s="243"/>
      <c r="D29" s="243"/>
      <c r="E29" s="243"/>
      <c r="F29" s="243"/>
      <c r="G29" s="243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>
        <f>SUM(B29:S29)</f>
        <v>0</v>
      </c>
      <c r="U29" s="243"/>
      <c r="V29" s="244"/>
      <c r="W29" s="244">
        <v>0</v>
      </c>
      <c r="X29" s="246">
        <f t="shared" si="0"/>
        <v>0</v>
      </c>
      <c r="AA29" s="247"/>
    </row>
    <row r="30" spans="1:29" ht="15.75">
      <c r="A30" s="244" t="s">
        <v>328</v>
      </c>
      <c r="B30" s="243"/>
      <c r="C30" s="243"/>
      <c r="D30" s="243"/>
      <c r="E30" s="243"/>
      <c r="F30" s="243"/>
      <c r="G30" s="243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>
        <f>SUM(B30:S30)</f>
        <v>0</v>
      </c>
      <c r="U30" s="243"/>
      <c r="V30" s="244"/>
      <c r="W30" s="244">
        <v>0</v>
      </c>
      <c r="X30" s="246">
        <f t="shared" si="0"/>
        <v>0</v>
      </c>
      <c r="AA30" s="247"/>
    </row>
    <row r="31" spans="1:29" ht="15.75">
      <c r="A31" s="244" t="s">
        <v>329</v>
      </c>
      <c r="B31" s="243"/>
      <c r="C31" s="243"/>
      <c r="D31" s="243"/>
      <c r="E31" s="243"/>
      <c r="F31" s="243"/>
      <c r="G31" s="243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>
        <f>SUM(B31:S31)</f>
        <v>0</v>
      </c>
      <c r="U31" s="243"/>
      <c r="V31" s="244"/>
      <c r="W31" s="244">
        <v>0</v>
      </c>
      <c r="X31" s="246">
        <f t="shared" si="0"/>
        <v>0</v>
      </c>
      <c r="AA31" s="247"/>
    </row>
    <row r="32" spans="1:29" ht="15.75">
      <c r="A32" s="244" t="s">
        <v>330</v>
      </c>
      <c r="B32" s="243"/>
      <c r="C32" s="243"/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>
        <f>SUM(B32:S32)</f>
        <v>0</v>
      </c>
      <c r="U32" s="243"/>
      <c r="V32" s="244"/>
      <c r="W32" s="244">
        <v>0</v>
      </c>
      <c r="X32" s="246">
        <f t="shared" si="0"/>
        <v>0</v>
      </c>
      <c r="AA32" s="247"/>
    </row>
    <row r="33" spans="1:27" ht="15.75">
      <c r="A33" s="244" t="s">
        <v>331</v>
      </c>
      <c r="B33" s="243"/>
      <c r="C33" s="243"/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>
        <f>SUM(B33:S33)</f>
        <v>0</v>
      </c>
      <c r="U33" s="243"/>
      <c r="V33" s="244"/>
      <c r="W33" s="244">
        <v>0</v>
      </c>
      <c r="X33" s="246">
        <f t="shared" si="0"/>
        <v>0</v>
      </c>
      <c r="AA33" s="247"/>
    </row>
    <row r="34" spans="1:27" ht="15.75">
      <c r="A34" s="244" t="s">
        <v>332</v>
      </c>
      <c r="B34" s="243"/>
      <c r="C34" s="243"/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>
        <f>SUM(B34:S34)</f>
        <v>0</v>
      </c>
      <c r="U34" s="243"/>
      <c r="V34" s="244"/>
      <c r="W34" s="244">
        <v>0</v>
      </c>
      <c r="X34" s="246">
        <f t="shared" si="0"/>
        <v>0</v>
      </c>
      <c r="AA34" s="247"/>
    </row>
    <row r="35" spans="1:27" ht="15.75">
      <c r="A35" s="244" t="s">
        <v>333</v>
      </c>
      <c r="B35" s="243"/>
      <c r="C35" s="243"/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>
        <f>SUM(B35:S35)</f>
        <v>0</v>
      </c>
      <c r="U35" s="243"/>
      <c r="V35" s="244"/>
      <c r="W35" s="244">
        <v>0</v>
      </c>
      <c r="X35" s="246">
        <f t="shared" si="0"/>
        <v>0</v>
      </c>
      <c r="AA35" s="247"/>
    </row>
    <row r="36" spans="1:27" ht="15.75">
      <c r="A36" s="244" t="s">
        <v>334</v>
      </c>
      <c r="B36" s="243"/>
      <c r="C36" s="243"/>
      <c r="D36" s="243"/>
      <c r="E36" s="243"/>
      <c r="F36" s="243"/>
      <c r="G36" s="243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>
        <f>SUM(B36:S36)</f>
        <v>0</v>
      </c>
      <c r="U36" s="243"/>
      <c r="V36" s="244"/>
      <c r="W36" s="244">
        <v>0</v>
      </c>
      <c r="X36" s="246">
        <f t="shared" si="0"/>
        <v>0</v>
      </c>
      <c r="AA36" s="247"/>
    </row>
    <row r="37" spans="1:27" ht="15.75">
      <c r="A37" s="244" t="s">
        <v>335</v>
      </c>
      <c r="B37" s="243">
        <v>-100</v>
      </c>
      <c r="C37" s="243">
        <v>-65</v>
      </c>
      <c r="D37" s="243">
        <v>-55</v>
      </c>
      <c r="E37" s="243">
        <v>-50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>
        <f>SUM(B37:S37)</f>
        <v>-270</v>
      </c>
      <c r="U37" s="243"/>
      <c r="V37" s="244">
        <v>70.16</v>
      </c>
      <c r="W37" s="244">
        <v>0</v>
      </c>
      <c r="X37" s="246">
        <f t="shared" si="0"/>
        <v>-199.84</v>
      </c>
      <c r="AA37" s="247"/>
    </row>
    <row r="38" spans="1:27" ht="15.75">
      <c r="A38" s="244" t="s">
        <v>336</v>
      </c>
      <c r="B38" s="243">
        <v>-100</v>
      </c>
      <c r="C38" s="243">
        <v>-65</v>
      </c>
      <c r="D38" s="243">
        <v>-67</v>
      </c>
      <c r="E38" s="243">
        <v>-50</v>
      </c>
      <c r="F38" s="243"/>
      <c r="G38" s="243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>
        <f>SUM(B38:S38)</f>
        <v>-282</v>
      </c>
      <c r="U38" s="243"/>
      <c r="V38" s="244">
        <v>70.16</v>
      </c>
      <c r="W38" s="244">
        <v>0</v>
      </c>
      <c r="X38" s="246">
        <f t="shared" si="0"/>
        <v>-211.84</v>
      </c>
      <c r="AA38" s="247"/>
    </row>
    <row r="39" spans="1:27" ht="15.75">
      <c r="A39" s="244" t="s">
        <v>337</v>
      </c>
      <c r="B39" s="243">
        <v>-100</v>
      </c>
      <c r="C39" s="243">
        <v>-65</v>
      </c>
      <c r="D39" s="243">
        <v>-67</v>
      </c>
      <c r="E39" s="243">
        <v>-50</v>
      </c>
      <c r="F39" s="243"/>
      <c r="G39" s="243"/>
      <c r="H39" s="243"/>
      <c r="I39" s="243"/>
      <c r="J39" s="243"/>
      <c r="K39" s="243"/>
      <c r="L39" s="243"/>
      <c r="M39" s="243"/>
      <c r="N39" s="243"/>
      <c r="O39" s="243"/>
      <c r="P39" s="243">
        <v>-1</v>
      </c>
      <c r="Q39" s="243"/>
      <c r="R39" s="243"/>
      <c r="S39" s="243"/>
      <c r="T39" s="243">
        <f>SUM(B39:S39)</f>
        <v>-283</v>
      </c>
      <c r="U39" s="243"/>
      <c r="V39" s="244">
        <v>70.16</v>
      </c>
      <c r="W39" s="244">
        <v>0</v>
      </c>
      <c r="X39" s="246">
        <f t="shared" si="0"/>
        <v>-212.84</v>
      </c>
      <c r="AA39" s="247"/>
    </row>
    <row r="40" spans="1:27" ht="15.75">
      <c r="A40" s="244" t="s">
        <v>338</v>
      </c>
      <c r="B40" s="243">
        <v>-100</v>
      </c>
      <c r="C40" s="243">
        <v>-65</v>
      </c>
      <c r="D40" s="243">
        <v>-67</v>
      </c>
      <c r="E40" s="243">
        <v>-50</v>
      </c>
      <c r="F40" s="243"/>
      <c r="G40" s="243"/>
      <c r="H40" s="243"/>
      <c r="I40" s="243"/>
      <c r="J40" s="243"/>
      <c r="K40" s="243"/>
      <c r="L40" s="243"/>
      <c r="M40" s="243"/>
      <c r="N40" s="243"/>
      <c r="O40" s="243"/>
      <c r="P40" s="243">
        <v>-1</v>
      </c>
      <c r="Q40" s="243"/>
      <c r="R40" s="243"/>
      <c r="S40" s="243"/>
      <c r="T40" s="243">
        <f>SUM(B40:S40)</f>
        <v>-283</v>
      </c>
      <c r="U40" s="243"/>
      <c r="V40" s="244">
        <v>70.16</v>
      </c>
      <c r="W40" s="244">
        <v>0</v>
      </c>
      <c r="X40" s="246">
        <f t="shared" si="0"/>
        <v>-212.84</v>
      </c>
      <c r="AA40" s="247"/>
    </row>
    <row r="41" spans="1:27" ht="15.75">
      <c r="A41" s="244" t="s">
        <v>339</v>
      </c>
      <c r="B41" s="243">
        <v>-120</v>
      </c>
      <c r="C41" s="243">
        <v>-65</v>
      </c>
      <c r="D41" s="243">
        <v>-67</v>
      </c>
      <c r="E41" s="243">
        <v>-50</v>
      </c>
      <c r="F41" s="243"/>
      <c r="G41" s="243"/>
      <c r="H41" s="243"/>
      <c r="I41" s="243"/>
      <c r="J41" s="243"/>
      <c r="K41" s="243"/>
      <c r="L41" s="243"/>
      <c r="M41" s="243"/>
      <c r="N41" s="243"/>
      <c r="O41" s="243"/>
      <c r="P41" s="243">
        <v>-1</v>
      </c>
      <c r="Q41" s="243"/>
      <c r="R41" s="243"/>
      <c r="S41" s="243"/>
      <c r="T41" s="243">
        <f>SUM(B41:S41)</f>
        <v>-303</v>
      </c>
      <c r="U41" s="243"/>
      <c r="V41" s="244">
        <v>70.16</v>
      </c>
      <c r="W41" s="244">
        <v>0</v>
      </c>
      <c r="X41" s="246">
        <f t="shared" si="0"/>
        <v>-232.84</v>
      </c>
      <c r="AA41" s="247"/>
    </row>
    <row r="42" spans="1:27" ht="15.75">
      <c r="A42" s="244" t="s">
        <v>340</v>
      </c>
      <c r="B42" s="243">
        <v>-120</v>
      </c>
      <c r="C42" s="243">
        <v>-65</v>
      </c>
      <c r="D42" s="243">
        <v>-67</v>
      </c>
      <c r="E42" s="243">
        <v>-50</v>
      </c>
      <c r="F42" s="243"/>
      <c r="G42" s="243"/>
      <c r="H42" s="243"/>
      <c r="I42" s="243"/>
      <c r="J42" s="243"/>
      <c r="K42" s="243"/>
      <c r="L42" s="243"/>
      <c r="M42" s="243"/>
      <c r="N42" s="243"/>
      <c r="O42" s="243"/>
      <c r="P42" s="243">
        <v>-1</v>
      </c>
      <c r="Q42" s="243"/>
      <c r="R42" s="243"/>
      <c r="S42" s="243"/>
      <c r="T42" s="243">
        <f>SUM(B42:S42)</f>
        <v>-303</v>
      </c>
      <c r="U42" s="243"/>
      <c r="V42" s="244">
        <v>70.16</v>
      </c>
      <c r="W42" s="244">
        <v>0</v>
      </c>
      <c r="X42" s="246">
        <f t="shared" si="0"/>
        <v>-232.84</v>
      </c>
      <c r="AA42" s="247"/>
    </row>
    <row r="43" spans="1:27" ht="15.75">
      <c r="A43" s="244" t="s">
        <v>341</v>
      </c>
      <c r="B43" s="243">
        <v>-140</v>
      </c>
      <c r="C43" s="243">
        <v>-65</v>
      </c>
      <c r="D43" s="243">
        <v>-67</v>
      </c>
      <c r="E43" s="243">
        <v>-50</v>
      </c>
      <c r="F43" s="243"/>
      <c r="G43" s="243"/>
      <c r="H43" s="243"/>
      <c r="I43" s="243"/>
      <c r="J43" s="243"/>
      <c r="K43" s="243"/>
      <c r="L43" s="243"/>
      <c r="M43" s="243"/>
      <c r="N43" s="243"/>
      <c r="O43" s="243"/>
      <c r="P43" s="243">
        <v>-1</v>
      </c>
      <c r="Q43" s="243"/>
      <c r="R43" s="243"/>
      <c r="S43" s="243"/>
      <c r="T43" s="243">
        <f>SUM(B43:S43)</f>
        <v>-323</v>
      </c>
      <c r="U43" s="243"/>
      <c r="V43" s="244">
        <v>70.16</v>
      </c>
      <c r="W43" s="244">
        <v>0</v>
      </c>
      <c r="X43" s="246">
        <f t="shared" si="0"/>
        <v>-252.84</v>
      </c>
      <c r="AA43" s="247"/>
    </row>
    <row r="44" spans="1:27" ht="15.75">
      <c r="A44" s="244" t="s">
        <v>342</v>
      </c>
      <c r="B44" s="243">
        <v>-140</v>
      </c>
      <c r="C44" s="243">
        <v>-65</v>
      </c>
      <c r="D44" s="243">
        <v>-67</v>
      </c>
      <c r="E44" s="243">
        <v>-50</v>
      </c>
      <c r="F44" s="243"/>
      <c r="G44" s="243"/>
      <c r="H44" s="243"/>
      <c r="I44" s="243"/>
      <c r="J44" s="243"/>
      <c r="K44" s="243"/>
      <c r="L44" s="243"/>
      <c r="M44" s="243"/>
      <c r="N44" s="243"/>
      <c r="O44" s="243"/>
      <c r="P44" s="243">
        <v>-1</v>
      </c>
      <c r="Q44" s="243"/>
      <c r="R44" s="243"/>
      <c r="S44" s="243"/>
      <c r="T44" s="243">
        <f>SUM(B44:S44)</f>
        <v>-323</v>
      </c>
      <c r="U44" s="243"/>
      <c r="V44" s="244">
        <v>70.16</v>
      </c>
      <c r="W44" s="244">
        <v>0</v>
      </c>
      <c r="X44" s="246">
        <f t="shared" si="0"/>
        <v>-252.84</v>
      </c>
      <c r="AA44" s="247"/>
    </row>
    <row r="45" spans="1:27" ht="15.75">
      <c r="A45" s="244" t="s">
        <v>343</v>
      </c>
      <c r="B45" s="243">
        <v>-140</v>
      </c>
      <c r="C45" s="243">
        <v>-65</v>
      </c>
      <c r="D45" s="243">
        <v>-67</v>
      </c>
      <c r="E45" s="243">
        <v>-50</v>
      </c>
      <c r="F45" s="243"/>
      <c r="G45" s="243"/>
      <c r="H45" s="243"/>
      <c r="I45" s="243"/>
      <c r="J45" s="243"/>
      <c r="K45" s="243"/>
      <c r="L45" s="243"/>
      <c r="M45" s="243"/>
      <c r="N45" s="243"/>
      <c r="O45" s="243"/>
      <c r="P45" s="243">
        <v>-1</v>
      </c>
      <c r="Q45" s="243"/>
      <c r="R45" s="243"/>
      <c r="S45" s="243"/>
      <c r="T45" s="243">
        <f>SUM(B45:S45)</f>
        <v>-323</v>
      </c>
      <c r="U45" s="243"/>
      <c r="V45" s="244">
        <v>70.16</v>
      </c>
      <c r="W45" s="244">
        <v>0</v>
      </c>
      <c r="X45" s="246">
        <f t="shared" si="0"/>
        <v>-252.84</v>
      </c>
      <c r="AA45" s="247"/>
    </row>
    <row r="46" spans="1:27" ht="15.75">
      <c r="A46" s="244" t="s">
        <v>344</v>
      </c>
      <c r="B46" s="243">
        <v>-140</v>
      </c>
      <c r="C46" s="243">
        <v>-65</v>
      </c>
      <c r="D46" s="243">
        <v>-67</v>
      </c>
      <c r="E46" s="243">
        <v>-50</v>
      </c>
      <c r="F46" s="243"/>
      <c r="G46" s="243"/>
      <c r="H46" s="243"/>
      <c r="I46" s="243"/>
      <c r="J46" s="243"/>
      <c r="K46" s="243"/>
      <c r="L46" s="243"/>
      <c r="M46" s="243"/>
      <c r="N46" s="243"/>
      <c r="O46" s="243"/>
      <c r="P46" s="243">
        <v>-1</v>
      </c>
      <c r="Q46" s="243"/>
      <c r="R46" s="243"/>
      <c r="S46" s="243"/>
      <c r="T46" s="243">
        <f>SUM(B46:S46)</f>
        <v>-323</v>
      </c>
      <c r="U46" s="243"/>
      <c r="V46" s="244">
        <v>70.16</v>
      </c>
      <c r="W46" s="244">
        <v>0</v>
      </c>
      <c r="X46" s="246">
        <f t="shared" si="0"/>
        <v>-252.84</v>
      </c>
      <c r="AA46" s="247"/>
    </row>
    <row r="47" spans="1:27" ht="15.75">
      <c r="A47" s="244" t="s">
        <v>345</v>
      </c>
      <c r="B47" s="243">
        <v>-140</v>
      </c>
      <c r="C47" s="243">
        <v>-65</v>
      </c>
      <c r="D47" s="243">
        <v>-67</v>
      </c>
      <c r="E47" s="243">
        <v>-50</v>
      </c>
      <c r="F47" s="243"/>
      <c r="G47" s="243"/>
      <c r="H47" s="243"/>
      <c r="I47" s="243"/>
      <c r="J47" s="243"/>
      <c r="K47" s="243"/>
      <c r="L47" s="243"/>
      <c r="M47" s="243"/>
      <c r="N47" s="243"/>
      <c r="O47" s="243"/>
      <c r="P47" s="243">
        <v>-1</v>
      </c>
      <c r="Q47" s="243"/>
      <c r="R47" s="243"/>
      <c r="S47" s="243"/>
      <c r="T47" s="243">
        <f>SUM(B47:S47)</f>
        <v>-323</v>
      </c>
      <c r="U47" s="243"/>
      <c r="V47" s="244">
        <v>70.16</v>
      </c>
      <c r="W47" s="244">
        <v>0</v>
      </c>
      <c r="X47" s="246">
        <f t="shared" si="0"/>
        <v>-252.84</v>
      </c>
      <c r="AA47" s="247"/>
    </row>
    <row r="48" spans="1:27" ht="15.75">
      <c r="A48" s="244" t="s">
        <v>346</v>
      </c>
      <c r="B48" s="243">
        <v>-140</v>
      </c>
      <c r="C48" s="243">
        <v>-65</v>
      </c>
      <c r="D48" s="243">
        <v>-67</v>
      </c>
      <c r="E48" s="243">
        <v>-50</v>
      </c>
      <c r="F48" s="243"/>
      <c r="G48" s="243"/>
      <c r="H48" s="243"/>
      <c r="I48" s="243"/>
      <c r="J48" s="243"/>
      <c r="K48" s="243"/>
      <c r="L48" s="243"/>
      <c r="M48" s="243"/>
      <c r="N48" s="243"/>
      <c r="O48" s="243"/>
      <c r="P48" s="243">
        <v>-1</v>
      </c>
      <c r="Q48" s="243"/>
      <c r="R48" s="243"/>
      <c r="S48" s="243"/>
      <c r="T48" s="243">
        <f>SUM(B48:S48)</f>
        <v>-323</v>
      </c>
      <c r="U48" s="243"/>
      <c r="V48" s="244">
        <v>70.16</v>
      </c>
      <c r="W48" s="244">
        <v>0</v>
      </c>
      <c r="X48" s="246">
        <f t="shared" si="0"/>
        <v>-252.84</v>
      </c>
      <c r="AA48" s="247"/>
    </row>
    <row r="49" spans="1:27" ht="15.75">
      <c r="A49" s="244" t="s">
        <v>347</v>
      </c>
      <c r="B49" s="243">
        <v>-140</v>
      </c>
      <c r="C49" s="243">
        <v>-65</v>
      </c>
      <c r="D49" s="243">
        <v>-67</v>
      </c>
      <c r="E49" s="243">
        <v>-50</v>
      </c>
      <c r="F49" s="243"/>
      <c r="G49" s="243"/>
      <c r="H49" s="243"/>
      <c r="I49" s="243"/>
      <c r="J49" s="243"/>
      <c r="K49" s="243"/>
      <c r="L49" s="243"/>
      <c r="M49" s="243"/>
      <c r="N49" s="243"/>
      <c r="O49" s="243"/>
      <c r="P49" s="243">
        <v>-1</v>
      </c>
      <c r="Q49" s="243"/>
      <c r="R49" s="243"/>
      <c r="S49" s="243"/>
      <c r="T49" s="243">
        <f>SUM(B49:S49)</f>
        <v>-323</v>
      </c>
      <c r="U49" s="243"/>
      <c r="V49" s="244">
        <v>70.16</v>
      </c>
      <c r="W49" s="244">
        <v>0</v>
      </c>
      <c r="X49" s="246">
        <f t="shared" si="0"/>
        <v>-252.84</v>
      </c>
      <c r="AA49" s="247"/>
    </row>
    <row r="50" spans="1:27" s="198" customFormat="1" ht="15.75">
      <c r="A50" s="207" t="s">
        <v>348</v>
      </c>
      <c r="B50" s="197">
        <v>-70</v>
      </c>
      <c r="C50" s="197">
        <v>0</v>
      </c>
      <c r="D50" s="197">
        <v>0</v>
      </c>
      <c r="E50" s="197">
        <v>0</v>
      </c>
      <c r="F50" s="197"/>
      <c r="G50" s="197"/>
      <c r="H50" s="197"/>
      <c r="I50" s="197"/>
      <c r="J50" s="197"/>
      <c r="K50" s="197"/>
      <c r="L50" s="197"/>
      <c r="M50" s="197"/>
      <c r="N50" s="197"/>
      <c r="O50" s="197"/>
      <c r="P50" s="197">
        <v>-1</v>
      </c>
      <c r="Q50" s="197"/>
      <c r="R50" s="197"/>
      <c r="S50" s="197"/>
      <c r="T50" s="197">
        <f>SUM(B50:S50)</f>
        <v>-71</v>
      </c>
      <c r="U50" s="197"/>
      <c r="V50" s="207">
        <v>70.16</v>
      </c>
      <c r="W50" s="207">
        <v>0</v>
      </c>
      <c r="X50" s="208">
        <f t="shared" si="0"/>
        <v>-0.84000000000000341</v>
      </c>
      <c r="AA50" s="209"/>
    </row>
    <row r="51" spans="1:27" ht="15.75">
      <c r="A51" s="244" t="s">
        <v>349</v>
      </c>
      <c r="B51" s="243">
        <v>-70</v>
      </c>
      <c r="C51" s="243">
        <v>0</v>
      </c>
      <c r="D51" s="243">
        <v>0</v>
      </c>
      <c r="E51" s="243">
        <v>0</v>
      </c>
      <c r="F51" s="243"/>
      <c r="G51" s="243"/>
      <c r="H51" s="243"/>
      <c r="I51" s="243"/>
      <c r="J51" s="243"/>
      <c r="K51" s="243"/>
      <c r="L51" s="243"/>
      <c r="M51" s="243"/>
      <c r="N51" s="243"/>
      <c r="O51" s="243"/>
      <c r="P51" s="243">
        <v>-1</v>
      </c>
      <c r="Q51" s="243"/>
      <c r="R51" s="243"/>
      <c r="S51" s="243"/>
      <c r="T51" s="243">
        <f>SUM(B51:S51)</f>
        <v>-71</v>
      </c>
      <c r="U51" s="243"/>
      <c r="V51" s="244">
        <v>70.16</v>
      </c>
      <c r="W51" s="244">
        <v>0</v>
      </c>
      <c r="X51" s="246">
        <f t="shared" si="0"/>
        <v>-0.84000000000000341</v>
      </c>
      <c r="AA51" s="247"/>
    </row>
    <row r="52" spans="1:27" ht="15.75">
      <c r="A52" s="244" t="s">
        <v>350</v>
      </c>
      <c r="B52" s="243">
        <v>-70</v>
      </c>
      <c r="C52" s="243">
        <v>0</v>
      </c>
      <c r="D52" s="243">
        <v>0</v>
      </c>
      <c r="E52" s="243">
        <v>0</v>
      </c>
      <c r="F52" s="243"/>
      <c r="G52" s="243"/>
      <c r="H52" s="243"/>
      <c r="I52" s="243"/>
      <c r="J52" s="243"/>
      <c r="K52" s="243"/>
      <c r="L52" s="243"/>
      <c r="M52" s="243"/>
      <c r="N52" s="243"/>
      <c r="O52" s="243"/>
      <c r="P52" s="243">
        <v>-1</v>
      </c>
      <c r="Q52" s="243"/>
      <c r="R52" s="243"/>
      <c r="S52" s="243"/>
      <c r="T52" s="243">
        <f>SUM(B52:S52)</f>
        <v>-71</v>
      </c>
      <c r="U52" s="243"/>
      <c r="V52" s="244">
        <v>70.16</v>
      </c>
      <c r="W52" s="244">
        <v>0</v>
      </c>
      <c r="X52" s="246">
        <f t="shared" si="0"/>
        <v>-0.84000000000000341</v>
      </c>
      <c r="AA52" s="247"/>
    </row>
    <row r="53" spans="1:27" ht="15.75">
      <c r="A53" s="244" t="s">
        <v>351</v>
      </c>
      <c r="B53" s="243">
        <v>-70</v>
      </c>
      <c r="C53" s="243">
        <v>0</v>
      </c>
      <c r="D53" s="243">
        <v>0</v>
      </c>
      <c r="E53" s="243">
        <v>0</v>
      </c>
      <c r="F53" s="243"/>
      <c r="G53" s="243"/>
      <c r="H53" s="243"/>
      <c r="I53" s="243"/>
      <c r="J53" s="243"/>
      <c r="K53" s="243"/>
      <c r="L53" s="243"/>
      <c r="M53" s="243"/>
      <c r="N53" s="243"/>
      <c r="O53" s="243"/>
      <c r="P53" s="243">
        <v>-1</v>
      </c>
      <c r="Q53" s="243"/>
      <c r="R53" s="243"/>
      <c r="S53" s="243"/>
      <c r="T53" s="243">
        <f>SUM(B53:S53)</f>
        <v>-71</v>
      </c>
      <c r="U53" s="243"/>
      <c r="V53" s="244">
        <v>70.16</v>
      </c>
      <c r="W53" s="244">
        <v>0</v>
      </c>
      <c r="X53" s="246">
        <f t="shared" si="0"/>
        <v>-0.84000000000000341</v>
      </c>
      <c r="AA53" s="247"/>
    </row>
    <row r="54" spans="1:27" ht="15.75">
      <c r="A54" s="244" t="s">
        <v>352</v>
      </c>
      <c r="B54" s="243">
        <v>-70</v>
      </c>
      <c r="C54" s="243">
        <v>0</v>
      </c>
      <c r="D54" s="243">
        <v>0</v>
      </c>
      <c r="E54" s="243">
        <v>0</v>
      </c>
      <c r="F54" s="243"/>
      <c r="G54" s="243"/>
      <c r="H54" s="243"/>
      <c r="I54" s="243"/>
      <c r="J54" s="243"/>
      <c r="K54" s="243"/>
      <c r="L54" s="243"/>
      <c r="M54" s="243"/>
      <c r="N54" s="243"/>
      <c r="O54" s="243"/>
      <c r="P54" s="243">
        <v>-1</v>
      </c>
      <c r="Q54" s="243"/>
      <c r="R54" s="243"/>
      <c r="S54" s="243"/>
      <c r="T54" s="243">
        <f>SUM(B54:S54)</f>
        <v>-71</v>
      </c>
      <c r="U54" s="243"/>
      <c r="V54" s="244">
        <v>70.16</v>
      </c>
      <c r="W54" s="244">
        <v>0</v>
      </c>
      <c r="X54" s="246">
        <f t="shared" si="0"/>
        <v>-0.84000000000000341</v>
      </c>
      <c r="AA54" s="247"/>
    </row>
    <row r="55" spans="1:27" s="198" customFormat="1" ht="15.75">
      <c r="A55" s="207" t="s">
        <v>353</v>
      </c>
      <c r="B55" s="197">
        <v>-70</v>
      </c>
      <c r="C55" s="197">
        <v>0</v>
      </c>
      <c r="D55" s="197">
        <v>0</v>
      </c>
      <c r="E55" s="197">
        <v>0</v>
      </c>
      <c r="F55" s="197"/>
      <c r="G55" s="197"/>
      <c r="H55" s="197"/>
      <c r="I55" s="197"/>
      <c r="J55" s="197"/>
      <c r="K55" s="197"/>
      <c r="L55" s="197"/>
      <c r="M55" s="197"/>
      <c r="N55" s="197"/>
      <c r="O55" s="197"/>
      <c r="P55" s="197">
        <v>-1</v>
      </c>
      <c r="Q55" s="197"/>
      <c r="R55" s="197"/>
      <c r="S55" s="197"/>
      <c r="T55" s="197">
        <f>SUM(B55:S55)</f>
        <v>-71</v>
      </c>
      <c r="U55" s="197">
        <v>140</v>
      </c>
      <c r="V55" s="207">
        <v>70.16</v>
      </c>
      <c r="W55" s="207">
        <v>0</v>
      </c>
      <c r="X55" s="208">
        <f t="shared" si="0"/>
        <v>139.16</v>
      </c>
      <c r="AA55" s="209"/>
    </row>
    <row r="56" spans="1:27" ht="15.75">
      <c r="A56" s="244" t="s">
        <v>354</v>
      </c>
      <c r="B56" s="243">
        <v>-70</v>
      </c>
      <c r="C56" s="243">
        <v>0</v>
      </c>
      <c r="D56" s="243">
        <v>0</v>
      </c>
      <c r="E56" s="243">
        <v>0</v>
      </c>
      <c r="F56" s="243"/>
      <c r="G56" s="243"/>
      <c r="H56" s="243"/>
      <c r="I56" s="243"/>
      <c r="J56" s="243"/>
      <c r="K56" s="243"/>
      <c r="L56" s="243"/>
      <c r="M56" s="243"/>
      <c r="N56" s="243"/>
      <c r="O56" s="243"/>
      <c r="P56" s="243">
        <v>-1</v>
      </c>
      <c r="Q56" s="243"/>
      <c r="R56" s="243"/>
      <c r="S56" s="243"/>
      <c r="T56" s="243">
        <f>SUM(B56:S56)</f>
        <v>-71</v>
      </c>
      <c r="U56" s="243">
        <v>140</v>
      </c>
      <c r="V56" s="244">
        <v>70.16</v>
      </c>
      <c r="W56" s="244">
        <v>0</v>
      </c>
      <c r="X56" s="246">
        <f t="shared" si="0"/>
        <v>139.16</v>
      </c>
      <c r="AA56" s="247"/>
    </row>
    <row r="57" spans="1:27" ht="15.75">
      <c r="A57" s="244" t="s">
        <v>355</v>
      </c>
      <c r="B57" s="243">
        <v>-70</v>
      </c>
      <c r="C57" s="243">
        <v>0</v>
      </c>
      <c r="D57" s="243">
        <v>0</v>
      </c>
      <c r="E57" s="243">
        <v>0</v>
      </c>
      <c r="F57" s="243"/>
      <c r="G57" s="243"/>
      <c r="H57" s="243"/>
      <c r="I57" s="243"/>
      <c r="J57" s="243"/>
      <c r="K57" s="243"/>
      <c r="L57" s="243"/>
      <c r="M57" s="243"/>
      <c r="N57" s="243"/>
      <c r="O57" s="243"/>
      <c r="P57" s="243">
        <v>-1</v>
      </c>
      <c r="Q57" s="243"/>
      <c r="R57" s="243"/>
      <c r="S57" s="243"/>
      <c r="T57" s="243">
        <f>SUM(B57:S57)</f>
        <v>-71</v>
      </c>
      <c r="U57" s="243">
        <v>140</v>
      </c>
      <c r="V57" s="244">
        <v>70.16</v>
      </c>
      <c r="W57" s="244">
        <v>0</v>
      </c>
      <c r="X57" s="246">
        <f t="shared" si="0"/>
        <v>139.16</v>
      </c>
      <c r="AA57" s="247"/>
    </row>
    <row r="58" spans="1:27" ht="15.75">
      <c r="A58" s="244" t="s">
        <v>356</v>
      </c>
      <c r="B58" s="243">
        <v>-70</v>
      </c>
      <c r="C58" s="243">
        <v>0</v>
      </c>
      <c r="D58" s="243">
        <v>0</v>
      </c>
      <c r="E58" s="243">
        <v>0</v>
      </c>
      <c r="F58" s="243"/>
      <c r="G58" s="243"/>
      <c r="H58" s="243"/>
      <c r="I58" s="243"/>
      <c r="J58" s="243"/>
      <c r="K58" s="243"/>
      <c r="L58" s="243"/>
      <c r="M58" s="243"/>
      <c r="N58" s="243"/>
      <c r="O58" s="243"/>
      <c r="P58" s="243">
        <v>-1</v>
      </c>
      <c r="Q58" s="243"/>
      <c r="R58" s="243"/>
      <c r="S58" s="243"/>
      <c r="T58" s="243">
        <f>SUM(B58:S58)</f>
        <v>-71</v>
      </c>
      <c r="U58" s="243">
        <v>140</v>
      </c>
      <c r="V58" s="244">
        <v>70.16</v>
      </c>
      <c r="W58" s="244">
        <v>0</v>
      </c>
      <c r="X58" s="246">
        <f t="shared" si="0"/>
        <v>139.16</v>
      </c>
      <c r="AA58" s="247"/>
    </row>
    <row r="59" spans="1:27" ht="15.75">
      <c r="A59" s="244" t="s">
        <v>357</v>
      </c>
      <c r="B59" s="243">
        <v>-70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>
        <v>-1</v>
      </c>
      <c r="Q59" s="243"/>
      <c r="R59" s="243"/>
      <c r="S59" s="243"/>
      <c r="T59" s="243">
        <f>SUM(B59:S59)</f>
        <v>-71</v>
      </c>
      <c r="U59" s="243">
        <v>140</v>
      </c>
      <c r="V59" s="244">
        <v>70.16</v>
      </c>
      <c r="W59" s="244">
        <v>0</v>
      </c>
      <c r="X59" s="246">
        <f t="shared" si="0"/>
        <v>139.16</v>
      </c>
      <c r="AA59" s="247"/>
    </row>
    <row r="60" spans="1:27" ht="15.75">
      <c r="A60" s="244" t="s">
        <v>358</v>
      </c>
      <c r="B60" s="243">
        <v>-70</v>
      </c>
      <c r="C60" s="243">
        <v>0</v>
      </c>
      <c r="D60" s="243">
        <v>0</v>
      </c>
      <c r="E60" s="243">
        <v>0</v>
      </c>
      <c r="F60" s="243"/>
      <c r="G60" s="243"/>
      <c r="H60" s="243"/>
      <c r="I60" s="243"/>
      <c r="J60" s="243"/>
      <c r="K60" s="243"/>
      <c r="L60" s="243"/>
      <c r="M60" s="243"/>
      <c r="N60" s="243"/>
      <c r="O60" s="243"/>
      <c r="P60" s="243">
        <v>-1</v>
      </c>
      <c r="Q60" s="243"/>
      <c r="R60" s="243"/>
      <c r="S60" s="243"/>
      <c r="T60" s="243">
        <f>SUM(B60:S60)</f>
        <v>-71</v>
      </c>
      <c r="U60" s="243">
        <v>140</v>
      </c>
      <c r="V60" s="244">
        <v>70.16</v>
      </c>
      <c r="W60" s="244">
        <v>0</v>
      </c>
      <c r="X60" s="246">
        <f t="shared" si="0"/>
        <v>139.16</v>
      </c>
      <c r="AA60" s="247"/>
    </row>
    <row r="61" spans="1:27" ht="15.75">
      <c r="A61" s="244" t="s">
        <v>359</v>
      </c>
      <c r="B61" s="243">
        <v>-70</v>
      </c>
      <c r="C61" s="243">
        <v>0</v>
      </c>
      <c r="D61" s="243">
        <v>0</v>
      </c>
      <c r="E61" s="243">
        <v>0</v>
      </c>
      <c r="F61" s="243"/>
      <c r="G61" s="243"/>
      <c r="H61" s="243"/>
      <c r="I61" s="243"/>
      <c r="J61" s="243"/>
      <c r="K61" s="243"/>
      <c r="L61" s="243"/>
      <c r="M61" s="243"/>
      <c r="N61" s="243"/>
      <c r="O61" s="243"/>
      <c r="P61" s="243">
        <v>-1</v>
      </c>
      <c r="Q61" s="243"/>
      <c r="R61" s="243"/>
      <c r="S61" s="243"/>
      <c r="T61" s="243">
        <f>SUM(B61:S61)</f>
        <v>-71</v>
      </c>
      <c r="U61" s="243">
        <v>140</v>
      </c>
      <c r="V61" s="244">
        <v>70.16</v>
      </c>
      <c r="W61" s="244">
        <v>0</v>
      </c>
      <c r="X61" s="246">
        <f t="shared" si="0"/>
        <v>139.16</v>
      </c>
      <c r="AA61" s="247"/>
    </row>
    <row r="62" spans="1:27" ht="15.75">
      <c r="A62" s="244" t="s">
        <v>360</v>
      </c>
      <c r="B62" s="243">
        <v>-70</v>
      </c>
      <c r="C62" s="243">
        <v>0</v>
      </c>
      <c r="D62" s="243">
        <v>0</v>
      </c>
      <c r="E62" s="243">
        <v>0</v>
      </c>
      <c r="F62" s="243"/>
      <c r="G62" s="243"/>
      <c r="H62" s="243"/>
      <c r="I62" s="243"/>
      <c r="J62" s="243"/>
      <c r="K62" s="243"/>
      <c r="L62" s="243"/>
      <c r="M62" s="243"/>
      <c r="N62" s="243"/>
      <c r="O62" s="243"/>
      <c r="P62" s="243">
        <v>-1</v>
      </c>
      <c r="Q62" s="243"/>
      <c r="R62" s="243"/>
      <c r="S62" s="243"/>
      <c r="T62" s="243">
        <f>SUM(B62:S62)</f>
        <v>-71</v>
      </c>
      <c r="U62" s="243">
        <v>140</v>
      </c>
      <c r="V62" s="244">
        <v>70.16</v>
      </c>
      <c r="W62" s="244">
        <v>0</v>
      </c>
      <c r="X62" s="246">
        <f t="shared" si="0"/>
        <v>139.16</v>
      </c>
      <c r="AA62" s="247"/>
    </row>
    <row r="63" spans="1:27" ht="15.75">
      <c r="A63" s="244" t="s">
        <v>361</v>
      </c>
      <c r="B63" s="243">
        <v>-70</v>
      </c>
      <c r="C63" s="243">
        <v>0</v>
      </c>
      <c r="D63" s="243">
        <v>0</v>
      </c>
      <c r="E63" s="243">
        <v>0</v>
      </c>
      <c r="F63" s="243"/>
      <c r="G63" s="243"/>
      <c r="H63" s="243"/>
      <c r="I63" s="243"/>
      <c r="J63" s="243"/>
      <c r="K63" s="243"/>
      <c r="L63" s="243"/>
      <c r="M63" s="243"/>
      <c r="N63" s="243"/>
      <c r="O63" s="243"/>
      <c r="P63" s="243">
        <v>-1</v>
      </c>
      <c r="Q63" s="243"/>
      <c r="R63" s="243"/>
      <c r="S63" s="243"/>
      <c r="T63" s="243">
        <f>SUM(B63:S63)</f>
        <v>-71</v>
      </c>
      <c r="U63" s="243">
        <v>140</v>
      </c>
      <c r="V63" s="244">
        <v>70.16</v>
      </c>
      <c r="W63" s="244">
        <v>0</v>
      </c>
      <c r="X63" s="246">
        <f t="shared" si="0"/>
        <v>139.16</v>
      </c>
      <c r="AA63" s="247"/>
    </row>
    <row r="64" spans="1:27" ht="15.75">
      <c r="A64" s="244" t="s">
        <v>362</v>
      </c>
      <c r="B64" s="243">
        <v>-70</v>
      </c>
      <c r="C64" s="243">
        <v>0</v>
      </c>
      <c r="D64" s="243">
        <v>0</v>
      </c>
      <c r="E64" s="243">
        <v>0</v>
      </c>
      <c r="F64" s="243"/>
      <c r="G64" s="243"/>
      <c r="H64" s="243"/>
      <c r="I64" s="243"/>
      <c r="J64" s="243"/>
      <c r="K64" s="243"/>
      <c r="L64" s="243"/>
      <c r="M64" s="243"/>
      <c r="N64" s="243"/>
      <c r="O64" s="243"/>
      <c r="P64" s="243">
        <v>-1</v>
      </c>
      <c r="Q64" s="243"/>
      <c r="R64" s="243"/>
      <c r="S64" s="243"/>
      <c r="T64" s="243">
        <f>SUM(B64:S64)</f>
        <v>-71</v>
      </c>
      <c r="U64" s="243">
        <v>140</v>
      </c>
      <c r="V64" s="244">
        <v>70.16</v>
      </c>
      <c r="W64" s="244">
        <v>0</v>
      </c>
      <c r="X64" s="246">
        <f t="shared" si="0"/>
        <v>139.16</v>
      </c>
      <c r="AA64" s="247"/>
    </row>
    <row r="65" spans="1:27" ht="15.75">
      <c r="A65" s="244" t="s">
        <v>363</v>
      </c>
      <c r="B65" s="243">
        <v>-70</v>
      </c>
      <c r="C65" s="243">
        <v>0</v>
      </c>
      <c r="D65" s="243">
        <v>0</v>
      </c>
      <c r="E65" s="243">
        <v>0</v>
      </c>
      <c r="F65" s="243"/>
      <c r="G65" s="243"/>
      <c r="H65" s="243"/>
      <c r="I65" s="243"/>
      <c r="J65" s="243"/>
      <c r="K65" s="243"/>
      <c r="L65" s="243"/>
      <c r="M65" s="243"/>
      <c r="N65" s="243"/>
      <c r="O65" s="243"/>
      <c r="P65" s="243">
        <v>-1</v>
      </c>
      <c r="Q65" s="243"/>
      <c r="R65" s="243"/>
      <c r="S65" s="243"/>
      <c r="T65" s="243">
        <f>SUM(B65:S65)</f>
        <v>-71</v>
      </c>
      <c r="U65" s="243">
        <v>140</v>
      </c>
      <c r="V65" s="244">
        <v>70.16</v>
      </c>
      <c r="W65" s="244">
        <v>0</v>
      </c>
      <c r="X65" s="246">
        <f t="shared" si="0"/>
        <v>139.16</v>
      </c>
      <c r="AA65" s="247"/>
    </row>
    <row r="66" spans="1:27" s="198" customFormat="1" ht="15.75">
      <c r="A66" s="207" t="s">
        <v>364</v>
      </c>
      <c r="B66" s="197">
        <v>-70</v>
      </c>
      <c r="C66" s="197">
        <v>0</v>
      </c>
      <c r="D66" s="197">
        <v>0</v>
      </c>
      <c r="E66" s="197">
        <v>0</v>
      </c>
      <c r="F66" s="197"/>
      <c r="G66" s="197"/>
      <c r="H66" s="197"/>
      <c r="I66" s="197"/>
      <c r="J66" s="197"/>
      <c r="K66" s="197"/>
      <c r="L66" s="197"/>
      <c r="M66" s="197"/>
      <c r="N66" s="197"/>
      <c r="O66" s="197"/>
      <c r="P66" s="197">
        <v>-1</v>
      </c>
      <c r="Q66" s="197"/>
      <c r="R66" s="197"/>
      <c r="S66" s="197"/>
      <c r="T66" s="197">
        <f>SUM(B66:S66)</f>
        <v>-71</v>
      </c>
      <c r="U66" s="197"/>
      <c r="V66" s="207">
        <v>70.16</v>
      </c>
      <c r="W66" s="207">
        <v>0</v>
      </c>
      <c r="X66" s="246">
        <f t="shared" si="0"/>
        <v>-0.84000000000000341</v>
      </c>
      <c r="AA66" s="209"/>
    </row>
    <row r="67" spans="1:27" ht="15.75">
      <c r="A67" s="244" t="s">
        <v>365</v>
      </c>
      <c r="B67" s="243">
        <v>-70</v>
      </c>
      <c r="C67" s="243">
        <v>0</v>
      </c>
      <c r="D67" s="243">
        <v>0</v>
      </c>
      <c r="E67" s="243">
        <v>0</v>
      </c>
      <c r="F67" s="243"/>
      <c r="G67" s="243"/>
      <c r="H67" s="243"/>
      <c r="I67" s="243"/>
      <c r="J67" s="243"/>
      <c r="K67" s="243"/>
      <c r="L67" s="243"/>
      <c r="M67" s="243"/>
      <c r="N67" s="243"/>
      <c r="O67" s="243"/>
      <c r="P67" s="243">
        <v>-1</v>
      </c>
      <c r="Q67" s="243"/>
      <c r="R67" s="243"/>
      <c r="S67" s="243"/>
      <c r="T67" s="243">
        <f>SUM(B67:S67)</f>
        <v>-71</v>
      </c>
      <c r="U67" s="243"/>
      <c r="V67" s="244">
        <v>70.16</v>
      </c>
      <c r="W67" s="244">
        <v>0</v>
      </c>
      <c r="X67" s="246">
        <f t="shared" si="0"/>
        <v>-0.84000000000000341</v>
      </c>
      <c r="AA67" s="247"/>
    </row>
    <row r="68" spans="1:27" ht="15.75">
      <c r="A68" s="244" t="s">
        <v>366</v>
      </c>
      <c r="B68" s="243">
        <v>-70</v>
      </c>
      <c r="C68" s="243">
        <v>0</v>
      </c>
      <c r="D68" s="243">
        <v>0</v>
      </c>
      <c r="E68" s="243">
        <v>0</v>
      </c>
      <c r="F68" s="243"/>
      <c r="G68" s="243"/>
      <c r="H68" s="243"/>
      <c r="I68" s="243"/>
      <c r="J68" s="243"/>
      <c r="K68" s="243"/>
      <c r="L68" s="243"/>
      <c r="M68" s="243"/>
      <c r="N68" s="243"/>
      <c r="O68" s="243"/>
      <c r="P68" s="243">
        <v>-1</v>
      </c>
      <c r="Q68" s="243"/>
      <c r="R68" s="243"/>
      <c r="S68" s="243"/>
      <c r="T68" s="243">
        <f>SUM(B68:S68)</f>
        <v>-71</v>
      </c>
      <c r="U68" s="243"/>
      <c r="V68" s="244">
        <v>70.16</v>
      </c>
      <c r="W68" s="244">
        <v>0</v>
      </c>
      <c r="X68" s="246">
        <f t="shared" ref="X68:X98" si="1">SUM(T68:W68)</f>
        <v>-0.84000000000000341</v>
      </c>
      <c r="AA68" s="247"/>
    </row>
    <row r="69" spans="1:27" ht="15.75">
      <c r="A69" s="244" t="s">
        <v>367</v>
      </c>
      <c r="B69" s="243">
        <v>-70</v>
      </c>
      <c r="C69" s="243">
        <v>0</v>
      </c>
      <c r="D69" s="243">
        <v>0</v>
      </c>
      <c r="E69" s="243">
        <v>0</v>
      </c>
      <c r="F69" s="243"/>
      <c r="G69" s="243"/>
      <c r="H69" s="243"/>
      <c r="I69" s="243"/>
      <c r="J69" s="243"/>
      <c r="K69" s="243"/>
      <c r="L69" s="243"/>
      <c r="M69" s="243"/>
      <c r="N69" s="243"/>
      <c r="O69" s="243"/>
      <c r="P69" s="243">
        <v>-1</v>
      </c>
      <c r="Q69" s="243"/>
      <c r="R69" s="243"/>
      <c r="S69" s="243"/>
      <c r="T69" s="243">
        <f>SUM(B69:S69)</f>
        <v>-71</v>
      </c>
      <c r="U69" s="243"/>
      <c r="V69" s="244">
        <v>70.16</v>
      </c>
      <c r="W69" s="244">
        <v>0</v>
      </c>
      <c r="X69" s="246">
        <f t="shared" si="1"/>
        <v>-0.84000000000000341</v>
      </c>
      <c r="AA69" s="247"/>
    </row>
    <row r="70" spans="1:27" ht="15.75">
      <c r="A70" s="244" t="s">
        <v>368</v>
      </c>
      <c r="B70" s="243">
        <v>-70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>
        <v>-1</v>
      </c>
      <c r="Q70" s="243"/>
      <c r="R70" s="243"/>
      <c r="S70" s="243"/>
      <c r="T70" s="243">
        <f>SUM(B70:S70)</f>
        <v>-71</v>
      </c>
      <c r="U70" s="243"/>
      <c r="V70" s="244">
        <v>70.16</v>
      </c>
      <c r="W70" s="244">
        <v>0</v>
      </c>
      <c r="X70" s="246">
        <f t="shared" si="1"/>
        <v>-0.84000000000000341</v>
      </c>
      <c r="AA70" s="247"/>
    </row>
    <row r="71" spans="1:27" s="198" customFormat="1" ht="15.75">
      <c r="A71" s="207" t="s">
        <v>369</v>
      </c>
      <c r="B71" s="197">
        <v>-140</v>
      </c>
      <c r="C71" s="197">
        <v>-65</v>
      </c>
      <c r="D71" s="197">
        <v>-67</v>
      </c>
      <c r="E71" s="197">
        <v>-50</v>
      </c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>
        <v>-1</v>
      </c>
      <c r="Q71" s="197"/>
      <c r="R71" s="197"/>
      <c r="S71" s="197"/>
      <c r="T71" s="197">
        <f>SUM(B71:S71)</f>
        <v>-323</v>
      </c>
      <c r="U71" s="197"/>
      <c r="V71" s="207">
        <v>70.16</v>
      </c>
      <c r="W71" s="207">
        <v>0</v>
      </c>
      <c r="X71" s="208">
        <f t="shared" si="1"/>
        <v>-252.84</v>
      </c>
      <c r="AA71" s="209"/>
    </row>
    <row r="72" spans="1:27" ht="15.75">
      <c r="A72" s="244" t="s">
        <v>370</v>
      </c>
      <c r="B72" s="243">
        <v>-140</v>
      </c>
      <c r="C72" s="243">
        <v>-65</v>
      </c>
      <c r="D72" s="243">
        <v>-67</v>
      </c>
      <c r="E72" s="243">
        <v>-50</v>
      </c>
      <c r="F72" s="243"/>
      <c r="G72" s="243"/>
      <c r="H72" s="243"/>
      <c r="I72" s="243"/>
      <c r="J72" s="243"/>
      <c r="K72" s="243"/>
      <c r="L72" s="243"/>
      <c r="M72" s="243"/>
      <c r="N72" s="243"/>
      <c r="O72" s="243"/>
      <c r="P72" s="243">
        <v>-1</v>
      </c>
      <c r="Q72" s="243"/>
      <c r="R72" s="243"/>
      <c r="S72" s="243"/>
      <c r="T72" s="243">
        <f>SUM(B72:S72)</f>
        <v>-323</v>
      </c>
      <c r="U72" s="243"/>
      <c r="V72" s="244">
        <v>70.16</v>
      </c>
      <c r="W72" s="244">
        <v>0</v>
      </c>
      <c r="X72" s="246">
        <f t="shared" si="1"/>
        <v>-252.84</v>
      </c>
      <c r="AA72" s="247"/>
    </row>
    <row r="73" spans="1:27" ht="15.75">
      <c r="A73" s="244" t="s">
        <v>371</v>
      </c>
      <c r="B73" s="243">
        <v>-140</v>
      </c>
      <c r="C73" s="243">
        <v>-65</v>
      </c>
      <c r="D73" s="243">
        <v>-67</v>
      </c>
      <c r="E73" s="243">
        <v>-50</v>
      </c>
      <c r="F73" s="243"/>
      <c r="G73" s="243"/>
      <c r="H73" s="243"/>
      <c r="I73" s="243"/>
      <c r="J73" s="243"/>
      <c r="K73" s="243"/>
      <c r="L73" s="243"/>
      <c r="M73" s="243"/>
      <c r="N73" s="243"/>
      <c r="O73" s="243"/>
      <c r="P73" s="243">
        <v>-1</v>
      </c>
      <c r="Q73" s="243"/>
      <c r="R73" s="243"/>
      <c r="S73" s="243"/>
      <c r="T73" s="243">
        <f>SUM(B73:S73)</f>
        <v>-323</v>
      </c>
      <c r="U73" s="243"/>
      <c r="V73" s="244">
        <v>70.16</v>
      </c>
      <c r="W73" s="244">
        <v>0</v>
      </c>
      <c r="X73" s="246">
        <f t="shared" si="1"/>
        <v>-252.84</v>
      </c>
      <c r="AA73" s="247"/>
    </row>
    <row r="74" spans="1:27" ht="15.75">
      <c r="A74" s="244" t="s">
        <v>372</v>
      </c>
      <c r="B74" s="243">
        <v>-140</v>
      </c>
      <c r="C74" s="243">
        <v>-65</v>
      </c>
      <c r="D74" s="243">
        <v>-67</v>
      </c>
      <c r="E74" s="243">
        <v>-50</v>
      </c>
      <c r="F74" s="243"/>
      <c r="G74" s="243"/>
      <c r="H74" s="243"/>
      <c r="I74" s="243"/>
      <c r="J74" s="243"/>
      <c r="K74" s="243"/>
      <c r="L74" s="243"/>
      <c r="M74" s="243"/>
      <c r="N74" s="243"/>
      <c r="O74" s="243"/>
      <c r="P74" s="243">
        <v>-1</v>
      </c>
      <c r="Q74" s="243"/>
      <c r="R74" s="243"/>
      <c r="S74" s="243"/>
      <c r="T74" s="243">
        <f>SUM(B74:S74)</f>
        <v>-323</v>
      </c>
      <c r="U74" s="243"/>
      <c r="V74" s="244">
        <v>70.16</v>
      </c>
      <c r="W74" s="244">
        <v>0</v>
      </c>
      <c r="X74" s="246">
        <f t="shared" si="1"/>
        <v>-252.84</v>
      </c>
      <c r="AA74" s="247"/>
    </row>
    <row r="75" spans="1:27" ht="15.75">
      <c r="A75" s="244" t="s">
        <v>373</v>
      </c>
      <c r="B75" s="243">
        <v>-140</v>
      </c>
      <c r="C75" s="243">
        <v>-65</v>
      </c>
      <c r="D75" s="243">
        <v>-67</v>
      </c>
      <c r="E75" s="243">
        <v>-50</v>
      </c>
      <c r="F75" s="243"/>
      <c r="G75" s="243"/>
      <c r="H75" s="243"/>
      <c r="I75" s="243"/>
      <c r="J75" s="243"/>
      <c r="K75" s="243"/>
      <c r="L75" s="243"/>
      <c r="M75" s="243"/>
      <c r="N75" s="243"/>
      <c r="O75" s="243"/>
      <c r="P75" s="243">
        <v>-1</v>
      </c>
      <c r="Q75" s="243"/>
      <c r="R75" s="243"/>
      <c r="S75" s="243"/>
      <c r="T75" s="243">
        <f>SUM(B75:S75)</f>
        <v>-323</v>
      </c>
      <c r="U75" s="243"/>
      <c r="V75" s="244">
        <v>70.16</v>
      </c>
      <c r="W75" s="244">
        <v>0</v>
      </c>
      <c r="X75" s="246">
        <f t="shared" si="1"/>
        <v>-252.84</v>
      </c>
      <c r="AA75" s="247"/>
    </row>
    <row r="76" spans="1:27" ht="15.75">
      <c r="A76" s="244" t="s">
        <v>374</v>
      </c>
      <c r="B76" s="243">
        <v>-140</v>
      </c>
      <c r="C76" s="243">
        <v>-65</v>
      </c>
      <c r="D76" s="243">
        <v>-67</v>
      </c>
      <c r="E76" s="243">
        <v>-50</v>
      </c>
      <c r="F76" s="243"/>
      <c r="G76" s="243"/>
      <c r="H76" s="243"/>
      <c r="I76" s="243"/>
      <c r="J76" s="243"/>
      <c r="K76" s="243"/>
      <c r="L76" s="243"/>
      <c r="M76" s="243"/>
      <c r="N76" s="243"/>
      <c r="O76" s="243"/>
      <c r="P76" s="243">
        <v>-1</v>
      </c>
      <c r="Q76" s="243"/>
      <c r="R76" s="243"/>
      <c r="S76" s="243"/>
      <c r="T76" s="243">
        <f>SUM(B76:S76)</f>
        <v>-323</v>
      </c>
      <c r="U76" s="243"/>
      <c r="V76" s="244">
        <v>70.16</v>
      </c>
      <c r="W76" s="244">
        <v>0</v>
      </c>
      <c r="X76" s="246">
        <f t="shared" si="1"/>
        <v>-252.84</v>
      </c>
      <c r="AA76" s="247"/>
    </row>
    <row r="77" spans="1:27" ht="15.75">
      <c r="A77" s="244" t="s">
        <v>375</v>
      </c>
      <c r="B77" s="243">
        <v>-140</v>
      </c>
      <c r="C77" s="243">
        <v>-65</v>
      </c>
      <c r="D77" s="243">
        <v>-67</v>
      </c>
      <c r="E77" s="243">
        <v>-50</v>
      </c>
      <c r="F77" s="243"/>
      <c r="G77" s="243"/>
      <c r="H77" s="243"/>
      <c r="I77" s="243"/>
      <c r="J77" s="243"/>
      <c r="K77" s="243"/>
      <c r="L77" s="243"/>
      <c r="M77" s="243"/>
      <c r="N77" s="243"/>
      <c r="O77" s="243"/>
      <c r="P77" s="243">
        <v>-1</v>
      </c>
      <c r="Q77" s="243"/>
      <c r="R77" s="243"/>
      <c r="S77" s="243"/>
      <c r="T77" s="243">
        <f>SUM(B77:S77)</f>
        <v>-323</v>
      </c>
      <c r="U77" s="243"/>
      <c r="V77" s="244">
        <v>70.16</v>
      </c>
      <c r="W77" s="244"/>
      <c r="X77" s="246">
        <f t="shared" si="1"/>
        <v>-252.84</v>
      </c>
      <c r="AA77" s="247"/>
    </row>
    <row r="78" spans="1:27" ht="15.75">
      <c r="A78" s="244" t="s">
        <v>376</v>
      </c>
      <c r="B78" s="243">
        <v>-140</v>
      </c>
      <c r="C78" s="243">
        <v>-65</v>
      </c>
      <c r="D78" s="243">
        <v>-67</v>
      </c>
      <c r="E78" s="243">
        <v>-50</v>
      </c>
      <c r="F78" s="243"/>
      <c r="G78" s="243"/>
      <c r="H78" s="243"/>
      <c r="I78" s="243"/>
      <c r="J78" s="243"/>
      <c r="K78" s="243"/>
      <c r="L78" s="243"/>
      <c r="M78" s="243"/>
      <c r="N78" s="243"/>
      <c r="O78" s="243"/>
      <c r="P78" s="243">
        <v>-1</v>
      </c>
      <c r="Q78" s="243"/>
      <c r="R78" s="243"/>
      <c r="S78" s="243"/>
      <c r="T78" s="243">
        <f>SUM(B78:S78)</f>
        <v>-323</v>
      </c>
      <c r="U78" s="243"/>
      <c r="V78" s="244">
        <v>70.16</v>
      </c>
      <c r="W78" s="244"/>
      <c r="X78" s="246">
        <f t="shared" si="1"/>
        <v>-252.84</v>
      </c>
      <c r="AA78" s="247"/>
    </row>
    <row r="79" spans="1:27" ht="15.75">
      <c r="A79" s="244" t="s">
        <v>377</v>
      </c>
      <c r="B79" s="243">
        <v>-140</v>
      </c>
      <c r="C79" s="243">
        <v>-65</v>
      </c>
      <c r="D79" s="243">
        <v>-67</v>
      </c>
      <c r="E79" s="243">
        <v>-50</v>
      </c>
      <c r="F79" s="243"/>
      <c r="G79" s="243"/>
      <c r="H79" s="243"/>
      <c r="I79" s="243"/>
      <c r="J79" s="243"/>
      <c r="K79" s="243"/>
      <c r="L79" s="243"/>
      <c r="M79" s="243"/>
      <c r="N79" s="243"/>
      <c r="O79" s="243"/>
      <c r="P79" s="243">
        <v>-1</v>
      </c>
      <c r="Q79" s="243"/>
      <c r="R79" s="243"/>
      <c r="S79" s="243"/>
      <c r="T79" s="243">
        <f>SUM(B79:S79)</f>
        <v>-323</v>
      </c>
      <c r="U79" s="243"/>
      <c r="V79" s="244">
        <v>70.16</v>
      </c>
      <c r="W79" s="244"/>
      <c r="X79" s="246">
        <f t="shared" si="1"/>
        <v>-252.84</v>
      </c>
      <c r="AA79" s="247"/>
    </row>
    <row r="80" spans="1:27" ht="15.75">
      <c r="A80" s="244" t="s">
        <v>378</v>
      </c>
      <c r="B80" s="243">
        <v>-140</v>
      </c>
      <c r="C80" s="243">
        <v>-65</v>
      </c>
      <c r="D80" s="243">
        <v>-67</v>
      </c>
      <c r="E80" s="243">
        <v>-50</v>
      </c>
      <c r="F80" s="243"/>
      <c r="G80" s="243"/>
      <c r="H80" s="243"/>
      <c r="I80" s="243"/>
      <c r="J80" s="243"/>
      <c r="K80" s="243"/>
      <c r="L80" s="243"/>
      <c r="M80" s="243"/>
      <c r="N80" s="243"/>
      <c r="O80" s="243"/>
      <c r="P80" s="243">
        <v>-1</v>
      </c>
      <c r="Q80" s="243"/>
      <c r="R80" s="243"/>
      <c r="S80" s="243"/>
      <c r="T80" s="243">
        <f>SUM(B80:S80)</f>
        <v>-323</v>
      </c>
      <c r="U80" s="243"/>
      <c r="V80" s="244">
        <v>70.16</v>
      </c>
      <c r="W80" s="244"/>
      <c r="X80" s="246">
        <f t="shared" si="1"/>
        <v>-252.84</v>
      </c>
      <c r="AA80" s="247"/>
    </row>
    <row r="81" spans="1:27" ht="15.75">
      <c r="A81" s="244" t="s">
        <v>379</v>
      </c>
      <c r="B81" s="243">
        <v>-140</v>
      </c>
      <c r="C81" s="243">
        <v>-65</v>
      </c>
      <c r="D81" s="243">
        <v>-67</v>
      </c>
      <c r="E81" s="243">
        <v>-50</v>
      </c>
      <c r="F81" s="243"/>
      <c r="G81" s="243"/>
      <c r="H81" s="243"/>
      <c r="I81" s="243"/>
      <c r="J81" s="243"/>
      <c r="K81" s="243"/>
      <c r="L81" s="243"/>
      <c r="M81" s="243"/>
      <c r="N81" s="243"/>
      <c r="O81" s="243"/>
      <c r="P81" s="243">
        <v>-1</v>
      </c>
      <c r="Q81" s="243"/>
      <c r="R81" s="243"/>
      <c r="S81" s="243"/>
      <c r="T81" s="243">
        <f>SUM(B81:S81)</f>
        <v>-323</v>
      </c>
      <c r="U81" s="243"/>
      <c r="V81" s="244">
        <v>70.16</v>
      </c>
      <c r="W81" s="244"/>
      <c r="X81" s="246">
        <f>SUM(T81:W81)</f>
        <v>-252.84</v>
      </c>
      <c r="AA81" s="247"/>
    </row>
    <row r="82" spans="1:27" ht="15.75">
      <c r="A82" s="244" t="s">
        <v>380</v>
      </c>
      <c r="B82" s="243"/>
      <c r="C82" s="243">
        <v>-65</v>
      </c>
      <c r="D82" s="243">
        <v>-67</v>
      </c>
      <c r="E82" s="243">
        <v>-50</v>
      </c>
      <c r="F82" s="243"/>
      <c r="G82" s="243"/>
      <c r="H82" s="243"/>
      <c r="I82" s="243"/>
      <c r="J82" s="243"/>
      <c r="K82" s="243"/>
      <c r="L82" s="243"/>
      <c r="M82" s="243"/>
      <c r="N82" s="243"/>
      <c r="O82" s="243"/>
      <c r="P82" s="243">
        <v>-1</v>
      </c>
      <c r="Q82" s="243"/>
      <c r="R82" s="243"/>
      <c r="S82" s="243"/>
      <c r="T82" s="243">
        <f>SUM(B82:S82)</f>
        <v>-183</v>
      </c>
      <c r="U82" s="243"/>
      <c r="V82" s="244">
        <v>70.16</v>
      </c>
      <c r="W82" s="244"/>
      <c r="X82" s="246">
        <f t="shared" si="1"/>
        <v>-112.84</v>
      </c>
      <c r="AA82" s="247"/>
    </row>
    <row r="83" spans="1:27" ht="15.75">
      <c r="A83" s="244" t="s">
        <v>381</v>
      </c>
      <c r="B83" s="243"/>
      <c r="C83" s="243">
        <v>-65</v>
      </c>
      <c r="D83" s="243">
        <v>-67</v>
      </c>
      <c r="E83" s="243">
        <v>-50</v>
      </c>
      <c r="F83" s="243"/>
      <c r="G83" s="243"/>
      <c r="H83" s="243"/>
      <c r="I83" s="243"/>
      <c r="J83" s="243"/>
      <c r="K83" s="243"/>
      <c r="L83" s="243"/>
      <c r="M83" s="243"/>
      <c r="N83" s="243"/>
      <c r="O83" s="243"/>
      <c r="P83" s="243">
        <v>-50</v>
      </c>
      <c r="Q83" s="243"/>
      <c r="R83" s="243"/>
      <c r="S83" s="243"/>
      <c r="T83" s="243">
        <f>SUM(B83:S83)</f>
        <v>-232</v>
      </c>
      <c r="U83" s="243"/>
      <c r="V83" s="244">
        <v>70.16</v>
      </c>
      <c r="W83" s="244"/>
      <c r="X83" s="246">
        <f t="shared" si="1"/>
        <v>-161.84</v>
      </c>
      <c r="AA83" s="247">
        <v>0</v>
      </c>
    </row>
    <row r="84" spans="1:27" ht="15.75">
      <c r="A84" s="244" t="s">
        <v>382</v>
      </c>
      <c r="B84" s="243"/>
      <c r="C84" s="243">
        <v>-65</v>
      </c>
      <c r="D84" s="243">
        <v>-67</v>
      </c>
      <c r="E84" s="243">
        <v>-50</v>
      </c>
      <c r="F84" s="243"/>
      <c r="G84" s="243"/>
      <c r="H84" s="243"/>
      <c r="I84" s="243"/>
      <c r="J84" s="243"/>
      <c r="K84" s="243"/>
      <c r="L84" s="243"/>
      <c r="M84" s="243"/>
      <c r="N84" s="243"/>
      <c r="O84" s="243"/>
      <c r="P84" s="243">
        <v>-60</v>
      </c>
      <c r="Q84" s="243"/>
      <c r="R84" s="243"/>
      <c r="S84" s="243"/>
      <c r="T84" s="243">
        <f>SUM(B84:S84)</f>
        <v>-242</v>
      </c>
      <c r="U84" s="243"/>
      <c r="V84" s="244">
        <v>70.16</v>
      </c>
      <c r="W84" s="244"/>
      <c r="X84" s="246">
        <f t="shared" si="1"/>
        <v>-171.84</v>
      </c>
      <c r="AA84" s="247">
        <v>0</v>
      </c>
    </row>
    <row r="85" spans="1:27" ht="15.75">
      <c r="A85" s="244" t="s">
        <v>383</v>
      </c>
      <c r="B85" s="243"/>
      <c r="C85" s="243">
        <v>-65</v>
      </c>
      <c r="D85" s="243">
        <v>-67</v>
      </c>
      <c r="E85" s="243">
        <v>-50</v>
      </c>
      <c r="F85" s="243"/>
      <c r="G85" s="243"/>
      <c r="H85" s="243"/>
      <c r="I85" s="243"/>
      <c r="J85" s="243"/>
      <c r="K85" s="243"/>
      <c r="L85" s="243"/>
      <c r="M85" s="243"/>
      <c r="N85" s="243"/>
      <c r="O85" s="243"/>
      <c r="P85" s="243">
        <v>-70</v>
      </c>
      <c r="Q85" s="243"/>
      <c r="R85" s="243"/>
      <c r="S85" s="243"/>
      <c r="T85" s="243">
        <f>SUM(B85:S85)</f>
        <v>-252</v>
      </c>
      <c r="U85" s="243"/>
      <c r="V85" s="244">
        <v>70.16</v>
      </c>
      <c r="W85" s="244"/>
      <c r="X85" s="246">
        <f t="shared" si="1"/>
        <v>-181.84</v>
      </c>
      <c r="AA85" s="247">
        <v>0</v>
      </c>
    </row>
    <row r="86" spans="1:27" ht="15.75">
      <c r="A86" s="244" t="s">
        <v>384</v>
      </c>
      <c r="B86" s="243"/>
      <c r="C86" s="243">
        <v>-65</v>
      </c>
      <c r="D86" s="243">
        <v>-67</v>
      </c>
      <c r="E86" s="243">
        <v>-50</v>
      </c>
      <c r="F86" s="243"/>
      <c r="G86" s="243"/>
      <c r="H86" s="243"/>
      <c r="I86" s="243"/>
      <c r="J86" s="243"/>
      <c r="K86" s="243"/>
      <c r="L86" s="243"/>
      <c r="M86" s="243"/>
      <c r="N86" s="243"/>
      <c r="O86" s="243"/>
      <c r="P86" s="243">
        <v>-80</v>
      </c>
      <c r="Q86" s="243"/>
      <c r="R86" s="243"/>
      <c r="S86" s="243"/>
      <c r="T86" s="243">
        <f>SUM(B86:S86)</f>
        <v>-262</v>
      </c>
      <c r="U86" s="243"/>
      <c r="V86" s="244">
        <v>70.16</v>
      </c>
      <c r="W86" s="244"/>
      <c r="X86" s="246">
        <f t="shared" si="1"/>
        <v>-191.84</v>
      </c>
      <c r="AA86" s="247">
        <v>0</v>
      </c>
    </row>
    <row r="87" spans="1:27" ht="15.75">
      <c r="A87" s="244" t="s">
        <v>385</v>
      </c>
      <c r="B87" s="243"/>
      <c r="C87" s="243">
        <v>-65</v>
      </c>
      <c r="D87" s="243">
        <v>-67</v>
      </c>
      <c r="E87" s="243">
        <v>-50</v>
      </c>
      <c r="F87" s="243"/>
      <c r="G87" s="243"/>
      <c r="H87" s="243"/>
      <c r="I87" s="243"/>
      <c r="J87" s="243"/>
      <c r="K87" s="243"/>
      <c r="L87" s="243"/>
      <c r="M87" s="243"/>
      <c r="N87" s="243"/>
      <c r="O87" s="243"/>
      <c r="P87" s="243">
        <v>-80</v>
      </c>
      <c r="Q87" s="243"/>
      <c r="R87" s="243"/>
      <c r="S87" s="243"/>
      <c r="T87" s="243">
        <f>SUM(B87:S87)</f>
        <v>-262</v>
      </c>
      <c r="U87" s="243"/>
      <c r="V87" s="244">
        <v>70.16</v>
      </c>
      <c r="W87" s="244"/>
      <c r="X87" s="246">
        <f t="shared" si="1"/>
        <v>-191.84</v>
      </c>
      <c r="AA87" s="247">
        <v>0</v>
      </c>
    </row>
    <row r="88" spans="1:27" ht="15.75">
      <c r="A88" s="244" t="s">
        <v>386</v>
      </c>
      <c r="B88" s="243"/>
      <c r="C88" s="243">
        <v>-65</v>
      </c>
      <c r="D88" s="243">
        <v>-67</v>
      </c>
      <c r="E88" s="243">
        <v>-50</v>
      </c>
      <c r="F88" s="243"/>
      <c r="G88" s="243"/>
      <c r="H88" s="243"/>
      <c r="I88" s="243"/>
      <c r="J88" s="243"/>
      <c r="K88" s="243"/>
      <c r="L88" s="243"/>
      <c r="M88" s="243"/>
      <c r="N88" s="243"/>
      <c r="O88" s="243"/>
      <c r="P88" s="243">
        <v>-80</v>
      </c>
      <c r="Q88" s="243"/>
      <c r="R88" s="243"/>
      <c r="S88" s="243"/>
      <c r="T88" s="243">
        <f>SUM(B88:S88)</f>
        <v>-262</v>
      </c>
      <c r="U88" s="243"/>
      <c r="V88" s="244">
        <v>70.16</v>
      </c>
      <c r="W88" s="244"/>
      <c r="X88" s="246">
        <f t="shared" si="1"/>
        <v>-191.84</v>
      </c>
      <c r="AA88" s="247">
        <v>0</v>
      </c>
    </row>
    <row r="89" spans="1:27" ht="15.75">
      <c r="A89" s="244" t="s">
        <v>387</v>
      </c>
      <c r="B89" s="243"/>
      <c r="C89" s="243">
        <v>-65</v>
      </c>
      <c r="D89" s="243">
        <v>-67</v>
      </c>
      <c r="E89" s="243">
        <v>-50</v>
      </c>
      <c r="F89" s="243"/>
      <c r="G89" s="243"/>
      <c r="H89" s="243"/>
      <c r="I89" s="243"/>
      <c r="J89" s="243"/>
      <c r="K89" s="243"/>
      <c r="L89" s="243"/>
      <c r="M89" s="243"/>
      <c r="N89" s="243"/>
      <c r="O89" s="243"/>
      <c r="P89" s="243">
        <v>-80</v>
      </c>
      <c r="Q89" s="243"/>
      <c r="R89" s="243"/>
      <c r="S89" s="243"/>
      <c r="T89" s="243">
        <f>SUM(B89:S89)</f>
        <v>-262</v>
      </c>
      <c r="U89" s="243"/>
      <c r="V89" s="244">
        <v>70.16</v>
      </c>
      <c r="W89" s="244"/>
      <c r="X89" s="246">
        <f t="shared" si="1"/>
        <v>-191.84</v>
      </c>
      <c r="AA89" s="247">
        <v>0</v>
      </c>
    </row>
    <row r="90" spans="1:27" ht="15.75">
      <c r="A90" s="244" t="s">
        <v>388</v>
      </c>
      <c r="B90" s="243"/>
      <c r="C90" s="243">
        <v>-65</v>
      </c>
      <c r="D90" s="243">
        <v>-67</v>
      </c>
      <c r="E90" s="243">
        <v>-50</v>
      </c>
      <c r="F90" s="243"/>
      <c r="G90" s="243"/>
      <c r="H90" s="243"/>
      <c r="I90" s="243"/>
      <c r="J90" s="243"/>
      <c r="K90" s="243"/>
      <c r="L90" s="243"/>
      <c r="M90" s="243"/>
      <c r="N90" s="243"/>
      <c r="O90" s="243"/>
      <c r="P90" s="243">
        <v>-80</v>
      </c>
      <c r="Q90" s="243"/>
      <c r="R90" s="243"/>
      <c r="S90" s="243"/>
      <c r="T90" s="243">
        <f>SUM(B90:S90)</f>
        <v>-262</v>
      </c>
      <c r="U90" s="243"/>
      <c r="V90" s="244">
        <v>70.16</v>
      </c>
      <c r="W90" s="244"/>
      <c r="X90" s="246">
        <f t="shared" si="1"/>
        <v>-191.84</v>
      </c>
      <c r="AA90" s="247">
        <v>0</v>
      </c>
    </row>
    <row r="91" spans="1:27" ht="15.75">
      <c r="A91" s="244" t="s">
        <v>389</v>
      </c>
      <c r="B91" s="243"/>
      <c r="C91" s="243">
        <v>-65</v>
      </c>
      <c r="D91" s="243">
        <v>-67</v>
      </c>
      <c r="E91" s="243">
        <v>-50</v>
      </c>
      <c r="F91" s="243"/>
      <c r="G91" s="243"/>
      <c r="H91" s="243"/>
      <c r="I91" s="243"/>
      <c r="J91" s="243"/>
      <c r="K91" s="243"/>
      <c r="L91" s="243"/>
      <c r="M91" s="243"/>
      <c r="N91" s="243"/>
      <c r="O91" s="243"/>
      <c r="P91" s="243">
        <v>-80</v>
      </c>
      <c r="Q91" s="243"/>
      <c r="R91" s="243"/>
      <c r="S91" s="243"/>
      <c r="T91" s="243">
        <f>SUM(B91:S91)</f>
        <v>-262</v>
      </c>
      <c r="U91" s="243"/>
      <c r="V91" s="244">
        <v>70.16</v>
      </c>
      <c r="W91" s="244"/>
      <c r="X91" s="246">
        <f t="shared" si="1"/>
        <v>-191.84</v>
      </c>
      <c r="AA91" s="247">
        <v>0</v>
      </c>
    </row>
    <row r="92" spans="1:27" ht="15.75">
      <c r="A92" s="244" t="s">
        <v>390</v>
      </c>
      <c r="B92" s="243"/>
      <c r="C92" s="243">
        <v>-65</v>
      </c>
      <c r="D92" s="243">
        <v>-67</v>
      </c>
      <c r="E92" s="243">
        <v>-50</v>
      </c>
      <c r="F92" s="243"/>
      <c r="G92" s="243"/>
      <c r="H92" s="243"/>
      <c r="I92" s="243"/>
      <c r="J92" s="243"/>
      <c r="K92" s="243"/>
      <c r="L92" s="243"/>
      <c r="M92" s="243"/>
      <c r="N92" s="243"/>
      <c r="O92" s="243"/>
      <c r="P92" s="243">
        <v>-80</v>
      </c>
      <c r="Q92" s="243"/>
      <c r="R92" s="243"/>
      <c r="S92" s="243"/>
      <c r="T92" s="243">
        <f>SUM(B92:S92)</f>
        <v>-262</v>
      </c>
      <c r="U92" s="243"/>
      <c r="V92" s="244">
        <v>70.16</v>
      </c>
      <c r="W92" s="244"/>
      <c r="X92" s="246">
        <f t="shared" si="1"/>
        <v>-191.84</v>
      </c>
      <c r="AA92" s="247">
        <v>0</v>
      </c>
    </row>
    <row r="93" spans="1:27" ht="15.75">
      <c r="A93" s="244" t="s">
        <v>391</v>
      </c>
      <c r="B93" s="243"/>
      <c r="C93" s="243">
        <v>-65</v>
      </c>
      <c r="D93" s="243">
        <v>-67</v>
      </c>
      <c r="E93" s="243">
        <v>-50</v>
      </c>
      <c r="F93" s="243"/>
      <c r="G93" s="243"/>
      <c r="H93" s="243"/>
      <c r="I93" s="243"/>
      <c r="J93" s="243"/>
      <c r="K93" s="243"/>
      <c r="L93" s="243"/>
      <c r="M93" s="243"/>
      <c r="N93" s="243"/>
      <c r="O93" s="243"/>
      <c r="P93" s="243">
        <v>-80</v>
      </c>
      <c r="Q93" s="243"/>
      <c r="R93" s="243"/>
      <c r="S93" s="243"/>
      <c r="T93" s="243">
        <f>SUM(B93:S93)</f>
        <v>-262</v>
      </c>
      <c r="U93" s="243"/>
      <c r="V93" s="244">
        <v>70.16</v>
      </c>
      <c r="W93" s="244"/>
      <c r="X93" s="246">
        <f t="shared" si="1"/>
        <v>-191.84</v>
      </c>
      <c r="AA93" s="247">
        <v>0</v>
      </c>
    </row>
    <row r="94" spans="1:27" ht="15.75">
      <c r="A94" s="244" t="s">
        <v>392</v>
      </c>
      <c r="B94" s="243"/>
      <c r="C94" s="243">
        <v>-65</v>
      </c>
      <c r="D94" s="243">
        <v>-67</v>
      </c>
      <c r="E94" s="243">
        <v>-50</v>
      </c>
      <c r="F94" s="243"/>
      <c r="G94" s="243"/>
      <c r="H94" s="243"/>
      <c r="I94" s="243"/>
      <c r="J94" s="243"/>
      <c r="K94" s="243"/>
      <c r="L94" s="243"/>
      <c r="M94" s="243"/>
      <c r="N94" s="243"/>
      <c r="O94" s="243"/>
      <c r="P94" s="243">
        <v>-80</v>
      </c>
      <c r="Q94" s="243"/>
      <c r="R94" s="243"/>
      <c r="S94" s="243"/>
      <c r="T94" s="243">
        <f>SUM(B94:S94)</f>
        <v>-262</v>
      </c>
      <c r="U94" s="243"/>
      <c r="V94" s="244">
        <v>70.16</v>
      </c>
      <c r="W94" s="244"/>
      <c r="X94" s="246">
        <f t="shared" si="1"/>
        <v>-191.84</v>
      </c>
      <c r="AA94" s="247">
        <v>0</v>
      </c>
    </row>
    <row r="95" spans="1:27" ht="15.75">
      <c r="A95" s="244" t="s">
        <v>393</v>
      </c>
      <c r="B95" s="243"/>
      <c r="C95" s="243">
        <v>-65</v>
      </c>
      <c r="D95" s="243">
        <v>-67</v>
      </c>
      <c r="E95" s="243">
        <v>-50</v>
      </c>
      <c r="F95" s="243"/>
      <c r="G95" s="243"/>
      <c r="H95" s="243"/>
      <c r="I95" s="243"/>
      <c r="J95" s="243"/>
      <c r="K95" s="243"/>
      <c r="L95" s="243"/>
      <c r="M95" s="243"/>
      <c r="N95" s="243"/>
      <c r="O95" s="243"/>
      <c r="P95" s="243">
        <v>-80</v>
      </c>
      <c r="Q95" s="243"/>
      <c r="R95" s="243"/>
      <c r="S95" s="243"/>
      <c r="T95" s="243">
        <f>SUM(B95:S95)</f>
        <v>-262</v>
      </c>
      <c r="U95" s="243"/>
      <c r="V95" s="244">
        <v>70.16</v>
      </c>
      <c r="W95" s="244"/>
      <c r="X95" s="246">
        <f t="shared" si="1"/>
        <v>-191.84</v>
      </c>
      <c r="AA95" s="247">
        <v>0</v>
      </c>
    </row>
    <row r="96" spans="1:27" ht="15.75">
      <c r="A96" s="244" t="s">
        <v>394</v>
      </c>
      <c r="B96" s="243"/>
      <c r="C96" s="243">
        <v>-65</v>
      </c>
      <c r="D96" s="243">
        <v>-67</v>
      </c>
      <c r="E96" s="243">
        <v>-50</v>
      </c>
      <c r="F96" s="243"/>
      <c r="G96" s="243"/>
      <c r="H96" s="243"/>
      <c r="I96" s="243"/>
      <c r="J96" s="243"/>
      <c r="K96" s="243"/>
      <c r="L96" s="243"/>
      <c r="M96" s="243"/>
      <c r="N96" s="243"/>
      <c r="O96" s="243"/>
      <c r="P96" s="243">
        <v>-80</v>
      </c>
      <c r="Q96" s="243"/>
      <c r="R96" s="243"/>
      <c r="S96" s="243"/>
      <c r="T96" s="243">
        <f>SUM(B96:S96)</f>
        <v>-262</v>
      </c>
      <c r="U96" s="243"/>
      <c r="V96" s="244">
        <v>70.16</v>
      </c>
      <c r="W96" s="244"/>
      <c r="X96" s="246">
        <f t="shared" si="1"/>
        <v>-191.84</v>
      </c>
      <c r="AA96" s="247">
        <v>0</v>
      </c>
    </row>
    <row r="97" spans="1:27" ht="15.75">
      <c r="A97" s="244" t="s">
        <v>395</v>
      </c>
      <c r="B97" s="243"/>
      <c r="C97" s="243">
        <v>-65</v>
      </c>
      <c r="D97" s="243">
        <v>-67</v>
      </c>
      <c r="E97" s="243">
        <v>-50</v>
      </c>
      <c r="F97" s="243"/>
      <c r="G97" s="243"/>
      <c r="H97" s="243"/>
      <c r="I97" s="243"/>
      <c r="J97" s="243"/>
      <c r="K97" s="243"/>
      <c r="L97" s="243"/>
      <c r="M97" s="243"/>
      <c r="N97" s="243"/>
      <c r="O97" s="243"/>
      <c r="P97" s="243">
        <v>-80</v>
      </c>
      <c r="Q97" s="243"/>
      <c r="R97" s="243"/>
      <c r="S97" s="243"/>
      <c r="T97" s="243">
        <f>SUM(B97:S97)</f>
        <v>-262</v>
      </c>
      <c r="U97" s="243"/>
      <c r="V97" s="244">
        <v>70.16</v>
      </c>
      <c r="W97" s="244"/>
      <c r="X97" s="246">
        <f t="shared" si="1"/>
        <v>-191.84</v>
      </c>
      <c r="AA97" s="247">
        <v>0</v>
      </c>
    </row>
    <row r="98" spans="1:27" ht="15.75">
      <c r="A98" s="244" t="s">
        <v>396</v>
      </c>
      <c r="B98" s="243"/>
      <c r="C98" s="243">
        <v>-65</v>
      </c>
      <c r="D98" s="243">
        <v>-67</v>
      </c>
      <c r="E98" s="243">
        <v>-50</v>
      </c>
      <c r="F98" s="243"/>
      <c r="G98" s="243"/>
      <c r="H98" s="243"/>
      <c r="I98" s="243"/>
      <c r="J98" s="243"/>
      <c r="K98" s="243"/>
      <c r="L98" s="243"/>
      <c r="M98" s="243"/>
      <c r="N98" s="243"/>
      <c r="O98" s="243"/>
      <c r="P98" s="243">
        <v>-80</v>
      </c>
      <c r="Q98" s="243"/>
      <c r="R98" s="243"/>
      <c r="S98" s="243"/>
      <c r="T98" s="243">
        <f>SUM(B98:S98)</f>
        <v>-262</v>
      </c>
      <c r="U98" s="243"/>
      <c r="V98" s="244">
        <v>70.16</v>
      </c>
      <c r="W98" s="244"/>
      <c r="X98" s="246">
        <f t="shared" si="1"/>
        <v>-191.84</v>
      </c>
      <c r="AA98" s="247">
        <v>0</v>
      </c>
    </row>
    <row r="99" spans="1:27">
      <c r="C99" s="248"/>
      <c r="D99" s="249"/>
      <c r="E99" s="249"/>
      <c r="W99" s="245"/>
    </row>
    <row r="100" spans="1:27">
      <c r="C100" s="249"/>
      <c r="D100" s="249"/>
      <c r="E100" s="249"/>
    </row>
    <row r="101" spans="1:27">
      <c r="C101" s="249"/>
      <c r="D101" s="249"/>
      <c r="E101" s="249"/>
    </row>
    <row r="102" spans="1:27">
      <c r="C102" s="249"/>
      <c r="D102" s="249"/>
      <c r="E102" s="249"/>
    </row>
    <row r="103" spans="1:27">
      <c r="C103" s="249"/>
      <c r="D103" s="249"/>
      <c r="E103" s="249"/>
    </row>
    <row r="104" spans="1:27">
      <c r="C104" s="249"/>
      <c r="D104" s="249"/>
      <c r="E104" s="249"/>
    </row>
    <row r="105" spans="1:27">
      <c r="C105" s="249"/>
      <c r="D105" s="249"/>
      <c r="E105" s="249"/>
    </row>
    <row r="106" spans="1:27">
      <c r="C106" s="249"/>
      <c r="D106" s="249"/>
      <c r="E106" s="249"/>
    </row>
    <row r="107" spans="1:27">
      <c r="C107" s="249"/>
      <c r="D107" s="249"/>
      <c r="E107" s="249"/>
    </row>
    <row r="108" spans="1:27">
      <c r="C108" s="249"/>
      <c r="D108" s="249"/>
      <c r="E108" s="249"/>
    </row>
    <row r="109" spans="1:27">
      <c r="C109" s="249"/>
      <c r="D109" s="249"/>
      <c r="E109" s="249"/>
    </row>
    <row r="110" spans="1:27">
      <c r="C110" s="249"/>
      <c r="D110" s="249"/>
      <c r="E110" s="249"/>
    </row>
    <row r="111" spans="1:27">
      <c r="C111" s="249"/>
      <c r="D111" s="249"/>
      <c r="E111" s="249"/>
    </row>
    <row r="112" spans="1:27">
      <c r="C112" s="249"/>
      <c r="D112" s="249"/>
      <c r="E112" s="249"/>
    </row>
    <row r="113" spans="3:5">
      <c r="C113" s="249"/>
      <c r="D113" s="249"/>
      <c r="E113" s="249"/>
    </row>
    <row r="114" spans="3:5">
      <c r="C114" s="249"/>
      <c r="D114" s="249"/>
      <c r="E114" s="249"/>
    </row>
    <row r="115" spans="3:5">
      <c r="C115" s="249"/>
      <c r="D115" s="249"/>
      <c r="E115" s="249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2026-05-17T16:46:57Z</dcterms:modified>
</cp:coreProperties>
</file>