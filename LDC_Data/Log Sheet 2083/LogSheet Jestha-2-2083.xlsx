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77" l="1"/>
  <c r="C71" i="77"/>
  <c r="C78" i="77"/>
  <c r="C92" i="77"/>
  <c r="C96" i="77"/>
  <c r="C108" i="77"/>
  <c r="AN19" i="77" s="1"/>
  <c r="C117" i="77"/>
  <c r="C123" i="77" s="1"/>
  <c r="C118" i="77"/>
  <c r="C119" i="77"/>
  <c r="AH119" i="77" s="1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G123" i="77"/>
  <c r="AR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AH120" i="77" s="1"/>
  <c r="H120" i="77"/>
  <c r="G120" i="77"/>
  <c r="F120" i="77"/>
  <c r="E120" i="77"/>
  <c r="D120" i="77"/>
  <c r="AI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F123" i="77" s="1"/>
  <c r="AQ23" i="77" s="1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D118" i="77"/>
  <c r="AH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E123" i="77" s="1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F96" i="77"/>
  <c r="E96" i="77"/>
  <c r="D96" i="77"/>
  <c r="D113" i="77" s="1"/>
  <c r="D115" i="77" s="1"/>
  <c r="AH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BB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BB88" i="77"/>
  <c r="BA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C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C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A81" i="77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G113" i="77" s="1"/>
  <c r="G115" i="77" s="1"/>
  <c r="G116" i="77" s="1"/>
  <c r="G7" i="77" s="1"/>
  <c r="F78" i="77"/>
  <c r="AQ17" i="77" s="1"/>
  <c r="E78" i="77"/>
  <c r="D78" i="77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H113" i="77" s="1"/>
  <c r="H115" i="77" s="1"/>
  <c r="G71" i="77"/>
  <c r="F71" i="77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R20" i="77"/>
  <c r="AQ20" i="77"/>
  <c r="AP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O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O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Q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D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J108" i="77" l="1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AP25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D124" i="77"/>
  <c r="AO19" i="77"/>
  <c r="AO22" i="77" s="1"/>
  <c r="AO25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M22" i="77" l="1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<sst xmlns="http://schemas.openxmlformats.org/spreadsheetml/2006/main" count="2197" uniqueCount="418">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</sst>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98" sqref="A98:XFD9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152" sqref="C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1666.8999999999996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61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2112.2999999999997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1666.8999999999996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C70" si="20">62+75.4</f>
        <v>137.4</v>
      </c>
      <c r="C70" s="66">
        <f t="shared" si="20"/>
        <v>137.4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137.4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350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57.7</v>
      </c>
      <c r="AI80" s="47">
        <f t="shared" si="24"/>
        <v>57.4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69.099999999999994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20.100000000000001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-529.20000000000005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47.4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20.6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18.100000000000001</v>
      </c>
      <c r="AI102" s="47">
        <f t="shared" si="24"/>
        <v>17.600000000000001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88.199999999999989</v>
      </c>
      <c r="AI108" s="47">
        <f t="shared" si="24"/>
        <v>0</v>
      </c>
      <c r="AJ108" s="105">
        <f t="array" ref="AJ108">MIN(IF(B108:AF108&lt;&gt;0,B108:AF108))</f>
        <v>86.1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61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61</v>
      </c>
      <c r="AI114" s="47">
        <f t="shared" si="24"/>
        <v>60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2112.2999999999997</v>
      </c>
      <c r="D115" s="108">
        <f t="shared" ref="C115:AF115" si="41">D113+D114</f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1666.8999999999996</v>
      </c>
      <c r="D116" s="108">
        <f t="shared" ref="C116:AF116" si="43">D115-(D123)</f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529.20000000000005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529.20000000000005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-441.00000000000006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50.029000000000003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133.9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130.1</v>
      </c>
      <c r="AI128" s="47">
        <f t="shared" si="24"/>
        <v>130.1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135.80000000000001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134.19999999999999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67.400000000000006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165.83999999999997</v>
      </c>
      <c r="C135" s="114">
        <f t="shared" si="50"/>
        <v>158.23999999999998</v>
      </c>
      <c r="D135" s="114">
        <f t="shared" ref="C135:O135" si="51">SUM(D26,D32,D45:D46,D82,D84:D85,D87,D89,D137:D142,D177,D183,D189,D198,D200,D212,D219,D222:D223,D230,D232,D234,D238:D240,D242:D244,D249,D255:D256,D258:D260,D161,D166)</f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165.83999999999997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49.4</v>
      </c>
      <c r="AI137" s="47">
        <f t="shared" si="24"/>
        <v>48</v>
      </c>
    </row>
    <row r="138" spans="1:35" x14ac:dyDescent="0.25">
      <c r="A138" s="135" t="s">
        <v>160</v>
      </c>
      <c r="B138" s="132">
        <v>3.7</v>
      </c>
      <c r="C138" s="132">
        <v>4.3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4.3</v>
      </c>
      <c r="AI138" s="47">
        <f t="shared" si="24"/>
        <v>3.7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-87.6</v>
      </c>
      <c r="AI139" s="47">
        <f>MIN(B139:AF139)</f>
        <v>-88.7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94.6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2.5</v>
      </c>
      <c r="AI141" s="47">
        <f>MIN(B141:AF141)</f>
        <v>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-47.6</v>
      </c>
      <c r="AI142" s="47">
        <f>MIN(B142:AF142)</f>
        <v>-54.4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-42.2</v>
      </c>
      <c r="C144" s="132">
        <v>-37.9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23.8</v>
      </c>
      <c r="C145" s="132">
        <v>17.5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-696.7</v>
      </c>
      <c r="C146" s="132">
        <v>-597.5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-597.5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78.900000000000006</v>
      </c>
      <c r="AI147" s="47">
        <f t="shared" si="55"/>
        <v>74.2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143.80000000000001</v>
      </c>
      <c r="C149" s="132">
        <v>138.5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143.80000000000001</v>
      </c>
      <c r="AI149" s="47">
        <f t="shared" si="55"/>
        <v>138.5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31.6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7.1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Drain Time: 8.97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D11:AA13 AB12:AF13 E76:AF77 E80:E90 F82:G90 H84:J90 K85:AF90 B9:AF10 D117:AF134 D137:AF159 D93:AF115 B76:D90 B113:C115 B108:C108 B117:C124 B72:L72 B153:C153 B93:C96">
    <cfRule type="expression" dxfId="172" priority="106">
      <formula>B$9&gt;=20/24</formula>
    </cfRule>
  </conditionalFormatting>
  <conditionalFormatting sqref="B9:AF10 D11:AA13 AB12:AF13 E76:AF77 E80:E90 F82:G90 H84:J90 K85:AF90 D117:AF134 D137:AF159 D93:AF115 B76:D90 B113:C115 B108:C108 B117:C124 B72:L72 B153:C153 B93:C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D14:AF53 B29:C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D11:AA13 AB12:AF13 AG78 AF92:AF95 AF96:AG96 D92:AE96 D91:AF91 D76:AF78 D79:AC90 B71:AG71 B69:AA69 B76:C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C13 B97:C107 B137:C152 B109:C112 B125:C134 B154:C159">
    <cfRule type="expression" dxfId="22" priority="20">
      <formula>B$9&gt;=20/24</formula>
    </cfRule>
  </conditionalFormatting>
  <conditionalFormatting sqref="B11:C13 B97:C107 B137:C152 B109:C112 B125:C134 B154:C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C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C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2026-05-18T19:45:47Z</dcterms:modified>
</cp:coreProperties>
</file>