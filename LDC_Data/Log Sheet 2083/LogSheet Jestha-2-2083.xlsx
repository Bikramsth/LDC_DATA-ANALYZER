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0" i="79" l="1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D273" i="79"/>
  <c r="E273" i="79" s="1"/>
  <c r="F273" i="79" s="1"/>
  <c r="G273" i="79" s="1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D272" i="79"/>
  <c r="E272" i="79" s="1"/>
  <c r="F272" i="79" s="1"/>
  <c r="G272" i="79" s="1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E271" i="79"/>
  <c r="F271" i="79" s="1"/>
  <c r="G271" i="79" s="1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D271" i="79"/>
  <c r="D270" i="79"/>
  <c r="E270" i="79" s="1"/>
  <c r="F270" i="79" s="1"/>
  <c r="G270" i="79" s="1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D269" i="79"/>
  <c r="E269" i="79" s="1"/>
  <c r="F269" i="79" s="1"/>
  <c r="G269" i="79" s="1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D268" i="79"/>
  <c r="E268" i="79" s="1"/>
  <c r="F268" i="79" s="1"/>
  <c r="G268" i="79" s="1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D267" i="79"/>
  <c r="E267" i="79" s="1"/>
  <c r="F267" i="79" s="1"/>
  <c r="G267" i="79" s="1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L266" i="79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D266" i="79"/>
  <c r="E266" i="79" s="1"/>
  <c r="F266" i="79" s="1"/>
  <c r="G266" i="79" s="1"/>
  <c r="H266" i="79" s="1"/>
  <c r="I266" i="79" s="1"/>
  <c r="J266" i="79" s="1"/>
  <c r="K266" i="79" s="1"/>
  <c r="E265" i="79"/>
  <c r="F265" i="79" s="1"/>
  <c r="G265" i="79" s="1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D265" i="79"/>
  <c r="D264" i="79"/>
  <c r="E264" i="79" s="1"/>
  <c r="F264" i="79" s="1"/>
  <c r="G264" i="79" s="1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E263" i="79"/>
  <c r="F263" i="79" s="1"/>
  <c r="G263" i="79" s="1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D263" i="79"/>
  <c r="D262" i="79"/>
  <c r="E262" i="79" s="1"/>
  <c r="F262" i="79" s="1"/>
  <c r="G262" i="79" s="1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U261" i="79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E261" i="79"/>
  <c r="F261" i="79" s="1"/>
  <c r="G261" i="79" s="1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D261" i="79"/>
  <c r="D260" i="79"/>
  <c r="E260" i="79" s="1"/>
  <c r="F260" i="79" s="1"/>
  <c r="G260" i="79" s="1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V259" i="79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D259" i="79"/>
  <c r="E259" i="79" s="1"/>
  <c r="F259" i="79" s="1"/>
  <c r="G259" i="79" s="1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D258" i="79"/>
  <c r="E258" i="79" s="1"/>
  <c r="F258" i="79" s="1"/>
  <c r="G258" i="79" s="1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E257" i="79"/>
  <c r="F257" i="79" s="1"/>
  <c r="G257" i="79" s="1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D257" i="79"/>
  <c r="O256" i="79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D256" i="79"/>
  <c r="E256" i="79" s="1"/>
  <c r="F256" i="79" s="1"/>
  <c r="G256" i="79" s="1"/>
  <c r="H256" i="79" s="1"/>
  <c r="I256" i="79" s="1"/>
  <c r="J256" i="79" s="1"/>
  <c r="K256" i="79" s="1"/>
  <c r="L256" i="79" s="1"/>
  <c r="M256" i="79" s="1"/>
  <c r="N256" i="79" s="1"/>
  <c r="D255" i="79"/>
  <c r="E255" i="79" s="1"/>
  <c r="F255" i="79" s="1"/>
  <c r="G255" i="79" s="1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AA254" i="79"/>
  <c r="AB254" i="79" s="1"/>
  <c r="AC254" i="79" s="1"/>
  <c r="AD254" i="79" s="1"/>
  <c r="AE254" i="79" s="1"/>
  <c r="AF254" i="79" s="1"/>
  <c r="K254" i="79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D254" i="79"/>
  <c r="E254" i="79" s="1"/>
  <c r="F254" i="79" s="1"/>
  <c r="G254" i="79" s="1"/>
  <c r="H254" i="79" s="1"/>
  <c r="I254" i="79" s="1"/>
  <c r="J254" i="79" s="1"/>
  <c r="F253" i="79"/>
  <c r="G253" i="79" s="1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E253" i="79"/>
  <c r="D253" i="79"/>
  <c r="D252" i="79"/>
  <c r="E252" i="79" s="1"/>
  <c r="F252" i="79" s="1"/>
  <c r="G252" i="79" s="1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D251" i="79"/>
  <c r="E251" i="79" s="1"/>
  <c r="F251" i="79" s="1"/>
  <c r="G251" i="79" s="1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D250" i="79"/>
  <c r="E250" i="79" s="1"/>
  <c r="F250" i="79" s="1"/>
  <c r="G250" i="79" s="1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D249" i="79"/>
  <c r="E249" i="79" s="1"/>
  <c r="F249" i="79" s="1"/>
  <c r="G249" i="79" s="1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D248" i="79"/>
  <c r="E248" i="79" s="1"/>
  <c r="F248" i="79" s="1"/>
  <c r="G248" i="79" s="1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D247" i="79"/>
  <c r="E247" i="79" s="1"/>
  <c r="F247" i="79" s="1"/>
  <c r="G247" i="79" s="1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D246" i="79"/>
  <c r="E246" i="79" s="1"/>
  <c r="F246" i="79" s="1"/>
  <c r="G246" i="79" s="1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D245" i="79"/>
  <c r="E245" i="79" s="1"/>
  <c r="F245" i="79" s="1"/>
  <c r="G245" i="79" s="1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D244" i="79"/>
  <c r="E244" i="79" s="1"/>
  <c r="F244" i="79" s="1"/>
  <c r="G244" i="79" s="1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D243" i="79"/>
  <c r="E243" i="79" s="1"/>
  <c r="F243" i="79" s="1"/>
  <c r="G243" i="79" s="1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D242" i="79"/>
  <c r="E242" i="79" s="1"/>
  <c r="F242" i="79" s="1"/>
  <c r="D241" i="79"/>
  <c r="E241" i="79" s="1"/>
  <c r="F241" i="79" s="1"/>
  <c r="G241" i="79" s="1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I240" i="79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D240" i="79"/>
  <c r="E240" i="79" s="1"/>
  <c r="F240" i="79" s="1"/>
  <c r="G240" i="79" s="1"/>
  <c r="H240" i="79" s="1"/>
  <c r="D239" i="79"/>
  <c r="E239" i="79" s="1"/>
  <c r="F239" i="79" s="1"/>
  <c r="G239" i="79" s="1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D238" i="79"/>
  <c r="E238" i="79" s="1"/>
  <c r="F238" i="79" s="1"/>
  <c r="G238" i="79" s="1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K237" i="79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D237" i="79"/>
  <c r="E237" i="79" s="1"/>
  <c r="F237" i="79" s="1"/>
  <c r="G237" i="79" s="1"/>
  <c r="H237" i="79" s="1"/>
  <c r="I237" i="79" s="1"/>
  <c r="J237" i="79" s="1"/>
  <c r="D236" i="79"/>
  <c r="E236" i="79" s="1"/>
  <c r="F236" i="79" s="1"/>
  <c r="G236" i="79" s="1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H235" i="79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D235" i="79"/>
  <c r="E235" i="79" s="1"/>
  <c r="F235" i="79" s="1"/>
  <c r="G235" i="79" s="1"/>
  <c r="F234" i="79"/>
  <c r="G234" i="79" s="1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D234" i="79"/>
  <c r="E234" i="79" s="1"/>
  <c r="D233" i="79"/>
  <c r="E233" i="79" s="1"/>
  <c r="F233" i="79" s="1"/>
  <c r="G233" i="79" s="1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D232" i="79"/>
  <c r="E232" i="79" s="1"/>
  <c r="F232" i="79" s="1"/>
  <c r="G232" i="79" s="1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F231" i="79"/>
  <c r="G231" i="79" s="1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E231" i="79"/>
  <c r="D231" i="79"/>
  <c r="D230" i="79"/>
  <c r="E230" i="79" s="1"/>
  <c r="F230" i="79" s="1"/>
  <c r="G230" i="79" s="1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F229" i="79"/>
  <c r="G229" i="79" s="1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D229" i="79"/>
  <c r="E229" i="79" s="1"/>
  <c r="D228" i="79"/>
  <c r="E228" i="79" s="1"/>
  <c r="F228" i="79" s="1"/>
  <c r="G228" i="79" s="1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E227" i="79"/>
  <c r="F227" i="79" s="1"/>
  <c r="G227" i="79" s="1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D227" i="79"/>
  <c r="D226" i="79"/>
  <c r="E226" i="79" s="1"/>
  <c r="F226" i="79" s="1"/>
  <c r="G226" i="79" s="1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D225" i="79"/>
  <c r="E225" i="79" s="1"/>
  <c r="F225" i="79" s="1"/>
  <c r="G225" i="79" s="1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D224" i="79"/>
  <c r="E224" i="79" s="1"/>
  <c r="F224" i="79" s="1"/>
  <c r="G224" i="79" s="1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D223" i="79"/>
  <c r="E223" i="79" s="1"/>
  <c r="F223" i="79" s="1"/>
  <c r="G223" i="79" s="1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D222" i="79"/>
  <c r="E222" i="79" s="1"/>
  <c r="F222" i="79" s="1"/>
  <c r="G222" i="79" s="1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E221" i="79"/>
  <c r="F221" i="79" s="1"/>
  <c r="G221" i="79" s="1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D221" i="79"/>
  <c r="D220" i="79"/>
  <c r="E220" i="79" s="1"/>
  <c r="F220" i="79" s="1"/>
  <c r="G220" i="79" s="1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D219" i="79"/>
  <c r="E219" i="79" s="1"/>
  <c r="F219" i="79" s="1"/>
  <c r="G219" i="79" s="1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D218" i="79"/>
  <c r="E218" i="79" s="1"/>
  <c r="F218" i="79" s="1"/>
  <c r="G218" i="79" s="1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M217" i="79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D217" i="79"/>
  <c r="E217" i="79" s="1"/>
  <c r="F217" i="79" s="1"/>
  <c r="G217" i="79" s="1"/>
  <c r="H217" i="79" s="1"/>
  <c r="I217" i="79" s="1"/>
  <c r="J217" i="79" s="1"/>
  <c r="K217" i="79" s="1"/>
  <c r="L217" i="79" s="1"/>
  <c r="D216" i="79"/>
  <c r="E216" i="79" s="1"/>
  <c r="F216" i="79" s="1"/>
  <c r="G216" i="79" s="1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D215" i="79"/>
  <c r="E215" i="79" s="1"/>
  <c r="F215" i="79" s="1"/>
  <c r="G215" i="79" s="1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D214" i="79"/>
  <c r="E214" i="79" s="1"/>
  <c r="F214" i="79" s="1"/>
  <c r="D213" i="79"/>
  <c r="E213" i="79" s="1"/>
  <c r="F213" i="79" s="1"/>
  <c r="G213" i="79" s="1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D212" i="79"/>
  <c r="E212" i="79" s="1"/>
  <c r="F212" i="79" s="1"/>
  <c r="G212" i="79" s="1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D211" i="79"/>
  <c r="E211" i="79" s="1"/>
  <c r="F211" i="79" s="1"/>
  <c r="G211" i="79" s="1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F210" i="79"/>
  <c r="G210" i="79" s="1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D210" i="79"/>
  <c r="E210" i="79" s="1"/>
  <c r="D209" i="79"/>
  <c r="E209" i="79" s="1"/>
  <c r="F209" i="79" s="1"/>
  <c r="G209" i="79" s="1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D208" i="79"/>
  <c r="E208" i="79" s="1"/>
  <c r="F208" i="79" s="1"/>
  <c r="G208" i="79" s="1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F207" i="79"/>
  <c r="G207" i="79" s="1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D207" i="79"/>
  <c r="E207" i="79" s="1"/>
  <c r="I206" i="79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F206" i="79"/>
  <c r="G206" i="79" s="1"/>
  <c r="H206" i="79" s="1"/>
  <c r="D206" i="79"/>
  <c r="E206" i="79" s="1"/>
  <c r="D205" i="79"/>
  <c r="E205" i="79" s="1"/>
  <c r="F205" i="79" s="1"/>
  <c r="G205" i="79" s="1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D204" i="79"/>
  <c r="E204" i="79" s="1"/>
  <c r="F204" i="79" s="1"/>
  <c r="G204" i="79" s="1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E203" i="79"/>
  <c r="F203" i="79" s="1"/>
  <c r="G203" i="79" s="1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D203" i="79"/>
  <c r="H202" i="79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D202" i="79"/>
  <c r="E202" i="79" s="1"/>
  <c r="F202" i="79" s="1"/>
  <c r="G202" i="79" s="1"/>
  <c r="D201" i="79"/>
  <c r="E201" i="79" s="1"/>
  <c r="F201" i="79" s="1"/>
  <c r="G201" i="79" s="1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E200" i="79"/>
  <c r="F200" i="79" s="1"/>
  <c r="G200" i="79" s="1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D200" i="79"/>
  <c r="D199" i="79"/>
  <c r="E199" i="79" s="1"/>
  <c r="F199" i="79" s="1"/>
  <c r="G199" i="79" s="1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D198" i="79"/>
  <c r="E198" i="79" s="1"/>
  <c r="F198" i="79" s="1"/>
  <c r="G198" i="79" s="1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E197" i="79"/>
  <c r="F197" i="79" s="1"/>
  <c r="G197" i="79" s="1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D197" i="79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D196" i="79"/>
  <c r="E196" i="79" s="1"/>
  <c r="F196" i="79" s="1"/>
  <c r="E195" i="79"/>
  <c r="F195" i="79" s="1"/>
  <c r="G195" i="79" s="1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D195" i="79"/>
  <c r="E194" i="79"/>
  <c r="F194" i="79" s="1"/>
  <c r="G194" i="79" s="1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D194" i="79"/>
  <c r="D193" i="79"/>
  <c r="E193" i="79" s="1"/>
  <c r="F193" i="79" s="1"/>
  <c r="G193" i="79" s="1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E192" i="79"/>
  <c r="F192" i="79" s="1"/>
  <c r="G192" i="79" s="1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D192" i="79"/>
  <c r="D191" i="79"/>
  <c r="E191" i="79" s="1"/>
  <c r="F191" i="79" s="1"/>
  <c r="G191" i="79" s="1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D190" i="79"/>
  <c r="E190" i="79" s="1"/>
  <c r="F190" i="79" s="1"/>
  <c r="G190" i="79" s="1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D189" i="79"/>
  <c r="E189" i="79" s="1"/>
  <c r="F189" i="79" s="1"/>
  <c r="G189" i="79" s="1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D188" i="79"/>
  <c r="E188" i="79" s="1"/>
  <c r="F188" i="79" s="1"/>
  <c r="G188" i="79" s="1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D187" i="79"/>
  <c r="E187" i="79" s="1"/>
  <c r="F187" i="79" s="1"/>
  <c r="G187" i="79" s="1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D186" i="79"/>
  <c r="E186" i="79" s="1"/>
  <c r="F186" i="79" s="1"/>
  <c r="G186" i="79" s="1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D185" i="79"/>
  <c r="E185" i="79" s="1"/>
  <c r="F185" i="79" s="1"/>
  <c r="G185" i="79" s="1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D184" i="79"/>
  <c r="E184" i="79" s="1"/>
  <c r="F184" i="79" s="1"/>
  <c r="G184" i="79" s="1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D183" i="79"/>
  <c r="E183" i="79" s="1"/>
  <c r="F183" i="79" s="1"/>
  <c r="G183" i="79" s="1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D182" i="79"/>
  <c r="E182" i="79" s="1"/>
  <c r="F182" i="79" s="1"/>
  <c r="G182" i="79" s="1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D181" i="79"/>
  <c r="E181" i="79" s="1"/>
  <c r="F181" i="79" s="1"/>
  <c r="G181" i="79" s="1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D180" i="79"/>
  <c r="E180" i="79" s="1"/>
  <c r="F180" i="79" s="1"/>
  <c r="G180" i="79" s="1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E179" i="79"/>
  <c r="F179" i="79" s="1"/>
  <c r="G179" i="79" s="1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D179" i="79"/>
  <c r="D178" i="79"/>
  <c r="E178" i="79" s="1"/>
  <c r="F178" i="79" s="1"/>
  <c r="G178" i="79" s="1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D177" i="79"/>
  <c r="D176" i="79"/>
  <c r="E176" i="79" s="1"/>
  <c r="F176" i="79" s="1"/>
  <c r="G176" i="79" s="1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D175" i="79"/>
  <c r="E175" i="79" s="1"/>
  <c r="F175" i="79" s="1"/>
  <c r="G175" i="79" s="1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D174" i="79"/>
  <c r="E174" i="79" s="1"/>
  <c r="F174" i="79" s="1"/>
  <c r="G174" i="79" s="1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D173" i="79"/>
  <c r="E173" i="79" s="1"/>
  <c r="F173" i="79" s="1"/>
  <c r="G173" i="79" s="1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F172" i="79"/>
  <c r="G172" i="79" s="1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E172" i="79"/>
  <c r="D172" i="79"/>
  <c r="D171" i="79"/>
  <c r="E171" i="79" s="1"/>
  <c r="F171" i="79" s="1"/>
  <c r="G171" i="79" s="1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D170" i="79"/>
  <c r="E170" i="79" s="1"/>
  <c r="F170" i="79" s="1"/>
  <c r="G170" i="79" s="1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D169" i="79"/>
  <c r="AG167" i="79"/>
  <c r="E166" i="79"/>
  <c r="F166" i="79" s="1"/>
  <c r="G166" i="79" s="1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D166" i="79"/>
  <c r="D165" i="79"/>
  <c r="E165" i="79" s="1"/>
  <c r="F165" i="79" s="1"/>
  <c r="G165" i="79" s="1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E164" i="79"/>
  <c r="F164" i="79" s="1"/>
  <c r="G164" i="79" s="1"/>
  <c r="H164" i="79" s="1"/>
  <c r="I164" i="79" s="1"/>
  <c r="J164" i="79" s="1"/>
  <c r="K164" i="79" s="1"/>
  <c r="L164" i="79" s="1"/>
  <c r="D164" i="79"/>
  <c r="D163" i="79"/>
  <c r="E163" i="79" s="1"/>
  <c r="F163" i="79" s="1"/>
  <c r="G163" i="79" s="1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I162" i="79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D162" i="79"/>
  <c r="E162" i="79" s="1"/>
  <c r="F162" i="79" s="1"/>
  <c r="G162" i="79" s="1"/>
  <c r="H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G124" i="79"/>
  <c r="AE123" i="79"/>
  <c r="AD123" i="79"/>
  <c r="U123" i="79"/>
  <c r="U124" i="79" s="1"/>
  <c r="M123" i="79"/>
  <c r="M124" i="79" s="1"/>
  <c r="G123" i="79"/>
  <c r="E123" i="79"/>
  <c r="E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R122" i="79"/>
  <c r="Q122" i="79"/>
  <c r="P122" i="79"/>
  <c r="O122" i="79"/>
  <c r="N122" i="79"/>
  <c r="M122" i="79"/>
  <c r="L122" i="79"/>
  <c r="K122" i="79"/>
  <c r="J122" i="79"/>
  <c r="I122" i="79"/>
  <c r="AH122" i="79" s="1"/>
  <c r="H122" i="79"/>
  <c r="G122" i="79"/>
  <c r="F122" i="79"/>
  <c r="E122" i="79"/>
  <c r="D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R121" i="79"/>
  <c r="Q121" i="79"/>
  <c r="P121" i="79"/>
  <c r="O121" i="79"/>
  <c r="N121" i="79"/>
  <c r="M121" i="79"/>
  <c r="L121" i="79"/>
  <c r="K121" i="79"/>
  <c r="J121" i="79"/>
  <c r="I121" i="79"/>
  <c r="H121" i="79"/>
  <c r="G121" i="79"/>
  <c r="F121" i="79"/>
  <c r="E121" i="79"/>
  <c r="D121" i="79"/>
  <c r="AH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R120" i="79"/>
  <c r="R123" i="79" s="1"/>
  <c r="Q120" i="79"/>
  <c r="P120" i="79"/>
  <c r="O120" i="79"/>
  <c r="N120" i="79"/>
  <c r="M120" i="79"/>
  <c r="L120" i="79"/>
  <c r="K120" i="79"/>
  <c r="J120" i="79"/>
  <c r="I120" i="79"/>
  <c r="H120" i="79"/>
  <c r="G120" i="79"/>
  <c r="F120" i="79"/>
  <c r="E120" i="79"/>
  <c r="D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R119" i="79"/>
  <c r="Q119" i="79"/>
  <c r="P119" i="79"/>
  <c r="O119" i="79"/>
  <c r="N119" i="79"/>
  <c r="N123" i="79" s="1"/>
  <c r="AV23" i="79" s="1"/>
  <c r="M119" i="79"/>
  <c r="L119" i="79"/>
  <c r="K119" i="79"/>
  <c r="J119" i="79"/>
  <c r="I119" i="79"/>
  <c r="H119" i="79"/>
  <c r="G119" i="79"/>
  <c r="F119" i="79"/>
  <c r="E119" i="79"/>
  <c r="D119" i="79"/>
  <c r="AI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R118" i="79"/>
  <c r="Q118" i="79"/>
  <c r="P118" i="79"/>
  <c r="O118" i="79"/>
  <c r="O123" i="79" s="1"/>
  <c r="N118" i="79"/>
  <c r="M118" i="79"/>
  <c r="L118" i="79"/>
  <c r="K118" i="79"/>
  <c r="J118" i="79"/>
  <c r="I118" i="79"/>
  <c r="H118" i="79"/>
  <c r="G118" i="79"/>
  <c r="F118" i="79"/>
  <c r="E118" i="79"/>
  <c r="D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R117" i="79"/>
  <c r="Q117" i="79"/>
  <c r="P117" i="79"/>
  <c r="P123" i="79" s="1"/>
  <c r="AX23" i="79" s="1"/>
  <c r="O117" i="79"/>
  <c r="N117" i="79"/>
  <c r="M117" i="79"/>
  <c r="L117" i="79"/>
  <c r="K117" i="79"/>
  <c r="J117" i="79"/>
  <c r="I117" i="79"/>
  <c r="H117" i="79"/>
  <c r="H123" i="79" s="1"/>
  <c r="G117" i="79"/>
  <c r="F117" i="79"/>
  <c r="F123" i="79" s="1"/>
  <c r="AQ23" i="79" s="1"/>
  <c r="E117" i="79"/>
  <c r="D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113" i="79"/>
  <c r="O115" i="79" s="1"/>
  <c r="O116" i="79" s="1"/>
  <c r="O7" i="79" s="1"/>
  <c r="M113" i="79"/>
  <c r="M115" i="79" s="1"/>
  <c r="M116" i="79" s="1"/>
  <c r="M7" i="79" s="1"/>
  <c r="D113" i="79"/>
  <c r="D115" i="79" s="1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R108" i="79"/>
  <c r="Q108" i="79"/>
  <c r="P108" i="79"/>
  <c r="O108" i="79"/>
  <c r="O124" i="79" s="1"/>
  <c r="N108" i="79"/>
  <c r="M108" i="79"/>
  <c r="L108" i="79"/>
  <c r="K108" i="79"/>
  <c r="J108" i="79"/>
  <c r="I108" i="79"/>
  <c r="H108" i="79"/>
  <c r="G108" i="79"/>
  <c r="F108" i="79"/>
  <c r="E108" i="79"/>
  <c r="D108" i="79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R96" i="79"/>
  <c r="Q96" i="79"/>
  <c r="P96" i="79"/>
  <c r="O96" i="79"/>
  <c r="N96" i="79"/>
  <c r="M96" i="79"/>
  <c r="L96" i="79"/>
  <c r="K96" i="79"/>
  <c r="J96" i="79"/>
  <c r="I96" i="79"/>
  <c r="H96" i="79"/>
  <c r="G96" i="79"/>
  <c r="F96" i="79"/>
  <c r="E96" i="79"/>
  <c r="D96" i="79"/>
  <c r="AI95" i="79"/>
  <c r="AH95" i="79"/>
  <c r="AI94" i="79"/>
  <c r="AH94" i="79"/>
  <c r="AI93" i="79"/>
  <c r="AH93" i="79"/>
  <c r="AI92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R92" i="79"/>
  <c r="Q92" i="79"/>
  <c r="P92" i="79"/>
  <c r="O92" i="79"/>
  <c r="N92" i="79"/>
  <c r="M92" i="79"/>
  <c r="L92" i="79"/>
  <c r="K92" i="79"/>
  <c r="AT18" i="79" s="1"/>
  <c r="J92" i="79"/>
  <c r="I92" i="79"/>
  <c r="H92" i="79"/>
  <c r="G92" i="79"/>
  <c r="F92" i="79"/>
  <c r="E92" i="79"/>
  <c r="D92" i="79"/>
  <c r="AH92" i="79"/>
  <c r="BU91" i="79"/>
  <c r="BT91" i="79"/>
  <c r="BS91" i="79"/>
  <c r="BQ91" i="79"/>
  <c r="BM91" i="79"/>
  <c r="BL91" i="79"/>
  <c r="BI91" i="79"/>
  <c r="BG91" i="79"/>
  <c r="BD91" i="79"/>
  <c r="BA91" i="79"/>
  <c r="AI91" i="79"/>
  <c r="AH91" i="79"/>
  <c r="AG91" i="79"/>
  <c r="BV90" i="79"/>
  <c r="BS90" i="79"/>
  <c r="BR90" i="79"/>
  <c r="BG90" i="79"/>
  <c r="BB90" i="79"/>
  <c r="BA90" i="79"/>
  <c r="AI90" i="79"/>
  <c r="AH90" i="79"/>
  <c r="BT89" i="79"/>
  <c r="BS89" i="79"/>
  <c r="BQ89" i="79"/>
  <c r="BP89" i="79"/>
  <c r="BN89" i="79"/>
  <c r="BK89" i="79"/>
  <c r="BI89" i="79"/>
  <c r="BH89" i="79"/>
  <c r="BA89" i="79"/>
  <c r="AI89" i="79"/>
  <c r="AH89" i="79"/>
  <c r="BS88" i="79"/>
  <c r="BR88" i="79"/>
  <c r="BP88" i="79"/>
  <c r="BK88" i="79"/>
  <c r="BJ88" i="79"/>
  <c r="BE88" i="79"/>
  <c r="BC88" i="79"/>
  <c r="BB88" i="79"/>
  <c r="AI88" i="79"/>
  <c r="AH88" i="79"/>
  <c r="BR87" i="79"/>
  <c r="BO87" i="79"/>
  <c r="BN87" i="79"/>
  <c r="BM87" i="79"/>
  <c r="BG87" i="79"/>
  <c r="BE87" i="79"/>
  <c r="BD87" i="79"/>
  <c r="AI87" i="79"/>
  <c r="AH87" i="79"/>
  <c r="BV86" i="79"/>
  <c r="BO86" i="79"/>
  <c r="BL86" i="79"/>
  <c r="BG86" i="79"/>
  <c r="BD86" i="79"/>
  <c r="BC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K84" i="79"/>
  <c r="BK91" i="79" s="1"/>
  <c r="BJ84" i="79"/>
  <c r="BJ91" i="79" s="1"/>
  <c r="BI84" i="79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J81" i="79"/>
  <c r="BI81" i="79"/>
  <c r="BI88" i="79" s="1"/>
  <c r="BH81" i="79"/>
  <c r="BH88" i="79" s="1"/>
  <c r="BG81" i="79"/>
  <c r="BG88" i="79" s="1"/>
  <c r="BF81" i="79"/>
  <c r="BF88" i="79" s="1"/>
  <c r="BE81" i="79"/>
  <c r="BD81" i="79"/>
  <c r="BD88" i="79" s="1"/>
  <c r="BC81" i="79"/>
  <c r="BB81" i="79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F80" i="79"/>
  <c r="BF87" i="79" s="1"/>
  <c r="BE80" i="79"/>
  <c r="BD80" i="79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C79" i="79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R78" i="79"/>
  <c r="Q78" i="79"/>
  <c r="AY17" i="79" s="1"/>
  <c r="P78" i="79"/>
  <c r="O78" i="79"/>
  <c r="N78" i="79"/>
  <c r="AV17" i="79" s="1"/>
  <c r="M78" i="79"/>
  <c r="L78" i="79"/>
  <c r="K78" i="79"/>
  <c r="K113" i="79" s="1"/>
  <c r="K115" i="79" s="1"/>
  <c r="J78" i="79"/>
  <c r="I78" i="79"/>
  <c r="H78" i="79"/>
  <c r="G78" i="79"/>
  <c r="F78" i="79"/>
  <c r="AQ17" i="79" s="1"/>
  <c r="E78" i="79"/>
  <c r="D78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R71" i="79"/>
  <c r="R113" i="79" s="1"/>
  <c r="R115" i="79" s="1"/>
  <c r="Q71" i="79"/>
  <c r="Q113" i="79" s="1"/>
  <c r="Q115" i="79" s="1"/>
  <c r="P71" i="79"/>
  <c r="P113" i="79" s="1"/>
  <c r="P115" i="79" s="1"/>
  <c r="P116" i="79" s="1"/>
  <c r="P7" i="79" s="1"/>
  <c r="O71" i="79"/>
  <c r="N71" i="79"/>
  <c r="M71" i="79"/>
  <c r="L71" i="79"/>
  <c r="K71" i="79"/>
  <c r="J71" i="79"/>
  <c r="J113" i="79" s="1"/>
  <c r="J115" i="79" s="1"/>
  <c r="I71" i="79"/>
  <c r="H71" i="79"/>
  <c r="H113" i="79" s="1"/>
  <c r="H115" i="79" s="1"/>
  <c r="G71" i="79"/>
  <c r="G113" i="79" s="1"/>
  <c r="G115" i="79" s="1"/>
  <c r="G116" i="79" s="1"/>
  <c r="G7" i="79" s="1"/>
  <c r="F71" i="79"/>
  <c r="E71" i="79"/>
  <c r="AP16" i="79" s="1"/>
  <c r="AP22" i="79" s="1"/>
  <c r="D71" i="79"/>
  <c r="AI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R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S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S19" i="79"/>
  <c r="AR19" i="79"/>
  <c r="AQ19" i="79"/>
  <c r="AP19" i="79"/>
  <c r="AO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U22" i="79" s="1"/>
  <c r="AS18" i="79"/>
  <c r="AR18" i="79"/>
  <c r="AQ18" i="79"/>
  <c r="AP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S22" i="79" s="1"/>
  <c r="AR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Y16" i="79"/>
  <c r="AY22" i="79" s="1"/>
  <c r="AW16" i="79"/>
  <c r="AW22" i="79" s="1"/>
  <c r="AW25" i="79" s="1"/>
  <c r="AU16" i="79"/>
  <c r="AT16" i="79"/>
  <c r="AS16" i="79"/>
  <c r="AR16" i="79"/>
  <c r="AR22" i="79" s="1"/>
  <c r="AR25" i="79" s="1"/>
  <c r="AQ16" i="79"/>
  <c r="AQ22" i="79" s="1"/>
  <c r="AO16" i="79"/>
  <c r="AO22" i="79" s="1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H5" i="79"/>
  <c r="G5" i="79"/>
  <c r="F5" i="79"/>
  <c r="E5" i="79"/>
  <c r="D5" i="79"/>
  <c r="C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C123" i="79" l="1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AO25" i="79"/>
  <c r="AQ25" i="79"/>
  <c r="J116" i="79"/>
  <c r="J7" i="79" s="1"/>
  <c r="BF22" i="79"/>
  <c r="BF25" i="79" s="1"/>
  <c r="BA22" i="79"/>
  <c r="BC25" i="79"/>
  <c r="AZ23" i="79"/>
  <c r="R124" i="79"/>
  <c r="AT22" i="79"/>
  <c r="D116" i="79"/>
  <c r="D7" i="79" s="1"/>
  <c r="Z170" i="79"/>
  <c r="Y135" i="79"/>
  <c r="BH22" i="79"/>
  <c r="BH25" i="79" s="1"/>
  <c r="D124" i="79"/>
  <c r="BI22" i="79"/>
  <c r="BI25" i="79" s="1"/>
  <c r="AI121" i="79"/>
  <c r="AH120" i="79"/>
  <c r="BG95" i="79" a="1"/>
  <c r="AZ86" i="79"/>
  <c r="AI96" i="79"/>
  <c r="AH96" i="79"/>
  <c r="D161" i="79"/>
  <c r="AU23" i="79"/>
  <c r="AU25" i="79" s="1"/>
  <c r="BC23" i="79"/>
  <c r="L113" i="79"/>
  <c r="L115" i="79" s="1"/>
  <c r="AB113" i="79"/>
  <c r="AB115" i="79" s="1"/>
  <c r="L124" i="79"/>
  <c r="AH119" i="79"/>
  <c r="J123" i="79"/>
  <c r="J124" i="79" s="1"/>
  <c r="AI118" i="79"/>
  <c r="D274" i="79"/>
  <c r="E169" i="79"/>
  <c r="N113" i="79"/>
  <c r="N115" i="79" s="1"/>
  <c r="N116" i="79" s="1"/>
  <c r="N7" i="79" s="1"/>
  <c r="V113" i="79"/>
  <c r="V115" i="79" s="1"/>
  <c r="AD113" i="79"/>
  <c r="AD115" i="79" s="1"/>
  <c r="AD116" i="79" s="1"/>
  <c r="AD7" i="79" s="1"/>
  <c r="F124" i="79"/>
  <c r="N124" i="79"/>
  <c r="AI117" i="79"/>
  <c r="K123" i="79"/>
  <c r="K116" i="79" s="1"/>
  <c r="K7" i="79" s="1"/>
  <c r="S123" i="79"/>
  <c r="AA123" i="79"/>
  <c r="AA124" i="79" s="1"/>
  <c r="R116" i="79"/>
  <c r="R7" i="79" s="1"/>
  <c r="AH71" i="79"/>
  <c r="Z124" i="79"/>
  <c r="F113" i="79"/>
  <c r="F115" i="79" s="1"/>
  <c r="F116" i="79" s="1"/>
  <c r="F7" i="79" s="1"/>
  <c r="AV16" i="79"/>
  <c r="AV22" i="79" s="1"/>
  <c r="AV25" i="79" s="1"/>
  <c r="BD16" i="79"/>
  <c r="BD22" i="79" s="1"/>
  <c r="BD25" i="79" s="1"/>
  <c r="AP23" i="79"/>
  <c r="AP25" i="79" s="1"/>
  <c r="AE124" i="79"/>
  <c r="E113" i="79"/>
  <c r="E115" i="79" s="1"/>
  <c r="E116" i="79" s="1"/>
  <c r="E7" i="79" s="1"/>
  <c r="D123" i="79"/>
  <c r="AO23" i="79" s="1"/>
  <c r="L123" i="79"/>
  <c r="T123" i="79"/>
  <c r="BB23" i="79" s="1"/>
  <c r="BB25" i="79" s="1"/>
  <c r="AB123" i="79"/>
  <c r="AM16" i="79"/>
  <c r="AM20" i="79"/>
  <c r="X116" i="79"/>
  <c r="X7" i="79" s="1"/>
  <c r="H124" i="79"/>
  <c r="P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E177" i="79"/>
  <c r="D135" i="79"/>
  <c r="I124" i="79"/>
  <c r="I123" i="79"/>
  <c r="AS23" i="79" s="1"/>
  <c r="AS25" i="79" s="1"/>
  <c r="Q123" i="79"/>
  <c r="AY23" i="79" s="1"/>
  <c r="AY25" i="79" s="1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C116" i="79" l="1"/>
  <c r="C7" i="79" s="1"/>
  <c r="AM22" i="79"/>
  <c r="D167" i="79"/>
  <c r="E161" i="79"/>
  <c r="AA116" i="79"/>
  <c r="AA7" i="79" s="1"/>
  <c r="F177" i="79"/>
  <c r="E135" i="79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E274" i="79"/>
  <c r="F169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116" i="79"/>
  <c r="Q7" i="79" s="1"/>
  <c r="BG23" i="79"/>
  <c r="BG25" i="79" s="1"/>
  <c r="AB124" i="79"/>
  <c r="AH124" i="79"/>
  <c r="AN23" i="79"/>
  <c r="AN25" i="79" s="1"/>
  <c r="I116" i="79"/>
  <c r="I7" i="79" s="1"/>
  <c r="AJ123" i="79" a="1"/>
  <c r="AJ123" i="79" s="1"/>
  <c r="AH123" i="79"/>
  <c r="AI123" i="79"/>
  <c r="AM23" i="79"/>
  <c r="AT23" i="79"/>
  <c r="K124" i="79"/>
  <c r="AH113" i="79"/>
  <c r="AI113" i="79"/>
  <c r="AB116" i="79"/>
  <c r="AB7" i="79" s="1"/>
  <c r="V124" i="79"/>
  <c r="L116" i="79"/>
  <c r="L7" i="79" s="1"/>
  <c r="Q124" i="79"/>
  <c r="AT25" i="79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M25" i="79" l="1"/>
  <c r="AT9" i="79" s="1"/>
  <c r="F274" i="79"/>
  <c r="G169" i="79"/>
  <c r="AI124" i="79"/>
  <c r="G177" i="79"/>
  <c r="F135" i="79"/>
  <c r="E167" i="79"/>
  <c r="F161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F167" i="79"/>
  <c r="G161" i="79"/>
  <c r="I177" i="79" l="1"/>
  <c r="H135" i="79"/>
  <c r="H161" i="79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135" i="79"/>
  <c r="M274" i="79"/>
  <c r="N169" i="79"/>
  <c r="N274" i="79" l="1"/>
  <c r="O169" i="79"/>
  <c r="O177" i="79"/>
  <c r="N135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O135" i="79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Q135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R135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<sst xmlns="http://schemas.openxmlformats.org/spreadsheetml/2006/main" count="2506" uniqueCount="418">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</sst>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4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39" priority="47">
      <formula>$AH11=0</formula>
    </cfRule>
  </conditionalFormatting>
  <conditionalFormatting sqref="A101:A102">
    <cfRule type="expression" dxfId="1338" priority="215">
      <formula>$AH106=0</formula>
    </cfRule>
  </conditionalFormatting>
  <conditionalFormatting sqref="A103:A107">
    <cfRule type="expression" dxfId="1337" priority="163">
      <formula>$AH102=0</formula>
    </cfRule>
  </conditionalFormatting>
  <conditionalFormatting sqref="A160:A167">
    <cfRule type="expression" dxfId="1336" priority="216">
      <formula>$AH267=0</formula>
    </cfRule>
  </conditionalFormatting>
  <conditionalFormatting sqref="A168:A275">
    <cfRule type="expression" dxfId="1335" priority="86">
      <formula>$AH168=0</formula>
    </cfRule>
  </conditionalFormatting>
  <conditionalFormatting sqref="B8">
    <cfRule type="expression" dxfId="1334" priority="211">
      <formula>AND(C$9&gt;=14/24,C$9&lt;20/24)</formula>
    </cfRule>
    <cfRule type="expression" dxfId="1333" priority="212">
      <formula>AND(C$9&gt;=8/24,C$9&lt;14/24)</formula>
    </cfRule>
    <cfRule type="expression" dxfId="1332" priority="213">
      <formula>C$9&lt;8/24</formula>
    </cfRule>
    <cfRule type="expression" dxfId="133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3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29" priority="129">
      <formula>AND(B$9&gt;=14/24,B$9&lt;20/24)</formula>
    </cfRule>
    <cfRule type="expression" dxfId="1328" priority="130">
      <formula>AND(B$9&gt;=8/24,B$9&lt;14/24)</formula>
    </cfRule>
    <cfRule type="expression" dxfId="1327" priority="131">
      <formula>B$9&lt;8/24</formula>
    </cfRule>
  </conditionalFormatting>
  <conditionalFormatting sqref="B29:Y53">
    <cfRule type="expression" dxfId="1326" priority="71">
      <formula>B29&gt;$AG29*1</formula>
    </cfRule>
    <cfRule type="expression" dxfId="1325" priority="72">
      <formula>B$9&gt;=20/24</formula>
    </cfRule>
    <cfRule type="expression" dxfId="1324" priority="73">
      <formula>AND(B$9&gt;=14/24,B$9&lt;20/24)</formula>
    </cfRule>
    <cfRule type="expression" dxfId="1323" priority="74">
      <formula>AND(B$9&gt;=8/24,B$9&lt;14/24)</formula>
    </cfRule>
    <cfRule type="expression" dxfId="1322" priority="75">
      <formula>B$9&lt;8/24</formula>
    </cfRule>
  </conditionalFormatting>
  <conditionalFormatting sqref="B54:Y68">
    <cfRule type="expression" dxfId="1321" priority="64">
      <formula>B$9&lt;8/24</formula>
    </cfRule>
  </conditionalFormatting>
  <conditionalFormatting sqref="B54:Y70">
    <cfRule type="expression" dxfId="1320" priority="61">
      <formula>B$9&gt;=20/24</formula>
    </cfRule>
    <cfRule type="expression" dxfId="1319" priority="62">
      <formula>AND(B$9&gt;=14/24,B$9&lt;20/24)</formula>
    </cfRule>
    <cfRule type="expression" dxfId="1318" priority="63">
      <formula>AND(B$9&gt;=8/24,B$9&lt;14/24)</formula>
    </cfRule>
  </conditionalFormatting>
  <conditionalFormatting sqref="B63:Y65">
    <cfRule type="expression" dxfId="1317" priority="65">
      <formula>B63&gt;$AG63</formula>
    </cfRule>
  </conditionalFormatting>
  <conditionalFormatting sqref="B69:Y70">
    <cfRule type="expression" dxfId="1316" priority="136">
      <formula>B$9&lt;8/24</formula>
    </cfRule>
  </conditionalFormatting>
  <conditionalFormatting sqref="B72:AF75">
    <cfRule type="expression" dxfId="1315" priority="52">
      <formula>B72&gt;$AG72*1</formula>
    </cfRule>
  </conditionalFormatting>
  <conditionalFormatting sqref="B73:AF75">
    <cfRule type="expression" dxfId="1314" priority="53">
      <formula>B$9&gt;=20/24</formula>
    </cfRule>
    <cfRule type="expression" dxfId="1313" priority="54">
      <formula>AND(B$9&gt;=14/24,B$9&lt;20/24)</formula>
    </cfRule>
    <cfRule type="expression" dxfId="1312" priority="55">
      <formula>AND(B$9&gt;=8/24,B$9&lt;14/24)</formula>
    </cfRule>
    <cfRule type="expression" dxfId="1311" priority="56">
      <formula>B$9&lt;8/24</formula>
    </cfRule>
  </conditionalFormatting>
  <conditionalFormatting sqref="F161:AF167">
    <cfRule type="expression" dxfId="1310" priority="87">
      <formula>F$9&gt;=20/24</formula>
    </cfRule>
    <cfRule type="expression" dxfId="1309" priority="88">
      <formula>AND(F$9&gt;=14/24,F$9&lt;20/24)</formula>
    </cfRule>
    <cfRule type="expression" dxfId="1308" priority="89">
      <formula>AND(F$9&gt;=8/24,F$9&lt;14/24)</formula>
    </cfRule>
    <cfRule type="expression" dxfId="1307" priority="90">
      <formula>F$9&lt;8/24</formula>
    </cfRule>
  </conditionalFormatting>
  <conditionalFormatting sqref="F169:AF274">
    <cfRule type="expression" dxfId="1306" priority="48">
      <formula>F$9&gt;=20/24</formula>
    </cfRule>
    <cfRule type="expression" dxfId="1305" priority="49">
      <formula>AND(F$9&gt;=14/24,F$9&lt;20/24)</formula>
    </cfRule>
    <cfRule type="expression" dxfId="1304" priority="50">
      <formula>AND(F$9&gt;=8/24,F$9&lt;14/24)</formula>
    </cfRule>
    <cfRule type="expression" dxfId="1303" priority="51">
      <formula>F$9&lt;8/24</formula>
    </cfRule>
  </conditionalFormatting>
  <conditionalFormatting sqref="AF96:AG96 B71:AG71 Z78:AG78 X91:AF91 B76:W96 B69:Y69 X76:Y90 X92:AE96 Z76:AF77 Z79:AF90 AF92:AF95">
    <cfRule type="expression" dxfId="1302" priority="127">
      <formula>B69&gt;$AG69*1</formula>
    </cfRule>
  </conditionalFormatting>
  <conditionalFormatting sqref="F79:Y83">
    <cfRule type="expression" dxfId="1301" priority="137">
      <formula>F$9&gt;=20/24</formula>
    </cfRule>
    <cfRule type="expression" dxfId="1300" priority="138">
      <formula>AND(F$9&gt;=14/24,F$9&lt;20/24)</formula>
    </cfRule>
    <cfRule type="expression" dxfId="1299" priority="139">
      <formula>AND(F$9&gt;=8/24,F$9&lt;14/24)</formula>
    </cfRule>
    <cfRule type="expression" dxfId="1298" priority="140">
      <formula>F$9&lt;8/24</formula>
    </cfRule>
  </conditionalFormatting>
  <conditionalFormatting sqref="F84:Y84">
    <cfRule type="expression" dxfId="1297" priority="132">
      <formula>F$9&gt;=20/24</formula>
    </cfRule>
    <cfRule type="expression" dxfId="1296" priority="133">
      <formula>AND(F$9&gt;=14/24,F$9&lt;20/24)</formula>
    </cfRule>
    <cfRule type="expression" dxfId="1295" priority="134">
      <formula>AND(F$9&gt;=8/24,F$9&lt;14/24)</formula>
    </cfRule>
    <cfRule type="expression" dxfId="1294" priority="135">
      <formula>F$9&lt;8/24</formula>
    </cfRule>
  </conditionalFormatting>
  <conditionalFormatting sqref="F78:AF78 B72:AF72">
    <cfRule type="expression" dxfId="1293" priority="147">
      <formula>B$9&gt;=20/24</formula>
    </cfRule>
    <cfRule type="expression" dxfId="1292" priority="148">
      <formula>AND(B$9&gt;=14/24,B$9&lt;20/24)</formula>
    </cfRule>
    <cfRule type="expression" dxfId="1291" priority="149">
      <formula>AND(B$9&gt;=8/24,B$9&lt;14/24)</formula>
    </cfRule>
    <cfRule type="expression" dxfId="1290" priority="150">
      <formula>B$9&lt;8/24</formula>
    </cfRule>
  </conditionalFormatting>
  <conditionalFormatting sqref="F79:Y81">
    <cfRule type="expression" dxfId="1289" priority="155">
      <formula>F$9&gt;=20/24</formula>
    </cfRule>
    <cfRule type="expression" dxfId="1288" priority="156">
      <formula>AND(F$9&gt;=14/24,F$9&lt;20/24)</formula>
    </cfRule>
    <cfRule type="expression" dxfId="1287" priority="157">
      <formula>AND(F$9&gt;=8/24,F$9&lt;14/24)</formula>
    </cfRule>
    <cfRule type="expression" dxfId="1286" priority="158">
      <formula>F$9&lt;8/24</formula>
    </cfRule>
  </conditionalFormatting>
  <conditionalFormatting sqref="L84:AF84">
    <cfRule type="expression" dxfId="1285" priority="151">
      <formula>L$9&gt;=20/24</formula>
    </cfRule>
    <cfRule type="expression" dxfId="1284" priority="152">
      <formula>AND(L$9&gt;=14/24,L$9&lt;20/24)</formula>
    </cfRule>
    <cfRule type="expression" dxfId="1283" priority="153">
      <formula>AND(L$9&gt;=8/24,L$9&lt;14/24)</formula>
    </cfRule>
    <cfRule type="expression" dxfId="1282" priority="154">
      <formula>L$9&lt;8/24</formula>
    </cfRule>
  </conditionalFormatting>
  <conditionalFormatting sqref="M8 S8 AB8">
    <cfRule type="expression" dxfId="1281" priority="204">
      <formula>AND(N$9&gt;=14/24,N$9&lt;20/24)</formula>
    </cfRule>
    <cfRule type="expression" dxfId="1280" priority="205">
      <formula>AND(N$9&gt;=8/24,N$9&lt;14/24)</formula>
    </cfRule>
    <cfRule type="expression" dxfId="1279" priority="206">
      <formula>N$9&lt;8/24</formula>
    </cfRule>
  </conditionalFormatting>
  <conditionalFormatting sqref="T79:Y83 Z80:AF83">
    <cfRule type="expression" dxfId="1278" priority="159">
      <formula>T$9&gt;=20/24</formula>
    </cfRule>
    <cfRule type="expression" dxfId="1277" priority="160">
      <formula>AND(T$9&gt;=14/24,T$9&lt;20/24)</formula>
    </cfRule>
    <cfRule type="expression" dxfId="1276" priority="161">
      <formula>AND(T$9&gt;=8/24,T$9&lt;14/24)</formula>
    </cfRule>
    <cfRule type="expression" dxfId="127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74" priority="203">
      <formula>N$9&gt;=20/24</formula>
    </cfRule>
  </conditionalFormatting>
  <conditionalFormatting sqref="S8">
    <cfRule type="expression" dxfId="1273" priority="194">
      <formula>U$9&gt;=20/24</formula>
    </cfRule>
    <cfRule type="expression" dxfId="1272" priority="195">
      <formula>AND(U$9&gt;=14/24,U$9&lt;20/24)</formula>
    </cfRule>
    <cfRule type="expression" dxfId="1271" priority="196">
      <formula>AND(U$9&gt;=8/24,U$9&lt;14/24)</formula>
    </cfRule>
    <cfRule type="expression" dxfId="1270" priority="197">
      <formula>U$9&lt;8/24</formula>
    </cfRule>
  </conditionalFormatting>
  <conditionalFormatting sqref="T79:AF84">
    <cfRule type="expression" dxfId="1269" priority="81">
      <formula>T$9&gt;=20/24</formula>
    </cfRule>
    <cfRule type="expression" dxfId="1268" priority="82">
      <formula>AND(T$9&gt;=14/24,T$9&lt;20/24)</formula>
    </cfRule>
    <cfRule type="expression" dxfId="1267" priority="83">
      <formula>AND(T$9&gt;=8/24,T$9&lt;14/24)</formula>
    </cfRule>
    <cfRule type="expression" dxfId="126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265" priority="141">
      <formula>B54&gt;$AG54</formula>
    </cfRule>
  </conditionalFormatting>
  <conditionalFormatting sqref="AB8">
    <cfRule type="expression" dxfId="1264" priority="190">
      <formula>AD$9&gt;=20/24</formula>
    </cfRule>
    <cfRule type="expression" dxfId="1263" priority="191">
      <formula>AND(AD$9&gt;=14/24,AD$9&lt;20/24)</formula>
    </cfRule>
    <cfRule type="expression" dxfId="1262" priority="192">
      <formula>AND(AD$9&gt;=8/24,AD$9&lt;14/24)</formula>
    </cfRule>
    <cfRule type="expression" dxfId="1261" priority="193">
      <formula>AD$9&lt;8/24</formula>
    </cfRule>
  </conditionalFormatting>
  <conditionalFormatting sqref="AG78">
    <cfRule type="expression" dxfId="1260" priority="169">
      <formula>AG$9&gt;=20/24</formula>
    </cfRule>
    <cfRule type="expression" dxfId="1259" priority="170">
      <formula>AND(AG$9&gt;=14/24,AG$9&lt;20/24)</formula>
    </cfRule>
    <cfRule type="expression" dxfId="1258" priority="171">
      <formula>AND(AG$9&gt;=8/24,AG$9&lt;14/24)</formula>
    </cfRule>
    <cfRule type="expression" dxfId="1257" priority="172">
      <formula>AG$9&lt;8/24</formula>
    </cfRule>
  </conditionalFormatting>
  <conditionalFormatting sqref="AG91:AG92">
    <cfRule type="expression" dxfId="1256" priority="164">
      <formula>AG91&gt;$AG91</formula>
    </cfRule>
  </conditionalFormatting>
  <conditionalFormatting sqref="AG96">
    <cfRule type="expression" dxfId="1255" priority="165">
      <formula>AG$9&gt;=20/24</formula>
    </cfRule>
    <cfRule type="expression" dxfId="1254" priority="166">
      <formula>AND(AG$9&gt;=14/24,AG$9&lt;20/24)</formula>
    </cfRule>
    <cfRule type="expression" dxfId="1253" priority="167">
      <formula>AND(AG$9&gt;=8/24,AG$9&lt;14/24)</formula>
    </cfRule>
    <cfRule type="expression" dxfId="1252" priority="168">
      <formula>AG$9&lt;8/24</formula>
    </cfRule>
  </conditionalFormatting>
  <conditionalFormatting sqref="AG113">
    <cfRule type="expression" dxfId="1251" priority="186">
      <formula>AG$9&gt;=20/24</formula>
    </cfRule>
    <cfRule type="expression" dxfId="1250" priority="187">
      <formula>AND(AG$9&gt;=14/24,AG$9&lt;20/24)</formula>
    </cfRule>
    <cfRule type="expression" dxfId="1249" priority="188">
      <formula>AND(AG$9&gt;=8/24,AG$9&lt;14/24)</formula>
    </cfRule>
    <cfRule type="expression" dxfId="1248" priority="189">
      <formula>AG$9&lt;8/24</formula>
    </cfRule>
  </conditionalFormatting>
  <conditionalFormatting sqref="AH8:AI10">
    <cfRule type="expression" dxfId="1247" priority="77">
      <formula>AH$9&gt;=20/24</formula>
    </cfRule>
    <cfRule type="expression" dxfId="1246" priority="78">
      <formula>AND(AH$9&gt;=14/24,AH$9&lt;20/24)</formula>
    </cfRule>
    <cfRule type="expression" dxfId="1245" priority="79">
      <formula>AND(AH$9&gt;=8/24,AH$9&lt;14/24)</formula>
    </cfRule>
    <cfRule type="expression" dxfId="124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43" priority="207">
      <formula>AJ$9&gt;=20/24</formula>
    </cfRule>
    <cfRule type="expression" dxfId="1242" priority="208">
      <formula>AND(AJ$9&gt;=14/24,AJ$9&lt;20/24)</formula>
    </cfRule>
    <cfRule type="expression" dxfId="1241" priority="209">
      <formula>AND(AJ$9&gt;=8/24,AJ$9&lt;14/24)</formula>
    </cfRule>
    <cfRule type="expression" dxfId="1240" priority="210">
      <formula>AJ$9&lt;8/24</formula>
    </cfRule>
  </conditionalFormatting>
  <conditionalFormatting sqref="AL99:AN99 AL105:AN105">
    <cfRule type="expression" dxfId="1239" priority="179">
      <formula>AL$9&gt;=20/24</formula>
    </cfRule>
    <cfRule type="expression" dxfId="1238" priority="180">
      <formula>AND(AL$9&gt;=14/24,AL$9&lt;20/24)</formula>
    </cfRule>
    <cfRule type="expression" dxfId="1237" priority="181">
      <formula>AND(AL$9&gt;=8/24,AL$9&lt;14/24)</formula>
    </cfRule>
    <cfRule type="expression" dxfId="1236" priority="182">
      <formula>AL$9&lt;8/24</formula>
    </cfRule>
  </conditionalFormatting>
  <conditionalFormatting sqref="AM15:AM21 AN16:AR21">
    <cfRule type="expression" dxfId="1235" priority="103">
      <formula>AX$9&gt;=20/24</formula>
    </cfRule>
    <cfRule type="expression" dxfId="1234" priority="104">
      <formula>AND(AX$9&gt;=14/24,AX$9&lt;20/24)</formula>
    </cfRule>
    <cfRule type="expression" dxfId="1233" priority="105">
      <formula>AND(AX$9&gt;=8/24,AX$9&lt;14/24)</formula>
    </cfRule>
    <cfRule type="expression" dxfId="1232" priority="106">
      <formula>AX$9&lt;8/24</formula>
    </cfRule>
  </conditionalFormatting>
  <conditionalFormatting sqref="AN100:AN103">
    <cfRule type="expression" dxfId="1231" priority="175">
      <formula>AN$9&gt;=20/24</formula>
    </cfRule>
    <cfRule type="expression" dxfId="1230" priority="176">
      <formula>AND(AN$9&gt;=14/24,AN$9&lt;20/24)</formula>
    </cfRule>
    <cfRule type="expression" dxfId="1229" priority="177">
      <formula>AND(AN$9&gt;=8/24,AN$9&lt;14/24)</formula>
    </cfRule>
    <cfRule type="expression" dxfId="1228" priority="178">
      <formula>AN$9&lt;8/24</formula>
    </cfRule>
  </conditionalFormatting>
  <conditionalFormatting sqref="AN15:AR15">
    <cfRule type="expression" dxfId="1227" priority="91">
      <formula>U$9&gt;=20/24</formula>
    </cfRule>
    <cfRule type="expression" dxfId="1226" priority="92">
      <formula>AND(U$9&gt;=14/24,U$9&lt;20/24)</formula>
    </cfRule>
    <cfRule type="expression" dxfId="1225" priority="93">
      <formula>AND(U$9&gt;=8/24,U$9&lt;14/24)</formula>
    </cfRule>
    <cfRule type="expression" dxfId="1224" priority="94">
      <formula>U$9&lt;8/24</formula>
    </cfRule>
  </conditionalFormatting>
  <conditionalFormatting sqref="AS15">
    <cfRule type="expression" dxfId="1223" priority="99">
      <formula>AA$9&gt;=20/24</formula>
    </cfRule>
    <cfRule type="expression" dxfId="1222" priority="100">
      <formula>AND(AA$9&gt;=14/24,AA$9&lt;20/24)</formula>
    </cfRule>
    <cfRule type="expression" dxfId="1221" priority="101">
      <formula>AND(AA$9&gt;=8/24,AA$9&lt;14/24)</formula>
    </cfRule>
    <cfRule type="expression" dxfId="1220" priority="102">
      <formula>AA$9&lt;8/24</formula>
    </cfRule>
  </conditionalFormatting>
  <conditionalFormatting sqref="AS16:AS21">
    <cfRule type="expression" dxfId="1219" priority="107">
      <formula>BE$9&gt;=20/24</formula>
    </cfRule>
    <cfRule type="expression" dxfId="1218" priority="108">
      <formula>AND(BE$9&gt;=14/24,BE$9&lt;20/24)</formula>
    </cfRule>
    <cfRule type="expression" dxfId="1217" priority="109">
      <formula>AND(BE$9&gt;=8/24,BE$9&lt;14/24)</formula>
    </cfRule>
    <cfRule type="expression" dxfId="1216" priority="110">
      <formula>BE$9&lt;8/24</formula>
    </cfRule>
  </conditionalFormatting>
  <conditionalFormatting sqref="AT15 AX15:BJ15">
    <cfRule type="expression" dxfId="1215" priority="111">
      <formula>AC$9&gt;=20/24</formula>
    </cfRule>
    <cfRule type="expression" dxfId="1214" priority="112">
      <formula>AND(AC$9&gt;=14/24,AC$9&lt;20/24)</formula>
    </cfRule>
    <cfRule type="expression" dxfId="1213" priority="113">
      <formula>AND(AC$9&gt;=8/24,AC$9&lt;14/24)</formula>
    </cfRule>
    <cfRule type="expression" dxfId="1212" priority="114">
      <formula>AC$9&lt;8/24</formula>
    </cfRule>
  </conditionalFormatting>
  <conditionalFormatting sqref="AT16:AT21">
    <cfRule type="expression" dxfId="1211" priority="115">
      <formula>BG$9&gt;=20/24</formula>
    </cfRule>
    <cfRule type="expression" dxfId="1210" priority="116">
      <formula>AND(BG$9&gt;=14/24,BG$9&lt;20/24)</formula>
    </cfRule>
    <cfRule type="expression" dxfId="1209" priority="117">
      <formula>AND(BG$9&gt;=8/24,BG$9&lt;14/24)</formula>
    </cfRule>
    <cfRule type="expression" dxfId="1208" priority="118">
      <formula>BG$9&lt;8/24</formula>
    </cfRule>
  </conditionalFormatting>
  <conditionalFormatting sqref="AU15:AV15">
    <cfRule type="expression" dxfId="1207" priority="119">
      <formula>AE$9&gt;=20/24</formula>
    </cfRule>
    <cfRule type="expression" dxfId="1206" priority="120">
      <formula>AND(AE$9&gt;=14/24,AE$9&lt;20/24)</formula>
    </cfRule>
    <cfRule type="expression" dxfId="1205" priority="121">
      <formula>AND(AE$9&gt;=8/24,AE$9&lt;14/24)</formula>
    </cfRule>
    <cfRule type="expression" dxfId="1204" priority="122">
      <formula>AE$9&lt;8/24</formula>
    </cfRule>
  </conditionalFormatting>
  <conditionalFormatting sqref="AU16:BJ21">
    <cfRule type="expression" dxfId="1203" priority="123">
      <formula>BI$9&gt;=20/24</formula>
    </cfRule>
    <cfRule type="expression" dxfId="1202" priority="124">
      <formula>AND(BI$9&gt;=14/24,BI$9&lt;20/24)</formula>
    </cfRule>
    <cfRule type="expression" dxfId="1201" priority="125">
      <formula>AND(BI$9&gt;=8/24,BI$9&lt;14/24)</formula>
    </cfRule>
    <cfRule type="expression" dxfId="1200" priority="126">
      <formula>BI$9&lt;8/24</formula>
    </cfRule>
  </conditionalFormatting>
  <conditionalFormatting sqref="AW15">
    <cfRule type="expression" dxfId="1199" priority="95">
      <formula>B$9&gt;=20/24</formula>
    </cfRule>
    <cfRule type="expression" dxfId="1198" priority="96">
      <formula>AND(B$9&gt;=14/24,B$9&lt;20/24)</formula>
    </cfRule>
    <cfRule type="expression" dxfId="1197" priority="97">
      <formula>AND(B$9&gt;=8/24,B$9&lt;14/24)</formula>
    </cfRule>
    <cfRule type="expression" dxfId="1196" priority="98">
      <formula>B$9&lt;8/24</formula>
    </cfRule>
  </conditionalFormatting>
  <conditionalFormatting sqref="A73">
    <cfRule type="expression" dxfId="1195" priority="46">
      <formula>$AH73=0</formula>
    </cfRule>
  </conditionalFormatting>
  <conditionalFormatting sqref="B97:E107 B137:E152 B109:E112 B125:E134 B154:E159 F97:F102 G98:G102 F126:G133 F137:G151 B11:Y13 AA11:AF13">
    <cfRule type="expression" dxfId="1194" priority="42">
      <formula>B$9&gt;=20/24</formula>
    </cfRule>
  </conditionalFormatting>
  <conditionalFormatting sqref="B97:E107 B137:E152 B109:E112 B125:E134 B154:E159 F97:F102 G98:G102 F126:G133 F137:G151 B11:Y13 AA11:AF13">
    <cfRule type="expression" dxfId="1193" priority="43">
      <formula>AND(B$9&gt;=14/24,B$9&lt;20/24)</formula>
    </cfRule>
    <cfRule type="expression" dxfId="1192" priority="44">
      <formula>AND(B$9&gt;=8/24,B$9&lt;14/24)</formula>
    </cfRule>
    <cfRule type="expression" dxfId="1191" priority="45">
      <formula>B$9&lt;8/24</formula>
    </cfRule>
  </conditionalFormatting>
  <conditionalFormatting sqref="B14:Y28 AA14:AF16">
    <cfRule type="expression" dxfId="1190" priority="32">
      <formula>B14&gt;$AG14*1</formula>
    </cfRule>
    <cfRule type="expression" dxfId="1189" priority="33">
      <formula>B$9&gt;=20/24</formula>
    </cfRule>
    <cfRule type="expression" dxfId="1188" priority="34">
      <formula>AND(B$9&gt;=14/24,B$9&lt;20/24)</formula>
    </cfRule>
    <cfRule type="expression" dxfId="1187" priority="35">
      <formula>AND(B$9&gt;=8/24,B$9&lt;14/24)</formula>
    </cfRule>
    <cfRule type="expression" dxfId="1186" priority="36">
      <formula>B$9&lt;8/24</formula>
    </cfRule>
  </conditionalFormatting>
  <conditionalFormatting sqref="B161:E167">
    <cfRule type="expression" dxfId="1185" priority="37">
      <formula>B$9&gt;=20/24</formula>
    </cfRule>
    <cfRule type="expression" dxfId="1184" priority="38">
      <formula>AND(B$9&gt;=14/24,B$9&lt;20/24)</formula>
    </cfRule>
    <cfRule type="expression" dxfId="1183" priority="39">
      <formula>AND(B$9&gt;=8/24,B$9&lt;14/24)</formula>
    </cfRule>
    <cfRule type="expression" dxfId="1182" priority="40">
      <formula>B$9&lt;8/24</formula>
    </cfRule>
  </conditionalFormatting>
  <conditionalFormatting sqref="B169:E274">
    <cfRule type="expression" dxfId="1181" priority="28">
      <formula>B$9&gt;=20/24</formula>
    </cfRule>
    <cfRule type="expression" dxfId="1180" priority="29">
      <formula>AND(B$9&gt;=14/24,B$9&lt;20/24)</formula>
    </cfRule>
    <cfRule type="expression" dxfId="1179" priority="30">
      <formula>AND(B$9&gt;=8/24,B$9&lt;14/24)</formula>
    </cfRule>
    <cfRule type="expression" dxfId="1178" priority="31">
      <formula>B$9&lt;8/24</formula>
    </cfRule>
  </conditionalFormatting>
  <conditionalFormatting sqref="B11:Y13 AA11:AF13">
    <cfRule type="expression" dxfId="1177" priority="41">
      <formula>B11&gt;$AG11*1</formula>
    </cfRule>
  </conditionalFormatting>
  <conditionalFormatting sqref="A153">
    <cfRule type="expression" dxfId="117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75" priority="23">
      <formula>AL$9&gt;=20/24</formula>
    </cfRule>
  </conditionalFormatting>
  <conditionalFormatting sqref="AL153">
    <cfRule type="expression" dxfId="1174" priority="24">
      <formula>AND(AL$9&gt;=14/24,AL$9&lt;20/24)</formula>
    </cfRule>
    <cfRule type="expression" dxfId="1173" priority="25">
      <formula>AND(AL$9&gt;=8/24,AL$9&lt;14/24)</formula>
    </cfRule>
    <cfRule type="expression" dxfId="1172" priority="26">
      <formula>AL$9&lt;8/24</formula>
    </cfRule>
  </conditionalFormatting>
  <conditionalFormatting sqref="Z56:AF68">
    <cfRule type="expression" dxfId="1171" priority="1">
      <formula>Z$9&gt;=20/24</formula>
    </cfRule>
    <cfRule type="expression" dxfId="1170" priority="2">
      <formula>AND(Z$9&gt;=14/24,Z$9&lt;20/24)</formula>
    </cfRule>
    <cfRule type="expression" dxfId="1169" priority="3">
      <formula>AND(Z$9&gt;=8/24,Z$9&lt;14/24)</formula>
    </cfRule>
  </conditionalFormatting>
  <conditionalFormatting sqref="Z11:Z13">
    <cfRule type="expression" dxfId="1168" priority="17">
      <formula>Z$9&gt;=20/24</formula>
    </cfRule>
  </conditionalFormatting>
  <conditionalFormatting sqref="Z11:Z13">
    <cfRule type="expression" dxfId="1167" priority="18">
      <formula>AND(Z$9&gt;=14/24,Z$9&lt;20/24)</formula>
    </cfRule>
    <cfRule type="expression" dxfId="1166" priority="19">
      <formula>AND(Z$9&gt;=8/24,Z$9&lt;14/24)</formula>
    </cfRule>
    <cfRule type="expression" dxfId="1165" priority="20">
      <formula>Z$9&lt;8/24</formula>
    </cfRule>
  </conditionalFormatting>
  <conditionalFormatting sqref="Z14:Z53 AA17:AF53">
    <cfRule type="expression" dxfId="1164" priority="11">
      <formula>Z14&gt;$AG14*1</formula>
    </cfRule>
    <cfRule type="expression" dxfId="1163" priority="12">
      <formula>Z$9&gt;=20/24</formula>
    </cfRule>
    <cfRule type="expression" dxfId="1162" priority="13">
      <formula>AND(Z$9&gt;=14/24,Z$9&lt;20/24)</formula>
    </cfRule>
    <cfRule type="expression" dxfId="1161" priority="14">
      <formula>AND(Z$9&gt;=8/24,Z$9&lt;14/24)</formula>
    </cfRule>
    <cfRule type="expression" dxfId="1160" priority="15">
      <formula>Z$9&lt;8/24</formula>
    </cfRule>
  </conditionalFormatting>
  <conditionalFormatting sqref="Z54:AF55">
    <cfRule type="expression" dxfId="1159" priority="10">
      <formula>Z$9&lt;8/24</formula>
    </cfRule>
  </conditionalFormatting>
  <conditionalFormatting sqref="Z54:AF55 Z69:AF70">
    <cfRule type="expression" dxfId="1158" priority="7">
      <formula>Z$9&gt;=20/24</formula>
    </cfRule>
    <cfRule type="expression" dxfId="1157" priority="8">
      <formula>AND(Z$9&gt;=14/24,Z$9&lt;20/24)</formula>
    </cfRule>
    <cfRule type="expression" dxfId="1156" priority="9">
      <formula>AND(Z$9&gt;=8/24,Z$9&lt;14/24)</formula>
    </cfRule>
  </conditionalFormatting>
  <conditionalFormatting sqref="Z69:AF70">
    <cfRule type="expression" dxfId="1155" priority="21">
      <formula>Z$9&lt;8/24</formula>
    </cfRule>
  </conditionalFormatting>
  <conditionalFormatting sqref="Z11:Z13 Z69:AF69">
    <cfRule type="expression" dxfId="1154" priority="16">
      <formula>Z11&gt;$AG11*1</formula>
    </cfRule>
  </conditionalFormatting>
  <conditionalFormatting sqref="Z54:AF55 Z69:AF70">
    <cfRule type="expression" dxfId="1153" priority="22">
      <formula>Z54&gt;$AG54</formula>
    </cfRule>
  </conditionalFormatting>
  <conditionalFormatting sqref="Z56:AF68">
    <cfRule type="expression" dxfId="1152" priority="4">
      <formula>Z$9&lt;8/24</formula>
    </cfRule>
  </conditionalFormatting>
  <conditionalFormatting sqref="Z63:AF65">
    <cfRule type="expression" dxfId="1151" priority="5">
      <formula>Z63&gt;$AG63</formula>
    </cfRule>
  </conditionalFormatting>
  <conditionalFormatting sqref="Z66:AF68 Z56:AF62">
    <cfRule type="expression" dxfId="115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13.62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49" priority="97">
      <formula>$AH11=0</formula>
    </cfRule>
  </conditionalFormatting>
  <conditionalFormatting sqref="A101:A102">
    <cfRule type="expression" dxfId="1148" priority="265">
      <formula>$AH106=0</formula>
    </cfRule>
  </conditionalFormatting>
  <conditionalFormatting sqref="A103:A107">
    <cfRule type="expression" dxfId="1147" priority="213">
      <formula>$AH102=0</formula>
    </cfRule>
  </conditionalFormatting>
  <conditionalFormatting sqref="A160:A167">
    <cfRule type="expression" dxfId="1146" priority="266">
      <formula>$AH267=0</formula>
    </cfRule>
  </conditionalFormatting>
  <conditionalFormatting sqref="A168:A275">
    <cfRule type="expression" dxfId="1145" priority="136">
      <formula>$AH168=0</formula>
    </cfRule>
  </conditionalFormatting>
  <conditionalFormatting sqref="B8">
    <cfRule type="expression" dxfId="1144" priority="261">
      <formula>AND(C$9&gt;=14/24,C$9&lt;20/24)</formula>
    </cfRule>
    <cfRule type="expression" dxfId="1143" priority="262">
      <formula>AND(C$9&gt;=8/24,C$9&lt;14/24)</formula>
    </cfRule>
    <cfRule type="expression" dxfId="1142" priority="263">
      <formula>C$9&lt;8/24</formula>
    </cfRule>
    <cfRule type="expression" dxfId="114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4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39" priority="179">
      <formula>AND(B$9&gt;=14/24,B$9&lt;20/24)</formula>
    </cfRule>
    <cfRule type="expression" dxfId="1138" priority="180">
      <formula>AND(B$9&gt;=8/24,B$9&lt;14/24)</formula>
    </cfRule>
    <cfRule type="expression" dxfId="1137" priority="181">
      <formula>B$9&lt;8/24</formula>
    </cfRule>
  </conditionalFormatting>
  <conditionalFormatting sqref="AA14:AF53">
    <cfRule type="expression" dxfId="1136" priority="121">
      <formula>AA14&gt;$AG14*1</formula>
    </cfRule>
    <cfRule type="expression" dxfId="1135" priority="122">
      <formula>AA$9&gt;=20/24</formula>
    </cfRule>
    <cfRule type="expression" dxfId="1134" priority="123">
      <formula>AND(AA$9&gt;=14/24,AA$9&lt;20/24)</formula>
    </cfRule>
    <cfRule type="expression" dxfId="1133" priority="124">
      <formula>AND(AA$9&gt;=8/24,AA$9&lt;14/24)</formula>
    </cfRule>
    <cfRule type="expression" dxfId="1132" priority="125">
      <formula>AA$9&lt;8/24</formula>
    </cfRule>
  </conditionalFormatting>
  <conditionalFormatting sqref="AA54:AF68">
    <cfRule type="expression" dxfId="1131" priority="114">
      <formula>AA$9&lt;8/24</formula>
    </cfRule>
  </conditionalFormatting>
  <conditionalFormatting sqref="AA54:AF70">
    <cfRule type="expression" dxfId="1130" priority="111">
      <formula>AA$9&gt;=20/24</formula>
    </cfRule>
    <cfRule type="expression" dxfId="1129" priority="112">
      <formula>AND(AA$9&gt;=14/24,AA$9&lt;20/24)</formula>
    </cfRule>
    <cfRule type="expression" dxfId="1128" priority="113">
      <formula>AND(AA$9&gt;=8/24,AA$9&lt;14/24)</formula>
    </cfRule>
  </conditionalFormatting>
  <conditionalFormatting sqref="AA63:AF65">
    <cfRule type="expression" dxfId="1127" priority="115">
      <formula>AA63&gt;$AG63</formula>
    </cfRule>
  </conditionalFormatting>
  <conditionalFormatting sqref="AA69:AF70">
    <cfRule type="expression" dxfId="1126" priority="186">
      <formula>AA$9&lt;8/24</formula>
    </cfRule>
  </conditionalFormatting>
  <conditionalFormatting sqref="AA72:AF75">
    <cfRule type="expression" dxfId="1125" priority="102">
      <formula>AA72&gt;$AG72*1</formula>
    </cfRule>
  </conditionalFormatting>
  <conditionalFormatting sqref="AA73:AF75">
    <cfRule type="expression" dxfId="1124" priority="103">
      <formula>AA$9&gt;=20/24</formula>
    </cfRule>
    <cfRule type="expression" dxfId="1123" priority="104">
      <formula>AND(AA$9&gt;=14/24,AA$9&lt;20/24)</formula>
    </cfRule>
    <cfRule type="expression" dxfId="1122" priority="105">
      <formula>AND(AA$9&gt;=8/24,AA$9&lt;14/24)</formula>
    </cfRule>
    <cfRule type="expression" dxfId="1121" priority="106">
      <formula>AA$9&lt;8/24</formula>
    </cfRule>
  </conditionalFormatting>
  <conditionalFormatting sqref="C161:AF167">
    <cfRule type="expression" dxfId="1120" priority="137">
      <formula>C$9&gt;=20/24</formula>
    </cfRule>
    <cfRule type="expression" dxfId="1119" priority="138">
      <formula>AND(C$9&gt;=14/24,C$9&lt;20/24)</formula>
    </cfRule>
    <cfRule type="expression" dxfId="1118" priority="139">
      <formula>AND(C$9&gt;=8/24,C$9&lt;14/24)</formula>
    </cfRule>
    <cfRule type="expression" dxfId="1117" priority="140">
      <formula>C$9&lt;8/24</formula>
    </cfRule>
  </conditionalFormatting>
  <conditionalFormatting sqref="C169:AF274">
    <cfRule type="expression" dxfId="1116" priority="98">
      <formula>C$9&gt;=20/24</formula>
    </cfRule>
    <cfRule type="expression" dxfId="1115" priority="99">
      <formula>AND(C$9&gt;=14/24,C$9&lt;20/24)</formula>
    </cfRule>
    <cfRule type="expression" dxfId="1114" priority="100">
      <formula>AND(C$9&gt;=8/24,C$9&lt;14/24)</formula>
    </cfRule>
    <cfRule type="expression" dxfId="1113" priority="101">
      <formula>C$9&lt;8/24</formula>
    </cfRule>
  </conditionalFormatting>
  <conditionalFormatting sqref="B96:M96 B91:D92 E91:M95 AA96:AG96 N91:Z96 B71:AG71 B78:AG78 AA11:AF13 AA69:AF70 AA76:AF77 AA79:AF95">
    <cfRule type="expression" dxfId="1112" priority="177">
      <formula>B11&gt;$AG11*1</formula>
    </cfRule>
  </conditionalFormatting>
  <conditionalFormatting sqref="G78:AF78 AA72:AF72 AA76:AF77">
    <cfRule type="expression" dxfId="1111" priority="197">
      <formula>G$9&gt;=20/24</formula>
    </cfRule>
    <cfRule type="expression" dxfId="1110" priority="198">
      <formula>AND(G$9&gt;=14/24,G$9&lt;20/24)</formula>
    </cfRule>
    <cfRule type="expression" dxfId="1109" priority="199">
      <formula>AND(G$9&gt;=8/24,G$9&lt;14/24)</formula>
    </cfRule>
    <cfRule type="expression" dxfId="1108" priority="200">
      <formula>G$9&lt;8/24</formula>
    </cfRule>
  </conditionalFormatting>
  <conditionalFormatting sqref="AA73:AF75">
    <cfRule type="expression" dxfId="1107" priority="107">
      <formula>AA$9&gt;=20/24</formula>
    </cfRule>
    <cfRule type="expression" dxfId="1106" priority="108">
      <formula>AND(AA$9&gt;=14/24,AA$9&lt;20/24)</formula>
    </cfRule>
    <cfRule type="expression" dxfId="1105" priority="109">
      <formula>AND(AA$9&gt;=8/24,AA$9&lt;14/24)</formula>
    </cfRule>
    <cfRule type="expression" dxfId="1104" priority="110">
      <formula>AA$9&lt;8/24</formula>
    </cfRule>
  </conditionalFormatting>
  <conditionalFormatting sqref="AA84:AF84">
    <cfRule type="expression" dxfId="1103" priority="201">
      <formula>AA$9&gt;=20/24</formula>
    </cfRule>
    <cfRule type="expression" dxfId="1102" priority="202">
      <formula>AND(AA$9&gt;=14/24,AA$9&lt;20/24)</formula>
    </cfRule>
    <cfRule type="expression" dxfId="1101" priority="203">
      <formula>AND(AA$9&gt;=8/24,AA$9&lt;14/24)</formula>
    </cfRule>
    <cfRule type="expression" dxfId="1100" priority="204">
      <formula>AA$9&lt;8/24</formula>
    </cfRule>
  </conditionalFormatting>
  <conditionalFormatting sqref="M8 S8 AB8">
    <cfRule type="expression" dxfId="1099" priority="254">
      <formula>AND(N$9&gt;=14/24,N$9&lt;20/24)</formula>
    </cfRule>
    <cfRule type="expression" dxfId="1098" priority="255">
      <formula>AND(N$9&gt;=8/24,N$9&lt;14/24)</formula>
    </cfRule>
    <cfRule type="expression" dxfId="1097" priority="256">
      <formula>N$9&lt;8/24</formula>
    </cfRule>
  </conditionalFormatting>
  <conditionalFormatting sqref="AA80:AF83">
    <cfRule type="expression" dxfId="1096" priority="209">
      <formula>AA$9&gt;=20/24</formula>
    </cfRule>
    <cfRule type="expression" dxfId="1095" priority="210">
      <formula>AND(AA$9&gt;=14/24,AA$9&lt;20/24)</formula>
    </cfRule>
    <cfRule type="expression" dxfId="1094" priority="211">
      <formula>AND(AA$9&gt;=8/24,AA$9&lt;14/24)</formula>
    </cfRule>
    <cfRule type="expression" dxfId="109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53">
      <formula>N$9&gt;=20/24</formula>
    </cfRule>
  </conditionalFormatting>
  <conditionalFormatting sqref="S8">
    <cfRule type="expression" dxfId="1091" priority="244">
      <formula>U$9&gt;=20/24</formula>
    </cfRule>
    <cfRule type="expression" dxfId="1090" priority="245">
      <formula>AND(U$9&gt;=14/24,U$9&lt;20/24)</formula>
    </cfRule>
    <cfRule type="expression" dxfId="1089" priority="246">
      <formula>AND(U$9&gt;=8/24,U$9&lt;14/24)</formula>
    </cfRule>
    <cfRule type="expression" dxfId="1088" priority="247">
      <formula>U$9&lt;8/24</formula>
    </cfRule>
  </conditionalFormatting>
  <conditionalFormatting sqref="AA79:AF84">
    <cfRule type="expression" dxfId="1087" priority="131">
      <formula>AA$9&gt;=20/24</formula>
    </cfRule>
    <cfRule type="expression" dxfId="1086" priority="132">
      <formula>AND(AA$9&gt;=14/24,AA$9&lt;20/24)</formula>
    </cfRule>
    <cfRule type="expression" dxfId="1085" priority="133">
      <formula>AND(AA$9&gt;=8/24,AA$9&lt;14/24)</formula>
    </cfRule>
    <cfRule type="expression" dxfId="108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83" priority="116">
      <formula>AA$9&gt;=20/24</formula>
    </cfRule>
    <cfRule type="expression" dxfId="1082" priority="117">
      <formula>AND(AA$9&gt;=14/24,AA$9&lt;20/24)</formula>
    </cfRule>
    <cfRule type="expression" dxfId="1081" priority="118">
      <formula>AND(AA$9&gt;=8/24,AA$9&lt;14/24)</formula>
    </cfRule>
    <cfRule type="expression" dxfId="1080" priority="119">
      <formula>AA$9&lt;8/24</formula>
    </cfRule>
  </conditionalFormatting>
  <conditionalFormatting sqref="AA54:AF62 AA66:AF69">
    <cfRule type="expression" dxfId="1078" priority="191">
      <formula>AA54&gt;$AG54</formula>
    </cfRule>
  </conditionalFormatting>
  <conditionalFormatting sqref="AB8">
    <cfRule type="expression" dxfId="1077" priority="240">
      <formula>AD$9&gt;=20/24</formula>
    </cfRule>
    <cfRule type="expression" dxfId="1076" priority="241">
      <formula>AND(AD$9&gt;=14/24,AD$9&lt;20/24)</formula>
    </cfRule>
    <cfRule type="expression" dxfId="1075" priority="242">
      <formula>AND(AD$9&gt;=8/24,AD$9&lt;14/24)</formula>
    </cfRule>
    <cfRule type="expression" dxfId="1074" priority="243">
      <formula>AD$9&lt;8/24</formula>
    </cfRule>
  </conditionalFormatting>
  <conditionalFormatting sqref="AG78">
    <cfRule type="expression" dxfId="1068" priority="219">
      <formula>AG$9&gt;=20/24</formula>
    </cfRule>
    <cfRule type="expression" dxfId="1067" priority="220">
      <formula>AND(AG$9&gt;=14/24,AG$9&lt;20/24)</formula>
    </cfRule>
    <cfRule type="expression" dxfId="1066" priority="221">
      <formula>AND(AG$9&gt;=8/24,AG$9&lt;14/24)</formula>
    </cfRule>
    <cfRule type="expression" dxfId="1065" priority="222">
      <formula>AG$9&lt;8/24</formula>
    </cfRule>
  </conditionalFormatting>
  <conditionalFormatting sqref="AG91:AG92">
    <cfRule type="expression" dxfId="1064" priority="214">
      <formula>AG91&gt;$AG91</formula>
    </cfRule>
  </conditionalFormatting>
  <conditionalFormatting sqref="AG96">
    <cfRule type="expression" dxfId="1063" priority="215">
      <formula>AG$9&gt;=20/24</formula>
    </cfRule>
    <cfRule type="expression" dxfId="1062" priority="216">
      <formula>AND(AG$9&gt;=14/24,AG$9&lt;20/24)</formula>
    </cfRule>
    <cfRule type="expression" dxfId="1061" priority="217">
      <formula>AND(AG$9&gt;=8/24,AG$9&lt;14/24)</formula>
    </cfRule>
    <cfRule type="expression" dxfId="1060" priority="218">
      <formula>AG$9&lt;8/24</formula>
    </cfRule>
  </conditionalFormatting>
  <conditionalFormatting sqref="AG113">
    <cfRule type="expression" dxfId="1059" priority="236">
      <formula>AG$9&gt;=20/24</formula>
    </cfRule>
    <cfRule type="expression" dxfId="1058" priority="237">
      <formula>AND(AG$9&gt;=14/24,AG$9&lt;20/24)</formula>
    </cfRule>
    <cfRule type="expression" dxfId="1057" priority="238">
      <formula>AND(AG$9&gt;=8/24,AG$9&lt;14/24)</formula>
    </cfRule>
    <cfRule type="expression" dxfId="1056" priority="239">
      <formula>AG$9&lt;8/24</formula>
    </cfRule>
  </conditionalFormatting>
  <conditionalFormatting sqref="AH8:AI10">
    <cfRule type="expression" dxfId="1055" priority="127">
      <formula>AH$9&gt;=20/24</formula>
    </cfRule>
    <cfRule type="expression" dxfId="1054" priority="128">
      <formula>AND(AH$9&gt;=14/24,AH$9&lt;20/24)</formula>
    </cfRule>
    <cfRule type="expression" dxfId="1053" priority="129">
      <formula>AND(AH$9&gt;=8/24,AH$9&lt;14/24)</formula>
    </cfRule>
    <cfRule type="expression" dxfId="105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1" priority="257">
      <formula>AJ$9&gt;=20/24</formula>
    </cfRule>
    <cfRule type="expression" dxfId="1050" priority="258">
      <formula>AND(AJ$9&gt;=14/24,AJ$9&lt;20/24)</formula>
    </cfRule>
    <cfRule type="expression" dxfId="1049" priority="259">
      <formula>AND(AJ$9&gt;=8/24,AJ$9&lt;14/24)</formula>
    </cfRule>
    <cfRule type="expression" dxfId="1048" priority="260">
      <formula>AJ$9&lt;8/24</formula>
    </cfRule>
  </conditionalFormatting>
  <conditionalFormatting sqref="AL99:AN99 AL105:AN105">
    <cfRule type="expression" dxfId="1047" priority="229">
      <formula>AL$9&gt;=20/24</formula>
    </cfRule>
    <cfRule type="expression" dxfId="1046" priority="230">
      <formula>AND(AL$9&gt;=14/24,AL$9&lt;20/24)</formula>
    </cfRule>
    <cfRule type="expression" dxfId="1045" priority="231">
      <formula>AND(AL$9&gt;=8/24,AL$9&lt;14/24)</formula>
    </cfRule>
    <cfRule type="expression" dxfId="1044" priority="232">
      <formula>AL$9&lt;8/24</formula>
    </cfRule>
  </conditionalFormatting>
  <conditionalFormatting sqref="AM15:AM21 AN16:AR21">
    <cfRule type="expression" dxfId="1043" priority="153">
      <formula>AX$9&gt;=20/24</formula>
    </cfRule>
    <cfRule type="expression" dxfId="1042" priority="154">
      <formula>AND(AX$9&gt;=14/24,AX$9&lt;20/24)</formula>
    </cfRule>
    <cfRule type="expression" dxfId="1041" priority="155">
      <formula>AND(AX$9&gt;=8/24,AX$9&lt;14/24)</formula>
    </cfRule>
    <cfRule type="expression" dxfId="1040" priority="156">
      <formula>AX$9&lt;8/24</formula>
    </cfRule>
  </conditionalFormatting>
  <conditionalFormatting sqref="AN100:AN103">
    <cfRule type="expression" dxfId="1039" priority="225">
      <formula>AN$9&gt;=20/24</formula>
    </cfRule>
    <cfRule type="expression" dxfId="1038" priority="226">
      <formula>AND(AN$9&gt;=14/24,AN$9&lt;20/24)</formula>
    </cfRule>
    <cfRule type="expression" dxfId="1037" priority="227">
      <formula>AND(AN$9&gt;=8/24,AN$9&lt;14/24)</formula>
    </cfRule>
    <cfRule type="expression" dxfId="1036" priority="228">
      <formula>AN$9&lt;8/24</formula>
    </cfRule>
  </conditionalFormatting>
  <conditionalFormatting sqref="AN15:AR15">
    <cfRule type="expression" dxfId="1035" priority="141">
      <formula>U$9&gt;=20/24</formula>
    </cfRule>
    <cfRule type="expression" dxfId="1034" priority="142">
      <formula>AND(U$9&gt;=14/24,U$9&lt;20/24)</formula>
    </cfRule>
    <cfRule type="expression" dxfId="1033" priority="143">
      <formula>AND(U$9&gt;=8/24,U$9&lt;14/24)</formula>
    </cfRule>
    <cfRule type="expression" dxfId="1032" priority="144">
      <formula>U$9&lt;8/24</formula>
    </cfRule>
  </conditionalFormatting>
  <conditionalFormatting sqref="AS15">
    <cfRule type="expression" dxfId="1031" priority="149">
      <formula>AA$9&gt;=20/24</formula>
    </cfRule>
    <cfRule type="expression" dxfId="1030" priority="150">
      <formula>AND(AA$9&gt;=14/24,AA$9&lt;20/24)</formula>
    </cfRule>
    <cfRule type="expression" dxfId="1029" priority="151">
      <formula>AND(AA$9&gt;=8/24,AA$9&lt;14/24)</formula>
    </cfRule>
    <cfRule type="expression" dxfId="1028" priority="152">
      <formula>AA$9&lt;8/24</formula>
    </cfRule>
  </conditionalFormatting>
  <conditionalFormatting sqref="AS16:AS21">
    <cfRule type="expression" dxfId="1027" priority="157">
      <formula>BE$9&gt;=20/24</formula>
    </cfRule>
    <cfRule type="expression" dxfId="1026" priority="158">
      <formula>AND(BE$9&gt;=14/24,BE$9&lt;20/24)</formula>
    </cfRule>
    <cfRule type="expression" dxfId="1025" priority="159">
      <formula>AND(BE$9&gt;=8/24,BE$9&lt;14/24)</formula>
    </cfRule>
    <cfRule type="expression" dxfId="1024" priority="160">
      <formula>BE$9&lt;8/24</formula>
    </cfRule>
  </conditionalFormatting>
  <conditionalFormatting sqref="AT15 AX15:BJ15">
    <cfRule type="expression" dxfId="1023" priority="161">
      <formula>AC$9&gt;=20/24</formula>
    </cfRule>
    <cfRule type="expression" dxfId="1022" priority="162">
      <formula>AND(AC$9&gt;=14/24,AC$9&lt;20/24)</formula>
    </cfRule>
    <cfRule type="expression" dxfId="1021" priority="163">
      <formula>AND(AC$9&gt;=8/24,AC$9&lt;14/24)</formula>
    </cfRule>
    <cfRule type="expression" dxfId="1020" priority="164">
      <formula>AC$9&lt;8/24</formula>
    </cfRule>
  </conditionalFormatting>
  <conditionalFormatting sqref="AT16:AT21">
    <cfRule type="expression" dxfId="1019" priority="165">
      <formula>BG$9&gt;=20/24</formula>
    </cfRule>
    <cfRule type="expression" dxfId="1018" priority="166">
      <formula>AND(BG$9&gt;=14/24,BG$9&lt;20/24)</formula>
    </cfRule>
    <cfRule type="expression" dxfId="1017" priority="167">
      <formula>AND(BG$9&gt;=8/24,BG$9&lt;14/24)</formula>
    </cfRule>
    <cfRule type="expression" dxfId="1016" priority="168">
      <formula>BG$9&lt;8/24</formula>
    </cfRule>
  </conditionalFormatting>
  <conditionalFormatting sqref="AU15:AV15">
    <cfRule type="expression" dxfId="1015" priority="169">
      <formula>AE$9&gt;=20/24</formula>
    </cfRule>
    <cfRule type="expression" dxfId="1014" priority="170">
      <formula>AND(AE$9&gt;=14/24,AE$9&lt;20/24)</formula>
    </cfRule>
    <cfRule type="expression" dxfId="1013" priority="171">
      <formula>AND(AE$9&gt;=8/24,AE$9&lt;14/24)</formula>
    </cfRule>
    <cfRule type="expression" dxfId="1012" priority="172">
      <formula>AE$9&lt;8/24</formula>
    </cfRule>
  </conditionalFormatting>
  <conditionalFormatting sqref="AU16:BJ21">
    <cfRule type="expression" dxfId="1011" priority="173">
      <formula>BI$9&gt;=20/24</formula>
    </cfRule>
    <cfRule type="expression" dxfId="1010" priority="174">
      <formula>AND(BI$9&gt;=14/24,BI$9&lt;20/24)</formula>
    </cfRule>
    <cfRule type="expression" dxfId="1009" priority="175">
      <formula>AND(BI$9&gt;=8/24,BI$9&lt;14/24)</formula>
    </cfRule>
    <cfRule type="expression" dxfId="1008" priority="176">
      <formula>BI$9&lt;8/24</formula>
    </cfRule>
  </conditionalFormatting>
  <conditionalFormatting sqref="AW15">
    <cfRule type="expression" dxfId="1007" priority="145">
      <formula>B$9&gt;=20/24</formula>
    </cfRule>
    <cfRule type="expression" dxfId="1006" priority="146">
      <formula>AND(B$9&gt;=14/24,B$9&lt;20/24)</formula>
    </cfRule>
    <cfRule type="expression" dxfId="1005" priority="147">
      <formula>AND(B$9&gt;=8/24,B$9&lt;14/24)</formula>
    </cfRule>
    <cfRule type="expression" dxfId="1004" priority="148">
      <formula>B$9&lt;8/24</formula>
    </cfRule>
  </conditionalFormatting>
  <conditionalFormatting sqref="A73">
    <cfRule type="expression" dxfId="1003" priority="96">
      <formula>$AH73=0</formula>
    </cfRule>
  </conditionalFormatting>
  <conditionalFormatting sqref="B97:B107 B152 B109:B112 B125 B154:B159 B134">
    <cfRule type="expression" dxfId="1002" priority="92">
      <formula>B$9&gt;=20/24</formula>
    </cfRule>
  </conditionalFormatting>
  <conditionalFormatting sqref="B97:B107 B152 B109:B112 B125 B154:B159 B134">
    <cfRule type="expression" dxfId="1001" priority="93">
      <formula>AND(B$9&gt;=14/24,B$9&lt;20/24)</formula>
    </cfRule>
    <cfRule type="expression" dxfId="1000" priority="94">
      <formula>AND(B$9&gt;=8/24,B$9&lt;14/24)</formula>
    </cfRule>
    <cfRule type="expression" dxfId="999" priority="95">
      <formula>B$9&lt;8/24</formula>
    </cfRule>
  </conditionalFormatting>
  <conditionalFormatting sqref="B161:B167">
    <cfRule type="expression" dxfId="998" priority="87">
      <formula>B$9&gt;=20/24</formula>
    </cfRule>
    <cfRule type="expression" dxfId="997" priority="88">
      <formula>AND(B$9&gt;=14/24,B$9&lt;20/24)</formula>
    </cfRule>
    <cfRule type="expression" dxfId="996" priority="89">
      <formula>AND(B$9&gt;=8/24,B$9&lt;14/24)</formula>
    </cfRule>
    <cfRule type="expression" dxfId="995" priority="90">
      <formula>B$9&lt;8/24</formula>
    </cfRule>
  </conditionalFormatting>
  <conditionalFormatting sqref="B169:B274">
    <cfRule type="expression" dxfId="994" priority="78">
      <formula>B$9&gt;=20/24</formula>
    </cfRule>
    <cfRule type="expression" dxfId="993" priority="79">
      <formula>AND(B$9&gt;=14/24,B$9&lt;20/24)</formula>
    </cfRule>
    <cfRule type="expression" dxfId="992" priority="80">
      <formula>AND(B$9&gt;=8/24,B$9&lt;14/24)</formula>
    </cfRule>
    <cfRule type="expression" dxfId="991" priority="81">
      <formula>B$9&lt;8/24</formula>
    </cfRule>
  </conditionalFormatting>
  <conditionalFormatting sqref="A153">
    <cfRule type="expression" dxfId="99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73">
      <formula>AL$9&gt;=20/24</formula>
    </cfRule>
  </conditionalFormatting>
  <conditionalFormatting sqref="AL153">
    <cfRule type="expression" dxfId="988" priority="74">
      <formula>AND(AL$9&gt;=14/24,AL$9&lt;20/24)</formula>
    </cfRule>
    <cfRule type="expression" dxfId="987" priority="75">
      <formula>AND(AL$9&gt;=8/24,AL$9&lt;14/24)</formula>
    </cfRule>
    <cfRule type="expression" dxfId="986" priority="76">
      <formula>AL$9&lt;8/24</formula>
    </cfRule>
  </conditionalFormatting>
  <conditionalFormatting sqref="B11:Z13">
    <cfRule type="expression" dxfId="985" priority="69">
      <formula>B$9&gt;=20/24</formula>
    </cfRule>
  </conditionalFormatting>
  <conditionalFormatting sqref="B11:Z13">
    <cfRule type="expression" dxfId="984" priority="70">
      <formula>AND(B$9&gt;=14/24,B$9&lt;20/24)</formula>
    </cfRule>
    <cfRule type="expression" dxfId="983" priority="71">
      <formula>AND(B$9&gt;=8/24,B$9&lt;14/24)</formula>
    </cfRule>
    <cfRule type="expression" dxfId="982" priority="72">
      <formula>B$9&lt;8/24</formula>
    </cfRule>
  </conditionalFormatting>
  <conditionalFormatting sqref="B14:Z16">
    <cfRule type="expression" dxfId="981" priority="63">
      <formula>B14&gt;$AG14*1</formula>
    </cfRule>
    <cfRule type="expression" dxfId="980" priority="64">
      <formula>B$9&gt;=20/24</formula>
    </cfRule>
    <cfRule type="expression" dxfId="979" priority="65">
      <formula>AND(B$9&gt;=14/24,B$9&lt;20/24)</formula>
    </cfRule>
    <cfRule type="expression" dxfId="978" priority="66">
      <formula>AND(B$9&gt;=8/24,B$9&lt;14/24)</formula>
    </cfRule>
    <cfRule type="expression" dxfId="977" priority="67">
      <formula>B$9&lt;8/24</formula>
    </cfRule>
  </conditionalFormatting>
  <conditionalFormatting sqref="B11:Z13">
    <cfRule type="expression" dxfId="976" priority="68">
      <formula>B11&gt;$AG11*1</formula>
    </cfRule>
  </conditionalFormatting>
  <conditionalFormatting sqref="B17:Z53">
    <cfRule type="expression" dxfId="975" priority="55">
      <formula>B17&gt;$AG17*1</formula>
    </cfRule>
    <cfRule type="expression" dxfId="974" priority="56">
      <formula>B$9&gt;=20/24</formula>
    </cfRule>
    <cfRule type="expression" dxfId="973" priority="57">
      <formula>AND(B$9&gt;=14/24,B$9&lt;20/24)</formula>
    </cfRule>
    <cfRule type="expression" dxfId="972" priority="58">
      <formula>AND(B$9&gt;=8/24,B$9&lt;14/24)</formula>
    </cfRule>
    <cfRule type="expression" dxfId="971" priority="59">
      <formula>B$9&lt;8/24</formula>
    </cfRule>
  </conditionalFormatting>
  <conditionalFormatting sqref="B54:Z55">
    <cfRule type="expression" dxfId="970" priority="54">
      <formula>B$9&lt;8/24</formula>
    </cfRule>
  </conditionalFormatting>
  <conditionalFormatting sqref="B54:Z55 B69:Z70">
    <cfRule type="expression" dxfId="969" priority="51">
      <formula>B$9&gt;=20/24</formula>
    </cfRule>
    <cfRule type="expression" dxfId="968" priority="52">
      <formula>AND(B$9&gt;=14/24,B$9&lt;20/24)</formula>
    </cfRule>
    <cfRule type="expression" dxfId="967" priority="53">
      <formula>AND(B$9&gt;=8/24,B$9&lt;14/24)</formula>
    </cfRule>
  </conditionalFormatting>
  <conditionalFormatting sqref="B69:Z70">
    <cfRule type="expression" dxfId="966" priority="61">
      <formula>B$9&lt;8/24</formula>
    </cfRule>
  </conditionalFormatting>
  <conditionalFormatting sqref="B69:Z69">
    <cfRule type="expression" dxfId="965" priority="60">
      <formula>B69&gt;$AG69*1</formula>
    </cfRule>
  </conditionalFormatting>
  <conditionalFormatting sqref="B54:Z55 B69:Z70">
    <cfRule type="expression" dxfId="964" priority="62">
      <formula>B54&gt;$AG54</formula>
    </cfRule>
  </conditionalFormatting>
  <conditionalFormatting sqref="B56:Z68">
    <cfRule type="expression" dxfId="963" priority="48">
      <formula>B$9&lt;8/24</formula>
    </cfRule>
  </conditionalFormatting>
  <conditionalFormatting sqref="B56:Z68">
    <cfRule type="expression" dxfId="962" priority="45">
      <formula>B$9&gt;=20/24</formula>
    </cfRule>
    <cfRule type="expression" dxfId="961" priority="46">
      <formula>AND(B$9&gt;=14/24,B$9&lt;20/24)</formula>
    </cfRule>
    <cfRule type="expression" dxfId="960" priority="47">
      <formula>AND(B$9&gt;=8/24,B$9&lt;14/24)</formula>
    </cfRule>
  </conditionalFormatting>
  <conditionalFormatting sqref="B63:Z65">
    <cfRule type="expression" dxfId="959" priority="49">
      <formula>B63&gt;$AG63</formula>
    </cfRule>
  </conditionalFormatting>
  <conditionalFormatting sqref="B56:Z62 B66:Z68">
    <cfRule type="expression" dxfId="958" priority="50">
      <formula>B56&gt;$AG56</formula>
    </cfRule>
  </conditionalFormatting>
  <conditionalFormatting sqref="B76:Z77">
    <cfRule type="expression" dxfId="957" priority="37">
      <formula>B$9&gt;=20/24</formula>
    </cfRule>
  </conditionalFormatting>
  <conditionalFormatting sqref="B76:Z77">
    <cfRule type="expression" dxfId="956" priority="38">
      <formula>AND(B$9&gt;=14/24,B$9&lt;20/24)</formula>
    </cfRule>
    <cfRule type="expression" dxfId="955" priority="39">
      <formula>AND(B$9&gt;=8/24,B$9&lt;14/24)</formula>
    </cfRule>
    <cfRule type="expression" dxfId="954" priority="40">
      <formula>B$9&lt;8/24</formula>
    </cfRule>
  </conditionalFormatting>
  <conditionalFormatting sqref="B72:Z75">
    <cfRule type="expression" dxfId="953" priority="31">
      <formula>B72&gt;$AG72*1</formula>
    </cfRule>
  </conditionalFormatting>
  <conditionalFormatting sqref="B73:Z75">
    <cfRule type="expression" dxfId="952" priority="32">
      <formula>B$9&gt;=20/24</formula>
    </cfRule>
    <cfRule type="expression" dxfId="951" priority="33">
      <formula>AND(B$9&gt;=14/24,B$9&lt;20/24)</formula>
    </cfRule>
    <cfRule type="expression" dxfId="950" priority="34">
      <formula>AND(B$9&gt;=8/24,B$9&lt;14/24)</formula>
    </cfRule>
    <cfRule type="expression" dxfId="949" priority="35">
      <formula>B$9&lt;8/24</formula>
    </cfRule>
  </conditionalFormatting>
  <conditionalFormatting sqref="B76:Z77">
    <cfRule type="expression" dxfId="948" priority="36">
      <formula>B76&gt;$AG76*1</formula>
    </cfRule>
  </conditionalFormatting>
  <conditionalFormatting sqref="B72:Z72">
    <cfRule type="expression" dxfId="947" priority="41">
      <formula>B$9&gt;=20/24</formula>
    </cfRule>
    <cfRule type="expression" dxfId="946" priority="42">
      <formula>AND(B$9&gt;=14/24,B$9&lt;20/24)</formula>
    </cfRule>
    <cfRule type="expression" dxfId="945" priority="43">
      <formula>AND(B$9&gt;=8/24,B$9&lt;14/24)</formula>
    </cfRule>
    <cfRule type="expression" dxfId="944" priority="44">
      <formula>B$9&lt;8/24</formula>
    </cfRule>
  </conditionalFormatting>
  <conditionalFormatting sqref="B85:Z90">
    <cfRule type="expression" dxfId="943" priority="19">
      <formula>B$9&gt;=20/24</formula>
    </cfRule>
  </conditionalFormatting>
  <conditionalFormatting sqref="B85:Z90">
    <cfRule type="expression" dxfId="942" priority="20">
      <formula>AND(B$9&gt;=14/24,B$9&lt;20/24)</formula>
    </cfRule>
    <cfRule type="expression" dxfId="941" priority="21">
      <formula>AND(B$9&gt;=8/24,B$9&lt;14/24)</formula>
    </cfRule>
    <cfRule type="expression" dxfId="940" priority="22">
      <formula>B$9&lt;8/24</formula>
    </cfRule>
  </conditionalFormatting>
  <conditionalFormatting sqref="B79:Z90">
    <cfRule type="expression" dxfId="939" priority="18">
      <formula>B79&gt;$AG79*1</formula>
    </cfRule>
  </conditionalFormatting>
  <conditionalFormatting sqref="B84:Z84">
    <cfRule type="expression" dxfId="938" priority="23">
      <formula>B$9&gt;=20/24</formula>
    </cfRule>
    <cfRule type="expression" dxfId="937" priority="24">
      <formula>AND(B$9&gt;=14/24,B$9&lt;20/24)</formula>
    </cfRule>
    <cfRule type="expression" dxfId="936" priority="25">
      <formula>AND(B$9&gt;=8/24,B$9&lt;14/24)</formula>
    </cfRule>
    <cfRule type="expression" dxfId="935" priority="26">
      <formula>B$9&lt;8/24</formula>
    </cfRule>
  </conditionalFormatting>
  <conditionalFormatting sqref="B80:Z83">
    <cfRule type="expression" dxfId="934" priority="27">
      <formula>B$9&gt;=20/24</formula>
    </cfRule>
    <cfRule type="expression" dxfId="933" priority="28">
      <formula>AND(B$9&gt;=14/24,B$9&lt;20/24)</formula>
    </cfRule>
    <cfRule type="expression" dxfId="932" priority="29">
      <formula>AND(B$9&gt;=8/24,B$9&lt;14/24)</formula>
    </cfRule>
    <cfRule type="expression" dxfId="931" priority="30">
      <formula>B$9&lt;8/24</formula>
    </cfRule>
  </conditionalFormatting>
  <conditionalFormatting sqref="B79:Z84">
    <cfRule type="expression" dxfId="930" priority="14">
      <formula>B$9&gt;=20/24</formula>
    </cfRule>
    <cfRule type="expression" dxfId="929" priority="15">
      <formula>AND(B$9&gt;=14/24,B$9&lt;20/24)</formula>
    </cfRule>
    <cfRule type="expression" dxfId="928" priority="16">
      <formula>AND(B$9&gt;=8/24,B$9&lt;14/24)</formula>
    </cfRule>
    <cfRule type="expression" dxfId="927" priority="17">
      <formula>B$9&lt;8/24</formula>
    </cfRule>
  </conditionalFormatting>
  <conditionalFormatting sqref="B93:D95">
    <cfRule type="expression" dxfId="926" priority="10">
      <formula>B$9&gt;=20/24</formula>
    </cfRule>
  </conditionalFormatting>
  <conditionalFormatting sqref="B93:D95"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93:D95">
    <cfRule type="expression" dxfId="922" priority="9">
      <formula>B93&gt;$AG93*1</formula>
    </cfRule>
  </conditionalFormatting>
  <conditionalFormatting sqref="B126:C133">
    <cfRule type="expression" dxfId="921" priority="5">
      <formula>B$9&gt;=20/24</formula>
    </cfRule>
  </conditionalFormatting>
  <conditionalFormatting sqref="B126:C133">
    <cfRule type="expression" dxfId="920" priority="6">
      <formula>AND(B$9&gt;=14/24,B$9&lt;20/24)</formula>
    </cfRule>
    <cfRule type="expression" dxfId="919" priority="7">
      <formula>AND(B$9&gt;=8/24,B$9&lt;14/24)</formula>
    </cfRule>
    <cfRule type="expression" dxfId="918" priority="8">
      <formula>B$9&lt;8/24</formula>
    </cfRule>
  </conditionalFormatting>
  <conditionalFormatting sqref="B137:C151">
    <cfRule type="expression" dxfId="917" priority="1">
      <formula>B$9&gt;=20/24</formula>
    </cfRule>
  </conditionalFormatting>
  <conditionalFormatting sqref="B137:C151">
    <cfRule type="expression" dxfId="916" priority="2">
      <formula>AND(B$9&gt;=14/24,B$9&lt;20/24)</formula>
    </cfRule>
    <cfRule type="expression" dxfId="915" priority="3">
      <formula>AND(B$9&gt;=8/24,B$9&lt;14/24)</formula>
    </cfRule>
    <cfRule type="expression" dxfId="91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Y53 Z14:AF53">
    <cfRule type="expression" dxfId="900" priority="49">
      <formula>B14&gt;$AG14*1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C161:AF167">
    <cfRule type="expression" dxfId="884" priority="65">
      <formula>C$9&gt;=20/24</formula>
    </cfRule>
    <cfRule type="expression" dxfId="883" priority="66">
      <formula>AND(C$9&gt;=14/24,C$9&lt;20/24)</formula>
    </cfRule>
    <cfRule type="expression" dxfId="882" priority="67">
      <formula>AND(C$9&gt;=8/24,C$9&lt;14/24)</formula>
    </cfRule>
    <cfRule type="expression" dxfId="881" priority="68">
      <formula>C$9&lt;8/24</formula>
    </cfRule>
  </conditionalFormatting>
  <conditionalFormatting sqref="C169:AF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A70 AG96 B71:AA71 B69:AA69 AG78 AG71 AB69:AF71 B76:AF96 Z11:AF13">
    <cfRule type="expression" dxfId="876" priority="105">
      <formula>B11&gt;$AG11*1</formula>
    </cfRule>
  </conditionalFormatting>
  <conditionalFormatting sqref="F79:Y83">
    <cfRule type="expression" dxfId="875" priority="115">
      <formula>F$9&gt;=20/24</formula>
    </cfRule>
    <cfRule type="expression" dxfId="874" priority="116">
      <formula>AND(F$9&gt;=14/24,F$9&lt;20/24)</formula>
    </cfRule>
    <cfRule type="expression" dxfId="873" priority="117">
      <formula>AND(F$9&gt;=8/24,F$9&lt;14/24)</formula>
    </cfRule>
    <cfRule type="expression" dxfId="872" priority="118">
      <formula>F$9&lt;8/24</formula>
    </cfRule>
  </conditionalFormatting>
  <conditionalFormatting sqref="F84:Y84">
    <cfRule type="expression" dxfId="871" priority="110">
      <formula>F$9&gt;=20/24</formula>
    </cfRule>
    <cfRule type="expression" dxfId="870" priority="111">
      <formula>AND(F$9&gt;=14/24,F$9&lt;20/24)</formula>
    </cfRule>
    <cfRule type="expression" dxfId="869" priority="112">
      <formula>AND(F$9&gt;=8/24,F$9&lt;14/24)</formula>
    </cfRule>
    <cfRule type="expression" dxfId="868" priority="113">
      <formula>F$9&lt;8/24</formula>
    </cfRule>
  </conditionalFormatting>
  <conditionalFormatting sqref="F78:AC78 Z76:AC77 B72:AF72 AD76:AF78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Z73:AF75">
    <cfRule type="expression" dxfId="863" priority="35">
      <formula>Z$9&gt;=20/24</formula>
    </cfRule>
    <cfRule type="expression" dxfId="862" priority="36">
      <formula>AND(Z$9&gt;=14/24,Z$9&lt;20/24)</formula>
    </cfRule>
    <cfRule type="expression" dxfId="861" priority="37">
      <formula>AND(Z$9&gt;=8/24,Z$9&lt;14/24)</formula>
    </cfRule>
    <cfRule type="expression" dxfId="860" priority="38">
      <formula>Z$9&lt;8/24</formula>
    </cfRule>
  </conditionalFormatting>
  <conditionalFormatting sqref="F79:Y81">
    <cfRule type="expression" dxfId="859" priority="133">
      <formula>F$9&gt;=20/24</formula>
    </cfRule>
    <cfRule type="expression" dxfId="858" priority="134">
      <formula>AND(F$9&gt;=14/24,F$9&lt;20/24)</formula>
    </cfRule>
    <cfRule type="expression" dxfId="857" priority="135">
      <formula>AND(F$9&gt;=8/24,F$9&lt;14/24)</formula>
    </cfRule>
    <cfRule type="expression" dxfId="856" priority="136">
      <formula>F$9&lt;8/24</formula>
    </cfRule>
  </conditionalFormatting>
  <conditionalFormatting sqref="L84:AF84">
    <cfRule type="expression" dxfId="855" priority="129">
      <formula>L$9&gt;=20/24</formula>
    </cfRule>
    <cfRule type="expression" dxfId="854" priority="130">
      <formula>AND(L$9&gt;=14/24,L$9&lt;20/24)</formula>
    </cfRule>
    <cfRule type="expression" dxfId="853" priority="131">
      <formula>AND(L$9&gt;=8/24,L$9&lt;14/24)</formula>
    </cfRule>
    <cfRule type="expression" dxfId="852" priority="132">
      <formula>L$9&lt;8/24</formula>
    </cfRule>
  </conditionalFormatting>
  <conditionalFormatting sqref="M8 S8 AB8">
    <cfRule type="expression" dxfId="851" priority="182">
      <formula>AND(N$9&gt;=14/24,N$9&lt;20/24)</formula>
    </cfRule>
    <cfRule type="expression" dxfId="850" priority="183">
      <formula>AND(N$9&gt;=8/24,N$9&lt;14/24)</formula>
    </cfRule>
    <cfRule type="expression" dxfId="849" priority="184">
      <formula>N$9&lt;8/24</formula>
    </cfRule>
  </conditionalFormatting>
  <conditionalFormatting sqref="R79:Y83 Z80:AF83">
    <cfRule type="expression" dxfId="848" priority="137">
      <formula>R$9&gt;=20/24</formula>
    </cfRule>
    <cfRule type="expression" dxfId="847" priority="138">
      <formula>AND(R$9&gt;=14/24,R$9&lt;20/24)</formula>
    </cfRule>
    <cfRule type="expression" dxfId="846" priority="139">
      <formula>AND(R$9&gt;=8/24,R$9&lt;14/24)</formula>
    </cfRule>
    <cfRule type="expression" dxfId="84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181">
      <formula>N$9&gt;=20/24</formula>
    </cfRule>
  </conditionalFormatting>
  <conditionalFormatting sqref="S8">
    <cfRule type="expression" dxfId="843" priority="172">
      <formula>U$9&gt;=20/24</formula>
    </cfRule>
    <cfRule type="expression" dxfId="842" priority="173">
      <formula>AND(U$9&gt;=14/24,U$9&lt;20/24)</formula>
    </cfRule>
    <cfRule type="expression" dxfId="841" priority="174">
      <formula>AND(U$9&gt;=8/24,U$9&lt;14/24)</formula>
    </cfRule>
    <cfRule type="expression" dxfId="840" priority="175">
      <formula>U$9&lt;8/24</formula>
    </cfRule>
  </conditionalFormatting>
  <conditionalFormatting sqref="Z79:AF84">
    <cfRule type="expression" dxfId="839" priority="59">
      <formula>Z$9&gt;=20/24</formula>
    </cfRule>
    <cfRule type="expression" dxfId="838" priority="60">
      <formula>AND(Z$9&gt;=14/24,Z$9&lt;20/24)</formula>
    </cfRule>
    <cfRule type="expression" dxfId="837" priority="61">
      <formula>AND(Z$9&gt;=8/24,Z$9&lt;14/24)</formula>
    </cfRule>
    <cfRule type="expression" dxfId="83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35" priority="44">
      <formula>Z$9&gt;=20/24</formula>
    </cfRule>
    <cfRule type="expression" dxfId="834" priority="45">
      <formula>AND(Z$9&gt;=14/24,Z$9&lt;20/24)</formula>
    </cfRule>
    <cfRule type="expression" dxfId="833" priority="46">
      <formula>AND(Z$9&gt;=8/24,Z$9&lt;14/24)</formula>
    </cfRule>
    <cfRule type="expression" dxfId="832" priority="47">
      <formula>Z$9&lt;8/24</formula>
    </cfRule>
  </conditionalFormatting>
  <conditionalFormatting sqref="Z69:Z70">
    <cfRule type="expression" dxfId="831" priority="124">
      <formula>Z69&gt;$AG69</formula>
    </cfRule>
  </conditionalFormatting>
  <conditionalFormatting sqref="B66:Y70 B54:AF62 Z66:AF69">
    <cfRule type="expression" dxfId="830" priority="119">
      <formula>B54&gt;$AG54</formula>
    </cfRule>
  </conditionalFormatting>
  <conditionalFormatting sqref="AB8">
    <cfRule type="expression" dxfId="829" priority="168">
      <formula>AD$9&gt;=20/24</formula>
    </cfRule>
    <cfRule type="expression" dxfId="828" priority="169">
      <formula>AND(AD$9&gt;=14/24,AD$9&lt;20/24)</formula>
    </cfRule>
    <cfRule type="expression" dxfId="827" priority="170">
      <formula>AND(AD$9&gt;=8/24,AD$9&lt;14/24)</formula>
    </cfRule>
    <cfRule type="expression" dxfId="826" priority="171">
      <formula>AD$9&lt;8/24</formula>
    </cfRule>
  </conditionalFormatting>
  <conditionalFormatting sqref="AG78">
    <cfRule type="expression" dxfId="820" priority="147">
      <formula>AG$9&gt;=20/24</formula>
    </cfRule>
    <cfRule type="expression" dxfId="819" priority="148">
      <formula>AND(AG$9&gt;=14/24,AG$9&lt;20/24)</formula>
    </cfRule>
    <cfRule type="expression" dxfId="818" priority="149">
      <formula>AND(AG$9&gt;=8/24,AG$9&lt;14/24)</formula>
    </cfRule>
    <cfRule type="expression" dxfId="817" priority="150">
      <formula>AG$9&lt;8/24</formula>
    </cfRule>
  </conditionalFormatting>
  <conditionalFormatting sqref="AG91:AG92">
    <cfRule type="expression" dxfId="816" priority="142">
      <formula>AG91&gt;$AG91</formula>
    </cfRule>
  </conditionalFormatting>
  <conditionalFormatting sqref="AG96">
    <cfRule type="expression" dxfId="815" priority="143">
      <formula>AG$9&gt;=20/24</formula>
    </cfRule>
    <cfRule type="expression" dxfId="814" priority="144">
      <formula>AND(AG$9&gt;=14/24,AG$9&lt;20/24)</formula>
    </cfRule>
    <cfRule type="expression" dxfId="813" priority="145">
      <formula>AND(AG$9&gt;=8/24,AG$9&lt;14/24)</formula>
    </cfRule>
    <cfRule type="expression" dxfId="812" priority="146">
      <formula>AG$9&lt;8/24</formula>
    </cfRule>
  </conditionalFormatting>
  <conditionalFormatting sqref="AG113">
    <cfRule type="expression" dxfId="811" priority="164">
      <formula>AG$9&gt;=20/24</formula>
    </cfRule>
    <cfRule type="expression" dxfId="810" priority="165">
      <formula>AND(AG$9&gt;=14/24,AG$9&lt;20/24)</formula>
    </cfRule>
    <cfRule type="expression" dxfId="809" priority="166">
      <formula>AND(AG$9&gt;=8/24,AG$9&lt;14/24)</formula>
    </cfRule>
    <cfRule type="expression" dxfId="808" priority="167">
      <formula>AG$9&lt;8/24</formula>
    </cfRule>
  </conditionalFormatting>
  <conditionalFormatting sqref="AH8:AI10">
    <cfRule type="expression" dxfId="807" priority="55">
      <formula>AH$9&gt;=20/24</formula>
    </cfRule>
    <cfRule type="expression" dxfId="806" priority="56">
      <formula>AND(AH$9&gt;=14/24,AH$9&lt;20/24)</formula>
    </cfRule>
    <cfRule type="expression" dxfId="805" priority="57">
      <formula>AND(AH$9&gt;=8/24,AH$9&lt;14/24)</formula>
    </cfRule>
    <cfRule type="expression" dxfId="80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3" priority="185">
      <formula>AJ$9&gt;=20/24</formula>
    </cfRule>
    <cfRule type="expression" dxfId="802" priority="186">
      <formula>AND(AJ$9&gt;=14/24,AJ$9&lt;20/24)</formula>
    </cfRule>
    <cfRule type="expression" dxfId="801" priority="187">
      <formula>AND(AJ$9&gt;=8/24,AJ$9&lt;14/24)</formula>
    </cfRule>
    <cfRule type="expression" dxfId="800" priority="188">
      <formula>AJ$9&lt;8/24</formula>
    </cfRule>
  </conditionalFormatting>
  <conditionalFormatting sqref="AL99:AN99 AL105:AN105">
    <cfRule type="expression" dxfId="799" priority="157">
      <formula>AL$9&gt;=20/24</formula>
    </cfRule>
    <cfRule type="expression" dxfId="798" priority="158">
      <formula>AND(AL$9&gt;=14/24,AL$9&lt;20/24)</formula>
    </cfRule>
    <cfRule type="expression" dxfId="797" priority="159">
      <formula>AND(AL$9&gt;=8/24,AL$9&lt;14/24)</formula>
    </cfRule>
    <cfRule type="expression" dxfId="796" priority="160">
      <formula>AL$9&lt;8/24</formula>
    </cfRule>
  </conditionalFormatting>
  <conditionalFormatting sqref="AM15:AM21 AN16:AR21">
    <cfRule type="expression" dxfId="795" priority="81">
      <formula>AX$9&gt;=20/24</formula>
    </cfRule>
    <cfRule type="expression" dxfId="794" priority="82">
      <formula>AND(AX$9&gt;=14/24,AX$9&lt;20/24)</formula>
    </cfRule>
    <cfRule type="expression" dxfId="793" priority="83">
      <formula>AND(AX$9&gt;=8/24,AX$9&lt;14/24)</formula>
    </cfRule>
    <cfRule type="expression" dxfId="792" priority="84">
      <formula>AX$9&lt;8/24</formula>
    </cfRule>
  </conditionalFormatting>
  <conditionalFormatting sqref="AN100:AN103">
    <cfRule type="expression" dxfId="791" priority="153">
      <formula>AN$9&gt;=20/24</formula>
    </cfRule>
    <cfRule type="expression" dxfId="790" priority="154">
      <formula>AND(AN$9&gt;=14/24,AN$9&lt;20/24)</formula>
    </cfRule>
    <cfRule type="expression" dxfId="789" priority="155">
      <formula>AND(AN$9&gt;=8/24,AN$9&lt;14/24)</formula>
    </cfRule>
    <cfRule type="expression" dxfId="788" priority="156">
      <formula>AN$9&lt;8/24</formula>
    </cfRule>
  </conditionalFormatting>
  <conditionalFormatting sqref="AN15:AR15">
    <cfRule type="expression" dxfId="787" priority="69">
      <formula>U$9&gt;=20/24</formula>
    </cfRule>
    <cfRule type="expression" dxfId="786" priority="70">
      <formula>AND(U$9&gt;=14/24,U$9&lt;20/24)</formula>
    </cfRule>
    <cfRule type="expression" dxfId="785" priority="71">
      <formula>AND(U$9&gt;=8/24,U$9&lt;14/24)</formula>
    </cfRule>
    <cfRule type="expression" dxfId="784" priority="72">
      <formula>U$9&lt;8/24</formula>
    </cfRule>
  </conditionalFormatting>
  <conditionalFormatting sqref="AS15">
    <cfRule type="expression" dxfId="783" priority="77">
      <formula>AA$9&gt;=20/24</formula>
    </cfRule>
    <cfRule type="expression" dxfId="782" priority="78">
      <formula>AND(AA$9&gt;=14/24,AA$9&lt;20/24)</formula>
    </cfRule>
    <cfRule type="expression" dxfId="781" priority="79">
      <formula>AND(AA$9&gt;=8/24,AA$9&lt;14/24)</formula>
    </cfRule>
    <cfRule type="expression" dxfId="780" priority="80">
      <formula>AA$9&lt;8/24</formula>
    </cfRule>
  </conditionalFormatting>
  <conditionalFormatting sqref="AS16:AS21">
    <cfRule type="expression" dxfId="779" priority="85">
      <formula>BE$9&gt;=20/24</formula>
    </cfRule>
    <cfRule type="expression" dxfId="778" priority="86">
      <formula>AND(BE$9&gt;=14/24,BE$9&lt;20/24)</formula>
    </cfRule>
    <cfRule type="expression" dxfId="777" priority="87">
      <formula>AND(BE$9&gt;=8/24,BE$9&lt;14/24)</formula>
    </cfRule>
    <cfRule type="expression" dxfId="776" priority="88">
      <formula>BE$9&lt;8/24</formula>
    </cfRule>
  </conditionalFormatting>
  <conditionalFormatting sqref="AT15 AX15:BJ15">
    <cfRule type="expression" dxfId="775" priority="89">
      <formula>AC$9&gt;=20/24</formula>
    </cfRule>
    <cfRule type="expression" dxfId="774" priority="90">
      <formula>AND(AC$9&gt;=14/24,AC$9&lt;20/24)</formula>
    </cfRule>
    <cfRule type="expression" dxfId="773" priority="91">
      <formula>AND(AC$9&gt;=8/24,AC$9&lt;14/24)</formula>
    </cfRule>
    <cfRule type="expression" dxfId="772" priority="92">
      <formula>AC$9&lt;8/24</formula>
    </cfRule>
  </conditionalFormatting>
  <conditionalFormatting sqref="AT16:AT21">
    <cfRule type="expression" dxfId="771" priority="93">
      <formula>BG$9&gt;=20/24</formula>
    </cfRule>
    <cfRule type="expression" dxfId="770" priority="94">
      <formula>AND(BG$9&gt;=14/24,BG$9&lt;20/24)</formula>
    </cfRule>
    <cfRule type="expression" dxfId="769" priority="95">
      <formula>AND(BG$9&gt;=8/24,BG$9&lt;14/24)</formula>
    </cfRule>
    <cfRule type="expression" dxfId="768" priority="96">
      <formula>BG$9&lt;8/24</formula>
    </cfRule>
  </conditionalFormatting>
  <conditionalFormatting sqref="AU15:AV15">
    <cfRule type="expression" dxfId="767" priority="97">
      <formula>AE$9&gt;=20/24</formula>
    </cfRule>
    <cfRule type="expression" dxfId="766" priority="98">
      <formula>AND(AE$9&gt;=14/24,AE$9&lt;20/24)</formula>
    </cfRule>
    <cfRule type="expression" dxfId="765" priority="99">
      <formula>AND(AE$9&gt;=8/24,AE$9&lt;14/24)</formula>
    </cfRule>
    <cfRule type="expression" dxfId="764" priority="100">
      <formula>AE$9&lt;8/24</formula>
    </cfRule>
  </conditionalFormatting>
  <conditionalFormatting sqref="AU16:BJ21">
    <cfRule type="expression" dxfId="763" priority="101">
      <formula>BI$9&gt;=20/24</formula>
    </cfRule>
    <cfRule type="expression" dxfId="762" priority="102">
      <formula>AND(BI$9&gt;=14/24,BI$9&lt;20/24)</formula>
    </cfRule>
    <cfRule type="expression" dxfId="761" priority="103">
      <formula>AND(BI$9&gt;=8/24,BI$9&lt;14/24)</formula>
    </cfRule>
    <cfRule type="expression" dxfId="760" priority="104">
      <formula>BI$9&lt;8/24</formula>
    </cfRule>
  </conditionalFormatting>
  <conditionalFormatting sqref="AW15">
    <cfRule type="expression" dxfId="759" priority="73">
      <formula>B$9&gt;=20/24</formula>
    </cfRule>
    <cfRule type="expression" dxfId="758" priority="74">
      <formula>AND(B$9&gt;=14/24,B$9&lt;20/24)</formula>
    </cfRule>
    <cfRule type="expression" dxfId="757" priority="75">
      <formula>AND(B$9&gt;=8/24,B$9&lt;14/24)</formula>
    </cfRule>
    <cfRule type="expression" dxfId="756" priority="76">
      <formula>B$9&lt;8/24</formula>
    </cfRule>
  </conditionalFormatting>
  <conditionalFormatting sqref="A73">
    <cfRule type="expression" dxfId="755" priority="24">
      <formula>$AH73=0</formula>
    </cfRule>
  </conditionalFormatting>
  <conditionalFormatting sqref="B97:B107 B137:B152 B109:B112 B125:B134 B154:B159 C137:E151 C126:Q133 B11:Y13">
    <cfRule type="expression" dxfId="754" priority="20">
      <formula>B$9&gt;=20/24</formula>
    </cfRule>
  </conditionalFormatting>
  <conditionalFormatting sqref="B97:B107 B137:B152 B109:B112 B125:B134 B154:B159 C137:E151 C126:Q133 B11:Y13">
    <cfRule type="expression" dxfId="753" priority="21">
      <formula>AND(B$9&gt;=14/24,B$9&lt;20/24)</formula>
    </cfRule>
    <cfRule type="expression" dxfId="752" priority="22">
      <formula>AND(B$9&gt;=8/24,B$9&lt;14/24)</formula>
    </cfRule>
    <cfRule type="expression" dxfId="751" priority="23">
      <formula>B$9&lt;8/24</formula>
    </cfRule>
  </conditionalFormatting>
  <conditionalFormatting sqref="B14:Y28">
    <cfRule type="expression" dxfId="750" priority="10">
      <formula>B14&gt;$AG14*1</formula>
    </cfRule>
    <cfRule type="expression" dxfId="749" priority="11">
      <formula>B$9&gt;=20/24</formula>
    </cfRule>
    <cfRule type="expression" dxfId="748" priority="12">
      <formula>AND(B$9&gt;=14/24,B$9&lt;20/24)</formula>
    </cfRule>
    <cfRule type="expression" dxfId="747" priority="13">
      <formula>AND(B$9&gt;=8/24,B$9&lt;14/24)</formula>
    </cfRule>
    <cfRule type="expression" dxfId="746" priority="14">
      <formula>B$9&lt;8/24</formula>
    </cfRule>
  </conditionalFormatting>
  <conditionalFormatting sqref="B161:B167">
    <cfRule type="expression" dxfId="745" priority="15">
      <formula>B$9&gt;=20/24</formula>
    </cfRule>
    <cfRule type="expression" dxfId="744" priority="16">
      <formula>AND(B$9&gt;=14/24,B$9&lt;20/24)</formula>
    </cfRule>
    <cfRule type="expression" dxfId="743" priority="17">
      <formula>AND(B$9&gt;=8/24,B$9&lt;14/24)</formula>
    </cfRule>
    <cfRule type="expression" dxfId="742" priority="18">
      <formula>B$9&lt;8/24</formula>
    </cfRule>
  </conditionalFormatting>
  <conditionalFormatting sqref="B169:B274">
    <cfRule type="expression" dxfId="741" priority="6">
      <formula>B$9&gt;=20/24</formula>
    </cfRule>
    <cfRule type="expression" dxfId="740" priority="7">
      <formula>AND(B$9&gt;=14/24,B$9&lt;20/24)</formula>
    </cfRule>
    <cfRule type="expression" dxfId="739" priority="8">
      <formula>AND(B$9&gt;=8/24,B$9&lt;14/24)</formula>
    </cfRule>
    <cfRule type="expression" dxfId="738" priority="9">
      <formula>B$9&lt;8/24</formula>
    </cfRule>
  </conditionalFormatting>
  <conditionalFormatting sqref="B11:Y13">
    <cfRule type="expression" dxfId="737" priority="19">
      <formula>B11&gt;$AG11*1</formula>
    </cfRule>
  </conditionalFormatting>
  <conditionalFormatting sqref="A153">
    <cfRule type="expression" dxfId="73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5" priority="1">
      <formula>AL$9&gt;=20/24</formula>
    </cfRule>
  </conditionalFormatting>
  <conditionalFormatting sqref="AL153">
    <cfRule type="expression" dxfId="734" priority="2">
      <formula>AND(AL$9&gt;=14/24,AL$9&lt;20/24)</formula>
    </cfRule>
    <cfRule type="expression" dxfId="733" priority="3">
      <formula>AND(AL$9&gt;=8/24,AL$9&lt;14/24)</formula>
    </cfRule>
    <cfRule type="expression" dxfId="73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AF53">
    <cfRule type="expression" dxfId="718" priority="49">
      <formula>B29&gt;$AG29*1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G78 AG96 B71:AG71 B69:AF69 B76:AF96">
    <cfRule type="expression" dxfId="694" priority="105">
      <formula>B69&gt;$AG69*1</formula>
    </cfRule>
  </conditionalFormatting>
  <conditionalFormatting sqref="G79:AF83">
    <cfRule type="expression" dxfId="693" priority="115">
      <formula>G$9&gt;=20/24</formula>
    </cfRule>
    <cfRule type="expression" dxfId="692" priority="116">
      <formula>AND(G$9&gt;=14/24,G$9&lt;20/24)</formula>
    </cfRule>
    <cfRule type="expression" dxfId="691" priority="117">
      <formula>AND(G$9&gt;=8/24,G$9&lt;14/24)</formula>
    </cfRule>
    <cfRule type="expression" dxfId="690" priority="118">
      <formula>G$9&lt;8/24</formula>
    </cfRule>
  </conditionalFormatting>
  <conditionalFormatting sqref="G84:AF84">
    <cfRule type="expression" dxfId="689" priority="110">
      <formula>G$9&gt;=20/24</formula>
    </cfRule>
    <cfRule type="expression" dxfId="688" priority="111">
      <formula>AND(G$9&gt;=14/24,G$9&lt;20/24)</formula>
    </cfRule>
    <cfRule type="expression" dxfId="687" priority="112">
      <formula>AND(G$9&gt;=8/24,G$9&lt;14/24)</formula>
    </cfRule>
    <cfRule type="expression" dxfId="686" priority="113">
      <formula>G$9&lt;8/24</formula>
    </cfRule>
  </conditionalFormatting>
  <conditionalFormatting sqref="G78:AF78 B72:AF72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G79:AF81">
    <cfRule type="expression" dxfId="677" priority="133">
      <formula>G$9&gt;=20/24</formula>
    </cfRule>
    <cfRule type="expression" dxfId="676" priority="134">
      <formula>AND(G$9&gt;=14/24,G$9&lt;20/24)</formula>
    </cfRule>
    <cfRule type="expression" dxfId="675" priority="135">
      <formula>AND(G$9&gt;=8/24,G$9&lt;14/24)</formula>
    </cfRule>
    <cfRule type="expression" dxfId="674" priority="136">
      <formula>G$9&lt;8/24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Y79:AF83">
    <cfRule type="expression" dxfId="666" priority="137">
      <formula>Y$9&gt;=20/24</formula>
    </cfRule>
    <cfRule type="expression" dxfId="665" priority="138">
      <formula>AND(Y$9&gt;=14/24,Y$9&lt;20/24)</formula>
    </cfRule>
    <cfRule type="expression" dxfId="664" priority="139">
      <formula>AND(Y$9&gt;=8/24,Y$9&lt;14/24)</formula>
    </cfRule>
    <cfRule type="expression" dxfId="6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Y79:AF84">
    <cfRule type="expression" dxfId="657" priority="59">
      <formula>Y$9&gt;=20/24</formula>
    </cfRule>
    <cfRule type="expression" dxfId="656" priority="60">
      <formula>AND(Y$9&gt;=14/24,Y$9&lt;20/24)</formula>
    </cfRule>
    <cfRule type="expression" dxfId="655" priority="61">
      <formula>AND(Y$9&gt;=8/24,Y$9&lt;14/24)</formula>
    </cfRule>
    <cfRule type="expression" dxfId="6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137:B152 B154:B159 B97:F107 C137:F151 B109:F112 B125:F134 G131:R133 B11:AF13">
    <cfRule type="expression" dxfId="572" priority="20">
      <formula>B$9&gt;=20/24</formula>
    </cfRule>
  </conditionalFormatting>
  <conditionalFormatting sqref="B137:B152 B154:B159 B97:F107 C137:F151 B109:F112 B125:F134 G131:R133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B9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126" sqref="AL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Drain Time: 8.73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9">
      <formula>$AH11=0</formula>
    </cfRule>
  </conditionalFormatting>
  <conditionalFormatting sqref="A101:A102">
    <cfRule type="expression" dxfId="366" priority="197">
      <formula>$AH106=0</formula>
    </cfRule>
  </conditionalFormatting>
  <conditionalFormatting sqref="A103:A107">
    <cfRule type="expression" dxfId="365" priority="145">
      <formula>$AH102=0</formula>
    </cfRule>
  </conditionalFormatting>
  <conditionalFormatting sqref="A160:A167">
    <cfRule type="expression" dxfId="364" priority="198">
      <formula>$AH267=0</formula>
    </cfRule>
  </conditionalFormatting>
  <conditionalFormatting sqref="A168:A275">
    <cfRule type="expression" dxfId="363" priority="68">
      <formula>$AH168=0</formula>
    </cfRule>
  </conditionalFormatting>
  <conditionalFormatting sqref="B8">
    <cfRule type="expression" dxfId="362" priority="193">
      <formula>AND(C$9&gt;=14/24,C$9&lt;20/24)</formula>
    </cfRule>
    <cfRule type="expression" dxfId="361" priority="194">
      <formula>AND(C$9&gt;=8/24,C$9&lt;14/24)</formula>
    </cfRule>
    <cfRule type="expression" dxfId="360" priority="195">
      <formula>C$9&lt;8/24</formula>
    </cfRule>
    <cfRule type="expression" dxfId="359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" priority="111">
      <formula>AND(B$9&gt;=14/24,B$9&lt;20/24)</formula>
    </cfRule>
    <cfRule type="expression" dxfId="356" priority="112">
      <formula>AND(B$9&gt;=8/24,B$9&lt;14/24)</formula>
    </cfRule>
    <cfRule type="expression" dxfId="355" priority="113">
      <formula>B$9&lt;8/24</formula>
    </cfRule>
  </conditionalFormatting>
  <conditionalFormatting sqref="B29:Y53 Z14:AF53">
    <cfRule type="expression" dxfId="354" priority="53">
      <formula>B14&gt;$AG14*1</formula>
    </cfRule>
    <cfRule type="expression" dxfId="353" priority="54">
      <formula>B$9&gt;=20/24</formula>
    </cfRule>
    <cfRule type="expression" dxfId="352" priority="55">
      <formula>AND(B$9&gt;=14/24,B$9&lt;20/24)</formula>
    </cfRule>
    <cfRule type="expression" dxfId="351" priority="56">
      <formula>AND(B$9&gt;=8/24,B$9&lt;14/24)</formula>
    </cfRule>
    <cfRule type="expression" dxfId="350" priority="57">
      <formula>B$9&lt;8/24</formula>
    </cfRule>
  </conditionalFormatting>
  <conditionalFormatting sqref="B54:AF68">
    <cfRule type="expression" dxfId="349" priority="46">
      <formula>B$9&lt;8/24</formula>
    </cfRule>
  </conditionalFormatting>
  <conditionalFormatting sqref="B54:AF70">
    <cfRule type="expression" dxfId="348" priority="43">
      <formula>B$9&gt;=20/24</formula>
    </cfRule>
    <cfRule type="expression" dxfId="347" priority="44">
      <formula>AND(B$9&gt;=14/24,B$9&lt;20/24)</formula>
    </cfRule>
    <cfRule type="expression" dxfId="346" priority="45">
      <formula>AND(B$9&gt;=8/24,B$9&lt;14/24)</formula>
    </cfRule>
  </conditionalFormatting>
  <conditionalFormatting sqref="B63:AF65">
    <cfRule type="expression" dxfId="345" priority="47">
      <formula>B63&gt;$AG63</formula>
    </cfRule>
  </conditionalFormatting>
  <conditionalFormatting sqref="B69:AF70">
    <cfRule type="expression" dxfId="344" priority="118">
      <formula>B$9&lt;8/24</formula>
    </cfRule>
  </conditionalFormatting>
  <conditionalFormatting sqref="B72:AF75">
    <cfRule type="expression" dxfId="343" priority="34">
      <formula>B72&gt;$AG72*1</formula>
    </cfRule>
  </conditionalFormatting>
  <conditionalFormatting sqref="B73:AF75">
    <cfRule type="expression" dxfId="342" priority="35">
      <formula>B$9&gt;=20/24</formula>
    </cfRule>
    <cfRule type="expression" dxfId="341" priority="36">
      <formula>AND(B$9&gt;=14/24,B$9&lt;20/24)</formula>
    </cfRule>
    <cfRule type="expression" dxfId="340" priority="37">
      <formula>AND(B$9&gt;=8/24,B$9&lt;14/24)</formula>
    </cfRule>
    <cfRule type="expression" dxfId="339" priority="38">
      <formula>B$9&lt;8/24</formula>
    </cfRule>
  </conditionalFormatting>
  <conditionalFormatting sqref="D161:AF167">
    <cfRule type="expression" dxfId="338" priority="69">
      <formula>D$9&gt;=20/24</formula>
    </cfRule>
    <cfRule type="expression" dxfId="337" priority="70">
      <formula>AND(D$9&gt;=14/24,D$9&lt;20/24)</formula>
    </cfRule>
    <cfRule type="expression" dxfId="336" priority="71">
      <formula>AND(D$9&gt;=8/24,D$9&lt;14/24)</formula>
    </cfRule>
    <cfRule type="expression" dxfId="335" priority="72">
      <formula>D$9&lt;8/24</formula>
    </cfRule>
  </conditionalFormatting>
  <conditionalFormatting sqref="C207:AA274 D169:S174 C175:S206 T169:AA206 AB169:AF274">
    <cfRule type="expression" dxfId="334" priority="30">
      <formula>C$9&gt;=20/24</formula>
    </cfRule>
    <cfRule type="expression" dxfId="333" priority="31">
      <formula>AND(C$9&gt;=14/24,C$9&lt;20/24)</formula>
    </cfRule>
    <cfRule type="expression" dxfId="332" priority="32">
      <formula>AND(C$9&gt;=8/24,C$9&lt;14/24)</formula>
    </cfRule>
    <cfRule type="expression" dxfId="331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30" priority="109">
      <formula>B11&gt;$AG11*1</formula>
    </cfRule>
  </conditionalFormatting>
  <conditionalFormatting sqref="E79:AF83">
    <cfRule type="expression" dxfId="329" priority="119">
      <formula>E$9&gt;=20/24</formula>
    </cfRule>
    <cfRule type="expression" dxfId="328" priority="120">
      <formula>AND(E$9&gt;=14/24,E$9&lt;20/24)</formula>
    </cfRule>
    <cfRule type="expression" dxfId="327" priority="121">
      <formula>AND(E$9&gt;=8/24,E$9&lt;14/24)</formula>
    </cfRule>
    <cfRule type="expression" dxfId="326" priority="122">
      <formula>E$9&lt;8/24</formula>
    </cfRule>
  </conditionalFormatting>
  <conditionalFormatting sqref="E84:AF84">
    <cfRule type="expression" dxfId="325" priority="114">
      <formula>E$9&gt;=20/24</formula>
    </cfRule>
    <cfRule type="expression" dxfId="324" priority="115">
      <formula>AND(E$9&gt;=14/24,E$9&lt;20/24)</formula>
    </cfRule>
    <cfRule type="expression" dxfId="323" priority="116">
      <formula>AND(E$9&gt;=8/24,E$9&lt;14/24)</formula>
    </cfRule>
    <cfRule type="expression" dxfId="322" priority="117">
      <formula>E$9&lt;8/24</formula>
    </cfRule>
  </conditionalFormatting>
  <conditionalFormatting sqref="E78:Y78 Z76:AF78 B72:AF72">
    <cfRule type="expression" dxfId="321" priority="129">
      <formula>B$9&gt;=20/24</formula>
    </cfRule>
    <cfRule type="expression" dxfId="320" priority="130">
      <formula>AND(B$9&gt;=14/24,B$9&lt;20/24)</formula>
    </cfRule>
    <cfRule type="expression" dxfId="319" priority="131">
      <formula>AND(B$9&gt;=8/24,B$9&lt;14/24)</formula>
    </cfRule>
    <cfRule type="expression" dxfId="318" priority="132">
      <formula>B$9&lt;8/24</formula>
    </cfRule>
  </conditionalFormatting>
  <conditionalFormatting sqref="J73:Y73 Z73:AF75">
    <cfRule type="expression" dxfId="317" priority="39">
      <formula>J$9&gt;=20/24</formula>
    </cfRule>
    <cfRule type="expression" dxfId="316" priority="40">
      <formula>AND(J$9&gt;=14/24,J$9&lt;20/24)</formula>
    </cfRule>
    <cfRule type="expression" dxfId="315" priority="41">
      <formula>AND(J$9&gt;=8/24,J$9&lt;14/24)</formula>
    </cfRule>
    <cfRule type="expression" dxfId="314" priority="42">
      <formula>J$9&lt;8/24</formula>
    </cfRule>
  </conditionalFormatting>
  <conditionalFormatting sqref="F79:AF81">
    <cfRule type="expression" dxfId="313" priority="137">
      <formula>F$9&gt;=20/24</formula>
    </cfRule>
    <cfRule type="expression" dxfId="312" priority="138">
      <formula>AND(F$9&gt;=14/24,F$9&lt;20/24)</formula>
    </cfRule>
    <cfRule type="expression" dxfId="311" priority="139">
      <formula>AND(F$9&gt;=8/24,F$9&lt;14/24)</formula>
    </cfRule>
    <cfRule type="expression" dxfId="310" priority="140">
      <formula>F$9&lt;8/24</formula>
    </cfRule>
  </conditionalFormatting>
  <conditionalFormatting sqref="L84:AF84">
    <cfRule type="expression" dxfId="309" priority="133">
      <formula>L$9&gt;=20/24</formula>
    </cfRule>
    <cfRule type="expression" dxfId="308" priority="134">
      <formula>AND(L$9&gt;=14/24,L$9&lt;20/24)</formula>
    </cfRule>
    <cfRule type="expression" dxfId="307" priority="135">
      <formula>AND(L$9&gt;=8/24,L$9&lt;14/24)</formula>
    </cfRule>
    <cfRule type="expression" dxfId="306" priority="136">
      <formula>L$9&lt;8/24</formula>
    </cfRule>
  </conditionalFormatting>
  <conditionalFormatting sqref="M8 S8 AB8">
    <cfRule type="expression" dxfId="305" priority="186">
      <formula>AND(N$9&gt;=14/24,N$9&lt;20/24)</formula>
    </cfRule>
    <cfRule type="expression" dxfId="304" priority="187">
      <formula>AND(N$9&gt;=8/24,N$9&lt;14/24)</formula>
    </cfRule>
    <cfRule type="expression" dxfId="303" priority="188">
      <formula>N$9&lt;8/24</formula>
    </cfRule>
  </conditionalFormatting>
  <conditionalFormatting sqref="R79:AF83">
    <cfRule type="expression" dxfId="302" priority="141">
      <formula>R$9&gt;=20/24</formula>
    </cfRule>
    <cfRule type="expression" dxfId="301" priority="142">
      <formula>AND(R$9&gt;=14/24,R$9&lt;20/24)</formula>
    </cfRule>
    <cfRule type="expression" dxfId="300" priority="143">
      <formula>AND(R$9&gt;=8/24,R$9&lt;14/24)</formula>
    </cfRule>
    <cfRule type="expression" dxfId="299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5">
      <formula>N$9&gt;=20/24</formula>
    </cfRule>
  </conditionalFormatting>
  <conditionalFormatting sqref="S8">
    <cfRule type="expression" dxfId="297" priority="176">
      <formula>U$9&gt;=20/24</formula>
    </cfRule>
    <cfRule type="expression" dxfId="296" priority="177">
      <formula>AND(U$9&gt;=14/24,U$9&lt;20/24)</formula>
    </cfRule>
    <cfRule type="expression" dxfId="295" priority="178">
      <formula>AND(U$9&gt;=8/24,U$9&lt;14/24)</formula>
    </cfRule>
    <cfRule type="expression" dxfId="294" priority="179">
      <formula>U$9&lt;8/24</formula>
    </cfRule>
  </conditionalFormatting>
  <conditionalFormatting sqref="X79:AF84">
    <cfRule type="expression" dxfId="293" priority="63">
      <formula>X$9&gt;=20/24</formula>
    </cfRule>
    <cfRule type="expression" dxfId="292" priority="64">
      <formula>AND(X$9&gt;=14/24,X$9&lt;20/24)</formula>
    </cfRule>
    <cfRule type="expression" dxfId="291" priority="65">
      <formula>AND(X$9&gt;=8/24,X$9&lt;14/24)</formula>
    </cfRule>
    <cfRule type="expression" dxfId="290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9" priority="48">
      <formula>Z$9&gt;=20/24</formula>
    </cfRule>
    <cfRule type="expression" dxfId="288" priority="49">
      <formula>AND(Z$9&gt;=14/24,Z$9&lt;20/24)</formula>
    </cfRule>
    <cfRule type="expression" dxfId="287" priority="50">
      <formula>AND(Z$9&gt;=8/24,Z$9&lt;14/24)</formula>
    </cfRule>
    <cfRule type="expression" dxfId="286" priority="51">
      <formula>Z$9&lt;8/24</formula>
    </cfRule>
  </conditionalFormatting>
  <conditionalFormatting sqref="Z69:AF70">
    <cfRule type="expression" dxfId="285" priority="128">
      <formula>Z69&gt;$AG69</formula>
    </cfRule>
  </conditionalFormatting>
  <conditionalFormatting sqref="B66:Y70 B54:AF62 Z66:AF69">
    <cfRule type="expression" dxfId="284" priority="123">
      <formula>B54&gt;$AG54</formula>
    </cfRule>
  </conditionalFormatting>
  <conditionalFormatting sqref="AB8">
    <cfRule type="expression" dxfId="283" priority="172">
      <formula>AD$9&gt;=20/24</formula>
    </cfRule>
    <cfRule type="expression" dxfId="282" priority="173">
      <formula>AND(AD$9&gt;=14/24,AD$9&lt;20/24)</formula>
    </cfRule>
    <cfRule type="expression" dxfId="281" priority="174">
      <formula>AND(AD$9&gt;=8/24,AD$9&lt;14/24)</formula>
    </cfRule>
    <cfRule type="expression" dxfId="280" priority="175">
      <formula>AD$9&lt;8/24</formula>
    </cfRule>
  </conditionalFormatting>
  <conditionalFormatting sqref="AG78">
    <cfRule type="expression" dxfId="274" priority="151">
      <formula>AG$9&gt;=20/24</formula>
    </cfRule>
    <cfRule type="expression" dxfId="273" priority="152">
      <formula>AND(AG$9&gt;=14/24,AG$9&lt;20/24)</formula>
    </cfRule>
    <cfRule type="expression" dxfId="272" priority="153">
      <formula>AND(AG$9&gt;=8/24,AG$9&lt;14/24)</formula>
    </cfRule>
    <cfRule type="expression" dxfId="271" priority="154">
      <formula>AG$9&lt;8/24</formula>
    </cfRule>
  </conditionalFormatting>
  <conditionalFormatting sqref="AG91:AG92">
    <cfRule type="expression" dxfId="270" priority="146">
      <formula>AG91&gt;$AG91</formula>
    </cfRule>
  </conditionalFormatting>
  <conditionalFormatting sqref="AG96">
    <cfRule type="expression" dxfId="269" priority="147">
      <formula>AG$9&gt;=20/24</formula>
    </cfRule>
    <cfRule type="expression" dxfId="268" priority="148">
      <formula>AND(AG$9&gt;=14/24,AG$9&lt;20/24)</formula>
    </cfRule>
    <cfRule type="expression" dxfId="267" priority="149">
      <formula>AND(AG$9&gt;=8/24,AG$9&lt;14/24)</formula>
    </cfRule>
    <cfRule type="expression" dxfId="266" priority="150">
      <formula>AG$9&lt;8/24</formula>
    </cfRule>
  </conditionalFormatting>
  <conditionalFormatting sqref="AG113">
    <cfRule type="expression" dxfId="265" priority="168">
      <formula>AG$9&gt;=20/24</formula>
    </cfRule>
    <cfRule type="expression" dxfId="264" priority="169">
      <formula>AND(AG$9&gt;=14/24,AG$9&lt;20/24)</formula>
    </cfRule>
    <cfRule type="expression" dxfId="263" priority="170">
      <formula>AND(AG$9&gt;=8/24,AG$9&lt;14/24)</formula>
    </cfRule>
    <cfRule type="expression" dxfId="262" priority="171">
      <formula>AG$9&lt;8/24</formula>
    </cfRule>
  </conditionalFormatting>
  <conditionalFormatting sqref="AH8:AI10">
    <cfRule type="expression" dxfId="261" priority="59">
      <formula>AH$9&gt;=20/24</formula>
    </cfRule>
    <cfRule type="expression" dxfId="260" priority="60">
      <formula>AND(AH$9&gt;=14/24,AH$9&lt;20/24)</formula>
    </cfRule>
    <cfRule type="expression" dxfId="259" priority="61">
      <formula>AND(AH$9&gt;=8/24,AH$9&lt;14/24)</formula>
    </cfRule>
    <cfRule type="expression" dxfId="258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9">
      <formula>AJ$9&gt;=20/24</formula>
    </cfRule>
    <cfRule type="expression" dxfId="256" priority="190">
      <formula>AND(AJ$9&gt;=14/24,AJ$9&lt;20/24)</formula>
    </cfRule>
    <cfRule type="expression" dxfId="255" priority="191">
      <formula>AND(AJ$9&gt;=8/24,AJ$9&lt;14/24)</formula>
    </cfRule>
    <cfRule type="expression" dxfId="254" priority="192">
      <formula>AJ$9&lt;8/24</formula>
    </cfRule>
  </conditionalFormatting>
  <conditionalFormatting sqref="AL99:AN99 AL105:AN105">
    <cfRule type="expression" dxfId="253" priority="161">
      <formula>AL$9&gt;=20/24</formula>
    </cfRule>
    <cfRule type="expression" dxfId="252" priority="162">
      <formula>AND(AL$9&gt;=14/24,AL$9&lt;20/24)</formula>
    </cfRule>
    <cfRule type="expression" dxfId="251" priority="163">
      <formula>AND(AL$9&gt;=8/24,AL$9&lt;14/24)</formula>
    </cfRule>
    <cfRule type="expression" dxfId="250" priority="164">
      <formula>AL$9&lt;8/24</formula>
    </cfRule>
  </conditionalFormatting>
  <conditionalFormatting sqref="AM15:AM21 AN16:AR21">
    <cfRule type="expression" dxfId="249" priority="85">
      <formula>AX$9&gt;=20/24</formula>
    </cfRule>
    <cfRule type="expression" dxfId="248" priority="86">
      <formula>AND(AX$9&gt;=14/24,AX$9&lt;20/24)</formula>
    </cfRule>
    <cfRule type="expression" dxfId="247" priority="87">
      <formula>AND(AX$9&gt;=8/24,AX$9&lt;14/24)</formula>
    </cfRule>
    <cfRule type="expression" dxfId="246" priority="88">
      <formula>AX$9&lt;8/24</formula>
    </cfRule>
  </conditionalFormatting>
  <conditionalFormatting sqref="AN100:AN103">
    <cfRule type="expression" dxfId="245" priority="157">
      <formula>AN$9&gt;=20/24</formula>
    </cfRule>
    <cfRule type="expression" dxfId="244" priority="158">
      <formula>AND(AN$9&gt;=14/24,AN$9&lt;20/24)</formula>
    </cfRule>
    <cfRule type="expression" dxfId="243" priority="159">
      <formula>AND(AN$9&gt;=8/24,AN$9&lt;14/24)</formula>
    </cfRule>
    <cfRule type="expression" dxfId="242" priority="160">
      <formula>AN$9&lt;8/24</formula>
    </cfRule>
  </conditionalFormatting>
  <conditionalFormatting sqref="AN15:AR15">
    <cfRule type="expression" dxfId="241" priority="73">
      <formula>U$9&gt;=20/24</formula>
    </cfRule>
    <cfRule type="expression" dxfId="240" priority="74">
      <formula>AND(U$9&gt;=14/24,U$9&lt;20/24)</formula>
    </cfRule>
    <cfRule type="expression" dxfId="239" priority="75">
      <formula>AND(U$9&gt;=8/24,U$9&lt;14/24)</formula>
    </cfRule>
    <cfRule type="expression" dxfId="238" priority="76">
      <formula>U$9&lt;8/24</formula>
    </cfRule>
  </conditionalFormatting>
  <conditionalFormatting sqref="AS15">
    <cfRule type="expression" dxfId="237" priority="81">
      <formula>AA$9&gt;=20/24</formula>
    </cfRule>
    <cfRule type="expression" dxfId="236" priority="82">
      <formula>AND(AA$9&gt;=14/24,AA$9&lt;20/24)</formula>
    </cfRule>
    <cfRule type="expression" dxfId="235" priority="83">
      <formula>AND(AA$9&gt;=8/24,AA$9&lt;14/24)</formula>
    </cfRule>
    <cfRule type="expression" dxfId="234" priority="84">
      <formula>AA$9&lt;8/24</formula>
    </cfRule>
  </conditionalFormatting>
  <conditionalFormatting sqref="AS16:AS21">
    <cfRule type="expression" dxfId="233" priority="89">
      <formula>BE$9&gt;=20/24</formula>
    </cfRule>
    <cfRule type="expression" dxfId="232" priority="90">
      <formula>AND(BE$9&gt;=14/24,BE$9&lt;20/24)</formula>
    </cfRule>
    <cfRule type="expression" dxfId="231" priority="91">
      <formula>AND(BE$9&gt;=8/24,BE$9&lt;14/24)</formula>
    </cfRule>
    <cfRule type="expression" dxfId="230" priority="92">
      <formula>BE$9&lt;8/24</formula>
    </cfRule>
  </conditionalFormatting>
  <conditionalFormatting sqref="AT15 AX15:BJ15">
    <cfRule type="expression" dxfId="229" priority="93">
      <formula>AC$9&gt;=20/24</formula>
    </cfRule>
    <cfRule type="expression" dxfId="228" priority="94">
      <formula>AND(AC$9&gt;=14/24,AC$9&lt;20/24)</formula>
    </cfRule>
    <cfRule type="expression" dxfId="227" priority="95">
      <formula>AND(AC$9&gt;=8/24,AC$9&lt;14/24)</formula>
    </cfRule>
    <cfRule type="expression" dxfId="226" priority="96">
      <formula>AC$9&lt;8/24</formula>
    </cfRule>
  </conditionalFormatting>
  <conditionalFormatting sqref="AT16:AT21">
    <cfRule type="expression" dxfId="225" priority="97">
      <formula>BG$9&gt;=20/24</formula>
    </cfRule>
    <cfRule type="expression" dxfId="224" priority="98">
      <formula>AND(BG$9&gt;=14/24,BG$9&lt;20/24)</formula>
    </cfRule>
    <cfRule type="expression" dxfId="223" priority="99">
      <formula>AND(BG$9&gt;=8/24,BG$9&lt;14/24)</formula>
    </cfRule>
    <cfRule type="expression" dxfId="222" priority="100">
      <formula>BG$9&lt;8/24</formula>
    </cfRule>
  </conditionalFormatting>
  <conditionalFormatting sqref="AU15:AV15">
    <cfRule type="expression" dxfId="221" priority="101">
      <formula>AE$9&gt;=20/24</formula>
    </cfRule>
    <cfRule type="expression" dxfId="220" priority="102">
      <formula>AND(AE$9&gt;=14/24,AE$9&lt;20/24)</formula>
    </cfRule>
    <cfRule type="expression" dxfId="219" priority="103">
      <formula>AND(AE$9&gt;=8/24,AE$9&lt;14/24)</formula>
    </cfRule>
    <cfRule type="expression" dxfId="218" priority="104">
      <formula>AE$9&lt;8/24</formula>
    </cfRule>
  </conditionalFormatting>
  <conditionalFormatting sqref="AU16:BJ21">
    <cfRule type="expression" dxfId="217" priority="105">
      <formula>BI$9&gt;=20/24</formula>
    </cfRule>
    <cfRule type="expression" dxfId="216" priority="106">
      <formula>AND(BI$9&gt;=14/24,BI$9&lt;20/24)</formula>
    </cfRule>
    <cfRule type="expression" dxfId="215" priority="107">
      <formula>AND(BI$9&gt;=8/24,BI$9&lt;14/24)</formula>
    </cfRule>
    <cfRule type="expression" dxfId="214" priority="108">
      <formula>BI$9&lt;8/24</formula>
    </cfRule>
  </conditionalFormatting>
  <conditionalFormatting sqref="AW15">
    <cfRule type="expression" dxfId="213" priority="77">
      <formula>B$9&gt;=20/24</formula>
    </cfRule>
    <cfRule type="expression" dxfId="212" priority="78">
      <formula>AND(B$9&gt;=14/24,B$9&lt;20/24)</formula>
    </cfRule>
    <cfRule type="expression" dxfId="211" priority="79">
      <formula>AND(B$9&gt;=8/24,B$9&lt;14/24)</formula>
    </cfRule>
    <cfRule type="expression" dxfId="210" priority="80">
      <formula>B$9&lt;8/24</formula>
    </cfRule>
  </conditionalFormatting>
  <conditionalFormatting sqref="A73">
    <cfRule type="expression" dxfId="209" priority="28">
      <formula>$AH73=0</formula>
    </cfRule>
  </conditionalFormatting>
  <conditionalFormatting sqref="B97:C107 B137:C152 B109:C112 B125:C134 B154:C159 B11:Q13 R11:Y12">
    <cfRule type="expression" dxfId="208" priority="24">
      <formula>B$9&gt;=20/24</formula>
    </cfRule>
  </conditionalFormatting>
  <conditionalFormatting sqref="B97:C107 B137:C152 B109:C112 B125:C134 B154:C159 B11:Q13 R11:Y12">
    <cfRule type="expression" dxfId="207" priority="25">
      <formula>AND(B$9&gt;=14/24,B$9&lt;20/24)</formula>
    </cfRule>
    <cfRule type="expression" dxfId="206" priority="26">
      <formula>AND(B$9&gt;=8/24,B$9&lt;14/24)</formula>
    </cfRule>
    <cfRule type="expression" dxfId="205" priority="27">
      <formula>B$9&lt;8/24</formula>
    </cfRule>
  </conditionalFormatting>
  <conditionalFormatting sqref="B14:Y28">
    <cfRule type="expression" dxfId="204" priority="14">
      <formula>B14&gt;$AG14*1</formula>
    </cfRule>
    <cfRule type="expression" dxfId="203" priority="15">
      <formula>B$9&gt;=20/24</formula>
    </cfRule>
    <cfRule type="expression" dxfId="202" priority="16">
      <formula>AND(B$9&gt;=14/24,B$9&lt;20/24)</formula>
    </cfRule>
    <cfRule type="expression" dxfId="201" priority="17">
      <formula>AND(B$9&gt;=8/24,B$9&lt;14/24)</formula>
    </cfRule>
    <cfRule type="expression" dxfId="200" priority="18">
      <formula>B$9&lt;8/24</formula>
    </cfRule>
  </conditionalFormatting>
  <conditionalFormatting sqref="B161:C167">
    <cfRule type="expression" dxfId="199" priority="19">
      <formula>B$9&gt;=20/24</formula>
    </cfRule>
    <cfRule type="expression" dxfId="198" priority="20">
      <formula>AND(B$9&gt;=14/24,B$9&lt;20/24)</formula>
    </cfRule>
    <cfRule type="expression" dxfId="197" priority="21">
      <formula>AND(B$9&gt;=8/24,B$9&lt;14/24)</formula>
    </cfRule>
    <cfRule type="expression" dxfId="196" priority="22">
      <formula>B$9&lt;8/24</formula>
    </cfRule>
  </conditionalFormatting>
  <conditionalFormatting sqref="B169:B274 C169:C174">
    <cfRule type="expression" dxfId="195" priority="10">
      <formula>B$9&gt;=20/24</formula>
    </cfRule>
    <cfRule type="expression" dxfId="194" priority="11">
      <formula>AND(B$9&gt;=14/24,B$9&lt;20/24)</formula>
    </cfRule>
    <cfRule type="expression" dxfId="193" priority="12">
      <formula>AND(B$9&gt;=8/24,B$9&lt;14/24)</formula>
    </cfRule>
    <cfRule type="expression" dxfId="192" priority="13">
      <formula>B$9&lt;8/24</formula>
    </cfRule>
  </conditionalFormatting>
  <conditionalFormatting sqref="B11:Q13 R11:Y12">
    <cfRule type="expression" dxfId="191" priority="23">
      <formula>B11&gt;$AG11*1</formula>
    </cfRule>
  </conditionalFormatting>
  <conditionalFormatting sqref="A153">
    <cfRule type="expression" dxfId="190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5">
      <formula>AL$9&gt;=20/24</formula>
    </cfRule>
  </conditionalFormatting>
  <conditionalFormatting sqref="AL153">
    <cfRule type="expression" dxfId="188" priority="6">
      <formula>AND(AL$9&gt;=14/24,AL$9&lt;20/24)</formula>
    </cfRule>
    <cfRule type="expression" dxfId="187" priority="7">
      <formula>AND(AL$9&gt;=8/24,AL$9&lt;14/24)</formula>
    </cfRule>
    <cfRule type="expression" dxfId="186" priority="8">
      <formula>AL$9&lt;8/24</formula>
    </cfRule>
  </conditionalFormatting>
  <conditionalFormatting sqref="AA137:AF151">
    <cfRule type="expression" dxfId="185" priority="1">
      <formula>AA$9&gt;=20/24</formula>
    </cfRule>
    <cfRule type="expression" dxfId="184" priority="2">
      <formula>AND(AA$9&gt;=14/24,AA$9&lt;20/24)</formula>
    </cfRule>
    <cfRule type="expression" dxfId="183" priority="3">
      <formula>AND(AA$9&gt;=8/24,AA$9&lt;14/24)</formula>
    </cfRule>
    <cfRule type="expression" dxfId="182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152" sqref="C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1775.7999999999997</v>
      </c>
      <c r="C7" s="35">
        <f t="shared" si="1"/>
        <v>1790.2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2273.5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1790.2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67.400000000000006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36.200000000000003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71.599999999999994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46.5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41.4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337.40000000000003</v>
      </c>
      <c r="AN18" s="57">
        <f t="shared" si="8"/>
        <v>369.90000000000003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41.9</v>
      </c>
      <c r="AK22" s="49"/>
      <c r="AL22" s="59" t="s">
        <v>39</v>
      </c>
      <c r="AM22" s="60">
        <f t="shared" ref="AM22:BJ22" si="16">SUM(AM16:AM21)</f>
        <v>2235.7999999999997</v>
      </c>
      <c r="AN22" s="60">
        <f t="shared" si="16"/>
        <v>2273.5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36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35.6</v>
      </c>
      <c r="AK25" s="49"/>
      <c r="AL25" s="59" t="s">
        <v>44</v>
      </c>
      <c r="AM25" s="60">
        <f t="shared" ref="AM25:BJ25" si="19">AM22+AM23</f>
        <v>1775.7999999999997</v>
      </c>
      <c r="AN25" s="60">
        <f t="shared" si="19"/>
        <v>1790.2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30.5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14.8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22.8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14.8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21.3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15.7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5.8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12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10.4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10.4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4.4000000000000004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C70" si="20">60.8+69.1</f>
        <v>129.89999999999998</v>
      </c>
      <c r="C70" s="66">
        <f t="shared" si="20"/>
        <v>129.89999999999998</v>
      </c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129.89999999999998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91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39.1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653.70000000000005</v>
      </c>
      <c r="C78" s="70">
        <f t="shared" si="25"/>
        <v>654.1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654.1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-483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69.900000000000006</v>
      </c>
      <c r="AI80" s="47">
        <f t="shared" si="24"/>
        <v>59.7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69.099999999999994</v>
      </c>
      <c r="AI81" s="47">
        <f t="shared" si="24"/>
        <v>53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30</v>
      </c>
      <c r="AI83" s="47">
        <f t="shared" si="24"/>
        <v>28.9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11.6</v>
      </c>
      <c r="AI85" s="47">
        <f t="shared" si="24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-483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7.8</v>
      </c>
      <c r="AI87" s="47">
        <f t="shared" si="24"/>
        <v>6.9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12.8</v>
      </c>
      <c r="AI88" s="47">
        <f t="shared" si="24"/>
        <v>9.1</v>
      </c>
      <c r="AK88" s="49"/>
      <c r="AZ88" s="82">
        <f t="shared" si="31"/>
        <v>0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</v>
      </c>
      <c r="AK89" s="49"/>
      <c r="AZ89" s="82">
        <f t="shared" si="31"/>
        <v>21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22</v>
      </c>
    </row>
    <row r="90" spans="1:75" x14ac:dyDescent="0.25">
      <c r="A90" s="63" t="s">
        <v>115</v>
      </c>
      <c r="B90" s="43">
        <v>4</v>
      </c>
      <c r="C90" s="43">
        <v>4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337.40000000000003</v>
      </c>
      <c r="C92" s="70">
        <f t="shared" si="32"/>
        <v>369.90000000000003</v>
      </c>
      <c r="D92" s="70">
        <f t="shared" ref="B92:AG92" si="33">SUM(D79:D91)</f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369.90000000000003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0</v>
      </c>
      <c r="C96" s="70">
        <f t="shared" si="34"/>
        <v>0</v>
      </c>
      <c r="D96" s="70">
        <f t="shared" ref="B96:AF96" si="35">D93+D94+D95</f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-460</v>
      </c>
      <c r="AI97" s="47">
        <f t="shared" si="24"/>
        <v>-483.3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0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22</v>
      </c>
      <c r="AI100" s="47">
        <f t="shared" si="24"/>
        <v>21.1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55.7</v>
      </c>
      <c r="AI102" s="47">
        <f t="shared" si="24"/>
        <v>50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72</v>
      </c>
      <c r="C108" s="70">
        <f t="shared" si="36"/>
        <v>76.800000000000011</v>
      </c>
      <c r="D108" s="70">
        <f t="shared" ref="B108:AF108" si="37">SUMIF(D97:D107,"&gt;0")</f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76.800000000000011</v>
      </c>
      <c r="AI108" s="47">
        <f t="shared" si="24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2235.7999999999997</v>
      </c>
      <c r="C113" s="108">
        <f t="shared" si="38"/>
        <v>2273.5</v>
      </c>
      <c r="D113" s="108">
        <f t="shared" ref="B113:AG113" si="39">D71+D78+D96+D92+D108+D112</f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2273.5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2235.7999999999997</v>
      </c>
      <c r="C115" s="108">
        <f t="shared" si="40"/>
        <v>2273.5</v>
      </c>
      <c r="D115" s="108">
        <f t="shared" ref="C115:AF115" si="41">D113+D114</f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2273.5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1775.7999999999997</v>
      </c>
      <c r="C116" s="108">
        <f t="shared" si="42"/>
        <v>1790.2</v>
      </c>
      <c r="D116" s="108">
        <f t="shared" ref="C116:AF116" si="43">D115-(D123)</f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1790.2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460</v>
      </c>
      <c r="C117" s="93">
        <f t="shared" si="44"/>
        <v>483.3</v>
      </c>
      <c r="D117" s="93">
        <f t="shared" ref="B117:AF122" si="45">IF(D97&lt;0,D97*-1,0)</f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483.3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460</v>
      </c>
      <c r="C123" s="70">
        <f t="shared" si="46"/>
        <v>483.3</v>
      </c>
      <c r="D123" s="70">
        <f t="shared" ref="B123:AF123" si="47">SUM(D117:D122)</f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483.3</v>
      </c>
      <c r="AI123" s="47">
        <f t="shared" si="24"/>
        <v>0</v>
      </c>
      <c r="AJ123" s="105">
        <f t="array" ref="AJ123">MIN(IF(B123:AF123&lt;&gt;0,B123:AF123))</f>
        <v>460</v>
      </c>
    </row>
    <row r="124" spans="1:64" ht="15.75" thickBot="1" x14ac:dyDescent="0.3">
      <c r="A124" s="87" t="s">
        <v>146</v>
      </c>
      <c r="B124" s="70">
        <f t="shared" ref="B124:C124" si="48">B108-B123</f>
        <v>-388</v>
      </c>
      <c r="C124" s="70">
        <f t="shared" si="48"/>
        <v>-406.5</v>
      </c>
      <c r="D124" s="70">
        <f t="shared" ref="B124:AF124" si="49">D108-D123</f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-406.5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50.029000000000003</v>
      </c>
      <c r="AI126" s="47">
        <f t="shared" si="24"/>
        <v>50.01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133.80000000000001</v>
      </c>
      <c r="AI127" s="47">
        <f t="shared" si="24"/>
        <v>132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130.5</v>
      </c>
      <c r="AI128" s="47">
        <f t="shared" si="24"/>
        <v>130.4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136.69999999999999</v>
      </c>
      <c r="AI130" s="47">
        <f t="shared" si="24"/>
        <v>135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127.1</v>
      </c>
      <c r="AI132" s="47">
        <f t="shared" si="24"/>
        <v>124.6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66.8</v>
      </c>
      <c r="AI133" s="47">
        <f t="shared" si="24"/>
        <v>66.599999999999994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340.64000000000004</v>
      </c>
      <c r="C135" s="114">
        <f t="shared" si="50"/>
        <v>121.44</v>
      </c>
      <c r="D135" s="114">
        <f t="shared" ref="C135:O135" si="51">SUM(D26,D32,D45:D46,D82,D84:D85,D87,D89,D137:D142,D177,D183,D189,D198,D200,D212,D219,D222:D223,D230,D232,D234,D238:D240,D242:D244,D249,D255:D256,D258:D260,D161,D166)</f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340.64000000000004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58.6</v>
      </c>
      <c r="AI137" s="47">
        <f t="shared" si="24"/>
        <v>54.2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8.5</v>
      </c>
      <c r="AI138" s="47">
        <f t="shared" si="24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-62.5</v>
      </c>
      <c r="AI139" s="47">
        <f>MIN(B139:AF139)</f>
        <v>-80.3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82.1</v>
      </c>
      <c r="AI140" s="47">
        <f>MIN(B140:AF140)</f>
        <v>76.599999999999994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22.1</v>
      </c>
      <c r="AI141" s="47">
        <f>MIN(B141:AF141)</f>
        <v>-3.2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77.599999999999994</v>
      </c>
      <c r="AI142" s="47">
        <f>MIN(B142:AF142)</f>
        <v>-104.1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-2.9</v>
      </c>
      <c r="C144" s="132">
        <v>13.1</v>
      </c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-257.89999999999998</v>
      </c>
      <c r="AI146" s="47">
        <f t="shared" ref="AI146:AI158" si="55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57.4</v>
      </c>
      <c r="AI147" s="47">
        <f t="shared" si="55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-5.5</v>
      </c>
      <c r="AI148" s="47">
        <f t="shared" si="55"/>
        <v>-8.3000000000000007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258.7</v>
      </c>
      <c r="AI149" s="47">
        <f t="shared" si="55"/>
        <v>257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31.2</v>
      </c>
      <c r="AI150" s="47">
        <f t="shared" si="55"/>
        <v>28.8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5.5</v>
      </c>
      <c r="AI151" s="47">
        <f t="shared" si="55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0</v>
      </c>
      <c r="AI153" s="47">
        <f t="shared" si="55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87"/>
    </row>
    <row r="156" spans="1:38" x14ac:dyDescent="0.25">
      <c r="A156" s="135" t="s">
        <v>177</v>
      </c>
      <c r="B156" s="147"/>
      <c r="C156" s="147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87"/>
    </row>
    <row r="157" spans="1:38" x14ac:dyDescent="0.25">
      <c r="A157" s="135" t="s">
        <v>178</v>
      </c>
      <c r="B157" s="147"/>
      <c r="C157" s="147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f t="shared" ref="C185:R200" si="62">C185</f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f t="shared" ref="C201:R216" si="64">C201</f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f t="shared" ref="C217:R232" si="66">C217</f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f t="shared" ref="C233:R248" si="68">C233</f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f t="shared" ref="C249:R264" si="70">C249</f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f t="shared" ref="C265:R273" si="72">C265</f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ref="C274" si="74">SUM(C169:C273)</f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D11:AA13 AB12:AF13 E76:AF77 E80:E90 F82:G90 H84:J90 K85:AF90 B9:AF10 D117:AF134 D137:AF159 D93:AF115 B76:D90 B113:C115 B108:C108 B117:C124 B72:L72 B153:C153 B93:C96">
    <cfRule type="expression" dxfId="172" priority="106">
      <formula>B$9&gt;=20/24</formula>
    </cfRule>
  </conditionalFormatting>
  <conditionalFormatting sqref="B9:AF10 D11:AA13 AB12:AF13 E76:AF77 E80:E90 F82:G90 H84:J90 K85:AF90 D117:AF134 D137:AF159 D93:AF115 B76:D90 B113:C115 B108:C108 B117:C124 B72:L72 B153:C153 B93:C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D14:AF53 B29:C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D169:AF274">
    <cfRule type="expression" dxfId="148" priority="26">
      <formula>D$9&gt;=20/24</formula>
    </cfRule>
    <cfRule type="expression" dxfId="147" priority="27">
      <formula>AND(D$9&gt;=14/24,D$9&lt;20/24)</formula>
    </cfRule>
    <cfRule type="expression" dxfId="146" priority="28">
      <formula>AND(D$9&gt;=8/24,D$9&lt;14/24)</formula>
    </cfRule>
    <cfRule type="expression" dxfId="145" priority="29">
      <formula>D$9&lt;8/24</formula>
    </cfRule>
  </conditionalFormatting>
  <conditionalFormatting sqref="AD80:AF90 AB69:AF70 AA70 D11:AA13 AB12:AF13 AG78 AF92:AF95 AF96:AG96 D92:AE96 D91:AF91 D76:AF78 D79:AC90 B71:AG71 B76:C96 B69:AA69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C13">
    <cfRule type="expression" dxfId="22" priority="20">
      <formula>B$9&gt;=20/24</formula>
    </cfRule>
  </conditionalFormatting>
  <conditionalFormatting sqref="B97:C107 B137:C152 B109:C112 B125:C134 B154:C159 B11:C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C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C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C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E17" sqref="E17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2026-05-19T19:28:17Z</dcterms:modified>
</cp:coreProperties>
</file>