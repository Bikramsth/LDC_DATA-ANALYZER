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B70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D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AH122" i="83" s="1"/>
  <c r="D122" i="83"/>
  <c r="C122" i="83"/>
  <c r="AI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I123" i="83" s="1"/>
  <c r="H117" i="83"/>
  <c r="H123" i="83" s="1"/>
  <c r="H124" i="83" s="1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I124" i="83" s="1"/>
  <c r="H108" i="83"/>
  <c r="G108" i="83"/>
  <c r="F108" i="83"/>
  <c r="E108" i="83"/>
  <c r="D108" i="83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H92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H92" i="83"/>
  <c r="G92" i="83"/>
  <c r="F92" i="83"/>
  <c r="E92" i="83"/>
  <c r="D92" i="83"/>
  <c r="C92" i="83"/>
  <c r="AI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BC89" i="83"/>
  <c r="BB89" i="83"/>
  <c r="AI89" i="83"/>
  <c r="AH89" i="83"/>
  <c r="BU88" i="83"/>
  <c r="BT88" i="83"/>
  <c r="BQ88" i="83"/>
  <c r="BM88" i="83"/>
  <c r="BL88" i="83"/>
  <c r="BI88" i="83"/>
  <c r="BE88" i="83"/>
  <c r="BD88" i="83"/>
  <c r="BA88" i="83"/>
  <c r="AI88" i="83"/>
  <c r="AH88" i="83"/>
  <c r="BV87" i="83"/>
  <c r="BS87" i="83"/>
  <c r="BO87" i="83"/>
  <c r="BN87" i="83"/>
  <c r="BK87" i="83"/>
  <c r="BG87" i="83"/>
  <c r="BF87" i="83"/>
  <c r="BC87" i="83"/>
  <c r="AI87" i="83"/>
  <c r="AH87" i="83"/>
  <c r="BU86" i="83"/>
  <c r="BQ86" i="83"/>
  <c r="BP86" i="83"/>
  <c r="BM86" i="83"/>
  <c r="BI86" i="83"/>
  <c r="BH86" i="83"/>
  <c r="BE86" i="83"/>
  <c r="BA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B82" i="83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D81" i="83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F78" i="83"/>
  <c r="E78" i="83"/>
  <c r="D78" i="83"/>
  <c r="C78" i="83"/>
  <c r="AI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I113" i="83" s="1"/>
  <c r="I115" i="83" s="1"/>
  <c r="I116" i="83" s="1"/>
  <c r="H71" i="83"/>
  <c r="H113" i="83" s="1"/>
  <c r="H115" i="83" s="1"/>
  <c r="H116" i="83" s="1"/>
  <c r="H7" i="83" s="1"/>
  <c r="G71" i="83"/>
  <c r="G113" i="83" s="1"/>
  <c r="G115" i="83" s="1"/>
  <c r="F71" i="83"/>
  <c r="E71" i="83"/>
  <c r="D71" i="83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S23" i="83"/>
  <c r="AO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S19" i="83"/>
  <c r="AR19" i="83"/>
  <c r="AQ19" i="83"/>
  <c r="AP19" i="83"/>
  <c r="AO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S18" i="83"/>
  <c r="AR18" i="83"/>
  <c r="AQ18" i="83"/>
  <c r="AP18" i="83"/>
  <c r="AO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S22" i="83" s="1"/>
  <c r="AS25" i="83" s="1"/>
  <c r="AR16" i="83"/>
  <c r="AR22" i="83" s="1"/>
  <c r="AQ16" i="83"/>
  <c r="AQ22" i="83" s="1"/>
  <c r="AP16" i="83"/>
  <c r="AP22" i="83" s="1"/>
  <c r="AO16" i="83"/>
  <c r="AO22" i="83" s="1"/>
  <c r="AO25" i="83" s="1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I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G5" i="83"/>
  <c r="F5" i="83"/>
  <c r="E5" i="83"/>
  <c r="D5" i="83"/>
  <c r="C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B123" i="83" l="1"/>
  <c r="AM23" i="83" s="1"/>
  <c r="AI121" i="83"/>
  <c r="B113" i="83"/>
  <c r="B115" i="83" s="1"/>
  <c r="B116" i="83" s="1"/>
  <c r="AF5" i="83"/>
  <c r="B124" i="83"/>
  <c r="AR25" i="83"/>
  <c r="AQ25" i="83"/>
  <c r="G116" i="83"/>
  <c r="G7" i="83" s="1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E116" i="83" s="1"/>
  <c r="E7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F116" i="83" s="1"/>
  <c r="F7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E124" i="83"/>
  <c r="X116" i="83"/>
  <c r="X7" i="83" s="1"/>
  <c r="AH78" i="83"/>
  <c r="BF16" i="83"/>
  <c r="BF22" i="83" s="1"/>
  <c r="BF25" i="83" s="1"/>
  <c r="G124" i="83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C124" i="83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U124" i="83" l="1"/>
  <c r="AH113" i="83"/>
  <c r="U116" i="83"/>
  <c r="U7" i="83" s="1"/>
  <c r="M124" i="83"/>
  <c r="AI113" i="83"/>
  <c r="AM25" i="83"/>
  <c r="AT9" i="83" s="1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I124" i="83" s="1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E274" i="83" l="1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<sst xmlns="http://schemas.openxmlformats.org/spreadsheetml/2006/main" count="3582" uniqueCount="434">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</sst>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M14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1" sqref="AF11:AF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1878.6</v>
      </c>
      <c r="AC7" s="35">
        <f t="shared" si="1"/>
        <v>1908.9</v>
      </c>
      <c r="AD7" s="35">
        <f t="shared" si="1"/>
        <v>1866.4</v>
      </c>
      <c r="AE7" s="35">
        <f t="shared" si="1"/>
        <v>1816.2000000000003</v>
      </c>
      <c r="AF7" s="35">
        <f t="shared" si="1"/>
        <v>1806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2416.2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344.00000000000006</v>
      </c>
      <c r="BH18" s="58">
        <f>AD92</f>
        <v>344.00000000000006</v>
      </c>
      <c r="BI18" s="58">
        <f>AE92</f>
        <v>344.00000000000006</v>
      </c>
      <c r="BJ18" s="58">
        <f>AF92</f>
        <v>344.00000000000006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2411.6</v>
      </c>
      <c r="BH22" s="60">
        <f t="shared" si="16"/>
        <v>2411.4</v>
      </c>
      <c r="BI22" s="60">
        <f t="shared" si="16"/>
        <v>2416.2000000000003</v>
      </c>
      <c r="BJ22" s="60">
        <f t="shared" si="16"/>
        <v>2391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1878.6</v>
      </c>
      <c r="BH25" s="60">
        <f t="shared" si="19"/>
        <v>1866.4</v>
      </c>
      <c r="BI25" s="60">
        <f t="shared" si="19"/>
        <v>1816.2000000000003</v>
      </c>
      <c r="BJ25" s="60">
        <f t="shared" si="19"/>
        <v>1806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63</v>
      </c>
      <c r="AC80" s="43">
        <v>63</v>
      </c>
      <c r="AD80" s="43">
        <v>63</v>
      </c>
      <c r="AE80" s="43">
        <v>63</v>
      </c>
      <c r="AF80" s="43">
        <v>63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62</v>
      </c>
      <c r="AC81" s="43">
        <v>62</v>
      </c>
      <c r="AD81" s="43">
        <v>62</v>
      </c>
      <c r="AE81" s="43">
        <v>62</v>
      </c>
      <c r="AF81" s="43">
        <v>62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344.00000000000006</v>
      </c>
      <c r="AC92" s="70">
        <f t="shared" si="53"/>
        <v>344.00000000000006</v>
      </c>
      <c r="AD92" s="70">
        <f t="shared" si="53"/>
        <v>344.00000000000006</v>
      </c>
      <c r="AE92" s="70">
        <f t="shared" ref="AE92" si="63">SUM(AE79:AE91)</f>
        <v>344.00000000000006</v>
      </c>
      <c r="AF92" s="70">
        <f t="shared" si="53"/>
        <v>344.00000000000006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2331.6</v>
      </c>
      <c r="AC113" s="108">
        <f t="shared" si="87"/>
        <v>2328.9</v>
      </c>
      <c r="AD113" s="108">
        <f t="shared" si="87"/>
        <v>2331.4</v>
      </c>
      <c r="AE113" s="108">
        <f t="shared" ref="AE113" si="96">AE71+AE78+AE96+AE92+AE108+AE112</f>
        <v>2346.2000000000003</v>
      </c>
      <c r="AF113" s="108">
        <f t="shared" si="87"/>
        <v>2341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2411.6</v>
      </c>
      <c r="AC115" s="108">
        <f t="shared" si="98"/>
        <v>2408.9</v>
      </c>
      <c r="AD115" s="108">
        <f t="shared" si="98"/>
        <v>2411.4</v>
      </c>
      <c r="AE115" s="108">
        <f t="shared" ref="AE115" si="107">AE113+AE114</f>
        <v>2416.2000000000003</v>
      </c>
      <c r="AF115" s="108">
        <f t="shared" si="98"/>
        <v>2391</v>
      </c>
      <c r="AG115" s="104">
        <f>AG112+AG108+AG96+AG92+AG71+AG114</f>
        <v>2463.5149999999999</v>
      </c>
      <c r="AH115" s="46">
        <f t="shared" si="34"/>
        <v>2416.6999999999998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1878.6</v>
      </c>
      <c r="AC116" s="108">
        <f t="shared" si="109"/>
        <v>1908.9</v>
      </c>
      <c r="AD116" s="108">
        <f t="shared" si="109"/>
        <v>1866.4</v>
      </c>
      <c r="AE116" s="108">
        <f t="shared" ref="AE116" si="118">AE115-(AE123)</f>
        <v>1816.2000000000003</v>
      </c>
      <c r="AF116" s="108">
        <f t="shared" si="109"/>
        <v>1806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G79:AF90 M93:AF115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G79:AF90 M93:AF115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82" sqref="B8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1811.8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2399.5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1811.8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31.5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31.5</v>
      </c>
      <c r="AI11" s="47">
        <f t="shared" ref="AI11:AI74" si="3">MIN(B11:AF11)</f>
        <v>31.5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41.7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41.7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35.799999999999997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35.799999999999997</v>
      </c>
      <c r="AI14" s="47">
        <f t="shared" si="3"/>
        <v>35.799999999999997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72.099999999999994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72.099999999999994</v>
      </c>
      <c r="AI15" s="47">
        <f t="shared" si="3"/>
        <v>72.099999999999994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60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60</v>
      </c>
      <c r="AI16" s="47">
        <f t="shared" si="3"/>
        <v>60</v>
      </c>
      <c r="AK16" s="49"/>
      <c r="AL16" s="52" t="s">
        <v>7</v>
      </c>
      <c r="AM16" s="57">
        <f t="shared" ref="AM16:AR16" si="4">B71</f>
        <v>1227.5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45.9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45.9</v>
      </c>
      <c r="AI17" s="47">
        <f t="shared" si="3"/>
        <v>45.9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45.4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45.4</v>
      </c>
      <c r="AI22" s="47">
        <f t="shared" si="3"/>
        <v>45.4</v>
      </c>
      <c r="AK22" s="49"/>
      <c r="AL22" s="59" t="s">
        <v>39</v>
      </c>
      <c r="AM22" s="60">
        <f t="shared" ref="AM22:BJ22" si="16">SUM(AM16:AM21)</f>
        <v>2399.5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36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36</v>
      </c>
      <c r="AI23" s="47">
        <f t="shared" si="3"/>
        <v>36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40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40</v>
      </c>
      <c r="AI24" s="47">
        <f t="shared" si="3"/>
        <v>40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35.1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35.1</v>
      </c>
      <c r="AI25" s="47">
        <f t="shared" si="3"/>
        <v>35.1</v>
      </c>
      <c r="AK25" s="49"/>
      <c r="AL25" s="59" t="s">
        <v>44</v>
      </c>
      <c r="AM25" s="60">
        <f t="shared" ref="AM25:BJ25" si="19">AM22+AM23</f>
        <v>1811.8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30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30</v>
      </c>
      <c r="AI26" s="47">
        <f t="shared" si="3"/>
        <v>30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27.8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27.8</v>
      </c>
      <c r="AI27" s="47">
        <f t="shared" si="3"/>
        <v>27.8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36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36</v>
      </c>
      <c r="AI28" s="47">
        <f t="shared" si="3"/>
        <v>36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17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17</v>
      </c>
      <c r="AI31" s="47">
        <f t="shared" si="3"/>
        <v>17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18.2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18.2</v>
      </c>
      <c r="AI33" s="47">
        <f t="shared" si="3"/>
        <v>18.2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" si="20">71.5+89.4</f>
        <v>160.9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160.9</v>
      </c>
      <c r="AI70" s="47">
        <f t="shared" si="3"/>
        <v>160.9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1227.5</v>
      </c>
      <c r="C71" s="70">
        <f>SUM(C11:C69)</f>
        <v>150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1227.5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102</v>
      </c>
      <c r="AK73" s="49"/>
    </row>
    <row r="74" spans="1:88" x14ac:dyDescent="0.25">
      <c r="A74" s="73" t="s">
        <v>93</v>
      </c>
      <c r="B74" s="43">
        <v>55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55</v>
      </c>
      <c r="AK74" s="49"/>
    </row>
    <row r="75" spans="1:88" x14ac:dyDescent="0.25">
      <c r="A75" s="74" t="s">
        <v>94</v>
      </c>
      <c r="B75" s="43">
        <v>41.7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" si="25">SUM(B72:B77)</f>
        <v>692.50000000000011</v>
      </c>
      <c r="C78" s="70">
        <f>SUM(C72:C77)</f>
        <v>0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0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64.7</v>
      </c>
      <c r="AI80" s="47">
        <f t="shared" si="24"/>
        <v>64.7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0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-587.70000000000005</v>
      </c>
    </row>
    <row r="87" spans="1:75" x14ac:dyDescent="0.25">
      <c r="A87" s="63" t="s">
        <v>112</v>
      </c>
      <c r="B87" s="43">
        <v>7.4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14.3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1"/>
        <v>0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43.4</v>
      </c>
    </row>
    <row r="89" spans="1:75" x14ac:dyDescent="0.25">
      <c r="A89" s="63" t="s">
        <v>114</v>
      </c>
      <c r="B89" s="43">
        <v>9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 x14ac:dyDescent="0.25">
      <c r="A90" s="63" t="s">
        <v>115</v>
      </c>
      <c r="B90" s="43">
        <v>6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" si="32">SUM(B79:B91)</f>
        <v>353.1</v>
      </c>
      <c r="C92" s="70">
        <f t="shared" ref="B92:AG92" si="33">SUM(C79:C91)</f>
        <v>2</v>
      </c>
      <c r="D92" s="70">
        <f t="shared" si="33"/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353.1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-587.70000000000005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43.4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33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76.400000000000006</v>
      </c>
      <c r="C108" s="70">
        <f t="shared" ref="B108:AF108" si="37">SUMIF(C97:C107,"&gt;0")</f>
        <v>0</v>
      </c>
      <c r="D108" s="70">
        <f t="shared" si="37"/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76.400000000000006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2349.5</v>
      </c>
      <c r="C113" s="108">
        <f t="shared" ref="B113:AG113" si="39">C71+C78+C96+C92+C108+C112</f>
        <v>152</v>
      </c>
      <c r="D113" s="108">
        <f t="shared" si="39"/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2349.5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2399.5</v>
      </c>
      <c r="C115" s="108">
        <f t="shared" ref="C115:AF115" si="41">C113+C114</f>
        <v>152</v>
      </c>
      <c r="D115" s="108">
        <f t="shared" si="41"/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2399.5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1811.8</v>
      </c>
      <c r="C116" s="108">
        <f t="shared" ref="C116:AF116" si="43">C115-(C123)</f>
        <v>152</v>
      </c>
      <c r="D116" s="108">
        <f t="shared" si="43"/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1811.8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4">IF(B97&lt;0,B97*-1,0)</f>
        <v>587.70000000000005</v>
      </c>
      <c r="C117" s="93">
        <f t="shared" ref="B117:AF122" si="45">IF(C97&lt;0,C97*-1,0)</f>
        <v>0</v>
      </c>
      <c r="D117" s="93">
        <f t="shared" si="45"/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587.70000000000005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6">SUM(B117:B122)</f>
        <v>587.70000000000005</v>
      </c>
      <c r="C123" s="70">
        <f t="shared" ref="B123:AF123" si="47">SUM(C117:C122)</f>
        <v>0</v>
      </c>
      <c r="D123" s="70">
        <f t="shared" si="47"/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587.70000000000005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8">B108-B123</f>
        <v>-511.30000000000007</v>
      </c>
      <c r="C124" s="70">
        <f t="shared" ref="B124:AF124" si="49">C108-C123</f>
        <v>0</v>
      </c>
      <c r="D124" s="70">
        <f t="shared" si="49"/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-511.30000000000007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50.045000000000002</v>
      </c>
      <c r="AI126" s="47">
        <f t="shared" si="24"/>
        <v>50.045000000000002</v>
      </c>
    </row>
    <row r="127" spans="1:64" x14ac:dyDescent="0.25">
      <c r="A127" s="119" t="s">
        <v>149</v>
      </c>
      <c r="B127" s="43">
        <v>134.30000000000001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134.30000000000001</v>
      </c>
    </row>
    <row r="128" spans="1:64" x14ac:dyDescent="0.25">
      <c r="A128" s="119" t="s">
        <v>150</v>
      </c>
      <c r="B128" s="43">
        <v>130.9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130.9</v>
      </c>
      <c r="AI128" s="47">
        <f t="shared" si="24"/>
        <v>130.9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132.6</v>
      </c>
      <c r="AI130" s="47">
        <f t="shared" si="24"/>
        <v>132.6</v>
      </c>
    </row>
    <row r="131" spans="1:35" x14ac:dyDescent="0.25">
      <c r="A131" s="121" t="s">
        <v>153</v>
      </c>
      <c r="B131" s="122">
        <v>128.9</v>
      </c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128.9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113.2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67.099999999999994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191.43999999999997</v>
      </c>
      <c r="C135" s="114">
        <f t="shared" ref="C135:O135" si="51">SUM(C26,C32,C45:C46,C82,C84:C85,C87,C89,C137:C142,C177,C183,C189,C198,C200,C212,C219,C222:C223,C230,C232,C234,C238:C240,C242:C244,C249,C255:C256,C258:C260,C161,C166)</f>
        <v>0.94</v>
      </c>
      <c r="D135" s="114">
        <f t="shared" si="51"/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191.43999999999997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56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19</v>
      </c>
      <c r="AI138" s="47">
        <f t="shared" si="24"/>
        <v>19</v>
      </c>
    </row>
    <row r="139" spans="1:35" x14ac:dyDescent="0.25">
      <c r="A139" s="135" t="s">
        <v>161</v>
      </c>
      <c r="B139" s="132">
        <v>-102.2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-102.2</v>
      </c>
      <c r="AI139" s="47">
        <f>MIN(B139:AF139)</f>
        <v>-102.2</v>
      </c>
    </row>
    <row r="140" spans="1:35" x14ac:dyDescent="0.25">
      <c r="A140" s="135" t="s">
        <v>162</v>
      </c>
      <c r="B140" s="132">
        <v>97.3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97.3</v>
      </c>
      <c r="AI140" s="47">
        <f>MIN(B140:AF140)</f>
        <v>97.3</v>
      </c>
    </row>
    <row r="141" spans="1:35" x14ac:dyDescent="0.25">
      <c r="A141" s="135" t="s">
        <v>163</v>
      </c>
      <c r="B141" s="132">
        <v>17.2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17.2</v>
      </c>
    </row>
    <row r="142" spans="1:35" x14ac:dyDescent="0.25">
      <c r="A142" s="135" t="s">
        <v>164</v>
      </c>
      <c r="B142" s="132">
        <v>-67.599999999999994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-67.599999999999994</v>
      </c>
    </row>
    <row r="143" spans="1:35" x14ac:dyDescent="0.25">
      <c r="A143" s="135" t="s">
        <v>431</v>
      </c>
      <c r="B143" s="132">
        <v>27.8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-375.2</v>
      </c>
      <c r="AI146" s="47">
        <f t="shared" ref="AI146:AI158" si="55">MIN(B146:AF146)</f>
        <v>-375.2</v>
      </c>
    </row>
    <row r="147" spans="1:38" x14ac:dyDescent="0.25">
      <c r="A147" s="135" t="s">
        <v>169</v>
      </c>
      <c r="B147" s="132">
        <v>61.1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61.1</v>
      </c>
      <c r="AI147" s="47">
        <f t="shared" si="55"/>
        <v>61.1</v>
      </c>
    </row>
    <row r="148" spans="1:38" x14ac:dyDescent="0.25">
      <c r="A148" s="135" t="s">
        <v>170</v>
      </c>
      <c r="B148" s="132">
        <v>-22.4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-22.4</v>
      </c>
      <c r="AI148" s="47">
        <f t="shared" si="55"/>
        <v>-22.4</v>
      </c>
    </row>
    <row r="149" spans="1:38" x14ac:dyDescent="0.25">
      <c r="A149" s="135" t="s">
        <v>432</v>
      </c>
      <c r="B149" s="132">
        <v>121.5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121.5</v>
      </c>
      <c r="AI149" s="47">
        <f t="shared" si="55"/>
        <v>121.5</v>
      </c>
    </row>
    <row r="150" spans="1:38" x14ac:dyDescent="0.25">
      <c r="A150" s="135" t="s">
        <v>433</v>
      </c>
      <c r="B150" s="132">
        <v>15.3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15.3</v>
      </c>
      <c r="AI150" s="47">
        <f t="shared" si="55"/>
        <v>15.3</v>
      </c>
    </row>
    <row r="151" spans="1:38" ht="15.75" thickBot="1" x14ac:dyDescent="0.3">
      <c r="A151" s="139" t="s">
        <v>173</v>
      </c>
      <c r="B151" s="132">
        <v>7.2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7.2</v>
      </c>
      <c r="AI151" s="47">
        <f t="shared" si="55"/>
        <v>7.2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1517.27</v>
      </c>
      <c r="AI158" s="47">
        <f t="shared" si="55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2026-05-21T18:29:50Z</dcterms:modified>
</cp:coreProperties>
</file>