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M273" i="76" s="1"/>
  <c r="N273" i="76" s="1"/>
  <c r="O273" i="76" s="1"/>
  <c r="P273" i="76" s="1"/>
  <c r="Q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AF272" i="76"/>
  <c r="Y272" i="76"/>
  <c r="Z272" i="76" s="1"/>
  <c r="AA272" i="76" s="1"/>
  <c r="AB272" i="76" s="1"/>
  <c r="AC272" i="76" s="1"/>
  <c r="AD272" i="76" s="1"/>
  <c r="AE272" i="76" s="1"/>
  <c r="X272" i="76"/>
  <c r="D272" i="76"/>
  <c r="E272" i="76" s="1"/>
  <c r="F272" i="76" s="1"/>
  <c r="G272" i="76" s="1"/>
  <c r="H272" i="76" s="1"/>
  <c r="I272" i="76" s="1"/>
  <c r="J272" i="76" s="1"/>
  <c r="K272" i="76" s="1"/>
  <c r="L272" i="76" s="1"/>
  <c r="M272" i="76" s="1"/>
  <c r="N272" i="76" s="1"/>
  <c r="O272" i="76" s="1"/>
  <c r="P272" i="76" s="1"/>
  <c r="Q272" i="76" s="1"/>
  <c r="R272" i="76" s="1"/>
  <c r="S272" i="76" s="1"/>
  <c r="T272" i="76" s="1"/>
  <c r="U272" i="76" s="1"/>
  <c r="V272" i="76" s="1"/>
  <c r="W272" i="76" s="1"/>
  <c r="C272" i="76"/>
  <c r="E271" i="76"/>
  <c r="F271" i="76" s="1"/>
  <c r="G271" i="76" s="1"/>
  <c r="H271" i="76" s="1"/>
  <c r="I271" i="76" s="1"/>
  <c r="J271" i="76" s="1"/>
  <c r="K271" i="76" s="1"/>
  <c r="L271" i="76" s="1"/>
  <c r="M271" i="76" s="1"/>
  <c r="N271" i="76" s="1"/>
  <c r="O271" i="76" s="1"/>
  <c r="P271" i="76" s="1"/>
  <c r="Q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M270" i="76" s="1"/>
  <c r="N270" i="76" s="1"/>
  <c r="O270" i="76" s="1"/>
  <c r="P270" i="76" s="1"/>
  <c r="Q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M269" i="76" s="1"/>
  <c r="N269" i="76" s="1"/>
  <c r="O269" i="76" s="1"/>
  <c r="P269" i="76" s="1"/>
  <c r="Q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P268" i="76"/>
  <c r="Q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M268" i="76" s="1"/>
  <c r="N268" i="76" s="1"/>
  <c r="O268" i="76" s="1"/>
  <c r="G267" i="76"/>
  <c r="H267" i="76" s="1"/>
  <c r="I267" i="76" s="1"/>
  <c r="J267" i="76" s="1"/>
  <c r="K267" i="76" s="1"/>
  <c r="L267" i="76" s="1"/>
  <c r="M267" i="76" s="1"/>
  <c r="N267" i="76" s="1"/>
  <c r="O267" i="76" s="1"/>
  <c r="P267" i="76" s="1"/>
  <c r="Q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P266" i="76"/>
  <c r="Q266" i="76" s="1"/>
  <c r="R266" i="76" s="1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M266" i="76" s="1"/>
  <c r="N266" i="76" s="1"/>
  <c r="O266" i="76" s="1"/>
  <c r="C266" i="76"/>
  <c r="I265" i="76"/>
  <c r="J265" i="76" s="1"/>
  <c r="K265" i="76" s="1"/>
  <c r="L265" i="76" s="1"/>
  <c r="M265" i="76" s="1"/>
  <c r="N265" i="76" s="1"/>
  <c r="O265" i="76" s="1"/>
  <c r="P265" i="76" s="1"/>
  <c r="Q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M264" i="76" s="1"/>
  <c r="N264" i="76" s="1"/>
  <c r="O264" i="76" s="1"/>
  <c r="P264" i="76" s="1"/>
  <c r="Q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M263" i="76" s="1"/>
  <c r="N263" i="76" s="1"/>
  <c r="O263" i="76" s="1"/>
  <c r="P263" i="76" s="1"/>
  <c r="Q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M262" i="76" s="1"/>
  <c r="N262" i="76" s="1"/>
  <c r="O262" i="76" s="1"/>
  <c r="P262" i="76" s="1"/>
  <c r="Q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M261" i="76" s="1"/>
  <c r="N261" i="76" s="1"/>
  <c r="O261" i="76" s="1"/>
  <c r="P261" i="76" s="1"/>
  <c r="Q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M260" i="76" s="1"/>
  <c r="N260" i="76" s="1"/>
  <c r="O260" i="76" s="1"/>
  <c r="P260" i="76" s="1"/>
  <c r="Q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U259" i="76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Q259" i="76"/>
  <c r="R259" i="76" s="1"/>
  <c r="S259" i="76" s="1"/>
  <c r="T259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M259" i="76" s="1"/>
  <c r="N259" i="76" s="1"/>
  <c r="O259" i="76" s="1"/>
  <c r="P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M258" i="76" s="1"/>
  <c r="N258" i="76" s="1"/>
  <c r="O258" i="76" s="1"/>
  <c r="P258" i="76" s="1"/>
  <c r="Q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N257" i="76"/>
  <c r="O257" i="76" s="1"/>
  <c r="P257" i="76" s="1"/>
  <c r="Q257" i="76" s="1"/>
  <c r="R257" i="76" s="1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M257" i="76" s="1"/>
  <c r="C257" i="76"/>
  <c r="D257" i="76" s="1"/>
  <c r="L256" i="76"/>
  <c r="M256" i="76" s="1"/>
  <c r="N256" i="76" s="1"/>
  <c r="O256" i="76" s="1"/>
  <c r="P256" i="76" s="1"/>
  <c r="Q256" i="76" s="1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M255" i="76" s="1"/>
  <c r="N255" i="76" s="1"/>
  <c r="O255" i="76" s="1"/>
  <c r="P255" i="76" s="1"/>
  <c r="Q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M254" i="76" s="1"/>
  <c r="N254" i="76" s="1"/>
  <c r="O254" i="76" s="1"/>
  <c r="P254" i="76" s="1"/>
  <c r="Q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AA253" i="76"/>
  <c r="AB253" i="76" s="1"/>
  <c r="AC253" i="76" s="1"/>
  <c r="AD253" i="76" s="1"/>
  <c r="AE253" i="76" s="1"/>
  <c r="AF253" i="76" s="1"/>
  <c r="Y253" i="76"/>
  <c r="Z253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M253" i="76" s="1"/>
  <c r="N253" i="76" s="1"/>
  <c r="O253" i="76" s="1"/>
  <c r="P253" i="76" s="1"/>
  <c r="Q253" i="76" s="1"/>
  <c r="R253" i="76" s="1"/>
  <c r="S253" i="76" s="1"/>
  <c r="T253" i="76" s="1"/>
  <c r="U253" i="76" s="1"/>
  <c r="V253" i="76" s="1"/>
  <c r="W253" i="76" s="1"/>
  <c r="X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M252" i="76" s="1"/>
  <c r="N252" i="76" s="1"/>
  <c r="O252" i="76" s="1"/>
  <c r="P252" i="76" s="1"/>
  <c r="Q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AE251" i="76"/>
  <c r="AF251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M251" i="76" s="1"/>
  <c r="N251" i="76" s="1"/>
  <c r="O251" i="76" s="1"/>
  <c r="P251" i="76" s="1"/>
  <c r="Q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C251" i="76"/>
  <c r="T250" i="76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M250" i="76" s="1"/>
  <c r="N250" i="76" s="1"/>
  <c r="O250" i="76" s="1"/>
  <c r="P250" i="76" s="1"/>
  <c r="Q250" i="76" s="1"/>
  <c r="R250" i="76" s="1"/>
  <c r="S250" i="76" s="1"/>
  <c r="K249" i="76"/>
  <c r="L249" i="76" s="1"/>
  <c r="M249" i="76" s="1"/>
  <c r="N249" i="76" s="1"/>
  <c r="O249" i="76" s="1"/>
  <c r="P249" i="76" s="1"/>
  <c r="Q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M248" i="76" s="1"/>
  <c r="N248" i="76" s="1"/>
  <c r="O248" i="76" s="1"/>
  <c r="P248" i="76" s="1"/>
  <c r="Q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M247" i="76" s="1"/>
  <c r="N247" i="76" s="1"/>
  <c r="O247" i="76" s="1"/>
  <c r="P247" i="76" s="1"/>
  <c r="Q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M246" i="76"/>
  <c r="N246" i="76" s="1"/>
  <c r="O246" i="76" s="1"/>
  <c r="P246" i="76" s="1"/>
  <c r="Q246" i="76" s="1"/>
  <c r="R246" i="76" s="1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Z245" i="76"/>
  <c r="AA245" i="76" s="1"/>
  <c r="AB245" i="76" s="1"/>
  <c r="AC245" i="76" s="1"/>
  <c r="AD245" i="76" s="1"/>
  <c r="AE245" i="76" s="1"/>
  <c r="AF245" i="76" s="1"/>
  <c r="M245" i="76"/>
  <c r="N245" i="76" s="1"/>
  <c r="O245" i="76" s="1"/>
  <c r="P245" i="76" s="1"/>
  <c r="Q245" i="76" s="1"/>
  <c r="R245" i="76" s="1"/>
  <c r="S245" i="76" s="1"/>
  <c r="T245" i="76" s="1"/>
  <c r="U245" i="76" s="1"/>
  <c r="V245" i="76" s="1"/>
  <c r="W245" i="76" s="1"/>
  <c r="X245" i="76" s="1"/>
  <c r="Y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Z244" i="76"/>
  <c r="AA244" i="76" s="1"/>
  <c r="AB244" i="76" s="1"/>
  <c r="AC244" i="76" s="1"/>
  <c r="AD244" i="76" s="1"/>
  <c r="AE244" i="76" s="1"/>
  <c r="AF244" i="76" s="1"/>
  <c r="Y244" i="76"/>
  <c r="I244" i="76"/>
  <c r="J244" i="76" s="1"/>
  <c r="K244" i="76" s="1"/>
  <c r="L244" i="76" s="1"/>
  <c r="M244" i="76" s="1"/>
  <c r="N244" i="76" s="1"/>
  <c r="O244" i="76" s="1"/>
  <c r="P244" i="76" s="1"/>
  <c r="Q244" i="76" s="1"/>
  <c r="R244" i="76" s="1"/>
  <c r="S244" i="76" s="1"/>
  <c r="T244" i="76" s="1"/>
  <c r="U244" i="76" s="1"/>
  <c r="V244" i="76" s="1"/>
  <c r="W244" i="76" s="1"/>
  <c r="X244" i="76" s="1"/>
  <c r="H244" i="76"/>
  <c r="G244" i="76"/>
  <c r="D244" i="76"/>
  <c r="E244" i="76" s="1"/>
  <c r="F244" i="76" s="1"/>
  <c r="C244" i="76"/>
  <c r="J243" i="76"/>
  <c r="K243" i="76" s="1"/>
  <c r="L243" i="76" s="1"/>
  <c r="M243" i="76" s="1"/>
  <c r="N243" i="76" s="1"/>
  <c r="O243" i="76" s="1"/>
  <c r="P243" i="76" s="1"/>
  <c r="Q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M242" i="76" s="1"/>
  <c r="N242" i="76" s="1"/>
  <c r="O242" i="76" s="1"/>
  <c r="P242" i="76" s="1"/>
  <c r="Q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P241" i="76"/>
  <c r="Q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J241" i="76"/>
  <c r="K241" i="76" s="1"/>
  <c r="L241" i="76" s="1"/>
  <c r="M241" i="76" s="1"/>
  <c r="N241" i="76" s="1"/>
  <c r="O241" i="76" s="1"/>
  <c r="I241" i="76"/>
  <c r="D241" i="76"/>
  <c r="E241" i="76" s="1"/>
  <c r="F241" i="76" s="1"/>
  <c r="G241" i="76" s="1"/>
  <c r="H241" i="76" s="1"/>
  <c r="C241" i="76"/>
  <c r="O240" i="76"/>
  <c r="P240" i="76" s="1"/>
  <c r="Q240" i="76" s="1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L240" i="76"/>
  <c r="M240" i="76" s="1"/>
  <c r="N240" i="76" s="1"/>
  <c r="D240" i="76"/>
  <c r="E240" i="76" s="1"/>
  <c r="F240" i="76" s="1"/>
  <c r="G240" i="76" s="1"/>
  <c r="H240" i="76" s="1"/>
  <c r="I240" i="76" s="1"/>
  <c r="J240" i="76" s="1"/>
  <c r="K240" i="76" s="1"/>
  <c r="C240" i="76"/>
  <c r="M239" i="76"/>
  <c r="N239" i="76" s="1"/>
  <c r="O239" i="76" s="1"/>
  <c r="P239" i="76" s="1"/>
  <c r="Q239" i="76" s="1"/>
  <c r="R239" i="76" s="1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P238" i="76"/>
  <c r="Q238" i="76" s="1"/>
  <c r="R238" i="76" s="1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M238" i="76" s="1"/>
  <c r="N238" i="76" s="1"/>
  <c r="O238" i="76" s="1"/>
  <c r="J238" i="76"/>
  <c r="I238" i="76"/>
  <c r="H238" i="76"/>
  <c r="C238" i="76"/>
  <c r="D238" i="76" s="1"/>
  <c r="E238" i="76" s="1"/>
  <c r="F238" i="76" s="1"/>
  <c r="G238" i="76" s="1"/>
  <c r="X237" i="76"/>
  <c r="Y237" i="76" s="1"/>
  <c r="Z237" i="76" s="1"/>
  <c r="AA237" i="76" s="1"/>
  <c r="AB237" i="76" s="1"/>
  <c r="AC237" i="76" s="1"/>
  <c r="AD237" i="76" s="1"/>
  <c r="AE237" i="76" s="1"/>
  <c r="AF237" i="76" s="1"/>
  <c r="W237" i="76"/>
  <c r="P237" i="76"/>
  <c r="Q237" i="76" s="1"/>
  <c r="R237" i="76" s="1"/>
  <c r="S237" i="76" s="1"/>
  <c r="T237" i="76" s="1"/>
  <c r="U237" i="76" s="1"/>
  <c r="V237" i="76" s="1"/>
  <c r="O237" i="76"/>
  <c r="I237" i="76"/>
  <c r="J237" i="76" s="1"/>
  <c r="K237" i="76" s="1"/>
  <c r="L237" i="76" s="1"/>
  <c r="M237" i="76" s="1"/>
  <c r="N237" i="76" s="1"/>
  <c r="D237" i="76"/>
  <c r="E237" i="76" s="1"/>
  <c r="F237" i="76" s="1"/>
  <c r="G237" i="76" s="1"/>
  <c r="H237" i="76" s="1"/>
  <c r="C237" i="76"/>
  <c r="AC236" i="76"/>
  <c r="AD236" i="76" s="1"/>
  <c r="AE236" i="76" s="1"/>
  <c r="AF236" i="76" s="1"/>
  <c r="T236" i="76"/>
  <c r="U236" i="76" s="1"/>
  <c r="V236" i="76" s="1"/>
  <c r="W236" i="76" s="1"/>
  <c r="X236" i="76" s="1"/>
  <c r="Y236" i="76" s="1"/>
  <c r="Z236" i="76" s="1"/>
  <c r="AA236" i="76" s="1"/>
  <c r="AB236" i="76" s="1"/>
  <c r="R236" i="76"/>
  <c r="S236" i="76" s="1"/>
  <c r="O236" i="76"/>
  <c r="P236" i="76" s="1"/>
  <c r="Q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M236" i="76" s="1"/>
  <c r="N236" i="76" s="1"/>
  <c r="C236" i="76"/>
  <c r="K235" i="76"/>
  <c r="L235" i="76" s="1"/>
  <c r="M235" i="76" s="1"/>
  <c r="N235" i="76" s="1"/>
  <c r="O235" i="76" s="1"/>
  <c r="P235" i="76" s="1"/>
  <c r="Q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M234" i="76" s="1"/>
  <c r="N234" i="76" s="1"/>
  <c r="O234" i="76" s="1"/>
  <c r="P234" i="76" s="1"/>
  <c r="Q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M233" i="76" s="1"/>
  <c r="N233" i="76" s="1"/>
  <c r="O233" i="76" s="1"/>
  <c r="P233" i="76" s="1"/>
  <c r="Q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M232" i="76" s="1"/>
  <c r="N232" i="76" s="1"/>
  <c r="O232" i="76" s="1"/>
  <c r="P232" i="76" s="1"/>
  <c r="Q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M231" i="76" s="1"/>
  <c r="N231" i="76" s="1"/>
  <c r="O231" i="76" s="1"/>
  <c r="P231" i="76" s="1"/>
  <c r="Q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AE230" i="76"/>
  <c r="AF230" i="76" s="1"/>
  <c r="W230" i="76"/>
  <c r="X230" i="76" s="1"/>
  <c r="Y230" i="76" s="1"/>
  <c r="Z230" i="76" s="1"/>
  <c r="AA230" i="76" s="1"/>
  <c r="AB230" i="76" s="1"/>
  <c r="AC230" i="76" s="1"/>
  <c r="AD230" i="76" s="1"/>
  <c r="Q230" i="76"/>
  <c r="R230" i="76" s="1"/>
  <c r="S230" i="76" s="1"/>
  <c r="T230" i="76" s="1"/>
  <c r="U230" i="76" s="1"/>
  <c r="V230" i="76" s="1"/>
  <c r="P230" i="76"/>
  <c r="O230" i="76"/>
  <c r="F230" i="76"/>
  <c r="G230" i="76" s="1"/>
  <c r="H230" i="76" s="1"/>
  <c r="I230" i="76" s="1"/>
  <c r="J230" i="76" s="1"/>
  <c r="K230" i="76" s="1"/>
  <c r="L230" i="76" s="1"/>
  <c r="M230" i="76" s="1"/>
  <c r="N230" i="76" s="1"/>
  <c r="E230" i="76"/>
  <c r="D230" i="76"/>
  <c r="C230" i="76"/>
  <c r="G229" i="76"/>
  <c r="H229" i="76" s="1"/>
  <c r="I229" i="76" s="1"/>
  <c r="J229" i="76" s="1"/>
  <c r="K229" i="76" s="1"/>
  <c r="L229" i="76" s="1"/>
  <c r="M229" i="76" s="1"/>
  <c r="N229" i="76" s="1"/>
  <c r="O229" i="76" s="1"/>
  <c r="P229" i="76" s="1"/>
  <c r="Q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R228" i="76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E228" i="76"/>
  <c r="F228" i="76" s="1"/>
  <c r="G228" i="76" s="1"/>
  <c r="H228" i="76" s="1"/>
  <c r="I228" i="76" s="1"/>
  <c r="J228" i="76" s="1"/>
  <c r="K228" i="76" s="1"/>
  <c r="L228" i="76" s="1"/>
  <c r="M228" i="76" s="1"/>
  <c r="N228" i="76" s="1"/>
  <c r="O228" i="76" s="1"/>
  <c r="P228" i="76" s="1"/>
  <c r="Q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M227" i="76" s="1"/>
  <c r="N227" i="76" s="1"/>
  <c r="O227" i="76" s="1"/>
  <c r="P227" i="76" s="1"/>
  <c r="Q227" i="76" s="1"/>
  <c r="X226" i="76"/>
  <c r="Y226" i="76" s="1"/>
  <c r="Z226" i="76" s="1"/>
  <c r="AA226" i="76" s="1"/>
  <c r="AB226" i="76" s="1"/>
  <c r="AC226" i="76" s="1"/>
  <c r="AD226" i="76" s="1"/>
  <c r="AE226" i="76" s="1"/>
  <c r="AF226" i="76" s="1"/>
  <c r="N226" i="76"/>
  <c r="O226" i="76" s="1"/>
  <c r="P226" i="76" s="1"/>
  <c r="Q226" i="76" s="1"/>
  <c r="R226" i="76" s="1"/>
  <c r="S226" i="76" s="1"/>
  <c r="T226" i="76" s="1"/>
  <c r="U226" i="76" s="1"/>
  <c r="V226" i="76" s="1"/>
  <c r="W226" i="76" s="1"/>
  <c r="J226" i="76"/>
  <c r="K226" i="76" s="1"/>
  <c r="L226" i="76" s="1"/>
  <c r="M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M225" i="76" s="1"/>
  <c r="N225" i="76" s="1"/>
  <c r="O225" i="76" s="1"/>
  <c r="P225" i="76" s="1"/>
  <c r="Q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M224" i="76"/>
  <c r="N224" i="76" s="1"/>
  <c r="O224" i="76" s="1"/>
  <c r="P224" i="76" s="1"/>
  <c r="Q224" i="76" s="1"/>
  <c r="R224" i="76" s="1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M223" i="76" s="1"/>
  <c r="N223" i="76" s="1"/>
  <c r="O223" i="76" s="1"/>
  <c r="P223" i="76" s="1"/>
  <c r="Q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M222" i="76" s="1"/>
  <c r="N222" i="76" s="1"/>
  <c r="O222" i="76" s="1"/>
  <c r="P222" i="76" s="1"/>
  <c r="Q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T221" i="76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S221" i="76"/>
  <c r="K221" i="76"/>
  <c r="L221" i="76" s="1"/>
  <c r="M221" i="76" s="1"/>
  <c r="N221" i="76" s="1"/>
  <c r="O221" i="76" s="1"/>
  <c r="P221" i="76" s="1"/>
  <c r="Q221" i="76" s="1"/>
  <c r="R221" i="76" s="1"/>
  <c r="C221" i="76"/>
  <c r="D221" i="76" s="1"/>
  <c r="E221" i="76" s="1"/>
  <c r="F221" i="76" s="1"/>
  <c r="G221" i="76" s="1"/>
  <c r="H221" i="76" s="1"/>
  <c r="I221" i="76" s="1"/>
  <c r="J221" i="76" s="1"/>
  <c r="T220" i="76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I220" i="76"/>
  <c r="J220" i="76" s="1"/>
  <c r="K220" i="76" s="1"/>
  <c r="L220" i="76" s="1"/>
  <c r="M220" i="76" s="1"/>
  <c r="N220" i="76" s="1"/>
  <c r="O220" i="76" s="1"/>
  <c r="P220" i="76" s="1"/>
  <c r="Q220" i="76" s="1"/>
  <c r="R220" i="76" s="1"/>
  <c r="S220" i="76" s="1"/>
  <c r="F220" i="76"/>
  <c r="G220" i="76" s="1"/>
  <c r="H220" i="76" s="1"/>
  <c r="E220" i="76"/>
  <c r="D220" i="76"/>
  <c r="C220" i="76"/>
  <c r="O219" i="76"/>
  <c r="P219" i="76" s="1"/>
  <c r="Q219" i="76" s="1"/>
  <c r="R219" i="76" s="1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M219" i="76" s="1"/>
  <c r="N219" i="76" s="1"/>
  <c r="I219" i="76"/>
  <c r="J219" i="76" s="1"/>
  <c r="K219" i="76" s="1"/>
  <c r="H219" i="76"/>
  <c r="C219" i="76"/>
  <c r="D219" i="76" s="1"/>
  <c r="E219" i="76" s="1"/>
  <c r="F219" i="76" s="1"/>
  <c r="G219" i="76" s="1"/>
  <c r="Z218" i="76"/>
  <c r="AA218" i="76" s="1"/>
  <c r="AB218" i="76" s="1"/>
  <c r="AC218" i="76" s="1"/>
  <c r="AD218" i="76" s="1"/>
  <c r="AE218" i="76" s="1"/>
  <c r="AF218" i="76" s="1"/>
  <c r="Y218" i="76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M218" i="76" s="1"/>
  <c r="N218" i="76" s="1"/>
  <c r="O218" i="76" s="1"/>
  <c r="P218" i="76" s="1"/>
  <c r="Q218" i="76" s="1"/>
  <c r="R218" i="76" s="1"/>
  <c r="S218" i="76" s="1"/>
  <c r="T218" i="76" s="1"/>
  <c r="U218" i="76" s="1"/>
  <c r="V218" i="76" s="1"/>
  <c r="W218" i="76" s="1"/>
  <c r="X218" i="76" s="1"/>
  <c r="O217" i="76"/>
  <c r="P217" i="76" s="1"/>
  <c r="Q217" i="76" s="1"/>
  <c r="R217" i="76" s="1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N217" i="76"/>
  <c r="M217" i="76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T216" i="76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S216" i="76"/>
  <c r="N216" i="76"/>
  <c r="O216" i="76" s="1"/>
  <c r="P216" i="76" s="1"/>
  <c r="Q216" i="76" s="1"/>
  <c r="R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M216" i="76" s="1"/>
  <c r="T215" i="76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I215" i="76"/>
  <c r="J215" i="76" s="1"/>
  <c r="K215" i="76" s="1"/>
  <c r="L215" i="76" s="1"/>
  <c r="M215" i="76" s="1"/>
  <c r="N215" i="76" s="1"/>
  <c r="O215" i="76" s="1"/>
  <c r="P215" i="76" s="1"/>
  <c r="Q215" i="76" s="1"/>
  <c r="R215" i="76" s="1"/>
  <c r="S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M214" i="76" s="1"/>
  <c r="N214" i="76" s="1"/>
  <c r="O214" i="76" s="1"/>
  <c r="P214" i="76" s="1"/>
  <c r="Q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M213" i="76" s="1"/>
  <c r="N213" i="76" s="1"/>
  <c r="O213" i="76" s="1"/>
  <c r="P213" i="76" s="1"/>
  <c r="Q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Q212" i="76"/>
  <c r="N212" i="76"/>
  <c r="O212" i="76" s="1"/>
  <c r="P212" i="76" s="1"/>
  <c r="M212" i="76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M211" i="76" s="1"/>
  <c r="N211" i="76" s="1"/>
  <c r="O211" i="76" s="1"/>
  <c r="P211" i="76" s="1"/>
  <c r="Q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M210" i="76" s="1"/>
  <c r="N210" i="76" s="1"/>
  <c r="O210" i="76" s="1"/>
  <c r="P210" i="76" s="1"/>
  <c r="Q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M209" i="76" s="1"/>
  <c r="N209" i="76" s="1"/>
  <c r="O209" i="76" s="1"/>
  <c r="P209" i="76" s="1"/>
  <c r="Q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N208" i="76"/>
  <c r="O208" i="76" s="1"/>
  <c r="P208" i="76" s="1"/>
  <c r="Q208" i="76" s="1"/>
  <c r="R208" i="76" s="1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M208" i="76" s="1"/>
  <c r="J207" i="76"/>
  <c r="K207" i="76" s="1"/>
  <c r="L207" i="76" s="1"/>
  <c r="M207" i="76" s="1"/>
  <c r="N207" i="76" s="1"/>
  <c r="O207" i="76" s="1"/>
  <c r="P207" i="76" s="1"/>
  <c r="Q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M206" i="76"/>
  <c r="N206" i="76" s="1"/>
  <c r="O206" i="76" s="1"/>
  <c r="P206" i="76" s="1"/>
  <c r="Q206" i="76" s="1"/>
  <c r="R206" i="76" s="1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M205" i="76" s="1"/>
  <c r="N205" i="76" s="1"/>
  <c r="O205" i="76" s="1"/>
  <c r="P205" i="76" s="1"/>
  <c r="Q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M204" i="76" s="1"/>
  <c r="N204" i="76" s="1"/>
  <c r="O204" i="76" s="1"/>
  <c r="P204" i="76" s="1"/>
  <c r="Q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Q203" i="76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H203" i="76"/>
  <c r="I203" i="76" s="1"/>
  <c r="J203" i="76" s="1"/>
  <c r="K203" i="76" s="1"/>
  <c r="L203" i="76" s="1"/>
  <c r="M203" i="76" s="1"/>
  <c r="N203" i="76" s="1"/>
  <c r="O203" i="76" s="1"/>
  <c r="P203" i="76" s="1"/>
  <c r="C203" i="76"/>
  <c r="D203" i="76" s="1"/>
  <c r="E203" i="76" s="1"/>
  <c r="F203" i="76" s="1"/>
  <c r="G203" i="76" s="1"/>
  <c r="P202" i="76"/>
  <c r="Q202" i="76" s="1"/>
  <c r="R202" i="76" s="1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O202" i="76"/>
  <c r="N202" i="76"/>
  <c r="E202" i="76"/>
  <c r="F202" i="76" s="1"/>
  <c r="G202" i="76" s="1"/>
  <c r="H202" i="76" s="1"/>
  <c r="I202" i="76" s="1"/>
  <c r="J202" i="76" s="1"/>
  <c r="K202" i="76" s="1"/>
  <c r="L202" i="76" s="1"/>
  <c r="M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M201" i="76" s="1"/>
  <c r="N201" i="76" s="1"/>
  <c r="O201" i="76" s="1"/>
  <c r="P201" i="76" s="1"/>
  <c r="Q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M200" i="76" s="1"/>
  <c r="N200" i="76" s="1"/>
  <c r="O200" i="76" s="1"/>
  <c r="P200" i="76" s="1"/>
  <c r="Q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N199" i="76"/>
  <c r="O199" i="76" s="1"/>
  <c r="P199" i="76" s="1"/>
  <c r="Q199" i="76" s="1"/>
  <c r="R199" i="76" s="1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M199" i="76" s="1"/>
  <c r="D199" i="76"/>
  <c r="E199" i="76" s="1"/>
  <c r="F199" i="76" s="1"/>
  <c r="G199" i="76" s="1"/>
  <c r="C199" i="76"/>
  <c r="AE198" i="76"/>
  <c r="AF198" i="76" s="1"/>
  <c r="L198" i="76"/>
  <c r="M198" i="76" s="1"/>
  <c r="N198" i="76" s="1"/>
  <c r="O198" i="76" s="1"/>
  <c r="P198" i="76" s="1"/>
  <c r="Q198" i="76" s="1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R197" i="76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J197" i="76"/>
  <c r="K197" i="76" s="1"/>
  <c r="L197" i="76" s="1"/>
  <c r="M197" i="76" s="1"/>
  <c r="N197" i="76" s="1"/>
  <c r="O197" i="76" s="1"/>
  <c r="P197" i="76" s="1"/>
  <c r="Q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M196" i="76" s="1"/>
  <c r="N196" i="76" s="1"/>
  <c r="O196" i="76" s="1"/>
  <c r="P196" i="76" s="1"/>
  <c r="Q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P195" i="76"/>
  <c r="Q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I195" i="76"/>
  <c r="J195" i="76" s="1"/>
  <c r="K195" i="76" s="1"/>
  <c r="L195" i="76" s="1"/>
  <c r="M195" i="76" s="1"/>
  <c r="N195" i="76" s="1"/>
  <c r="O195" i="76" s="1"/>
  <c r="H195" i="76"/>
  <c r="G195" i="76"/>
  <c r="F195" i="76"/>
  <c r="E195" i="76"/>
  <c r="D195" i="76"/>
  <c r="C195" i="76"/>
  <c r="AE194" i="76"/>
  <c r="AF194" i="76" s="1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M194" i="76" s="1"/>
  <c r="N194" i="76" s="1"/>
  <c r="O194" i="76" s="1"/>
  <c r="P194" i="76" s="1"/>
  <c r="Q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H193" i="76"/>
  <c r="I193" i="76" s="1"/>
  <c r="J193" i="76" s="1"/>
  <c r="K193" i="76" s="1"/>
  <c r="L193" i="76" s="1"/>
  <c r="M193" i="76" s="1"/>
  <c r="N193" i="76" s="1"/>
  <c r="O193" i="76" s="1"/>
  <c r="P193" i="76" s="1"/>
  <c r="Q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M192" i="76" s="1"/>
  <c r="N192" i="76" s="1"/>
  <c r="O192" i="76" s="1"/>
  <c r="P192" i="76" s="1"/>
  <c r="Q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AE191" i="76"/>
  <c r="AF191" i="76" s="1"/>
  <c r="E191" i="76"/>
  <c r="F191" i="76" s="1"/>
  <c r="G191" i="76" s="1"/>
  <c r="H191" i="76" s="1"/>
  <c r="I191" i="76" s="1"/>
  <c r="J191" i="76" s="1"/>
  <c r="K191" i="76" s="1"/>
  <c r="L191" i="76" s="1"/>
  <c r="M191" i="76" s="1"/>
  <c r="N191" i="76" s="1"/>
  <c r="O191" i="76" s="1"/>
  <c r="P191" i="76" s="1"/>
  <c r="Q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M190" i="76" s="1"/>
  <c r="N190" i="76" s="1"/>
  <c r="O190" i="76" s="1"/>
  <c r="P190" i="76" s="1"/>
  <c r="Q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M189" i="76" s="1"/>
  <c r="N189" i="76" s="1"/>
  <c r="O189" i="76" s="1"/>
  <c r="P189" i="76" s="1"/>
  <c r="Q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M188" i="76" s="1"/>
  <c r="N188" i="76" s="1"/>
  <c r="O188" i="76" s="1"/>
  <c r="P188" i="76" s="1"/>
  <c r="Q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M187" i="76"/>
  <c r="N187" i="76" s="1"/>
  <c r="O187" i="76" s="1"/>
  <c r="P187" i="76" s="1"/>
  <c r="Q187" i="76" s="1"/>
  <c r="R187" i="76" s="1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M186" i="76" s="1"/>
  <c r="N186" i="76" s="1"/>
  <c r="O186" i="76" s="1"/>
  <c r="P186" i="76" s="1"/>
  <c r="Q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M185" i="76" s="1"/>
  <c r="N185" i="76" s="1"/>
  <c r="O185" i="76" s="1"/>
  <c r="P185" i="76" s="1"/>
  <c r="Q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N184" i="76"/>
  <c r="O184" i="76" s="1"/>
  <c r="P184" i="76" s="1"/>
  <c r="Q184" i="76" s="1"/>
  <c r="R184" i="76" s="1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M184" i="76" s="1"/>
  <c r="E184" i="76"/>
  <c r="F184" i="76" s="1"/>
  <c r="D184" i="76"/>
  <c r="C184" i="76"/>
  <c r="C183" i="76"/>
  <c r="D183" i="76" s="1"/>
  <c r="E183" i="76" s="1"/>
  <c r="L182" i="76"/>
  <c r="M182" i="76" s="1"/>
  <c r="N182" i="76" s="1"/>
  <c r="O182" i="76" s="1"/>
  <c r="P182" i="76" s="1"/>
  <c r="Q182" i="76" s="1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M181" i="76" s="1"/>
  <c r="N181" i="76" s="1"/>
  <c r="O181" i="76" s="1"/>
  <c r="P181" i="76" s="1"/>
  <c r="Q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M180" i="76" s="1"/>
  <c r="N180" i="76" s="1"/>
  <c r="O180" i="76" s="1"/>
  <c r="P180" i="76" s="1"/>
  <c r="Q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V179" i="76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S179" i="76"/>
  <c r="T179" i="76" s="1"/>
  <c r="U179" i="76" s="1"/>
  <c r="D179" i="76"/>
  <c r="E179" i="76" s="1"/>
  <c r="F179" i="76" s="1"/>
  <c r="G179" i="76" s="1"/>
  <c r="H179" i="76" s="1"/>
  <c r="I179" i="76" s="1"/>
  <c r="J179" i="76" s="1"/>
  <c r="K179" i="76" s="1"/>
  <c r="L179" i="76" s="1"/>
  <c r="M179" i="76" s="1"/>
  <c r="N179" i="76" s="1"/>
  <c r="O179" i="76" s="1"/>
  <c r="P179" i="76" s="1"/>
  <c r="Q179" i="76" s="1"/>
  <c r="R179" i="76" s="1"/>
  <c r="C179" i="76"/>
  <c r="U178" i="76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T178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M178" i="76" s="1"/>
  <c r="N178" i="76" s="1"/>
  <c r="O178" i="76" s="1"/>
  <c r="P178" i="76" s="1"/>
  <c r="Q178" i="76" s="1"/>
  <c r="R178" i="76" s="1"/>
  <c r="S178" i="76" s="1"/>
  <c r="G177" i="76"/>
  <c r="C177" i="76"/>
  <c r="D177" i="76" s="1"/>
  <c r="E177" i="76" s="1"/>
  <c r="F177" i="76" s="1"/>
  <c r="Q176" i="76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E176" i="76"/>
  <c r="F176" i="76" s="1"/>
  <c r="G176" i="76" s="1"/>
  <c r="H176" i="76" s="1"/>
  <c r="I176" i="76" s="1"/>
  <c r="J176" i="76" s="1"/>
  <c r="K176" i="76" s="1"/>
  <c r="L176" i="76" s="1"/>
  <c r="M176" i="76" s="1"/>
  <c r="N176" i="76" s="1"/>
  <c r="O176" i="76" s="1"/>
  <c r="P176" i="76" s="1"/>
  <c r="D176" i="76"/>
  <c r="C176" i="76"/>
  <c r="AD175" i="76"/>
  <c r="AE175" i="76" s="1"/>
  <c r="AF175" i="76" s="1"/>
  <c r="AA175" i="76"/>
  <c r="AB175" i="76" s="1"/>
  <c r="AC175" i="76" s="1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M175" i="76" s="1"/>
  <c r="N175" i="76" s="1"/>
  <c r="O175" i="76" s="1"/>
  <c r="P175" i="76" s="1"/>
  <c r="Q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B174" i="76"/>
  <c r="AC174" i="76" s="1"/>
  <c r="AD174" i="76" s="1"/>
  <c r="AE174" i="76" s="1"/>
  <c r="AF174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M174" i="76" s="1"/>
  <c r="N174" i="76" s="1"/>
  <c r="O174" i="76" s="1"/>
  <c r="P174" i="76" s="1"/>
  <c r="Q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M173" i="76" s="1"/>
  <c r="N173" i="76" s="1"/>
  <c r="O173" i="76" s="1"/>
  <c r="P173" i="76" s="1"/>
  <c r="Q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Y172" i="76"/>
  <c r="Z172" i="76" s="1"/>
  <c r="AA172" i="76" s="1"/>
  <c r="AB172" i="76" s="1"/>
  <c r="AC172" i="76" s="1"/>
  <c r="AD172" i="76" s="1"/>
  <c r="AE172" i="76" s="1"/>
  <c r="AF172" i="76" s="1"/>
  <c r="M172" i="76"/>
  <c r="N172" i="76" s="1"/>
  <c r="O172" i="76" s="1"/>
  <c r="P172" i="76" s="1"/>
  <c r="Q172" i="76" s="1"/>
  <c r="R172" i="76" s="1"/>
  <c r="S172" i="76" s="1"/>
  <c r="T172" i="76" s="1"/>
  <c r="U172" i="76" s="1"/>
  <c r="V172" i="76" s="1"/>
  <c r="W172" i="76" s="1"/>
  <c r="X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M171" i="76" s="1"/>
  <c r="N171" i="76" s="1"/>
  <c r="O171" i="76" s="1"/>
  <c r="P171" i="76" s="1"/>
  <c r="Q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M170" i="76" s="1"/>
  <c r="N170" i="76" s="1"/>
  <c r="O170" i="76" s="1"/>
  <c r="P170" i="76" s="1"/>
  <c r="Q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AC166" i="76"/>
  <c r="AD166" i="76" s="1"/>
  <c r="AE166" i="76" s="1"/>
  <c r="AF166" i="76" s="1"/>
  <c r="M166" i="76"/>
  <c r="N166" i="76" s="1"/>
  <c r="O166" i="76" s="1"/>
  <c r="P166" i="76" s="1"/>
  <c r="Q166" i="76" s="1"/>
  <c r="R166" i="76" s="1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M165" i="76" s="1"/>
  <c r="N165" i="76" s="1"/>
  <c r="O165" i="76" s="1"/>
  <c r="P165" i="76" s="1"/>
  <c r="Q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M164" i="76" s="1"/>
  <c r="N164" i="76" s="1"/>
  <c r="O164" i="76" s="1"/>
  <c r="P164" i="76" s="1"/>
  <c r="Q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M163" i="76" s="1"/>
  <c r="N163" i="76" s="1"/>
  <c r="O163" i="76" s="1"/>
  <c r="P163" i="76" s="1"/>
  <c r="Q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M162" i="76" s="1"/>
  <c r="N162" i="76" s="1"/>
  <c r="O162" i="76" s="1"/>
  <c r="P162" i="76" s="1"/>
  <c r="Q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C135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I123" i="76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Q122" i="76"/>
  <c r="Q123" i="76" s="1"/>
  <c r="P122" i="76"/>
  <c r="O122" i="76"/>
  <c r="N122" i="76"/>
  <c r="M122" i="76"/>
  <c r="L122" i="76"/>
  <c r="K122" i="76"/>
  <c r="J122" i="76"/>
  <c r="I122" i="76"/>
  <c r="H122" i="76"/>
  <c r="G122" i="76"/>
  <c r="F122" i="76"/>
  <c r="E122" i="76"/>
  <c r="D122" i="76"/>
  <c r="C122" i="76"/>
  <c r="AH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Q121" i="76"/>
  <c r="P121" i="76"/>
  <c r="O121" i="76"/>
  <c r="N121" i="76"/>
  <c r="M121" i="76"/>
  <c r="L121" i="76"/>
  <c r="K121" i="76"/>
  <c r="J121" i="76"/>
  <c r="J123" i="76" s="1"/>
  <c r="I121" i="76"/>
  <c r="H121" i="76"/>
  <c r="G121" i="76"/>
  <c r="F121" i="76"/>
  <c r="E121" i="76"/>
  <c r="D121" i="76"/>
  <c r="C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Q120" i="76"/>
  <c r="P120" i="76"/>
  <c r="O120" i="76"/>
  <c r="N120" i="76"/>
  <c r="M120" i="76"/>
  <c r="L120" i="76"/>
  <c r="K120" i="76"/>
  <c r="J120" i="76"/>
  <c r="I120" i="76"/>
  <c r="H120" i="76"/>
  <c r="G120" i="76"/>
  <c r="F120" i="76"/>
  <c r="E120" i="76"/>
  <c r="D120" i="76"/>
  <c r="C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Q119" i="76"/>
  <c r="P119" i="76"/>
  <c r="O119" i="76"/>
  <c r="N119" i="76"/>
  <c r="M119" i="76"/>
  <c r="L119" i="76"/>
  <c r="L123" i="76" s="1"/>
  <c r="K119" i="76"/>
  <c r="J119" i="76"/>
  <c r="I119" i="76"/>
  <c r="H119" i="76"/>
  <c r="G119" i="76"/>
  <c r="F119" i="76"/>
  <c r="E119" i="76"/>
  <c r="D119" i="76"/>
  <c r="D123" i="76" s="1"/>
  <c r="C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Q118" i="76"/>
  <c r="P118" i="76"/>
  <c r="O118" i="76"/>
  <c r="N118" i="76"/>
  <c r="M118" i="76"/>
  <c r="L118" i="76"/>
  <c r="K118" i="76"/>
  <c r="J118" i="76"/>
  <c r="I118" i="76"/>
  <c r="H118" i="76"/>
  <c r="G118" i="76"/>
  <c r="F118" i="76"/>
  <c r="E118" i="76"/>
  <c r="D118" i="76"/>
  <c r="C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Q117" i="76"/>
  <c r="P117" i="76"/>
  <c r="P123" i="76" s="1"/>
  <c r="AX23" i="76" s="1"/>
  <c r="O117" i="76"/>
  <c r="N117" i="76"/>
  <c r="N123" i="76" s="1"/>
  <c r="AV23" i="76" s="1"/>
  <c r="M117" i="76"/>
  <c r="L117" i="76"/>
  <c r="K117" i="76"/>
  <c r="J117" i="76"/>
  <c r="I117" i="76"/>
  <c r="H117" i="76"/>
  <c r="H123" i="76" s="1"/>
  <c r="G117" i="76"/>
  <c r="F117" i="76"/>
  <c r="F123" i="76" s="1"/>
  <c r="F124" i="76" s="1"/>
  <c r="E117" i="76"/>
  <c r="D117" i="76"/>
  <c r="C117" i="76"/>
  <c r="AI114" i="76"/>
  <c r="AH114" i="76"/>
  <c r="E113" i="76"/>
  <c r="E115" i="76" s="1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Q108" i="76"/>
  <c r="P108" i="76"/>
  <c r="O108" i="76"/>
  <c r="N108" i="76"/>
  <c r="AV19" i="76" s="1"/>
  <c r="M108" i="76"/>
  <c r="AU19" i="76" s="1"/>
  <c r="L108" i="76"/>
  <c r="K108" i="76"/>
  <c r="J108" i="76"/>
  <c r="I108" i="76"/>
  <c r="H108" i="76"/>
  <c r="G108" i="76"/>
  <c r="F108" i="76"/>
  <c r="E108" i="76"/>
  <c r="D108" i="76"/>
  <c r="C108" i="76"/>
  <c r="AJ108" i="76" a="1"/>
  <c r="AJ108" i="76" s="1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Q96" i="76"/>
  <c r="P96" i="76"/>
  <c r="O96" i="76"/>
  <c r="N96" i="76"/>
  <c r="M96" i="76"/>
  <c r="L96" i="76"/>
  <c r="K96" i="76"/>
  <c r="AT20" i="76" s="1"/>
  <c r="J96" i="76"/>
  <c r="I96" i="76"/>
  <c r="H96" i="76"/>
  <c r="G96" i="76"/>
  <c r="F96" i="76"/>
  <c r="E96" i="76"/>
  <c r="D96" i="76"/>
  <c r="C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Q92" i="76"/>
  <c r="P92" i="76"/>
  <c r="O92" i="76"/>
  <c r="AW18" i="76" s="1"/>
  <c r="N92" i="76"/>
  <c r="AV18" i="76" s="1"/>
  <c r="M92" i="76"/>
  <c r="AU18" i="76" s="1"/>
  <c r="L92" i="76"/>
  <c r="K92" i="76"/>
  <c r="AT18" i="76" s="1"/>
  <c r="J92" i="76"/>
  <c r="I92" i="76"/>
  <c r="H92" i="76"/>
  <c r="G92" i="76"/>
  <c r="F92" i="76"/>
  <c r="E92" i="76"/>
  <c r="AP18" i="76" s="1"/>
  <c r="D92" i="76"/>
  <c r="AO18" i="76" s="1"/>
  <c r="C92" i="76"/>
  <c r="AN18" i="76" s="1"/>
  <c r="AH92" i="76"/>
  <c r="BU91" i="76"/>
  <c r="BS91" i="76"/>
  <c r="BQ91" i="76"/>
  <c r="BM91" i="76"/>
  <c r="BK91" i="76"/>
  <c r="BI91" i="76"/>
  <c r="BE91" i="76"/>
  <c r="BC91" i="76"/>
  <c r="BA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BG90" i="76"/>
  <c r="BF90" i="76"/>
  <c r="BE90" i="76"/>
  <c r="AZ90" i="76"/>
  <c r="AI90" i="76"/>
  <c r="AH90" i="76"/>
  <c r="BR89" i="76"/>
  <c r="BQ89" i="76"/>
  <c r="BP89" i="76"/>
  <c r="BO89" i="76"/>
  <c r="BJ89" i="76"/>
  <c r="BI89" i="76"/>
  <c r="BH89" i="76"/>
  <c r="BG89" i="76"/>
  <c r="BB89" i="76"/>
  <c r="BA89" i="76"/>
  <c r="AZ89" i="76"/>
  <c r="AI89" i="76"/>
  <c r="AH89" i="76"/>
  <c r="BT88" i="76"/>
  <c r="BS88" i="76"/>
  <c r="BR88" i="76"/>
  <c r="BQ88" i="76"/>
  <c r="BL88" i="76"/>
  <c r="BK88" i="76"/>
  <c r="BJ88" i="76"/>
  <c r="BI88" i="76"/>
  <c r="BD88" i="76"/>
  <c r="BC88" i="76"/>
  <c r="BB88" i="76"/>
  <c r="BA88" i="76"/>
  <c r="AI88" i="76"/>
  <c r="AH88" i="76"/>
  <c r="BV87" i="76"/>
  <c r="BU87" i="76"/>
  <c r="BT87" i="76"/>
  <c r="BS87" i="76"/>
  <c r="BN87" i="76"/>
  <c r="BM87" i="76"/>
  <c r="BL87" i="76"/>
  <c r="BK87" i="76"/>
  <c r="BF87" i="76"/>
  <c r="BE87" i="76"/>
  <c r="BD87" i="76"/>
  <c r="BC87" i="76"/>
  <c r="AI87" i="76"/>
  <c r="AH87" i="76"/>
  <c r="BV86" i="76"/>
  <c r="BU86" i="76"/>
  <c r="BP86" i="76"/>
  <c r="BO86" i="76"/>
  <c r="BN86" i="76"/>
  <c r="BM86" i="76"/>
  <c r="BH86" i="76"/>
  <c r="BG86" i="76"/>
  <c r="BF86" i="76"/>
  <c r="BE86" i="76"/>
  <c r="AZ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J84" i="76"/>
  <c r="BJ91" i="76" s="1"/>
  <c r="BI84" i="76"/>
  <c r="BH84" i="76"/>
  <c r="BH91" i="76" s="1"/>
  <c r="BG84" i="76"/>
  <c r="BG91" i="76" s="1"/>
  <c r="BF84" i="76"/>
  <c r="BF91" i="76" s="1"/>
  <c r="BE84" i="76"/>
  <c r="BD84" i="76"/>
  <c r="BD91" i="76" s="1"/>
  <c r="BC84" i="76"/>
  <c r="BB84" i="76"/>
  <c r="BB91" i="76" s="1"/>
  <c r="BA84" i="76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F83" i="76"/>
  <c r="BE83" i="76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I82" i="76"/>
  <c r="BH82" i="76"/>
  <c r="BG82" i="76"/>
  <c r="BF82" i="76"/>
  <c r="BF89" i="76" s="1"/>
  <c r="BE82" i="76"/>
  <c r="BE89" i="76" s="1"/>
  <c r="BD82" i="76"/>
  <c r="BD89" i="76" s="1"/>
  <c r="BC82" i="76"/>
  <c r="BC89" i="76" s="1"/>
  <c r="BB82" i="76"/>
  <c r="BA82" i="76"/>
  <c r="AZ82" i="76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J81" i="76"/>
  <c r="BI81" i="76"/>
  <c r="BH81" i="76"/>
  <c r="BH88" i="76" s="1"/>
  <c r="BG81" i="76"/>
  <c r="BG88" i="76" s="1"/>
  <c r="BF81" i="76"/>
  <c r="BF88" i="76" s="1"/>
  <c r="BE81" i="76"/>
  <c r="BE88" i="76" s="1"/>
  <c r="BD81" i="76"/>
  <c r="BC81" i="76"/>
  <c r="BB81" i="76"/>
  <c r="BA81" i="76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J80" i="76"/>
  <c r="BJ87" i="76" s="1"/>
  <c r="BI80" i="76"/>
  <c r="BI87" i="76" s="1"/>
  <c r="BH80" i="76"/>
  <c r="BH87" i="76" s="1"/>
  <c r="BG80" i="76"/>
  <c r="BG87" i="76" s="1"/>
  <c r="BF80" i="76"/>
  <c r="BE80" i="76"/>
  <c r="BD80" i="76"/>
  <c r="BC80" i="76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G79" i="76"/>
  <c r="BF79" i="76"/>
  <c r="BE79" i="76"/>
  <c r="BD79" i="76"/>
  <c r="BD86" i="76" s="1"/>
  <c r="BC79" i="76"/>
  <c r="BC86" i="76" s="1"/>
  <c r="BB79" i="76"/>
  <c r="BB86" i="76" s="1"/>
  <c r="BA79" i="76"/>
  <c r="BA86" i="76" s="1"/>
  <c r="AZ79" i="76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Q78" i="76"/>
  <c r="AY17" i="76" s="1"/>
  <c r="P78" i="76"/>
  <c r="AX17" i="76" s="1"/>
  <c r="O78" i="76"/>
  <c r="N78" i="76"/>
  <c r="M78" i="76"/>
  <c r="L78" i="76"/>
  <c r="K78" i="76"/>
  <c r="J78" i="76"/>
  <c r="I78" i="76"/>
  <c r="AS17" i="76" s="1"/>
  <c r="H78" i="76"/>
  <c r="G78" i="76"/>
  <c r="F78" i="76"/>
  <c r="E78" i="76"/>
  <c r="D78" i="76"/>
  <c r="C78" i="76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Q71" i="76"/>
  <c r="P71" i="76"/>
  <c r="O71" i="76"/>
  <c r="O113" i="76" s="1"/>
  <c r="O115" i="76" s="1"/>
  <c r="N71" i="76"/>
  <c r="AV16" i="76" s="1"/>
  <c r="AV22" i="76" s="1"/>
  <c r="AV25" i="76" s="1"/>
  <c r="M71" i="76"/>
  <c r="L71" i="76"/>
  <c r="L113" i="76" s="1"/>
  <c r="L115" i="76" s="1"/>
  <c r="L116" i="76" s="1"/>
  <c r="L7" i="76" s="1"/>
  <c r="K71" i="76"/>
  <c r="K113" i="76" s="1"/>
  <c r="K115" i="76" s="1"/>
  <c r="J71" i="76"/>
  <c r="I71" i="76"/>
  <c r="AS16" i="76" s="1"/>
  <c r="H71" i="76"/>
  <c r="G71" i="76"/>
  <c r="AR16" i="76" s="1"/>
  <c r="F71" i="76"/>
  <c r="AQ16" i="76" s="1"/>
  <c r="E71" i="76"/>
  <c r="D71" i="76"/>
  <c r="D113" i="76" s="1"/>
  <c r="D115" i="76" s="1"/>
  <c r="D116" i="76" s="1"/>
  <c r="D7" i="76" s="1"/>
  <c r="C71" i="76"/>
  <c r="C113" i="76" s="1"/>
  <c r="C115" i="76" s="1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S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S19" i="76"/>
  <c r="AR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R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T17" i="76"/>
  <c r="AR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K5" i="76"/>
  <c r="H5" i="76"/>
  <c r="G5" i="76"/>
  <c r="F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B113" i="76" l="1"/>
  <c r="B115" i="76" s="1"/>
  <c r="B116" i="76" s="1"/>
  <c r="B124" i="76"/>
  <c r="AR22" i="76"/>
  <c r="AC113" i="76"/>
  <c r="AC115" i="76" s="1"/>
  <c r="BH22" i="76"/>
  <c r="BH25" i="76" s="1"/>
  <c r="BA16" i="76"/>
  <c r="BI22" i="76"/>
  <c r="AN16" i="76"/>
  <c r="AN22" i="76" s="1"/>
  <c r="AN25" i="76" s="1"/>
  <c r="AQ22" i="76"/>
  <c r="N113" i="76"/>
  <c r="N115" i="76" s="1"/>
  <c r="N116" i="76" s="1"/>
  <c r="N7" i="76" s="1"/>
  <c r="BD16" i="76"/>
  <c r="BD22" i="76" s="1"/>
  <c r="BD25" i="76" s="1"/>
  <c r="AS22" i="76"/>
  <c r="AY22" i="76"/>
  <c r="AY25" i="76" s="1"/>
  <c r="AT16" i="76"/>
  <c r="Y135" i="76"/>
  <c r="Z170" i="76"/>
  <c r="AM23" i="76"/>
  <c r="AQ25" i="76"/>
  <c r="Q124" i="76"/>
  <c r="AY23" i="76"/>
  <c r="AH96" i="76"/>
  <c r="AH108" i="76"/>
  <c r="AI78" i="76"/>
  <c r="AH78" i="76"/>
  <c r="AI96" i="76"/>
  <c r="AN19" i="76"/>
  <c r="B5" i="76"/>
  <c r="C124" i="76"/>
  <c r="J5" i="76"/>
  <c r="K124" i="76"/>
  <c r="AT19" i="76"/>
  <c r="R5" i="76"/>
  <c r="BA19" i="76"/>
  <c r="BA22" i="76" s="1"/>
  <c r="Z5" i="76"/>
  <c r="AI108" i="76"/>
  <c r="G123" i="76"/>
  <c r="O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D124" i="76"/>
  <c r="L124" i="76"/>
  <c r="T124" i="76"/>
  <c r="BB19" i="76"/>
  <c r="AB124" i="76"/>
  <c r="U113" i="76"/>
  <c r="U115" i="76" s="1"/>
  <c r="U116" i="76" s="1"/>
  <c r="U7" i="76" s="1"/>
  <c r="AI119" i="76"/>
  <c r="C123" i="76"/>
  <c r="AN23" i="76" s="1"/>
  <c r="K123" i="76"/>
  <c r="AT23" i="76" s="1"/>
  <c r="S123" i="76"/>
  <c r="BA23" i="76" s="1"/>
  <c r="AA123" i="76"/>
  <c r="AA116" i="76" s="1"/>
  <c r="AA7" i="76" s="1"/>
  <c r="N124" i="76"/>
  <c r="I5" i="76"/>
  <c r="J124" i="76"/>
  <c r="H113" i="76"/>
  <c r="H115" i="76" s="1"/>
  <c r="H116" i="76" s="1"/>
  <c r="H7" i="76" s="1"/>
  <c r="AX16" i="76"/>
  <c r="AX22" i="76" s="1"/>
  <c r="AX25" i="76" s="1"/>
  <c r="P113" i="76"/>
  <c r="P115" i="76" s="1"/>
  <c r="P116" i="76" s="1"/>
  <c r="P7" i="76" s="1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I124" i="76"/>
  <c r="AS23" i="76"/>
  <c r="BG95" i="76" a="1"/>
  <c r="E116" i="76"/>
  <c r="E7" i="76" s="1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J116" i="76" s="1"/>
  <c r="J7" i="76" s="1"/>
  <c r="R113" i="76"/>
  <c r="R115" i="76" s="1"/>
  <c r="R116" i="76" s="1"/>
  <c r="R7" i="76" s="1"/>
  <c r="Z113" i="76"/>
  <c r="Z115" i="76" s="1"/>
  <c r="Z116" i="76" s="1"/>
  <c r="Z7" i="76" s="1"/>
  <c r="F113" i="76"/>
  <c r="F115" i="76" s="1"/>
  <c r="F116" i="76" s="1"/>
  <c r="F7" i="76" s="1"/>
  <c r="V124" i="76"/>
  <c r="AT22" i="76"/>
  <c r="AT25" i="76" s="1"/>
  <c r="AM19" i="76"/>
  <c r="AM22" i="76" s="1"/>
  <c r="AF5" i="76"/>
  <c r="AH121" i="76"/>
  <c r="BE25" i="76"/>
  <c r="Q113" i="76"/>
  <c r="Q115" i="76" s="1"/>
  <c r="Q116" i="76" s="1"/>
  <c r="Q7" i="76" s="1"/>
  <c r="Y113" i="76"/>
  <c r="Y115" i="76" s="1"/>
  <c r="Y116" i="76" s="1"/>
  <c r="Y7" i="76" s="1"/>
  <c r="AW22" i="76"/>
  <c r="BF19" i="76"/>
  <c r="H124" i="76"/>
  <c r="P124" i="76"/>
  <c r="X124" i="76"/>
  <c r="G113" i="76"/>
  <c r="G115" i="76" s="1"/>
  <c r="AD113" i="76"/>
  <c r="AD115" i="76" s="1"/>
  <c r="AD116" i="76" s="1"/>
  <c r="AD7" i="76" s="1"/>
  <c r="AH118" i="76"/>
  <c r="AQ23" i="76"/>
  <c r="M113" i="76"/>
  <c r="M115" i="76" s="1"/>
  <c r="AE113" i="76"/>
  <c r="AE115" i="76" s="1"/>
  <c r="AE116" i="76" s="1"/>
  <c r="AE7" i="76" s="1"/>
  <c r="E123" i="76"/>
  <c r="AI123" i="76" s="1"/>
  <c r="M123" i="76"/>
  <c r="AJ123" i="76" s="1" a="1"/>
  <c r="AJ123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S25" i="76" l="1"/>
  <c r="O124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E124" i="76"/>
  <c r="AI124" i="76" s="1"/>
  <c r="AP23" i="76"/>
  <c r="AP25" i="76" s="1"/>
  <c r="G116" i="76"/>
  <c r="G7" i="76" s="1"/>
  <c r="W116" i="76"/>
  <c r="W7" i="76" s="1"/>
  <c r="S116" i="76"/>
  <c r="S7" i="76" s="1"/>
  <c r="D167" i="76"/>
  <c r="D135" i="76"/>
  <c r="E161" i="76"/>
  <c r="G183" i="76"/>
  <c r="AU23" i="76"/>
  <c r="AU25" i="76" s="1"/>
  <c r="M124" i="76"/>
  <c r="M116" i="76"/>
  <c r="M7" i="76" s="1"/>
  <c r="BC25" i="76"/>
  <c r="BA25" i="76"/>
  <c r="O116" i="76"/>
  <c r="O7" i="76" s="1"/>
  <c r="K116" i="76"/>
  <c r="K7" i="76" s="1"/>
  <c r="AT8" i="76"/>
  <c r="AM25" i="76"/>
  <c r="I177" i="76"/>
  <c r="BI23" i="76"/>
  <c r="BI25" i="76" s="1"/>
  <c r="AE124" i="76"/>
  <c r="S124" i="76"/>
  <c r="C116" i="76"/>
  <c r="C7" i="76" s="1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E135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F135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M177" i="76" l="1"/>
  <c r="I161" i="76"/>
  <c r="H167" i="76"/>
  <c r="H135" i="76"/>
  <c r="H274" i="76"/>
  <c r="I169" i="76"/>
  <c r="K183" i="76"/>
  <c r="I167" i="76" l="1"/>
  <c r="J161" i="76"/>
  <c r="I135" i="76"/>
  <c r="I274" i="76"/>
  <c r="J169" i="76"/>
  <c r="N177" i="76"/>
  <c r="L183" i="76"/>
  <c r="M183" i="76" l="1"/>
  <c r="J274" i="76"/>
  <c r="K169" i="76"/>
  <c r="O177" i="76"/>
  <c r="K161" i="76"/>
  <c r="J167" i="76"/>
  <c r="J135" i="76"/>
  <c r="K167" i="76" l="1"/>
  <c r="L161" i="76"/>
  <c r="K135" i="76"/>
  <c r="P177" i="76"/>
  <c r="Q177" i="76" s="1"/>
  <c r="K274" i="76"/>
  <c r="L169" i="76"/>
  <c r="N183" i="76"/>
  <c r="L274" i="76" l="1"/>
  <c r="M169" i="76"/>
  <c r="O183" i="76"/>
  <c r="R177" i="76"/>
  <c r="L167" i="76"/>
  <c r="M161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M167" i="76"/>
  <c r="N161" i="76"/>
  <c r="M135" i="76"/>
  <c r="P183" i="76"/>
  <c r="Q183" i="76" s="1"/>
  <c r="M274" i="76"/>
  <c r="N169" i="76"/>
  <c r="P123" i="75"/>
  <c r="P124" i="75" s="1"/>
  <c r="P113" i="75"/>
  <c r="P115" i="75" s="1"/>
  <c r="P116" i="75" s="1"/>
  <c r="R183" i="76" l="1"/>
  <c r="N167" i="76"/>
  <c r="O161" i="76"/>
  <c r="N135" i="76"/>
  <c r="N274" i="76"/>
  <c r="O169" i="76"/>
  <c r="T177" i="76"/>
  <c r="U177" i="76" l="1"/>
  <c r="O274" i="76"/>
  <c r="P169" i="76"/>
  <c r="O167" i="76"/>
  <c r="P161" i="76"/>
  <c r="O135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P167" i="76"/>
  <c r="Q161" i="76"/>
  <c r="P274" i="76"/>
  <c r="Q169" i="76"/>
  <c r="V177" i="76"/>
  <c r="O123" i="75"/>
  <c r="O124" i="75" s="1"/>
  <c r="O113" i="75"/>
  <c r="O115" i="75" s="1"/>
  <c r="O116" i="75" s="1"/>
  <c r="W177" i="76" l="1"/>
  <c r="Q274" i="76"/>
  <c r="R169" i="76"/>
  <c r="Q167" i="76"/>
  <c r="R161" i="76"/>
  <c r="Q135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<sst xmlns="http://schemas.openxmlformats.org/spreadsheetml/2006/main" count="1880" uniqueCount="416">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</sst>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49" sqref="AB49:AF4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22" sqref="B2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2080/10/4</v>
      </c>
      <c r="C4" s="219"/>
      <c r="D4" s="219"/>
      <c r="E4" s="220" t="str">
        <f ca="1">"2080/"&amp;"10/"&amp;INT(MID(CELL("filename",G6),FIND("]",CELL("filename",G6))+1,200))</f>
        <v>2080/10/4</v>
      </c>
      <c r="F4" s="220"/>
      <c r="G4" s="220"/>
      <c r="H4" s="220" t="str">
        <f ca="1">TEXT(E4,"dddd")</f>
        <v>Friday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1595.7299999999998</v>
      </c>
      <c r="C7" s="35">
        <f t="shared" si="1"/>
        <v>1027.3999999999996</v>
      </c>
      <c r="D7" s="35">
        <f t="shared" si="1"/>
        <v>172</v>
      </c>
      <c r="E7" s="35">
        <f t="shared" si="1"/>
        <v>172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1995.73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1595.73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28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22.9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49.6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1025.4099999999999</v>
      </c>
      <c r="AN16" s="57">
        <f t="shared" si="4"/>
        <v>1025.3999999999996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460.42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1995.7299999999998</v>
      </c>
      <c r="AN22" s="60">
        <f t="shared" si="16"/>
        <v>1027.3999999999996</v>
      </c>
      <c r="AO22" s="60">
        <f t="shared" si="16"/>
        <v>172</v>
      </c>
      <c r="AP22" s="60">
        <f t="shared" si="16"/>
        <v>172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1595.7299999999998</v>
      </c>
      <c r="AN25" s="60">
        <f t="shared" si="19"/>
        <v>1027.3999999999996</v>
      </c>
      <c r="AO25" s="60">
        <f t="shared" si="19"/>
        <v>172</v>
      </c>
      <c r="AP25" s="60">
        <f t="shared" si="19"/>
        <v>172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1.2</v>
      </c>
      <c r="C66" s="44">
        <v>0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1.2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v>145.6</v>
      </c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145.6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1025.4099999999999</v>
      </c>
      <c r="C71" s="70">
        <f>SUM(C11:C69)</f>
        <v>1025.3999999999996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1025.4099999999999</v>
      </c>
      <c r="AI71" s="47">
        <f t="shared" si="3"/>
        <v>170</v>
      </c>
      <c r="AK71" s="49"/>
    </row>
    <row r="72" spans="1:88">
      <c r="A72" s="71" t="s">
        <v>91</v>
      </c>
      <c r="B72" s="44">
        <v>283.60000000000002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283.60000000000002</v>
      </c>
      <c r="AI72" s="47">
        <f t="shared" si="3"/>
        <v>283.60000000000002</v>
      </c>
      <c r="AK72" s="49"/>
    </row>
    <row r="73" spans="1:88">
      <c r="A73" s="72" t="s">
        <v>92</v>
      </c>
      <c r="B73" s="43">
        <v>68.900000000000006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68.900000000000006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45.9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45.9</v>
      </c>
      <c r="AI74" s="47">
        <f t="shared" si="3"/>
        <v>45.9</v>
      </c>
      <c r="AK74" s="49"/>
    </row>
    <row r="75" spans="1:88">
      <c r="A75" s="74" t="s">
        <v>94</v>
      </c>
      <c r="B75" s="43">
        <v>29.8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29.8</v>
      </c>
      <c r="AK75" s="49"/>
    </row>
    <row r="76" spans="1:88">
      <c r="A76" s="74" t="s">
        <v>95</v>
      </c>
      <c r="B76" s="43">
        <v>22.1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22.1</v>
      </c>
      <c r="AI76" s="47">
        <f t="shared" si="23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10.119999999999999</v>
      </c>
      <c r="AI77" s="47">
        <f t="shared" si="23"/>
        <v>10.119999999999999</v>
      </c>
      <c r="AK77" s="49"/>
    </row>
    <row r="78" spans="1:88" ht="15.75" thickBot="1">
      <c r="A78" s="79" t="s">
        <v>97</v>
      </c>
      <c r="B78" s="70">
        <f t="shared" ref="B78" si="24">SUM(B72:B77)</f>
        <v>460.42</v>
      </c>
      <c r="C78" s="70">
        <f>SUM(C72:C77)</f>
        <v>0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460.42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0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55</v>
      </c>
      <c r="AI80" s="47">
        <f t="shared" si="23"/>
        <v>55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69</v>
      </c>
      <c r="AI81" s="47">
        <f t="shared" si="23"/>
        <v>69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14.2</v>
      </c>
      <c r="AI83" s="47">
        <f t="shared" si="23"/>
        <v>14.2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12.4</v>
      </c>
      <c r="AI85" s="47">
        <f t="shared" si="23"/>
        <v>12.4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0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-400</v>
      </c>
    </row>
    <row r="87" spans="1:75">
      <c r="A87" s="63" t="s">
        <v>112</v>
      </c>
      <c r="B87" s="43">
        <v>7.1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7.1</v>
      </c>
      <c r="AI87" s="47">
        <f t="shared" si="23"/>
        <v>7.1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32.299999999999997</v>
      </c>
    </row>
    <row r="88" spans="1:75">
      <c r="A88" s="84" t="s">
        <v>113</v>
      </c>
      <c r="B88" s="43">
        <v>8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8</v>
      </c>
      <c r="AI88" s="47">
        <f t="shared" si="23"/>
        <v>8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>
      <c r="A89" s="63" t="s">
        <v>114</v>
      </c>
      <c r="B89" s="43">
        <v>7.7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20.6</v>
      </c>
    </row>
    <row r="90" spans="1:7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 t="shared" ref="B92" si="31">SUM(B79:B91)</f>
        <v>334</v>
      </c>
      <c r="C92" s="70">
        <f t="shared" ref="B92:AG92" si="32">SUM(C79:C91)</f>
        <v>2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334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45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45</v>
      </c>
      <c r="AI93" s="47">
        <f t="shared" si="23"/>
        <v>45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26.5</v>
      </c>
      <c r="AI94" s="47">
        <f t="shared" si="23"/>
        <v>26.5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11.6</v>
      </c>
      <c r="AI95" s="47">
        <f t="shared" si="23"/>
        <v>11.6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3">B93+B94+B95</f>
        <v>83.1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83.1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-400</v>
      </c>
      <c r="AI97" s="47">
        <f t="shared" si="23"/>
        <v>-400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32.299999999999997</v>
      </c>
      <c r="AI98" s="47">
        <f t="shared" si="23"/>
        <v>32.299999999999997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20.6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20.6</v>
      </c>
      <c r="AI100" s="47">
        <f t="shared" si="23"/>
        <v>20.6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39.9</v>
      </c>
      <c r="AI102" s="47">
        <f t="shared" si="23"/>
        <v>39.9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5">SUMIF(B97:B107,"&gt;0")</f>
        <v>92.8</v>
      </c>
      <c r="C108" s="70">
        <f t="shared" ref="B108:AF108" si="36">SUMIF(C97:C107,"&gt;0")</f>
        <v>0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92.8</v>
      </c>
      <c r="AI108" s="47">
        <f t="shared" si="23"/>
        <v>0</v>
      </c>
      <c r="AJ108" s="105">
        <f t="array" ref="AJ108">MIN(IF(B108:AF108&lt;&gt;0,B108:AF108))</f>
        <v>92.8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7">B71+B78+B96+B92+B108+B112</f>
        <v>1995.7299999999998</v>
      </c>
      <c r="C113" s="108">
        <f t="shared" ref="B113:AG113" si="38">C71+C78+C96+C92+C108+C112</f>
        <v>1027.3999999999996</v>
      </c>
      <c r="D113" s="108">
        <f t="shared" si="38"/>
        <v>172</v>
      </c>
      <c r="E113" s="108">
        <f t="shared" si="38"/>
        <v>172</v>
      </c>
      <c r="F113" s="108">
        <f t="shared" si="38"/>
        <v>172</v>
      </c>
      <c r="G113" s="108">
        <f t="shared" si="38"/>
        <v>172</v>
      </c>
      <c r="H113" s="108">
        <f t="shared" si="38"/>
        <v>172</v>
      </c>
      <c r="I113" s="108">
        <f t="shared" si="38"/>
        <v>172</v>
      </c>
      <c r="J113" s="108">
        <f t="shared" si="38"/>
        <v>172</v>
      </c>
      <c r="K113" s="108">
        <f t="shared" si="38"/>
        <v>172</v>
      </c>
      <c r="L113" s="108">
        <f t="shared" si="38"/>
        <v>172</v>
      </c>
      <c r="M113" s="108">
        <f t="shared" si="38"/>
        <v>172</v>
      </c>
      <c r="N113" s="108">
        <f t="shared" si="38"/>
        <v>172</v>
      </c>
      <c r="O113" s="108">
        <f t="shared" si="38"/>
        <v>172</v>
      </c>
      <c r="P113" s="108">
        <f t="shared" si="38"/>
        <v>172</v>
      </c>
      <c r="Q113" s="108">
        <f t="shared" si="38"/>
        <v>172</v>
      </c>
      <c r="R113" s="108">
        <f t="shared" si="38"/>
        <v>172</v>
      </c>
      <c r="S113" s="108">
        <f t="shared" si="38"/>
        <v>172</v>
      </c>
      <c r="T113" s="108">
        <f t="shared" si="38"/>
        <v>172</v>
      </c>
      <c r="U113" s="108">
        <f t="shared" si="38"/>
        <v>172</v>
      </c>
      <c r="V113" s="108">
        <f t="shared" si="38"/>
        <v>172</v>
      </c>
      <c r="W113" s="108">
        <f t="shared" si="38"/>
        <v>172</v>
      </c>
      <c r="X113" s="108">
        <f t="shared" si="38"/>
        <v>182</v>
      </c>
      <c r="Y113" s="108">
        <f t="shared" si="38"/>
        <v>182</v>
      </c>
      <c r="Z113" s="108">
        <f t="shared" si="38"/>
        <v>182</v>
      </c>
      <c r="AA113" s="108">
        <f t="shared" si="38"/>
        <v>182</v>
      </c>
      <c r="AB113" s="108">
        <f t="shared" si="38"/>
        <v>182</v>
      </c>
      <c r="AC113" s="108">
        <f t="shared" si="38"/>
        <v>192</v>
      </c>
      <c r="AD113" s="108">
        <f t="shared" si="38"/>
        <v>192</v>
      </c>
      <c r="AE113" s="108">
        <f t="shared" si="38"/>
        <v>172</v>
      </c>
      <c r="AF113" s="108">
        <f t="shared" si="38"/>
        <v>172</v>
      </c>
      <c r="AG113" s="80">
        <f t="shared" si="38"/>
        <v>3169.915</v>
      </c>
      <c r="AH113" s="46">
        <f t="shared" si="22"/>
        <v>1995.7299999999998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39">B113+B114</f>
        <v>1995.7299999999998</v>
      </c>
      <c r="C115" s="108">
        <f t="shared" ref="C115:AF115" si="40">C113+C114</f>
        <v>1027.3999999999996</v>
      </c>
      <c r="D115" s="108">
        <f t="shared" si="40"/>
        <v>172</v>
      </c>
      <c r="E115" s="108">
        <f t="shared" si="40"/>
        <v>172</v>
      </c>
      <c r="F115" s="108">
        <f t="shared" si="40"/>
        <v>172</v>
      </c>
      <c r="G115" s="108">
        <f t="shared" si="40"/>
        <v>172</v>
      </c>
      <c r="H115" s="108">
        <f t="shared" si="40"/>
        <v>172</v>
      </c>
      <c r="I115" s="108">
        <f t="shared" si="40"/>
        <v>172</v>
      </c>
      <c r="J115" s="108">
        <f t="shared" si="40"/>
        <v>172</v>
      </c>
      <c r="K115" s="108">
        <f t="shared" si="40"/>
        <v>172</v>
      </c>
      <c r="L115" s="108">
        <f t="shared" si="40"/>
        <v>172</v>
      </c>
      <c r="M115" s="108">
        <f t="shared" si="40"/>
        <v>172</v>
      </c>
      <c r="N115" s="108">
        <f t="shared" si="40"/>
        <v>172</v>
      </c>
      <c r="O115" s="108">
        <f t="shared" si="40"/>
        <v>172</v>
      </c>
      <c r="P115" s="108">
        <f t="shared" si="40"/>
        <v>172</v>
      </c>
      <c r="Q115" s="108">
        <f t="shared" si="40"/>
        <v>172</v>
      </c>
      <c r="R115" s="108">
        <f t="shared" si="40"/>
        <v>172</v>
      </c>
      <c r="S115" s="108">
        <f t="shared" si="40"/>
        <v>172</v>
      </c>
      <c r="T115" s="108">
        <f t="shared" si="40"/>
        <v>172</v>
      </c>
      <c r="U115" s="108">
        <f t="shared" si="40"/>
        <v>172</v>
      </c>
      <c r="V115" s="108">
        <f t="shared" si="40"/>
        <v>172</v>
      </c>
      <c r="W115" s="108">
        <f t="shared" si="40"/>
        <v>172</v>
      </c>
      <c r="X115" s="108">
        <f t="shared" si="40"/>
        <v>182</v>
      </c>
      <c r="Y115" s="108">
        <f t="shared" si="40"/>
        <v>182</v>
      </c>
      <c r="Z115" s="108">
        <f t="shared" si="40"/>
        <v>182</v>
      </c>
      <c r="AA115" s="108">
        <f t="shared" si="40"/>
        <v>182</v>
      </c>
      <c r="AB115" s="108">
        <f t="shared" si="40"/>
        <v>182</v>
      </c>
      <c r="AC115" s="108">
        <f t="shared" si="40"/>
        <v>192</v>
      </c>
      <c r="AD115" s="108">
        <f t="shared" si="40"/>
        <v>192</v>
      </c>
      <c r="AE115" s="108">
        <f t="shared" si="40"/>
        <v>172</v>
      </c>
      <c r="AF115" s="108">
        <f t="shared" si="40"/>
        <v>172</v>
      </c>
      <c r="AG115" s="104">
        <f>AG112+AG108+AG96+AG92+AG71+AG114</f>
        <v>2463.5149999999999</v>
      </c>
      <c r="AH115" s="46">
        <f t="shared" si="22"/>
        <v>1995.7299999999998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1">B115-(B123)</f>
        <v>1595.7299999999998</v>
      </c>
      <c r="C116" s="108">
        <f t="shared" ref="C116:AF116" si="42">C115-(C123)</f>
        <v>1027.3999999999996</v>
      </c>
      <c r="D116" s="108">
        <f t="shared" si="42"/>
        <v>172</v>
      </c>
      <c r="E116" s="108">
        <f t="shared" si="42"/>
        <v>172</v>
      </c>
      <c r="F116" s="108">
        <f t="shared" si="42"/>
        <v>172</v>
      </c>
      <c r="G116" s="108">
        <f t="shared" si="42"/>
        <v>172</v>
      </c>
      <c r="H116" s="108">
        <f t="shared" si="42"/>
        <v>172</v>
      </c>
      <c r="I116" s="108">
        <f t="shared" si="42"/>
        <v>172</v>
      </c>
      <c r="J116" s="108">
        <f t="shared" si="42"/>
        <v>172</v>
      </c>
      <c r="K116" s="108">
        <f t="shared" si="42"/>
        <v>172</v>
      </c>
      <c r="L116" s="108">
        <f t="shared" si="42"/>
        <v>172</v>
      </c>
      <c r="M116" s="108">
        <f t="shared" si="42"/>
        <v>172</v>
      </c>
      <c r="N116" s="108">
        <f t="shared" si="42"/>
        <v>172</v>
      </c>
      <c r="O116" s="108">
        <f t="shared" si="42"/>
        <v>172</v>
      </c>
      <c r="P116" s="108">
        <f t="shared" si="42"/>
        <v>172</v>
      </c>
      <c r="Q116" s="108">
        <f t="shared" si="42"/>
        <v>172</v>
      </c>
      <c r="R116" s="108">
        <f t="shared" si="42"/>
        <v>172</v>
      </c>
      <c r="S116" s="108">
        <f t="shared" si="42"/>
        <v>172</v>
      </c>
      <c r="T116" s="108">
        <f t="shared" si="42"/>
        <v>172</v>
      </c>
      <c r="U116" s="108">
        <f t="shared" si="42"/>
        <v>172</v>
      </c>
      <c r="V116" s="108">
        <f t="shared" si="42"/>
        <v>172</v>
      </c>
      <c r="W116" s="108">
        <f t="shared" si="42"/>
        <v>172</v>
      </c>
      <c r="X116" s="108">
        <f t="shared" si="42"/>
        <v>182</v>
      </c>
      <c r="Y116" s="108">
        <f t="shared" si="42"/>
        <v>182</v>
      </c>
      <c r="Z116" s="108">
        <f t="shared" si="42"/>
        <v>182</v>
      </c>
      <c r="AA116" s="108">
        <f t="shared" si="42"/>
        <v>182</v>
      </c>
      <c r="AB116" s="108">
        <f t="shared" si="42"/>
        <v>182</v>
      </c>
      <c r="AC116" s="108">
        <f t="shared" si="42"/>
        <v>192</v>
      </c>
      <c r="AD116" s="108">
        <f t="shared" si="42"/>
        <v>192</v>
      </c>
      <c r="AE116" s="108">
        <f t="shared" si="42"/>
        <v>172</v>
      </c>
      <c r="AF116" s="108">
        <f t="shared" si="42"/>
        <v>172</v>
      </c>
      <c r="AG116" s="104"/>
      <c r="AH116" s="46">
        <f t="shared" si="22"/>
        <v>1595.7299999999998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3">IF(B97&lt;0,B97*-1,0)</f>
        <v>400</v>
      </c>
      <c r="C117" s="93">
        <f t="shared" ref="B117:AF122" si="44">IF(C97&lt;0,C97*-1,0)</f>
        <v>0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400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5">SUM(B117:B122)</f>
        <v>400</v>
      </c>
      <c r="C123" s="70">
        <f t="shared" ref="B123:AF123" si="46">SUM(C117:C122)</f>
        <v>0</v>
      </c>
      <c r="D123" s="70">
        <f t="shared" si="46"/>
        <v>0</v>
      </c>
      <c r="E123" s="70">
        <f t="shared" si="46"/>
        <v>0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400</v>
      </c>
      <c r="AI123" s="47">
        <f t="shared" si="23"/>
        <v>0</v>
      </c>
      <c r="AJ123" s="105">
        <f t="array" ref="AJ123">MIN(IF(B123:AF123&lt;&gt;0,B123:AF123))</f>
        <v>400</v>
      </c>
    </row>
    <row r="124" spans="1:64" ht="15.75" thickBot="1">
      <c r="A124" s="87" t="s">
        <v>146</v>
      </c>
      <c r="B124" s="70">
        <f t="shared" ref="B124" si="47">B108-B123</f>
        <v>-307.2</v>
      </c>
      <c r="C124" s="70">
        <f t="shared" ref="B124:AF124" si="48">C108-C123</f>
        <v>0</v>
      </c>
      <c r="D124" s="70">
        <f t="shared" si="48"/>
        <v>0</v>
      </c>
      <c r="E124" s="70">
        <f t="shared" si="48"/>
        <v>0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-307.2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50.003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50.003</v>
      </c>
      <c r="AI126" s="47">
        <f t="shared" si="23"/>
        <v>50.003</v>
      </c>
    </row>
    <row r="127" spans="1:64">
      <c r="A127" s="119" t="s">
        <v>149</v>
      </c>
      <c r="B127" s="43">
        <v>134.80000000000001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134.80000000000001</v>
      </c>
      <c r="AI127" s="47">
        <f t="shared" si="23"/>
        <v>134.80000000000001</v>
      </c>
    </row>
    <row r="128" spans="1:64">
      <c r="A128" s="119" t="s">
        <v>150</v>
      </c>
      <c r="B128" s="43">
        <v>131.9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131.9</v>
      </c>
      <c r="AI128" s="47">
        <f t="shared" si="23"/>
        <v>131.9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133.4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133.4</v>
      </c>
      <c r="AI130" s="47">
        <f t="shared" si="23"/>
        <v>133.4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0</v>
      </c>
      <c r="AI131" s="47">
        <f t="shared" si="23"/>
        <v>0</v>
      </c>
    </row>
    <row r="132" spans="1:35">
      <c r="A132" s="119" t="s">
        <v>154</v>
      </c>
      <c r="B132" s="43">
        <v>125.96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125.96</v>
      </c>
      <c r="AI132" s="47">
        <f t="shared" si="23"/>
        <v>125.96</v>
      </c>
    </row>
    <row r="133" spans="1:35" ht="15.75" thickBot="1">
      <c r="A133" s="119" t="s">
        <v>155</v>
      </c>
      <c r="B133" s="101">
        <v>65.3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65.3</v>
      </c>
      <c r="AI133" s="47">
        <f t="shared" si="23"/>
        <v>65.3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49">SUM(B26,B32,B45:B46,B82,B84:B85,B87,B89,B137:B142,B177,B183,B189,B198,B200,B212,B219,B222:B223,B230,B232,B234,B238:B240,B242:B244,B249,B255:B256,B258:B260,B161,B166)</f>
        <v>267.54000000000002</v>
      </c>
      <c r="C135" s="114">
        <f t="shared" ref="C135:O135" si="50">SUM(C26,C32,C45:C46,C82,C84:C85,C87,C89,C137:C142,C177,C183,C189,C198,C200,C212,C219,C222:C223,C230,C232,C234,C238:C240,C242:C244,C249,C255:C256,C258:C260,C161,C166)</f>
        <v>61.94</v>
      </c>
      <c r="D135" s="114">
        <f t="shared" si="50"/>
        <v>0.94</v>
      </c>
      <c r="E135" s="114">
        <f t="shared" si="50"/>
        <v>0.94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267.54000000000002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44.3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44.3</v>
      </c>
      <c r="AI137" s="47">
        <f t="shared" si="23"/>
        <v>44.3</v>
      </c>
    </row>
    <row r="138" spans="1:35">
      <c r="A138" s="135" t="s">
        <v>160</v>
      </c>
      <c r="B138" s="132">
        <v>-11.5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-11.5</v>
      </c>
      <c r="AI138" s="47">
        <f t="shared" si="23"/>
        <v>-11.5</v>
      </c>
    </row>
    <row r="139" spans="1:35">
      <c r="A139" s="135" t="s">
        <v>161</v>
      </c>
      <c r="B139" s="132">
        <v>-71.599999999999994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-71.599999999999994</v>
      </c>
      <c r="AI139" s="47">
        <f>MIN(B139:AF139)</f>
        <v>-71.599999999999994</v>
      </c>
    </row>
    <row r="140" spans="1:35">
      <c r="A140" s="135" t="s">
        <v>162</v>
      </c>
      <c r="B140" s="132">
        <v>89.3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89.3</v>
      </c>
      <c r="AI140" s="47">
        <f>MIN(B140:AF140)</f>
        <v>89.3</v>
      </c>
    </row>
    <row r="141" spans="1:35">
      <c r="A141" s="135" t="s">
        <v>163</v>
      </c>
      <c r="B141" s="132">
        <v>0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>
        <v>69.900000000000006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69.900000000000006</v>
      </c>
      <c r="AI142" s="47">
        <f>MIN(B142:AF142)</f>
        <v>69.900000000000006</v>
      </c>
    </row>
    <row r="143" spans="1:35">
      <c r="A143" s="135" t="s">
        <v>165</v>
      </c>
      <c r="B143" s="132">
        <v>16.3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-54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-9.6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-315.60000000000002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-315.60000000000002</v>
      </c>
      <c r="AI146" s="47">
        <f t="shared" ref="AI146:AI158" si="54">MIN(B146:AF146)</f>
        <v>-315.60000000000002</v>
      </c>
    </row>
    <row r="147" spans="1:38">
      <c r="A147" s="135" t="s">
        <v>169</v>
      </c>
      <c r="B147" s="132">
        <v>71.3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71.3</v>
      </c>
      <c r="AI147" s="47">
        <f t="shared" si="54"/>
        <v>71.3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0</v>
      </c>
      <c r="AI148" s="47">
        <f t="shared" si="54"/>
        <v>0</v>
      </c>
    </row>
    <row r="149" spans="1:38">
      <c r="A149" s="135" t="s">
        <v>171</v>
      </c>
      <c r="B149" s="132">
        <v>116.3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116.3</v>
      </c>
      <c r="AI149" s="47">
        <f t="shared" si="54"/>
        <v>116.3</v>
      </c>
    </row>
    <row r="150" spans="1:38">
      <c r="A150" s="135" t="s">
        <v>172</v>
      </c>
      <c r="B150" s="132">
        <v>30.1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30.1</v>
      </c>
    </row>
    <row r="151" spans="1:38" ht="15.75" thickBot="1">
      <c r="A151" s="139" t="s">
        <v>173</v>
      </c>
      <c r="B151" s="132">
        <v>7.3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7.3</v>
      </c>
      <c r="AI151" s="47">
        <f t="shared" si="54"/>
        <v>7.3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D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D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D14:AF53 B29:C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D11:AA13 AB12:AF13 AG78 AF92:AF95 AF96:AG96 B79:AC90 B71:AG71 B76:AF78 B91:AF91 B92:AE96 B69:AF69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66:Y70 C69:AF69 B54:AF62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C13">
    <cfRule type="expression" dxfId="22" priority="20">
      <formula>B$9&gt;=20/24</formula>
    </cfRule>
  </conditionalFormatting>
  <conditionalFormatting sqref="B97:B107 B137:B152 B109:B112 B125:B134 B154:B159 B11:C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C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C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2026-05-17T18:24:46Z</dcterms:modified>
</cp:coreProperties>
</file>