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@G4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49" i="75" l="1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M273" i="75" s="1"/>
  <c r="N273" i="75" s="1"/>
  <c r="O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M272" i="75" s="1"/>
  <c r="N272" i="75" s="1"/>
  <c r="O272" i="75" s="1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M271" i="75" s="1"/>
  <c r="N271" i="75" s="1"/>
  <c r="O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M270" i="75"/>
  <c r="N270" i="75" s="1"/>
  <c r="O270" i="75" s="1"/>
  <c r="P270" i="75" s="1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M269" i="75" s="1"/>
  <c r="N269" i="75" s="1"/>
  <c r="O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M268" i="75" s="1"/>
  <c r="N268" i="75" s="1"/>
  <c r="O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M267" i="75" s="1"/>
  <c r="N267" i="75" s="1"/>
  <c r="O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M266" i="75" s="1"/>
  <c r="N266" i="75" s="1"/>
  <c r="O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M265" i="75" s="1"/>
  <c r="N265" i="75" s="1"/>
  <c r="O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M264" i="75" s="1"/>
  <c r="N264" i="75" s="1"/>
  <c r="O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M263" i="75" s="1"/>
  <c r="N263" i="75" s="1"/>
  <c r="O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M262" i="75" s="1"/>
  <c r="N262" i="75" s="1"/>
  <c r="O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N261" i="75"/>
  <c r="O261" i="75" s="1"/>
  <c r="P261" i="75" s="1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M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M260" i="75" s="1"/>
  <c r="N260" i="75" s="1"/>
  <c r="O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M259" i="75" s="1"/>
  <c r="N259" i="75" s="1"/>
  <c r="O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M258" i="75" s="1"/>
  <c r="N258" i="75" s="1"/>
  <c r="O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M257" i="75" s="1"/>
  <c r="N257" i="75" s="1"/>
  <c r="O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M256" i="75" s="1"/>
  <c r="N256" i="75" s="1"/>
  <c r="O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Q255" i="75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I255" i="75"/>
  <c r="J255" i="75" s="1"/>
  <c r="K255" i="75" s="1"/>
  <c r="L255" i="75" s="1"/>
  <c r="M255" i="75" s="1"/>
  <c r="N255" i="75" s="1"/>
  <c r="O255" i="75" s="1"/>
  <c r="P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M254" i="75" s="1"/>
  <c r="N254" i="75" s="1"/>
  <c r="O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M253" i="75" s="1"/>
  <c r="N253" i="75" s="1"/>
  <c r="O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M252" i="75" s="1"/>
  <c r="N252" i="75" s="1"/>
  <c r="O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M251" i="75" s="1"/>
  <c r="N251" i="75" s="1"/>
  <c r="O251" i="75" s="1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M250" i="75" s="1"/>
  <c r="N250" i="75" s="1"/>
  <c r="O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M249" i="75" s="1"/>
  <c r="N249" i="75" s="1"/>
  <c r="O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M248" i="75" s="1"/>
  <c r="N248" i="75" s="1"/>
  <c r="O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M247" i="75" s="1"/>
  <c r="N247" i="75" s="1"/>
  <c r="O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M246" i="75" s="1"/>
  <c r="N246" i="75" s="1"/>
  <c r="O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M245" i="75" s="1"/>
  <c r="N245" i="75" s="1"/>
  <c r="O245" i="75" s="1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M244" i="75" s="1"/>
  <c r="N244" i="75" s="1"/>
  <c r="O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O243" i="75"/>
  <c r="P243" i="75" s="1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M243" i="75" s="1"/>
  <c r="N243" i="75" s="1"/>
  <c r="S242" i="75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P242" i="75"/>
  <c r="Q242" i="75" s="1"/>
  <c r="R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M242" i="75" s="1"/>
  <c r="N242" i="75" s="1"/>
  <c r="O242" i="75" s="1"/>
  <c r="E241" i="75"/>
  <c r="F241" i="75" s="1"/>
  <c r="G241" i="75" s="1"/>
  <c r="H241" i="75" s="1"/>
  <c r="I241" i="75" s="1"/>
  <c r="J241" i="75" s="1"/>
  <c r="K241" i="75" s="1"/>
  <c r="L241" i="75" s="1"/>
  <c r="M241" i="75" s="1"/>
  <c r="N241" i="75" s="1"/>
  <c r="O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AB240" i="75"/>
  <c r="AC240" i="75" s="1"/>
  <c r="AD240" i="75" s="1"/>
  <c r="AE240" i="75" s="1"/>
  <c r="AF240" i="75" s="1"/>
  <c r="L240" i="75"/>
  <c r="M240" i="75" s="1"/>
  <c r="N240" i="75" s="1"/>
  <c r="O240" i="75" s="1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M239" i="75" s="1"/>
  <c r="N239" i="75" s="1"/>
  <c r="O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X238" i="75"/>
  <c r="Y238" i="75" s="1"/>
  <c r="Z238" i="75" s="1"/>
  <c r="AA238" i="75" s="1"/>
  <c r="AB238" i="75" s="1"/>
  <c r="AC238" i="75" s="1"/>
  <c r="AD238" i="75" s="1"/>
  <c r="AE238" i="75" s="1"/>
  <c r="AF238" i="75" s="1"/>
  <c r="H238" i="75"/>
  <c r="I238" i="75" s="1"/>
  <c r="J238" i="75" s="1"/>
  <c r="K238" i="75" s="1"/>
  <c r="L238" i="75" s="1"/>
  <c r="M238" i="75" s="1"/>
  <c r="N238" i="75" s="1"/>
  <c r="O238" i="75" s="1"/>
  <c r="P238" i="75" s="1"/>
  <c r="Q238" i="75" s="1"/>
  <c r="R238" i="75" s="1"/>
  <c r="S238" i="75" s="1"/>
  <c r="T238" i="75" s="1"/>
  <c r="U238" i="75" s="1"/>
  <c r="V238" i="75" s="1"/>
  <c r="W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M237" i="75" s="1"/>
  <c r="N237" i="75" s="1"/>
  <c r="O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Q236" i="75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E236" i="75"/>
  <c r="F236" i="75" s="1"/>
  <c r="G236" i="75" s="1"/>
  <c r="H236" i="75" s="1"/>
  <c r="I236" i="75" s="1"/>
  <c r="J236" i="75" s="1"/>
  <c r="K236" i="75" s="1"/>
  <c r="L236" i="75" s="1"/>
  <c r="M236" i="75" s="1"/>
  <c r="N236" i="75" s="1"/>
  <c r="O236" i="75" s="1"/>
  <c r="P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M235" i="75" s="1"/>
  <c r="N235" i="75" s="1"/>
  <c r="O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M234" i="75"/>
  <c r="N234" i="75" s="1"/>
  <c r="O234" i="75" s="1"/>
  <c r="P234" i="75" s="1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M233" i="75" s="1"/>
  <c r="N233" i="75" s="1"/>
  <c r="O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M232" i="75" s="1"/>
  <c r="N232" i="75" s="1"/>
  <c r="O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M231" i="75" s="1"/>
  <c r="N231" i="75" s="1"/>
  <c r="O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M230" i="75" s="1"/>
  <c r="N230" i="75" s="1"/>
  <c r="O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M229" i="75" s="1"/>
  <c r="N229" i="75" s="1"/>
  <c r="O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M228" i="75" s="1"/>
  <c r="N228" i="75" s="1"/>
  <c r="O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M227" i="75" s="1"/>
  <c r="N227" i="75" s="1"/>
  <c r="O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AC226" i="75"/>
  <c r="AD226" i="75" s="1"/>
  <c r="AE226" i="75" s="1"/>
  <c r="AF226" i="75" s="1"/>
  <c r="E226" i="75"/>
  <c r="F226" i="75" s="1"/>
  <c r="G226" i="75" s="1"/>
  <c r="H226" i="75" s="1"/>
  <c r="I226" i="75" s="1"/>
  <c r="J226" i="75" s="1"/>
  <c r="K226" i="75" s="1"/>
  <c r="L226" i="75" s="1"/>
  <c r="M226" i="75" s="1"/>
  <c r="N226" i="75" s="1"/>
  <c r="O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C226" i="75"/>
  <c r="D226" i="75" s="1"/>
  <c r="I225" i="75"/>
  <c r="J225" i="75" s="1"/>
  <c r="K225" i="75" s="1"/>
  <c r="L225" i="75" s="1"/>
  <c r="M225" i="75" s="1"/>
  <c r="N225" i="75" s="1"/>
  <c r="O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M224" i="75" s="1"/>
  <c r="N224" i="75" s="1"/>
  <c r="O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M223" i="75" s="1"/>
  <c r="N223" i="75" s="1"/>
  <c r="O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Z222" i="75"/>
  <c r="AA222" i="75" s="1"/>
  <c r="AB222" i="75" s="1"/>
  <c r="AC222" i="75" s="1"/>
  <c r="AD222" i="75" s="1"/>
  <c r="AE222" i="75" s="1"/>
  <c r="AF222" i="75" s="1"/>
  <c r="E222" i="75"/>
  <c r="F222" i="75" s="1"/>
  <c r="G222" i="75" s="1"/>
  <c r="H222" i="75" s="1"/>
  <c r="I222" i="75" s="1"/>
  <c r="J222" i="75" s="1"/>
  <c r="K222" i="75" s="1"/>
  <c r="L222" i="75" s="1"/>
  <c r="M222" i="75" s="1"/>
  <c r="N222" i="75" s="1"/>
  <c r="O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M221" i="75" s="1"/>
  <c r="N221" i="75" s="1"/>
  <c r="O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M220" i="75" s="1"/>
  <c r="N220" i="75" s="1"/>
  <c r="O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M219" i="75" s="1"/>
  <c r="N219" i="75" s="1"/>
  <c r="O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T218" i="75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S218" i="75"/>
  <c r="G218" i="75"/>
  <c r="H218" i="75" s="1"/>
  <c r="I218" i="75" s="1"/>
  <c r="J218" i="75" s="1"/>
  <c r="K218" i="75" s="1"/>
  <c r="L218" i="75" s="1"/>
  <c r="M218" i="75" s="1"/>
  <c r="N218" i="75" s="1"/>
  <c r="O218" i="75" s="1"/>
  <c r="P218" i="75" s="1"/>
  <c r="Q218" i="75" s="1"/>
  <c r="R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M217" i="75" s="1"/>
  <c r="N217" i="75" s="1"/>
  <c r="O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P216" i="75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M216" i="75" s="1"/>
  <c r="N216" i="75" s="1"/>
  <c r="O216" i="75" s="1"/>
  <c r="N215" i="75"/>
  <c r="O215" i="75" s="1"/>
  <c r="P215" i="75" s="1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M215" i="75" s="1"/>
  <c r="C215" i="75"/>
  <c r="Z214" i="75"/>
  <c r="AA214" i="75" s="1"/>
  <c r="AB214" i="75" s="1"/>
  <c r="AC214" i="75" s="1"/>
  <c r="AD214" i="75" s="1"/>
  <c r="AE214" i="75" s="1"/>
  <c r="AF214" i="75" s="1"/>
  <c r="O214" i="75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D214" i="75"/>
  <c r="E214" i="75" s="1"/>
  <c r="F214" i="75" s="1"/>
  <c r="G214" i="75" s="1"/>
  <c r="H214" i="75" s="1"/>
  <c r="I214" i="75" s="1"/>
  <c r="J214" i="75" s="1"/>
  <c r="K214" i="75" s="1"/>
  <c r="L214" i="75" s="1"/>
  <c r="M214" i="75" s="1"/>
  <c r="N214" i="75" s="1"/>
  <c r="C214" i="75"/>
  <c r="H213" i="75"/>
  <c r="I213" i="75" s="1"/>
  <c r="J213" i="75" s="1"/>
  <c r="K213" i="75" s="1"/>
  <c r="L213" i="75" s="1"/>
  <c r="M213" i="75" s="1"/>
  <c r="N213" i="75" s="1"/>
  <c r="O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M212" i="75" s="1"/>
  <c r="N212" i="75" s="1"/>
  <c r="O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AD211" i="75"/>
  <c r="AE211" i="75" s="1"/>
  <c r="AF211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M211" i="75" s="1"/>
  <c r="N211" i="75" s="1"/>
  <c r="O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C211" i="75"/>
  <c r="L210" i="75"/>
  <c r="M210" i="75" s="1"/>
  <c r="N210" i="75" s="1"/>
  <c r="O210" i="75" s="1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Q209" i="75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P209" i="75"/>
  <c r="E209" i="75"/>
  <c r="F209" i="75" s="1"/>
  <c r="G209" i="75" s="1"/>
  <c r="H209" i="75" s="1"/>
  <c r="I209" i="75" s="1"/>
  <c r="J209" i="75" s="1"/>
  <c r="K209" i="75" s="1"/>
  <c r="L209" i="75" s="1"/>
  <c r="M209" i="75" s="1"/>
  <c r="N209" i="75" s="1"/>
  <c r="O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M208" i="75" s="1"/>
  <c r="N208" i="75" s="1"/>
  <c r="O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M207" i="75" s="1"/>
  <c r="N207" i="75" s="1"/>
  <c r="O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M206" i="75" s="1"/>
  <c r="N206" i="75" s="1"/>
  <c r="O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M205" i="75" s="1"/>
  <c r="N205" i="75" s="1"/>
  <c r="O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M204" i="75" s="1"/>
  <c r="N204" i="75" s="1"/>
  <c r="O204" i="75" s="1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M203" i="75" s="1"/>
  <c r="N203" i="75" s="1"/>
  <c r="O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M202" i="75"/>
  <c r="N202" i="75" s="1"/>
  <c r="O202" i="75" s="1"/>
  <c r="P202" i="75" s="1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M201" i="75" s="1"/>
  <c r="N201" i="75" s="1"/>
  <c r="O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M200" i="75" s="1"/>
  <c r="N200" i="75" s="1"/>
  <c r="O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M199" i="75" s="1"/>
  <c r="N199" i="75" s="1"/>
  <c r="O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M198" i="75" s="1"/>
  <c r="N198" i="75" s="1"/>
  <c r="O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M197" i="75" s="1"/>
  <c r="N197" i="75" s="1"/>
  <c r="O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M196" i="75" s="1"/>
  <c r="N196" i="75" s="1"/>
  <c r="O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N195" i="75"/>
  <c r="O195" i="75" s="1"/>
  <c r="P195" i="75" s="1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M195" i="75" s="1"/>
  <c r="G194" i="75"/>
  <c r="H194" i="75" s="1"/>
  <c r="I194" i="75" s="1"/>
  <c r="J194" i="75" s="1"/>
  <c r="K194" i="75" s="1"/>
  <c r="L194" i="75" s="1"/>
  <c r="M194" i="75" s="1"/>
  <c r="N194" i="75" s="1"/>
  <c r="O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M193" i="75"/>
  <c r="N193" i="75" s="1"/>
  <c r="O193" i="75" s="1"/>
  <c r="P193" i="75" s="1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M192" i="75" s="1"/>
  <c r="N192" i="75" s="1"/>
  <c r="O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M191" i="75" s="1"/>
  <c r="N191" i="75" s="1"/>
  <c r="O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M190" i="75" s="1"/>
  <c r="N190" i="75" s="1"/>
  <c r="O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M189" i="75" s="1"/>
  <c r="N189" i="75" s="1"/>
  <c r="O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M188" i="75" s="1"/>
  <c r="N188" i="75" s="1"/>
  <c r="O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M187" i="75" s="1"/>
  <c r="N187" i="75" s="1"/>
  <c r="O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M186" i="75" s="1"/>
  <c r="N186" i="75" s="1"/>
  <c r="O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M185" i="75" s="1"/>
  <c r="N185" i="75" s="1"/>
  <c r="O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M184" i="75" s="1"/>
  <c r="N184" i="75" s="1"/>
  <c r="O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M182" i="75" s="1"/>
  <c r="N182" i="75" s="1"/>
  <c r="O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M181" i="75" s="1"/>
  <c r="N181" i="75" s="1"/>
  <c r="O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M180" i="75" s="1"/>
  <c r="N180" i="75" s="1"/>
  <c r="O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AD179" i="75"/>
  <c r="AE179" i="75" s="1"/>
  <c r="AF179" i="75" s="1"/>
  <c r="E179" i="75"/>
  <c r="F179" i="75" s="1"/>
  <c r="G179" i="75" s="1"/>
  <c r="H179" i="75" s="1"/>
  <c r="I179" i="75" s="1"/>
  <c r="J179" i="75" s="1"/>
  <c r="K179" i="75" s="1"/>
  <c r="L179" i="75" s="1"/>
  <c r="M179" i="75" s="1"/>
  <c r="N179" i="75" s="1"/>
  <c r="O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M178" i="75" s="1"/>
  <c r="N178" i="75" s="1"/>
  <c r="O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M176" i="75" s="1"/>
  <c r="N176" i="75" s="1"/>
  <c r="O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M175" i="75" s="1"/>
  <c r="N175" i="75" s="1"/>
  <c r="O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R174" i="75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D174" i="75"/>
  <c r="E174" i="75" s="1"/>
  <c r="F174" i="75" s="1"/>
  <c r="G174" i="75" s="1"/>
  <c r="H174" i="75" s="1"/>
  <c r="I174" i="75" s="1"/>
  <c r="J174" i="75" s="1"/>
  <c r="K174" i="75" s="1"/>
  <c r="L174" i="75" s="1"/>
  <c r="M174" i="75" s="1"/>
  <c r="N174" i="75" s="1"/>
  <c r="O174" i="75" s="1"/>
  <c r="P174" i="75" s="1"/>
  <c r="Q174" i="75" s="1"/>
  <c r="C174" i="75"/>
  <c r="Y173" i="75"/>
  <c r="Z173" i="75" s="1"/>
  <c r="AA173" i="75" s="1"/>
  <c r="AB173" i="75" s="1"/>
  <c r="AC173" i="75" s="1"/>
  <c r="AD173" i="75" s="1"/>
  <c r="AE173" i="75" s="1"/>
  <c r="AF173" i="75" s="1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M173" i="75" s="1"/>
  <c r="N173" i="75" s="1"/>
  <c r="O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O172" i="75"/>
  <c r="P172" i="75" s="1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M172" i="75" s="1"/>
  <c r="N172" i="75" s="1"/>
  <c r="C172" i="75"/>
  <c r="D172" i="75" s="1"/>
  <c r="E172" i="75" s="1"/>
  <c r="AB171" i="75"/>
  <c r="AC171" i="75" s="1"/>
  <c r="AD171" i="75" s="1"/>
  <c r="AE171" i="75" s="1"/>
  <c r="AF171" i="75" s="1"/>
  <c r="E171" i="75"/>
  <c r="F171" i="75" s="1"/>
  <c r="G171" i="75" s="1"/>
  <c r="H171" i="75" s="1"/>
  <c r="I171" i="75" s="1"/>
  <c r="J171" i="75" s="1"/>
  <c r="K171" i="75" s="1"/>
  <c r="L171" i="75" s="1"/>
  <c r="M171" i="75" s="1"/>
  <c r="N171" i="75" s="1"/>
  <c r="O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M170" i="75" s="1"/>
  <c r="N170" i="75" s="1"/>
  <c r="O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W166" i="75"/>
  <c r="X166" i="75" s="1"/>
  <c r="Y166" i="75" s="1"/>
  <c r="Z166" i="75" s="1"/>
  <c r="AA166" i="75" s="1"/>
  <c r="AB166" i="75" s="1"/>
  <c r="AC166" i="75" s="1"/>
  <c r="AD166" i="75" s="1"/>
  <c r="AE166" i="75" s="1"/>
  <c r="AF166" i="75" s="1"/>
  <c r="E166" i="75"/>
  <c r="F166" i="75" s="1"/>
  <c r="G166" i="75" s="1"/>
  <c r="H166" i="75" s="1"/>
  <c r="I166" i="75" s="1"/>
  <c r="J166" i="75" s="1"/>
  <c r="K166" i="75" s="1"/>
  <c r="L166" i="75" s="1"/>
  <c r="M166" i="75" s="1"/>
  <c r="N166" i="75" s="1"/>
  <c r="O166" i="75" s="1"/>
  <c r="P166" i="75" s="1"/>
  <c r="Q166" i="75" s="1"/>
  <c r="R166" i="75" s="1"/>
  <c r="S166" i="75" s="1"/>
  <c r="T166" i="75" s="1"/>
  <c r="U166" i="75" s="1"/>
  <c r="V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M165" i="75" s="1"/>
  <c r="N165" i="75" s="1"/>
  <c r="O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M164" i="75" s="1"/>
  <c r="N164" i="75" s="1"/>
  <c r="O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M163" i="75" s="1"/>
  <c r="N163" i="75" s="1"/>
  <c r="O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M162" i="75" s="1"/>
  <c r="N162" i="75" s="1"/>
  <c r="O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K124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O122" i="75"/>
  <c r="N122" i="75"/>
  <c r="M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O121" i="75"/>
  <c r="N121" i="75"/>
  <c r="M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O120" i="75"/>
  <c r="N120" i="75"/>
  <c r="M120" i="75"/>
  <c r="L120" i="75"/>
  <c r="K120" i="75"/>
  <c r="J120" i="75"/>
  <c r="J123" i="75" s="1"/>
  <c r="I120" i="75"/>
  <c r="H120" i="75"/>
  <c r="G120" i="75"/>
  <c r="F120" i="75"/>
  <c r="E120" i="75"/>
  <c r="AI120" i="75" s="1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O119" i="75"/>
  <c r="N119" i="75"/>
  <c r="M119" i="75"/>
  <c r="L119" i="75"/>
  <c r="K119" i="75"/>
  <c r="J119" i="75"/>
  <c r="I119" i="75"/>
  <c r="H119" i="75"/>
  <c r="G119" i="75"/>
  <c r="F119" i="75"/>
  <c r="E119" i="75"/>
  <c r="D119" i="75"/>
  <c r="C119" i="75"/>
  <c r="AI118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O118" i="75"/>
  <c r="N118" i="75"/>
  <c r="M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O117" i="75"/>
  <c r="N117" i="75"/>
  <c r="M117" i="75"/>
  <c r="M123" i="75" s="1"/>
  <c r="AU23" i="75" s="1"/>
  <c r="L117" i="75"/>
  <c r="K117" i="75"/>
  <c r="K123" i="75" s="1"/>
  <c r="J117" i="75"/>
  <c r="I117" i="75"/>
  <c r="I123" i="75" s="1"/>
  <c r="AS23" i="75" s="1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O108" i="75"/>
  <c r="N108" i="75"/>
  <c r="M108" i="75"/>
  <c r="M124" i="75" s="1"/>
  <c r="L108" i="75"/>
  <c r="K108" i="75"/>
  <c r="J108" i="75"/>
  <c r="J124" i="75" s="1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O96" i="75"/>
  <c r="N96" i="75"/>
  <c r="M96" i="75"/>
  <c r="L96" i="75"/>
  <c r="K96" i="75"/>
  <c r="J96" i="75"/>
  <c r="I96" i="75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N92" i="75"/>
  <c r="M92" i="75"/>
  <c r="L92" i="75"/>
  <c r="K92" i="75"/>
  <c r="AT18" i="75" s="1"/>
  <c r="J92" i="75"/>
  <c r="I92" i="75"/>
  <c r="H92" i="75"/>
  <c r="G92" i="75"/>
  <c r="F92" i="75"/>
  <c r="E92" i="75"/>
  <c r="AP18" i="75" s="1"/>
  <c r="D92" i="75"/>
  <c r="AH92" i="75" s="1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BG90" i="75"/>
  <c r="AI90" i="75"/>
  <c r="AH90" i="75"/>
  <c r="BT89" i="75"/>
  <c r="BQ89" i="75"/>
  <c r="BM89" i="75"/>
  <c r="BJ89" i="75"/>
  <c r="BI89" i="75"/>
  <c r="BE89" i="75"/>
  <c r="AI89" i="75"/>
  <c r="AH89" i="75"/>
  <c r="BT88" i="75"/>
  <c r="BS88" i="75"/>
  <c r="BO88" i="75"/>
  <c r="BL88" i="75"/>
  <c r="BK88" i="75"/>
  <c r="BG88" i="75"/>
  <c r="AI88" i="75"/>
  <c r="AH88" i="75"/>
  <c r="BV87" i="75"/>
  <c r="BU87" i="75"/>
  <c r="BQ87" i="75"/>
  <c r="BN87" i="75"/>
  <c r="BM87" i="75"/>
  <c r="BI87" i="75"/>
  <c r="BF87" i="75"/>
  <c r="BE87" i="75"/>
  <c r="BA87" i="75"/>
  <c r="AI87" i="75"/>
  <c r="AH87" i="75"/>
  <c r="BS86" i="75"/>
  <c r="BP86" i="75"/>
  <c r="BO86" i="75"/>
  <c r="BK86" i="75"/>
  <c r="BH86" i="75"/>
  <c r="BG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H82" i="75"/>
  <c r="BH89" i="75" s="1"/>
  <c r="BG82" i="75"/>
  <c r="BG89" i="75" s="1"/>
  <c r="BF82" i="75"/>
  <c r="BF89" i="75" s="1"/>
  <c r="BE82" i="75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H80" i="75"/>
  <c r="BH87" i="75" s="1"/>
  <c r="BG80" i="75"/>
  <c r="BG87" i="75" s="1"/>
  <c r="BF80" i="75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O78" i="75"/>
  <c r="N78" i="75"/>
  <c r="M78" i="75"/>
  <c r="L78" i="75"/>
  <c r="K78" i="75"/>
  <c r="J78" i="75"/>
  <c r="I78" i="75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O71" i="75"/>
  <c r="O113" i="75" s="1"/>
  <c r="O115" i="75" s="1"/>
  <c r="N71" i="75"/>
  <c r="N113" i="75" s="1"/>
  <c r="N115" i="75" s="1"/>
  <c r="M71" i="75"/>
  <c r="M113" i="75" s="1"/>
  <c r="M115" i="75" s="1"/>
  <c r="M116" i="75" s="1"/>
  <c r="M7" i="75" s="1"/>
  <c r="L71" i="75"/>
  <c r="L113" i="75" s="1"/>
  <c r="L115" i="75" s="1"/>
  <c r="K71" i="75"/>
  <c r="K113" i="75" s="1"/>
  <c r="K115" i="75" s="1"/>
  <c r="K116" i="75" s="1"/>
  <c r="K7" i="75" s="1"/>
  <c r="J71" i="75"/>
  <c r="I71" i="75"/>
  <c r="H71" i="75"/>
  <c r="H113" i="75" s="1"/>
  <c r="H115" i="75" s="1"/>
  <c r="H116" i="75" s="1"/>
  <c r="H7" i="75" s="1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T23" i="75"/>
  <c r="AI23" i="75"/>
  <c r="AH23" i="75"/>
  <c r="AS22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S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T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T17" i="75"/>
  <c r="AS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S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K5" i="75"/>
  <c r="J5" i="75"/>
  <c r="I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Q19" i="75" l="1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AT22" i="75" s="1"/>
  <c r="AT25" i="75" s="1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O123" i="75"/>
  <c r="AW23" i="75" s="1"/>
  <c r="W123" i="75"/>
  <c r="W124" i="75" s="1"/>
  <c r="AE123" i="75"/>
  <c r="BI23" i="75" s="1"/>
  <c r="AS25" i="75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J116" i="75" s="1"/>
  <c r="J7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N123" i="75"/>
  <c r="AV23" i="75" s="1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M183" i="75" s="1"/>
  <c r="N183" i="75" s="1"/>
  <c r="O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H123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F124" i="75" l="1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116" i="75"/>
  <c r="N7" i="75" s="1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116" i="75"/>
  <c r="O7" i="75" s="1"/>
  <c r="V124" i="75"/>
  <c r="V116" i="75"/>
  <c r="V7" i="75" s="1"/>
  <c r="AM22" i="75"/>
  <c r="N124" i="75"/>
  <c r="F177" i="75"/>
  <c r="E135" i="75"/>
  <c r="O124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M177" i="75" l="1"/>
  <c r="L135" i="75"/>
  <c r="K274" i="75"/>
  <c r="L169" i="75"/>
  <c r="L167" i="75"/>
  <c r="M161" i="75"/>
  <c r="M167" i="75" l="1"/>
  <c r="N161" i="75"/>
  <c r="L274" i="75"/>
  <c r="M169" i="75"/>
  <c r="N177" i="75"/>
  <c r="M135" i="75"/>
  <c r="N167" i="75" l="1"/>
  <c r="O161" i="75"/>
  <c r="O177" i="75"/>
  <c r="N135" i="75"/>
  <c r="M274" i="75"/>
  <c r="N169" i="75"/>
  <c r="N274" i="75" l="1"/>
  <c r="O169" i="75"/>
  <c r="P177" i="75"/>
  <c r="Q177" i="75" s="1"/>
  <c r="O135" i="75"/>
  <c r="P161" i="75"/>
  <c r="O167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O274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S135" i="75"/>
  <c r="R167" i="75"/>
  <c r="S161" i="75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<sst xmlns="http://schemas.openxmlformats.org/spreadsheetml/2006/main" count="1572" uniqueCount="416">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</sst>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5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2080/10/1</v>
      </c>
      <c r="C4" s="226"/>
      <c r="D4" s="226"/>
      <c r="E4" s="227" t="str">
        <f ca="1">"2080/"&amp;"10/"&amp;INT(MID(CELL("filename",G6),FIND("]",CELL("filename",G6))+1,200))</f>
        <v>2080/10/1</v>
      </c>
      <c r="F4" s="227"/>
      <c r="G4" s="227"/>
      <c r="H4" s="227" t="str">
        <f ca="1">TEXT(E4,"dddd")</f>
        <v>Tuesday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3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153" sqref="N15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2080/10/2</v>
      </c>
      <c r="C4" s="226"/>
      <c r="D4" s="226"/>
      <c r="E4" s="227" t="str">
        <f ca="1">"2080/"&amp;"10/"&amp;INT(MID(CELL("filename",G6),FIND("]",CELL("filename",G6))+1,200))</f>
        <v>2080/10/2</v>
      </c>
      <c r="F4" s="227"/>
      <c r="G4" s="227"/>
      <c r="H4" s="227" t="str">
        <f ca="1">TEXT(E4,"dddd")</f>
        <v>Wednesday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154" sqref="G15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2080/10/3</v>
      </c>
      <c r="C4" s="226"/>
      <c r="D4" s="226"/>
      <c r="E4" s="227" t="str">
        <f ca="1">"2080/"&amp;"10/"&amp;INT(MID(CELL("filename",G6),FIND("]",CELL("filename",G6))+1,200))</f>
        <v>2080/10/3</v>
      </c>
      <c r="F4" s="227"/>
      <c r="G4" s="227"/>
      <c r="H4" s="227" t="str">
        <f ca="1">TEXT(E4,"dddd")</f>
        <v>Thursday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172</v>
      </c>
      <c r="I7" s="35">
        <f t="shared" si="1"/>
        <v>172</v>
      </c>
      <c r="J7" s="35">
        <f t="shared" si="1"/>
        <v>172</v>
      </c>
      <c r="K7" s="35">
        <f t="shared" si="1"/>
        <v>172</v>
      </c>
      <c r="L7" s="35">
        <f t="shared" si="1"/>
        <v>172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1530.51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8" t="s">
        <v>19</v>
      </c>
      <c r="AI10" s="21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32.1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26.9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42.5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60.8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170</v>
      </c>
      <c r="AT16" s="57">
        <f>K71</f>
        <v>170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172</v>
      </c>
      <c r="AT22" s="60">
        <f t="shared" si="16"/>
        <v>172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172</v>
      </c>
      <c r="AT25" s="60">
        <f t="shared" si="19"/>
        <v>172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170</v>
      </c>
      <c r="I71" s="70">
        <f t="shared" si="22"/>
        <v>170</v>
      </c>
      <c r="J71" s="70">
        <f t="shared" si="22"/>
        <v>170</v>
      </c>
      <c r="K71" s="70">
        <f t="shared" si="22"/>
        <v>170</v>
      </c>
      <c r="L71" s="70">
        <f t="shared" si="22"/>
        <v>170</v>
      </c>
      <c r="M71" s="70">
        <f t="shared" si="22"/>
        <v>170</v>
      </c>
      <c r="N71" s="70">
        <f t="shared" si="22"/>
        <v>170</v>
      </c>
      <c r="O71" s="70">
        <f t="shared" si="22"/>
        <v>170</v>
      </c>
      <c r="P71" s="70">
        <f t="shared" si="22"/>
        <v>170</v>
      </c>
      <c r="Q71" s="70">
        <f t="shared" si="22"/>
        <v>170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244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62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48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13.2</v>
      </c>
      <c r="AI76" s="47">
        <f t="shared" si="24"/>
        <v>13.2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9.8000000000000007</v>
      </c>
      <c r="AI77" s="47">
        <f t="shared" si="24"/>
        <v>7.4</v>
      </c>
      <c r="AK77" s="49"/>
    </row>
    <row r="78" spans="1:88" ht="15.75" thickBot="1">
      <c r="A78" s="79" t="s">
        <v>97</v>
      </c>
      <c r="B78" s="70">
        <f t="shared" ref="B78:C78" si="25">SUM(B72:B77)</f>
        <v>525.5</v>
      </c>
      <c r="C78" s="70">
        <f t="shared" si="25"/>
        <v>454.5</v>
      </c>
      <c r="D78" s="70">
        <f t="shared" ref="D78:E78" si="26">SUM(D72:D77)</f>
        <v>565</v>
      </c>
      <c r="E78" s="70">
        <f t="shared" si="26"/>
        <v>406.49999999999994</v>
      </c>
      <c r="F78" s="70">
        <f t="shared" ref="D78:AG78" si="27">SUM(F72:F77)</f>
        <v>464.19999999999993</v>
      </c>
      <c r="G78" s="70">
        <f t="shared" si="27"/>
        <v>494.29999999999995</v>
      </c>
      <c r="H78" s="70">
        <f t="shared" si="27"/>
        <v>0</v>
      </c>
      <c r="I78" s="70">
        <f t="shared" si="27"/>
        <v>0</v>
      </c>
      <c r="J78" s="70">
        <f t="shared" si="27"/>
        <v>0</v>
      </c>
      <c r="K78" s="70">
        <f t="shared" si="27"/>
        <v>0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565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-507</v>
      </c>
      <c r="BA79" s="81">
        <f t="shared" ref="BA79:BD83" si="28">D97</f>
        <v>-515</v>
      </c>
      <c r="BB79" s="81">
        <f t="shared" si="28"/>
        <v>-532</v>
      </c>
      <c r="BC79" s="81">
        <f t="shared" si="28"/>
        <v>-496</v>
      </c>
      <c r="BD79" s="81">
        <f t="shared" si="28"/>
        <v>-478.6</v>
      </c>
      <c r="BE79" s="82">
        <f>I97</f>
        <v>0</v>
      </c>
      <c r="BF79" s="82">
        <f>K97</f>
        <v>0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65.3</v>
      </c>
      <c r="AI80" s="47">
        <f t="shared" si="24"/>
        <v>35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70.099999999999994</v>
      </c>
      <c r="AI81" s="47">
        <f t="shared" si="24"/>
        <v>50.1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28"/>
        <v>52.2</v>
      </c>
      <c r="BB81" s="81">
        <f t="shared" si="28"/>
        <v>60.5</v>
      </c>
      <c r="BC81" s="81">
        <f t="shared" si="28"/>
        <v>59.2</v>
      </c>
      <c r="BD81" s="81">
        <f t="shared" si="28"/>
        <v>58.2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60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16.100000000000001</v>
      </c>
      <c r="BC82" s="81">
        <f t="shared" si="28"/>
        <v>15.4</v>
      </c>
      <c r="BD82" s="81">
        <f t="shared" si="28"/>
        <v>15.3</v>
      </c>
      <c r="BE82" s="82">
        <f>I100</f>
        <v>0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14.3</v>
      </c>
      <c r="AI83" s="47">
        <f t="shared" si="24"/>
        <v>10.1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10.3</v>
      </c>
      <c r="AI85" s="47">
        <f t="shared" si="24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-507</v>
      </c>
      <c r="BA86" s="82">
        <f t="shared" si="32"/>
        <v>-515</v>
      </c>
      <c r="BB86" s="82">
        <f t="shared" si="32"/>
        <v>-532</v>
      </c>
      <c r="BC86" s="82">
        <f t="shared" si="32"/>
        <v>-496</v>
      </c>
      <c r="BD86" s="82">
        <f t="shared" si="32"/>
        <v>-478.6</v>
      </c>
      <c r="BE86" s="82">
        <f t="shared" si="32"/>
        <v>0</v>
      </c>
      <c r="BF86" s="82">
        <f t="shared" si="32"/>
        <v>0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9.4</v>
      </c>
      <c r="AI87" s="47">
        <f t="shared" si="24"/>
        <v>5.1100000000000003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10.7</v>
      </c>
      <c r="AI88" s="47">
        <f t="shared" si="24"/>
        <v>10.199999999999999</v>
      </c>
      <c r="AK88" s="49"/>
      <c r="AZ88" s="82">
        <f t="shared" si="32"/>
        <v>61</v>
      </c>
      <c r="BA88" s="82">
        <f t="shared" si="32"/>
        <v>52.2</v>
      </c>
      <c r="BB88" s="82">
        <f t="shared" si="32"/>
        <v>60.5</v>
      </c>
      <c r="BC88" s="82">
        <f t="shared" si="32"/>
        <v>59.2</v>
      </c>
      <c r="BD88" s="82">
        <f t="shared" si="32"/>
        <v>58.2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8.6999999999999993</v>
      </c>
      <c r="AI89" s="47">
        <f t="shared" si="24"/>
        <v>7.7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16.100000000000001</v>
      </c>
      <c r="BC89" s="82">
        <f t="shared" si="32"/>
        <v>15.4</v>
      </c>
      <c r="BD89" s="82">
        <f t="shared" si="32"/>
        <v>15.3</v>
      </c>
      <c r="BE89" s="82">
        <f t="shared" si="32"/>
        <v>0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>
      <c r="A92" s="87" t="s">
        <v>117</v>
      </c>
      <c r="B92" s="70">
        <f t="shared" ref="B92" si="33">SUM(B79:B91)</f>
        <v>315.31</v>
      </c>
      <c r="C92" s="70">
        <f t="shared" ref="B92:AG92" si="34">SUM(C79:C91)</f>
        <v>313.60000000000002</v>
      </c>
      <c r="D92" s="70">
        <f t="shared" si="34"/>
        <v>314.89999999999998</v>
      </c>
      <c r="E92" s="70">
        <f t="shared" si="34"/>
        <v>314.30000000000007</v>
      </c>
      <c r="F92" s="70">
        <f t="shared" si="34"/>
        <v>314.30000000000007</v>
      </c>
      <c r="G92" s="70">
        <f t="shared" si="34"/>
        <v>324.60000000000008</v>
      </c>
      <c r="H92" s="70">
        <f t="shared" si="34"/>
        <v>2</v>
      </c>
      <c r="I92" s="70">
        <f t="shared" si="34"/>
        <v>2</v>
      </c>
      <c r="J92" s="70">
        <f t="shared" si="34"/>
        <v>2</v>
      </c>
      <c r="K92" s="70">
        <f t="shared" si="34"/>
        <v>2</v>
      </c>
      <c r="L92" s="70">
        <f t="shared" si="34"/>
        <v>2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324.60000000000008</v>
      </c>
      <c r="AI92" s="47">
        <f t="shared" si="24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30</v>
      </c>
      <c r="AI93" s="47">
        <f t="shared" si="24"/>
        <v>25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14</v>
      </c>
      <c r="AI94" s="47">
        <f t="shared" si="24"/>
        <v>14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7</v>
      </c>
      <c r="AI95" s="47">
        <f t="shared" si="24"/>
        <v>4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5">B93+B94+B95</f>
        <v>51</v>
      </c>
      <c r="C96" s="70">
        <f t="shared" ref="B96:AF96" si="36">C93+C94+C95</f>
        <v>43</v>
      </c>
      <c r="D96" s="70">
        <f t="shared" si="36"/>
        <v>43</v>
      </c>
      <c r="E96" s="70">
        <f t="shared" si="36"/>
        <v>43</v>
      </c>
      <c r="F96" s="70">
        <f t="shared" si="36"/>
        <v>43</v>
      </c>
      <c r="G96" s="70">
        <f t="shared" si="36"/>
        <v>43</v>
      </c>
      <c r="H96" s="70">
        <f t="shared" si="36"/>
        <v>0</v>
      </c>
      <c r="I96" s="70">
        <f t="shared" si="36"/>
        <v>0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51</v>
      </c>
      <c r="AI96" s="47">
        <f t="shared" si="24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-478.6</v>
      </c>
      <c r="AI97" s="47">
        <f t="shared" si="24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65.099999999999994</v>
      </c>
      <c r="AI99" s="47">
        <f t="shared" si="24"/>
        <v>52.2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16.100000000000001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35.799999999999997</v>
      </c>
      <c r="AI102" s="47">
        <f t="shared" si="24"/>
        <v>21.6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37">SUMIF(B97:B107,"&gt;0")</f>
        <v>99</v>
      </c>
      <c r="C108" s="70">
        <f t="shared" ref="B108:AF108" si="38">SUMIF(C97:C107,"&gt;0")</f>
        <v>96.8</v>
      </c>
      <c r="D108" s="70">
        <f t="shared" si="38"/>
        <v>83.7</v>
      </c>
      <c r="E108" s="70">
        <f t="shared" si="38"/>
        <v>105.69999999999999</v>
      </c>
      <c r="F108" s="70">
        <f t="shared" si="38"/>
        <v>100.10000000000001</v>
      </c>
      <c r="G108" s="70">
        <f t="shared" si="38"/>
        <v>95.1</v>
      </c>
      <c r="H108" s="70">
        <f t="shared" si="38"/>
        <v>0</v>
      </c>
      <c r="I108" s="70">
        <f t="shared" si="38"/>
        <v>0</v>
      </c>
      <c r="J108" s="70">
        <f t="shared" si="38"/>
        <v>0</v>
      </c>
      <c r="K108" s="70">
        <f t="shared" si="38"/>
        <v>0</v>
      </c>
      <c r="L108" s="70">
        <f t="shared" si="38"/>
        <v>0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105.69999999999999</v>
      </c>
      <c r="AI108" s="47">
        <f t="shared" si="24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39">B71+B78+B96+B92+B108+B112</f>
        <v>2015.5100000000002</v>
      </c>
      <c r="C113" s="108">
        <f t="shared" ref="B113:AG113" si="40">C71+C78+C96+C92+C108+C112</f>
        <v>1932.6000000000001</v>
      </c>
      <c r="D113" s="108">
        <f t="shared" si="40"/>
        <v>2031.3000000000004</v>
      </c>
      <c r="E113" s="108">
        <f t="shared" si="40"/>
        <v>1894.2000000000005</v>
      </c>
      <c r="F113" s="108">
        <f t="shared" si="40"/>
        <v>1946.3000000000002</v>
      </c>
      <c r="G113" s="108">
        <f t="shared" si="40"/>
        <v>1964.4000000000003</v>
      </c>
      <c r="H113" s="108">
        <f t="shared" si="40"/>
        <v>172</v>
      </c>
      <c r="I113" s="108">
        <f t="shared" si="40"/>
        <v>172</v>
      </c>
      <c r="J113" s="108">
        <f t="shared" si="40"/>
        <v>172</v>
      </c>
      <c r="K113" s="108">
        <f t="shared" si="40"/>
        <v>172</v>
      </c>
      <c r="L113" s="108">
        <f t="shared" si="40"/>
        <v>172</v>
      </c>
      <c r="M113" s="108">
        <f t="shared" si="40"/>
        <v>172</v>
      </c>
      <c r="N113" s="108">
        <f t="shared" si="40"/>
        <v>172</v>
      </c>
      <c r="O113" s="108">
        <f t="shared" si="40"/>
        <v>172</v>
      </c>
      <c r="P113" s="108">
        <f t="shared" si="40"/>
        <v>172</v>
      </c>
      <c r="Q113" s="108">
        <f t="shared" si="40"/>
        <v>172</v>
      </c>
      <c r="R113" s="108">
        <f t="shared" si="40"/>
        <v>172</v>
      </c>
      <c r="S113" s="108">
        <f t="shared" si="40"/>
        <v>172</v>
      </c>
      <c r="T113" s="108">
        <f t="shared" si="40"/>
        <v>172</v>
      </c>
      <c r="U113" s="108">
        <f t="shared" si="40"/>
        <v>172</v>
      </c>
      <c r="V113" s="108">
        <f t="shared" si="40"/>
        <v>172</v>
      </c>
      <c r="W113" s="108">
        <f t="shared" si="40"/>
        <v>172</v>
      </c>
      <c r="X113" s="108">
        <f t="shared" si="40"/>
        <v>172</v>
      </c>
      <c r="Y113" s="108">
        <f t="shared" si="40"/>
        <v>172</v>
      </c>
      <c r="Z113" s="108">
        <f t="shared" si="40"/>
        <v>172</v>
      </c>
      <c r="AA113" s="108">
        <f t="shared" si="40"/>
        <v>172</v>
      </c>
      <c r="AB113" s="108">
        <f t="shared" si="40"/>
        <v>172</v>
      </c>
      <c r="AC113" s="108">
        <f t="shared" si="40"/>
        <v>172</v>
      </c>
      <c r="AD113" s="108">
        <f t="shared" si="40"/>
        <v>172</v>
      </c>
      <c r="AE113" s="108">
        <f t="shared" si="40"/>
        <v>172</v>
      </c>
      <c r="AF113" s="108">
        <f t="shared" si="40"/>
        <v>172</v>
      </c>
      <c r="AG113" s="80">
        <f t="shared" si="40"/>
        <v>3169.915</v>
      </c>
      <c r="AH113" s="46">
        <f t="shared" si="23"/>
        <v>2031.3000000000004</v>
      </c>
      <c r="AI113" s="47">
        <f t="shared" si="24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41">B113+B114</f>
        <v>2015.5100000000002</v>
      </c>
      <c r="C115" s="108">
        <f t="shared" ref="C115:AF115" si="42">C113+C114</f>
        <v>1932.6000000000001</v>
      </c>
      <c r="D115" s="108">
        <f t="shared" si="42"/>
        <v>2031.3000000000004</v>
      </c>
      <c r="E115" s="108">
        <f t="shared" si="42"/>
        <v>1894.2000000000005</v>
      </c>
      <c r="F115" s="108">
        <f t="shared" si="42"/>
        <v>1946.3000000000002</v>
      </c>
      <c r="G115" s="108">
        <f t="shared" si="42"/>
        <v>1964.4000000000003</v>
      </c>
      <c r="H115" s="108">
        <f t="shared" si="42"/>
        <v>172</v>
      </c>
      <c r="I115" s="108">
        <f t="shared" si="42"/>
        <v>172</v>
      </c>
      <c r="J115" s="108">
        <f t="shared" si="42"/>
        <v>172</v>
      </c>
      <c r="K115" s="108">
        <f t="shared" si="42"/>
        <v>172</v>
      </c>
      <c r="L115" s="108">
        <f t="shared" si="42"/>
        <v>172</v>
      </c>
      <c r="M115" s="108">
        <f t="shared" si="42"/>
        <v>172</v>
      </c>
      <c r="N115" s="108">
        <f t="shared" si="42"/>
        <v>172</v>
      </c>
      <c r="O115" s="108">
        <f t="shared" si="42"/>
        <v>172</v>
      </c>
      <c r="P115" s="108">
        <f t="shared" si="42"/>
        <v>172</v>
      </c>
      <c r="Q115" s="108">
        <f t="shared" si="42"/>
        <v>172</v>
      </c>
      <c r="R115" s="108">
        <f t="shared" si="42"/>
        <v>172</v>
      </c>
      <c r="S115" s="108">
        <f t="shared" si="42"/>
        <v>172</v>
      </c>
      <c r="T115" s="108">
        <f t="shared" si="42"/>
        <v>172</v>
      </c>
      <c r="U115" s="108">
        <f t="shared" si="42"/>
        <v>172</v>
      </c>
      <c r="V115" s="108">
        <f t="shared" si="42"/>
        <v>172</v>
      </c>
      <c r="W115" s="108">
        <f t="shared" si="42"/>
        <v>172</v>
      </c>
      <c r="X115" s="108">
        <f t="shared" si="42"/>
        <v>172</v>
      </c>
      <c r="Y115" s="108">
        <f t="shared" si="42"/>
        <v>172</v>
      </c>
      <c r="Z115" s="108">
        <f t="shared" si="42"/>
        <v>172</v>
      </c>
      <c r="AA115" s="108">
        <f t="shared" si="42"/>
        <v>172</v>
      </c>
      <c r="AB115" s="108">
        <f t="shared" si="42"/>
        <v>172</v>
      </c>
      <c r="AC115" s="108">
        <f t="shared" si="42"/>
        <v>172</v>
      </c>
      <c r="AD115" s="108">
        <f t="shared" si="42"/>
        <v>172</v>
      </c>
      <c r="AE115" s="108">
        <f t="shared" si="42"/>
        <v>172</v>
      </c>
      <c r="AF115" s="108">
        <f t="shared" si="42"/>
        <v>172</v>
      </c>
      <c r="AG115" s="104">
        <f>AG112+AG108+AG96+AG92+AG71+AG114</f>
        <v>2463.5149999999999</v>
      </c>
      <c r="AH115" s="46">
        <f t="shared" si="23"/>
        <v>2031.3000000000004</v>
      </c>
      <c r="AI115" s="47">
        <f t="shared" si="24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43">B115-(B123)</f>
        <v>1530.5100000000002</v>
      </c>
      <c r="C116" s="108">
        <f t="shared" ref="C116:AF116" si="44">C115-(C123)</f>
        <v>1425.6000000000001</v>
      </c>
      <c r="D116" s="108">
        <f t="shared" si="44"/>
        <v>1516.3000000000004</v>
      </c>
      <c r="E116" s="108">
        <f t="shared" si="44"/>
        <v>1362.2000000000005</v>
      </c>
      <c r="F116" s="108">
        <f t="shared" si="44"/>
        <v>1450.3000000000002</v>
      </c>
      <c r="G116" s="108">
        <f t="shared" si="44"/>
        <v>1485.8000000000002</v>
      </c>
      <c r="H116" s="108">
        <f t="shared" si="44"/>
        <v>172</v>
      </c>
      <c r="I116" s="108">
        <f t="shared" si="44"/>
        <v>172</v>
      </c>
      <c r="J116" s="108">
        <f t="shared" si="44"/>
        <v>172</v>
      </c>
      <c r="K116" s="108">
        <f t="shared" si="44"/>
        <v>172</v>
      </c>
      <c r="L116" s="108">
        <f t="shared" si="44"/>
        <v>172</v>
      </c>
      <c r="M116" s="108">
        <f t="shared" si="44"/>
        <v>172</v>
      </c>
      <c r="N116" s="108">
        <f t="shared" si="44"/>
        <v>172</v>
      </c>
      <c r="O116" s="108">
        <f t="shared" si="44"/>
        <v>172</v>
      </c>
      <c r="P116" s="108">
        <f t="shared" si="44"/>
        <v>172</v>
      </c>
      <c r="Q116" s="108">
        <f t="shared" si="44"/>
        <v>172</v>
      </c>
      <c r="R116" s="108">
        <f t="shared" si="44"/>
        <v>172</v>
      </c>
      <c r="S116" s="108">
        <f t="shared" si="44"/>
        <v>172</v>
      </c>
      <c r="T116" s="108">
        <f t="shared" si="44"/>
        <v>172</v>
      </c>
      <c r="U116" s="108">
        <f t="shared" si="44"/>
        <v>172</v>
      </c>
      <c r="V116" s="108">
        <f t="shared" si="44"/>
        <v>172</v>
      </c>
      <c r="W116" s="108">
        <f t="shared" si="44"/>
        <v>172</v>
      </c>
      <c r="X116" s="108">
        <f t="shared" si="44"/>
        <v>172</v>
      </c>
      <c r="Y116" s="108">
        <f t="shared" si="44"/>
        <v>172</v>
      </c>
      <c r="Z116" s="108">
        <f t="shared" si="44"/>
        <v>172</v>
      </c>
      <c r="AA116" s="108">
        <f t="shared" si="44"/>
        <v>172</v>
      </c>
      <c r="AB116" s="108">
        <f t="shared" si="44"/>
        <v>172</v>
      </c>
      <c r="AC116" s="108">
        <f t="shared" si="44"/>
        <v>172</v>
      </c>
      <c r="AD116" s="108">
        <f t="shared" si="44"/>
        <v>172</v>
      </c>
      <c r="AE116" s="108">
        <f t="shared" si="44"/>
        <v>172</v>
      </c>
      <c r="AF116" s="108">
        <f t="shared" si="44"/>
        <v>172</v>
      </c>
      <c r="AG116" s="104"/>
      <c r="AH116" s="46">
        <f t="shared" si="23"/>
        <v>1530.5100000000002</v>
      </c>
      <c r="AI116" s="47">
        <f t="shared" si="24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45">IF(B97&lt;0,B97*-1,0)</f>
        <v>485</v>
      </c>
      <c r="C117" s="93">
        <f t="shared" ref="B117:AF122" si="46">IF(C97&lt;0,C97*-1,0)</f>
        <v>507</v>
      </c>
      <c r="D117" s="93">
        <f t="shared" si="46"/>
        <v>515</v>
      </c>
      <c r="E117" s="93">
        <f t="shared" si="46"/>
        <v>532</v>
      </c>
      <c r="F117" s="93">
        <f t="shared" si="46"/>
        <v>496</v>
      </c>
      <c r="G117" s="93">
        <f t="shared" si="46"/>
        <v>478.6</v>
      </c>
      <c r="H117" s="93">
        <f t="shared" si="46"/>
        <v>0</v>
      </c>
      <c r="I117" s="93">
        <f t="shared" si="46"/>
        <v>0</v>
      </c>
      <c r="J117" s="93">
        <f t="shared" si="46"/>
        <v>0</v>
      </c>
      <c r="K117" s="93">
        <f t="shared" si="46"/>
        <v>0</v>
      </c>
      <c r="L117" s="93">
        <f t="shared" si="46"/>
        <v>0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532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 t="shared" ref="B123" si="47">SUM(B117:B122)</f>
        <v>485</v>
      </c>
      <c r="C123" s="70">
        <f t="shared" ref="B123:AF123" si="48">SUM(C117:C122)</f>
        <v>507</v>
      </c>
      <c r="D123" s="70">
        <f t="shared" si="48"/>
        <v>515</v>
      </c>
      <c r="E123" s="70">
        <f t="shared" si="48"/>
        <v>532</v>
      </c>
      <c r="F123" s="70">
        <f t="shared" si="48"/>
        <v>496</v>
      </c>
      <c r="G123" s="70">
        <f t="shared" si="48"/>
        <v>478.6</v>
      </c>
      <c r="H123" s="70">
        <f t="shared" si="48"/>
        <v>0</v>
      </c>
      <c r="I123" s="70">
        <f t="shared" si="48"/>
        <v>0</v>
      </c>
      <c r="J123" s="70">
        <f t="shared" si="48"/>
        <v>0</v>
      </c>
      <c r="K123" s="70">
        <f t="shared" si="48"/>
        <v>0</v>
      </c>
      <c r="L123" s="70">
        <f t="shared" si="48"/>
        <v>0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532</v>
      </c>
      <c r="AI123" s="47">
        <f t="shared" si="24"/>
        <v>0</v>
      </c>
      <c r="AJ123" s="105">
        <f t="array" ref="AJ123">MIN(IF(B123:AF123&lt;&gt;0,B123:AF123))</f>
        <v>478.6</v>
      </c>
    </row>
    <row r="124" spans="1:64" ht="15.75" thickBot="1">
      <c r="A124" s="87" t="s">
        <v>146</v>
      </c>
      <c r="B124" s="70">
        <f t="shared" ref="B124" si="49">B108-B123</f>
        <v>-386</v>
      </c>
      <c r="C124" s="70">
        <f t="shared" ref="B124:AF124" si="50">C108-C123</f>
        <v>-410.2</v>
      </c>
      <c r="D124" s="70">
        <f t="shared" si="50"/>
        <v>-431.3</v>
      </c>
      <c r="E124" s="70">
        <f t="shared" si="50"/>
        <v>-426.3</v>
      </c>
      <c r="F124" s="70">
        <f t="shared" si="50"/>
        <v>-395.9</v>
      </c>
      <c r="G124" s="70">
        <f t="shared" si="50"/>
        <v>-383.5</v>
      </c>
      <c r="H124" s="70">
        <f t="shared" si="50"/>
        <v>0</v>
      </c>
      <c r="I124" s="70">
        <f t="shared" si="50"/>
        <v>0</v>
      </c>
      <c r="J124" s="70">
        <f t="shared" si="50"/>
        <v>0</v>
      </c>
      <c r="K124" s="70">
        <f t="shared" si="50"/>
        <v>0</v>
      </c>
      <c r="L124" s="70">
        <f t="shared" si="50"/>
        <v>0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50.067999999999998</v>
      </c>
      <c r="AI126" s="47">
        <f t="shared" si="24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134.80000000000001</v>
      </c>
      <c r="AI127" s="47">
        <f t="shared" si="24"/>
        <v>132.19999999999999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132.30000000000001</v>
      </c>
      <c r="AI128" s="47">
        <f t="shared" si="24"/>
        <v>130.6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135.9</v>
      </c>
      <c r="AI130" s="47">
        <f t="shared" si="24"/>
        <v>134.6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131.19999999999999</v>
      </c>
      <c r="AI131" s="47">
        <f t="shared" si="24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133</v>
      </c>
      <c r="AI132" s="47">
        <f t="shared" si="24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67.2</v>
      </c>
      <c r="AI133" s="47">
        <f t="shared" si="24"/>
        <v>67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52">SUM(C26,C32,C45:C46,C82,C84:C85,C87,C89,C137:C142,C177,C183,C189,C198,C200,C212,C219,C222:C223,C230,C232,C234,C238:C240,C242:C244,C249,C255:C256,C258:C260,C161,C166)</f>
        <v>141.33999999999997</v>
      </c>
      <c r="D135" s="114">
        <f t="shared" si="52"/>
        <v>145.43999999999997</v>
      </c>
      <c r="E135" s="114">
        <f t="shared" si="52"/>
        <v>144.94</v>
      </c>
      <c r="F135" s="114">
        <f t="shared" si="52"/>
        <v>140.83999999999997</v>
      </c>
      <c r="G135" s="114">
        <f t="shared" si="52"/>
        <v>150.24</v>
      </c>
      <c r="H135" s="114">
        <f t="shared" si="52"/>
        <v>0.94</v>
      </c>
      <c r="I135" s="114">
        <f t="shared" si="52"/>
        <v>0.94</v>
      </c>
      <c r="J135" s="114">
        <f t="shared" si="52"/>
        <v>0.94</v>
      </c>
      <c r="K135" s="114">
        <f t="shared" si="52"/>
        <v>0.94</v>
      </c>
      <c r="L135" s="114">
        <f t="shared" si="52"/>
        <v>0.94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150.24</v>
      </c>
      <c r="AI135" s="47">
        <f t="shared" si="24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44</v>
      </c>
      <c r="AI137" s="47">
        <f t="shared" si="24"/>
        <v>41.3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9</v>
      </c>
      <c r="AI138" s="47">
        <f t="shared" si="24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-80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82.7</v>
      </c>
      <c r="AI140" s="47">
        <f>MIN(B140:AF140)</f>
        <v>82.7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2.2999999999999998</v>
      </c>
      <c r="AI141" s="47">
        <f>MIN(B141:AF141)</f>
        <v>-3.8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-44.1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26.9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-268.10000000000002</v>
      </c>
      <c r="AI146" s="47">
        <f t="shared" ref="AI146:AI158" si="56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86.9</v>
      </c>
      <c r="AI147" s="47">
        <f t="shared" si="56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5</v>
      </c>
      <c r="AI148" s="47">
        <f t="shared" si="56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229</v>
      </c>
      <c r="AI149" s="47">
        <f t="shared" si="56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22.3</v>
      </c>
      <c r="AI150" s="47">
        <f t="shared" si="56"/>
        <v>21.8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8.4</v>
      </c>
      <c r="AI151" s="47">
        <f t="shared" si="56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4.7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1984.8</v>
      </c>
      <c r="AI153" s="47">
        <f t="shared" si="56"/>
        <v>1984.2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625.41</v>
      </c>
      <c r="AI155" s="47">
        <f t="shared" si="56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336.34</v>
      </c>
      <c r="AI156" s="47">
        <f t="shared" si="56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882.7</v>
      </c>
      <c r="AI157" s="47">
        <f t="shared" si="56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0</v>
      </c>
      <c r="AI158" s="47">
        <f t="shared" si="5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H11:AA13 AB12:AF13 H84:J90 K85:AF90 B9:AF10 C117:AF125 B113:B115 C109:AF115 B108:AF108 B117:B124 C152:AF152 C154:AF159 B153:AF153 C134:AF134 H126:AF133 F137:AF151 B76:E90 C97:AF107 B72:L72 F76:AF77 F79:G90 B93:AF96">
    <cfRule type="expression" dxfId="172" priority="106">
      <formula>B$9&gt;=20/24</formula>
    </cfRule>
  </conditionalFormatting>
  <conditionalFormatting sqref="B9:AF10 H11:AA13 AB12:AF13 H84:J90 K85:AF90 C117:AF125 B113:B115 C109:AF115 B108:AF108 B117:B124 C152:AF152 C154:AF159 B153:AF153 C134:AF134 H126:AF133 F137:AF151 B76:E90 C97:AF107 B72:L72 F76:AF77 F79:G90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H14:AF53 B29:G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H11:AA13 AB12:AF13 AF92:AF95 AF96:AG96 B71:AG71 B91:AF91 F78:AG78 B76:E90 B69:AF69 F76:AF77 F79:AC90 B92:AE96">
    <cfRule type="expression" dxfId="144" priority="105">
      <formula>B11&gt;$AG11*1</formula>
    </cfRule>
  </conditionalFormatting>
  <conditionalFormatting sqref="J80:J83 K83:O83 F79:I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H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H73:AF75">
    <cfRule type="expression" dxfId="131" priority="35">
      <formula>H$9&gt;=20/24</formula>
    </cfRule>
    <cfRule type="expression" dxfId="130" priority="36">
      <formula>AND(H$9&gt;=14/24,H$9&lt;20/24)</formula>
    </cfRule>
    <cfRule type="expression" dxfId="129" priority="37">
      <formula>AND(H$9&gt;=8/24,H$9&lt;14/24)</formula>
    </cfRule>
    <cfRule type="expression" dxfId="128" priority="38">
      <formula>H$9&lt;8/24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H69:AF69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37:E151 B11:G13 C126:G133">
    <cfRule type="expression" dxfId="22" priority="20">
      <formula>B$9&gt;=20/24</formula>
    </cfRule>
  </conditionalFormatting>
  <conditionalFormatting sqref="B97:B107 B137:B152 B109:B112 B125:B134 B154:B159 C137:E151 B11:G13 C126:G13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G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G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e">
        <f ca="1">"2080/"&amp;"10/"&amp;INT(MID(CELL("filename",D6),FIND("]",CELL("filename",D6))+1,200))</f>
        <v>#VALUE!</v>
      </c>
      <c r="C4" s="226"/>
      <c r="D4" s="226"/>
      <c r="E4" s="227" t="e">
        <f ca="1">"2080/"&amp;"10/"&amp;INT(MID(CELL("filename",G6),FIND("]",CELL("filename",G6))+1,200))</f>
        <v>#VALUE!</v>
      </c>
      <c r="F4" s="227"/>
      <c r="G4" s="227"/>
      <c r="H4" s="227" t="e">
        <f ca="1">TEXT(E4,"dddd")</f>
        <v>#VALUE!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L27" sqref="L27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2026-05-16T23:17:25Z</dcterms:modified>
</cp:coreProperties>
</file>