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70" i="77" l="1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C90" i="77"/>
  <c r="AI90" i="77"/>
  <c r="AH90" i="77"/>
  <c r="BU89" i="77"/>
  <c r="BT89" i="77"/>
  <c r="BP89" i="77"/>
  <c r="BO89" i="77"/>
  <c r="BM89" i="77"/>
  <c r="BL89" i="77"/>
  <c r="BK89" i="77"/>
  <c r="BH89" i="77"/>
  <c r="BG89" i="77"/>
  <c r="BD89" i="77"/>
  <c r="AI89" i="77"/>
  <c r="AH89" i="77"/>
  <c r="BW88" i="77"/>
  <c r="BV88" i="77"/>
  <c r="BR88" i="77"/>
  <c r="BQ88" i="77"/>
  <c r="BO88" i="77"/>
  <c r="BN88" i="77"/>
  <c r="BM88" i="77"/>
  <c r="BJ88" i="77"/>
  <c r="BI88" i="77"/>
  <c r="BG88" i="77"/>
  <c r="BF88" i="77"/>
  <c r="AI88" i="77"/>
  <c r="AH88" i="77"/>
  <c r="BT87" i="77"/>
  <c r="BS87" i="77"/>
  <c r="BQ87" i="77"/>
  <c r="BP87" i="77"/>
  <c r="BL87" i="77"/>
  <c r="BK87" i="77"/>
  <c r="BI87" i="77"/>
  <c r="BH87" i="77"/>
  <c r="BG87" i="77"/>
  <c r="BD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M78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L113" i="77" s="1"/>
  <c r="L115" i="77" s="1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U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L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AT22" i="77" l="1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L116" i="77" s="1"/>
  <c r="L7" i="77" s="1"/>
  <c r="T123" i="77"/>
  <c r="BB23" i="77" s="1"/>
  <c r="G124" i="77"/>
  <c r="AM18" i="77"/>
  <c r="AI92" i="77"/>
  <c r="L124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N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J124" i="77" l="1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<sst xmlns="http://schemas.openxmlformats.org/spreadsheetml/2006/main" count="2197" uniqueCount="418">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</sst>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Fill Time: 13.93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97" sqref="G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3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K152" sqref="K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>62.88+74.7</f>
        <v>137.58000000000001</v>
      </c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1061.6999999999998</v>
      </c>
      <c r="E71" s="70">
        <f t="shared" si="22"/>
        <v>1061.6999999999998</v>
      </c>
      <c r="F71" s="70">
        <f t="shared" si="22"/>
        <v>1061.6999999999998</v>
      </c>
      <c r="G71" s="70">
        <f t="shared" si="22"/>
        <v>1061.6999999999998</v>
      </c>
      <c r="H71" s="70">
        <f t="shared" si="22"/>
        <v>1061.6999999999998</v>
      </c>
      <c r="I71" s="70">
        <f t="shared" si="22"/>
        <v>1061.6999999999998</v>
      </c>
      <c r="J71" s="70">
        <f t="shared" si="22"/>
        <v>1061.6999999999998</v>
      </c>
      <c r="K71" s="70">
        <f t="shared" si="22"/>
        <v>1061.6999999999998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344.1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74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41.3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555.00000000000011</v>
      </c>
      <c r="E78" s="70">
        <f t="shared" si="26"/>
        <v>579.1</v>
      </c>
      <c r="F78" s="70">
        <f t="shared" si="26"/>
        <v>578.9</v>
      </c>
      <c r="G78" s="70">
        <f t="shared" si="26"/>
        <v>570.5</v>
      </c>
      <c r="H78" s="70">
        <f t="shared" si="26"/>
        <v>537.1</v>
      </c>
      <c r="I78" s="70">
        <f t="shared" si="26"/>
        <v>519.1</v>
      </c>
      <c r="J78" s="70">
        <f t="shared" si="26"/>
        <v>577</v>
      </c>
      <c r="K78" s="70">
        <f t="shared" si="26"/>
        <v>577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7">D97</f>
        <v>-495</v>
      </c>
      <c r="BB79" s="81">
        <f t="shared" si="27"/>
        <v>-509.5</v>
      </c>
      <c r="BC79" s="81">
        <f t="shared" si="27"/>
        <v>-532.4</v>
      </c>
      <c r="BD79" s="81">
        <f t="shared" si="27"/>
        <v>-541</v>
      </c>
      <c r="BE79" s="82">
        <f>I97</f>
        <v>-510.9</v>
      </c>
      <c r="BF79" s="82">
        <f>K97</f>
        <v>-453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</v>
      </c>
      <c r="AI80" s="47">
        <f t="shared" si="24"/>
        <v>50.2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28.9</v>
      </c>
      <c r="BC80" s="81">
        <f t="shared" si="27"/>
        <v>28.3</v>
      </c>
      <c r="BD80" s="81">
        <f t="shared" si="27"/>
        <v>25.6</v>
      </c>
      <c r="BE80" s="82">
        <f>I98</f>
        <v>21.5</v>
      </c>
      <c r="BF80" s="82">
        <f>K98</f>
        <v>40.9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69.3</v>
      </c>
      <c r="AI81" s="47">
        <f t="shared" si="24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7"/>
        <v>44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7"/>
        <v>20.100000000000001</v>
      </c>
      <c r="BB82" s="81">
        <f t="shared" si="27"/>
        <v>19.8</v>
      </c>
      <c r="BC82" s="81">
        <f t="shared" si="27"/>
        <v>20.3</v>
      </c>
      <c r="BD82" s="81">
        <f t="shared" si="27"/>
        <v>20.3</v>
      </c>
      <c r="BE82" s="82">
        <f>I100</f>
        <v>16.600000000000001</v>
      </c>
      <c r="BF82" s="82">
        <f>K100</f>
        <v>18.5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60</v>
      </c>
      <c r="BE83" s="82">
        <f>I101</f>
        <v>57</v>
      </c>
      <c r="BF83" s="82">
        <f>K101</f>
        <v>53.3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-445</v>
      </c>
      <c r="BA86" s="82">
        <f t="shared" si="31"/>
        <v>-495</v>
      </c>
      <c r="BB86" s="82">
        <f t="shared" si="31"/>
        <v>-509.5</v>
      </c>
      <c r="BC86" s="82">
        <f t="shared" si="31"/>
        <v>-532.4</v>
      </c>
      <c r="BD86" s="82">
        <f t="shared" si="31"/>
        <v>-541</v>
      </c>
      <c r="BE86" s="82">
        <f t="shared" si="31"/>
        <v>-510.9</v>
      </c>
      <c r="BF86" s="82">
        <f t="shared" si="31"/>
        <v>-453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28.9</v>
      </c>
      <c r="BC87" s="82">
        <f t="shared" si="31"/>
        <v>28.3</v>
      </c>
      <c r="BD87" s="82">
        <f t="shared" si="31"/>
        <v>25.6</v>
      </c>
      <c r="BE87" s="82">
        <f t="shared" si="31"/>
        <v>21.5</v>
      </c>
      <c r="BF87" s="82">
        <f t="shared" si="31"/>
        <v>40.9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11.1</v>
      </c>
      <c r="AK88" s="49"/>
      <c r="AZ88" s="82">
        <f t="shared" si="31"/>
        <v>47</v>
      </c>
      <c r="BA88" s="82">
        <f t="shared" si="31"/>
        <v>44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9.1999999999999993</v>
      </c>
      <c r="AK89" s="49"/>
      <c r="AZ89" s="82">
        <f t="shared" si="31"/>
        <v>21</v>
      </c>
      <c r="BA89" s="82">
        <f t="shared" si="31"/>
        <v>20.100000000000001</v>
      </c>
      <c r="BB89" s="82">
        <f t="shared" si="31"/>
        <v>19.8</v>
      </c>
      <c r="BC89" s="82">
        <f t="shared" si="31"/>
        <v>20.3</v>
      </c>
      <c r="BD89" s="82">
        <f t="shared" si="31"/>
        <v>20.3</v>
      </c>
      <c r="BE89" s="82">
        <f t="shared" si="31"/>
        <v>16.600000000000001</v>
      </c>
      <c r="BF89" s="82">
        <f t="shared" si="31"/>
        <v>18.5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60</v>
      </c>
      <c r="BE90" s="82">
        <f t="shared" si="31"/>
        <v>57</v>
      </c>
      <c r="BF90" s="82">
        <f t="shared" si="31"/>
        <v>53.3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C92" si="32">SUM(B79:B91)</f>
        <v>354.40000000000003</v>
      </c>
      <c r="C92" s="70">
        <f t="shared" si="32"/>
        <v>348.49999999999994</v>
      </c>
      <c r="D92" s="70">
        <f t="shared" ref="B92:AG92" si="33">SUM(D79:D91)</f>
        <v>351.79999999999995</v>
      </c>
      <c r="E92" s="70">
        <f t="shared" si="33"/>
        <v>351.79999999999995</v>
      </c>
      <c r="F92" s="70">
        <f t="shared" si="33"/>
        <v>345.99999999999994</v>
      </c>
      <c r="G92" s="70">
        <f t="shared" si="33"/>
        <v>304.59999999999997</v>
      </c>
      <c r="H92" s="70">
        <f t="shared" si="33"/>
        <v>314.59999999999997</v>
      </c>
      <c r="I92" s="70">
        <f t="shared" si="33"/>
        <v>314.59999999999997</v>
      </c>
      <c r="J92" s="70">
        <f t="shared" si="33"/>
        <v>333.39999999999992</v>
      </c>
      <c r="K92" s="70">
        <f t="shared" si="33"/>
        <v>333.39999999999992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354.40000000000003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10</v>
      </c>
      <c r="AI94" s="47">
        <f t="shared" si="24"/>
        <v>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5</v>
      </c>
      <c r="AI95" s="47">
        <f t="shared" si="24"/>
        <v>2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4">B93+B94+B95</f>
        <v>30</v>
      </c>
      <c r="C96" s="70">
        <f t="shared" si="34"/>
        <v>30</v>
      </c>
      <c r="D96" s="70">
        <f t="shared" ref="B96:AF96" si="35">D93+D94+D95</f>
        <v>30</v>
      </c>
      <c r="E96" s="70">
        <f t="shared" si="35"/>
        <v>24</v>
      </c>
      <c r="F96" s="70">
        <f t="shared" si="35"/>
        <v>24</v>
      </c>
      <c r="G96" s="70">
        <f t="shared" si="35"/>
        <v>30</v>
      </c>
      <c r="H96" s="70">
        <f t="shared" si="35"/>
        <v>30</v>
      </c>
      <c r="I96" s="70">
        <f t="shared" si="35"/>
        <v>45</v>
      </c>
      <c r="J96" s="70">
        <f t="shared" si="35"/>
        <v>16</v>
      </c>
      <c r="K96" s="70">
        <f t="shared" si="35"/>
        <v>16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45</v>
      </c>
      <c r="AI96" s="47">
        <f t="shared" si="24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-445.4</v>
      </c>
      <c r="AI97" s="47">
        <f t="shared" si="24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40.9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13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60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48</v>
      </c>
      <c r="AI102" s="47">
        <f t="shared" si="24"/>
        <v>14.2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6">SUMIF(B97:B107,"&gt;0")</f>
        <v>88.199999999999989</v>
      </c>
      <c r="C108" s="70">
        <f t="shared" si="36"/>
        <v>86.1</v>
      </c>
      <c r="D108" s="70">
        <f t="shared" ref="B108:AF108" si="37">SUMIF(D97:D107,"&gt;0")</f>
        <v>78.3</v>
      </c>
      <c r="E108" s="70">
        <f t="shared" si="37"/>
        <v>64.3</v>
      </c>
      <c r="F108" s="70">
        <f t="shared" si="37"/>
        <v>68.2</v>
      </c>
      <c r="G108" s="70">
        <f t="shared" si="37"/>
        <v>135.9</v>
      </c>
      <c r="H108" s="70">
        <f t="shared" si="37"/>
        <v>140</v>
      </c>
      <c r="I108" s="70">
        <f t="shared" si="37"/>
        <v>142.19999999999999</v>
      </c>
      <c r="J108" s="70">
        <f t="shared" si="37"/>
        <v>140.5</v>
      </c>
      <c r="K108" s="70">
        <f t="shared" si="37"/>
        <v>160.69999999999999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160.69999999999999</v>
      </c>
      <c r="AI108" s="47">
        <f t="shared" si="24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8">B71+B78+B96+B92+B108+B112</f>
        <v>2176.7999999999997</v>
      </c>
      <c r="C113" s="108">
        <f t="shared" si="38"/>
        <v>2051.2999999999997</v>
      </c>
      <c r="D113" s="108">
        <f t="shared" ref="B113:AG113" si="39">D71+D78+D96+D92+D108+D112</f>
        <v>2076.7999999999997</v>
      </c>
      <c r="E113" s="108">
        <f t="shared" si="39"/>
        <v>2080.8999999999996</v>
      </c>
      <c r="F113" s="108">
        <f t="shared" si="39"/>
        <v>2078.7999999999997</v>
      </c>
      <c r="G113" s="108">
        <f t="shared" si="39"/>
        <v>2102.6999999999998</v>
      </c>
      <c r="H113" s="108">
        <f t="shared" si="39"/>
        <v>2083.3999999999996</v>
      </c>
      <c r="I113" s="108">
        <f t="shared" si="39"/>
        <v>2082.5999999999995</v>
      </c>
      <c r="J113" s="108">
        <f t="shared" si="39"/>
        <v>2128.5999999999995</v>
      </c>
      <c r="K113" s="108">
        <f t="shared" si="39"/>
        <v>2148.7999999999997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2176.7999999999997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0">B113+B114</f>
        <v>2236.7999999999997</v>
      </c>
      <c r="C115" s="108">
        <f t="shared" si="40"/>
        <v>2111.2999999999997</v>
      </c>
      <c r="D115" s="108">
        <f t="shared" ref="C115:AF115" si="41">D113+D114</f>
        <v>2136.7999999999997</v>
      </c>
      <c r="E115" s="108">
        <f t="shared" si="41"/>
        <v>2120.8999999999996</v>
      </c>
      <c r="F115" s="108">
        <f t="shared" si="41"/>
        <v>2118.7999999999997</v>
      </c>
      <c r="G115" s="108">
        <f t="shared" si="41"/>
        <v>2132.6999999999998</v>
      </c>
      <c r="H115" s="108">
        <f t="shared" si="41"/>
        <v>2083.3999999999996</v>
      </c>
      <c r="I115" s="108">
        <f t="shared" si="41"/>
        <v>2082.5999999999995</v>
      </c>
      <c r="J115" s="108">
        <f t="shared" si="41"/>
        <v>2128.5999999999995</v>
      </c>
      <c r="K115" s="108">
        <f t="shared" si="41"/>
        <v>2148.7999999999997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2">B115-(B123)</f>
        <v>1707.5999999999997</v>
      </c>
      <c r="C116" s="108">
        <f t="shared" si="42"/>
        <v>1665.8999999999996</v>
      </c>
      <c r="D116" s="108">
        <f t="shared" ref="C116:AF116" si="43">D115-(D123)</f>
        <v>1641.7999999999997</v>
      </c>
      <c r="E116" s="108">
        <f t="shared" si="43"/>
        <v>1611.3999999999996</v>
      </c>
      <c r="F116" s="108">
        <f t="shared" si="43"/>
        <v>1586.3999999999996</v>
      </c>
      <c r="G116" s="108">
        <f t="shared" si="43"/>
        <v>1591.6999999999998</v>
      </c>
      <c r="H116" s="108">
        <f t="shared" si="43"/>
        <v>1574.3999999999996</v>
      </c>
      <c r="I116" s="108">
        <f t="shared" si="43"/>
        <v>1571.6999999999994</v>
      </c>
      <c r="J116" s="108">
        <f t="shared" si="43"/>
        <v>1632.5999999999995</v>
      </c>
      <c r="K116" s="108">
        <f t="shared" si="43"/>
        <v>1695.7999999999997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1707.5999999999997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4">IF(B97&lt;0,B97*-1,0)</f>
        <v>529.20000000000005</v>
      </c>
      <c r="C117" s="93">
        <f t="shared" si="44"/>
        <v>445.4</v>
      </c>
      <c r="D117" s="93">
        <f t="shared" ref="B117:AF122" si="45">IF(D97&lt;0,D97*-1,0)</f>
        <v>495</v>
      </c>
      <c r="E117" s="93">
        <f t="shared" si="45"/>
        <v>509.5</v>
      </c>
      <c r="F117" s="93">
        <f t="shared" si="45"/>
        <v>532.4</v>
      </c>
      <c r="G117" s="93">
        <f t="shared" si="45"/>
        <v>541</v>
      </c>
      <c r="H117" s="93">
        <f t="shared" si="45"/>
        <v>509</v>
      </c>
      <c r="I117" s="93">
        <f t="shared" si="45"/>
        <v>510.9</v>
      </c>
      <c r="J117" s="93">
        <f t="shared" si="45"/>
        <v>496</v>
      </c>
      <c r="K117" s="93">
        <f t="shared" si="45"/>
        <v>453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541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6">SUM(B117:B122)</f>
        <v>529.20000000000005</v>
      </c>
      <c r="C123" s="70">
        <f t="shared" si="46"/>
        <v>445.4</v>
      </c>
      <c r="D123" s="70">
        <f t="shared" ref="B123:AF123" si="47">SUM(D117:D122)</f>
        <v>495</v>
      </c>
      <c r="E123" s="70">
        <f t="shared" si="47"/>
        <v>509.5</v>
      </c>
      <c r="F123" s="70">
        <f t="shared" si="47"/>
        <v>532.4</v>
      </c>
      <c r="G123" s="70">
        <f t="shared" si="47"/>
        <v>541</v>
      </c>
      <c r="H123" s="70">
        <f t="shared" si="47"/>
        <v>509</v>
      </c>
      <c r="I123" s="70">
        <f t="shared" si="47"/>
        <v>510.9</v>
      </c>
      <c r="J123" s="70">
        <f t="shared" si="47"/>
        <v>496</v>
      </c>
      <c r="K123" s="70">
        <f t="shared" si="47"/>
        <v>453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541</v>
      </c>
      <c r="AI123" s="47">
        <f t="shared" si="24"/>
        <v>0</v>
      </c>
      <c r="AJ123" s="105">
        <f t="array" ref="AJ123">MIN(IF(B123:AF123&lt;&gt;0,B123:AF123))</f>
        <v>445.4</v>
      </c>
    </row>
    <row r="124" spans="1:64" ht="15.75" thickBot="1" x14ac:dyDescent="0.3">
      <c r="A124" s="87" t="s">
        <v>146</v>
      </c>
      <c r="B124" s="70">
        <f t="shared" ref="B124:C124" si="48">B108-B123</f>
        <v>-441.00000000000006</v>
      </c>
      <c r="C124" s="70">
        <f t="shared" si="48"/>
        <v>-359.29999999999995</v>
      </c>
      <c r="D124" s="70">
        <f t="shared" ref="B124:AF124" si="49">D108-D123</f>
        <v>-416.7</v>
      </c>
      <c r="E124" s="70">
        <f t="shared" si="49"/>
        <v>-445.2</v>
      </c>
      <c r="F124" s="70">
        <f t="shared" si="49"/>
        <v>-464.2</v>
      </c>
      <c r="G124" s="70">
        <f t="shared" si="49"/>
        <v>-405.1</v>
      </c>
      <c r="H124" s="70">
        <f t="shared" si="49"/>
        <v>-369</v>
      </c>
      <c r="I124" s="70">
        <f t="shared" si="49"/>
        <v>-368.7</v>
      </c>
      <c r="J124" s="70">
        <f t="shared" si="49"/>
        <v>-355.5</v>
      </c>
      <c r="K124" s="70">
        <f t="shared" si="49"/>
        <v>-292.3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50.064</v>
      </c>
      <c r="AI126" s="47">
        <f t="shared" si="24"/>
        <v>49.94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130.69999999999999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131.80000000000001</v>
      </c>
      <c r="AI128" s="47">
        <f t="shared" si="24"/>
        <v>129.80000000000001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132.5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124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169.54</v>
      </c>
      <c r="C135" s="114">
        <f t="shared" si="50"/>
        <v>161.53999999999994</v>
      </c>
      <c r="D135" s="114">
        <f t="shared" ref="C135:O135" si="51">SUM(D26,D32,D45:D46,D82,D84:D85,D87,D89,D137:D142,D177,D183,D189,D198,D200,D212,D219,D222:D223,D230,D232,D234,D238:D240,D242:D244,D249,D255:D256,D258:D260,D161,D166)</f>
        <v>143.43999999999997</v>
      </c>
      <c r="E135" s="114">
        <f t="shared" si="51"/>
        <v>143.13999999999993</v>
      </c>
      <c r="F135" s="114">
        <f t="shared" si="51"/>
        <v>144.44</v>
      </c>
      <c r="G135" s="114">
        <f t="shared" si="51"/>
        <v>162.33999999999997</v>
      </c>
      <c r="H135" s="114">
        <f t="shared" si="51"/>
        <v>197.74</v>
      </c>
      <c r="I135" s="114">
        <f t="shared" si="51"/>
        <v>217.44</v>
      </c>
      <c r="J135" s="114">
        <f t="shared" si="51"/>
        <v>266.94</v>
      </c>
      <c r="K135" s="114">
        <f t="shared" si="51"/>
        <v>282.33999999999997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282.33999999999997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61.9</v>
      </c>
      <c r="AI137" s="47">
        <f t="shared" si="24"/>
        <v>48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28.8</v>
      </c>
      <c r="AI138" s="47">
        <f t="shared" si="24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-65.099999999999994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67.099999999999994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15.6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48.7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149.69999999999999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-36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-23.6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-482.1</v>
      </c>
      <c r="AI146" s="47">
        <f t="shared" ref="AI146:AI158" si="55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81.900000000000006</v>
      </c>
      <c r="AI147" s="47">
        <f t="shared" si="55"/>
        <v>59.6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0</v>
      </c>
      <c r="AI148" s="47">
        <f t="shared" si="55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243.8</v>
      </c>
      <c r="AI149" s="47">
        <f t="shared" si="55"/>
        <v>235.2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31.9</v>
      </c>
      <c r="AI150" s="47">
        <f t="shared" si="55"/>
        <v>30.9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7.7</v>
      </c>
      <c r="AI151" s="47">
        <f t="shared" si="55"/>
        <v>6.1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1986.26</v>
      </c>
      <c r="AI153" s="47">
        <f t="shared" si="55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624.94000000000005</v>
      </c>
      <c r="AI155" s="47">
        <f t="shared" si="55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337.45</v>
      </c>
      <c r="AI156" s="47">
        <f t="shared" si="55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882.9</v>
      </c>
      <c r="AI157" s="47">
        <f t="shared" si="55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3">SUM(B169:B273)</f>
        <v>0</v>
      </c>
      <c r="C274" s="180">
        <f t="shared" ref="B274:AG274" si="74">SUM(C169:C273)</f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L11:AA13 AB12:AF13 K85:AF90 B9:AF10 D117:AF134 B113:C115 B108:C108 B117:C124 B153:C153 B93:C96 B76:D90 D137:AF159 B72:L72 E76:AF77 E79:K90 D93:AF115">
    <cfRule type="expression" dxfId="172" priority="106">
      <formula>B$9&gt;=20/24</formula>
    </cfRule>
  </conditionalFormatting>
  <conditionalFormatting sqref="B9:AF10 L11:AA13 AB12:AF13 K85:AF90 D117:AF134 B113:C115 B108:C108 B117:C124 B153:C153 B93:C96 B76:D90 D137:AF159 B72:L72 E76:AF77 E79:K90 D93:AF115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L14:AF53 B29:K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L11:AA13 AB12:AF13 AF92:AF95 AF96:AG96 D91:AF91 D78:AG78 B71:AG71 B76:C96 B69:AA69 D76:AF77 D79:AC90 D92:AE96">
    <cfRule type="expression" dxfId="144" priority="105">
      <formula>B11&gt;$AG11*1</formula>
    </cfRule>
  </conditionalFormatting>
  <conditionalFormatting sqref="K83:O83 E79:K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8:AF78 L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L73:AF75 J73:K73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K13">
    <cfRule type="expression" dxfId="22" priority="20">
      <formula>B$9&gt;=20/24</formula>
    </cfRule>
  </conditionalFormatting>
  <conditionalFormatting sqref="B97:C107 B137:C152 B109:C112 B125:C134 B154:C159 B11:K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K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K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2026-05-19T01:17:28Z</dcterms:modified>
</cp:coreProperties>
</file>