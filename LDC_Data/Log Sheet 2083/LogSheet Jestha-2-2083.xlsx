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0" i="75" l="1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S123" i="75" l="1"/>
  <c r="S124" i="75"/>
  <c r="S113" i="75"/>
  <c r="S115" i="75" s="1"/>
  <c r="S116" i="75" s="1"/>
  <c r="Q123" i="75"/>
  <c r="Q124" i="75" s="1"/>
  <c r="Q113" i="75"/>
  <c r="Q115" i="75" s="1"/>
  <c r="Q116" i="75" s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AI89" i="75"/>
  <c r="AH89" i="75"/>
  <c r="BT88" i="75"/>
  <c r="BS88" i="75"/>
  <c r="BO88" i="75"/>
  <c r="BL88" i="75"/>
  <c r="AI88" i="75"/>
  <c r="AH88" i="75"/>
  <c r="BV87" i="75"/>
  <c r="BU87" i="75"/>
  <c r="BQ87" i="75"/>
  <c r="BN87" i="75"/>
  <c r="BE87" i="75"/>
  <c r="BA87" i="75"/>
  <c r="AI87" i="75"/>
  <c r="AH87" i="75"/>
  <c r="BS86" i="75"/>
  <c r="BP86" i="75"/>
  <c r="BO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18" i="75" l="1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<sst xmlns="http://schemas.openxmlformats.org/spreadsheetml/2006/main" count="1572" uniqueCount="416">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</sst>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3.79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52" sqref="S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338.29999999999995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1774.3000000000002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338.29999999999995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1774.3000000000002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1774.3000000000002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" si="26">SUM(S11:S69)</f>
        <v>970.4000000000002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43.5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9.8000000000000007</v>
      </c>
      <c r="AI77" s="47">
        <f t="shared" si="28"/>
        <v>7.4</v>
      </c>
      <c r="AK77" s="49"/>
    </row>
    <row r="78" spans="1:88" ht="15.75" thickBot="1">
      <c r="A78" s="79" t="s">
        <v>97</v>
      </c>
      <c r="B78" s="70">
        <f t="shared" ref="B78:C78" si="29">SUM(B72:B77)</f>
        <v>525.5</v>
      </c>
      <c r="C78" s="70">
        <f t="shared" si="29"/>
        <v>454.5</v>
      </c>
      <c r="D78" s="70">
        <f t="shared" ref="D78:E78" si="30">SUM(D72:D77)</f>
        <v>565</v>
      </c>
      <c r="E78" s="70">
        <f t="shared" si="30"/>
        <v>406.49999999999994</v>
      </c>
      <c r="F78" s="70">
        <f t="shared" ref="D78:AG78" si="31">SUM(F72:F77)</f>
        <v>464.19999999999993</v>
      </c>
      <c r="G78" s="70">
        <f t="shared" si="31"/>
        <v>494.29999999999995</v>
      </c>
      <c r="H78" s="70">
        <f t="shared" si="31"/>
        <v>433.99999999999994</v>
      </c>
      <c r="I78" s="70">
        <f t="shared" si="31"/>
        <v>325.49999999999994</v>
      </c>
      <c r="J78" s="70">
        <f t="shared" si="31"/>
        <v>325.49999999999994</v>
      </c>
      <c r="K78" s="70">
        <f t="shared" si="31"/>
        <v>387.3</v>
      </c>
      <c r="L78" s="70">
        <f t="shared" si="31"/>
        <v>415.00000000000006</v>
      </c>
      <c r="M78" s="70">
        <f t="shared" ref="M78:N78" si="32">SUM(M72:M77)</f>
        <v>311.29999999999995</v>
      </c>
      <c r="N78" s="70">
        <f t="shared" si="32"/>
        <v>360.29999999999995</v>
      </c>
      <c r="O78" s="70">
        <f t="shared" ref="O78:P78" si="33">SUM(O72:O77)</f>
        <v>426</v>
      </c>
      <c r="P78" s="70">
        <f t="shared" si="33"/>
        <v>462.09999999999997</v>
      </c>
      <c r="Q78" s="70">
        <f t="shared" ref="Q78" si="34">SUM(Q72:Q77)</f>
        <v>255.90000000000003</v>
      </c>
      <c r="R78" s="70">
        <f t="shared" si="31"/>
        <v>175.90000000000003</v>
      </c>
      <c r="S78" s="70">
        <f t="shared" ref="S78" si="35">SUM(S72:S77)</f>
        <v>161.6</v>
      </c>
      <c r="T78" s="70">
        <f t="shared" si="31"/>
        <v>0</v>
      </c>
      <c r="U78" s="70">
        <f t="shared" si="31"/>
        <v>0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565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45</v>
      </c>
      <c r="AK79" s="49"/>
      <c r="AY79" s="1" t="s">
        <v>99</v>
      </c>
      <c r="AZ79" s="82">
        <f>ROUND(C97,0)</f>
        <v>-507</v>
      </c>
      <c r="BA79" s="81">
        <f t="shared" ref="BA79:BD83" si="36">D97</f>
        <v>-515</v>
      </c>
      <c r="BB79" s="81">
        <f t="shared" si="36"/>
        <v>-532</v>
      </c>
      <c r="BC79" s="81">
        <f t="shared" si="36"/>
        <v>-496</v>
      </c>
      <c r="BD79" s="81">
        <f t="shared" si="36"/>
        <v>-478.6</v>
      </c>
      <c r="BE79" s="82">
        <f>I97</f>
        <v>-347.3</v>
      </c>
      <c r="BF79" s="82">
        <f>K97</f>
        <v>-321</v>
      </c>
      <c r="BG79" s="82">
        <f t="shared" ref="BG79:BP83" si="37">M97</f>
        <v>-188.3</v>
      </c>
      <c r="BH79" s="82">
        <f t="shared" si="37"/>
        <v>-199.9</v>
      </c>
      <c r="BI79" s="82">
        <f t="shared" si="37"/>
        <v>-265</v>
      </c>
      <c r="BJ79" s="82">
        <f t="shared" si="37"/>
        <v>-230</v>
      </c>
      <c r="BK79" s="82">
        <f t="shared" si="37"/>
        <v>14.2</v>
      </c>
      <c r="BL79" s="82">
        <f t="shared" si="37"/>
        <v>28</v>
      </c>
      <c r="BM79" s="82">
        <f t="shared" si="37"/>
        <v>157.69999999999999</v>
      </c>
      <c r="BN79" s="82">
        <f t="shared" si="37"/>
        <v>0</v>
      </c>
      <c r="BO79" s="82">
        <f t="shared" si="37"/>
        <v>0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69.099999999999994</v>
      </c>
      <c r="AI80" s="47">
        <f t="shared" si="28"/>
        <v>35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0</v>
      </c>
      <c r="BG80" s="82">
        <f t="shared" si="37"/>
        <v>20.399999999999999</v>
      </c>
      <c r="BH80" s="82">
        <f t="shared" si="37"/>
        <v>19.100000000000001</v>
      </c>
      <c r="BI80" s="82">
        <f t="shared" si="37"/>
        <v>22.8</v>
      </c>
      <c r="BJ80" s="82">
        <f t="shared" si="37"/>
        <v>26.2</v>
      </c>
      <c r="BK80" s="82">
        <f t="shared" si="37"/>
        <v>28.9</v>
      </c>
      <c r="BL80" s="82">
        <f t="shared" si="37"/>
        <v>28</v>
      </c>
      <c r="BM80" s="82">
        <f t="shared" si="37"/>
        <v>28.7</v>
      </c>
      <c r="BN80" s="82">
        <f t="shared" si="37"/>
        <v>0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70.099999999999994</v>
      </c>
      <c r="AI81" s="47">
        <f t="shared" si="28"/>
        <v>37.9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6"/>
        <v>52.2</v>
      </c>
      <c r="BB81" s="81">
        <f t="shared" si="36"/>
        <v>60.5</v>
      </c>
      <c r="BC81" s="81">
        <f t="shared" si="36"/>
        <v>59.2</v>
      </c>
      <c r="BD81" s="81">
        <f t="shared" si="36"/>
        <v>58.2</v>
      </c>
      <c r="BE81" s="82">
        <f>I99</f>
        <v>53.3</v>
      </c>
      <c r="BF81" s="82">
        <f>K99</f>
        <v>49.9</v>
      </c>
      <c r="BG81" s="82">
        <f t="shared" si="37"/>
        <v>51.5</v>
      </c>
      <c r="BH81" s="82">
        <f t="shared" si="37"/>
        <v>50.7</v>
      </c>
      <c r="BI81" s="82">
        <f t="shared" si="37"/>
        <v>54.3</v>
      </c>
      <c r="BJ81" s="82">
        <f t="shared" si="37"/>
        <v>34.299999999999997</v>
      </c>
      <c r="BK81" s="82">
        <f t="shared" si="37"/>
        <v>33.9</v>
      </c>
      <c r="BL81" s="82">
        <f t="shared" si="37"/>
        <v>32</v>
      </c>
      <c r="BM81" s="82">
        <f t="shared" si="37"/>
        <v>37.700000000000003</v>
      </c>
      <c r="BN81" s="82">
        <f t="shared" si="37"/>
        <v>0</v>
      </c>
      <c r="BO81" s="82">
        <f t="shared" si="37"/>
        <v>0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60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6"/>
        <v>0</v>
      </c>
      <c r="BB82" s="81">
        <f t="shared" si="36"/>
        <v>16.100000000000001</v>
      </c>
      <c r="BC82" s="81">
        <f t="shared" si="36"/>
        <v>15.4</v>
      </c>
      <c r="BD82" s="81">
        <f t="shared" si="36"/>
        <v>15.3</v>
      </c>
      <c r="BE82" s="82">
        <f>I100</f>
        <v>8.4</v>
      </c>
      <c r="BF82" s="82">
        <f>K100</f>
        <v>13</v>
      </c>
      <c r="BG82" s="82">
        <f t="shared" si="37"/>
        <v>12.9</v>
      </c>
      <c r="BH82" s="82">
        <f t="shared" si="37"/>
        <v>11.8</v>
      </c>
      <c r="BI82" s="82">
        <f t="shared" si="37"/>
        <v>12.6</v>
      </c>
      <c r="BJ82" s="82">
        <f t="shared" si="37"/>
        <v>12.4</v>
      </c>
      <c r="BK82" s="82">
        <f t="shared" si="37"/>
        <v>11.8</v>
      </c>
      <c r="BL82" s="82">
        <f t="shared" si="37"/>
        <v>11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54.6</v>
      </c>
      <c r="BF83" s="82">
        <f>K101</f>
        <v>41.3</v>
      </c>
      <c r="BG83" s="82">
        <f t="shared" si="37"/>
        <v>48.8</v>
      </c>
      <c r="BH83" s="82">
        <f t="shared" si="37"/>
        <v>51.9</v>
      </c>
      <c r="BI83" s="82">
        <f t="shared" si="37"/>
        <v>49.88</v>
      </c>
      <c r="BJ83" s="82">
        <f t="shared" si="37"/>
        <v>56.4</v>
      </c>
      <c r="BK83" s="82">
        <f t="shared" si="37"/>
        <v>52.2</v>
      </c>
      <c r="BL83" s="82">
        <f t="shared" si="37"/>
        <v>50</v>
      </c>
      <c r="BM83" s="82">
        <f t="shared" si="37"/>
        <v>46.4</v>
      </c>
      <c r="BN83" s="82">
        <f t="shared" si="37"/>
        <v>0</v>
      </c>
      <c r="BO83" s="82">
        <f t="shared" si="37"/>
        <v>0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16.5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11.9</v>
      </c>
      <c r="AI85" s="47">
        <f t="shared" si="28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-507</v>
      </c>
      <c r="BA86" s="82">
        <f t="shared" si="40"/>
        <v>-515</v>
      </c>
      <c r="BB86" s="82">
        <f t="shared" si="40"/>
        <v>-532</v>
      </c>
      <c r="BC86" s="82">
        <f t="shared" si="40"/>
        <v>-496</v>
      </c>
      <c r="BD86" s="82">
        <f t="shared" si="40"/>
        <v>-478.6</v>
      </c>
      <c r="BE86" s="82">
        <f t="shared" si="40"/>
        <v>-347.3</v>
      </c>
      <c r="BF86" s="82">
        <f t="shared" si="40"/>
        <v>-321</v>
      </c>
      <c r="BG86" s="82">
        <f t="shared" si="40"/>
        <v>-188.3</v>
      </c>
      <c r="BH86" s="82">
        <f t="shared" si="40"/>
        <v>-199.9</v>
      </c>
      <c r="BI86" s="82">
        <f t="shared" si="40"/>
        <v>-265</v>
      </c>
      <c r="BJ86" s="82">
        <f t="shared" si="40"/>
        <v>-230</v>
      </c>
      <c r="BK86" s="82">
        <f t="shared" si="40"/>
        <v>14.2</v>
      </c>
      <c r="BL86" s="82">
        <f t="shared" si="40"/>
        <v>28</v>
      </c>
      <c r="BM86" s="82">
        <f t="shared" si="40"/>
        <v>157.69999999999999</v>
      </c>
      <c r="BN86" s="82">
        <f t="shared" si="40"/>
        <v>0</v>
      </c>
      <c r="BO86" s="82">
        <f t="shared" si="40"/>
        <v>0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9.4</v>
      </c>
      <c r="AI87" s="47">
        <f t="shared" si="28"/>
        <v>5.1100000000000003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0</v>
      </c>
      <c r="BG87" s="82">
        <f t="shared" si="40"/>
        <v>20.399999999999999</v>
      </c>
      <c r="BH87" s="82">
        <f t="shared" si="40"/>
        <v>19.100000000000001</v>
      </c>
      <c r="BI87" s="82">
        <f t="shared" si="40"/>
        <v>22.8</v>
      </c>
      <c r="BJ87" s="82">
        <f t="shared" si="40"/>
        <v>26.2</v>
      </c>
      <c r="BK87" s="82">
        <f t="shared" si="40"/>
        <v>28.9</v>
      </c>
      <c r="BL87" s="82">
        <f t="shared" si="40"/>
        <v>28</v>
      </c>
      <c r="BM87" s="82">
        <f t="shared" si="40"/>
        <v>28.7</v>
      </c>
      <c r="BN87" s="82">
        <f t="shared" si="40"/>
        <v>0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10.7</v>
      </c>
      <c r="AI88" s="47">
        <f t="shared" si="28"/>
        <v>8.5</v>
      </c>
      <c r="AK88" s="49"/>
      <c r="AZ88" s="82">
        <f t="shared" si="40"/>
        <v>61</v>
      </c>
      <c r="BA88" s="82">
        <f t="shared" si="40"/>
        <v>52.2</v>
      </c>
      <c r="BB88" s="82">
        <f t="shared" si="40"/>
        <v>60.5</v>
      </c>
      <c r="BC88" s="82">
        <f t="shared" si="40"/>
        <v>59.2</v>
      </c>
      <c r="BD88" s="82">
        <f t="shared" si="40"/>
        <v>58.2</v>
      </c>
      <c r="BE88" s="82">
        <f t="shared" si="40"/>
        <v>53.3</v>
      </c>
      <c r="BF88" s="82">
        <f t="shared" si="40"/>
        <v>49.9</v>
      </c>
      <c r="BG88" s="82">
        <f t="shared" si="40"/>
        <v>51.5</v>
      </c>
      <c r="BH88" s="82">
        <f t="shared" si="40"/>
        <v>50.7</v>
      </c>
      <c r="BI88" s="82">
        <f t="shared" si="40"/>
        <v>54.3</v>
      </c>
      <c r="BJ88" s="82">
        <f t="shared" si="40"/>
        <v>34.299999999999997</v>
      </c>
      <c r="BK88" s="82">
        <f t="shared" si="40"/>
        <v>33.9</v>
      </c>
      <c r="BL88" s="82">
        <f t="shared" si="40"/>
        <v>32</v>
      </c>
      <c r="BM88" s="82">
        <f t="shared" si="40"/>
        <v>37.700000000000003</v>
      </c>
      <c r="BN88" s="82">
        <f t="shared" si="40"/>
        <v>0</v>
      </c>
      <c r="BO88" s="82">
        <f t="shared" si="40"/>
        <v>0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8.6999999999999993</v>
      </c>
      <c r="AI89" s="47">
        <f t="shared" si="28"/>
        <v>7.7</v>
      </c>
      <c r="AK89" s="49"/>
      <c r="AZ89" s="82">
        <f t="shared" si="40"/>
        <v>0</v>
      </c>
      <c r="BA89" s="82">
        <f t="shared" si="40"/>
        <v>0</v>
      </c>
      <c r="BB89" s="82">
        <f t="shared" si="40"/>
        <v>16.100000000000001</v>
      </c>
      <c r="BC89" s="82">
        <f t="shared" si="40"/>
        <v>15.4</v>
      </c>
      <c r="BD89" s="82">
        <f t="shared" si="40"/>
        <v>15.3</v>
      </c>
      <c r="BE89" s="82">
        <f t="shared" si="40"/>
        <v>8.4</v>
      </c>
      <c r="BF89" s="82">
        <f t="shared" si="40"/>
        <v>13</v>
      </c>
      <c r="BG89" s="82">
        <f t="shared" si="40"/>
        <v>12.9</v>
      </c>
      <c r="BH89" s="82">
        <f t="shared" si="40"/>
        <v>11.8</v>
      </c>
      <c r="BI89" s="82">
        <f t="shared" si="40"/>
        <v>12.6</v>
      </c>
      <c r="BJ89" s="82">
        <f t="shared" si="40"/>
        <v>12.4</v>
      </c>
      <c r="BK89" s="82">
        <f t="shared" si="40"/>
        <v>11.8</v>
      </c>
      <c r="BL89" s="82">
        <f t="shared" si="40"/>
        <v>11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4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54.6</v>
      </c>
      <c r="BF90" s="82">
        <f t="shared" si="40"/>
        <v>41.3</v>
      </c>
      <c r="BG90" s="82">
        <f t="shared" si="40"/>
        <v>48.8</v>
      </c>
      <c r="BH90" s="82">
        <f t="shared" si="40"/>
        <v>51.9</v>
      </c>
      <c r="BI90" s="82">
        <f t="shared" si="40"/>
        <v>49.88</v>
      </c>
      <c r="BJ90" s="82">
        <f t="shared" si="40"/>
        <v>56.4</v>
      </c>
      <c r="BK90" s="82">
        <f t="shared" si="40"/>
        <v>52.2</v>
      </c>
      <c r="BL90" s="82">
        <f t="shared" si="40"/>
        <v>50</v>
      </c>
      <c r="BM90" s="82">
        <f t="shared" si="40"/>
        <v>46.4</v>
      </c>
      <c r="BN90" s="82">
        <f t="shared" si="40"/>
        <v>0</v>
      </c>
      <c r="BO90" s="82">
        <f t="shared" si="40"/>
        <v>0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>
      <c r="A92" s="87" t="s">
        <v>117</v>
      </c>
      <c r="B92" s="70">
        <f t="shared" ref="B92" si="41">SUM(B79:B91)</f>
        <v>315.31</v>
      </c>
      <c r="C92" s="70">
        <f t="shared" ref="B92:AG92" si="42">SUM(C79:C91)</f>
        <v>313.60000000000002</v>
      </c>
      <c r="D92" s="70">
        <f t="shared" si="42"/>
        <v>314.89999999999998</v>
      </c>
      <c r="E92" s="70">
        <f t="shared" si="42"/>
        <v>314.30000000000007</v>
      </c>
      <c r="F92" s="70">
        <f t="shared" si="42"/>
        <v>314.30000000000007</v>
      </c>
      <c r="G92" s="70">
        <f t="shared" si="42"/>
        <v>324.60000000000008</v>
      </c>
      <c r="H92" s="70">
        <f t="shared" si="42"/>
        <v>313.40000000000003</v>
      </c>
      <c r="I92" s="70">
        <f t="shared" si="42"/>
        <v>315.50000000000006</v>
      </c>
      <c r="J92" s="70">
        <f t="shared" si="42"/>
        <v>348.90000000000003</v>
      </c>
      <c r="K92" s="70">
        <f t="shared" si="42"/>
        <v>349.20000000000005</v>
      </c>
      <c r="L92" s="70">
        <f t="shared" si="42"/>
        <v>350.90000000000003</v>
      </c>
      <c r="M92" s="70">
        <f t="shared" ref="M92:N92" si="43">SUM(M79:M91)</f>
        <v>331.50000000000011</v>
      </c>
      <c r="N92" s="70">
        <f t="shared" si="43"/>
        <v>335.5</v>
      </c>
      <c r="O92" s="70">
        <f t="shared" ref="O92:P92" si="44">SUM(O79:O91)</f>
        <v>334.70000000000005</v>
      </c>
      <c r="P92" s="70">
        <f t="shared" si="44"/>
        <v>351.5</v>
      </c>
      <c r="Q92" s="70">
        <f t="shared" ref="Q92" si="45">SUM(Q79:Q91)</f>
        <v>361.50000000000006</v>
      </c>
      <c r="R92" s="70">
        <f t="shared" si="42"/>
        <v>311.5</v>
      </c>
      <c r="S92" s="70">
        <f t="shared" ref="S92" si="46">SUM(S79:S91)</f>
        <v>279</v>
      </c>
      <c r="T92" s="70">
        <f t="shared" si="42"/>
        <v>2</v>
      </c>
      <c r="U92" s="70">
        <f t="shared" si="42"/>
        <v>2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7"/>
        <v>361.50000000000006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40</v>
      </c>
      <c r="AI93" s="47">
        <f t="shared" si="28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18</v>
      </c>
      <c r="AI94" s="47">
        <f t="shared" si="28"/>
        <v>5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10</v>
      </c>
      <c r="AI95" s="47">
        <f t="shared" si="28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7">B93+B94+B95</f>
        <v>51</v>
      </c>
      <c r="C96" s="70">
        <f t="shared" ref="B96:AF96" si="48">C93+C94+C95</f>
        <v>43</v>
      </c>
      <c r="D96" s="70">
        <f t="shared" si="48"/>
        <v>43</v>
      </c>
      <c r="E96" s="70">
        <f t="shared" si="48"/>
        <v>43</v>
      </c>
      <c r="F96" s="70">
        <f t="shared" si="48"/>
        <v>43</v>
      </c>
      <c r="G96" s="70">
        <f t="shared" si="48"/>
        <v>43</v>
      </c>
      <c r="H96" s="70">
        <f t="shared" si="48"/>
        <v>25</v>
      </c>
      <c r="I96" s="70">
        <f t="shared" si="48"/>
        <v>25</v>
      </c>
      <c r="J96" s="70">
        <f t="shared" si="48"/>
        <v>51</v>
      </c>
      <c r="K96" s="70">
        <f t="shared" si="48"/>
        <v>51</v>
      </c>
      <c r="L96" s="70">
        <f t="shared" si="48"/>
        <v>68</v>
      </c>
      <c r="M96" s="70">
        <f t="shared" ref="M96:N96" si="49">M93+M94+M95</f>
        <v>49</v>
      </c>
      <c r="N96" s="70">
        <f t="shared" si="49"/>
        <v>49.4</v>
      </c>
      <c r="O96" s="70">
        <f t="shared" ref="O96:P96" si="50">O93+O94+O95</f>
        <v>49.4</v>
      </c>
      <c r="P96" s="70">
        <f t="shared" si="50"/>
        <v>49.4</v>
      </c>
      <c r="Q96" s="70">
        <f t="shared" ref="Q96" si="51">Q93+Q94+Q95</f>
        <v>49.4</v>
      </c>
      <c r="R96" s="70">
        <f t="shared" si="48"/>
        <v>25</v>
      </c>
      <c r="S96" s="70">
        <f t="shared" ref="S96" si="52">S93+S94+S95</f>
        <v>25</v>
      </c>
      <c r="T96" s="70">
        <f t="shared" si="48"/>
        <v>0</v>
      </c>
      <c r="U96" s="70">
        <f t="shared" si="48"/>
        <v>0</v>
      </c>
      <c r="V96" s="70">
        <f t="shared" si="48"/>
        <v>0</v>
      </c>
      <c r="W96" s="70">
        <f t="shared" si="48"/>
        <v>0</v>
      </c>
      <c r="X96" s="70">
        <f t="shared" si="48"/>
        <v>0</v>
      </c>
      <c r="Y96" s="70">
        <f t="shared" si="48"/>
        <v>0</v>
      </c>
      <c r="Z96" s="70">
        <f t="shared" si="48"/>
        <v>0</v>
      </c>
      <c r="AA96" s="70">
        <f t="shared" si="48"/>
        <v>0</v>
      </c>
      <c r="AB96" s="70">
        <f t="shared" si="48"/>
        <v>0</v>
      </c>
      <c r="AC96" s="70">
        <f t="shared" si="48"/>
        <v>0</v>
      </c>
      <c r="AD96" s="70">
        <f t="shared" si="48"/>
        <v>0</v>
      </c>
      <c r="AE96" s="70">
        <f t="shared" si="48"/>
        <v>0</v>
      </c>
      <c r="AF96" s="70">
        <f t="shared" si="48"/>
        <v>0</v>
      </c>
      <c r="AG96" s="80">
        <f>SUM(AG93:AG95)</f>
        <v>106</v>
      </c>
      <c r="AH96" s="46">
        <f t="shared" si="27"/>
        <v>68</v>
      </c>
      <c r="AI96" s="47">
        <f t="shared" si="28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157.69999999999999</v>
      </c>
      <c r="AI97" s="47">
        <f t="shared" si="28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28.9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65.099999999999994</v>
      </c>
      <c r="AI99" s="47">
        <f t="shared" si="28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0</v>
      </c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16.100000000000001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56.4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68.400000000000006</v>
      </c>
      <c r="AI102" s="47">
        <f t="shared" si="28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53">SUMIF(B97:B107,"&gt;0")</f>
        <v>99</v>
      </c>
      <c r="C108" s="70">
        <f t="shared" ref="B108:AF108" si="54">SUMIF(C97:C107,"&gt;0")</f>
        <v>96.8</v>
      </c>
      <c r="D108" s="70">
        <f t="shared" si="54"/>
        <v>83.7</v>
      </c>
      <c r="E108" s="70">
        <f t="shared" si="54"/>
        <v>105.69999999999999</v>
      </c>
      <c r="F108" s="70">
        <f t="shared" si="54"/>
        <v>100.10000000000001</v>
      </c>
      <c r="G108" s="70">
        <f t="shared" si="54"/>
        <v>95.1</v>
      </c>
      <c r="H108" s="70">
        <f t="shared" si="54"/>
        <v>151.19999999999999</v>
      </c>
      <c r="I108" s="70">
        <f t="shared" si="54"/>
        <v>161.4</v>
      </c>
      <c r="J108" s="70">
        <f t="shared" si="54"/>
        <v>169.5</v>
      </c>
      <c r="K108" s="70">
        <f t="shared" si="54"/>
        <v>163.39999999999998</v>
      </c>
      <c r="L108" s="70">
        <f t="shared" si="54"/>
        <v>150.6</v>
      </c>
      <c r="M108" s="70">
        <f t="shared" ref="M108:N108" si="55">SUMIF(M97:M107,"&gt;0")</f>
        <v>192.70000000000002</v>
      </c>
      <c r="N108" s="70">
        <f t="shared" si="55"/>
        <v>193.5</v>
      </c>
      <c r="O108" s="70">
        <f t="shared" ref="O108:P108" si="56">SUMIF(O97:O107,"&gt;0")</f>
        <v>199.48</v>
      </c>
      <c r="P108" s="70">
        <f t="shared" si="56"/>
        <v>197.70000000000002</v>
      </c>
      <c r="Q108" s="70">
        <f t="shared" ref="Q108" si="57">SUMIF(Q97:Q107,"&gt;0")</f>
        <v>204.3</v>
      </c>
      <c r="R108" s="70">
        <f t="shared" si="54"/>
        <v>217</v>
      </c>
      <c r="S108" s="70">
        <f t="shared" ref="S108" si="58">SUMIF(S97:S107,"&gt;0")</f>
        <v>338.29999999999995</v>
      </c>
      <c r="T108" s="70">
        <f t="shared" si="54"/>
        <v>0</v>
      </c>
      <c r="U108" s="70">
        <f t="shared" si="54"/>
        <v>0</v>
      </c>
      <c r="V108" s="70">
        <f t="shared" si="54"/>
        <v>0</v>
      </c>
      <c r="W108" s="70">
        <f t="shared" si="54"/>
        <v>0</v>
      </c>
      <c r="X108" s="70">
        <f t="shared" si="54"/>
        <v>0</v>
      </c>
      <c r="Y108" s="70">
        <f t="shared" si="54"/>
        <v>0</v>
      </c>
      <c r="Z108" s="70">
        <f t="shared" si="54"/>
        <v>0</v>
      </c>
      <c r="AA108" s="70">
        <f t="shared" si="54"/>
        <v>0</v>
      </c>
      <c r="AB108" s="70">
        <f t="shared" si="54"/>
        <v>0</v>
      </c>
      <c r="AC108" s="70">
        <f t="shared" si="54"/>
        <v>0</v>
      </c>
      <c r="AD108" s="70">
        <f t="shared" si="54"/>
        <v>0</v>
      </c>
      <c r="AE108" s="70">
        <f t="shared" si="54"/>
        <v>0</v>
      </c>
      <c r="AF108" s="70">
        <f t="shared" si="54"/>
        <v>0</v>
      </c>
      <c r="AG108" s="104">
        <f>SUM(AG97:AG107)</f>
        <v>0</v>
      </c>
      <c r="AH108" s="46">
        <f t="shared" si="27"/>
        <v>338.29999999999995</v>
      </c>
      <c r="AI108" s="47">
        <f t="shared" si="28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0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59">B71+B78+B96+B92+B108+B112</f>
        <v>2015.5100000000002</v>
      </c>
      <c r="C113" s="108">
        <f t="shared" ref="B113:AG113" si="60">C71+C78+C96+C92+C108+C112</f>
        <v>1932.6000000000001</v>
      </c>
      <c r="D113" s="108">
        <f t="shared" si="60"/>
        <v>2031.3000000000004</v>
      </c>
      <c r="E113" s="108">
        <f t="shared" si="60"/>
        <v>1894.2000000000005</v>
      </c>
      <c r="F113" s="108">
        <f t="shared" si="60"/>
        <v>1946.3000000000002</v>
      </c>
      <c r="G113" s="108">
        <f t="shared" si="60"/>
        <v>1964.4000000000003</v>
      </c>
      <c r="H113" s="108">
        <f t="shared" si="60"/>
        <v>1931.0000000000005</v>
      </c>
      <c r="I113" s="108">
        <f t="shared" si="60"/>
        <v>1833.3000000000004</v>
      </c>
      <c r="J113" s="108">
        <f t="shared" si="60"/>
        <v>1868.8000000000002</v>
      </c>
      <c r="K113" s="108">
        <f t="shared" si="60"/>
        <v>1921.3000000000002</v>
      </c>
      <c r="L113" s="108">
        <f t="shared" si="60"/>
        <v>1954.9000000000003</v>
      </c>
      <c r="M113" s="108">
        <f t="shared" ref="M113:N113" si="61">M71+M78+M96+M92+M108+M112</f>
        <v>1854.9000000000003</v>
      </c>
      <c r="N113" s="108">
        <f t="shared" si="61"/>
        <v>1909.1000000000004</v>
      </c>
      <c r="O113" s="108">
        <f t="shared" ref="O113:P113" si="62">O71+O78+O96+O92+O108+O112</f>
        <v>1979.9800000000002</v>
      </c>
      <c r="P113" s="108">
        <f t="shared" si="62"/>
        <v>2031.1000000000004</v>
      </c>
      <c r="Q113" s="108">
        <f t="shared" ref="Q113" si="63">Q71+Q78+Q96+Q92+Q108+Q112</f>
        <v>1841.5000000000002</v>
      </c>
      <c r="R113" s="108">
        <f t="shared" si="60"/>
        <v>1699.8000000000002</v>
      </c>
      <c r="S113" s="108">
        <f t="shared" ref="S113" si="64">S71+S78+S96+S92+S108+S112</f>
        <v>1774.3000000000002</v>
      </c>
      <c r="T113" s="108">
        <f t="shared" si="60"/>
        <v>172</v>
      </c>
      <c r="U113" s="108">
        <f t="shared" si="60"/>
        <v>172</v>
      </c>
      <c r="V113" s="108">
        <f t="shared" si="60"/>
        <v>172</v>
      </c>
      <c r="W113" s="108">
        <f t="shared" si="60"/>
        <v>172</v>
      </c>
      <c r="X113" s="108">
        <f t="shared" si="60"/>
        <v>172</v>
      </c>
      <c r="Y113" s="108">
        <f t="shared" si="60"/>
        <v>172</v>
      </c>
      <c r="Z113" s="108">
        <f t="shared" si="60"/>
        <v>172</v>
      </c>
      <c r="AA113" s="108">
        <f t="shared" si="60"/>
        <v>172</v>
      </c>
      <c r="AB113" s="108">
        <f t="shared" si="60"/>
        <v>172</v>
      </c>
      <c r="AC113" s="108">
        <f t="shared" si="60"/>
        <v>172</v>
      </c>
      <c r="AD113" s="108">
        <f t="shared" si="60"/>
        <v>172</v>
      </c>
      <c r="AE113" s="108">
        <f t="shared" si="60"/>
        <v>172</v>
      </c>
      <c r="AF113" s="108">
        <f t="shared" si="60"/>
        <v>172</v>
      </c>
      <c r="AG113" s="80">
        <f t="shared" si="60"/>
        <v>3169.915</v>
      </c>
      <c r="AH113" s="46">
        <f t="shared" si="27"/>
        <v>2031.3000000000004</v>
      </c>
      <c r="AI113" s="47">
        <f t="shared" si="28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65">B113+B114</f>
        <v>2015.5100000000002</v>
      </c>
      <c r="C115" s="108">
        <f t="shared" ref="C115:AF115" si="66">C113+C114</f>
        <v>1932.6000000000001</v>
      </c>
      <c r="D115" s="108">
        <f t="shared" si="66"/>
        <v>2031.3000000000004</v>
      </c>
      <c r="E115" s="108">
        <f t="shared" si="66"/>
        <v>1894.2000000000005</v>
      </c>
      <c r="F115" s="108">
        <f t="shared" si="66"/>
        <v>1946.3000000000002</v>
      </c>
      <c r="G115" s="108">
        <f t="shared" si="66"/>
        <v>1964.4000000000003</v>
      </c>
      <c r="H115" s="108">
        <f t="shared" si="66"/>
        <v>1931.0000000000005</v>
      </c>
      <c r="I115" s="108">
        <f t="shared" si="66"/>
        <v>1833.3000000000004</v>
      </c>
      <c r="J115" s="108">
        <f t="shared" si="66"/>
        <v>1868.8000000000002</v>
      </c>
      <c r="K115" s="108">
        <f t="shared" si="66"/>
        <v>1921.3000000000002</v>
      </c>
      <c r="L115" s="108">
        <f t="shared" si="66"/>
        <v>1954.9000000000003</v>
      </c>
      <c r="M115" s="108">
        <f t="shared" ref="M115:N115" si="67">M113+M114</f>
        <v>1854.9000000000003</v>
      </c>
      <c r="N115" s="108">
        <f t="shared" si="67"/>
        <v>1909.1000000000004</v>
      </c>
      <c r="O115" s="108">
        <f t="shared" ref="O115:P115" si="68">O113+O114</f>
        <v>1979.9800000000002</v>
      </c>
      <c r="P115" s="108">
        <f t="shared" si="68"/>
        <v>2031.1000000000004</v>
      </c>
      <c r="Q115" s="108">
        <f t="shared" ref="Q115" si="69">Q113+Q114</f>
        <v>1841.5000000000002</v>
      </c>
      <c r="R115" s="108">
        <f t="shared" si="66"/>
        <v>1699.8000000000002</v>
      </c>
      <c r="S115" s="108">
        <f t="shared" ref="S115" si="70">S113+S114</f>
        <v>1774.3000000000002</v>
      </c>
      <c r="T115" s="108">
        <f t="shared" si="66"/>
        <v>172</v>
      </c>
      <c r="U115" s="108">
        <f t="shared" si="66"/>
        <v>172</v>
      </c>
      <c r="V115" s="108">
        <f t="shared" si="66"/>
        <v>172</v>
      </c>
      <c r="W115" s="108">
        <f t="shared" si="66"/>
        <v>172</v>
      </c>
      <c r="X115" s="108">
        <f t="shared" si="66"/>
        <v>172</v>
      </c>
      <c r="Y115" s="108">
        <f t="shared" si="66"/>
        <v>172</v>
      </c>
      <c r="Z115" s="108">
        <f t="shared" si="66"/>
        <v>172</v>
      </c>
      <c r="AA115" s="108">
        <f t="shared" si="66"/>
        <v>172</v>
      </c>
      <c r="AB115" s="108">
        <f t="shared" si="66"/>
        <v>172</v>
      </c>
      <c r="AC115" s="108">
        <f t="shared" si="66"/>
        <v>172</v>
      </c>
      <c r="AD115" s="108">
        <f t="shared" si="66"/>
        <v>172</v>
      </c>
      <c r="AE115" s="108">
        <f t="shared" si="66"/>
        <v>172</v>
      </c>
      <c r="AF115" s="108">
        <f t="shared" si="66"/>
        <v>172</v>
      </c>
      <c r="AG115" s="104">
        <f>AG112+AG108+AG96+AG92+AG71+AG114</f>
        <v>2463.5149999999999</v>
      </c>
      <c r="AH115" s="46">
        <f t="shared" si="27"/>
        <v>2031.3000000000004</v>
      </c>
      <c r="AI115" s="47">
        <f t="shared" si="28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71">B115-(B123)</f>
        <v>1530.5100000000002</v>
      </c>
      <c r="C116" s="108">
        <f t="shared" ref="C116:AF116" si="72">C115-(C123)</f>
        <v>1425.6000000000001</v>
      </c>
      <c r="D116" s="108">
        <f t="shared" si="72"/>
        <v>1516.3000000000004</v>
      </c>
      <c r="E116" s="108">
        <f t="shared" si="72"/>
        <v>1362.2000000000005</v>
      </c>
      <c r="F116" s="108">
        <f t="shared" si="72"/>
        <v>1450.3000000000002</v>
      </c>
      <c r="G116" s="108">
        <f t="shared" si="72"/>
        <v>1485.8000000000002</v>
      </c>
      <c r="H116" s="108">
        <f t="shared" si="72"/>
        <v>1451.4000000000005</v>
      </c>
      <c r="I116" s="108">
        <f t="shared" si="72"/>
        <v>1486.0000000000005</v>
      </c>
      <c r="J116" s="108">
        <f t="shared" si="72"/>
        <v>1570.8000000000002</v>
      </c>
      <c r="K116" s="108">
        <f t="shared" si="72"/>
        <v>1600.3000000000002</v>
      </c>
      <c r="L116" s="108">
        <f t="shared" si="72"/>
        <v>1658.2000000000003</v>
      </c>
      <c r="M116" s="108">
        <f t="shared" ref="M116:N116" si="73">M115-(M123)</f>
        <v>1666.6000000000004</v>
      </c>
      <c r="N116" s="108">
        <f t="shared" si="73"/>
        <v>1709.2000000000003</v>
      </c>
      <c r="O116" s="108">
        <f t="shared" ref="O116:P116" si="74">O115-(O123)</f>
        <v>1714.9800000000002</v>
      </c>
      <c r="P116" s="108">
        <f t="shared" si="74"/>
        <v>1801.1000000000004</v>
      </c>
      <c r="Q116" s="108">
        <f t="shared" ref="Q116" si="75">Q115-(Q123)</f>
        <v>1841.5000000000002</v>
      </c>
      <c r="R116" s="108">
        <f t="shared" si="72"/>
        <v>1699.8000000000002</v>
      </c>
      <c r="S116" s="108">
        <f t="shared" ref="S116" si="76">S115-(S123)</f>
        <v>1774.3000000000002</v>
      </c>
      <c r="T116" s="108">
        <f t="shared" si="72"/>
        <v>172</v>
      </c>
      <c r="U116" s="108">
        <f t="shared" si="72"/>
        <v>172</v>
      </c>
      <c r="V116" s="108">
        <f t="shared" si="72"/>
        <v>172</v>
      </c>
      <c r="W116" s="108">
        <f t="shared" si="72"/>
        <v>172</v>
      </c>
      <c r="X116" s="108">
        <f t="shared" si="72"/>
        <v>172</v>
      </c>
      <c r="Y116" s="108">
        <f t="shared" si="72"/>
        <v>172</v>
      </c>
      <c r="Z116" s="108">
        <f t="shared" si="72"/>
        <v>172</v>
      </c>
      <c r="AA116" s="108">
        <f t="shared" si="72"/>
        <v>172</v>
      </c>
      <c r="AB116" s="108">
        <f t="shared" si="72"/>
        <v>172</v>
      </c>
      <c r="AC116" s="108">
        <f t="shared" si="72"/>
        <v>172</v>
      </c>
      <c r="AD116" s="108">
        <f t="shared" si="72"/>
        <v>172</v>
      </c>
      <c r="AE116" s="108">
        <f t="shared" si="72"/>
        <v>172</v>
      </c>
      <c r="AF116" s="108">
        <f t="shared" si="72"/>
        <v>172</v>
      </c>
      <c r="AG116" s="104"/>
      <c r="AH116" s="46">
        <f t="shared" si="27"/>
        <v>1841.5000000000002</v>
      </c>
      <c r="AI116" s="47">
        <f t="shared" si="28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77">IF(B97&lt;0,B97*-1,0)</f>
        <v>485</v>
      </c>
      <c r="C117" s="93">
        <f t="shared" ref="B117:AF122" si="78">IF(C97&lt;0,C97*-1,0)</f>
        <v>507</v>
      </c>
      <c r="D117" s="93">
        <f t="shared" si="78"/>
        <v>515</v>
      </c>
      <c r="E117" s="93">
        <f t="shared" si="78"/>
        <v>532</v>
      </c>
      <c r="F117" s="93">
        <f t="shared" si="78"/>
        <v>496</v>
      </c>
      <c r="G117" s="93">
        <f t="shared" si="78"/>
        <v>478.6</v>
      </c>
      <c r="H117" s="93">
        <f t="shared" si="78"/>
        <v>479.6</v>
      </c>
      <c r="I117" s="93">
        <f t="shared" si="78"/>
        <v>347.3</v>
      </c>
      <c r="J117" s="93">
        <f t="shared" si="78"/>
        <v>298</v>
      </c>
      <c r="K117" s="93">
        <f t="shared" si="78"/>
        <v>321</v>
      </c>
      <c r="L117" s="93">
        <f t="shared" si="78"/>
        <v>296.7</v>
      </c>
      <c r="M117" s="93">
        <f t="shared" ref="M117:N117" si="79">IF(M97&lt;0,M97*-1,0)</f>
        <v>188.3</v>
      </c>
      <c r="N117" s="93">
        <f t="shared" si="79"/>
        <v>199.9</v>
      </c>
      <c r="O117" s="93">
        <f t="shared" ref="O117:P117" si="80">IF(O97&lt;0,O97*-1,0)</f>
        <v>265</v>
      </c>
      <c r="P117" s="93">
        <f t="shared" si="80"/>
        <v>230</v>
      </c>
      <c r="Q117" s="93">
        <f t="shared" ref="Q117" si="81">IF(Q97&lt;0,Q97*-1,0)</f>
        <v>0</v>
      </c>
      <c r="R117" s="93">
        <f t="shared" si="78"/>
        <v>0</v>
      </c>
      <c r="S117" s="93">
        <f t="shared" ref="S117" si="82">IF(S97&lt;0,S97*-1,0)</f>
        <v>0</v>
      </c>
      <c r="T117" s="93">
        <f t="shared" si="78"/>
        <v>0</v>
      </c>
      <c r="U117" s="93">
        <f t="shared" si="78"/>
        <v>0</v>
      </c>
      <c r="V117" s="93">
        <f t="shared" si="78"/>
        <v>0</v>
      </c>
      <c r="W117" s="93">
        <f t="shared" si="78"/>
        <v>0</v>
      </c>
      <c r="X117" s="93">
        <f t="shared" si="78"/>
        <v>0</v>
      </c>
      <c r="Y117" s="93">
        <f t="shared" si="78"/>
        <v>0</v>
      </c>
      <c r="Z117" s="93">
        <f t="shared" si="78"/>
        <v>0</v>
      </c>
      <c r="AA117" s="93">
        <f t="shared" si="78"/>
        <v>0</v>
      </c>
      <c r="AB117" s="93">
        <f t="shared" si="78"/>
        <v>0</v>
      </c>
      <c r="AC117" s="93">
        <f t="shared" si="78"/>
        <v>0</v>
      </c>
      <c r="AD117" s="93">
        <f t="shared" si="78"/>
        <v>0</v>
      </c>
      <c r="AE117" s="93">
        <f t="shared" si="78"/>
        <v>0</v>
      </c>
      <c r="AF117" s="93">
        <f t="shared" si="78"/>
        <v>0</v>
      </c>
      <c r="AG117" s="61"/>
      <c r="AH117" s="46">
        <f t="shared" si="27"/>
        <v>532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7"/>
        <v>0</v>
      </c>
      <c r="C118" s="93">
        <f t="shared" si="78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ref="M118:N118" si="83">IF(M98&lt;0,M98*-1,0)</f>
        <v>0</v>
      </c>
      <c r="N118" s="93">
        <f t="shared" si="83"/>
        <v>0</v>
      </c>
      <c r="O118" s="93">
        <f t="shared" ref="O118:P118" si="84">IF(O98&lt;0,O98*-1,0)</f>
        <v>0</v>
      </c>
      <c r="P118" s="93">
        <f t="shared" si="84"/>
        <v>0</v>
      </c>
      <c r="Q118" s="93">
        <f t="shared" ref="Q118" si="85">IF(Q98&lt;0,Q98*-1,0)</f>
        <v>0</v>
      </c>
      <c r="R118" s="93">
        <f t="shared" si="78"/>
        <v>0</v>
      </c>
      <c r="S118" s="93">
        <f t="shared" ref="S118" si="86">IF(S98&lt;0,S98*-1,0)</f>
        <v>0</v>
      </c>
      <c r="T118" s="93">
        <f t="shared" si="78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si="78"/>
        <v>0</v>
      </c>
      <c r="AC118" s="93">
        <f t="shared" si="78"/>
        <v>0</v>
      </c>
      <c r="AD118" s="93">
        <f t="shared" si="78"/>
        <v>0</v>
      </c>
      <c r="AE118" s="93">
        <f t="shared" si="78"/>
        <v>0</v>
      </c>
      <c r="AF118" s="93">
        <f t="shared" si="78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7"/>
        <v>0</v>
      </c>
      <c r="C119" s="93">
        <f t="shared" si="78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ref="M119:N119" si="87">IF(M99&lt;0,M99*-1,0)</f>
        <v>0</v>
      </c>
      <c r="N119" s="93">
        <f t="shared" si="87"/>
        <v>0</v>
      </c>
      <c r="O119" s="93">
        <f t="shared" ref="O119:P119" si="88">IF(O99&lt;0,O99*-1,0)</f>
        <v>0</v>
      </c>
      <c r="P119" s="93">
        <f t="shared" si="88"/>
        <v>0</v>
      </c>
      <c r="Q119" s="93">
        <f t="shared" ref="Q119" si="89">IF(Q99&lt;0,Q99*-1,0)</f>
        <v>0</v>
      </c>
      <c r="R119" s="93">
        <f t="shared" si="78"/>
        <v>0</v>
      </c>
      <c r="S119" s="93">
        <f t="shared" ref="S119" si="90">IF(S99&lt;0,S99*-1,0)</f>
        <v>0</v>
      </c>
      <c r="T119" s="93">
        <f t="shared" si="78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si="78"/>
        <v>0</v>
      </c>
      <c r="AC119" s="93">
        <f t="shared" si="78"/>
        <v>0</v>
      </c>
      <c r="AD119" s="93">
        <f t="shared" si="78"/>
        <v>0</v>
      </c>
      <c r="AE119" s="93">
        <f t="shared" si="78"/>
        <v>0</v>
      </c>
      <c r="AF119" s="93">
        <f t="shared" si="78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77"/>
        <v>0</v>
      </c>
      <c r="C120" s="93">
        <f t="shared" si="78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ref="M120:N120" si="91">IF(M100&lt;0,M100*-1,0)</f>
        <v>0</v>
      </c>
      <c r="N120" s="93">
        <f t="shared" si="91"/>
        <v>0</v>
      </c>
      <c r="O120" s="93">
        <f t="shared" ref="O120:P120" si="92">IF(O100&lt;0,O100*-1,0)</f>
        <v>0</v>
      </c>
      <c r="P120" s="93">
        <f t="shared" si="92"/>
        <v>0</v>
      </c>
      <c r="Q120" s="93">
        <f t="shared" ref="Q120" si="93">IF(Q100&lt;0,Q100*-1,0)</f>
        <v>0</v>
      </c>
      <c r="R120" s="93">
        <f t="shared" si="78"/>
        <v>0</v>
      </c>
      <c r="S120" s="93">
        <f t="shared" ref="S120" si="94">IF(S100&lt;0,S100*-1,0)</f>
        <v>0</v>
      </c>
      <c r="T120" s="93">
        <f t="shared" si="78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si="78"/>
        <v>0</v>
      </c>
      <c r="AC120" s="93">
        <f t="shared" si="78"/>
        <v>0</v>
      </c>
      <c r="AD120" s="93">
        <f t="shared" si="78"/>
        <v>0</v>
      </c>
      <c r="AE120" s="93">
        <f t="shared" si="78"/>
        <v>0</v>
      </c>
      <c r="AF120" s="93">
        <f t="shared" si="78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77"/>
        <v>0</v>
      </c>
      <c r="C121" s="93">
        <f t="shared" si="78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ref="M121:N121" si="95">IF(M101&lt;0,M101*-1,0)</f>
        <v>0</v>
      </c>
      <c r="N121" s="93">
        <f t="shared" si="95"/>
        <v>0</v>
      </c>
      <c r="O121" s="93">
        <f t="shared" ref="O121:P121" si="96">IF(O101&lt;0,O101*-1,0)</f>
        <v>0</v>
      </c>
      <c r="P121" s="93">
        <f t="shared" si="96"/>
        <v>0</v>
      </c>
      <c r="Q121" s="93">
        <f t="shared" ref="Q121" si="97">IF(Q101&lt;0,Q101*-1,0)</f>
        <v>0</v>
      </c>
      <c r="R121" s="93">
        <f t="shared" si="78"/>
        <v>0</v>
      </c>
      <c r="S121" s="93">
        <f t="shared" ref="S121" si="98">IF(S101&lt;0,S101*-1,0)</f>
        <v>0</v>
      </c>
      <c r="T121" s="93">
        <f t="shared" si="78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si="78"/>
        <v>0</v>
      </c>
      <c r="AC121" s="93">
        <f t="shared" si="78"/>
        <v>0</v>
      </c>
      <c r="AD121" s="93">
        <f t="shared" si="78"/>
        <v>0</v>
      </c>
      <c r="AE121" s="93">
        <f t="shared" si="78"/>
        <v>0</v>
      </c>
      <c r="AF121" s="93">
        <f t="shared" si="78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77"/>
        <v>0</v>
      </c>
      <c r="C122" s="93">
        <f t="shared" si="78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ref="M122:N122" si="99">IF(M102&lt;0,M102*-1,0)</f>
        <v>0</v>
      </c>
      <c r="N122" s="93">
        <f t="shared" si="99"/>
        <v>0</v>
      </c>
      <c r="O122" s="93">
        <f t="shared" ref="O122:P122" si="100">IF(O102&lt;0,O102*-1,0)</f>
        <v>0</v>
      </c>
      <c r="P122" s="93">
        <f t="shared" si="100"/>
        <v>0</v>
      </c>
      <c r="Q122" s="93">
        <f t="shared" ref="Q122" si="101">IF(Q102&lt;0,Q102*-1,0)</f>
        <v>0</v>
      </c>
      <c r="R122" s="93">
        <f t="shared" si="78"/>
        <v>0</v>
      </c>
      <c r="S122" s="93">
        <f t="shared" ref="S122" si="102">IF(S102&lt;0,S102*-1,0)</f>
        <v>0</v>
      </c>
      <c r="T122" s="93">
        <f t="shared" si="78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si="78"/>
        <v>0</v>
      </c>
      <c r="AC122" s="93">
        <f t="shared" si="78"/>
        <v>0</v>
      </c>
      <c r="AD122" s="93">
        <f t="shared" si="78"/>
        <v>0</v>
      </c>
      <c r="AE122" s="93">
        <f t="shared" si="78"/>
        <v>0</v>
      </c>
      <c r="AF122" s="93">
        <f t="shared" si="78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" si="103">SUM(B117:B122)</f>
        <v>485</v>
      </c>
      <c r="C123" s="70">
        <f t="shared" ref="B123:AF123" si="104">SUM(C117:C122)</f>
        <v>507</v>
      </c>
      <c r="D123" s="70">
        <f t="shared" si="104"/>
        <v>515</v>
      </c>
      <c r="E123" s="70">
        <f t="shared" si="104"/>
        <v>532</v>
      </c>
      <c r="F123" s="70">
        <f t="shared" si="104"/>
        <v>496</v>
      </c>
      <c r="G123" s="70">
        <f t="shared" si="104"/>
        <v>478.6</v>
      </c>
      <c r="H123" s="70">
        <f t="shared" si="104"/>
        <v>479.6</v>
      </c>
      <c r="I123" s="70">
        <f t="shared" si="104"/>
        <v>347.3</v>
      </c>
      <c r="J123" s="70">
        <f t="shared" si="104"/>
        <v>298</v>
      </c>
      <c r="K123" s="70">
        <f t="shared" si="104"/>
        <v>321</v>
      </c>
      <c r="L123" s="70">
        <f t="shared" si="104"/>
        <v>296.7</v>
      </c>
      <c r="M123" s="70">
        <f t="shared" ref="M123:N123" si="105">SUM(M117:M122)</f>
        <v>188.3</v>
      </c>
      <c r="N123" s="70">
        <f t="shared" si="105"/>
        <v>199.9</v>
      </c>
      <c r="O123" s="70">
        <f t="shared" ref="O123:P123" si="106">SUM(O117:O122)</f>
        <v>265</v>
      </c>
      <c r="P123" s="70">
        <f t="shared" si="106"/>
        <v>230</v>
      </c>
      <c r="Q123" s="70">
        <f t="shared" ref="Q123" si="107">SUM(Q117:Q122)</f>
        <v>0</v>
      </c>
      <c r="R123" s="70">
        <f t="shared" si="104"/>
        <v>0</v>
      </c>
      <c r="S123" s="70">
        <f t="shared" ref="S123" si="108">SUM(S117:S122)</f>
        <v>0</v>
      </c>
      <c r="T123" s="70">
        <f t="shared" si="104"/>
        <v>0</v>
      </c>
      <c r="U123" s="70">
        <f t="shared" si="104"/>
        <v>0</v>
      </c>
      <c r="V123" s="70">
        <f t="shared" si="104"/>
        <v>0</v>
      </c>
      <c r="W123" s="70">
        <f t="shared" si="104"/>
        <v>0</v>
      </c>
      <c r="X123" s="70">
        <f t="shared" si="104"/>
        <v>0</v>
      </c>
      <c r="Y123" s="70">
        <f t="shared" si="104"/>
        <v>0</v>
      </c>
      <c r="Z123" s="70">
        <f t="shared" si="104"/>
        <v>0</v>
      </c>
      <c r="AA123" s="70">
        <f t="shared" si="104"/>
        <v>0</v>
      </c>
      <c r="AB123" s="70">
        <f t="shared" si="104"/>
        <v>0</v>
      </c>
      <c r="AC123" s="70">
        <f t="shared" si="104"/>
        <v>0</v>
      </c>
      <c r="AD123" s="70">
        <f t="shared" si="104"/>
        <v>0</v>
      </c>
      <c r="AE123" s="70">
        <f t="shared" si="104"/>
        <v>0</v>
      </c>
      <c r="AF123" s="70">
        <f t="shared" si="104"/>
        <v>0</v>
      </c>
      <c r="AG123" s="104"/>
      <c r="AH123" s="46">
        <f t="shared" si="27"/>
        <v>532</v>
      </c>
      <c r="AI123" s="47">
        <f t="shared" si="28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109">B108-B123</f>
        <v>-386</v>
      </c>
      <c r="C124" s="70">
        <f t="shared" ref="B124:AF124" si="110">C108-C123</f>
        <v>-410.2</v>
      </c>
      <c r="D124" s="70">
        <f t="shared" si="110"/>
        <v>-431.3</v>
      </c>
      <c r="E124" s="70">
        <f t="shared" si="110"/>
        <v>-426.3</v>
      </c>
      <c r="F124" s="70">
        <f t="shared" si="110"/>
        <v>-395.9</v>
      </c>
      <c r="G124" s="70">
        <f t="shared" si="110"/>
        <v>-383.5</v>
      </c>
      <c r="H124" s="70">
        <f t="shared" si="110"/>
        <v>-328.40000000000003</v>
      </c>
      <c r="I124" s="70">
        <f t="shared" si="110"/>
        <v>-185.9</v>
      </c>
      <c r="J124" s="70">
        <f t="shared" si="110"/>
        <v>-128.5</v>
      </c>
      <c r="K124" s="70">
        <f t="shared" si="110"/>
        <v>-157.60000000000002</v>
      </c>
      <c r="L124" s="70">
        <f t="shared" si="110"/>
        <v>-146.1</v>
      </c>
      <c r="M124" s="70">
        <f t="shared" ref="M124:N124" si="111">M108-M123</f>
        <v>4.4000000000000057</v>
      </c>
      <c r="N124" s="70">
        <f t="shared" si="111"/>
        <v>-6.4000000000000057</v>
      </c>
      <c r="O124" s="70">
        <f t="shared" ref="O124:P124" si="112">O108-O123</f>
        <v>-65.52000000000001</v>
      </c>
      <c r="P124" s="70">
        <f t="shared" si="112"/>
        <v>-32.299999999999983</v>
      </c>
      <c r="Q124" s="70">
        <f t="shared" ref="Q124" si="113">Q108-Q123</f>
        <v>204.3</v>
      </c>
      <c r="R124" s="70">
        <f t="shared" si="110"/>
        <v>217</v>
      </c>
      <c r="S124" s="70">
        <f t="shared" ref="S124" si="114">S108-S123</f>
        <v>338.29999999999995</v>
      </c>
      <c r="T124" s="70">
        <f t="shared" si="110"/>
        <v>0</v>
      </c>
      <c r="U124" s="70">
        <f t="shared" si="110"/>
        <v>0</v>
      </c>
      <c r="V124" s="70">
        <f t="shared" si="110"/>
        <v>0</v>
      </c>
      <c r="W124" s="70">
        <f t="shared" si="110"/>
        <v>0</v>
      </c>
      <c r="X124" s="70">
        <f t="shared" si="110"/>
        <v>0</v>
      </c>
      <c r="Y124" s="70">
        <f t="shared" si="110"/>
        <v>0</v>
      </c>
      <c r="Z124" s="70">
        <f t="shared" si="110"/>
        <v>0</v>
      </c>
      <c r="AA124" s="70">
        <f t="shared" si="110"/>
        <v>0</v>
      </c>
      <c r="AB124" s="70">
        <f t="shared" si="110"/>
        <v>0</v>
      </c>
      <c r="AC124" s="70">
        <f t="shared" si="110"/>
        <v>0</v>
      </c>
      <c r="AD124" s="70">
        <f t="shared" si="110"/>
        <v>0</v>
      </c>
      <c r="AE124" s="70">
        <f t="shared" si="110"/>
        <v>0</v>
      </c>
      <c r="AF124" s="70">
        <f t="shared" si="110"/>
        <v>0</v>
      </c>
      <c r="AG124" s="104"/>
      <c r="AH124" s="46">
        <f t="shared" si="27"/>
        <v>338.29999999999995</v>
      </c>
      <c r="AI124" s="47">
        <f t="shared" si="28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50.067999999999998</v>
      </c>
      <c r="AI126" s="47">
        <f t="shared" si="28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134.80000000000001</v>
      </c>
      <c r="AI127" s="47">
        <f t="shared" si="28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132.30000000000001</v>
      </c>
      <c r="AI128" s="47">
        <f t="shared" si="28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135.9</v>
      </c>
      <c r="AI130" s="47">
        <f t="shared" si="28"/>
        <v>132.19999999999999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131.19999999999999</v>
      </c>
      <c r="AI131" s="47">
        <f t="shared" si="28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134.69999999999999</v>
      </c>
      <c r="AI132" s="47">
        <f t="shared" si="28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" si="115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16">SUM(C26,C32,C45:C46,C82,C84:C85,C87,C89,C137:C142,C177,C183,C189,C198,C200,C212,C219,C222:C223,C230,C232,C234,C238:C240,C242:C244,C249,C255:C256,C258:C260,C161,C166)</f>
        <v>141.33999999999997</v>
      </c>
      <c r="D135" s="114">
        <f t="shared" si="116"/>
        <v>145.43999999999997</v>
      </c>
      <c r="E135" s="114">
        <f t="shared" si="116"/>
        <v>144.94</v>
      </c>
      <c r="F135" s="114">
        <f t="shared" si="116"/>
        <v>140.83999999999997</v>
      </c>
      <c r="G135" s="114">
        <f t="shared" si="116"/>
        <v>150.24</v>
      </c>
      <c r="H135" s="114">
        <f t="shared" si="116"/>
        <v>189.74</v>
      </c>
      <c r="I135" s="114">
        <f t="shared" si="116"/>
        <v>204.74</v>
      </c>
      <c r="J135" s="114">
        <f t="shared" si="116"/>
        <v>205.54</v>
      </c>
      <c r="K135" s="114">
        <f t="shared" si="116"/>
        <v>304.14</v>
      </c>
      <c r="L135" s="114">
        <f t="shared" si="116"/>
        <v>336.44</v>
      </c>
      <c r="M135" s="114">
        <f t="shared" ref="M135:N135" si="117">SUM(M26,M32,M45:M46,M82,M84:M85,M87,M89,M137:M142,M177,M183,M189,M198,M200,M212,M219,M222:M223,M230,M232,M234,M238:M240,M242:M244,M249,M255:M256,M258:M260,M161,M166)</f>
        <v>310.43999999999994</v>
      </c>
      <c r="N135" s="114">
        <f t="shared" si="117"/>
        <v>310.23999999999995</v>
      </c>
      <c r="O135" s="114">
        <f t="shared" ref="O135:P135" si="118">SUM(O26,O32,O45:O46,O82,O84:O85,O87,O89,O137:O142,O177,O183,O189,O198,O200,O212,O219,O222:O223,O230,O232,O234,O238:O240,O242:O244,O249,O255:O256,O258:O260,O161,O166)</f>
        <v>296.44</v>
      </c>
      <c r="P135" s="114">
        <f t="shared" si="118"/>
        <v>273.04000000000002</v>
      </c>
      <c r="Q135" s="114">
        <f t="shared" ref="Q135" si="119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20">SUM(R26,R32,R45:R46,R82,R84:R85,R87,R89,R137:R142,R177,R183,R189,R198,R200,R212,R219,R222:R223,R230,R232,R234,R238:R240,R242:R244,R249,R255:R256,R258:R260,R161,R166)</f>
        <v>261.24</v>
      </c>
      <c r="S135" s="114">
        <f t="shared" ref="S135" si="121">SUM(S26,S32,S45:S46,S82,S84:S85,S87,S89,S137:S142,S177,S183,S189,S198,S200,S212,S219,S222:S223,S230,S232,S234,S238:S240,S242:S244,S249,S255:S256,S258:S260,S161,S166)</f>
        <v>284.04000000000002</v>
      </c>
      <c r="T135" s="114">
        <f t="shared" si="120"/>
        <v>0.94</v>
      </c>
      <c r="U135" s="114">
        <f t="shared" si="120"/>
        <v>0.94</v>
      </c>
      <c r="V135" s="114">
        <f t="shared" si="120"/>
        <v>0.94</v>
      </c>
      <c r="W135" s="114">
        <f t="shared" si="120"/>
        <v>0.94</v>
      </c>
      <c r="X135" s="114">
        <f t="shared" si="12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336.44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59.5</v>
      </c>
      <c r="AI137" s="47">
        <f t="shared" si="28"/>
        <v>-9.1999999999999993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67.2</v>
      </c>
      <c r="AI138" s="47">
        <f t="shared" si="28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-30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42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124.3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3">MAX(B146:AF146)</f>
        <v>-110.5</v>
      </c>
      <c r="AI146" s="47">
        <f t="shared" ref="AI146:AI158" si="124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3"/>
        <v>773.4</v>
      </c>
      <c r="AI147" s="47">
        <f t="shared" si="12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3"/>
        <v>5</v>
      </c>
      <c r="AI148" s="47">
        <f t="shared" si="12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3"/>
        <v>229</v>
      </c>
      <c r="AI149" s="47">
        <f t="shared" si="12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3"/>
        <v>31</v>
      </c>
      <c r="AI150" s="47">
        <f t="shared" si="12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3"/>
        <v>22.8</v>
      </c>
      <c r="AI151" s="47">
        <f t="shared" si="124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1984.8</v>
      </c>
      <c r="AI153" s="47">
        <f t="shared" si="12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0</v>
      </c>
      <c r="AI154" s="47">
        <f t="shared" si="12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625.41</v>
      </c>
      <c r="AI155" s="47">
        <f t="shared" si="12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336.34</v>
      </c>
      <c r="AI156" s="47">
        <f t="shared" si="12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882.9</v>
      </c>
      <c r="AI157" s="47">
        <f t="shared" si="12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S166" si="125">B161</f>
        <v>0.3</v>
      </c>
      <c r="D161" s="159">
        <f t="shared" si="125"/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ref="S161:AF166" si="126">S161</f>
        <v>0.3</v>
      </c>
      <c r="U161" s="159">
        <f t="shared" si="126"/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25"/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6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25"/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6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25"/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6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25"/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6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25"/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6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27">SUM(C161:C166)</f>
        <v>3.54</v>
      </c>
      <c r="D167" s="167">
        <f t="shared" si="127"/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ref="M167:N167" si="128">SUM(M161:M166)</f>
        <v>3.54</v>
      </c>
      <c r="N167" s="167">
        <f t="shared" si="128"/>
        <v>3.54</v>
      </c>
      <c r="O167" s="167">
        <f t="shared" ref="O167:P167" si="129">SUM(O161:O166)</f>
        <v>3.54</v>
      </c>
      <c r="P167" s="167">
        <f t="shared" si="129"/>
        <v>3.54</v>
      </c>
      <c r="Q167" s="167">
        <f t="shared" ref="Q167" si="130">SUM(Q161:Q166)</f>
        <v>3.54</v>
      </c>
      <c r="R167" s="167">
        <f t="shared" si="127"/>
        <v>3.54</v>
      </c>
      <c r="S167" s="167">
        <f t="shared" ref="S167" si="131">SUM(S161:S166)</f>
        <v>3.54</v>
      </c>
      <c r="T167" s="167">
        <f t="shared" si="127"/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si="127"/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S184" si="132">B169</f>
        <v>0</v>
      </c>
      <c r="D169" s="159">
        <f t="shared" si="132"/>
        <v>0</v>
      </c>
      <c r="E169" s="159">
        <f t="shared" si="132"/>
        <v>0</v>
      </c>
      <c r="F169" s="159">
        <f t="shared" si="132"/>
        <v>0</v>
      </c>
      <c r="G169" s="159">
        <f t="shared" si="132"/>
        <v>0</v>
      </c>
      <c r="H169" s="159">
        <f t="shared" si="132"/>
        <v>0</v>
      </c>
      <c r="I169" s="159">
        <f t="shared" si="132"/>
        <v>0</v>
      </c>
      <c r="J169" s="159">
        <f t="shared" si="132"/>
        <v>0</v>
      </c>
      <c r="K169" s="159">
        <f t="shared" si="132"/>
        <v>0</v>
      </c>
      <c r="L169" s="159">
        <f t="shared" si="132"/>
        <v>0</v>
      </c>
      <c r="M169" s="159">
        <f t="shared" ref="M169:P232" si="133">L169</f>
        <v>0</v>
      </c>
      <c r="N169" s="159">
        <f t="shared" si="133"/>
        <v>0</v>
      </c>
      <c r="O169" s="159">
        <f t="shared" si="133"/>
        <v>0</v>
      </c>
      <c r="P169" s="159">
        <f t="shared" si="133"/>
        <v>0</v>
      </c>
      <c r="Q169" s="159">
        <f t="shared" ref="Q169:Q232" si="134">P169</f>
        <v>0</v>
      </c>
      <c r="R169" s="159">
        <f t="shared" si="132"/>
        <v>0</v>
      </c>
      <c r="S169" s="159">
        <f t="shared" si="132"/>
        <v>0</v>
      </c>
      <c r="T169" s="159">
        <f t="shared" ref="S169:AF184" si="135">S169</f>
        <v>0</v>
      </c>
      <c r="U169" s="159">
        <f t="shared" si="135"/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32"/>
        <v>0</v>
      </c>
      <c r="D170" s="161">
        <f t="shared" si="132"/>
        <v>0</v>
      </c>
      <c r="E170" s="161">
        <f t="shared" si="132"/>
        <v>0</v>
      </c>
      <c r="F170" s="161">
        <f t="shared" si="132"/>
        <v>0</v>
      </c>
      <c r="G170" s="161">
        <f t="shared" si="132"/>
        <v>0</v>
      </c>
      <c r="H170" s="161">
        <f t="shared" si="132"/>
        <v>0</v>
      </c>
      <c r="I170" s="161">
        <f t="shared" si="132"/>
        <v>0</v>
      </c>
      <c r="J170" s="161">
        <f t="shared" si="132"/>
        <v>0</v>
      </c>
      <c r="K170" s="161">
        <f t="shared" si="132"/>
        <v>0</v>
      </c>
      <c r="L170" s="161">
        <f t="shared" si="132"/>
        <v>0</v>
      </c>
      <c r="M170" s="161">
        <f t="shared" si="133"/>
        <v>0</v>
      </c>
      <c r="N170" s="161">
        <f t="shared" si="133"/>
        <v>0</v>
      </c>
      <c r="O170" s="161">
        <f t="shared" si="133"/>
        <v>0</v>
      </c>
      <c r="P170" s="161">
        <f t="shared" si="133"/>
        <v>0</v>
      </c>
      <c r="Q170" s="161">
        <f t="shared" si="134"/>
        <v>0</v>
      </c>
      <c r="R170" s="161">
        <f t="shared" si="132"/>
        <v>0</v>
      </c>
      <c r="S170" s="161">
        <f t="shared" si="132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32"/>
        <v>0</v>
      </c>
      <c r="D171" s="161">
        <f t="shared" si="132"/>
        <v>0</v>
      </c>
      <c r="E171" s="161">
        <f t="shared" si="132"/>
        <v>0</v>
      </c>
      <c r="F171" s="161">
        <f t="shared" si="132"/>
        <v>0</v>
      </c>
      <c r="G171" s="161">
        <f t="shared" si="132"/>
        <v>0</v>
      </c>
      <c r="H171" s="161">
        <f t="shared" si="132"/>
        <v>0</v>
      </c>
      <c r="I171" s="161">
        <f t="shared" si="132"/>
        <v>0</v>
      </c>
      <c r="J171" s="161">
        <f t="shared" si="132"/>
        <v>0</v>
      </c>
      <c r="K171" s="161">
        <f t="shared" si="132"/>
        <v>0</v>
      </c>
      <c r="L171" s="161">
        <f t="shared" si="132"/>
        <v>0</v>
      </c>
      <c r="M171" s="161">
        <f t="shared" si="133"/>
        <v>0</v>
      </c>
      <c r="N171" s="161">
        <f t="shared" si="133"/>
        <v>0</v>
      </c>
      <c r="O171" s="161">
        <f t="shared" si="133"/>
        <v>0</v>
      </c>
      <c r="P171" s="161">
        <f t="shared" si="133"/>
        <v>0</v>
      </c>
      <c r="Q171" s="161">
        <f t="shared" si="134"/>
        <v>0</v>
      </c>
      <c r="R171" s="161">
        <f t="shared" si="132"/>
        <v>0</v>
      </c>
      <c r="S171" s="161">
        <f t="shared" si="132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32"/>
        <v>0</v>
      </c>
      <c r="D172" s="161">
        <f t="shared" si="132"/>
        <v>0</v>
      </c>
      <c r="E172" s="161">
        <f t="shared" si="132"/>
        <v>0</v>
      </c>
      <c r="F172" s="161">
        <f t="shared" si="132"/>
        <v>0</v>
      </c>
      <c r="G172" s="161">
        <f t="shared" si="132"/>
        <v>0</v>
      </c>
      <c r="H172" s="161">
        <f t="shared" si="132"/>
        <v>0</v>
      </c>
      <c r="I172" s="161">
        <f t="shared" si="132"/>
        <v>0</v>
      </c>
      <c r="J172" s="161">
        <f t="shared" si="132"/>
        <v>0</v>
      </c>
      <c r="K172" s="161">
        <f t="shared" si="132"/>
        <v>0</v>
      </c>
      <c r="L172" s="161">
        <f t="shared" si="132"/>
        <v>0</v>
      </c>
      <c r="M172" s="161">
        <f t="shared" si="133"/>
        <v>0</v>
      </c>
      <c r="N172" s="161">
        <f t="shared" si="133"/>
        <v>0</v>
      </c>
      <c r="O172" s="161">
        <f t="shared" si="133"/>
        <v>0</v>
      </c>
      <c r="P172" s="161">
        <f t="shared" si="133"/>
        <v>0</v>
      </c>
      <c r="Q172" s="161">
        <f t="shared" si="134"/>
        <v>0</v>
      </c>
      <c r="R172" s="161">
        <f t="shared" si="132"/>
        <v>0</v>
      </c>
      <c r="S172" s="161">
        <f t="shared" si="132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32"/>
        <v>0</v>
      </c>
      <c r="D173" s="161">
        <f t="shared" si="132"/>
        <v>0</v>
      </c>
      <c r="E173" s="161">
        <f t="shared" si="132"/>
        <v>0</v>
      </c>
      <c r="F173" s="161">
        <f t="shared" si="132"/>
        <v>0</v>
      </c>
      <c r="G173" s="161">
        <f t="shared" si="132"/>
        <v>0</v>
      </c>
      <c r="H173" s="161">
        <f t="shared" si="132"/>
        <v>0</v>
      </c>
      <c r="I173" s="161">
        <f t="shared" si="132"/>
        <v>0</v>
      </c>
      <c r="J173" s="161">
        <f t="shared" si="132"/>
        <v>0</v>
      </c>
      <c r="K173" s="161">
        <f t="shared" si="132"/>
        <v>0</v>
      </c>
      <c r="L173" s="161">
        <f t="shared" si="132"/>
        <v>0</v>
      </c>
      <c r="M173" s="161">
        <f t="shared" si="133"/>
        <v>0</v>
      </c>
      <c r="N173" s="161">
        <f t="shared" si="133"/>
        <v>0</v>
      </c>
      <c r="O173" s="161">
        <f t="shared" si="133"/>
        <v>0</v>
      </c>
      <c r="P173" s="161">
        <f t="shared" si="133"/>
        <v>0</v>
      </c>
      <c r="Q173" s="161">
        <f t="shared" si="134"/>
        <v>0</v>
      </c>
      <c r="R173" s="161">
        <f t="shared" si="132"/>
        <v>0</v>
      </c>
      <c r="S173" s="161">
        <f t="shared" si="132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32"/>
        <v>0</v>
      </c>
      <c r="D174" s="161">
        <f t="shared" si="132"/>
        <v>0</v>
      </c>
      <c r="E174" s="161">
        <f t="shared" si="132"/>
        <v>0</v>
      </c>
      <c r="F174" s="161">
        <f t="shared" si="132"/>
        <v>0</v>
      </c>
      <c r="G174" s="161">
        <f t="shared" si="132"/>
        <v>0</v>
      </c>
      <c r="H174" s="161">
        <f t="shared" si="132"/>
        <v>0</v>
      </c>
      <c r="I174" s="161">
        <f t="shared" si="132"/>
        <v>0</v>
      </c>
      <c r="J174" s="161">
        <f t="shared" si="132"/>
        <v>0</v>
      </c>
      <c r="K174" s="161">
        <f t="shared" si="132"/>
        <v>0</v>
      </c>
      <c r="L174" s="161">
        <f t="shared" si="132"/>
        <v>0</v>
      </c>
      <c r="M174" s="161">
        <f t="shared" si="133"/>
        <v>0</v>
      </c>
      <c r="N174" s="161">
        <f t="shared" si="133"/>
        <v>0</v>
      </c>
      <c r="O174" s="161">
        <f t="shared" si="133"/>
        <v>0</v>
      </c>
      <c r="P174" s="161">
        <f t="shared" si="133"/>
        <v>0</v>
      </c>
      <c r="Q174" s="161">
        <f t="shared" si="134"/>
        <v>0</v>
      </c>
      <c r="R174" s="161">
        <f t="shared" si="132"/>
        <v>0</v>
      </c>
      <c r="S174" s="161">
        <f t="shared" si="132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32"/>
        <v>0</v>
      </c>
      <c r="D175" s="161">
        <f t="shared" si="132"/>
        <v>0</v>
      </c>
      <c r="E175" s="161">
        <f t="shared" si="132"/>
        <v>0</v>
      </c>
      <c r="F175" s="161">
        <f t="shared" si="132"/>
        <v>0</v>
      </c>
      <c r="G175" s="161">
        <f t="shared" si="132"/>
        <v>0</v>
      </c>
      <c r="H175" s="161">
        <f t="shared" si="132"/>
        <v>0</v>
      </c>
      <c r="I175" s="161">
        <f t="shared" si="132"/>
        <v>0</v>
      </c>
      <c r="J175" s="161">
        <f t="shared" si="132"/>
        <v>0</v>
      </c>
      <c r="K175" s="161">
        <f t="shared" si="132"/>
        <v>0</v>
      </c>
      <c r="L175" s="161">
        <f t="shared" si="132"/>
        <v>0</v>
      </c>
      <c r="M175" s="161">
        <f t="shared" si="133"/>
        <v>0</v>
      </c>
      <c r="N175" s="161">
        <f t="shared" si="133"/>
        <v>0</v>
      </c>
      <c r="O175" s="161">
        <f t="shared" si="133"/>
        <v>0</v>
      </c>
      <c r="P175" s="161">
        <f t="shared" si="133"/>
        <v>0</v>
      </c>
      <c r="Q175" s="161">
        <f t="shared" si="134"/>
        <v>0</v>
      </c>
      <c r="R175" s="161">
        <f t="shared" si="132"/>
        <v>0</v>
      </c>
      <c r="S175" s="161">
        <f t="shared" si="132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32"/>
        <v>0</v>
      </c>
      <c r="D176" s="161">
        <f t="shared" si="132"/>
        <v>0</v>
      </c>
      <c r="E176" s="161">
        <f t="shared" si="132"/>
        <v>0</v>
      </c>
      <c r="F176" s="161">
        <f t="shared" si="132"/>
        <v>0</v>
      </c>
      <c r="G176" s="161">
        <f t="shared" si="132"/>
        <v>0</v>
      </c>
      <c r="H176" s="161">
        <f t="shared" si="132"/>
        <v>0</v>
      </c>
      <c r="I176" s="161">
        <f t="shared" si="132"/>
        <v>0</v>
      </c>
      <c r="J176" s="161">
        <f t="shared" si="132"/>
        <v>0</v>
      </c>
      <c r="K176" s="161">
        <f t="shared" si="132"/>
        <v>0</v>
      </c>
      <c r="L176" s="161">
        <f t="shared" si="132"/>
        <v>0</v>
      </c>
      <c r="M176" s="161">
        <f t="shared" si="133"/>
        <v>0</v>
      </c>
      <c r="N176" s="161">
        <f t="shared" si="133"/>
        <v>0</v>
      </c>
      <c r="O176" s="161">
        <f t="shared" si="133"/>
        <v>0</v>
      </c>
      <c r="P176" s="161">
        <f t="shared" si="133"/>
        <v>0</v>
      </c>
      <c r="Q176" s="161">
        <f t="shared" si="134"/>
        <v>0</v>
      </c>
      <c r="R176" s="161">
        <f t="shared" si="132"/>
        <v>0</v>
      </c>
      <c r="S176" s="161">
        <f t="shared" si="132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32"/>
        <v>0</v>
      </c>
      <c r="D177" s="161">
        <f t="shared" si="132"/>
        <v>0</v>
      </c>
      <c r="E177" s="161">
        <f t="shared" si="132"/>
        <v>0</v>
      </c>
      <c r="F177" s="161">
        <f t="shared" si="132"/>
        <v>0</v>
      </c>
      <c r="G177" s="161">
        <f t="shared" si="132"/>
        <v>0</v>
      </c>
      <c r="H177" s="161">
        <f t="shared" si="132"/>
        <v>0</v>
      </c>
      <c r="I177" s="161">
        <f t="shared" si="132"/>
        <v>0</v>
      </c>
      <c r="J177" s="161">
        <f t="shared" si="132"/>
        <v>0</v>
      </c>
      <c r="K177" s="161">
        <f t="shared" si="132"/>
        <v>0</v>
      </c>
      <c r="L177" s="161">
        <f t="shared" si="132"/>
        <v>0</v>
      </c>
      <c r="M177" s="161">
        <f t="shared" si="133"/>
        <v>0</v>
      </c>
      <c r="N177" s="161">
        <f t="shared" si="133"/>
        <v>0</v>
      </c>
      <c r="O177" s="161">
        <f t="shared" si="133"/>
        <v>0</v>
      </c>
      <c r="P177" s="161">
        <f t="shared" si="133"/>
        <v>0</v>
      </c>
      <c r="Q177" s="161">
        <f t="shared" si="134"/>
        <v>0</v>
      </c>
      <c r="R177" s="161">
        <f t="shared" si="132"/>
        <v>0</v>
      </c>
      <c r="S177" s="161">
        <f t="shared" si="132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32"/>
        <v>0</v>
      </c>
      <c r="D178" s="161">
        <f t="shared" si="132"/>
        <v>0</v>
      </c>
      <c r="E178" s="161">
        <f t="shared" si="132"/>
        <v>0</v>
      </c>
      <c r="F178" s="161">
        <f t="shared" si="132"/>
        <v>0</v>
      </c>
      <c r="G178" s="161">
        <f t="shared" si="132"/>
        <v>0</v>
      </c>
      <c r="H178" s="161">
        <f t="shared" si="132"/>
        <v>0</v>
      </c>
      <c r="I178" s="161">
        <f t="shared" si="132"/>
        <v>0</v>
      </c>
      <c r="J178" s="161">
        <f t="shared" si="132"/>
        <v>0</v>
      </c>
      <c r="K178" s="161">
        <f t="shared" si="132"/>
        <v>0</v>
      </c>
      <c r="L178" s="161">
        <f t="shared" si="132"/>
        <v>0</v>
      </c>
      <c r="M178" s="161">
        <f t="shared" si="133"/>
        <v>0</v>
      </c>
      <c r="N178" s="161">
        <f t="shared" si="133"/>
        <v>0</v>
      </c>
      <c r="O178" s="161">
        <f t="shared" si="133"/>
        <v>0</v>
      </c>
      <c r="P178" s="161">
        <f t="shared" si="133"/>
        <v>0</v>
      </c>
      <c r="Q178" s="161">
        <f t="shared" si="134"/>
        <v>0</v>
      </c>
      <c r="R178" s="161">
        <f t="shared" si="132"/>
        <v>0</v>
      </c>
      <c r="S178" s="161">
        <f t="shared" si="132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32"/>
        <v>0</v>
      </c>
      <c r="D179" s="161">
        <f t="shared" si="132"/>
        <v>0</v>
      </c>
      <c r="E179" s="161">
        <f t="shared" si="132"/>
        <v>0</v>
      </c>
      <c r="F179" s="161">
        <f t="shared" si="132"/>
        <v>0</v>
      </c>
      <c r="G179" s="161">
        <f t="shared" si="132"/>
        <v>0</v>
      </c>
      <c r="H179" s="161">
        <f t="shared" si="132"/>
        <v>0</v>
      </c>
      <c r="I179" s="161">
        <f t="shared" si="132"/>
        <v>0</v>
      </c>
      <c r="J179" s="161">
        <f t="shared" si="132"/>
        <v>0</v>
      </c>
      <c r="K179" s="161">
        <f t="shared" si="132"/>
        <v>0</v>
      </c>
      <c r="L179" s="161">
        <f t="shared" si="132"/>
        <v>0</v>
      </c>
      <c r="M179" s="161">
        <f t="shared" si="133"/>
        <v>0</v>
      </c>
      <c r="N179" s="161">
        <f t="shared" si="133"/>
        <v>0</v>
      </c>
      <c r="O179" s="161">
        <f t="shared" si="133"/>
        <v>0</v>
      </c>
      <c r="P179" s="161">
        <f t="shared" si="133"/>
        <v>0</v>
      </c>
      <c r="Q179" s="161">
        <f t="shared" si="134"/>
        <v>0</v>
      </c>
      <c r="R179" s="161">
        <f t="shared" si="132"/>
        <v>0</v>
      </c>
      <c r="S179" s="161">
        <f t="shared" si="132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32"/>
        <v>0</v>
      </c>
      <c r="D180" s="161">
        <f t="shared" si="132"/>
        <v>0</v>
      </c>
      <c r="E180" s="161">
        <f t="shared" si="132"/>
        <v>0</v>
      </c>
      <c r="F180" s="161">
        <f t="shared" si="132"/>
        <v>0</v>
      </c>
      <c r="G180" s="161">
        <f t="shared" si="132"/>
        <v>0</v>
      </c>
      <c r="H180" s="161">
        <f t="shared" si="132"/>
        <v>0</v>
      </c>
      <c r="I180" s="161">
        <f t="shared" si="132"/>
        <v>0</v>
      </c>
      <c r="J180" s="161">
        <f t="shared" si="132"/>
        <v>0</v>
      </c>
      <c r="K180" s="161">
        <f t="shared" si="132"/>
        <v>0</v>
      </c>
      <c r="L180" s="161">
        <f t="shared" si="132"/>
        <v>0</v>
      </c>
      <c r="M180" s="161">
        <f t="shared" si="133"/>
        <v>0</v>
      </c>
      <c r="N180" s="161">
        <f t="shared" si="133"/>
        <v>0</v>
      </c>
      <c r="O180" s="161">
        <f t="shared" si="133"/>
        <v>0</v>
      </c>
      <c r="P180" s="161">
        <f t="shared" si="133"/>
        <v>0</v>
      </c>
      <c r="Q180" s="161">
        <f t="shared" si="134"/>
        <v>0</v>
      </c>
      <c r="R180" s="161">
        <f t="shared" si="132"/>
        <v>0</v>
      </c>
      <c r="S180" s="161">
        <f t="shared" si="132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32"/>
        <v>0</v>
      </c>
      <c r="D181" s="161">
        <f t="shared" si="132"/>
        <v>0</v>
      </c>
      <c r="E181" s="161">
        <f t="shared" si="132"/>
        <v>0</v>
      </c>
      <c r="F181" s="161">
        <f t="shared" si="132"/>
        <v>0</v>
      </c>
      <c r="G181" s="161">
        <f t="shared" si="132"/>
        <v>0</v>
      </c>
      <c r="H181" s="161">
        <f t="shared" si="132"/>
        <v>0</v>
      </c>
      <c r="I181" s="161">
        <f t="shared" si="132"/>
        <v>0</v>
      </c>
      <c r="J181" s="161">
        <f t="shared" si="132"/>
        <v>0</v>
      </c>
      <c r="K181" s="161">
        <f t="shared" si="132"/>
        <v>0</v>
      </c>
      <c r="L181" s="161">
        <f t="shared" si="132"/>
        <v>0</v>
      </c>
      <c r="M181" s="161">
        <f t="shared" si="133"/>
        <v>0</v>
      </c>
      <c r="N181" s="161">
        <f t="shared" si="133"/>
        <v>0</v>
      </c>
      <c r="O181" s="161">
        <f t="shared" si="133"/>
        <v>0</v>
      </c>
      <c r="P181" s="161">
        <f t="shared" si="133"/>
        <v>0</v>
      </c>
      <c r="Q181" s="161">
        <f t="shared" si="134"/>
        <v>0</v>
      </c>
      <c r="R181" s="161">
        <f t="shared" si="132"/>
        <v>0</v>
      </c>
      <c r="S181" s="161">
        <f t="shared" si="132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32"/>
        <v>0</v>
      </c>
      <c r="D182" s="161">
        <f t="shared" si="132"/>
        <v>0</v>
      </c>
      <c r="E182" s="161">
        <f t="shared" si="132"/>
        <v>0</v>
      </c>
      <c r="F182" s="161">
        <f t="shared" si="132"/>
        <v>0</v>
      </c>
      <c r="G182" s="161">
        <f t="shared" si="132"/>
        <v>0</v>
      </c>
      <c r="H182" s="161">
        <f t="shared" si="132"/>
        <v>0</v>
      </c>
      <c r="I182" s="161">
        <f t="shared" si="132"/>
        <v>0</v>
      </c>
      <c r="J182" s="161">
        <f t="shared" si="132"/>
        <v>0</v>
      </c>
      <c r="K182" s="161">
        <f t="shared" si="132"/>
        <v>0</v>
      </c>
      <c r="L182" s="161">
        <f t="shared" si="132"/>
        <v>0</v>
      </c>
      <c r="M182" s="161">
        <f t="shared" si="133"/>
        <v>0</v>
      </c>
      <c r="N182" s="161">
        <f t="shared" si="133"/>
        <v>0</v>
      </c>
      <c r="O182" s="161">
        <f t="shared" si="133"/>
        <v>0</v>
      </c>
      <c r="P182" s="161">
        <f t="shared" si="133"/>
        <v>0</v>
      </c>
      <c r="Q182" s="161">
        <f t="shared" si="134"/>
        <v>0</v>
      </c>
      <c r="R182" s="161">
        <f t="shared" si="132"/>
        <v>0</v>
      </c>
      <c r="S182" s="161">
        <f t="shared" si="132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32"/>
        <v>0</v>
      </c>
      <c r="D183" s="161">
        <f t="shared" si="132"/>
        <v>0</v>
      </c>
      <c r="E183" s="161">
        <f t="shared" si="132"/>
        <v>0</v>
      </c>
      <c r="F183" s="161">
        <f t="shared" si="132"/>
        <v>0</v>
      </c>
      <c r="G183" s="161">
        <f t="shared" si="132"/>
        <v>0</v>
      </c>
      <c r="H183" s="161">
        <f t="shared" si="132"/>
        <v>0</v>
      </c>
      <c r="I183" s="161">
        <f t="shared" si="132"/>
        <v>0</v>
      </c>
      <c r="J183" s="161">
        <f t="shared" si="132"/>
        <v>0</v>
      </c>
      <c r="K183" s="161">
        <f t="shared" si="132"/>
        <v>0</v>
      </c>
      <c r="L183" s="161">
        <f t="shared" si="132"/>
        <v>0</v>
      </c>
      <c r="M183" s="161">
        <f t="shared" si="133"/>
        <v>0</v>
      </c>
      <c r="N183" s="161">
        <f t="shared" si="133"/>
        <v>0</v>
      </c>
      <c r="O183" s="161">
        <f t="shared" si="133"/>
        <v>0</v>
      </c>
      <c r="P183" s="161">
        <f t="shared" si="133"/>
        <v>0</v>
      </c>
      <c r="Q183" s="161">
        <f t="shared" si="134"/>
        <v>0</v>
      </c>
      <c r="R183" s="161">
        <f t="shared" si="132"/>
        <v>0</v>
      </c>
      <c r="S183" s="161">
        <f t="shared" si="132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32"/>
        <v>0</v>
      </c>
      <c r="D184" s="161">
        <f t="shared" si="132"/>
        <v>0</v>
      </c>
      <c r="E184" s="161">
        <f t="shared" si="132"/>
        <v>0</v>
      </c>
      <c r="F184" s="161">
        <f t="shared" si="132"/>
        <v>0</v>
      </c>
      <c r="G184" s="161">
        <f t="shared" si="132"/>
        <v>0</v>
      </c>
      <c r="H184" s="161">
        <f t="shared" si="132"/>
        <v>0</v>
      </c>
      <c r="I184" s="161">
        <f t="shared" si="132"/>
        <v>0</v>
      </c>
      <c r="J184" s="161">
        <f t="shared" si="132"/>
        <v>0</v>
      </c>
      <c r="K184" s="161">
        <f t="shared" si="132"/>
        <v>0</v>
      </c>
      <c r="L184" s="161">
        <f t="shared" si="132"/>
        <v>0</v>
      </c>
      <c r="M184" s="161">
        <f t="shared" si="133"/>
        <v>0</v>
      </c>
      <c r="N184" s="161">
        <f t="shared" si="133"/>
        <v>0</v>
      </c>
      <c r="O184" s="161">
        <f t="shared" si="133"/>
        <v>0</v>
      </c>
      <c r="P184" s="161">
        <f t="shared" si="133"/>
        <v>0</v>
      </c>
      <c r="Q184" s="161">
        <f t="shared" si="134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5"/>
        <v>0</v>
      </c>
      <c r="AC184" s="161">
        <f t="shared" si="135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37">B185</f>
        <v>0</v>
      </c>
      <c r="D185" s="161">
        <f t="shared" si="137"/>
        <v>0</v>
      </c>
      <c r="E185" s="161">
        <f t="shared" si="137"/>
        <v>0</v>
      </c>
      <c r="F185" s="161">
        <f t="shared" si="137"/>
        <v>0</v>
      </c>
      <c r="G185" s="161">
        <f t="shared" si="137"/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4"/>
        <v>0</v>
      </c>
      <c r="R185" s="161">
        <f t="shared" si="137"/>
        <v>0</v>
      </c>
      <c r="S185" s="161">
        <f t="shared" si="137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37"/>
        <v>0</v>
      </c>
      <c r="D186" s="161">
        <f t="shared" si="137"/>
        <v>0</v>
      </c>
      <c r="E186" s="161">
        <f t="shared" si="137"/>
        <v>0</v>
      </c>
      <c r="F186" s="161">
        <f t="shared" si="137"/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4"/>
        <v>0</v>
      </c>
      <c r="R186" s="161">
        <f t="shared" si="137"/>
        <v>0</v>
      </c>
      <c r="S186" s="161">
        <f t="shared" si="137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37"/>
        <v>0</v>
      </c>
      <c r="D187" s="161">
        <f t="shared" si="137"/>
        <v>0</v>
      </c>
      <c r="E187" s="161">
        <f t="shared" si="137"/>
        <v>0</v>
      </c>
      <c r="F187" s="161">
        <f t="shared" si="137"/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4"/>
        <v>0</v>
      </c>
      <c r="R187" s="161">
        <f t="shared" si="137"/>
        <v>0</v>
      </c>
      <c r="S187" s="161">
        <f t="shared" si="137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37"/>
        <v>0</v>
      </c>
      <c r="D188" s="161">
        <f t="shared" si="137"/>
        <v>0</v>
      </c>
      <c r="E188" s="161">
        <f t="shared" si="137"/>
        <v>0</v>
      </c>
      <c r="F188" s="161">
        <f t="shared" si="137"/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4"/>
        <v>0</v>
      </c>
      <c r="R188" s="161">
        <f t="shared" si="137"/>
        <v>0</v>
      </c>
      <c r="S188" s="161">
        <f t="shared" si="137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37"/>
        <v>0</v>
      </c>
      <c r="D189" s="161">
        <f t="shared" si="137"/>
        <v>0</v>
      </c>
      <c r="E189" s="161">
        <f t="shared" si="137"/>
        <v>0</v>
      </c>
      <c r="F189" s="161">
        <f t="shared" si="137"/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4"/>
        <v>0</v>
      </c>
      <c r="R189" s="161">
        <f t="shared" si="137"/>
        <v>0</v>
      </c>
      <c r="S189" s="161">
        <f t="shared" si="137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37"/>
        <v>0</v>
      </c>
      <c r="D190" s="161">
        <f t="shared" si="137"/>
        <v>0</v>
      </c>
      <c r="E190" s="161">
        <f t="shared" si="137"/>
        <v>0</v>
      </c>
      <c r="F190" s="161">
        <f t="shared" si="137"/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4"/>
        <v>0</v>
      </c>
      <c r="R190" s="161">
        <f t="shared" si="137"/>
        <v>0</v>
      </c>
      <c r="S190" s="161">
        <f t="shared" si="137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37"/>
        <v>0</v>
      </c>
      <c r="D191" s="161">
        <f t="shared" si="137"/>
        <v>0</v>
      </c>
      <c r="E191" s="161">
        <f t="shared" si="137"/>
        <v>0</v>
      </c>
      <c r="F191" s="161">
        <f t="shared" si="137"/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4"/>
        <v>0</v>
      </c>
      <c r="R191" s="161">
        <f t="shared" si="137"/>
        <v>0</v>
      </c>
      <c r="S191" s="161">
        <f t="shared" si="137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37"/>
        <v>0</v>
      </c>
      <c r="D192" s="161">
        <f t="shared" si="137"/>
        <v>0</v>
      </c>
      <c r="E192" s="161">
        <f t="shared" si="137"/>
        <v>0</v>
      </c>
      <c r="F192" s="161">
        <f t="shared" si="137"/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4"/>
        <v>0</v>
      </c>
      <c r="R192" s="161">
        <f t="shared" si="137"/>
        <v>0</v>
      </c>
      <c r="S192" s="161">
        <f t="shared" si="137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37"/>
        <v>0</v>
      </c>
      <c r="D193" s="161">
        <f t="shared" si="137"/>
        <v>0</v>
      </c>
      <c r="E193" s="161">
        <f t="shared" si="137"/>
        <v>0</v>
      </c>
      <c r="F193" s="161">
        <f t="shared" si="137"/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4"/>
        <v>0</v>
      </c>
      <c r="R193" s="161">
        <f t="shared" si="137"/>
        <v>0</v>
      </c>
      <c r="S193" s="161">
        <f t="shared" si="137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37"/>
        <v>0</v>
      </c>
      <c r="D194" s="161">
        <f t="shared" si="137"/>
        <v>0</v>
      </c>
      <c r="E194" s="161">
        <f t="shared" si="137"/>
        <v>0</v>
      </c>
      <c r="F194" s="161">
        <f t="shared" si="137"/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4"/>
        <v>0</v>
      </c>
      <c r="R194" s="161">
        <f t="shared" si="137"/>
        <v>0</v>
      </c>
      <c r="S194" s="161">
        <f t="shared" si="137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37"/>
        <v>0</v>
      </c>
      <c r="D195" s="161">
        <f t="shared" si="137"/>
        <v>0</v>
      </c>
      <c r="E195" s="161">
        <f t="shared" si="137"/>
        <v>0</v>
      </c>
      <c r="F195" s="161">
        <f t="shared" si="137"/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4"/>
        <v>0</v>
      </c>
      <c r="R195" s="161">
        <f t="shared" si="137"/>
        <v>0</v>
      </c>
      <c r="S195" s="161">
        <f t="shared" si="137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37"/>
        <v>0</v>
      </c>
      <c r="D196" s="161">
        <f t="shared" si="137"/>
        <v>0</v>
      </c>
      <c r="E196" s="161">
        <f t="shared" si="137"/>
        <v>0</v>
      </c>
      <c r="F196" s="161">
        <f t="shared" si="137"/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4"/>
        <v>0</v>
      </c>
      <c r="R196" s="161">
        <f t="shared" si="137"/>
        <v>0</v>
      </c>
      <c r="S196" s="161">
        <f t="shared" si="137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37"/>
        <v>0</v>
      </c>
      <c r="D197" s="161">
        <f t="shared" si="137"/>
        <v>0</v>
      </c>
      <c r="E197" s="161">
        <f t="shared" si="137"/>
        <v>0</v>
      </c>
      <c r="F197" s="161">
        <f t="shared" si="137"/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4"/>
        <v>0</v>
      </c>
      <c r="R197" s="161">
        <f t="shared" si="137"/>
        <v>0</v>
      </c>
      <c r="S197" s="161">
        <f t="shared" si="137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37"/>
        <v>0</v>
      </c>
      <c r="D198" s="161">
        <f t="shared" si="137"/>
        <v>0</v>
      </c>
      <c r="E198" s="161">
        <f t="shared" si="137"/>
        <v>0</v>
      </c>
      <c r="F198" s="161">
        <f t="shared" si="137"/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4"/>
        <v>0</v>
      </c>
      <c r="R198" s="161">
        <f t="shared" si="137"/>
        <v>0</v>
      </c>
      <c r="S198" s="161">
        <f t="shared" si="137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37"/>
        <v>0</v>
      </c>
      <c r="D199" s="161">
        <f t="shared" si="137"/>
        <v>0</v>
      </c>
      <c r="E199" s="161">
        <f t="shared" si="137"/>
        <v>0</v>
      </c>
      <c r="F199" s="161">
        <f t="shared" si="137"/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4"/>
        <v>0</v>
      </c>
      <c r="R199" s="161">
        <f t="shared" si="137"/>
        <v>0</v>
      </c>
      <c r="S199" s="161">
        <f t="shared" si="137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37"/>
        <v>0</v>
      </c>
      <c r="D200" s="161">
        <f t="shared" si="137"/>
        <v>0</v>
      </c>
      <c r="E200" s="161">
        <f t="shared" si="137"/>
        <v>0</v>
      </c>
      <c r="F200" s="161">
        <f t="shared" si="137"/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4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39">B201</f>
        <v>0</v>
      </c>
      <c r="D201" s="161">
        <f t="shared" si="139"/>
        <v>0</v>
      </c>
      <c r="E201" s="161">
        <f t="shared" si="139"/>
        <v>0</v>
      </c>
      <c r="F201" s="161">
        <f t="shared" si="139"/>
        <v>0</v>
      </c>
      <c r="G201" s="161">
        <f t="shared" si="139"/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3"/>
        <v>0</v>
      </c>
      <c r="N201" s="161">
        <f t="shared" si="133"/>
        <v>0</v>
      </c>
      <c r="O201" s="161">
        <f t="shared" si="133"/>
        <v>0</v>
      </c>
      <c r="P201" s="161">
        <f t="shared" si="133"/>
        <v>0</v>
      </c>
      <c r="Q201" s="161">
        <f t="shared" si="134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39"/>
        <v>0</v>
      </c>
      <c r="D202" s="161">
        <f t="shared" si="139"/>
        <v>0</v>
      </c>
      <c r="E202" s="161">
        <f t="shared" si="139"/>
        <v>0</v>
      </c>
      <c r="F202" s="161">
        <f t="shared" si="139"/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3"/>
        <v>0</v>
      </c>
      <c r="N202" s="161">
        <f t="shared" si="133"/>
        <v>0</v>
      </c>
      <c r="O202" s="161">
        <f t="shared" si="133"/>
        <v>0</v>
      </c>
      <c r="P202" s="161">
        <f t="shared" si="133"/>
        <v>0</v>
      </c>
      <c r="Q202" s="161">
        <f t="shared" si="134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39"/>
        <v>0</v>
      </c>
      <c r="D203" s="161">
        <f t="shared" si="139"/>
        <v>0</v>
      </c>
      <c r="E203" s="161">
        <f t="shared" si="139"/>
        <v>0</v>
      </c>
      <c r="F203" s="161">
        <f t="shared" si="139"/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3"/>
        <v>0</v>
      </c>
      <c r="N203" s="161">
        <f t="shared" si="133"/>
        <v>0</v>
      </c>
      <c r="O203" s="161">
        <f t="shared" si="133"/>
        <v>0</v>
      </c>
      <c r="P203" s="161">
        <f t="shared" si="133"/>
        <v>0</v>
      </c>
      <c r="Q203" s="161">
        <f t="shared" si="134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39"/>
        <v>0</v>
      </c>
      <c r="D204" s="161">
        <f t="shared" si="139"/>
        <v>0</v>
      </c>
      <c r="E204" s="161">
        <f t="shared" si="139"/>
        <v>0</v>
      </c>
      <c r="F204" s="161">
        <f t="shared" si="139"/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3"/>
        <v>0</v>
      </c>
      <c r="N204" s="161">
        <f t="shared" si="133"/>
        <v>0</v>
      </c>
      <c r="O204" s="161">
        <f t="shared" si="133"/>
        <v>0</v>
      </c>
      <c r="P204" s="161">
        <f t="shared" si="133"/>
        <v>0</v>
      </c>
      <c r="Q204" s="161">
        <f t="shared" si="134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39"/>
        <v>0</v>
      </c>
      <c r="D205" s="161">
        <f t="shared" si="139"/>
        <v>0</v>
      </c>
      <c r="E205" s="161">
        <f t="shared" si="139"/>
        <v>0</v>
      </c>
      <c r="F205" s="161">
        <f t="shared" si="139"/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3"/>
        <v>0</v>
      </c>
      <c r="N205" s="161">
        <f t="shared" si="133"/>
        <v>0</v>
      </c>
      <c r="O205" s="161">
        <f t="shared" si="133"/>
        <v>0</v>
      </c>
      <c r="P205" s="161">
        <f t="shared" si="133"/>
        <v>0</v>
      </c>
      <c r="Q205" s="161">
        <f t="shared" si="134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39"/>
        <v>0</v>
      </c>
      <c r="D206" s="161">
        <f t="shared" si="139"/>
        <v>0</v>
      </c>
      <c r="E206" s="161">
        <f t="shared" si="139"/>
        <v>0</v>
      </c>
      <c r="F206" s="161">
        <f t="shared" si="139"/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3"/>
        <v>0</v>
      </c>
      <c r="N206" s="161">
        <f t="shared" si="133"/>
        <v>0</v>
      </c>
      <c r="O206" s="161">
        <f t="shared" si="133"/>
        <v>0</v>
      </c>
      <c r="P206" s="161">
        <f t="shared" si="133"/>
        <v>0</v>
      </c>
      <c r="Q206" s="161">
        <f t="shared" si="134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39"/>
        <v>0</v>
      </c>
      <c r="D207" s="161">
        <f t="shared" si="139"/>
        <v>0</v>
      </c>
      <c r="E207" s="161">
        <f t="shared" si="139"/>
        <v>0</v>
      </c>
      <c r="F207" s="161">
        <f t="shared" si="139"/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3"/>
        <v>0</v>
      </c>
      <c r="N207" s="161">
        <f t="shared" si="133"/>
        <v>0</v>
      </c>
      <c r="O207" s="161">
        <f t="shared" si="133"/>
        <v>0</v>
      </c>
      <c r="P207" s="161">
        <f t="shared" si="133"/>
        <v>0</v>
      </c>
      <c r="Q207" s="161">
        <f t="shared" si="134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39"/>
        <v>0</v>
      </c>
      <c r="D208" s="161">
        <f t="shared" si="139"/>
        <v>0</v>
      </c>
      <c r="E208" s="161">
        <f t="shared" si="139"/>
        <v>0</v>
      </c>
      <c r="F208" s="161">
        <f t="shared" si="139"/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3"/>
        <v>0</v>
      </c>
      <c r="N208" s="161">
        <f t="shared" si="133"/>
        <v>0</v>
      </c>
      <c r="O208" s="161">
        <f t="shared" si="133"/>
        <v>0</v>
      </c>
      <c r="P208" s="161">
        <f t="shared" si="133"/>
        <v>0</v>
      </c>
      <c r="Q208" s="161">
        <f t="shared" si="134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39"/>
        <v>0</v>
      </c>
      <c r="D209" s="161">
        <f t="shared" si="139"/>
        <v>0</v>
      </c>
      <c r="E209" s="161">
        <f t="shared" si="139"/>
        <v>0</v>
      </c>
      <c r="F209" s="161">
        <f t="shared" si="139"/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3"/>
        <v>0</v>
      </c>
      <c r="N209" s="161">
        <f t="shared" si="133"/>
        <v>0</v>
      </c>
      <c r="O209" s="161">
        <f t="shared" si="133"/>
        <v>0</v>
      </c>
      <c r="P209" s="161">
        <f t="shared" si="133"/>
        <v>0</v>
      </c>
      <c r="Q209" s="161">
        <f t="shared" si="134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39"/>
        <v>0</v>
      </c>
      <c r="D210" s="161">
        <f t="shared" si="139"/>
        <v>0</v>
      </c>
      <c r="E210" s="161">
        <f t="shared" si="139"/>
        <v>0</v>
      </c>
      <c r="F210" s="161">
        <f t="shared" si="139"/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3"/>
        <v>0</v>
      </c>
      <c r="N210" s="161">
        <f t="shared" si="133"/>
        <v>0</v>
      </c>
      <c r="O210" s="161">
        <f t="shared" si="133"/>
        <v>0</v>
      </c>
      <c r="P210" s="161">
        <f t="shared" si="133"/>
        <v>0</v>
      </c>
      <c r="Q210" s="161">
        <f t="shared" si="134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39"/>
        <v>0</v>
      </c>
      <c r="D211" s="161">
        <f t="shared" si="139"/>
        <v>0</v>
      </c>
      <c r="E211" s="161">
        <f t="shared" si="139"/>
        <v>0</v>
      </c>
      <c r="F211" s="161">
        <f t="shared" si="139"/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3"/>
        <v>0</v>
      </c>
      <c r="N211" s="161">
        <f t="shared" si="133"/>
        <v>0</v>
      </c>
      <c r="O211" s="161">
        <f t="shared" si="133"/>
        <v>0</v>
      </c>
      <c r="P211" s="161">
        <f t="shared" si="133"/>
        <v>0</v>
      </c>
      <c r="Q211" s="161">
        <f t="shared" si="134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39"/>
        <v>0</v>
      </c>
      <c r="D212" s="161">
        <f t="shared" si="139"/>
        <v>0</v>
      </c>
      <c r="E212" s="161">
        <f t="shared" si="139"/>
        <v>0</v>
      </c>
      <c r="F212" s="161">
        <f t="shared" si="139"/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3"/>
        <v>0</v>
      </c>
      <c r="N212" s="161">
        <f t="shared" si="133"/>
        <v>0</v>
      </c>
      <c r="O212" s="161">
        <f t="shared" si="133"/>
        <v>0</v>
      </c>
      <c r="P212" s="161">
        <f t="shared" si="133"/>
        <v>0</v>
      </c>
      <c r="Q212" s="161">
        <f t="shared" si="134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39"/>
        <v>0</v>
      </c>
      <c r="D213" s="161">
        <f t="shared" si="139"/>
        <v>0</v>
      </c>
      <c r="E213" s="161">
        <f t="shared" si="139"/>
        <v>0</v>
      </c>
      <c r="F213" s="161">
        <f t="shared" si="139"/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3"/>
        <v>0</v>
      </c>
      <c r="N213" s="161">
        <f t="shared" si="133"/>
        <v>0</v>
      </c>
      <c r="O213" s="161">
        <f t="shared" si="133"/>
        <v>0</v>
      </c>
      <c r="P213" s="161">
        <f t="shared" si="133"/>
        <v>0</v>
      </c>
      <c r="Q213" s="161">
        <f t="shared" si="134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39"/>
        <v>0</v>
      </c>
      <c r="D214" s="161">
        <f t="shared" si="139"/>
        <v>0</v>
      </c>
      <c r="E214" s="161">
        <f t="shared" si="139"/>
        <v>0</v>
      </c>
      <c r="F214" s="161">
        <f t="shared" si="139"/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3"/>
        <v>0</v>
      </c>
      <c r="N214" s="161">
        <f t="shared" si="133"/>
        <v>0</v>
      </c>
      <c r="O214" s="161">
        <f t="shared" si="133"/>
        <v>0</v>
      </c>
      <c r="P214" s="161">
        <f t="shared" si="133"/>
        <v>0</v>
      </c>
      <c r="Q214" s="161">
        <f t="shared" si="134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39"/>
        <v>0</v>
      </c>
      <c r="D215" s="161">
        <f t="shared" si="139"/>
        <v>0</v>
      </c>
      <c r="E215" s="161">
        <f t="shared" si="139"/>
        <v>0</v>
      </c>
      <c r="F215" s="161">
        <f t="shared" si="139"/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3"/>
        <v>0</v>
      </c>
      <c r="N215" s="161">
        <f t="shared" si="133"/>
        <v>0</v>
      </c>
      <c r="O215" s="161">
        <f t="shared" si="133"/>
        <v>0</v>
      </c>
      <c r="P215" s="161">
        <f t="shared" si="133"/>
        <v>0</v>
      </c>
      <c r="Q215" s="161">
        <f t="shared" si="134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39"/>
        <v>0</v>
      </c>
      <c r="D216" s="161">
        <f t="shared" si="139"/>
        <v>0</v>
      </c>
      <c r="E216" s="161">
        <f t="shared" si="139"/>
        <v>0</v>
      </c>
      <c r="F216" s="161">
        <f t="shared" si="139"/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3"/>
        <v>0</v>
      </c>
      <c r="N216" s="161">
        <f t="shared" si="133"/>
        <v>0</v>
      </c>
      <c r="O216" s="161">
        <f t="shared" si="133"/>
        <v>0</v>
      </c>
      <c r="P216" s="161">
        <f t="shared" si="133"/>
        <v>0</v>
      </c>
      <c r="Q216" s="161">
        <f t="shared" si="134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41">B217</f>
        <v>0</v>
      </c>
      <c r="D217" s="161">
        <f t="shared" si="141"/>
        <v>0</v>
      </c>
      <c r="E217" s="161">
        <f t="shared" si="141"/>
        <v>0</v>
      </c>
      <c r="F217" s="161">
        <f t="shared" si="141"/>
        <v>0</v>
      </c>
      <c r="G217" s="161">
        <f t="shared" si="141"/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33"/>
        <v>0</v>
      </c>
      <c r="N217" s="161">
        <f t="shared" si="133"/>
        <v>0</v>
      </c>
      <c r="O217" s="161">
        <f t="shared" si="133"/>
        <v>0</v>
      </c>
      <c r="P217" s="161">
        <f t="shared" si="133"/>
        <v>0</v>
      </c>
      <c r="Q217" s="161">
        <f t="shared" si="134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41"/>
        <v>0</v>
      </c>
      <c r="D218" s="161">
        <f t="shared" si="141"/>
        <v>0</v>
      </c>
      <c r="E218" s="161">
        <f t="shared" si="141"/>
        <v>0</v>
      </c>
      <c r="F218" s="161">
        <f t="shared" si="141"/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33"/>
        <v>0</v>
      </c>
      <c r="N218" s="161">
        <f t="shared" si="133"/>
        <v>0</v>
      </c>
      <c r="O218" s="161">
        <f t="shared" si="133"/>
        <v>0</v>
      </c>
      <c r="P218" s="161">
        <f t="shared" si="133"/>
        <v>0</v>
      </c>
      <c r="Q218" s="161">
        <f t="shared" si="134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41"/>
        <v>0</v>
      </c>
      <c r="D219" s="161">
        <f t="shared" si="141"/>
        <v>0</v>
      </c>
      <c r="E219" s="161">
        <f t="shared" si="141"/>
        <v>0</v>
      </c>
      <c r="F219" s="161">
        <f t="shared" si="141"/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33"/>
        <v>0</v>
      </c>
      <c r="N219" s="161">
        <f t="shared" si="133"/>
        <v>0</v>
      </c>
      <c r="O219" s="161">
        <f t="shared" si="133"/>
        <v>0</v>
      </c>
      <c r="P219" s="161">
        <f t="shared" si="133"/>
        <v>0</v>
      </c>
      <c r="Q219" s="161">
        <f t="shared" si="134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41"/>
        <v>0</v>
      </c>
      <c r="D220" s="161">
        <f t="shared" si="141"/>
        <v>0</v>
      </c>
      <c r="E220" s="161">
        <f t="shared" si="141"/>
        <v>0</v>
      </c>
      <c r="F220" s="161">
        <f t="shared" si="141"/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33"/>
        <v>0</v>
      </c>
      <c r="N220" s="161">
        <f t="shared" si="133"/>
        <v>0</v>
      </c>
      <c r="O220" s="161">
        <f t="shared" si="133"/>
        <v>0</v>
      </c>
      <c r="P220" s="161">
        <f t="shared" si="133"/>
        <v>0</v>
      </c>
      <c r="Q220" s="161">
        <f t="shared" si="134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41"/>
        <v>0</v>
      </c>
      <c r="D221" s="161">
        <f t="shared" si="141"/>
        <v>0</v>
      </c>
      <c r="E221" s="161">
        <f t="shared" si="141"/>
        <v>0</v>
      </c>
      <c r="F221" s="161">
        <f t="shared" si="141"/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33"/>
        <v>0</v>
      </c>
      <c r="N221" s="161">
        <f t="shared" si="133"/>
        <v>0</v>
      </c>
      <c r="O221" s="161">
        <f t="shared" si="133"/>
        <v>0</v>
      </c>
      <c r="P221" s="161">
        <f t="shared" si="133"/>
        <v>0</v>
      </c>
      <c r="Q221" s="161">
        <f t="shared" si="134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41"/>
        <v>0</v>
      </c>
      <c r="D222" s="161">
        <f t="shared" si="141"/>
        <v>0</v>
      </c>
      <c r="E222" s="161">
        <f t="shared" si="141"/>
        <v>0</v>
      </c>
      <c r="F222" s="161">
        <f t="shared" si="141"/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33"/>
        <v>0</v>
      </c>
      <c r="N222" s="161">
        <f t="shared" si="133"/>
        <v>0</v>
      </c>
      <c r="O222" s="161">
        <f t="shared" si="133"/>
        <v>0</v>
      </c>
      <c r="P222" s="161">
        <f t="shared" si="133"/>
        <v>0</v>
      </c>
      <c r="Q222" s="161">
        <f t="shared" si="134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41"/>
        <v>0</v>
      </c>
      <c r="D223" s="161">
        <f t="shared" si="141"/>
        <v>0</v>
      </c>
      <c r="E223" s="161">
        <f t="shared" si="141"/>
        <v>0</v>
      </c>
      <c r="F223" s="161">
        <f t="shared" si="141"/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33"/>
        <v>0</v>
      </c>
      <c r="N223" s="161">
        <f t="shared" si="133"/>
        <v>0</v>
      </c>
      <c r="O223" s="161">
        <f t="shared" si="133"/>
        <v>0</v>
      </c>
      <c r="P223" s="161">
        <f t="shared" si="133"/>
        <v>0</v>
      </c>
      <c r="Q223" s="161">
        <f t="shared" si="134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41"/>
        <v>0</v>
      </c>
      <c r="D224" s="161">
        <f t="shared" si="141"/>
        <v>0</v>
      </c>
      <c r="E224" s="161">
        <f t="shared" si="141"/>
        <v>0</v>
      </c>
      <c r="F224" s="161">
        <f t="shared" si="141"/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33"/>
        <v>0</v>
      </c>
      <c r="N224" s="161">
        <f t="shared" si="133"/>
        <v>0</v>
      </c>
      <c r="O224" s="161">
        <f t="shared" si="133"/>
        <v>0</v>
      </c>
      <c r="P224" s="161">
        <f t="shared" si="133"/>
        <v>0</v>
      </c>
      <c r="Q224" s="161">
        <f t="shared" si="134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41"/>
        <v>0</v>
      </c>
      <c r="D225" s="161">
        <f t="shared" si="141"/>
        <v>0</v>
      </c>
      <c r="E225" s="161">
        <f t="shared" si="141"/>
        <v>0</v>
      </c>
      <c r="F225" s="161">
        <f t="shared" si="141"/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33"/>
        <v>0</v>
      </c>
      <c r="N225" s="161">
        <f t="shared" si="133"/>
        <v>0</v>
      </c>
      <c r="O225" s="161">
        <f t="shared" si="133"/>
        <v>0</v>
      </c>
      <c r="P225" s="161">
        <f t="shared" si="133"/>
        <v>0</v>
      </c>
      <c r="Q225" s="161">
        <f t="shared" si="134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41"/>
        <v>0</v>
      </c>
      <c r="D226" s="161">
        <f t="shared" si="141"/>
        <v>0</v>
      </c>
      <c r="E226" s="161">
        <f t="shared" si="141"/>
        <v>0</v>
      </c>
      <c r="F226" s="161">
        <f t="shared" si="141"/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33"/>
        <v>0</v>
      </c>
      <c r="N226" s="161">
        <f t="shared" si="133"/>
        <v>0</v>
      </c>
      <c r="O226" s="161">
        <f t="shared" si="133"/>
        <v>0</v>
      </c>
      <c r="P226" s="161">
        <f t="shared" si="133"/>
        <v>0</v>
      </c>
      <c r="Q226" s="161">
        <f t="shared" si="134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41"/>
        <v>0</v>
      </c>
      <c r="D227" s="161">
        <f t="shared" si="141"/>
        <v>0</v>
      </c>
      <c r="E227" s="161">
        <f t="shared" si="141"/>
        <v>0</v>
      </c>
      <c r="F227" s="161">
        <f t="shared" si="141"/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33"/>
        <v>0</v>
      </c>
      <c r="N227" s="161">
        <f t="shared" si="133"/>
        <v>0</v>
      </c>
      <c r="O227" s="161">
        <f t="shared" si="133"/>
        <v>0</v>
      </c>
      <c r="P227" s="161">
        <f t="shared" si="133"/>
        <v>0</v>
      </c>
      <c r="Q227" s="161">
        <f t="shared" si="134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41"/>
        <v>0</v>
      </c>
      <c r="D228" s="161">
        <f t="shared" si="141"/>
        <v>0</v>
      </c>
      <c r="E228" s="161">
        <f t="shared" si="141"/>
        <v>0</v>
      </c>
      <c r="F228" s="161">
        <f t="shared" si="141"/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33"/>
        <v>0</v>
      </c>
      <c r="N228" s="161">
        <f t="shared" si="133"/>
        <v>0</v>
      </c>
      <c r="O228" s="161">
        <f t="shared" si="133"/>
        <v>0</v>
      </c>
      <c r="P228" s="161">
        <f t="shared" si="133"/>
        <v>0</v>
      </c>
      <c r="Q228" s="161">
        <f t="shared" si="134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41"/>
        <v>0</v>
      </c>
      <c r="D229" s="161">
        <f t="shared" si="141"/>
        <v>0</v>
      </c>
      <c r="E229" s="161">
        <f t="shared" si="141"/>
        <v>0</v>
      </c>
      <c r="F229" s="161">
        <f t="shared" si="141"/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33"/>
        <v>0</v>
      </c>
      <c r="N229" s="161">
        <f t="shared" si="133"/>
        <v>0</v>
      </c>
      <c r="O229" s="161">
        <f t="shared" si="133"/>
        <v>0</v>
      </c>
      <c r="P229" s="161">
        <f t="shared" si="133"/>
        <v>0</v>
      </c>
      <c r="Q229" s="161">
        <f t="shared" si="134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41"/>
        <v>0</v>
      </c>
      <c r="D230" s="161">
        <f t="shared" si="141"/>
        <v>0</v>
      </c>
      <c r="E230" s="161">
        <f t="shared" si="141"/>
        <v>0</v>
      </c>
      <c r="F230" s="161">
        <f t="shared" si="141"/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33"/>
        <v>0</v>
      </c>
      <c r="N230" s="161">
        <f t="shared" si="133"/>
        <v>0</v>
      </c>
      <c r="O230" s="161">
        <f t="shared" si="133"/>
        <v>0</v>
      </c>
      <c r="P230" s="161">
        <f t="shared" si="133"/>
        <v>0</v>
      </c>
      <c r="Q230" s="161">
        <f t="shared" si="134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41"/>
        <v>0</v>
      </c>
      <c r="D231" s="161">
        <f t="shared" si="141"/>
        <v>0</v>
      </c>
      <c r="E231" s="161">
        <f t="shared" si="141"/>
        <v>0</v>
      </c>
      <c r="F231" s="161">
        <f t="shared" si="141"/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33"/>
        <v>0</v>
      </c>
      <c r="N231" s="161">
        <f t="shared" si="133"/>
        <v>0</v>
      </c>
      <c r="O231" s="161">
        <f t="shared" si="133"/>
        <v>0</v>
      </c>
      <c r="P231" s="161">
        <f t="shared" si="133"/>
        <v>0</v>
      </c>
      <c r="Q231" s="161">
        <f t="shared" si="134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41"/>
        <v>0</v>
      </c>
      <c r="D232" s="161">
        <f t="shared" si="141"/>
        <v>0</v>
      </c>
      <c r="E232" s="161">
        <f t="shared" si="141"/>
        <v>0</v>
      </c>
      <c r="F232" s="161">
        <f t="shared" si="141"/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33"/>
        <v>0</v>
      </c>
      <c r="N232" s="161">
        <f t="shared" si="133"/>
        <v>0</v>
      </c>
      <c r="O232" s="161">
        <f t="shared" si="133"/>
        <v>0</v>
      </c>
      <c r="P232" s="161">
        <f t="shared" ref="P232:Q274" si="142">O232</f>
        <v>0</v>
      </c>
      <c r="Q232" s="161">
        <f t="shared" si="142"/>
        <v>0</v>
      </c>
      <c r="R232" s="161">
        <f t="shared" ref="R232:AF247" si="143">Q232</f>
        <v>0</v>
      </c>
      <c r="S232" s="161">
        <f t="shared" si="143"/>
        <v>0</v>
      </c>
      <c r="T232" s="161">
        <f t="shared" si="143"/>
        <v>0</v>
      </c>
      <c r="U232" s="161">
        <f t="shared" si="143"/>
        <v>0</v>
      </c>
      <c r="V232" s="161">
        <f t="shared" si="143"/>
        <v>0</v>
      </c>
      <c r="W232" s="161">
        <f t="shared" si="143"/>
        <v>0</v>
      </c>
      <c r="X232" s="161">
        <f t="shared" si="143"/>
        <v>0</v>
      </c>
      <c r="Y232" s="161">
        <f t="shared" si="143"/>
        <v>0</v>
      </c>
      <c r="Z232" s="161">
        <f t="shared" si="143"/>
        <v>0</v>
      </c>
      <c r="AA232" s="161">
        <f t="shared" si="143"/>
        <v>0</v>
      </c>
      <c r="AB232" s="161">
        <f t="shared" si="143"/>
        <v>0</v>
      </c>
      <c r="AC232" s="161">
        <f t="shared" si="143"/>
        <v>0</v>
      </c>
      <c r="AD232" s="161">
        <f t="shared" si="143"/>
        <v>0</v>
      </c>
      <c r="AE232" s="161">
        <f t="shared" si="143"/>
        <v>0</v>
      </c>
      <c r="AF232" s="174">
        <f t="shared" si="143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44">B233</f>
        <v>0</v>
      </c>
      <c r="D233" s="161">
        <f t="shared" si="144"/>
        <v>0</v>
      </c>
      <c r="E233" s="161">
        <f t="shared" si="144"/>
        <v>0</v>
      </c>
      <c r="F233" s="161">
        <f t="shared" si="144"/>
        <v>0</v>
      </c>
      <c r="G233" s="161">
        <f t="shared" si="144"/>
        <v>0</v>
      </c>
      <c r="H233" s="161">
        <f t="shared" si="144"/>
        <v>0</v>
      </c>
      <c r="I233" s="161">
        <f t="shared" si="144"/>
        <v>0</v>
      </c>
      <c r="J233" s="161">
        <f t="shared" si="144"/>
        <v>0</v>
      </c>
      <c r="K233" s="161">
        <f t="shared" si="144"/>
        <v>0</v>
      </c>
      <c r="L233" s="161">
        <f t="shared" si="144"/>
        <v>0</v>
      </c>
      <c r="M233" s="161">
        <f t="shared" ref="M233:Q264" si="145">L233</f>
        <v>0</v>
      </c>
      <c r="N233" s="161">
        <f t="shared" si="145"/>
        <v>0</v>
      </c>
      <c r="O233" s="161">
        <f t="shared" si="145"/>
        <v>0</v>
      </c>
      <c r="P233" s="161">
        <f t="shared" si="145"/>
        <v>0</v>
      </c>
      <c r="Q233" s="161">
        <f t="shared" si="145"/>
        <v>0</v>
      </c>
      <c r="R233" s="161">
        <f t="shared" si="144"/>
        <v>0</v>
      </c>
      <c r="S233" s="161">
        <f t="shared" si="143"/>
        <v>0</v>
      </c>
      <c r="T233" s="161">
        <f t="shared" si="143"/>
        <v>0</v>
      </c>
      <c r="U233" s="161">
        <f t="shared" si="143"/>
        <v>0</v>
      </c>
      <c r="V233" s="161">
        <f t="shared" si="143"/>
        <v>0</v>
      </c>
      <c r="W233" s="161">
        <f t="shared" si="143"/>
        <v>0</v>
      </c>
      <c r="X233" s="161">
        <f t="shared" si="143"/>
        <v>0</v>
      </c>
      <c r="Y233" s="161">
        <f t="shared" si="143"/>
        <v>0</v>
      </c>
      <c r="Z233" s="161">
        <f t="shared" si="143"/>
        <v>0</v>
      </c>
      <c r="AA233" s="161">
        <f t="shared" si="143"/>
        <v>0</v>
      </c>
      <c r="AB233" s="161">
        <f t="shared" si="143"/>
        <v>0</v>
      </c>
      <c r="AC233" s="161">
        <f t="shared" si="143"/>
        <v>0</v>
      </c>
      <c r="AD233" s="161">
        <f t="shared" si="143"/>
        <v>0</v>
      </c>
      <c r="AE233" s="161">
        <f t="shared" si="143"/>
        <v>0</v>
      </c>
      <c r="AF233" s="174">
        <f t="shared" si="143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44"/>
        <v>0</v>
      </c>
      <c r="D234" s="161">
        <f t="shared" si="144"/>
        <v>0</v>
      </c>
      <c r="E234" s="161">
        <f t="shared" si="144"/>
        <v>0</v>
      </c>
      <c r="F234" s="161">
        <f t="shared" si="144"/>
        <v>0</v>
      </c>
      <c r="G234" s="161">
        <f t="shared" si="144"/>
        <v>0</v>
      </c>
      <c r="H234" s="161">
        <f t="shared" si="144"/>
        <v>0</v>
      </c>
      <c r="I234" s="161">
        <f t="shared" si="144"/>
        <v>0</v>
      </c>
      <c r="J234" s="161">
        <f t="shared" si="144"/>
        <v>0</v>
      </c>
      <c r="K234" s="161">
        <f t="shared" si="144"/>
        <v>0</v>
      </c>
      <c r="L234" s="161">
        <f t="shared" si="144"/>
        <v>0</v>
      </c>
      <c r="M234" s="161">
        <f t="shared" si="145"/>
        <v>0</v>
      </c>
      <c r="N234" s="161">
        <f t="shared" si="145"/>
        <v>0</v>
      </c>
      <c r="O234" s="161">
        <f t="shared" si="145"/>
        <v>0</v>
      </c>
      <c r="P234" s="161">
        <f t="shared" si="145"/>
        <v>0</v>
      </c>
      <c r="Q234" s="161">
        <f t="shared" si="145"/>
        <v>0</v>
      </c>
      <c r="R234" s="161">
        <f t="shared" si="144"/>
        <v>0</v>
      </c>
      <c r="S234" s="161">
        <f t="shared" si="143"/>
        <v>0</v>
      </c>
      <c r="T234" s="161">
        <f t="shared" si="143"/>
        <v>0</v>
      </c>
      <c r="U234" s="161">
        <f t="shared" si="143"/>
        <v>0</v>
      </c>
      <c r="V234" s="161">
        <f t="shared" si="143"/>
        <v>0</v>
      </c>
      <c r="W234" s="161">
        <f t="shared" si="143"/>
        <v>0</v>
      </c>
      <c r="X234" s="161">
        <f t="shared" si="143"/>
        <v>0</v>
      </c>
      <c r="Y234" s="161">
        <f t="shared" si="143"/>
        <v>0</v>
      </c>
      <c r="Z234" s="161">
        <f t="shared" si="143"/>
        <v>0</v>
      </c>
      <c r="AA234" s="161">
        <f t="shared" si="143"/>
        <v>0</v>
      </c>
      <c r="AB234" s="161">
        <f t="shared" si="143"/>
        <v>0</v>
      </c>
      <c r="AC234" s="161">
        <f t="shared" si="143"/>
        <v>0</v>
      </c>
      <c r="AD234" s="161">
        <f t="shared" si="143"/>
        <v>0</v>
      </c>
      <c r="AE234" s="161">
        <f t="shared" si="143"/>
        <v>0</v>
      </c>
      <c r="AF234" s="174">
        <f t="shared" si="143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44"/>
        <v>0</v>
      </c>
      <c r="D235" s="161">
        <f t="shared" si="144"/>
        <v>0</v>
      </c>
      <c r="E235" s="161">
        <f t="shared" si="144"/>
        <v>0</v>
      </c>
      <c r="F235" s="161">
        <f t="shared" si="144"/>
        <v>0</v>
      </c>
      <c r="G235" s="161">
        <f t="shared" si="144"/>
        <v>0</v>
      </c>
      <c r="H235" s="161">
        <f t="shared" si="144"/>
        <v>0</v>
      </c>
      <c r="I235" s="161">
        <f t="shared" si="144"/>
        <v>0</v>
      </c>
      <c r="J235" s="161">
        <f t="shared" si="144"/>
        <v>0</v>
      </c>
      <c r="K235" s="161">
        <f t="shared" si="144"/>
        <v>0</v>
      </c>
      <c r="L235" s="161">
        <f t="shared" si="144"/>
        <v>0</v>
      </c>
      <c r="M235" s="161">
        <f t="shared" si="145"/>
        <v>0</v>
      </c>
      <c r="N235" s="161">
        <f t="shared" si="145"/>
        <v>0</v>
      </c>
      <c r="O235" s="161">
        <f t="shared" si="145"/>
        <v>0</v>
      </c>
      <c r="P235" s="161">
        <f t="shared" si="145"/>
        <v>0</v>
      </c>
      <c r="Q235" s="161">
        <f t="shared" si="145"/>
        <v>0</v>
      </c>
      <c r="R235" s="161">
        <f t="shared" si="144"/>
        <v>0</v>
      </c>
      <c r="S235" s="161">
        <f t="shared" si="143"/>
        <v>0</v>
      </c>
      <c r="T235" s="161">
        <f t="shared" si="143"/>
        <v>0</v>
      </c>
      <c r="U235" s="161">
        <f t="shared" si="143"/>
        <v>0</v>
      </c>
      <c r="V235" s="161">
        <f t="shared" si="143"/>
        <v>0</v>
      </c>
      <c r="W235" s="161">
        <f t="shared" si="143"/>
        <v>0</v>
      </c>
      <c r="X235" s="161">
        <f t="shared" si="143"/>
        <v>0</v>
      </c>
      <c r="Y235" s="161">
        <f t="shared" si="143"/>
        <v>0</v>
      </c>
      <c r="Z235" s="161">
        <f t="shared" si="143"/>
        <v>0</v>
      </c>
      <c r="AA235" s="161">
        <f t="shared" si="143"/>
        <v>0</v>
      </c>
      <c r="AB235" s="161">
        <f t="shared" si="143"/>
        <v>0</v>
      </c>
      <c r="AC235" s="161">
        <f t="shared" si="143"/>
        <v>0</v>
      </c>
      <c r="AD235" s="161">
        <f t="shared" si="143"/>
        <v>0</v>
      </c>
      <c r="AE235" s="161">
        <f t="shared" si="143"/>
        <v>0</v>
      </c>
      <c r="AF235" s="174">
        <f t="shared" si="143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44"/>
        <v>0</v>
      </c>
      <c r="D236" s="161">
        <f t="shared" si="144"/>
        <v>0</v>
      </c>
      <c r="E236" s="161">
        <f t="shared" si="144"/>
        <v>0</v>
      </c>
      <c r="F236" s="161">
        <f t="shared" si="144"/>
        <v>0</v>
      </c>
      <c r="G236" s="161">
        <f t="shared" si="144"/>
        <v>0</v>
      </c>
      <c r="H236" s="161">
        <f t="shared" si="144"/>
        <v>0</v>
      </c>
      <c r="I236" s="161">
        <f t="shared" si="144"/>
        <v>0</v>
      </c>
      <c r="J236" s="161">
        <f t="shared" si="144"/>
        <v>0</v>
      </c>
      <c r="K236" s="161">
        <f t="shared" si="144"/>
        <v>0</v>
      </c>
      <c r="L236" s="161">
        <f t="shared" si="144"/>
        <v>0</v>
      </c>
      <c r="M236" s="161">
        <f t="shared" si="145"/>
        <v>0</v>
      </c>
      <c r="N236" s="161">
        <f t="shared" si="145"/>
        <v>0</v>
      </c>
      <c r="O236" s="161">
        <f t="shared" si="145"/>
        <v>0</v>
      </c>
      <c r="P236" s="161">
        <f t="shared" si="145"/>
        <v>0</v>
      </c>
      <c r="Q236" s="161">
        <f t="shared" si="145"/>
        <v>0</v>
      </c>
      <c r="R236" s="161">
        <f t="shared" si="144"/>
        <v>0</v>
      </c>
      <c r="S236" s="161">
        <f t="shared" si="143"/>
        <v>0</v>
      </c>
      <c r="T236" s="161">
        <f t="shared" si="143"/>
        <v>0</v>
      </c>
      <c r="U236" s="161">
        <f t="shared" si="143"/>
        <v>0</v>
      </c>
      <c r="V236" s="161">
        <f t="shared" si="143"/>
        <v>0</v>
      </c>
      <c r="W236" s="161">
        <f t="shared" si="143"/>
        <v>0</v>
      </c>
      <c r="X236" s="161">
        <f t="shared" si="143"/>
        <v>0</v>
      </c>
      <c r="Y236" s="161">
        <f t="shared" si="143"/>
        <v>0</v>
      </c>
      <c r="Z236" s="161">
        <f t="shared" si="143"/>
        <v>0</v>
      </c>
      <c r="AA236" s="161">
        <f t="shared" si="143"/>
        <v>0</v>
      </c>
      <c r="AB236" s="161">
        <f t="shared" si="143"/>
        <v>0</v>
      </c>
      <c r="AC236" s="161">
        <f t="shared" si="143"/>
        <v>0</v>
      </c>
      <c r="AD236" s="161">
        <f t="shared" si="143"/>
        <v>0</v>
      </c>
      <c r="AE236" s="161">
        <f t="shared" si="143"/>
        <v>0</v>
      </c>
      <c r="AF236" s="174">
        <f t="shared" si="143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44"/>
        <v>0</v>
      </c>
      <c r="D237" s="161">
        <f t="shared" si="144"/>
        <v>0</v>
      </c>
      <c r="E237" s="161">
        <f t="shared" si="144"/>
        <v>0</v>
      </c>
      <c r="F237" s="161">
        <f t="shared" si="144"/>
        <v>0</v>
      </c>
      <c r="G237" s="161">
        <f t="shared" si="144"/>
        <v>0</v>
      </c>
      <c r="H237" s="161">
        <f t="shared" si="144"/>
        <v>0</v>
      </c>
      <c r="I237" s="161">
        <f t="shared" si="144"/>
        <v>0</v>
      </c>
      <c r="J237" s="161">
        <f t="shared" si="144"/>
        <v>0</v>
      </c>
      <c r="K237" s="161">
        <f t="shared" si="144"/>
        <v>0</v>
      </c>
      <c r="L237" s="161">
        <f t="shared" si="144"/>
        <v>0</v>
      </c>
      <c r="M237" s="161">
        <f t="shared" si="145"/>
        <v>0</v>
      </c>
      <c r="N237" s="161">
        <f t="shared" si="145"/>
        <v>0</v>
      </c>
      <c r="O237" s="161">
        <f t="shared" si="145"/>
        <v>0</v>
      </c>
      <c r="P237" s="161">
        <f t="shared" si="145"/>
        <v>0</v>
      </c>
      <c r="Q237" s="161">
        <f t="shared" si="145"/>
        <v>0</v>
      </c>
      <c r="R237" s="161">
        <f t="shared" si="144"/>
        <v>0</v>
      </c>
      <c r="S237" s="161">
        <f t="shared" si="143"/>
        <v>0</v>
      </c>
      <c r="T237" s="161">
        <f t="shared" si="143"/>
        <v>0</v>
      </c>
      <c r="U237" s="161">
        <f t="shared" si="143"/>
        <v>0</v>
      </c>
      <c r="V237" s="161">
        <f t="shared" si="143"/>
        <v>0</v>
      </c>
      <c r="W237" s="161">
        <f t="shared" si="143"/>
        <v>0</v>
      </c>
      <c r="X237" s="161">
        <f t="shared" si="143"/>
        <v>0</v>
      </c>
      <c r="Y237" s="161">
        <f t="shared" si="143"/>
        <v>0</v>
      </c>
      <c r="Z237" s="161">
        <f t="shared" si="143"/>
        <v>0</v>
      </c>
      <c r="AA237" s="161">
        <f t="shared" si="143"/>
        <v>0</v>
      </c>
      <c r="AB237" s="161">
        <f t="shared" si="143"/>
        <v>0</v>
      </c>
      <c r="AC237" s="161">
        <f t="shared" si="143"/>
        <v>0</v>
      </c>
      <c r="AD237" s="161">
        <f t="shared" si="143"/>
        <v>0</v>
      </c>
      <c r="AE237" s="161">
        <f t="shared" si="143"/>
        <v>0</v>
      </c>
      <c r="AF237" s="174">
        <f t="shared" si="143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44"/>
        <v>0</v>
      </c>
      <c r="D238" s="161">
        <f t="shared" si="144"/>
        <v>0</v>
      </c>
      <c r="E238" s="161">
        <f t="shared" si="144"/>
        <v>0</v>
      </c>
      <c r="F238" s="161">
        <f t="shared" si="144"/>
        <v>0</v>
      </c>
      <c r="G238" s="161">
        <f t="shared" si="144"/>
        <v>0</v>
      </c>
      <c r="H238" s="161">
        <f t="shared" si="144"/>
        <v>0</v>
      </c>
      <c r="I238" s="161">
        <f t="shared" si="144"/>
        <v>0</v>
      </c>
      <c r="J238" s="161">
        <f t="shared" si="144"/>
        <v>0</v>
      </c>
      <c r="K238" s="161">
        <f t="shared" si="144"/>
        <v>0</v>
      </c>
      <c r="L238" s="161">
        <f t="shared" si="144"/>
        <v>0</v>
      </c>
      <c r="M238" s="161">
        <f t="shared" si="145"/>
        <v>0</v>
      </c>
      <c r="N238" s="161">
        <f t="shared" si="145"/>
        <v>0</v>
      </c>
      <c r="O238" s="161">
        <f t="shared" si="145"/>
        <v>0</v>
      </c>
      <c r="P238" s="161">
        <f t="shared" si="145"/>
        <v>0</v>
      </c>
      <c r="Q238" s="161">
        <f t="shared" si="145"/>
        <v>0</v>
      </c>
      <c r="R238" s="161">
        <f t="shared" si="144"/>
        <v>0</v>
      </c>
      <c r="S238" s="161">
        <f t="shared" si="143"/>
        <v>0</v>
      </c>
      <c r="T238" s="161">
        <f t="shared" si="143"/>
        <v>0</v>
      </c>
      <c r="U238" s="161">
        <f t="shared" si="143"/>
        <v>0</v>
      </c>
      <c r="V238" s="161">
        <f t="shared" si="143"/>
        <v>0</v>
      </c>
      <c r="W238" s="161">
        <f t="shared" si="143"/>
        <v>0</v>
      </c>
      <c r="X238" s="161">
        <f t="shared" si="143"/>
        <v>0</v>
      </c>
      <c r="Y238" s="161">
        <f t="shared" si="143"/>
        <v>0</v>
      </c>
      <c r="Z238" s="161">
        <f t="shared" si="143"/>
        <v>0</v>
      </c>
      <c r="AA238" s="161">
        <f t="shared" si="143"/>
        <v>0</v>
      </c>
      <c r="AB238" s="161">
        <f t="shared" si="143"/>
        <v>0</v>
      </c>
      <c r="AC238" s="161">
        <f t="shared" si="143"/>
        <v>0</v>
      </c>
      <c r="AD238" s="161">
        <f t="shared" si="143"/>
        <v>0</v>
      </c>
      <c r="AE238" s="161">
        <f t="shared" si="143"/>
        <v>0</v>
      </c>
      <c r="AF238" s="174">
        <f t="shared" si="143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44"/>
        <v>0</v>
      </c>
      <c r="D239" s="161">
        <f t="shared" si="144"/>
        <v>0</v>
      </c>
      <c r="E239" s="161">
        <f t="shared" si="144"/>
        <v>0</v>
      </c>
      <c r="F239" s="161">
        <f t="shared" si="144"/>
        <v>0</v>
      </c>
      <c r="G239" s="161">
        <f t="shared" si="144"/>
        <v>0</v>
      </c>
      <c r="H239" s="161">
        <f t="shared" si="144"/>
        <v>0</v>
      </c>
      <c r="I239" s="161">
        <f t="shared" si="144"/>
        <v>0</v>
      </c>
      <c r="J239" s="161">
        <f t="shared" si="144"/>
        <v>0</v>
      </c>
      <c r="K239" s="161">
        <f t="shared" si="144"/>
        <v>0</v>
      </c>
      <c r="L239" s="161">
        <f t="shared" si="144"/>
        <v>0</v>
      </c>
      <c r="M239" s="161">
        <f t="shared" si="145"/>
        <v>0</v>
      </c>
      <c r="N239" s="161">
        <f t="shared" si="145"/>
        <v>0</v>
      </c>
      <c r="O239" s="161">
        <f t="shared" si="145"/>
        <v>0</v>
      </c>
      <c r="P239" s="161">
        <f t="shared" si="145"/>
        <v>0</v>
      </c>
      <c r="Q239" s="161">
        <f t="shared" si="145"/>
        <v>0</v>
      </c>
      <c r="R239" s="161">
        <f t="shared" si="144"/>
        <v>0</v>
      </c>
      <c r="S239" s="161">
        <f t="shared" si="143"/>
        <v>0</v>
      </c>
      <c r="T239" s="161">
        <f t="shared" si="143"/>
        <v>0</v>
      </c>
      <c r="U239" s="161">
        <f t="shared" si="143"/>
        <v>0</v>
      </c>
      <c r="V239" s="161">
        <f t="shared" si="143"/>
        <v>0</v>
      </c>
      <c r="W239" s="161">
        <f t="shared" si="143"/>
        <v>0</v>
      </c>
      <c r="X239" s="161">
        <f t="shared" si="143"/>
        <v>0</v>
      </c>
      <c r="Y239" s="161">
        <f t="shared" si="143"/>
        <v>0</v>
      </c>
      <c r="Z239" s="161">
        <f t="shared" si="143"/>
        <v>0</v>
      </c>
      <c r="AA239" s="161">
        <f t="shared" si="143"/>
        <v>0</v>
      </c>
      <c r="AB239" s="161">
        <f t="shared" si="143"/>
        <v>0</v>
      </c>
      <c r="AC239" s="161">
        <f t="shared" si="143"/>
        <v>0</v>
      </c>
      <c r="AD239" s="161">
        <f t="shared" si="143"/>
        <v>0</v>
      </c>
      <c r="AE239" s="161">
        <f t="shared" si="143"/>
        <v>0</v>
      </c>
      <c r="AF239" s="174">
        <f t="shared" si="143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44"/>
        <v>0</v>
      </c>
      <c r="D240" s="161">
        <f t="shared" si="144"/>
        <v>0</v>
      </c>
      <c r="E240" s="161">
        <f t="shared" si="144"/>
        <v>0</v>
      </c>
      <c r="F240" s="161">
        <f t="shared" si="144"/>
        <v>0</v>
      </c>
      <c r="G240" s="161">
        <f t="shared" si="144"/>
        <v>0</v>
      </c>
      <c r="H240" s="161">
        <f t="shared" si="144"/>
        <v>0</v>
      </c>
      <c r="I240" s="161">
        <f t="shared" si="144"/>
        <v>0</v>
      </c>
      <c r="J240" s="161">
        <f t="shared" si="144"/>
        <v>0</v>
      </c>
      <c r="K240" s="161">
        <f t="shared" si="144"/>
        <v>0</v>
      </c>
      <c r="L240" s="161">
        <f t="shared" si="144"/>
        <v>0</v>
      </c>
      <c r="M240" s="161">
        <f t="shared" si="145"/>
        <v>0</v>
      </c>
      <c r="N240" s="161">
        <f t="shared" si="145"/>
        <v>0</v>
      </c>
      <c r="O240" s="161">
        <f t="shared" si="145"/>
        <v>0</v>
      </c>
      <c r="P240" s="161">
        <f t="shared" si="145"/>
        <v>0</v>
      </c>
      <c r="Q240" s="161">
        <f t="shared" si="145"/>
        <v>0</v>
      </c>
      <c r="R240" s="161">
        <f t="shared" si="144"/>
        <v>0</v>
      </c>
      <c r="S240" s="161">
        <f t="shared" si="143"/>
        <v>0</v>
      </c>
      <c r="T240" s="161">
        <f t="shared" si="143"/>
        <v>0</v>
      </c>
      <c r="U240" s="161">
        <f t="shared" si="143"/>
        <v>0</v>
      </c>
      <c r="V240" s="161">
        <f t="shared" si="143"/>
        <v>0</v>
      </c>
      <c r="W240" s="161">
        <f t="shared" si="143"/>
        <v>0</v>
      </c>
      <c r="X240" s="161">
        <f t="shared" si="143"/>
        <v>0</v>
      </c>
      <c r="Y240" s="161">
        <f t="shared" si="143"/>
        <v>0</v>
      </c>
      <c r="Z240" s="161">
        <f t="shared" si="143"/>
        <v>0</v>
      </c>
      <c r="AA240" s="161">
        <f t="shared" si="143"/>
        <v>0</v>
      </c>
      <c r="AB240" s="161">
        <f t="shared" si="143"/>
        <v>0</v>
      </c>
      <c r="AC240" s="161">
        <f t="shared" si="143"/>
        <v>0</v>
      </c>
      <c r="AD240" s="161">
        <f t="shared" si="143"/>
        <v>0</v>
      </c>
      <c r="AE240" s="161">
        <f t="shared" si="143"/>
        <v>0</v>
      </c>
      <c r="AF240" s="174">
        <f t="shared" si="143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44"/>
        <v>0</v>
      </c>
      <c r="D241" s="161">
        <f t="shared" si="144"/>
        <v>0</v>
      </c>
      <c r="E241" s="161">
        <f t="shared" si="144"/>
        <v>0</v>
      </c>
      <c r="F241" s="161">
        <f t="shared" si="144"/>
        <v>0</v>
      </c>
      <c r="G241" s="161">
        <f t="shared" si="144"/>
        <v>0</v>
      </c>
      <c r="H241" s="161">
        <f t="shared" si="144"/>
        <v>0</v>
      </c>
      <c r="I241" s="161">
        <f t="shared" si="144"/>
        <v>0</v>
      </c>
      <c r="J241" s="161">
        <f t="shared" si="144"/>
        <v>0</v>
      </c>
      <c r="K241" s="161">
        <f t="shared" si="144"/>
        <v>0</v>
      </c>
      <c r="L241" s="161">
        <f t="shared" si="144"/>
        <v>0</v>
      </c>
      <c r="M241" s="161">
        <f t="shared" si="145"/>
        <v>0</v>
      </c>
      <c r="N241" s="161">
        <f t="shared" si="145"/>
        <v>0</v>
      </c>
      <c r="O241" s="161">
        <f t="shared" si="145"/>
        <v>0</v>
      </c>
      <c r="P241" s="161">
        <f t="shared" si="145"/>
        <v>0</v>
      </c>
      <c r="Q241" s="161">
        <f t="shared" si="145"/>
        <v>0</v>
      </c>
      <c r="R241" s="161">
        <f t="shared" si="144"/>
        <v>0</v>
      </c>
      <c r="S241" s="161">
        <f t="shared" si="143"/>
        <v>0</v>
      </c>
      <c r="T241" s="161">
        <f t="shared" si="143"/>
        <v>0</v>
      </c>
      <c r="U241" s="161">
        <f t="shared" si="143"/>
        <v>0</v>
      </c>
      <c r="V241" s="161">
        <f t="shared" si="143"/>
        <v>0</v>
      </c>
      <c r="W241" s="161">
        <f t="shared" si="143"/>
        <v>0</v>
      </c>
      <c r="X241" s="161">
        <f t="shared" si="143"/>
        <v>0</v>
      </c>
      <c r="Y241" s="161">
        <f t="shared" si="143"/>
        <v>0</v>
      </c>
      <c r="Z241" s="161">
        <f t="shared" si="143"/>
        <v>0</v>
      </c>
      <c r="AA241" s="161">
        <f t="shared" si="143"/>
        <v>0</v>
      </c>
      <c r="AB241" s="161">
        <f t="shared" si="143"/>
        <v>0</v>
      </c>
      <c r="AC241" s="161">
        <f t="shared" si="143"/>
        <v>0</v>
      </c>
      <c r="AD241" s="161">
        <f t="shared" si="143"/>
        <v>0</v>
      </c>
      <c r="AE241" s="161">
        <f t="shared" si="143"/>
        <v>0</v>
      </c>
      <c r="AF241" s="174">
        <f t="shared" si="143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44"/>
        <v>0</v>
      </c>
      <c r="D242" s="161">
        <f t="shared" si="144"/>
        <v>0</v>
      </c>
      <c r="E242" s="161">
        <f t="shared" si="144"/>
        <v>0</v>
      </c>
      <c r="F242" s="161">
        <f t="shared" si="144"/>
        <v>0</v>
      </c>
      <c r="G242" s="161">
        <f t="shared" si="144"/>
        <v>0</v>
      </c>
      <c r="H242" s="161">
        <f t="shared" si="144"/>
        <v>0</v>
      </c>
      <c r="I242" s="161">
        <f t="shared" si="144"/>
        <v>0</v>
      </c>
      <c r="J242" s="161">
        <f t="shared" si="144"/>
        <v>0</v>
      </c>
      <c r="K242" s="161">
        <f t="shared" si="144"/>
        <v>0</v>
      </c>
      <c r="L242" s="161">
        <f t="shared" si="144"/>
        <v>0</v>
      </c>
      <c r="M242" s="161">
        <f t="shared" si="145"/>
        <v>0</v>
      </c>
      <c r="N242" s="161">
        <f t="shared" si="145"/>
        <v>0</v>
      </c>
      <c r="O242" s="161">
        <f t="shared" si="145"/>
        <v>0</v>
      </c>
      <c r="P242" s="161">
        <f t="shared" si="145"/>
        <v>0</v>
      </c>
      <c r="Q242" s="161">
        <f t="shared" si="145"/>
        <v>0</v>
      </c>
      <c r="R242" s="161">
        <f t="shared" si="144"/>
        <v>0</v>
      </c>
      <c r="S242" s="161">
        <f t="shared" si="143"/>
        <v>0</v>
      </c>
      <c r="T242" s="161">
        <f t="shared" si="143"/>
        <v>0</v>
      </c>
      <c r="U242" s="161">
        <f t="shared" si="143"/>
        <v>0</v>
      </c>
      <c r="V242" s="161">
        <f t="shared" si="143"/>
        <v>0</v>
      </c>
      <c r="W242" s="161">
        <f t="shared" si="143"/>
        <v>0</v>
      </c>
      <c r="X242" s="161">
        <f t="shared" si="143"/>
        <v>0</v>
      </c>
      <c r="Y242" s="161">
        <f t="shared" si="143"/>
        <v>0</v>
      </c>
      <c r="Z242" s="161">
        <f t="shared" si="143"/>
        <v>0</v>
      </c>
      <c r="AA242" s="161">
        <f t="shared" si="143"/>
        <v>0</v>
      </c>
      <c r="AB242" s="161">
        <f t="shared" si="143"/>
        <v>0</v>
      </c>
      <c r="AC242" s="161">
        <f t="shared" si="143"/>
        <v>0</v>
      </c>
      <c r="AD242" s="161">
        <f t="shared" si="143"/>
        <v>0</v>
      </c>
      <c r="AE242" s="161">
        <f t="shared" si="143"/>
        <v>0</v>
      </c>
      <c r="AF242" s="174">
        <f t="shared" si="143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44"/>
        <v>0</v>
      </c>
      <c r="D243" s="161">
        <f t="shared" si="144"/>
        <v>0</v>
      </c>
      <c r="E243" s="161">
        <f t="shared" si="144"/>
        <v>0</v>
      </c>
      <c r="F243" s="161">
        <f t="shared" si="144"/>
        <v>0</v>
      </c>
      <c r="G243" s="161">
        <f t="shared" si="144"/>
        <v>0</v>
      </c>
      <c r="H243" s="161">
        <f t="shared" si="144"/>
        <v>0</v>
      </c>
      <c r="I243" s="161">
        <f t="shared" si="144"/>
        <v>0</v>
      </c>
      <c r="J243" s="161">
        <f t="shared" si="144"/>
        <v>0</v>
      </c>
      <c r="K243" s="161">
        <f t="shared" si="144"/>
        <v>0</v>
      </c>
      <c r="L243" s="161">
        <f t="shared" si="144"/>
        <v>0</v>
      </c>
      <c r="M243" s="161">
        <f t="shared" si="145"/>
        <v>0</v>
      </c>
      <c r="N243" s="161">
        <f t="shared" si="145"/>
        <v>0</v>
      </c>
      <c r="O243" s="161">
        <f t="shared" si="145"/>
        <v>0</v>
      </c>
      <c r="P243" s="161">
        <f t="shared" si="145"/>
        <v>0</v>
      </c>
      <c r="Q243" s="161">
        <f t="shared" si="145"/>
        <v>0</v>
      </c>
      <c r="R243" s="161">
        <f t="shared" si="144"/>
        <v>0</v>
      </c>
      <c r="S243" s="161">
        <f t="shared" si="143"/>
        <v>0</v>
      </c>
      <c r="T243" s="161">
        <f t="shared" si="143"/>
        <v>0</v>
      </c>
      <c r="U243" s="161">
        <f t="shared" si="143"/>
        <v>0</v>
      </c>
      <c r="V243" s="161">
        <f t="shared" si="143"/>
        <v>0</v>
      </c>
      <c r="W243" s="161">
        <f t="shared" si="143"/>
        <v>0</v>
      </c>
      <c r="X243" s="161">
        <f t="shared" si="143"/>
        <v>0</v>
      </c>
      <c r="Y243" s="161">
        <f t="shared" si="143"/>
        <v>0</v>
      </c>
      <c r="Z243" s="161">
        <f t="shared" si="143"/>
        <v>0</v>
      </c>
      <c r="AA243" s="161">
        <f t="shared" si="143"/>
        <v>0</v>
      </c>
      <c r="AB243" s="161">
        <f t="shared" si="143"/>
        <v>0</v>
      </c>
      <c r="AC243" s="161">
        <f t="shared" si="143"/>
        <v>0</v>
      </c>
      <c r="AD243" s="161">
        <f t="shared" si="143"/>
        <v>0</v>
      </c>
      <c r="AE243" s="161">
        <f t="shared" si="143"/>
        <v>0</v>
      </c>
      <c r="AF243" s="174">
        <f t="shared" si="143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44"/>
        <v>0</v>
      </c>
      <c r="D244" s="161">
        <f t="shared" si="144"/>
        <v>0</v>
      </c>
      <c r="E244" s="161">
        <f t="shared" si="144"/>
        <v>0</v>
      </c>
      <c r="F244" s="161">
        <f t="shared" si="144"/>
        <v>0</v>
      </c>
      <c r="G244" s="161">
        <f t="shared" si="144"/>
        <v>0</v>
      </c>
      <c r="H244" s="161">
        <f t="shared" si="144"/>
        <v>0</v>
      </c>
      <c r="I244" s="161">
        <f t="shared" si="144"/>
        <v>0</v>
      </c>
      <c r="J244" s="161">
        <f t="shared" si="144"/>
        <v>0</v>
      </c>
      <c r="K244" s="161">
        <f t="shared" si="144"/>
        <v>0</v>
      </c>
      <c r="L244" s="161">
        <f t="shared" si="144"/>
        <v>0</v>
      </c>
      <c r="M244" s="161">
        <f t="shared" si="145"/>
        <v>0</v>
      </c>
      <c r="N244" s="161">
        <f t="shared" si="145"/>
        <v>0</v>
      </c>
      <c r="O244" s="161">
        <f t="shared" si="145"/>
        <v>0</v>
      </c>
      <c r="P244" s="161">
        <f t="shared" si="145"/>
        <v>0</v>
      </c>
      <c r="Q244" s="161">
        <f t="shared" si="145"/>
        <v>0</v>
      </c>
      <c r="R244" s="161">
        <f t="shared" si="144"/>
        <v>0</v>
      </c>
      <c r="S244" s="161">
        <f t="shared" si="143"/>
        <v>0</v>
      </c>
      <c r="T244" s="161">
        <f t="shared" si="143"/>
        <v>0</v>
      </c>
      <c r="U244" s="161">
        <f t="shared" si="143"/>
        <v>0</v>
      </c>
      <c r="V244" s="161">
        <f t="shared" si="143"/>
        <v>0</v>
      </c>
      <c r="W244" s="161">
        <f t="shared" si="143"/>
        <v>0</v>
      </c>
      <c r="X244" s="161">
        <f t="shared" si="143"/>
        <v>0</v>
      </c>
      <c r="Y244" s="161">
        <f t="shared" si="143"/>
        <v>0</v>
      </c>
      <c r="Z244" s="161">
        <f t="shared" si="143"/>
        <v>0</v>
      </c>
      <c r="AA244" s="161">
        <f t="shared" si="143"/>
        <v>0</v>
      </c>
      <c r="AB244" s="161">
        <f t="shared" si="143"/>
        <v>0</v>
      </c>
      <c r="AC244" s="161">
        <f t="shared" si="143"/>
        <v>0</v>
      </c>
      <c r="AD244" s="161">
        <f t="shared" si="143"/>
        <v>0</v>
      </c>
      <c r="AE244" s="161">
        <f t="shared" si="143"/>
        <v>0</v>
      </c>
      <c r="AF244" s="174">
        <f t="shared" si="143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44"/>
        <v>0</v>
      </c>
      <c r="D245" s="161">
        <f t="shared" si="144"/>
        <v>0</v>
      </c>
      <c r="E245" s="161">
        <f t="shared" si="144"/>
        <v>0</v>
      </c>
      <c r="F245" s="161">
        <f t="shared" si="144"/>
        <v>0</v>
      </c>
      <c r="G245" s="161">
        <f t="shared" si="144"/>
        <v>0</v>
      </c>
      <c r="H245" s="161">
        <f t="shared" si="144"/>
        <v>0</v>
      </c>
      <c r="I245" s="161">
        <f t="shared" si="144"/>
        <v>0</v>
      </c>
      <c r="J245" s="161">
        <f t="shared" si="144"/>
        <v>0</v>
      </c>
      <c r="K245" s="161">
        <f t="shared" si="144"/>
        <v>0</v>
      </c>
      <c r="L245" s="161">
        <f t="shared" si="144"/>
        <v>0</v>
      </c>
      <c r="M245" s="161">
        <f t="shared" si="145"/>
        <v>0</v>
      </c>
      <c r="N245" s="161">
        <f t="shared" si="145"/>
        <v>0</v>
      </c>
      <c r="O245" s="161">
        <f t="shared" si="145"/>
        <v>0</v>
      </c>
      <c r="P245" s="161">
        <f t="shared" si="145"/>
        <v>0</v>
      </c>
      <c r="Q245" s="161">
        <f t="shared" si="145"/>
        <v>0</v>
      </c>
      <c r="R245" s="161">
        <f t="shared" si="144"/>
        <v>0</v>
      </c>
      <c r="S245" s="161">
        <f t="shared" si="143"/>
        <v>0</v>
      </c>
      <c r="T245" s="161">
        <f t="shared" si="143"/>
        <v>0</v>
      </c>
      <c r="U245" s="161">
        <f t="shared" si="143"/>
        <v>0</v>
      </c>
      <c r="V245" s="161">
        <f t="shared" si="143"/>
        <v>0</v>
      </c>
      <c r="W245" s="161">
        <f t="shared" si="143"/>
        <v>0</v>
      </c>
      <c r="X245" s="161">
        <f t="shared" si="143"/>
        <v>0</v>
      </c>
      <c r="Y245" s="161">
        <f t="shared" si="143"/>
        <v>0</v>
      </c>
      <c r="Z245" s="161">
        <f t="shared" si="143"/>
        <v>0</v>
      </c>
      <c r="AA245" s="161">
        <f t="shared" si="143"/>
        <v>0</v>
      </c>
      <c r="AB245" s="161">
        <f t="shared" si="143"/>
        <v>0</v>
      </c>
      <c r="AC245" s="161">
        <f t="shared" si="143"/>
        <v>0</v>
      </c>
      <c r="AD245" s="161">
        <f t="shared" si="143"/>
        <v>0</v>
      </c>
      <c r="AE245" s="161">
        <f t="shared" si="143"/>
        <v>0</v>
      </c>
      <c r="AF245" s="174">
        <f t="shared" si="143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44"/>
        <v>0</v>
      </c>
      <c r="D246" s="161">
        <f t="shared" si="144"/>
        <v>0</v>
      </c>
      <c r="E246" s="161">
        <f t="shared" si="144"/>
        <v>0</v>
      </c>
      <c r="F246" s="161">
        <f t="shared" si="144"/>
        <v>0</v>
      </c>
      <c r="G246" s="161">
        <f t="shared" si="144"/>
        <v>0</v>
      </c>
      <c r="H246" s="161">
        <f t="shared" si="144"/>
        <v>0</v>
      </c>
      <c r="I246" s="161">
        <f t="shared" si="144"/>
        <v>0</v>
      </c>
      <c r="J246" s="161">
        <f t="shared" si="144"/>
        <v>0</v>
      </c>
      <c r="K246" s="161">
        <f t="shared" si="144"/>
        <v>0</v>
      </c>
      <c r="L246" s="161">
        <f t="shared" si="144"/>
        <v>0</v>
      </c>
      <c r="M246" s="161">
        <f t="shared" si="145"/>
        <v>0</v>
      </c>
      <c r="N246" s="161">
        <f t="shared" si="145"/>
        <v>0</v>
      </c>
      <c r="O246" s="161">
        <f t="shared" si="145"/>
        <v>0</v>
      </c>
      <c r="P246" s="161">
        <f t="shared" si="145"/>
        <v>0</v>
      </c>
      <c r="Q246" s="161">
        <f t="shared" si="145"/>
        <v>0</v>
      </c>
      <c r="R246" s="161">
        <f t="shared" si="144"/>
        <v>0</v>
      </c>
      <c r="S246" s="161">
        <f t="shared" si="143"/>
        <v>0</v>
      </c>
      <c r="T246" s="161">
        <f t="shared" si="143"/>
        <v>0</v>
      </c>
      <c r="U246" s="161">
        <f t="shared" si="143"/>
        <v>0</v>
      </c>
      <c r="V246" s="161">
        <f t="shared" si="143"/>
        <v>0</v>
      </c>
      <c r="W246" s="161">
        <f t="shared" si="143"/>
        <v>0</v>
      </c>
      <c r="X246" s="161">
        <f t="shared" si="143"/>
        <v>0</v>
      </c>
      <c r="Y246" s="161">
        <f t="shared" si="143"/>
        <v>0</v>
      </c>
      <c r="Z246" s="161">
        <f t="shared" si="143"/>
        <v>0</v>
      </c>
      <c r="AA246" s="161">
        <f t="shared" si="143"/>
        <v>0</v>
      </c>
      <c r="AB246" s="161">
        <f t="shared" si="143"/>
        <v>0</v>
      </c>
      <c r="AC246" s="161">
        <f t="shared" si="143"/>
        <v>0</v>
      </c>
      <c r="AD246" s="161">
        <f t="shared" si="143"/>
        <v>0</v>
      </c>
      <c r="AE246" s="161">
        <f t="shared" si="143"/>
        <v>0</v>
      </c>
      <c r="AF246" s="174">
        <f t="shared" si="143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44"/>
        <v>0</v>
      </c>
      <c r="D247" s="161">
        <f t="shared" si="144"/>
        <v>0</v>
      </c>
      <c r="E247" s="161">
        <f t="shared" si="144"/>
        <v>0</v>
      </c>
      <c r="F247" s="161">
        <f t="shared" si="144"/>
        <v>0</v>
      </c>
      <c r="G247" s="161">
        <f t="shared" si="144"/>
        <v>0</v>
      </c>
      <c r="H247" s="161">
        <f t="shared" si="144"/>
        <v>0</v>
      </c>
      <c r="I247" s="161">
        <f t="shared" si="144"/>
        <v>0</v>
      </c>
      <c r="J247" s="161">
        <f t="shared" si="144"/>
        <v>0</v>
      </c>
      <c r="K247" s="161">
        <f t="shared" si="144"/>
        <v>0</v>
      </c>
      <c r="L247" s="161">
        <f t="shared" si="144"/>
        <v>0</v>
      </c>
      <c r="M247" s="161">
        <f t="shared" si="145"/>
        <v>0</v>
      </c>
      <c r="N247" s="161">
        <f t="shared" si="145"/>
        <v>0</v>
      </c>
      <c r="O247" s="161">
        <f t="shared" si="145"/>
        <v>0</v>
      </c>
      <c r="P247" s="161">
        <f t="shared" si="145"/>
        <v>0</v>
      </c>
      <c r="Q247" s="161">
        <f t="shared" si="145"/>
        <v>0</v>
      </c>
      <c r="R247" s="161">
        <f t="shared" si="144"/>
        <v>0</v>
      </c>
      <c r="S247" s="161">
        <f t="shared" si="143"/>
        <v>0</v>
      </c>
      <c r="T247" s="161">
        <f t="shared" si="143"/>
        <v>0</v>
      </c>
      <c r="U247" s="161">
        <f t="shared" si="143"/>
        <v>0</v>
      </c>
      <c r="V247" s="161">
        <f t="shared" si="143"/>
        <v>0</v>
      </c>
      <c r="W247" s="161">
        <f t="shared" si="143"/>
        <v>0</v>
      </c>
      <c r="X247" s="161">
        <f t="shared" si="143"/>
        <v>0</v>
      </c>
      <c r="Y247" s="161">
        <f t="shared" si="143"/>
        <v>0</v>
      </c>
      <c r="Z247" s="161">
        <f t="shared" si="143"/>
        <v>0</v>
      </c>
      <c r="AA247" s="161">
        <f t="shared" si="143"/>
        <v>0</v>
      </c>
      <c r="AB247" s="161">
        <f t="shared" si="143"/>
        <v>0</v>
      </c>
      <c r="AC247" s="161">
        <f t="shared" si="143"/>
        <v>0</v>
      </c>
      <c r="AD247" s="161">
        <f t="shared" si="143"/>
        <v>0</v>
      </c>
      <c r="AE247" s="161">
        <f t="shared" si="143"/>
        <v>0</v>
      </c>
      <c r="AF247" s="174">
        <f t="shared" si="143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44"/>
        <v>0</v>
      </c>
      <c r="D248" s="161">
        <f t="shared" si="144"/>
        <v>0</v>
      </c>
      <c r="E248" s="161">
        <f t="shared" si="144"/>
        <v>0</v>
      </c>
      <c r="F248" s="161">
        <f t="shared" si="144"/>
        <v>0</v>
      </c>
      <c r="G248" s="161">
        <f t="shared" si="144"/>
        <v>0</v>
      </c>
      <c r="H248" s="161">
        <f t="shared" si="144"/>
        <v>0</v>
      </c>
      <c r="I248" s="161">
        <f t="shared" si="144"/>
        <v>0</v>
      </c>
      <c r="J248" s="161">
        <f t="shared" si="144"/>
        <v>0</v>
      </c>
      <c r="K248" s="161">
        <f t="shared" si="144"/>
        <v>0</v>
      </c>
      <c r="L248" s="161">
        <f t="shared" si="144"/>
        <v>0</v>
      </c>
      <c r="M248" s="161">
        <f t="shared" si="145"/>
        <v>0</v>
      </c>
      <c r="N248" s="161">
        <f t="shared" si="145"/>
        <v>0</v>
      </c>
      <c r="O248" s="161">
        <f t="shared" si="145"/>
        <v>0</v>
      </c>
      <c r="P248" s="161">
        <f t="shared" si="145"/>
        <v>0</v>
      </c>
      <c r="Q248" s="161">
        <f t="shared" si="145"/>
        <v>0</v>
      </c>
      <c r="R248" s="161">
        <f t="shared" ref="R248:AF263" si="146">Q248</f>
        <v>0</v>
      </c>
      <c r="S248" s="161">
        <f t="shared" si="146"/>
        <v>0</v>
      </c>
      <c r="T248" s="161">
        <f t="shared" si="146"/>
        <v>0</v>
      </c>
      <c r="U248" s="161">
        <f t="shared" si="146"/>
        <v>0</v>
      </c>
      <c r="V248" s="161">
        <f t="shared" si="146"/>
        <v>0</v>
      </c>
      <c r="W248" s="161">
        <f t="shared" si="146"/>
        <v>0</v>
      </c>
      <c r="X248" s="161">
        <f t="shared" si="146"/>
        <v>0</v>
      </c>
      <c r="Y248" s="161">
        <f t="shared" si="146"/>
        <v>0</v>
      </c>
      <c r="Z248" s="161">
        <f t="shared" si="146"/>
        <v>0</v>
      </c>
      <c r="AA248" s="161">
        <f t="shared" si="146"/>
        <v>0</v>
      </c>
      <c r="AB248" s="161">
        <f t="shared" si="146"/>
        <v>0</v>
      </c>
      <c r="AC248" s="161">
        <f t="shared" si="146"/>
        <v>0</v>
      </c>
      <c r="AD248" s="161">
        <f t="shared" si="146"/>
        <v>0</v>
      </c>
      <c r="AE248" s="161">
        <f t="shared" si="146"/>
        <v>0</v>
      </c>
      <c r="AF248" s="174">
        <f t="shared" si="14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47">B249</f>
        <v>0</v>
      </c>
      <c r="D249" s="161">
        <f t="shared" si="147"/>
        <v>0</v>
      </c>
      <c r="E249" s="161">
        <f t="shared" si="147"/>
        <v>0</v>
      </c>
      <c r="F249" s="161">
        <f t="shared" si="147"/>
        <v>0</v>
      </c>
      <c r="G249" s="161">
        <f t="shared" si="147"/>
        <v>0</v>
      </c>
      <c r="H249" s="161">
        <f t="shared" si="147"/>
        <v>0</v>
      </c>
      <c r="I249" s="161">
        <f t="shared" si="147"/>
        <v>0</v>
      </c>
      <c r="J249" s="161">
        <f t="shared" si="147"/>
        <v>0</v>
      </c>
      <c r="K249" s="161">
        <f t="shared" si="147"/>
        <v>0</v>
      </c>
      <c r="L249" s="161">
        <f t="shared" si="147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6"/>
        <v>0</v>
      </c>
      <c r="S249" s="161">
        <f t="shared" si="146"/>
        <v>0</v>
      </c>
      <c r="T249" s="161">
        <f t="shared" si="146"/>
        <v>0</v>
      </c>
      <c r="U249" s="161">
        <f t="shared" si="146"/>
        <v>0</v>
      </c>
      <c r="V249" s="161">
        <f t="shared" si="146"/>
        <v>0</v>
      </c>
      <c r="W249" s="161">
        <f t="shared" si="146"/>
        <v>0</v>
      </c>
      <c r="X249" s="161">
        <f t="shared" si="146"/>
        <v>0</v>
      </c>
      <c r="Y249" s="161">
        <f t="shared" si="146"/>
        <v>0</v>
      </c>
      <c r="Z249" s="161">
        <f t="shared" si="146"/>
        <v>0</v>
      </c>
      <c r="AA249" s="161">
        <f t="shared" si="146"/>
        <v>0</v>
      </c>
      <c r="AB249" s="161">
        <f t="shared" si="146"/>
        <v>0</v>
      </c>
      <c r="AC249" s="161">
        <f t="shared" si="146"/>
        <v>0</v>
      </c>
      <c r="AD249" s="161">
        <f t="shared" si="146"/>
        <v>0</v>
      </c>
      <c r="AE249" s="161">
        <f t="shared" si="146"/>
        <v>0</v>
      </c>
      <c r="AF249" s="174">
        <f t="shared" si="14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47"/>
        <v>0</v>
      </c>
      <c r="D250" s="161">
        <f t="shared" si="147"/>
        <v>0</v>
      </c>
      <c r="E250" s="161">
        <f t="shared" si="147"/>
        <v>0</v>
      </c>
      <c r="F250" s="161">
        <f t="shared" si="147"/>
        <v>0</v>
      </c>
      <c r="G250" s="161">
        <f t="shared" si="147"/>
        <v>0</v>
      </c>
      <c r="H250" s="161">
        <f t="shared" si="147"/>
        <v>0</v>
      </c>
      <c r="I250" s="161">
        <f t="shared" si="147"/>
        <v>0</v>
      </c>
      <c r="J250" s="161">
        <f t="shared" si="147"/>
        <v>0</v>
      </c>
      <c r="K250" s="161">
        <f t="shared" si="147"/>
        <v>0</v>
      </c>
      <c r="L250" s="161">
        <f t="shared" si="147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7"/>
        <v>0</v>
      </c>
      <c r="S250" s="161">
        <f t="shared" si="146"/>
        <v>0</v>
      </c>
      <c r="T250" s="161">
        <f t="shared" si="146"/>
        <v>0</v>
      </c>
      <c r="U250" s="161">
        <f t="shared" si="146"/>
        <v>0</v>
      </c>
      <c r="V250" s="161">
        <f t="shared" si="146"/>
        <v>0</v>
      </c>
      <c r="W250" s="161">
        <f t="shared" si="146"/>
        <v>0</v>
      </c>
      <c r="X250" s="161">
        <f t="shared" si="146"/>
        <v>0</v>
      </c>
      <c r="Y250" s="161">
        <f t="shared" si="146"/>
        <v>0</v>
      </c>
      <c r="Z250" s="161">
        <f t="shared" si="146"/>
        <v>0</v>
      </c>
      <c r="AA250" s="161">
        <f t="shared" si="146"/>
        <v>0</v>
      </c>
      <c r="AB250" s="161">
        <f t="shared" si="146"/>
        <v>0</v>
      </c>
      <c r="AC250" s="161">
        <f t="shared" si="146"/>
        <v>0</v>
      </c>
      <c r="AD250" s="161">
        <f t="shared" si="146"/>
        <v>0</v>
      </c>
      <c r="AE250" s="161">
        <f t="shared" si="146"/>
        <v>0</v>
      </c>
      <c r="AF250" s="174">
        <f t="shared" si="14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47"/>
        <v>0</v>
      </c>
      <c r="D251" s="161">
        <f t="shared" si="147"/>
        <v>0</v>
      </c>
      <c r="E251" s="161">
        <f t="shared" si="147"/>
        <v>0</v>
      </c>
      <c r="F251" s="161">
        <f t="shared" si="147"/>
        <v>0</v>
      </c>
      <c r="G251" s="161">
        <f t="shared" si="147"/>
        <v>0</v>
      </c>
      <c r="H251" s="161">
        <f t="shared" si="147"/>
        <v>0</v>
      </c>
      <c r="I251" s="161">
        <f t="shared" si="147"/>
        <v>0</v>
      </c>
      <c r="J251" s="161">
        <f t="shared" si="147"/>
        <v>0</v>
      </c>
      <c r="K251" s="161">
        <f t="shared" si="147"/>
        <v>0</v>
      </c>
      <c r="L251" s="161">
        <f t="shared" si="147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7"/>
        <v>0</v>
      </c>
      <c r="S251" s="161">
        <f t="shared" si="146"/>
        <v>0</v>
      </c>
      <c r="T251" s="161">
        <f t="shared" si="146"/>
        <v>0</v>
      </c>
      <c r="U251" s="161">
        <f t="shared" si="146"/>
        <v>0</v>
      </c>
      <c r="V251" s="161">
        <f t="shared" si="146"/>
        <v>0</v>
      </c>
      <c r="W251" s="161">
        <f t="shared" si="146"/>
        <v>0</v>
      </c>
      <c r="X251" s="161">
        <f t="shared" si="146"/>
        <v>0</v>
      </c>
      <c r="Y251" s="161">
        <f t="shared" si="146"/>
        <v>0</v>
      </c>
      <c r="Z251" s="161">
        <f t="shared" si="146"/>
        <v>0</v>
      </c>
      <c r="AA251" s="161">
        <f t="shared" si="146"/>
        <v>0</v>
      </c>
      <c r="AB251" s="161">
        <f t="shared" si="146"/>
        <v>0</v>
      </c>
      <c r="AC251" s="161">
        <f t="shared" si="146"/>
        <v>0</v>
      </c>
      <c r="AD251" s="161">
        <f t="shared" si="146"/>
        <v>0</v>
      </c>
      <c r="AE251" s="161">
        <f t="shared" si="146"/>
        <v>0</v>
      </c>
      <c r="AF251" s="174">
        <f t="shared" si="14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47"/>
        <v>0</v>
      </c>
      <c r="D252" s="161">
        <f t="shared" si="147"/>
        <v>0</v>
      </c>
      <c r="E252" s="161">
        <f t="shared" si="147"/>
        <v>0</v>
      </c>
      <c r="F252" s="161">
        <f t="shared" si="147"/>
        <v>0</v>
      </c>
      <c r="G252" s="161">
        <f t="shared" si="147"/>
        <v>0</v>
      </c>
      <c r="H252" s="161">
        <f t="shared" si="147"/>
        <v>0</v>
      </c>
      <c r="I252" s="161">
        <f t="shared" si="147"/>
        <v>0</v>
      </c>
      <c r="J252" s="161">
        <f t="shared" si="147"/>
        <v>0</v>
      </c>
      <c r="K252" s="161">
        <f t="shared" si="147"/>
        <v>0</v>
      </c>
      <c r="L252" s="161">
        <f t="shared" si="147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7"/>
        <v>0</v>
      </c>
      <c r="S252" s="161">
        <f t="shared" si="146"/>
        <v>0</v>
      </c>
      <c r="T252" s="161">
        <f t="shared" si="146"/>
        <v>0</v>
      </c>
      <c r="U252" s="161">
        <f t="shared" si="146"/>
        <v>0</v>
      </c>
      <c r="V252" s="161">
        <f t="shared" si="146"/>
        <v>0</v>
      </c>
      <c r="W252" s="161">
        <f t="shared" si="146"/>
        <v>0</v>
      </c>
      <c r="X252" s="161">
        <f t="shared" si="146"/>
        <v>0</v>
      </c>
      <c r="Y252" s="161">
        <f t="shared" si="146"/>
        <v>0</v>
      </c>
      <c r="Z252" s="161">
        <f t="shared" si="146"/>
        <v>0</v>
      </c>
      <c r="AA252" s="161">
        <f t="shared" si="146"/>
        <v>0</v>
      </c>
      <c r="AB252" s="161">
        <f t="shared" si="146"/>
        <v>0</v>
      </c>
      <c r="AC252" s="161">
        <f t="shared" si="146"/>
        <v>0</v>
      </c>
      <c r="AD252" s="161">
        <f t="shared" si="146"/>
        <v>0</v>
      </c>
      <c r="AE252" s="161">
        <f t="shared" si="146"/>
        <v>0</v>
      </c>
      <c r="AF252" s="174">
        <f t="shared" si="14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47"/>
        <v>0</v>
      </c>
      <c r="D253" s="161">
        <f t="shared" si="147"/>
        <v>0</v>
      </c>
      <c r="E253" s="161">
        <f t="shared" si="147"/>
        <v>0</v>
      </c>
      <c r="F253" s="161">
        <f t="shared" si="147"/>
        <v>0</v>
      </c>
      <c r="G253" s="161">
        <f t="shared" si="147"/>
        <v>0</v>
      </c>
      <c r="H253" s="161">
        <f t="shared" si="147"/>
        <v>0</v>
      </c>
      <c r="I253" s="161">
        <f t="shared" si="147"/>
        <v>0</v>
      </c>
      <c r="J253" s="161">
        <f t="shared" si="147"/>
        <v>0</v>
      </c>
      <c r="K253" s="161">
        <f t="shared" si="147"/>
        <v>0</v>
      </c>
      <c r="L253" s="161">
        <f t="shared" si="147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7"/>
        <v>0</v>
      </c>
      <c r="S253" s="161">
        <f t="shared" si="146"/>
        <v>0</v>
      </c>
      <c r="T253" s="161">
        <f t="shared" si="146"/>
        <v>0</v>
      </c>
      <c r="U253" s="161">
        <f t="shared" si="146"/>
        <v>0</v>
      </c>
      <c r="V253" s="161">
        <f t="shared" si="146"/>
        <v>0</v>
      </c>
      <c r="W253" s="161">
        <f t="shared" si="146"/>
        <v>0</v>
      </c>
      <c r="X253" s="161">
        <f t="shared" si="146"/>
        <v>0</v>
      </c>
      <c r="Y253" s="161">
        <f t="shared" si="146"/>
        <v>0</v>
      </c>
      <c r="Z253" s="161">
        <f t="shared" si="146"/>
        <v>0</v>
      </c>
      <c r="AA253" s="161">
        <f t="shared" si="146"/>
        <v>0</v>
      </c>
      <c r="AB253" s="161">
        <f t="shared" si="146"/>
        <v>0</v>
      </c>
      <c r="AC253" s="161">
        <f t="shared" si="146"/>
        <v>0</v>
      </c>
      <c r="AD253" s="161">
        <f t="shared" si="146"/>
        <v>0</v>
      </c>
      <c r="AE253" s="161">
        <f t="shared" si="146"/>
        <v>0</v>
      </c>
      <c r="AF253" s="174">
        <f t="shared" si="14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47"/>
        <v>0</v>
      </c>
      <c r="D254" s="161">
        <f t="shared" si="147"/>
        <v>0</v>
      </c>
      <c r="E254" s="161">
        <f t="shared" si="147"/>
        <v>0</v>
      </c>
      <c r="F254" s="161">
        <f t="shared" si="147"/>
        <v>0</v>
      </c>
      <c r="G254" s="161">
        <f t="shared" si="147"/>
        <v>0</v>
      </c>
      <c r="H254" s="161">
        <f t="shared" si="147"/>
        <v>0</v>
      </c>
      <c r="I254" s="161">
        <f t="shared" si="147"/>
        <v>0</v>
      </c>
      <c r="J254" s="161">
        <f t="shared" si="147"/>
        <v>0</v>
      </c>
      <c r="K254" s="161">
        <f t="shared" si="147"/>
        <v>0</v>
      </c>
      <c r="L254" s="161">
        <f t="shared" si="147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7"/>
        <v>0</v>
      </c>
      <c r="S254" s="161">
        <f t="shared" si="146"/>
        <v>0</v>
      </c>
      <c r="T254" s="161">
        <f t="shared" si="146"/>
        <v>0</v>
      </c>
      <c r="U254" s="161">
        <f t="shared" si="146"/>
        <v>0</v>
      </c>
      <c r="V254" s="161">
        <f t="shared" si="146"/>
        <v>0</v>
      </c>
      <c r="W254" s="161">
        <f t="shared" si="146"/>
        <v>0</v>
      </c>
      <c r="X254" s="161">
        <f t="shared" si="146"/>
        <v>0</v>
      </c>
      <c r="Y254" s="161">
        <f t="shared" si="146"/>
        <v>0</v>
      </c>
      <c r="Z254" s="161">
        <f t="shared" si="146"/>
        <v>0</v>
      </c>
      <c r="AA254" s="161">
        <f t="shared" si="146"/>
        <v>0</v>
      </c>
      <c r="AB254" s="161">
        <f t="shared" si="146"/>
        <v>0</v>
      </c>
      <c r="AC254" s="161">
        <f t="shared" si="146"/>
        <v>0</v>
      </c>
      <c r="AD254" s="161">
        <f t="shared" si="146"/>
        <v>0</v>
      </c>
      <c r="AE254" s="161">
        <f t="shared" si="146"/>
        <v>0</v>
      </c>
      <c r="AF254" s="174">
        <f t="shared" si="14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47"/>
        <v>0</v>
      </c>
      <c r="D255" s="161">
        <f t="shared" si="147"/>
        <v>0</v>
      </c>
      <c r="E255" s="161">
        <f t="shared" si="147"/>
        <v>0</v>
      </c>
      <c r="F255" s="161">
        <f t="shared" si="147"/>
        <v>0</v>
      </c>
      <c r="G255" s="161">
        <f t="shared" si="147"/>
        <v>0</v>
      </c>
      <c r="H255" s="161">
        <f t="shared" si="147"/>
        <v>0</v>
      </c>
      <c r="I255" s="161">
        <f t="shared" si="147"/>
        <v>0</v>
      </c>
      <c r="J255" s="161">
        <f t="shared" si="147"/>
        <v>0</v>
      </c>
      <c r="K255" s="161">
        <f t="shared" si="147"/>
        <v>0</v>
      </c>
      <c r="L255" s="161">
        <f t="shared" si="147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7"/>
        <v>0</v>
      </c>
      <c r="S255" s="161">
        <f t="shared" si="146"/>
        <v>0</v>
      </c>
      <c r="T255" s="161">
        <f t="shared" si="146"/>
        <v>0</v>
      </c>
      <c r="U255" s="161">
        <f t="shared" si="146"/>
        <v>0</v>
      </c>
      <c r="V255" s="161">
        <f t="shared" si="146"/>
        <v>0</v>
      </c>
      <c r="W255" s="161">
        <f t="shared" si="146"/>
        <v>0</v>
      </c>
      <c r="X255" s="161">
        <f t="shared" si="146"/>
        <v>0</v>
      </c>
      <c r="Y255" s="161">
        <f t="shared" si="146"/>
        <v>0</v>
      </c>
      <c r="Z255" s="161">
        <f t="shared" si="146"/>
        <v>0</v>
      </c>
      <c r="AA255" s="161">
        <f t="shared" si="146"/>
        <v>0</v>
      </c>
      <c r="AB255" s="161">
        <f t="shared" si="146"/>
        <v>0</v>
      </c>
      <c r="AC255" s="161">
        <f t="shared" si="146"/>
        <v>0</v>
      </c>
      <c r="AD255" s="161">
        <f t="shared" si="146"/>
        <v>0</v>
      </c>
      <c r="AE255" s="161">
        <f t="shared" si="146"/>
        <v>0</v>
      </c>
      <c r="AF255" s="174">
        <f t="shared" si="14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47"/>
        <v>0</v>
      </c>
      <c r="D256" s="161">
        <f t="shared" si="147"/>
        <v>0</v>
      </c>
      <c r="E256" s="161">
        <f t="shared" si="147"/>
        <v>0</v>
      </c>
      <c r="F256" s="161">
        <f t="shared" si="147"/>
        <v>0</v>
      </c>
      <c r="G256" s="161">
        <f t="shared" si="147"/>
        <v>0</v>
      </c>
      <c r="H256" s="161">
        <f t="shared" si="147"/>
        <v>0</v>
      </c>
      <c r="I256" s="161">
        <f t="shared" si="147"/>
        <v>0</v>
      </c>
      <c r="J256" s="161">
        <f t="shared" si="147"/>
        <v>0</v>
      </c>
      <c r="K256" s="161">
        <f t="shared" si="147"/>
        <v>0</v>
      </c>
      <c r="L256" s="161">
        <f t="shared" si="147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7"/>
        <v>0</v>
      </c>
      <c r="S256" s="161">
        <f t="shared" si="146"/>
        <v>0</v>
      </c>
      <c r="T256" s="161">
        <f t="shared" si="146"/>
        <v>0</v>
      </c>
      <c r="U256" s="161">
        <f t="shared" si="146"/>
        <v>0</v>
      </c>
      <c r="V256" s="161">
        <f t="shared" si="146"/>
        <v>0</v>
      </c>
      <c r="W256" s="161">
        <f t="shared" si="146"/>
        <v>0</v>
      </c>
      <c r="X256" s="161">
        <f t="shared" si="146"/>
        <v>0</v>
      </c>
      <c r="Y256" s="161">
        <f t="shared" si="146"/>
        <v>0</v>
      </c>
      <c r="Z256" s="161">
        <f t="shared" si="146"/>
        <v>0</v>
      </c>
      <c r="AA256" s="161">
        <f t="shared" si="146"/>
        <v>0</v>
      </c>
      <c r="AB256" s="161">
        <f t="shared" si="146"/>
        <v>0</v>
      </c>
      <c r="AC256" s="161">
        <f t="shared" si="146"/>
        <v>0</v>
      </c>
      <c r="AD256" s="161">
        <f t="shared" si="146"/>
        <v>0</v>
      </c>
      <c r="AE256" s="161">
        <f t="shared" si="146"/>
        <v>0</v>
      </c>
      <c r="AF256" s="174">
        <f t="shared" si="14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47"/>
        <v>0</v>
      </c>
      <c r="D257" s="161">
        <f t="shared" si="147"/>
        <v>0</v>
      </c>
      <c r="E257" s="161">
        <f t="shared" si="147"/>
        <v>0</v>
      </c>
      <c r="F257" s="161">
        <f t="shared" si="147"/>
        <v>0</v>
      </c>
      <c r="G257" s="161">
        <f t="shared" si="147"/>
        <v>0</v>
      </c>
      <c r="H257" s="161">
        <f t="shared" si="147"/>
        <v>0</v>
      </c>
      <c r="I257" s="161">
        <f t="shared" si="147"/>
        <v>0</v>
      </c>
      <c r="J257" s="161">
        <f t="shared" si="147"/>
        <v>0</v>
      </c>
      <c r="K257" s="161">
        <f t="shared" si="147"/>
        <v>0</v>
      </c>
      <c r="L257" s="161">
        <f t="shared" si="147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7"/>
        <v>0</v>
      </c>
      <c r="S257" s="161">
        <f t="shared" si="146"/>
        <v>0</v>
      </c>
      <c r="T257" s="161">
        <f t="shared" si="146"/>
        <v>0</v>
      </c>
      <c r="U257" s="161">
        <f t="shared" si="146"/>
        <v>0</v>
      </c>
      <c r="V257" s="161">
        <f t="shared" si="146"/>
        <v>0</v>
      </c>
      <c r="W257" s="161">
        <f t="shared" si="146"/>
        <v>0</v>
      </c>
      <c r="X257" s="161">
        <f t="shared" si="146"/>
        <v>0</v>
      </c>
      <c r="Y257" s="161">
        <f t="shared" si="146"/>
        <v>0</v>
      </c>
      <c r="Z257" s="161">
        <f t="shared" si="146"/>
        <v>0</v>
      </c>
      <c r="AA257" s="161">
        <f t="shared" si="146"/>
        <v>0</v>
      </c>
      <c r="AB257" s="161">
        <f t="shared" si="146"/>
        <v>0</v>
      </c>
      <c r="AC257" s="161">
        <f t="shared" si="146"/>
        <v>0</v>
      </c>
      <c r="AD257" s="161">
        <f t="shared" si="146"/>
        <v>0</v>
      </c>
      <c r="AE257" s="161">
        <f t="shared" si="146"/>
        <v>0</v>
      </c>
      <c r="AF257" s="174">
        <f t="shared" si="14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47"/>
        <v>0</v>
      </c>
      <c r="D258" s="161">
        <f t="shared" si="147"/>
        <v>0</v>
      </c>
      <c r="E258" s="161">
        <f t="shared" si="147"/>
        <v>0</v>
      </c>
      <c r="F258" s="161">
        <f t="shared" si="147"/>
        <v>0</v>
      </c>
      <c r="G258" s="161">
        <f t="shared" si="147"/>
        <v>0</v>
      </c>
      <c r="H258" s="161">
        <f t="shared" si="147"/>
        <v>0</v>
      </c>
      <c r="I258" s="161">
        <f t="shared" si="147"/>
        <v>0</v>
      </c>
      <c r="J258" s="161">
        <f t="shared" si="147"/>
        <v>0</v>
      </c>
      <c r="K258" s="161">
        <f t="shared" si="147"/>
        <v>0</v>
      </c>
      <c r="L258" s="161">
        <f t="shared" si="147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7"/>
        <v>0</v>
      </c>
      <c r="S258" s="161">
        <f t="shared" si="146"/>
        <v>0</v>
      </c>
      <c r="T258" s="161">
        <f t="shared" si="146"/>
        <v>0</v>
      </c>
      <c r="U258" s="161">
        <f t="shared" si="146"/>
        <v>0</v>
      </c>
      <c r="V258" s="161">
        <f t="shared" si="146"/>
        <v>0</v>
      </c>
      <c r="W258" s="161">
        <f t="shared" si="146"/>
        <v>0</v>
      </c>
      <c r="X258" s="161">
        <f t="shared" si="146"/>
        <v>0</v>
      </c>
      <c r="Y258" s="161">
        <f t="shared" si="146"/>
        <v>0</v>
      </c>
      <c r="Z258" s="161">
        <f t="shared" si="146"/>
        <v>0</v>
      </c>
      <c r="AA258" s="161">
        <f t="shared" si="146"/>
        <v>0</v>
      </c>
      <c r="AB258" s="161">
        <f t="shared" si="146"/>
        <v>0</v>
      </c>
      <c r="AC258" s="161">
        <f t="shared" si="146"/>
        <v>0</v>
      </c>
      <c r="AD258" s="161">
        <f t="shared" si="146"/>
        <v>0</v>
      </c>
      <c r="AE258" s="161">
        <f t="shared" si="146"/>
        <v>0</v>
      </c>
      <c r="AF258" s="174">
        <f t="shared" si="14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47"/>
        <v>0</v>
      </c>
      <c r="D259" s="161">
        <f t="shared" si="147"/>
        <v>0</v>
      </c>
      <c r="E259" s="161">
        <f t="shared" si="147"/>
        <v>0</v>
      </c>
      <c r="F259" s="161">
        <f t="shared" si="147"/>
        <v>0</v>
      </c>
      <c r="G259" s="161">
        <f t="shared" si="147"/>
        <v>0</v>
      </c>
      <c r="H259" s="161">
        <f t="shared" si="147"/>
        <v>0</v>
      </c>
      <c r="I259" s="161">
        <f t="shared" si="147"/>
        <v>0</v>
      </c>
      <c r="J259" s="161">
        <f t="shared" si="147"/>
        <v>0</v>
      </c>
      <c r="K259" s="161">
        <f t="shared" si="147"/>
        <v>0</v>
      </c>
      <c r="L259" s="161">
        <f t="shared" si="147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7"/>
        <v>0</v>
      </c>
      <c r="S259" s="161">
        <f t="shared" si="146"/>
        <v>0</v>
      </c>
      <c r="T259" s="161">
        <f t="shared" si="146"/>
        <v>0</v>
      </c>
      <c r="U259" s="161">
        <f t="shared" si="146"/>
        <v>0</v>
      </c>
      <c r="V259" s="161">
        <f t="shared" si="146"/>
        <v>0</v>
      </c>
      <c r="W259" s="161">
        <f t="shared" si="146"/>
        <v>0</v>
      </c>
      <c r="X259" s="161">
        <f t="shared" si="146"/>
        <v>0</v>
      </c>
      <c r="Y259" s="161">
        <f t="shared" si="146"/>
        <v>0</v>
      </c>
      <c r="Z259" s="161">
        <f t="shared" si="146"/>
        <v>0</v>
      </c>
      <c r="AA259" s="161">
        <f t="shared" si="146"/>
        <v>0</v>
      </c>
      <c r="AB259" s="161">
        <f t="shared" si="146"/>
        <v>0</v>
      </c>
      <c r="AC259" s="161">
        <f t="shared" si="146"/>
        <v>0</v>
      </c>
      <c r="AD259" s="161">
        <f t="shared" si="146"/>
        <v>0</v>
      </c>
      <c r="AE259" s="161">
        <f t="shared" si="146"/>
        <v>0</v>
      </c>
      <c r="AF259" s="174">
        <f t="shared" si="14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47"/>
        <v>0</v>
      </c>
      <c r="D260" s="161">
        <f t="shared" si="147"/>
        <v>0</v>
      </c>
      <c r="E260" s="161">
        <f t="shared" si="147"/>
        <v>0</v>
      </c>
      <c r="F260" s="161">
        <f t="shared" si="147"/>
        <v>0</v>
      </c>
      <c r="G260" s="161">
        <f t="shared" si="147"/>
        <v>0</v>
      </c>
      <c r="H260" s="161">
        <f t="shared" si="147"/>
        <v>0</v>
      </c>
      <c r="I260" s="161">
        <f t="shared" si="147"/>
        <v>0</v>
      </c>
      <c r="J260" s="161">
        <f t="shared" si="147"/>
        <v>0</v>
      </c>
      <c r="K260" s="161">
        <f t="shared" si="147"/>
        <v>0</v>
      </c>
      <c r="L260" s="161">
        <f t="shared" si="147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7"/>
        <v>0</v>
      </c>
      <c r="S260" s="161">
        <f t="shared" si="146"/>
        <v>0</v>
      </c>
      <c r="T260" s="161">
        <f t="shared" si="146"/>
        <v>0</v>
      </c>
      <c r="U260" s="161">
        <f t="shared" si="146"/>
        <v>0</v>
      </c>
      <c r="V260" s="161">
        <f t="shared" si="146"/>
        <v>0</v>
      </c>
      <c r="W260" s="161">
        <f t="shared" si="146"/>
        <v>0</v>
      </c>
      <c r="X260" s="161">
        <f t="shared" si="146"/>
        <v>0</v>
      </c>
      <c r="Y260" s="161">
        <f t="shared" si="146"/>
        <v>0</v>
      </c>
      <c r="Z260" s="161">
        <f t="shared" si="146"/>
        <v>0</v>
      </c>
      <c r="AA260" s="161">
        <f t="shared" si="146"/>
        <v>0</v>
      </c>
      <c r="AB260" s="161">
        <f t="shared" si="146"/>
        <v>0</v>
      </c>
      <c r="AC260" s="161">
        <f t="shared" si="146"/>
        <v>0</v>
      </c>
      <c r="AD260" s="161">
        <f t="shared" si="146"/>
        <v>0</v>
      </c>
      <c r="AE260" s="161">
        <f t="shared" si="146"/>
        <v>0</v>
      </c>
      <c r="AF260" s="174">
        <f t="shared" si="14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47"/>
        <v>0</v>
      </c>
      <c r="D261" s="161">
        <f t="shared" si="147"/>
        <v>0</v>
      </c>
      <c r="E261" s="161">
        <f t="shared" si="147"/>
        <v>0</v>
      </c>
      <c r="F261" s="161">
        <f t="shared" si="147"/>
        <v>0</v>
      </c>
      <c r="G261" s="161">
        <f t="shared" si="147"/>
        <v>0</v>
      </c>
      <c r="H261" s="161">
        <f t="shared" si="147"/>
        <v>0</v>
      </c>
      <c r="I261" s="161">
        <f t="shared" si="147"/>
        <v>0</v>
      </c>
      <c r="J261" s="161">
        <f t="shared" si="147"/>
        <v>0</v>
      </c>
      <c r="K261" s="161">
        <f t="shared" si="147"/>
        <v>0</v>
      </c>
      <c r="L261" s="161">
        <f t="shared" si="147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7"/>
        <v>0</v>
      </c>
      <c r="S261" s="161">
        <f t="shared" si="146"/>
        <v>0</v>
      </c>
      <c r="T261" s="161">
        <f t="shared" si="146"/>
        <v>0</v>
      </c>
      <c r="U261" s="161">
        <f t="shared" si="146"/>
        <v>0</v>
      </c>
      <c r="V261" s="161">
        <f t="shared" si="146"/>
        <v>0</v>
      </c>
      <c r="W261" s="161">
        <f t="shared" si="146"/>
        <v>0</v>
      </c>
      <c r="X261" s="161">
        <f t="shared" si="146"/>
        <v>0</v>
      </c>
      <c r="Y261" s="161">
        <f t="shared" si="146"/>
        <v>0</v>
      </c>
      <c r="Z261" s="161">
        <f t="shared" si="146"/>
        <v>0</v>
      </c>
      <c r="AA261" s="161">
        <f t="shared" si="146"/>
        <v>0</v>
      </c>
      <c r="AB261" s="161">
        <f t="shared" si="146"/>
        <v>0</v>
      </c>
      <c r="AC261" s="161">
        <f t="shared" si="146"/>
        <v>0</v>
      </c>
      <c r="AD261" s="161">
        <f t="shared" si="146"/>
        <v>0</v>
      </c>
      <c r="AE261" s="161">
        <f t="shared" si="146"/>
        <v>0</v>
      </c>
      <c r="AF261" s="174">
        <f t="shared" si="14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47"/>
        <v>0</v>
      </c>
      <c r="D262" s="161">
        <f t="shared" si="147"/>
        <v>0</v>
      </c>
      <c r="E262" s="161">
        <f t="shared" si="147"/>
        <v>0</v>
      </c>
      <c r="F262" s="161">
        <f t="shared" si="147"/>
        <v>0</v>
      </c>
      <c r="G262" s="161">
        <f t="shared" si="147"/>
        <v>0</v>
      </c>
      <c r="H262" s="161">
        <f t="shared" si="147"/>
        <v>0</v>
      </c>
      <c r="I262" s="161">
        <f t="shared" si="147"/>
        <v>0</v>
      </c>
      <c r="J262" s="161">
        <f t="shared" si="147"/>
        <v>0</v>
      </c>
      <c r="K262" s="161">
        <f t="shared" si="147"/>
        <v>0</v>
      </c>
      <c r="L262" s="161">
        <f t="shared" si="147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7"/>
        <v>0</v>
      </c>
      <c r="S262" s="161">
        <f t="shared" si="146"/>
        <v>0</v>
      </c>
      <c r="T262" s="161">
        <f t="shared" si="146"/>
        <v>0</v>
      </c>
      <c r="U262" s="161">
        <f t="shared" si="146"/>
        <v>0</v>
      </c>
      <c r="V262" s="161">
        <f t="shared" si="146"/>
        <v>0</v>
      </c>
      <c r="W262" s="161">
        <f t="shared" si="146"/>
        <v>0</v>
      </c>
      <c r="X262" s="161">
        <f t="shared" si="146"/>
        <v>0</v>
      </c>
      <c r="Y262" s="161">
        <f t="shared" si="146"/>
        <v>0</v>
      </c>
      <c r="Z262" s="161">
        <f t="shared" si="146"/>
        <v>0</v>
      </c>
      <c r="AA262" s="161">
        <f t="shared" si="146"/>
        <v>0</v>
      </c>
      <c r="AB262" s="161">
        <f t="shared" si="146"/>
        <v>0</v>
      </c>
      <c r="AC262" s="161">
        <f t="shared" si="146"/>
        <v>0</v>
      </c>
      <c r="AD262" s="161">
        <f t="shared" si="146"/>
        <v>0</v>
      </c>
      <c r="AE262" s="161">
        <f t="shared" si="146"/>
        <v>0</v>
      </c>
      <c r="AF262" s="174">
        <f t="shared" si="14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47"/>
        <v>0</v>
      </c>
      <c r="D263" s="161">
        <f t="shared" si="147"/>
        <v>0</v>
      </c>
      <c r="E263" s="161">
        <f t="shared" si="147"/>
        <v>0</v>
      </c>
      <c r="F263" s="161">
        <f t="shared" si="147"/>
        <v>0</v>
      </c>
      <c r="G263" s="161">
        <f t="shared" si="147"/>
        <v>0</v>
      </c>
      <c r="H263" s="161">
        <f t="shared" si="147"/>
        <v>0</v>
      </c>
      <c r="I263" s="161">
        <f t="shared" si="147"/>
        <v>0</v>
      </c>
      <c r="J263" s="161">
        <f t="shared" si="147"/>
        <v>0</v>
      </c>
      <c r="K263" s="161">
        <f t="shared" si="147"/>
        <v>0</v>
      </c>
      <c r="L263" s="161">
        <f t="shared" si="147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7"/>
        <v>0</v>
      </c>
      <c r="S263" s="161">
        <f t="shared" si="146"/>
        <v>0</v>
      </c>
      <c r="T263" s="161">
        <f t="shared" si="146"/>
        <v>0</v>
      </c>
      <c r="U263" s="161">
        <f t="shared" si="146"/>
        <v>0</v>
      </c>
      <c r="V263" s="161">
        <f t="shared" si="146"/>
        <v>0</v>
      </c>
      <c r="W263" s="161">
        <f t="shared" si="146"/>
        <v>0</v>
      </c>
      <c r="X263" s="161">
        <f t="shared" si="146"/>
        <v>0</v>
      </c>
      <c r="Y263" s="161">
        <f t="shared" si="146"/>
        <v>0</v>
      </c>
      <c r="Z263" s="161">
        <f t="shared" si="146"/>
        <v>0</v>
      </c>
      <c r="AA263" s="161">
        <f t="shared" si="146"/>
        <v>0</v>
      </c>
      <c r="AB263" s="161">
        <f t="shared" si="146"/>
        <v>0</v>
      </c>
      <c r="AC263" s="161">
        <f t="shared" si="146"/>
        <v>0</v>
      </c>
      <c r="AD263" s="161">
        <f t="shared" si="146"/>
        <v>0</v>
      </c>
      <c r="AE263" s="161">
        <f t="shared" si="146"/>
        <v>0</v>
      </c>
      <c r="AF263" s="174">
        <f t="shared" si="14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47"/>
        <v>0</v>
      </c>
      <c r="D264" s="161">
        <f t="shared" si="147"/>
        <v>0</v>
      </c>
      <c r="E264" s="161">
        <f t="shared" si="147"/>
        <v>0</v>
      </c>
      <c r="F264" s="161">
        <f t="shared" si="147"/>
        <v>0</v>
      </c>
      <c r="G264" s="161">
        <f t="shared" si="147"/>
        <v>0</v>
      </c>
      <c r="H264" s="161">
        <f t="shared" si="147"/>
        <v>0</v>
      </c>
      <c r="I264" s="161">
        <f t="shared" si="147"/>
        <v>0</v>
      </c>
      <c r="J264" s="161">
        <f t="shared" si="147"/>
        <v>0</v>
      </c>
      <c r="K264" s="161">
        <f t="shared" si="147"/>
        <v>0</v>
      </c>
      <c r="L264" s="161">
        <f t="shared" si="147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7"/>
        <v>0</v>
      </c>
      <c r="S264" s="161">
        <f t="shared" ref="S264:AF273" si="148">R264</f>
        <v>0</v>
      </c>
      <c r="T264" s="161">
        <f t="shared" si="148"/>
        <v>0</v>
      </c>
      <c r="U264" s="161">
        <f t="shared" si="148"/>
        <v>0</v>
      </c>
      <c r="V264" s="161">
        <f t="shared" si="148"/>
        <v>0</v>
      </c>
      <c r="W264" s="161">
        <f t="shared" si="148"/>
        <v>0</v>
      </c>
      <c r="X264" s="161">
        <f t="shared" si="148"/>
        <v>0</v>
      </c>
      <c r="Y264" s="161">
        <f t="shared" si="148"/>
        <v>0</v>
      </c>
      <c r="Z264" s="161">
        <f t="shared" si="148"/>
        <v>0</v>
      </c>
      <c r="AA264" s="161">
        <f t="shared" si="148"/>
        <v>0</v>
      </c>
      <c r="AB264" s="161">
        <f t="shared" si="148"/>
        <v>0</v>
      </c>
      <c r="AC264" s="161">
        <f t="shared" si="148"/>
        <v>0</v>
      </c>
      <c r="AD264" s="161">
        <f t="shared" si="148"/>
        <v>0</v>
      </c>
      <c r="AE264" s="161">
        <f t="shared" si="148"/>
        <v>0</v>
      </c>
      <c r="AF264" s="174">
        <f t="shared" si="14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49">B265</f>
        <v>0</v>
      </c>
      <c r="D265" s="161">
        <f t="shared" si="149"/>
        <v>0</v>
      </c>
      <c r="E265" s="161">
        <f t="shared" si="149"/>
        <v>0</v>
      </c>
      <c r="F265" s="161">
        <f t="shared" si="149"/>
        <v>0</v>
      </c>
      <c r="G265" s="161">
        <f t="shared" si="149"/>
        <v>0</v>
      </c>
      <c r="H265" s="161">
        <f t="shared" si="149"/>
        <v>0</v>
      </c>
      <c r="I265" s="161">
        <f t="shared" si="149"/>
        <v>0</v>
      </c>
      <c r="J265" s="161">
        <f t="shared" si="149"/>
        <v>0</v>
      </c>
      <c r="K265" s="161">
        <f t="shared" si="149"/>
        <v>0</v>
      </c>
      <c r="L265" s="161">
        <f t="shared" si="149"/>
        <v>0</v>
      </c>
      <c r="M265" s="161">
        <f t="shared" si="149"/>
        <v>0</v>
      </c>
      <c r="N265" s="161">
        <f t="shared" si="149"/>
        <v>0</v>
      </c>
      <c r="O265" s="161">
        <f t="shared" si="149"/>
        <v>0</v>
      </c>
      <c r="P265" s="161">
        <f t="shared" si="149"/>
        <v>0</v>
      </c>
      <c r="Q265" s="161">
        <f t="shared" si="149"/>
        <v>0</v>
      </c>
      <c r="R265" s="161">
        <f t="shared" si="149"/>
        <v>0</v>
      </c>
      <c r="S265" s="161">
        <f t="shared" si="148"/>
        <v>0</v>
      </c>
      <c r="T265" s="161">
        <f t="shared" si="148"/>
        <v>0</v>
      </c>
      <c r="U265" s="161">
        <f t="shared" si="148"/>
        <v>0</v>
      </c>
      <c r="V265" s="161">
        <f t="shared" si="148"/>
        <v>0</v>
      </c>
      <c r="W265" s="161">
        <f t="shared" si="148"/>
        <v>0</v>
      </c>
      <c r="X265" s="161">
        <f t="shared" si="148"/>
        <v>0</v>
      </c>
      <c r="Y265" s="161">
        <f t="shared" si="148"/>
        <v>0</v>
      </c>
      <c r="Z265" s="161">
        <f t="shared" si="148"/>
        <v>0</v>
      </c>
      <c r="AA265" s="161">
        <f t="shared" si="148"/>
        <v>0</v>
      </c>
      <c r="AB265" s="161">
        <f t="shared" si="148"/>
        <v>0</v>
      </c>
      <c r="AC265" s="161">
        <f t="shared" si="148"/>
        <v>0</v>
      </c>
      <c r="AD265" s="161">
        <f t="shared" si="148"/>
        <v>0</v>
      </c>
      <c r="AE265" s="161">
        <f t="shared" si="148"/>
        <v>0</v>
      </c>
      <c r="AF265" s="174">
        <f t="shared" si="14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49"/>
        <v>0</v>
      </c>
      <c r="D266" s="161">
        <f t="shared" si="149"/>
        <v>0</v>
      </c>
      <c r="E266" s="161">
        <f t="shared" si="149"/>
        <v>0</v>
      </c>
      <c r="F266" s="161">
        <f t="shared" si="149"/>
        <v>0</v>
      </c>
      <c r="G266" s="161">
        <f t="shared" si="149"/>
        <v>0</v>
      </c>
      <c r="H266" s="161">
        <f t="shared" si="149"/>
        <v>0</v>
      </c>
      <c r="I266" s="161">
        <f t="shared" si="149"/>
        <v>0</v>
      </c>
      <c r="J266" s="161">
        <f t="shared" si="149"/>
        <v>0</v>
      </c>
      <c r="K266" s="161">
        <f t="shared" si="149"/>
        <v>0</v>
      </c>
      <c r="L266" s="161">
        <f t="shared" si="149"/>
        <v>0</v>
      </c>
      <c r="M266" s="161">
        <f t="shared" si="149"/>
        <v>0</v>
      </c>
      <c r="N266" s="161">
        <f t="shared" si="149"/>
        <v>0</v>
      </c>
      <c r="O266" s="161">
        <f t="shared" si="149"/>
        <v>0</v>
      </c>
      <c r="P266" s="161">
        <f t="shared" si="149"/>
        <v>0</v>
      </c>
      <c r="Q266" s="161">
        <f t="shared" si="149"/>
        <v>0</v>
      </c>
      <c r="R266" s="161">
        <f t="shared" si="149"/>
        <v>0</v>
      </c>
      <c r="S266" s="161">
        <f t="shared" si="148"/>
        <v>0</v>
      </c>
      <c r="T266" s="161">
        <f t="shared" si="148"/>
        <v>0</v>
      </c>
      <c r="U266" s="161">
        <f t="shared" si="148"/>
        <v>0</v>
      </c>
      <c r="V266" s="161">
        <f t="shared" si="148"/>
        <v>0</v>
      </c>
      <c r="W266" s="161">
        <f t="shared" si="148"/>
        <v>0</v>
      </c>
      <c r="X266" s="161">
        <f t="shared" si="148"/>
        <v>0</v>
      </c>
      <c r="Y266" s="161">
        <f t="shared" si="148"/>
        <v>0</v>
      </c>
      <c r="Z266" s="161">
        <f t="shared" si="148"/>
        <v>0</v>
      </c>
      <c r="AA266" s="161">
        <f t="shared" si="148"/>
        <v>0</v>
      </c>
      <c r="AB266" s="161">
        <f t="shared" si="148"/>
        <v>0</v>
      </c>
      <c r="AC266" s="161">
        <f t="shared" si="148"/>
        <v>0</v>
      </c>
      <c r="AD266" s="161">
        <f t="shared" si="148"/>
        <v>0</v>
      </c>
      <c r="AE266" s="161">
        <f t="shared" si="148"/>
        <v>0</v>
      </c>
      <c r="AF266" s="174">
        <f t="shared" si="14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49"/>
        <v>0</v>
      </c>
      <c r="D267" s="161">
        <f t="shared" si="149"/>
        <v>0</v>
      </c>
      <c r="E267" s="161">
        <f t="shared" si="149"/>
        <v>0</v>
      </c>
      <c r="F267" s="161">
        <f t="shared" si="149"/>
        <v>0</v>
      </c>
      <c r="G267" s="161">
        <f t="shared" si="149"/>
        <v>0</v>
      </c>
      <c r="H267" s="161">
        <f t="shared" si="149"/>
        <v>0</v>
      </c>
      <c r="I267" s="161">
        <f t="shared" si="149"/>
        <v>0</v>
      </c>
      <c r="J267" s="161">
        <f t="shared" si="149"/>
        <v>0</v>
      </c>
      <c r="K267" s="161">
        <f t="shared" si="149"/>
        <v>0</v>
      </c>
      <c r="L267" s="161">
        <f t="shared" si="149"/>
        <v>0</v>
      </c>
      <c r="M267" s="161">
        <f t="shared" si="149"/>
        <v>0</v>
      </c>
      <c r="N267" s="161">
        <f t="shared" si="149"/>
        <v>0</v>
      </c>
      <c r="O267" s="161">
        <f t="shared" si="149"/>
        <v>0</v>
      </c>
      <c r="P267" s="161">
        <f t="shared" si="149"/>
        <v>0</v>
      </c>
      <c r="Q267" s="161">
        <f t="shared" si="149"/>
        <v>0</v>
      </c>
      <c r="R267" s="161">
        <f t="shared" si="149"/>
        <v>0</v>
      </c>
      <c r="S267" s="161">
        <f t="shared" si="148"/>
        <v>0</v>
      </c>
      <c r="T267" s="161">
        <f t="shared" si="148"/>
        <v>0</v>
      </c>
      <c r="U267" s="161">
        <f t="shared" si="148"/>
        <v>0</v>
      </c>
      <c r="V267" s="161">
        <f t="shared" si="148"/>
        <v>0</v>
      </c>
      <c r="W267" s="161">
        <f t="shared" si="148"/>
        <v>0</v>
      </c>
      <c r="X267" s="161">
        <f t="shared" si="148"/>
        <v>0</v>
      </c>
      <c r="Y267" s="161">
        <f t="shared" si="148"/>
        <v>0</v>
      </c>
      <c r="Z267" s="161">
        <f t="shared" si="148"/>
        <v>0</v>
      </c>
      <c r="AA267" s="161">
        <f t="shared" si="148"/>
        <v>0</v>
      </c>
      <c r="AB267" s="161">
        <f t="shared" si="148"/>
        <v>0</v>
      </c>
      <c r="AC267" s="161">
        <f t="shared" si="148"/>
        <v>0</v>
      </c>
      <c r="AD267" s="161">
        <f t="shared" si="148"/>
        <v>0</v>
      </c>
      <c r="AE267" s="161">
        <f t="shared" si="148"/>
        <v>0</v>
      </c>
      <c r="AF267" s="174">
        <f t="shared" si="14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49"/>
        <v>0</v>
      </c>
      <c r="D268" s="161">
        <f t="shared" si="149"/>
        <v>0</v>
      </c>
      <c r="E268" s="161">
        <f t="shared" si="149"/>
        <v>0</v>
      </c>
      <c r="F268" s="161">
        <f t="shared" si="149"/>
        <v>0</v>
      </c>
      <c r="G268" s="161">
        <f t="shared" si="149"/>
        <v>0</v>
      </c>
      <c r="H268" s="161">
        <f t="shared" si="149"/>
        <v>0</v>
      </c>
      <c r="I268" s="161">
        <f t="shared" si="149"/>
        <v>0</v>
      </c>
      <c r="J268" s="161">
        <f t="shared" si="149"/>
        <v>0</v>
      </c>
      <c r="K268" s="161">
        <f t="shared" si="149"/>
        <v>0</v>
      </c>
      <c r="L268" s="161">
        <f t="shared" si="149"/>
        <v>0</v>
      </c>
      <c r="M268" s="161">
        <f t="shared" si="149"/>
        <v>0</v>
      </c>
      <c r="N268" s="161">
        <f t="shared" si="149"/>
        <v>0</v>
      </c>
      <c r="O268" s="161">
        <f t="shared" si="149"/>
        <v>0</v>
      </c>
      <c r="P268" s="161">
        <f t="shared" si="149"/>
        <v>0</v>
      </c>
      <c r="Q268" s="161">
        <f t="shared" si="149"/>
        <v>0</v>
      </c>
      <c r="R268" s="161">
        <f t="shared" si="149"/>
        <v>0</v>
      </c>
      <c r="S268" s="161">
        <f t="shared" si="148"/>
        <v>0</v>
      </c>
      <c r="T268" s="161">
        <f t="shared" si="148"/>
        <v>0</v>
      </c>
      <c r="U268" s="161">
        <f t="shared" si="148"/>
        <v>0</v>
      </c>
      <c r="V268" s="161">
        <f t="shared" si="148"/>
        <v>0</v>
      </c>
      <c r="W268" s="161">
        <f t="shared" si="148"/>
        <v>0</v>
      </c>
      <c r="X268" s="161">
        <f t="shared" si="148"/>
        <v>0</v>
      </c>
      <c r="Y268" s="161">
        <f t="shared" si="148"/>
        <v>0</v>
      </c>
      <c r="Z268" s="161">
        <f t="shared" si="148"/>
        <v>0</v>
      </c>
      <c r="AA268" s="161">
        <f t="shared" si="148"/>
        <v>0</v>
      </c>
      <c r="AB268" s="161">
        <f t="shared" si="148"/>
        <v>0</v>
      </c>
      <c r="AC268" s="161">
        <f t="shared" si="148"/>
        <v>0</v>
      </c>
      <c r="AD268" s="161">
        <f t="shared" si="148"/>
        <v>0</v>
      </c>
      <c r="AE268" s="161">
        <f t="shared" si="148"/>
        <v>0</v>
      </c>
      <c r="AF268" s="174">
        <f t="shared" si="14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49"/>
        <v>0</v>
      </c>
      <c r="D269" s="161">
        <f t="shared" si="149"/>
        <v>0</v>
      </c>
      <c r="E269" s="161">
        <f t="shared" si="149"/>
        <v>0</v>
      </c>
      <c r="F269" s="161">
        <f t="shared" si="149"/>
        <v>0</v>
      </c>
      <c r="G269" s="161">
        <f t="shared" si="149"/>
        <v>0</v>
      </c>
      <c r="H269" s="161">
        <f t="shared" si="149"/>
        <v>0</v>
      </c>
      <c r="I269" s="161">
        <f t="shared" si="149"/>
        <v>0</v>
      </c>
      <c r="J269" s="161">
        <f t="shared" si="149"/>
        <v>0</v>
      </c>
      <c r="K269" s="161">
        <f t="shared" si="149"/>
        <v>0</v>
      </c>
      <c r="L269" s="161">
        <f t="shared" si="149"/>
        <v>0</v>
      </c>
      <c r="M269" s="161">
        <f t="shared" si="149"/>
        <v>0</v>
      </c>
      <c r="N269" s="161">
        <f t="shared" si="149"/>
        <v>0</v>
      </c>
      <c r="O269" s="161">
        <f t="shared" si="149"/>
        <v>0</v>
      </c>
      <c r="P269" s="161">
        <f t="shared" si="149"/>
        <v>0</v>
      </c>
      <c r="Q269" s="161">
        <f t="shared" si="149"/>
        <v>0</v>
      </c>
      <c r="R269" s="161">
        <f t="shared" si="149"/>
        <v>0</v>
      </c>
      <c r="S269" s="161">
        <f t="shared" si="148"/>
        <v>0</v>
      </c>
      <c r="T269" s="161">
        <f t="shared" si="148"/>
        <v>0</v>
      </c>
      <c r="U269" s="161">
        <f t="shared" si="148"/>
        <v>0</v>
      </c>
      <c r="V269" s="161">
        <f t="shared" si="148"/>
        <v>0</v>
      </c>
      <c r="W269" s="161">
        <f t="shared" si="148"/>
        <v>0</v>
      </c>
      <c r="X269" s="161">
        <f t="shared" si="148"/>
        <v>0</v>
      </c>
      <c r="Y269" s="161">
        <f t="shared" si="148"/>
        <v>0</v>
      </c>
      <c r="Z269" s="161">
        <f t="shared" si="148"/>
        <v>0</v>
      </c>
      <c r="AA269" s="161">
        <f t="shared" si="148"/>
        <v>0</v>
      </c>
      <c r="AB269" s="161">
        <f t="shared" si="148"/>
        <v>0</v>
      </c>
      <c r="AC269" s="161">
        <f t="shared" si="148"/>
        <v>0</v>
      </c>
      <c r="AD269" s="161">
        <f t="shared" si="148"/>
        <v>0</v>
      </c>
      <c r="AE269" s="161">
        <f t="shared" si="148"/>
        <v>0</v>
      </c>
      <c r="AF269" s="174">
        <f t="shared" si="14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49"/>
        <v>0</v>
      </c>
      <c r="D270" s="161">
        <f t="shared" si="149"/>
        <v>0</v>
      </c>
      <c r="E270" s="161">
        <f t="shared" si="149"/>
        <v>0</v>
      </c>
      <c r="F270" s="161">
        <f t="shared" si="149"/>
        <v>0</v>
      </c>
      <c r="G270" s="161">
        <f t="shared" si="149"/>
        <v>0</v>
      </c>
      <c r="H270" s="161">
        <f t="shared" si="149"/>
        <v>0</v>
      </c>
      <c r="I270" s="161">
        <f t="shared" si="149"/>
        <v>0</v>
      </c>
      <c r="J270" s="161">
        <f t="shared" si="149"/>
        <v>0</v>
      </c>
      <c r="K270" s="161">
        <f t="shared" si="149"/>
        <v>0</v>
      </c>
      <c r="L270" s="161">
        <f t="shared" si="149"/>
        <v>0</v>
      </c>
      <c r="M270" s="161">
        <f t="shared" si="149"/>
        <v>0</v>
      </c>
      <c r="N270" s="161">
        <f t="shared" si="149"/>
        <v>0</v>
      </c>
      <c r="O270" s="161">
        <f t="shared" si="149"/>
        <v>0</v>
      </c>
      <c r="P270" s="161">
        <f t="shared" si="149"/>
        <v>0</v>
      </c>
      <c r="Q270" s="161">
        <f t="shared" si="149"/>
        <v>0</v>
      </c>
      <c r="R270" s="161">
        <f t="shared" si="149"/>
        <v>0</v>
      </c>
      <c r="S270" s="161">
        <f t="shared" si="148"/>
        <v>0</v>
      </c>
      <c r="T270" s="161">
        <f t="shared" si="148"/>
        <v>0</v>
      </c>
      <c r="U270" s="161">
        <f t="shared" si="148"/>
        <v>0</v>
      </c>
      <c r="V270" s="161">
        <f t="shared" si="148"/>
        <v>0</v>
      </c>
      <c r="W270" s="161">
        <f t="shared" si="148"/>
        <v>0</v>
      </c>
      <c r="X270" s="161">
        <f t="shared" si="148"/>
        <v>0</v>
      </c>
      <c r="Y270" s="161">
        <f t="shared" si="148"/>
        <v>0</v>
      </c>
      <c r="Z270" s="161">
        <f t="shared" si="148"/>
        <v>0</v>
      </c>
      <c r="AA270" s="161">
        <f t="shared" si="148"/>
        <v>0</v>
      </c>
      <c r="AB270" s="161">
        <f t="shared" si="148"/>
        <v>0</v>
      </c>
      <c r="AC270" s="161">
        <f t="shared" si="148"/>
        <v>0</v>
      </c>
      <c r="AD270" s="161">
        <f t="shared" si="148"/>
        <v>0</v>
      </c>
      <c r="AE270" s="161">
        <f t="shared" si="148"/>
        <v>0</v>
      </c>
      <c r="AF270" s="174">
        <f t="shared" si="14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49"/>
        <v>0</v>
      </c>
      <c r="D271" s="161">
        <f t="shared" si="149"/>
        <v>0</v>
      </c>
      <c r="E271" s="161">
        <f t="shared" si="149"/>
        <v>0</v>
      </c>
      <c r="F271" s="161">
        <f t="shared" si="149"/>
        <v>0</v>
      </c>
      <c r="G271" s="161">
        <f t="shared" si="149"/>
        <v>0</v>
      </c>
      <c r="H271" s="161">
        <f t="shared" si="149"/>
        <v>0</v>
      </c>
      <c r="I271" s="161">
        <f t="shared" si="149"/>
        <v>0</v>
      </c>
      <c r="J271" s="161">
        <f t="shared" si="149"/>
        <v>0</v>
      </c>
      <c r="K271" s="161">
        <f t="shared" si="149"/>
        <v>0</v>
      </c>
      <c r="L271" s="161">
        <f t="shared" si="149"/>
        <v>0</v>
      </c>
      <c r="M271" s="161">
        <f t="shared" si="149"/>
        <v>0</v>
      </c>
      <c r="N271" s="161">
        <f t="shared" si="149"/>
        <v>0</v>
      </c>
      <c r="O271" s="161">
        <f t="shared" si="149"/>
        <v>0</v>
      </c>
      <c r="P271" s="161">
        <f t="shared" si="149"/>
        <v>0</v>
      </c>
      <c r="Q271" s="161">
        <f t="shared" si="149"/>
        <v>0</v>
      </c>
      <c r="R271" s="161">
        <f t="shared" si="149"/>
        <v>0</v>
      </c>
      <c r="S271" s="161">
        <f t="shared" si="148"/>
        <v>0</v>
      </c>
      <c r="T271" s="161">
        <f t="shared" si="148"/>
        <v>0</v>
      </c>
      <c r="U271" s="161">
        <f t="shared" si="148"/>
        <v>0</v>
      </c>
      <c r="V271" s="161">
        <f t="shared" si="148"/>
        <v>0</v>
      </c>
      <c r="W271" s="161">
        <f t="shared" si="148"/>
        <v>0</v>
      </c>
      <c r="X271" s="161">
        <f t="shared" si="148"/>
        <v>0</v>
      </c>
      <c r="Y271" s="161">
        <f t="shared" si="148"/>
        <v>0</v>
      </c>
      <c r="Z271" s="161">
        <f t="shared" si="148"/>
        <v>0</v>
      </c>
      <c r="AA271" s="161">
        <f t="shared" si="148"/>
        <v>0</v>
      </c>
      <c r="AB271" s="161">
        <f t="shared" si="148"/>
        <v>0</v>
      </c>
      <c r="AC271" s="161">
        <f t="shared" si="148"/>
        <v>0</v>
      </c>
      <c r="AD271" s="161">
        <f t="shared" si="148"/>
        <v>0</v>
      </c>
      <c r="AE271" s="161">
        <f t="shared" si="148"/>
        <v>0</v>
      </c>
      <c r="AF271" s="174">
        <f t="shared" si="14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49"/>
        <v>0</v>
      </c>
      <c r="D272" s="161">
        <f t="shared" si="149"/>
        <v>0</v>
      </c>
      <c r="E272" s="161">
        <f t="shared" si="149"/>
        <v>0</v>
      </c>
      <c r="F272" s="161">
        <f t="shared" si="149"/>
        <v>0</v>
      </c>
      <c r="G272" s="161">
        <f t="shared" si="149"/>
        <v>0</v>
      </c>
      <c r="H272" s="161">
        <f t="shared" si="149"/>
        <v>0</v>
      </c>
      <c r="I272" s="161">
        <f t="shared" si="149"/>
        <v>0</v>
      </c>
      <c r="J272" s="161">
        <f t="shared" si="149"/>
        <v>0</v>
      </c>
      <c r="K272" s="161">
        <f t="shared" si="149"/>
        <v>0</v>
      </c>
      <c r="L272" s="161">
        <f t="shared" si="149"/>
        <v>0</v>
      </c>
      <c r="M272" s="161">
        <f t="shared" si="149"/>
        <v>0</v>
      </c>
      <c r="N272" s="161">
        <f t="shared" si="149"/>
        <v>0</v>
      </c>
      <c r="O272" s="161">
        <f t="shared" si="149"/>
        <v>0</v>
      </c>
      <c r="P272" s="161">
        <f t="shared" si="149"/>
        <v>0</v>
      </c>
      <c r="Q272" s="161">
        <f t="shared" si="149"/>
        <v>0</v>
      </c>
      <c r="R272" s="161">
        <f t="shared" si="149"/>
        <v>0</v>
      </c>
      <c r="S272" s="161">
        <f t="shared" si="148"/>
        <v>0</v>
      </c>
      <c r="T272" s="161">
        <f t="shared" si="148"/>
        <v>0</v>
      </c>
      <c r="U272" s="161">
        <f t="shared" si="148"/>
        <v>0</v>
      </c>
      <c r="V272" s="161">
        <f t="shared" si="148"/>
        <v>0</v>
      </c>
      <c r="W272" s="161">
        <f t="shared" si="148"/>
        <v>0</v>
      </c>
      <c r="X272" s="161">
        <f t="shared" si="148"/>
        <v>0</v>
      </c>
      <c r="Y272" s="161">
        <f t="shared" si="148"/>
        <v>0</v>
      </c>
      <c r="Z272" s="161">
        <f t="shared" si="148"/>
        <v>0</v>
      </c>
      <c r="AA272" s="161">
        <f t="shared" si="148"/>
        <v>0</v>
      </c>
      <c r="AB272" s="161">
        <f t="shared" si="148"/>
        <v>0</v>
      </c>
      <c r="AC272" s="161">
        <f t="shared" si="148"/>
        <v>0</v>
      </c>
      <c r="AD272" s="161">
        <f t="shared" si="148"/>
        <v>0</v>
      </c>
      <c r="AE272" s="161">
        <f t="shared" si="148"/>
        <v>0</v>
      </c>
      <c r="AF272" s="174">
        <f t="shared" si="14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49"/>
        <v>0</v>
      </c>
      <c r="D273" s="177">
        <f t="shared" si="149"/>
        <v>0</v>
      </c>
      <c r="E273" s="177">
        <f t="shared" si="149"/>
        <v>0</v>
      </c>
      <c r="F273" s="177">
        <f t="shared" si="149"/>
        <v>0</v>
      </c>
      <c r="G273" s="177">
        <f t="shared" si="149"/>
        <v>0</v>
      </c>
      <c r="H273" s="177">
        <f t="shared" si="149"/>
        <v>0</v>
      </c>
      <c r="I273" s="177">
        <f t="shared" si="149"/>
        <v>0</v>
      </c>
      <c r="J273" s="177">
        <f t="shared" si="149"/>
        <v>0</v>
      </c>
      <c r="K273" s="177">
        <f t="shared" si="149"/>
        <v>0</v>
      </c>
      <c r="L273" s="177">
        <f t="shared" si="149"/>
        <v>0</v>
      </c>
      <c r="M273" s="177">
        <f t="shared" si="149"/>
        <v>0</v>
      </c>
      <c r="N273" s="177">
        <f t="shared" si="149"/>
        <v>0</v>
      </c>
      <c r="O273" s="177">
        <f t="shared" si="149"/>
        <v>0</v>
      </c>
      <c r="P273" s="177">
        <f t="shared" si="149"/>
        <v>0</v>
      </c>
      <c r="Q273" s="177">
        <f t="shared" si="149"/>
        <v>0</v>
      </c>
      <c r="R273" s="177">
        <f t="shared" si="149"/>
        <v>0</v>
      </c>
      <c r="S273" s="177">
        <f t="shared" si="148"/>
        <v>0</v>
      </c>
      <c r="T273" s="177">
        <f t="shared" si="148"/>
        <v>0</v>
      </c>
      <c r="U273" s="177">
        <f t="shared" si="148"/>
        <v>0</v>
      </c>
      <c r="V273" s="177">
        <f t="shared" si="148"/>
        <v>0</v>
      </c>
      <c r="W273" s="177">
        <f t="shared" si="148"/>
        <v>0</v>
      </c>
      <c r="X273" s="177">
        <f t="shared" si="148"/>
        <v>0</v>
      </c>
      <c r="Y273" s="177">
        <f t="shared" si="148"/>
        <v>0</v>
      </c>
      <c r="Z273" s="177">
        <f t="shared" si="148"/>
        <v>0</v>
      </c>
      <c r="AA273" s="177">
        <f t="shared" si="148"/>
        <v>0</v>
      </c>
      <c r="AB273" s="177">
        <f t="shared" si="148"/>
        <v>0</v>
      </c>
      <c r="AC273" s="177">
        <f t="shared" si="148"/>
        <v>0</v>
      </c>
      <c r="AD273" s="177">
        <f t="shared" si="148"/>
        <v>0</v>
      </c>
      <c r="AE273" s="177">
        <f t="shared" si="148"/>
        <v>0</v>
      </c>
      <c r="AF273" s="178">
        <f t="shared" si="14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0">SUM(B169:B273)</f>
        <v>0</v>
      </c>
      <c r="C274" s="180">
        <f t="shared" si="150"/>
        <v>0</v>
      </c>
      <c r="D274" s="180">
        <f t="shared" si="150"/>
        <v>0</v>
      </c>
      <c r="E274" s="180">
        <f t="shared" si="150"/>
        <v>0</v>
      </c>
      <c r="F274" s="180">
        <f t="shared" si="150"/>
        <v>0</v>
      </c>
      <c r="G274" s="180">
        <f t="shared" si="150"/>
        <v>0</v>
      </c>
      <c r="H274" s="180">
        <f t="shared" si="150"/>
        <v>0</v>
      </c>
      <c r="I274" s="180">
        <f t="shared" si="150"/>
        <v>0</v>
      </c>
      <c r="J274" s="180">
        <f t="shared" si="150"/>
        <v>0</v>
      </c>
      <c r="K274" s="180">
        <f t="shared" si="150"/>
        <v>0</v>
      </c>
      <c r="L274" s="180">
        <f t="shared" si="150"/>
        <v>0</v>
      </c>
      <c r="M274" s="180">
        <f t="shared" ref="M274:N274" si="151">SUM(M169:M273)</f>
        <v>0</v>
      </c>
      <c r="N274" s="180">
        <f t="shared" si="151"/>
        <v>0</v>
      </c>
      <c r="O274" s="180">
        <f t="shared" ref="O274:P274" si="152">SUM(O169:O273)</f>
        <v>0</v>
      </c>
      <c r="P274" s="180">
        <f t="shared" si="152"/>
        <v>0</v>
      </c>
      <c r="Q274" s="180">
        <f t="shared" ref="Q274" si="153">SUM(Q169:Q273)</f>
        <v>0</v>
      </c>
      <c r="R274" s="180">
        <f t="shared" si="150"/>
        <v>0</v>
      </c>
      <c r="S274" s="180">
        <f t="shared" si="150"/>
        <v>0</v>
      </c>
      <c r="T274" s="180">
        <f t="shared" si="150"/>
        <v>0</v>
      </c>
      <c r="U274" s="180">
        <f t="shared" si="150"/>
        <v>0</v>
      </c>
      <c r="V274" s="180">
        <f t="shared" si="150"/>
        <v>0</v>
      </c>
      <c r="W274" s="180">
        <f t="shared" si="150"/>
        <v>0</v>
      </c>
      <c r="X274" s="180">
        <f t="shared" si="150"/>
        <v>0</v>
      </c>
      <c r="Y274" s="180">
        <f t="shared" si="150"/>
        <v>0</v>
      </c>
      <c r="Z274" s="180">
        <f t="shared" si="150"/>
        <v>0</v>
      </c>
      <c r="AA274" s="180">
        <f t="shared" si="150"/>
        <v>0</v>
      </c>
      <c r="AB274" s="180">
        <f t="shared" si="150"/>
        <v>0</v>
      </c>
      <c r="AC274" s="180">
        <f t="shared" si="150"/>
        <v>0</v>
      </c>
      <c r="AD274" s="180">
        <f t="shared" si="150"/>
        <v>0</v>
      </c>
      <c r="AE274" s="180">
        <f t="shared" si="150"/>
        <v>0</v>
      </c>
      <c r="AF274" s="181">
        <f t="shared" si="150"/>
        <v>0</v>
      </c>
      <c r="AG274" s="182">
        <f t="shared" si="15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T11:AA13 AB12:AF13 B9:AF10 B113:B115 C109:L115 B108:L108 B117:B124 C152:L152 C154:L159 B153:L153 B76:E90 C97:L107 F137:L151 B93:L96 C117:Q125 C134:Q134 B72:Q72 T85:AF90 R117:AF134 M137:AF159 M93:AF115 F79:S90 F76:AF77">
    <cfRule type="expression" dxfId="354" priority="106">
      <formula>B$9&gt;=20/24</formula>
    </cfRule>
  </conditionalFormatting>
  <conditionalFormatting sqref="B9:AF10 T11:AA13 AB12:AF13 B113:B115 C109:L115 B108:L108 B117:B124 C152:L152 C154:L159 B153:L153 B76:E90 C97:L107 F137:L151 B93:L96 C117:Q125 C134:Q134 B72:Q72 T85:AF90 R117:AF134 M137:AF159 M93:AF115 F79:S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T14:AF53 B29:S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T11:AA13 AB12:AF13 AF92:AF95 AF96:AG96 T76:AF77 T79:AC90 T91:AF91 T78:AG78 T92:AE96 B71:AG71 B69:AF69 B76:S96">
    <cfRule type="expression" dxfId="326" priority="105">
      <formula>B11&gt;$AG11*1</formula>
    </cfRule>
  </conditionalFormatting>
  <conditionalFormatting sqref="F79:S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S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T76:AF78 F78:S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T73:AF75">
    <cfRule type="expression" dxfId="313" priority="35">
      <formula>T$9&gt;=20/24</formula>
    </cfRule>
    <cfRule type="expression" dxfId="312" priority="36">
      <formula>AND(T$9&gt;=14/24,T$9&lt;20/24)</formula>
    </cfRule>
    <cfRule type="expression" dxfId="311" priority="37">
      <formula>AND(T$9&gt;=8/24,T$9&lt;14/24)</formula>
    </cfRule>
    <cfRule type="expression" dxfId="310" priority="38">
      <formula>T$9&lt;8/24</formula>
    </cfRule>
  </conditionalFormatting>
  <conditionalFormatting sqref="F79:S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T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S13">
    <cfRule type="expression" dxfId="204" priority="20">
      <formula>B$9&gt;=20/24</formula>
    </cfRule>
  </conditionalFormatting>
  <conditionalFormatting sqref="B97:B107 B137:B152 B109:B112 B125:B134 B154:B159 C137:E151 C126:Q133 B11:S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S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S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2026-05-17T08:38:49Z</dcterms:modified>
</cp:coreProperties>
</file>