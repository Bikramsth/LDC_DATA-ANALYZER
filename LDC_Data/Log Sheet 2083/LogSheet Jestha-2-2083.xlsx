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4" i="77" l="1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C174" i="77"/>
  <c r="D174" i="77" s="1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C173" i="77"/>
  <c r="D173" i="77" s="1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C164" i="77"/>
  <c r="D164" i="77" s="1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C172" i="77"/>
  <c r="D172" i="77" s="1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C171" i="77"/>
  <c r="D171" i="77" s="1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C170" i="77"/>
  <c r="D170" i="77" s="1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C169" i="77"/>
  <c r="D169" i="77" s="1"/>
  <c r="AG167" i="77"/>
  <c r="AG91" i="77" s="1"/>
  <c r="C166" i="77"/>
  <c r="D166" i="77" s="1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C165" i="77"/>
  <c r="D165" i="77" s="1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C163" i="77"/>
  <c r="D163" i="77" s="1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C162" i="77"/>
  <c r="D162" i="77" s="1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C161" i="77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G123" i="77"/>
  <c r="AR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C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C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AH120" i="77" s="1"/>
  <c r="H120" i="77"/>
  <c r="G120" i="77"/>
  <c r="F120" i="77"/>
  <c r="E120" i="77"/>
  <c r="D120" i="77"/>
  <c r="C120" i="77"/>
  <c r="AI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F123" i="77" s="1"/>
  <c r="AQ23" i="77" s="1"/>
  <c r="E119" i="77"/>
  <c r="D119" i="77"/>
  <c r="C119" i="77"/>
  <c r="AH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C118" i="77"/>
  <c r="AH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E123" i="77" s="1"/>
  <c r="D117" i="77"/>
  <c r="C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108" i="77"/>
  <c r="AJ108" i="77" s="1" a="1"/>
  <c r="AJ108" i="77" s="1"/>
  <c r="C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F96" i="77"/>
  <c r="E96" i="77"/>
  <c r="D96" i="77"/>
  <c r="D113" i="77" s="1"/>
  <c r="D115" i="77" s="1"/>
  <c r="C96" i="77"/>
  <c r="AH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C92" i="77"/>
  <c r="BS91" i="77"/>
  <c r="BP91" i="77"/>
  <c r="BN91" i="77"/>
  <c r="BK91" i="77"/>
  <c r="BH91" i="77"/>
  <c r="BG91" i="77"/>
  <c r="BC91" i="77"/>
  <c r="AZ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BB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Z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BB88" i="77"/>
  <c r="BA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C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C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A81" i="77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G113" i="77" s="1"/>
  <c r="G115" i="77" s="1"/>
  <c r="G116" i="77" s="1"/>
  <c r="G7" i="77" s="1"/>
  <c r="F78" i="77"/>
  <c r="AQ17" i="77" s="1"/>
  <c r="E78" i="77"/>
  <c r="D78" i="77"/>
  <c r="C78" i="77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H113" i="77" s="1"/>
  <c r="H115" i="77" s="1"/>
  <c r="G71" i="77"/>
  <c r="F71" i="77"/>
  <c r="E71" i="77"/>
  <c r="D71" i="77"/>
  <c r="C71" i="77"/>
  <c r="AN16" i="77" s="1"/>
  <c r="AN22" i="77" s="1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R20" i="77"/>
  <c r="AQ20" i="77"/>
  <c r="AP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N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O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O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Q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D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B124" i="77" l="1"/>
  <c r="B113" i="77"/>
  <c r="B115" i="77" s="1"/>
  <c r="B116" i="77" s="1"/>
  <c r="AH121" i="77"/>
  <c r="AM19" i="77"/>
  <c r="B135" i="77"/>
  <c r="C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AP25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C123" i="77"/>
  <c r="AN23" i="77" s="1"/>
  <c r="AN25" i="77" s="1"/>
  <c r="K123" i="77"/>
  <c r="AA123" i="77"/>
  <c r="AA116" i="77" s="1"/>
  <c r="AA7" i="77" s="1"/>
  <c r="AI121" i="77"/>
  <c r="AI122" i="77"/>
  <c r="X124" i="77"/>
  <c r="BG95" i="77" a="1"/>
  <c r="C124" i="77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D124" i="77"/>
  <c r="AO19" i="77"/>
  <c r="AO22" i="77" s="1"/>
  <c r="AO25" i="77" s="1"/>
  <c r="C5" i="77"/>
  <c r="BJ19" i="77"/>
  <c r="AH71" i="77"/>
  <c r="AI71" i="77"/>
  <c r="AI96" i="77"/>
  <c r="M124" i="77"/>
  <c r="U124" i="77"/>
  <c r="C113" i="77"/>
  <c r="C115" i="77" s="1"/>
  <c r="C116" i="77" s="1"/>
  <c r="C7" i="77" s="1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C167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M22" i="77" l="1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35" i="77"/>
  <c r="O161" i="77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<sst xmlns="http://schemas.openxmlformats.org/spreadsheetml/2006/main" count="2196" uniqueCount="418">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</sst>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8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9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98" sqref="A98:XFD9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4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53" sqref="B15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" si="20">62+75.4</f>
        <v>137.4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137.4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1061.6999999999998</v>
      </c>
      <c r="C71" s="70">
        <f>SUM(C11:C69)</f>
        <v>150</v>
      </c>
      <c r="D71" s="70">
        <f t="shared" ref="D71:AG71" si="22">SUM(D11:D69)</f>
        <v>150</v>
      </c>
      <c r="E71" s="70">
        <f t="shared" si="22"/>
        <v>150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460.7</v>
      </c>
      <c r="AK72" s="49"/>
    </row>
    <row r="73" spans="1:88" x14ac:dyDescent="0.25">
      <c r="A73" s="72" t="s">
        <v>92</v>
      </c>
      <c r="B73" s="43">
        <v>76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40.4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13.4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642.5</v>
      </c>
      <c r="C78" s="70">
        <f>SUM(C72:C77)</f>
        <v>0</v>
      </c>
      <c r="D78" s="70">
        <f t="shared" ref="D78:AG78" si="26">SUM(D72:D77)</f>
        <v>0</v>
      </c>
      <c r="E78" s="70">
        <f t="shared" si="26"/>
        <v>0</v>
      </c>
      <c r="F78" s="70">
        <f t="shared" si="26"/>
        <v>0</v>
      </c>
      <c r="G78" s="70">
        <f t="shared" si="26"/>
        <v>0</v>
      </c>
      <c r="H78" s="70">
        <f t="shared" si="26"/>
        <v>0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0</v>
      </c>
      <c r="BA79" s="81">
        <f t="shared" ref="BA79:BD83" si="27">D97</f>
        <v>0</v>
      </c>
      <c r="BB79" s="81">
        <f t="shared" si="27"/>
        <v>0</v>
      </c>
      <c r="BC79" s="81">
        <f t="shared" si="27"/>
        <v>0</v>
      </c>
      <c r="BD79" s="81">
        <f t="shared" si="27"/>
        <v>0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57.4</v>
      </c>
      <c r="AI80" s="47">
        <f t="shared" si="24"/>
        <v>57.4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0</v>
      </c>
      <c r="BC80" s="81">
        <f t="shared" si="27"/>
        <v>0</v>
      </c>
      <c r="BD80" s="81">
        <f t="shared" si="27"/>
        <v>0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69.3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7"/>
        <v>0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7"/>
        <v>0</v>
      </c>
      <c r="BB82" s="81">
        <f t="shared" si="27"/>
        <v>0</v>
      </c>
      <c r="BC82" s="81">
        <f t="shared" si="27"/>
        <v>0</v>
      </c>
      <c r="BD82" s="81">
        <f t="shared" si="27"/>
        <v>0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26.8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11.3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0</v>
      </c>
      <c r="BA86" s="82">
        <f t="shared" si="31"/>
        <v>0</v>
      </c>
      <c r="BB86" s="82">
        <f t="shared" si="31"/>
        <v>0</v>
      </c>
      <c r="BC86" s="82">
        <f t="shared" si="31"/>
        <v>0</v>
      </c>
      <c r="BD86" s="82">
        <f t="shared" si="31"/>
        <v>0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0</v>
      </c>
      <c r="BC87" s="82">
        <f t="shared" si="31"/>
        <v>0</v>
      </c>
      <c r="BD87" s="82">
        <f t="shared" si="31"/>
        <v>0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11.1</v>
      </c>
      <c r="AI88" s="47">
        <f t="shared" si="24"/>
        <v>11.1</v>
      </c>
      <c r="AK88" s="49"/>
      <c r="AZ88" s="82">
        <f t="shared" si="31"/>
        <v>0</v>
      </c>
      <c r="BA88" s="82">
        <f t="shared" si="31"/>
        <v>0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0</v>
      </c>
      <c r="BA89" s="82">
        <f t="shared" si="31"/>
        <v>0</v>
      </c>
      <c r="BB89" s="82">
        <f t="shared" si="31"/>
        <v>0</v>
      </c>
      <c r="BC89" s="82">
        <f t="shared" si="31"/>
        <v>0</v>
      </c>
      <c r="BD89" s="82">
        <f t="shared" si="31"/>
        <v>0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" si="32">SUM(B79:B91)</f>
        <v>354.40000000000003</v>
      </c>
      <c r="C92" s="70">
        <f t="shared" ref="B92:AG92" si="33">SUM(C79:C91)</f>
        <v>2</v>
      </c>
      <c r="D92" s="70">
        <f t="shared" si="33"/>
        <v>2</v>
      </c>
      <c r="E92" s="70">
        <f t="shared" si="33"/>
        <v>2</v>
      </c>
      <c r="F92" s="70">
        <f t="shared" si="33"/>
        <v>2</v>
      </c>
      <c r="G92" s="70">
        <f t="shared" si="33"/>
        <v>2</v>
      </c>
      <c r="H92" s="70">
        <f t="shared" si="33"/>
        <v>2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30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-529.20000000000005</v>
      </c>
      <c r="AI97" s="47">
        <f t="shared" si="24"/>
        <v>-529.20000000000005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49.1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21.5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17.600000000000001</v>
      </c>
      <c r="AI102" s="47">
        <f t="shared" si="24"/>
        <v>17.600000000000001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88.199999999999989</v>
      </c>
      <c r="C108" s="70">
        <f t="shared" ref="B108:AF108" si="37">SUMIF(C97:C107,"&gt;0")</f>
        <v>0</v>
      </c>
      <c r="D108" s="70">
        <f t="shared" si="37"/>
        <v>0</v>
      </c>
      <c r="E108" s="70">
        <f t="shared" si="37"/>
        <v>0</v>
      </c>
      <c r="F108" s="70">
        <f t="shared" si="37"/>
        <v>0</v>
      </c>
      <c r="G108" s="70">
        <f t="shared" si="37"/>
        <v>0</v>
      </c>
      <c r="H108" s="70">
        <f t="shared" si="37"/>
        <v>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88.199999999999989</v>
      </c>
      <c r="AI108" s="47">
        <f t="shared" si="24"/>
        <v>0</v>
      </c>
      <c r="AJ108" s="105">
        <f t="array" ref="AJ108">MIN(IF(B108:AF108&lt;&gt;0,B108:AF108))</f>
        <v>88.199999999999989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2176.7999999999997</v>
      </c>
      <c r="C113" s="108">
        <f t="shared" ref="B113:AG113" si="39">C71+C78+C96+C92+C108+C112</f>
        <v>152</v>
      </c>
      <c r="D113" s="108">
        <f t="shared" si="39"/>
        <v>152</v>
      </c>
      <c r="E113" s="108">
        <f t="shared" si="39"/>
        <v>152</v>
      </c>
      <c r="F113" s="108">
        <f t="shared" si="39"/>
        <v>152</v>
      </c>
      <c r="G113" s="108">
        <f t="shared" si="39"/>
        <v>152</v>
      </c>
      <c r="H113" s="108">
        <f t="shared" si="39"/>
        <v>152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60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2236.7999999999997</v>
      </c>
      <c r="C115" s="108">
        <f t="shared" ref="C115:AF115" si="41">C113+C114</f>
        <v>152</v>
      </c>
      <c r="D115" s="108">
        <f t="shared" si="41"/>
        <v>152</v>
      </c>
      <c r="E115" s="108">
        <f t="shared" si="41"/>
        <v>152</v>
      </c>
      <c r="F115" s="108">
        <f t="shared" si="41"/>
        <v>152</v>
      </c>
      <c r="G115" s="108">
        <f t="shared" si="41"/>
        <v>152</v>
      </c>
      <c r="H115" s="108">
        <f t="shared" si="41"/>
        <v>152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1707.5999999999997</v>
      </c>
      <c r="C116" s="108">
        <f t="shared" ref="C116:AF116" si="43">C115-(C123)</f>
        <v>152</v>
      </c>
      <c r="D116" s="108">
        <f t="shared" si="43"/>
        <v>152</v>
      </c>
      <c r="E116" s="108">
        <f t="shared" si="43"/>
        <v>152</v>
      </c>
      <c r="F116" s="108">
        <f t="shared" si="43"/>
        <v>152</v>
      </c>
      <c r="G116" s="108">
        <f t="shared" si="43"/>
        <v>152</v>
      </c>
      <c r="H116" s="108">
        <f t="shared" si="43"/>
        <v>152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4">IF(B97&lt;0,B97*-1,0)</f>
        <v>529.20000000000005</v>
      </c>
      <c r="C117" s="93">
        <f t="shared" ref="B117:AF122" si="45">IF(C97&lt;0,C97*-1,0)</f>
        <v>0</v>
      </c>
      <c r="D117" s="93">
        <f t="shared" si="45"/>
        <v>0</v>
      </c>
      <c r="E117" s="93">
        <f t="shared" si="45"/>
        <v>0</v>
      </c>
      <c r="F117" s="93">
        <f t="shared" si="45"/>
        <v>0</v>
      </c>
      <c r="G117" s="93">
        <f t="shared" si="45"/>
        <v>0</v>
      </c>
      <c r="H117" s="93">
        <f t="shared" si="45"/>
        <v>0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529.20000000000005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5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5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5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5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5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6">SUM(B117:B122)</f>
        <v>529.20000000000005</v>
      </c>
      <c r="C123" s="70">
        <f t="shared" ref="B123:AF123" si="47">SUM(C117:C122)</f>
        <v>0</v>
      </c>
      <c r="D123" s="70">
        <f t="shared" si="47"/>
        <v>0</v>
      </c>
      <c r="E123" s="70">
        <f t="shared" si="47"/>
        <v>0</v>
      </c>
      <c r="F123" s="70">
        <f t="shared" si="47"/>
        <v>0</v>
      </c>
      <c r="G123" s="70">
        <f t="shared" si="47"/>
        <v>0</v>
      </c>
      <c r="H123" s="70">
        <f t="shared" si="47"/>
        <v>0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529.20000000000005</v>
      </c>
      <c r="AI123" s="47">
        <f t="shared" si="24"/>
        <v>0</v>
      </c>
      <c r="AJ123" s="105">
        <f t="array" ref="AJ123">MIN(IF(B123:AF123&lt;&gt;0,B123:AF123))</f>
        <v>529.20000000000005</v>
      </c>
    </row>
    <row r="124" spans="1:64" ht="15.75" thickBot="1" x14ac:dyDescent="0.3">
      <c r="A124" s="87" t="s">
        <v>146</v>
      </c>
      <c r="B124" s="70">
        <f t="shared" ref="B124" si="48">B108-B123</f>
        <v>-441.00000000000006</v>
      </c>
      <c r="C124" s="70">
        <f t="shared" ref="B124:AF124" si="49">C108-C123</f>
        <v>0</v>
      </c>
      <c r="D124" s="70">
        <f t="shared" si="49"/>
        <v>0</v>
      </c>
      <c r="E124" s="70">
        <f t="shared" si="49"/>
        <v>0</v>
      </c>
      <c r="F124" s="70">
        <f t="shared" si="49"/>
        <v>0</v>
      </c>
      <c r="G124" s="70">
        <f t="shared" si="49"/>
        <v>0</v>
      </c>
      <c r="H124" s="70">
        <f t="shared" si="49"/>
        <v>0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-441.00000000000006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50.029000000000003</v>
      </c>
      <c r="AI126" s="47">
        <f t="shared" si="24"/>
        <v>50.029000000000003</v>
      </c>
    </row>
    <row r="127" spans="1:64" x14ac:dyDescent="0.25">
      <c r="A127" s="119" t="s">
        <v>149</v>
      </c>
      <c r="B127" s="43">
        <v>133.9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133.9</v>
      </c>
    </row>
    <row r="128" spans="1:64" x14ac:dyDescent="0.25">
      <c r="A128" s="119" t="s">
        <v>150</v>
      </c>
      <c r="B128" s="43">
        <v>130.1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130.1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135.80000000000001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134.19999999999999</v>
      </c>
    </row>
    <row r="133" spans="1:35" ht="15.75" thickBot="1" x14ac:dyDescent="0.3">
      <c r="A133" s="119" t="s">
        <v>155</v>
      </c>
      <c r="B133" s="101">
        <v>67.400000000000006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67.400000000000006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0">SUM(B26,B32,B45:B46,B82,B84:B85,B87,B89,B137:B142,B177,B183,B189,B198,B200,B212,B219,B222:B223,B230,B232,B234,B238:B240,B242:B244,B249,B255:B256,B258:B260,B161,B166)</f>
        <v>165.83999999999997</v>
      </c>
      <c r="C135" s="114">
        <f t="shared" ref="C135:O135" si="51">SUM(C26,C32,C45:C46,C82,C84:C85,C87,C89,C137:C142,C177,C183,C189,C198,C200,C212,C219,C222:C223,C230,C232,C234,C238:C240,C242:C244,C249,C255:C256,C258:C260,C161,C166)</f>
        <v>0.94</v>
      </c>
      <c r="D135" s="114">
        <f t="shared" si="51"/>
        <v>0.94</v>
      </c>
      <c r="E135" s="114">
        <f t="shared" si="51"/>
        <v>0.94</v>
      </c>
      <c r="F135" s="114">
        <f t="shared" si="51"/>
        <v>0.94</v>
      </c>
      <c r="G135" s="114">
        <f t="shared" si="51"/>
        <v>0.94</v>
      </c>
      <c r="H135" s="114">
        <f t="shared" si="51"/>
        <v>0.94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165.83999999999997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49.4</v>
      </c>
      <c r="AI137" s="47">
        <f t="shared" si="24"/>
        <v>49.4</v>
      </c>
    </row>
    <row r="138" spans="1:35" x14ac:dyDescent="0.25">
      <c r="A138" s="135" t="s">
        <v>160</v>
      </c>
      <c r="B138" s="132">
        <v>3.7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3.7</v>
      </c>
      <c r="AI138" s="47">
        <f t="shared" si="24"/>
        <v>3.7</v>
      </c>
    </row>
    <row r="139" spans="1:35" x14ac:dyDescent="0.25">
      <c r="A139" s="135" t="s">
        <v>161</v>
      </c>
      <c r="B139" s="132">
        <v>-87.6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-87.6</v>
      </c>
      <c r="AI139" s="47">
        <f>MIN(B139:AF139)</f>
        <v>-87.6</v>
      </c>
    </row>
    <row r="140" spans="1:35" x14ac:dyDescent="0.25">
      <c r="A140" s="135" t="s">
        <v>162</v>
      </c>
      <c r="B140" s="132">
        <v>94.6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94.6</v>
      </c>
      <c r="AI140" s="47">
        <f>MIN(B140:AF140)</f>
        <v>94.6</v>
      </c>
    </row>
    <row r="141" spans="1:35" x14ac:dyDescent="0.25">
      <c r="A141" s="135" t="s">
        <v>163</v>
      </c>
      <c r="B141" s="132">
        <v>2.5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2.5</v>
      </c>
      <c r="AI141" s="47">
        <f>MIN(B141:AF141)</f>
        <v>2.5</v>
      </c>
    </row>
    <row r="142" spans="1:35" x14ac:dyDescent="0.25">
      <c r="A142" s="135" t="s">
        <v>164</v>
      </c>
      <c r="B142" s="132">
        <v>-47.6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-47.6</v>
      </c>
    </row>
    <row r="143" spans="1:35" x14ac:dyDescent="0.25">
      <c r="A143" s="135" t="s">
        <v>165</v>
      </c>
      <c r="B143" s="132">
        <v>54.9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-42.2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23.8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-696.7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-696.7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74.2</v>
      </c>
      <c r="AI147" s="47">
        <f t="shared" si="55"/>
        <v>74.2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143.80000000000001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143.80000000000001</v>
      </c>
      <c r="AI149" s="47">
        <f t="shared" si="55"/>
        <v>143.80000000000001</v>
      </c>
    </row>
    <row r="150" spans="1:38" x14ac:dyDescent="0.25">
      <c r="A150" s="135" t="s">
        <v>172</v>
      </c>
      <c r="B150" s="132">
        <v>31.2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31.2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6.1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0</v>
      </c>
      <c r="AI155" s="47">
        <f t="shared" si="5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0</v>
      </c>
      <c r="AI156" s="47">
        <f t="shared" si="5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0</v>
      </c>
      <c r="AI157" s="47">
        <f t="shared" si="55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06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C14:AF28 B29:AF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05">
      <formula>B11&gt;$AG11*1</formula>
    </cfRule>
  </conditionalFormatting>
  <conditionalFormatting sqref="E79:I83 J80:J83 K83:O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E73:AF75">
    <cfRule type="expression" dxfId="131" priority="35">
      <formula>E$9&gt;=20/24</formula>
    </cfRule>
    <cfRule type="expression" dxfId="130" priority="36">
      <formula>AND(E$9&gt;=14/24,E$9&lt;20/24)</formula>
    </cfRule>
    <cfRule type="expression" dxfId="129" priority="37">
      <formula>AND(E$9&gt;=8/24,E$9&lt;14/24)</formula>
    </cfRule>
    <cfRule type="expression" dxfId="128" priority="38">
      <formula>E$9&lt;8/24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11:B13 B97:B107 B137:B152 B109:B112 B125:B134 B154:B159">
    <cfRule type="expression" dxfId="22" priority="20">
      <formula>B$9&gt;=20/24</formula>
    </cfRule>
  </conditionalFormatting>
  <conditionalFormatting sqref="B11:B13 B97:B107 B137:B152 B109:B112 B125:B134 B154:B159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B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2026-05-18T18:27:56Z</dcterms:modified>
</cp:coreProperties>
</file>