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U22" i="79" l="1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U25" i="79" l="1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Q124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<sst xmlns="http://schemas.openxmlformats.org/spreadsheetml/2006/main" count="2505" uniqueCount="418">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</sst>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2" sqref="N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1711.1</v>
      </c>
      <c r="I7" s="35">
        <f t="shared" si="1"/>
        <v>1748.4999999999998</v>
      </c>
      <c r="J7" s="35">
        <f t="shared" si="1"/>
        <v>1802.6</v>
      </c>
      <c r="K7" s="35">
        <f t="shared" si="1"/>
        <v>1902.6</v>
      </c>
      <c r="L7" s="35">
        <f t="shared" si="1"/>
        <v>2122.1</v>
      </c>
      <c r="M7" s="35">
        <f t="shared" si="1"/>
        <v>1938.1</v>
      </c>
      <c r="N7" s="35">
        <f t="shared" si="1"/>
        <v>1780.6000000000004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2286.1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30.5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361.09999999999997</v>
      </c>
      <c r="AT18" s="57">
        <f>K92</f>
        <v>361.09999999999997</v>
      </c>
      <c r="AU18" s="57">
        <f t="shared" ref="AU18:BD18" si="9">M92</f>
        <v>339.09999999999997</v>
      </c>
      <c r="AV18" s="57">
        <f t="shared" si="9"/>
        <v>353.49999999999994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2214.2999999999997</v>
      </c>
      <c r="AT22" s="60">
        <f t="shared" si="16"/>
        <v>2202.6</v>
      </c>
      <c r="AU22" s="60">
        <f t="shared" si="16"/>
        <v>2286.1</v>
      </c>
      <c r="AV22" s="60">
        <f t="shared" si="16"/>
        <v>2127.6000000000004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1748.4999999999998</v>
      </c>
      <c r="AT25" s="60">
        <f t="shared" si="19"/>
        <v>1902.6</v>
      </c>
      <c r="AU25" s="60">
        <f t="shared" si="19"/>
        <v>1938.1</v>
      </c>
      <c r="AV25" s="60">
        <f t="shared" si="19"/>
        <v>1780.6000000000004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38.700000000000003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22.2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13.6</v>
      </c>
      <c r="AI77" s="47">
        <f t="shared" si="27"/>
        <v>8.1</v>
      </c>
      <c r="AK77" s="49"/>
    </row>
    <row r="78" spans="1:88" ht="15.75" thickBot="1" x14ac:dyDescent="0.3">
      <c r="A78" s="79" t="s">
        <v>97</v>
      </c>
      <c r="B78" s="70">
        <f t="shared" ref="B78:C78" si="28">SUM(B72:B77)</f>
        <v>653.70000000000005</v>
      </c>
      <c r="C78" s="70">
        <f t="shared" si="28"/>
        <v>654.1</v>
      </c>
      <c r="D78" s="70">
        <f t="shared" ref="D78:E78" si="29">SUM(D72:D77)</f>
        <v>617.90000000000009</v>
      </c>
      <c r="E78" s="70">
        <f t="shared" si="29"/>
        <v>596.5</v>
      </c>
      <c r="F78" s="70">
        <f t="shared" ref="F78" si="30">SUM(F72:F77)</f>
        <v>584.1</v>
      </c>
      <c r="G78" s="70">
        <f t="shared" ref="D78:AG78" si="31">SUM(G72:G77)</f>
        <v>554.30000000000007</v>
      </c>
      <c r="H78" s="70">
        <f t="shared" si="31"/>
        <v>536.30000000000007</v>
      </c>
      <c r="I78" s="70">
        <f t="shared" si="31"/>
        <v>536.30000000000007</v>
      </c>
      <c r="J78" s="70">
        <f t="shared" si="31"/>
        <v>536.30000000000007</v>
      </c>
      <c r="K78" s="70">
        <f t="shared" si="31"/>
        <v>536.30000000000007</v>
      </c>
      <c r="L78" s="70">
        <f t="shared" si="31"/>
        <v>374.30000000000007</v>
      </c>
      <c r="M78" s="70">
        <f t="shared" ref="M78:N78" si="32">SUM(M72:M77)</f>
        <v>578.30000000000007</v>
      </c>
      <c r="N78" s="70">
        <f t="shared" si="32"/>
        <v>549.80000000000007</v>
      </c>
      <c r="O78" s="70">
        <f t="shared" si="31"/>
        <v>0</v>
      </c>
      <c r="P78" s="70">
        <f t="shared" si="31"/>
        <v>0</v>
      </c>
      <c r="Q78" s="70">
        <f t="shared" si="31"/>
        <v>0</v>
      </c>
      <c r="R78" s="70">
        <f t="shared" si="31"/>
        <v>0</v>
      </c>
      <c r="S78" s="70">
        <f t="shared" si="31"/>
        <v>0</v>
      </c>
      <c r="T78" s="70">
        <f t="shared" si="31"/>
        <v>0</v>
      </c>
      <c r="U78" s="70">
        <f t="shared" si="31"/>
        <v>0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6"/>
        <v>654.1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96.6</v>
      </c>
      <c r="AK79" s="49"/>
      <c r="AY79" s="1" t="s">
        <v>99</v>
      </c>
      <c r="AZ79" s="82">
        <f>ROUND(C97,0)</f>
        <v>-483</v>
      </c>
      <c r="BA79" s="81">
        <f t="shared" ref="BA79:BD83" si="33">D97</f>
        <v>-490.4</v>
      </c>
      <c r="BB79" s="81">
        <f t="shared" si="33"/>
        <v>-490.8</v>
      </c>
      <c r="BC79" s="81">
        <f t="shared" si="33"/>
        <v>-495.3</v>
      </c>
      <c r="BD79" s="81">
        <f t="shared" si="33"/>
        <v>-526.79999999999995</v>
      </c>
      <c r="BE79" s="82">
        <f>I97</f>
        <v>-465.8</v>
      </c>
      <c r="BF79" s="82">
        <f>K97</f>
        <v>-300</v>
      </c>
      <c r="BG79" s="82">
        <f t="shared" ref="BG79:BP83" si="34">M97</f>
        <v>-348</v>
      </c>
      <c r="BH79" s="82">
        <f t="shared" si="34"/>
        <v>-347</v>
      </c>
      <c r="BI79" s="82">
        <f t="shared" si="34"/>
        <v>0</v>
      </c>
      <c r="BJ79" s="82">
        <f t="shared" si="34"/>
        <v>0</v>
      </c>
      <c r="BK79" s="82">
        <f t="shared" si="34"/>
        <v>0</v>
      </c>
      <c r="BL79" s="82">
        <f t="shared" si="34"/>
        <v>0</v>
      </c>
      <c r="BM79" s="82">
        <f t="shared" si="34"/>
        <v>0</v>
      </c>
      <c r="BN79" s="82">
        <f t="shared" si="34"/>
        <v>0</v>
      </c>
      <c r="BO79" s="82">
        <f t="shared" si="34"/>
        <v>0</v>
      </c>
      <c r="BP79" s="82">
        <f t="shared" si="34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5">AD97</f>
        <v>0</v>
      </c>
      <c r="BU79" s="81">
        <f t="shared" si="35"/>
        <v>0</v>
      </c>
      <c r="BV79" s="81">
        <f t="shared" si="35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70.099999999999994</v>
      </c>
      <c r="AI80" s="47">
        <f t="shared" si="27"/>
        <v>59.7</v>
      </c>
      <c r="AK80" s="49"/>
      <c r="AY80" s="1" t="s">
        <v>101</v>
      </c>
      <c r="AZ80" s="82">
        <f>ROUND(C98,0)</f>
        <v>0</v>
      </c>
      <c r="BA80" s="81">
        <f t="shared" si="33"/>
        <v>0</v>
      </c>
      <c r="BB80" s="81">
        <f t="shared" si="33"/>
        <v>0</v>
      </c>
      <c r="BC80" s="81">
        <f t="shared" si="33"/>
        <v>0</v>
      </c>
      <c r="BD80" s="81">
        <f t="shared" si="33"/>
        <v>27.3</v>
      </c>
      <c r="BE80" s="82">
        <f>I98</f>
        <v>23.7</v>
      </c>
      <c r="BF80" s="82">
        <f>K98</f>
        <v>24.5</v>
      </c>
      <c r="BG80" s="82">
        <f t="shared" si="34"/>
        <v>20</v>
      </c>
      <c r="BH80" s="82">
        <f t="shared" si="34"/>
        <v>24.3</v>
      </c>
      <c r="BI80" s="82">
        <f t="shared" si="34"/>
        <v>0</v>
      </c>
      <c r="BJ80" s="82">
        <f t="shared" si="34"/>
        <v>0</v>
      </c>
      <c r="BK80" s="82">
        <f t="shared" si="34"/>
        <v>0</v>
      </c>
      <c r="BL80" s="82">
        <f t="shared" si="34"/>
        <v>0</v>
      </c>
      <c r="BM80" s="82">
        <f t="shared" si="34"/>
        <v>0</v>
      </c>
      <c r="BN80" s="82">
        <f t="shared" si="34"/>
        <v>0</v>
      </c>
      <c r="BO80" s="82">
        <f t="shared" si="34"/>
        <v>0</v>
      </c>
      <c r="BP80" s="82">
        <f t="shared" si="3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5"/>
        <v>0</v>
      </c>
      <c r="BU80" s="81">
        <f t="shared" si="35"/>
        <v>0</v>
      </c>
      <c r="BV80" s="81">
        <f t="shared" si="35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72</v>
      </c>
      <c r="AI81" s="47">
        <f t="shared" si="27"/>
        <v>52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3"/>
        <v>0</v>
      </c>
      <c r="BB81" s="81">
        <f t="shared" si="33"/>
        <v>0</v>
      </c>
      <c r="BC81" s="81">
        <f t="shared" si="33"/>
        <v>0</v>
      </c>
      <c r="BD81" s="81">
        <f t="shared" si="33"/>
        <v>0</v>
      </c>
      <c r="BE81" s="82">
        <f>I99</f>
        <v>0</v>
      </c>
      <c r="BF81" s="82">
        <f>K99</f>
        <v>0</v>
      </c>
      <c r="BG81" s="82">
        <f t="shared" si="34"/>
        <v>0</v>
      </c>
      <c r="BH81" s="82">
        <f t="shared" si="34"/>
        <v>31.2</v>
      </c>
      <c r="BI81" s="82">
        <f t="shared" si="34"/>
        <v>0</v>
      </c>
      <c r="BJ81" s="82">
        <f t="shared" si="34"/>
        <v>0</v>
      </c>
      <c r="BK81" s="82">
        <f t="shared" si="34"/>
        <v>0</v>
      </c>
      <c r="BL81" s="82">
        <f t="shared" si="34"/>
        <v>0</v>
      </c>
      <c r="BM81" s="82">
        <f t="shared" si="34"/>
        <v>0</v>
      </c>
      <c r="BN81" s="82">
        <f t="shared" si="34"/>
        <v>0</v>
      </c>
      <c r="BO81" s="82">
        <f t="shared" si="34"/>
        <v>0</v>
      </c>
      <c r="BP81" s="82">
        <f t="shared" si="34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5"/>
        <v>0</v>
      </c>
      <c r="BU81" s="81">
        <f t="shared" si="35"/>
        <v>0</v>
      </c>
      <c r="BV81" s="81">
        <f t="shared" si="3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3"/>
        <v>20.5</v>
      </c>
      <c r="BB82" s="81">
        <f t="shared" si="33"/>
        <v>21</v>
      </c>
      <c r="BC82" s="81">
        <f t="shared" si="33"/>
        <v>21.4</v>
      </c>
      <c r="BD82" s="81">
        <f t="shared" si="33"/>
        <v>0</v>
      </c>
      <c r="BE82" s="82">
        <f>I100</f>
        <v>19.7</v>
      </c>
      <c r="BF82" s="82">
        <f>K100</f>
        <v>20</v>
      </c>
      <c r="BG82" s="82">
        <f t="shared" si="34"/>
        <v>18</v>
      </c>
      <c r="BH82" s="82">
        <f t="shared" si="34"/>
        <v>17</v>
      </c>
      <c r="BI82" s="82">
        <f t="shared" si="34"/>
        <v>0</v>
      </c>
      <c r="BJ82" s="82">
        <f t="shared" si="34"/>
        <v>0</v>
      </c>
      <c r="BK82" s="82">
        <f t="shared" si="34"/>
        <v>0</v>
      </c>
      <c r="BL82" s="82">
        <f t="shared" si="34"/>
        <v>0</v>
      </c>
      <c r="BM82" s="82">
        <f t="shared" si="34"/>
        <v>0</v>
      </c>
      <c r="BN82" s="82">
        <f t="shared" si="34"/>
        <v>0</v>
      </c>
      <c r="BO82" s="82">
        <f t="shared" si="34"/>
        <v>0</v>
      </c>
      <c r="BP82" s="82">
        <f t="shared" si="3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5"/>
        <v>0</v>
      </c>
      <c r="BU82" s="81">
        <f t="shared" si="35"/>
        <v>0</v>
      </c>
      <c r="BV82" s="81">
        <f t="shared" si="35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30</v>
      </c>
      <c r="AI83" s="47">
        <f t="shared" si="27"/>
        <v>15</v>
      </c>
      <c r="AK83" s="49"/>
      <c r="AY83" s="1" t="s">
        <v>107</v>
      </c>
      <c r="AZ83" s="82">
        <f>ROUND(C101,0)</f>
        <v>0</v>
      </c>
      <c r="BA83" s="81">
        <f t="shared" si="33"/>
        <v>0</v>
      </c>
      <c r="BB83" s="81">
        <f t="shared" si="33"/>
        <v>0</v>
      </c>
      <c r="BC83" s="81">
        <f t="shared" si="33"/>
        <v>0</v>
      </c>
      <c r="BD83" s="81">
        <f t="shared" si="33"/>
        <v>59.5</v>
      </c>
      <c r="BE83" s="82">
        <f>I101</f>
        <v>61</v>
      </c>
      <c r="BF83" s="82">
        <f>K101</f>
        <v>61</v>
      </c>
      <c r="BG83" s="82">
        <f t="shared" si="34"/>
        <v>54</v>
      </c>
      <c r="BH83" s="82">
        <f t="shared" si="34"/>
        <v>46</v>
      </c>
      <c r="BI83" s="82">
        <f t="shared" si="34"/>
        <v>0</v>
      </c>
      <c r="BJ83" s="82">
        <f t="shared" si="34"/>
        <v>0</v>
      </c>
      <c r="BK83" s="82">
        <f t="shared" si="34"/>
        <v>0</v>
      </c>
      <c r="BL83" s="82">
        <f t="shared" si="34"/>
        <v>0</v>
      </c>
      <c r="BM83" s="82">
        <f t="shared" si="34"/>
        <v>0</v>
      </c>
      <c r="BN83" s="82">
        <f t="shared" si="34"/>
        <v>0</v>
      </c>
      <c r="BO83" s="82">
        <f t="shared" si="34"/>
        <v>0</v>
      </c>
      <c r="BP83" s="82">
        <f t="shared" si="34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5"/>
        <v>0</v>
      </c>
      <c r="BU83" s="81">
        <f t="shared" si="35"/>
        <v>0</v>
      </c>
      <c r="BV83" s="81">
        <f t="shared" si="3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6.4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6">M107</f>
        <v>0</v>
      </c>
      <c r="BH84" s="82">
        <f t="shared" si="36"/>
        <v>0</v>
      </c>
      <c r="BI84" s="82">
        <f t="shared" si="36"/>
        <v>0</v>
      </c>
      <c r="BJ84" s="82">
        <f t="shared" si="36"/>
        <v>0</v>
      </c>
      <c r="BK84" s="82">
        <f t="shared" si="36"/>
        <v>0</v>
      </c>
      <c r="BL84" s="82">
        <f t="shared" si="36"/>
        <v>0</v>
      </c>
      <c r="BM84" s="82">
        <f t="shared" si="36"/>
        <v>0</v>
      </c>
      <c r="BN84" s="82">
        <f t="shared" si="36"/>
        <v>0</v>
      </c>
      <c r="BO84" s="82">
        <f t="shared" si="36"/>
        <v>0</v>
      </c>
      <c r="BP84" s="82">
        <f t="shared" si="3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11.6</v>
      </c>
      <c r="AI85" s="47">
        <f t="shared" si="27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7">VALUE(AZ79)</f>
        <v>-483</v>
      </c>
      <c r="BA86" s="82">
        <f t="shared" si="37"/>
        <v>-490.4</v>
      </c>
      <c r="BB86" s="82">
        <f t="shared" si="37"/>
        <v>-490.8</v>
      </c>
      <c r="BC86" s="82">
        <f t="shared" si="37"/>
        <v>-495.3</v>
      </c>
      <c r="BD86" s="82">
        <f t="shared" si="37"/>
        <v>-526.79999999999995</v>
      </c>
      <c r="BE86" s="82">
        <f t="shared" si="37"/>
        <v>-465.8</v>
      </c>
      <c r="BF86" s="82">
        <f t="shared" si="37"/>
        <v>-300</v>
      </c>
      <c r="BG86" s="82">
        <f t="shared" si="37"/>
        <v>-348</v>
      </c>
      <c r="BH86" s="82">
        <f t="shared" si="37"/>
        <v>-347</v>
      </c>
      <c r="BI86" s="82">
        <f t="shared" si="37"/>
        <v>0</v>
      </c>
      <c r="BJ86" s="82">
        <f t="shared" si="37"/>
        <v>0</v>
      </c>
      <c r="BK86" s="82">
        <f t="shared" si="37"/>
        <v>0</v>
      </c>
      <c r="BL86" s="82">
        <f t="shared" si="37"/>
        <v>0</v>
      </c>
      <c r="BM86" s="82">
        <f t="shared" si="37"/>
        <v>0</v>
      </c>
      <c r="BN86" s="82">
        <f t="shared" si="37"/>
        <v>0</v>
      </c>
      <c r="BO86" s="82">
        <f t="shared" si="37"/>
        <v>0</v>
      </c>
      <c r="BP86" s="82">
        <f t="shared" si="37"/>
        <v>0</v>
      </c>
      <c r="BQ86" s="82">
        <f t="shared" si="37"/>
        <v>0</v>
      </c>
      <c r="BR86" s="82">
        <f t="shared" si="37"/>
        <v>0</v>
      </c>
      <c r="BS86" s="82">
        <f t="shared" si="37"/>
        <v>0</v>
      </c>
      <c r="BT86" s="82">
        <f t="shared" si="37"/>
        <v>0</v>
      </c>
      <c r="BU86" s="82">
        <f t="shared" si="37"/>
        <v>0</v>
      </c>
      <c r="BV86" s="82">
        <f t="shared" si="37"/>
        <v>0</v>
      </c>
      <c r="BW86" s="82">
        <f t="shared" si="3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7.8</v>
      </c>
      <c r="AI87" s="47">
        <f t="shared" si="27"/>
        <v>4.8</v>
      </c>
      <c r="AK87" s="49"/>
      <c r="AZ87" s="82">
        <f t="shared" si="37"/>
        <v>0</v>
      </c>
      <c r="BA87" s="82">
        <f t="shared" si="37"/>
        <v>0</v>
      </c>
      <c r="BB87" s="82">
        <f t="shared" si="37"/>
        <v>0</v>
      </c>
      <c r="BC87" s="82">
        <f t="shared" si="37"/>
        <v>0</v>
      </c>
      <c r="BD87" s="82">
        <f t="shared" si="37"/>
        <v>27.3</v>
      </c>
      <c r="BE87" s="82">
        <f t="shared" si="37"/>
        <v>23.7</v>
      </c>
      <c r="BF87" s="82">
        <f t="shared" si="37"/>
        <v>24.5</v>
      </c>
      <c r="BG87" s="82">
        <f t="shared" si="37"/>
        <v>20</v>
      </c>
      <c r="BH87" s="82">
        <f t="shared" si="37"/>
        <v>24.3</v>
      </c>
      <c r="BI87" s="82">
        <f t="shared" si="37"/>
        <v>0</v>
      </c>
      <c r="BJ87" s="82">
        <f t="shared" si="37"/>
        <v>0</v>
      </c>
      <c r="BK87" s="82">
        <f t="shared" si="37"/>
        <v>0</v>
      </c>
      <c r="BL87" s="82">
        <f t="shared" si="37"/>
        <v>0</v>
      </c>
      <c r="BM87" s="82">
        <f t="shared" si="37"/>
        <v>0</v>
      </c>
      <c r="BN87" s="82">
        <f t="shared" si="37"/>
        <v>0</v>
      </c>
      <c r="BO87" s="82">
        <f t="shared" si="37"/>
        <v>0</v>
      </c>
      <c r="BP87" s="82">
        <f t="shared" si="37"/>
        <v>0</v>
      </c>
      <c r="BQ87" s="82">
        <f t="shared" si="37"/>
        <v>0</v>
      </c>
      <c r="BR87" s="82">
        <f t="shared" si="37"/>
        <v>0</v>
      </c>
      <c r="BS87" s="82">
        <f t="shared" si="37"/>
        <v>0</v>
      </c>
      <c r="BT87" s="82">
        <f t="shared" si="37"/>
        <v>0</v>
      </c>
      <c r="BU87" s="82">
        <f t="shared" si="37"/>
        <v>0</v>
      </c>
      <c r="BV87" s="82">
        <f t="shared" si="37"/>
        <v>0</v>
      </c>
      <c r="BW87" s="82">
        <f t="shared" si="3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12.8</v>
      </c>
      <c r="AI88" s="47">
        <f t="shared" si="27"/>
        <v>9.1</v>
      </c>
      <c r="AK88" s="49"/>
      <c r="AZ88" s="82">
        <f t="shared" si="37"/>
        <v>0</v>
      </c>
      <c r="BA88" s="82">
        <f t="shared" si="37"/>
        <v>0</v>
      </c>
      <c r="BB88" s="82">
        <f t="shared" si="37"/>
        <v>0</v>
      </c>
      <c r="BC88" s="82">
        <f t="shared" si="37"/>
        <v>0</v>
      </c>
      <c r="BD88" s="82">
        <f t="shared" si="37"/>
        <v>0</v>
      </c>
      <c r="BE88" s="82">
        <f t="shared" si="37"/>
        <v>0</v>
      </c>
      <c r="BF88" s="82">
        <f t="shared" si="37"/>
        <v>0</v>
      </c>
      <c r="BG88" s="82">
        <f t="shared" si="37"/>
        <v>0</v>
      </c>
      <c r="BH88" s="82">
        <f t="shared" si="37"/>
        <v>31.2</v>
      </c>
      <c r="BI88" s="82">
        <f t="shared" si="37"/>
        <v>0</v>
      </c>
      <c r="BJ88" s="82">
        <f t="shared" si="37"/>
        <v>0</v>
      </c>
      <c r="BK88" s="82">
        <f t="shared" si="37"/>
        <v>0</v>
      </c>
      <c r="BL88" s="82">
        <f t="shared" si="37"/>
        <v>0</v>
      </c>
      <c r="BM88" s="82">
        <f t="shared" si="37"/>
        <v>0</v>
      </c>
      <c r="BN88" s="82">
        <f t="shared" si="37"/>
        <v>0</v>
      </c>
      <c r="BO88" s="82">
        <f t="shared" si="37"/>
        <v>0</v>
      </c>
      <c r="BP88" s="82">
        <f t="shared" si="37"/>
        <v>0</v>
      </c>
      <c r="BQ88" s="82">
        <f t="shared" si="37"/>
        <v>0</v>
      </c>
      <c r="BR88" s="82">
        <f t="shared" si="37"/>
        <v>0</v>
      </c>
      <c r="BS88" s="82">
        <f t="shared" si="37"/>
        <v>0</v>
      </c>
      <c r="BT88" s="82">
        <f t="shared" si="37"/>
        <v>0</v>
      </c>
      <c r="BU88" s="82">
        <f t="shared" si="37"/>
        <v>0</v>
      </c>
      <c r="BV88" s="82">
        <f t="shared" si="37"/>
        <v>0</v>
      </c>
      <c r="BW88" s="82">
        <f t="shared" si="3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9.1999999999999993</v>
      </c>
      <c r="AI89" s="47">
        <f t="shared" si="27"/>
        <v>9</v>
      </c>
      <c r="AK89" s="49"/>
      <c r="AZ89" s="82">
        <f t="shared" si="37"/>
        <v>21</v>
      </c>
      <c r="BA89" s="82">
        <f t="shared" si="37"/>
        <v>20.5</v>
      </c>
      <c r="BB89" s="82">
        <f t="shared" si="37"/>
        <v>21</v>
      </c>
      <c r="BC89" s="82">
        <f t="shared" si="37"/>
        <v>21.4</v>
      </c>
      <c r="BD89" s="82">
        <f t="shared" si="37"/>
        <v>0</v>
      </c>
      <c r="BE89" s="82">
        <f t="shared" si="37"/>
        <v>19.7</v>
      </c>
      <c r="BF89" s="82">
        <f t="shared" si="37"/>
        <v>20</v>
      </c>
      <c r="BG89" s="82">
        <f t="shared" si="37"/>
        <v>18</v>
      </c>
      <c r="BH89" s="82">
        <f t="shared" si="37"/>
        <v>17</v>
      </c>
      <c r="BI89" s="82">
        <f t="shared" si="37"/>
        <v>0</v>
      </c>
      <c r="BJ89" s="82">
        <f t="shared" si="37"/>
        <v>0</v>
      </c>
      <c r="BK89" s="82">
        <f t="shared" si="37"/>
        <v>0</v>
      </c>
      <c r="BL89" s="82">
        <f t="shared" si="37"/>
        <v>0</v>
      </c>
      <c r="BM89" s="82">
        <f t="shared" si="37"/>
        <v>0</v>
      </c>
      <c r="BN89" s="82">
        <f t="shared" si="37"/>
        <v>0</v>
      </c>
      <c r="BO89" s="82">
        <f t="shared" si="37"/>
        <v>0</v>
      </c>
      <c r="BP89" s="82">
        <f t="shared" si="37"/>
        <v>0</v>
      </c>
      <c r="BQ89" s="82">
        <f t="shared" si="37"/>
        <v>0</v>
      </c>
      <c r="BR89" s="82">
        <f t="shared" si="37"/>
        <v>0</v>
      </c>
      <c r="BS89" s="82">
        <f t="shared" si="37"/>
        <v>0</v>
      </c>
      <c r="BT89" s="82">
        <f t="shared" si="37"/>
        <v>0</v>
      </c>
      <c r="BU89" s="82">
        <f t="shared" si="37"/>
        <v>0</v>
      </c>
      <c r="BV89" s="82">
        <f t="shared" si="37"/>
        <v>0</v>
      </c>
      <c r="BW89" s="82">
        <f t="shared" si="37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37"/>
        <v>0</v>
      </c>
      <c r="BA90" s="82">
        <f t="shared" si="37"/>
        <v>0</v>
      </c>
      <c r="BB90" s="82">
        <f t="shared" si="37"/>
        <v>0</v>
      </c>
      <c r="BC90" s="82">
        <f t="shared" si="37"/>
        <v>0</v>
      </c>
      <c r="BD90" s="82">
        <f t="shared" si="37"/>
        <v>59.5</v>
      </c>
      <c r="BE90" s="82">
        <f t="shared" si="37"/>
        <v>61</v>
      </c>
      <c r="BF90" s="82">
        <f t="shared" si="37"/>
        <v>61</v>
      </c>
      <c r="BG90" s="82">
        <f t="shared" si="37"/>
        <v>54</v>
      </c>
      <c r="BH90" s="82">
        <f t="shared" si="37"/>
        <v>46</v>
      </c>
      <c r="BI90" s="82">
        <f t="shared" si="37"/>
        <v>0</v>
      </c>
      <c r="BJ90" s="82">
        <f t="shared" si="37"/>
        <v>0</v>
      </c>
      <c r="BK90" s="82">
        <f t="shared" si="37"/>
        <v>0</v>
      </c>
      <c r="BL90" s="82">
        <f t="shared" si="37"/>
        <v>0</v>
      </c>
      <c r="BM90" s="82">
        <f t="shared" si="37"/>
        <v>0</v>
      </c>
      <c r="BN90" s="82">
        <f t="shared" si="37"/>
        <v>0</v>
      </c>
      <c r="BO90" s="82">
        <f t="shared" si="37"/>
        <v>0</v>
      </c>
      <c r="BP90" s="82">
        <f t="shared" si="37"/>
        <v>0</v>
      </c>
      <c r="BQ90" s="82">
        <f t="shared" si="37"/>
        <v>0</v>
      </c>
      <c r="BR90" s="82">
        <f t="shared" si="37"/>
        <v>0</v>
      </c>
      <c r="BS90" s="82">
        <f t="shared" si="37"/>
        <v>0</v>
      </c>
      <c r="BT90" s="82">
        <f t="shared" si="37"/>
        <v>0</v>
      </c>
      <c r="BU90" s="82">
        <f t="shared" si="37"/>
        <v>0</v>
      </c>
      <c r="BV90" s="82">
        <f t="shared" si="37"/>
        <v>0</v>
      </c>
      <c r="BW90" s="82">
        <f t="shared" si="3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7"/>
        <v>0</v>
      </c>
      <c r="BA91" s="82">
        <f t="shared" si="37"/>
        <v>0</v>
      </c>
      <c r="BB91" s="82">
        <f t="shared" si="37"/>
        <v>0</v>
      </c>
      <c r="BC91" s="82">
        <f t="shared" si="37"/>
        <v>0</v>
      </c>
      <c r="BD91" s="82">
        <f t="shared" si="37"/>
        <v>0</v>
      </c>
      <c r="BE91" s="82">
        <f t="shared" si="37"/>
        <v>0</v>
      </c>
      <c r="BF91" s="82">
        <f t="shared" si="37"/>
        <v>0</v>
      </c>
      <c r="BG91" s="82">
        <f t="shared" si="37"/>
        <v>0</v>
      </c>
      <c r="BH91" s="82">
        <f t="shared" si="37"/>
        <v>0</v>
      </c>
      <c r="BI91" s="82">
        <f t="shared" si="37"/>
        <v>0</v>
      </c>
      <c r="BJ91" s="82">
        <f t="shared" si="37"/>
        <v>0</v>
      </c>
      <c r="BK91" s="82">
        <f t="shared" si="37"/>
        <v>0</v>
      </c>
      <c r="BL91" s="82">
        <f t="shared" si="37"/>
        <v>0</v>
      </c>
      <c r="BM91" s="82">
        <f t="shared" si="37"/>
        <v>0</v>
      </c>
      <c r="BN91" s="82">
        <f t="shared" si="37"/>
        <v>0</v>
      </c>
      <c r="BO91" s="82">
        <f t="shared" si="37"/>
        <v>0</v>
      </c>
      <c r="BP91" s="82">
        <f t="shared" si="37"/>
        <v>0</v>
      </c>
      <c r="BQ91" s="82">
        <f t="shared" si="37"/>
        <v>0</v>
      </c>
      <c r="BR91" s="82">
        <f t="shared" si="37"/>
        <v>0</v>
      </c>
      <c r="BS91" s="82">
        <f t="shared" si="37"/>
        <v>0</v>
      </c>
      <c r="BT91" s="82">
        <f t="shared" si="37"/>
        <v>0</v>
      </c>
      <c r="BU91" s="82">
        <f t="shared" si="37"/>
        <v>0</v>
      </c>
      <c r="BV91" s="82">
        <f t="shared" si="37"/>
        <v>0</v>
      </c>
      <c r="BW91" s="82">
        <f t="shared" si="37"/>
        <v>0</v>
      </c>
    </row>
    <row r="92" spans="1:75" ht="15.75" thickBot="1" x14ac:dyDescent="0.3">
      <c r="A92" s="87" t="s">
        <v>117</v>
      </c>
      <c r="B92" s="70">
        <f t="shared" ref="B92:C92" si="38">SUM(B79:B91)</f>
        <v>337.40000000000003</v>
      </c>
      <c r="C92" s="70">
        <f t="shared" si="38"/>
        <v>369.90000000000003</v>
      </c>
      <c r="D92" s="70">
        <f t="shared" ref="D92:E92" si="39">SUM(D79:D91)</f>
        <v>369.2</v>
      </c>
      <c r="E92" s="70">
        <f t="shared" si="39"/>
        <v>369.29999999999995</v>
      </c>
      <c r="F92" s="70">
        <f t="shared" ref="F92" si="40">SUM(F79:F91)</f>
        <v>368.8</v>
      </c>
      <c r="G92" s="70">
        <f t="shared" ref="B92:AG92" si="41">SUM(G79:G91)</f>
        <v>368.8</v>
      </c>
      <c r="H92" s="70">
        <f t="shared" si="41"/>
        <v>361.09999999999997</v>
      </c>
      <c r="I92" s="70">
        <f t="shared" si="41"/>
        <v>361.09999999999997</v>
      </c>
      <c r="J92" s="70">
        <f t="shared" si="41"/>
        <v>361.09999999999997</v>
      </c>
      <c r="K92" s="70">
        <f t="shared" si="41"/>
        <v>361.09999999999997</v>
      </c>
      <c r="L92" s="70">
        <f t="shared" si="41"/>
        <v>361.09999999999997</v>
      </c>
      <c r="M92" s="70">
        <f t="shared" ref="M92:N92" si="42">SUM(M79:M91)</f>
        <v>339.09999999999997</v>
      </c>
      <c r="N92" s="70">
        <f t="shared" si="42"/>
        <v>353.49999999999994</v>
      </c>
      <c r="O92" s="70">
        <f t="shared" si="41"/>
        <v>2</v>
      </c>
      <c r="P92" s="70">
        <f t="shared" si="41"/>
        <v>2</v>
      </c>
      <c r="Q92" s="70">
        <f t="shared" si="41"/>
        <v>2</v>
      </c>
      <c r="R92" s="70">
        <f t="shared" si="41"/>
        <v>2</v>
      </c>
      <c r="S92" s="70">
        <f t="shared" si="41"/>
        <v>2</v>
      </c>
      <c r="T92" s="70">
        <f t="shared" si="41"/>
        <v>2</v>
      </c>
      <c r="U92" s="70">
        <f t="shared" si="41"/>
        <v>2</v>
      </c>
      <c r="V92" s="70">
        <f t="shared" si="41"/>
        <v>2</v>
      </c>
      <c r="W92" s="70">
        <f t="shared" si="41"/>
        <v>2</v>
      </c>
      <c r="X92" s="70">
        <f t="shared" si="41"/>
        <v>2</v>
      </c>
      <c r="Y92" s="70">
        <f t="shared" si="41"/>
        <v>2</v>
      </c>
      <c r="Z92" s="70">
        <f t="shared" si="41"/>
        <v>2</v>
      </c>
      <c r="AA92" s="70">
        <f t="shared" si="41"/>
        <v>2</v>
      </c>
      <c r="AB92" s="70">
        <f t="shared" si="41"/>
        <v>2</v>
      </c>
      <c r="AC92" s="70">
        <f t="shared" si="41"/>
        <v>2</v>
      </c>
      <c r="AD92" s="70">
        <f t="shared" si="41"/>
        <v>2</v>
      </c>
      <c r="AE92" s="70">
        <f t="shared" si="41"/>
        <v>2</v>
      </c>
      <c r="AF92" s="70">
        <f t="shared" si="41"/>
        <v>2</v>
      </c>
      <c r="AG92" s="80">
        <f t="shared" si="41"/>
        <v>489.91</v>
      </c>
      <c r="AH92" s="46">
        <f t="shared" si="26"/>
        <v>369.90000000000003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45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12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8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0</v>
      </c>
      <c r="C96" s="70">
        <f t="shared" si="43"/>
        <v>0</v>
      </c>
      <c r="D96" s="70">
        <f t="shared" ref="D96:E96" si="44">D93+D94+D95</f>
        <v>0</v>
      </c>
      <c r="E96" s="70">
        <f t="shared" si="44"/>
        <v>0</v>
      </c>
      <c r="F96" s="70">
        <f t="shared" ref="F96" si="45">F93+F94+F95</f>
        <v>0</v>
      </c>
      <c r="G96" s="70">
        <f t="shared" ref="B96:AF96" si="46">G93+G94+G95</f>
        <v>0</v>
      </c>
      <c r="H96" s="70">
        <f t="shared" si="46"/>
        <v>0</v>
      </c>
      <c r="I96" s="70">
        <f t="shared" si="46"/>
        <v>0</v>
      </c>
      <c r="J96" s="70">
        <f t="shared" si="46"/>
        <v>0</v>
      </c>
      <c r="K96" s="70">
        <f t="shared" si="46"/>
        <v>0</v>
      </c>
      <c r="L96" s="70">
        <f t="shared" si="46"/>
        <v>65</v>
      </c>
      <c r="M96" s="70">
        <f t="shared" ref="M96:N96" si="47">M93+M94+M95</f>
        <v>65</v>
      </c>
      <c r="N96" s="70">
        <f t="shared" si="47"/>
        <v>50</v>
      </c>
      <c r="O96" s="70">
        <f t="shared" si="46"/>
        <v>0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6"/>
        <v>65</v>
      </c>
      <c r="AI96" s="47">
        <f t="shared" si="27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10</v>
      </c>
      <c r="AI97" s="47">
        <f t="shared" si="27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27.3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31.2</v>
      </c>
      <c r="AI99" s="47">
        <f t="shared" si="27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22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63.4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66</v>
      </c>
      <c r="AI102" s="47">
        <f t="shared" si="27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8">SUMIF(B97:B107,"&gt;0")</f>
        <v>72</v>
      </c>
      <c r="C108" s="70">
        <f t="shared" si="48"/>
        <v>76.800000000000011</v>
      </c>
      <c r="D108" s="70">
        <f t="shared" ref="D108:E108" si="49">SUMIF(D97:D107,"&gt;0")</f>
        <v>74.7</v>
      </c>
      <c r="E108" s="70">
        <f t="shared" si="49"/>
        <v>83.4</v>
      </c>
      <c r="F108" s="70">
        <f t="shared" ref="F108" si="50">SUMIF(F97:F107,"&gt;0")</f>
        <v>80.8</v>
      </c>
      <c r="G108" s="70">
        <f t="shared" ref="B108:AF108" si="51">SUMIF(G97:G107,"&gt;0")</f>
        <v>138.30000000000001</v>
      </c>
      <c r="H108" s="70">
        <f t="shared" si="51"/>
        <v>171</v>
      </c>
      <c r="I108" s="70">
        <f t="shared" si="51"/>
        <v>164.2</v>
      </c>
      <c r="J108" s="70">
        <f t="shared" si="51"/>
        <v>152.5</v>
      </c>
      <c r="K108" s="70">
        <f t="shared" si="51"/>
        <v>152.5</v>
      </c>
      <c r="L108" s="70">
        <f t="shared" si="51"/>
        <v>169</v>
      </c>
      <c r="M108" s="70">
        <f t="shared" ref="M108:N108" si="52">SUMIF(M97:M107,"&gt;0")</f>
        <v>151</v>
      </c>
      <c r="N108" s="70">
        <f t="shared" si="52"/>
        <v>173.5</v>
      </c>
      <c r="O108" s="70">
        <f t="shared" si="51"/>
        <v>0</v>
      </c>
      <c r="P108" s="70">
        <f t="shared" si="51"/>
        <v>0</v>
      </c>
      <c r="Q108" s="70">
        <f t="shared" si="51"/>
        <v>0</v>
      </c>
      <c r="R108" s="70">
        <f t="shared" si="51"/>
        <v>0</v>
      </c>
      <c r="S108" s="70">
        <f t="shared" si="51"/>
        <v>0</v>
      </c>
      <c r="T108" s="70">
        <f t="shared" si="51"/>
        <v>0</v>
      </c>
      <c r="U108" s="70">
        <f t="shared" si="51"/>
        <v>0</v>
      </c>
      <c r="V108" s="70">
        <f t="shared" si="51"/>
        <v>0</v>
      </c>
      <c r="W108" s="70">
        <f t="shared" si="51"/>
        <v>0</v>
      </c>
      <c r="X108" s="70">
        <f t="shared" si="51"/>
        <v>0</v>
      </c>
      <c r="Y108" s="70">
        <f t="shared" si="51"/>
        <v>0</v>
      </c>
      <c r="Z108" s="70">
        <f t="shared" si="51"/>
        <v>0</v>
      </c>
      <c r="AA108" s="70">
        <f t="shared" si="51"/>
        <v>0</v>
      </c>
      <c r="AB108" s="70">
        <f t="shared" si="51"/>
        <v>0</v>
      </c>
      <c r="AC108" s="70">
        <f t="shared" si="51"/>
        <v>0</v>
      </c>
      <c r="AD108" s="70">
        <f t="shared" si="51"/>
        <v>0</v>
      </c>
      <c r="AE108" s="70">
        <f t="shared" si="51"/>
        <v>0</v>
      </c>
      <c r="AF108" s="70">
        <f t="shared" si="51"/>
        <v>0</v>
      </c>
      <c r="AG108" s="104">
        <f>SUM(AG97:AG107)</f>
        <v>0</v>
      </c>
      <c r="AH108" s="46">
        <f t="shared" si="26"/>
        <v>173.5</v>
      </c>
      <c r="AI108" s="47">
        <f t="shared" si="27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3">B71+B78+B96+B92+B108+B112</f>
        <v>2235.7999999999997</v>
      </c>
      <c r="C113" s="108">
        <f t="shared" si="53"/>
        <v>2273.5</v>
      </c>
      <c r="D113" s="108">
        <f t="shared" ref="D113:E113" si="54">D71+D78+D96+D92+D108+D112</f>
        <v>2234.4999999999995</v>
      </c>
      <c r="E113" s="108">
        <f t="shared" si="54"/>
        <v>2221.9</v>
      </c>
      <c r="F113" s="108">
        <f t="shared" ref="F113" si="55">F71+F78+F96+F92+F108+F112</f>
        <v>2206.4</v>
      </c>
      <c r="G113" s="108">
        <f t="shared" ref="B113:AG113" si="56">G71+G78+G96+G92+G108+G112</f>
        <v>2214.1000000000004</v>
      </c>
      <c r="H113" s="108">
        <f t="shared" si="56"/>
        <v>2221.1</v>
      </c>
      <c r="I113" s="108">
        <f t="shared" si="56"/>
        <v>2214.2999999999997</v>
      </c>
      <c r="J113" s="108">
        <f t="shared" si="56"/>
        <v>2202.6</v>
      </c>
      <c r="K113" s="108">
        <f t="shared" si="56"/>
        <v>2202.6</v>
      </c>
      <c r="L113" s="108">
        <f t="shared" si="56"/>
        <v>2122.1</v>
      </c>
      <c r="M113" s="108">
        <f t="shared" ref="M113:N113" si="57">M71+M78+M96+M92+M108+M112</f>
        <v>2286.1</v>
      </c>
      <c r="N113" s="108">
        <f t="shared" si="57"/>
        <v>2127.6000000000004</v>
      </c>
      <c r="O113" s="108">
        <f t="shared" si="56"/>
        <v>152</v>
      </c>
      <c r="P113" s="108">
        <f t="shared" si="56"/>
        <v>152</v>
      </c>
      <c r="Q113" s="108">
        <f t="shared" si="56"/>
        <v>152</v>
      </c>
      <c r="R113" s="108">
        <f t="shared" si="56"/>
        <v>152</v>
      </c>
      <c r="S113" s="108">
        <f t="shared" si="56"/>
        <v>152</v>
      </c>
      <c r="T113" s="108">
        <f t="shared" si="56"/>
        <v>152</v>
      </c>
      <c r="U113" s="108">
        <f t="shared" si="56"/>
        <v>152</v>
      </c>
      <c r="V113" s="108">
        <f t="shared" si="56"/>
        <v>152</v>
      </c>
      <c r="W113" s="108">
        <f t="shared" si="56"/>
        <v>152</v>
      </c>
      <c r="X113" s="108">
        <f t="shared" si="56"/>
        <v>152</v>
      </c>
      <c r="Y113" s="108">
        <f t="shared" si="56"/>
        <v>152</v>
      </c>
      <c r="Z113" s="108">
        <f t="shared" si="56"/>
        <v>152</v>
      </c>
      <c r="AA113" s="108">
        <f t="shared" si="56"/>
        <v>152</v>
      </c>
      <c r="AB113" s="108">
        <f t="shared" si="56"/>
        <v>152</v>
      </c>
      <c r="AC113" s="108">
        <f t="shared" si="56"/>
        <v>152</v>
      </c>
      <c r="AD113" s="108">
        <f t="shared" si="56"/>
        <v>152</v>
      </c>
      <c r="AE113" s="108">
        <f t="shared" si="56"/>
        <v>152</v>
      </c>
      <c r="AF113" s="108">
        <f t="shared" si="56"/>
        <v>152</v>
      </c>
      <c r="AG113" s="80">
        <f t="shared" si="56"/>
        <v>3169.915</v>
      </c>
      <c r="AH113" s="46">
        <f t="shared" si="26"/>
        <v>2286.1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8">B113+B114</f>
        <v>2235.7999999999997</v>
      </c>
      <c r="C115" s="108">
        <f t="shared" si="58"/>
        <v>2273.5</v>
      </c>
      <c r="D115" s="108">
        <f t="shared" ref="D115:E115" si="59">D113+D114</f>
        <v>2234.4999999999995</v>
      </c>
      <c r="E115" s="108">
        <f t="shared" si="59"/>
        <v>2221.9</v>
      </c>
      <c r="F115" s="108">
        <f t="shared" ref="F115" si="60">F113+F114</f>
        <v>2206.4</v>
      </c>
      <c r="G115" s="108">
        <f t="shared" ref="C115:AF115" si="61">G113+G114</f>
        <v>2214.1000000000004</v>
      </c>
      <c r="H115" s="108">
        <f t="shared" si="61"/>
        <v>2221.1</v>
      </c>
      <c r="I115" s="108">
        <f t="shared" si="61"/>
        <v>2214.2999999999997</v>
      </c>
      <c r="J115" s="108">
        <f t="shared" si="61"/>
        <v>2202.6</v>
      </c>
      <c r="K115" s="108">
        <f t="shared" si="61"/>
        <v>2202.6</v>
      </c>
      <c r="L115" s="108">
        <f t="shared" si="61"/>
        <v>2122.1</v>
      </c>
      <c r="M115" s="108">
        <f t="shared" ref="M115:N115" si="62">M113+M114</f>
        <v>2286.1</v>
      </c>
      <c r="N115" s="108">
        <f t="shared" si="62"/>
        <v>2127.6000000000004</v>
      </c>
      <c r="O115" s="108">
        <f t="shared" si="61"/>
        <v>152</v>
      </c>
      <c r="P115" s="108">
        <f t="shared" si="61"/>
        <v>152</v>
      </c>
      <c r="Q115" s="108">
        <f t="shared" si="61"/>
        <v>152</v>
      </c>
      <c r="R115" s="108">
        <f t="shared" si="61"/>
        <v>152</v>
      </c>
      <c r="S115" s="108">
        <f t="shared" si="61"/>
        <v>152</v>
      </c>
      <c r="T115" s="108">
        <f t="shared" si="61"/>
        <v>152</v>
      </c>
      <c r="U115" s="108">
        <f t="shared" si="61"/>
        <v>152</v>
      </c>
      <c r="V115" s="108">
        <f t="shared" si="61"/>
        <v>152</v>
      </c>
      <c r="W115" s="108">
        <f t="shared" si="61"/>
        <v>152</v>
      </c>
      <c r="X115" s="108">
        <f t="shared" si="61"/>
        <v>152</v>
      </c>
      <c r="Y115" s="108">
        <f t="shared" si="61"/>
        <v>152</v>
      </c>
      <c r="Z115" s="108">
        <f t="shared" si="61"/>
        <v>152</v>
      </c>
      <c r="AA115" s="108">
        <f t="shared" si="61"/>
        <v>152</v>
      </c>
      <c r="AB115" s="108">
        <f t="shared" si="61"/>
        <v>152</v>
      </c>
      <c r="AC115" s="108">
        <f t="shared" si="61"/>
        <v>152</v>
      </c>
      <c r="AD115" s="108">
        <f t="shared" si="61"/>
        <v>152</v>
      </c>
      <c r="AE115" s="108">
        <f t="shared" si="61"/>
        <v>152</v>
      </c>
      <c r="AF115" s="108">
        <f t="shared" si="61"/>
        <v>152</v>
      </c>
      <c r="AG115" s="104">
        <f>AG112+AG108+AG96+AG92+AG71+AG114</f>
        <v>2463.5149999999999</v>
      </c>
      <c r="AH115" s="46">
        <f t="shared" si="26"/>
        <v>2286.1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3">B115-(B123)</f>
        <v>1775.7999999999997</v>
      </c>
      <c r="C116" s="108">
        <f t="shared" si="63"/>
        <v>1790.2</v>
      </c>
      <c r="D116" s="108">
        <f t="shared" ref="D116:E116" si="64">D115-(D123)</f>
        <v>1744.0999999999995</v>
      </c>
      <c r="E116" s="108">
        <f t="shared" si="64"/>
        <v>1731.1000000000001</v>
      </c>
      <c r="F116" s="108">
        <f t="shared" ref="F116" si="65">F115-(F123)</f>
        <v>1711.1000000000001</v>
      </c>
      <c r="G116" s="108">
        <f t="shared" ref="C116:AF116" si="66">G115-(G123)</f>
        <v>1687.3000000000004</v>
      </c>
      <c r="H116" s="108">
        <f t="shared" si="66"/>
        <v>1711.1</v>
      </c>
      <c r="I116" s="108">
        <f t="shared" si="66"/>
        <v>1748.4999999999998</v>
      </c>
      <c r="J116" s="108">
        <f t="shared" si="66"/>
        <v>1802.6</v>
      </c>
      <c r="K116" s="108">
        <f t="shared" si="66"/>
        <v>1902.6</v>
      </c>
      <c r="L116" s="108">
        <f t="shared" si="66"/>
        <v>2122.1</v>
      </c>
      <c r="M116" s="108">
        <f t="shared" ref="M116:N116" si="67">M115-(M123)</f>
        <v>1938.1</v>
      </c>
      <c r="N116" s="108">
        <f t="shared" si="67"/>
        <v>1780.6000000000004</v>
      </c>
      <c r="O116" s="108">
        <f t="shared" si="66"/>
        <v>152</v>
      </c>
      <c r="P116" s="108">
        <f t="shared" si="66"/>
        <v>152</v>
      </c>
      <c r="Q116" s="108">
        <f t="shared" si="66"/>
        <v>152</v>
      </c>
      <c r="R116" s="108">
        <f t="shared" si="66"/>
        <v>152</v>
      </c>
      <c r="S116" s="108">
        <f t="shared" si="66"/>
        <v>152</v>
      </c>
      <c r="T116" s="108">
        <f t="shared" si="66"/>
        <v>152</v>
      </c>
      <c r="U116" s="108">
        <f t="shared" si="66"/>
        <v>152</v>
      </c>
      <c r="V116" s="108">
        <f t="shared" si="66"/>
        <v>152</v>
      </c>
      <c r="W116" s="108">
        <f t="shared" si="66"/>
        <v>152</v>
      </c>
      <c r="X116" s="108">
        <f t="shared" si="66"/>
        <v>152</v>
      </c>
      <c r="Y116" s="108">
        <f t="shared" si="66"/>
        <v>152</v>
      </c>
      <c r="Z116" s="108">
        <f t="shared" si="66"/>
        <v>152</v>
      </c>
      <c r="AA116" s="108">
        <f t="shared" si="66"/>
        <v>152</v>
      </c>
      <c r="AB116" s="108">
        <f t="shared" si="66"/>
        <v>152</v>
      </c>
      <c r="AC116" s="108">
        <f t="shared" si="66"/>
        <v>152</v>
      </c>
      <c r="AD116" s="108">
        <f t="shared" si="66"/>
        <v>152</v>
      </c>
      <c r="AE116" s="108">
        <f t="shared" si="66"/>
        <v>152</v>
      </c>
      <c r="AF116" s="108">
        <f t="shared" si="66"/>
        <v>152</v>
      </c>
      <c r="AG116" s="104"/>
      <c r="AH116" s="46">
        <f t="shared" si="26"/>
        <v>2122.1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8">IF(B97&lt;0,B97*-1,0)</f>
        <v>460</v>
      </c>
      <c r="C117" s="93">
        <f t="shared" si="68"/>
        <v>483.3</v>
      </c>
      <c r="D117" s="93">
        <f t="shared" ref="D117:E117" si="69">IF(D97&lt;0,D97*-1,0)</f>
        <v>490.4</v>
      </c>
      <c r="E117" s="93">
        <f t="shared" si="69"/>
        <v>490.8</v>
      </c>
      <c r="F117" s="93">
        <f t="shared" ref="F117" si="70">IF(F97&lt;0,F97*-1,0)</f>
        <v>495.3</v>
      </c>
      <c r="G117" s="93">
        <f t="shared" ref="B117:AF122" si="71">IF(G97&lt;0,G97*-1,0)</f>
        <v>526.79999999999995</v>
      </c>
      <c r="H117" s="93">
        <f t="shared" si="71"/>
        <v>510</v>
      </c>
      <c r="I117" s="93">
        <f t="shared" si="71"/>
        <v>465.8</v>
      </c>
      <c r="J117" s="93">
        <f t="shared" si="71"/>
        <v>400</v>
      </c>
      <c r="K117" s="93">
        <f t="shared" si="71"/>
        <v>300</v>
      </c>
      <c r="L117" s="93">
        <f t="shared" si="71"/>
        <v>0</v>
      </c>
      <c r="M117" s="93">
        <f t="shared" ref="M117:N117" si="72">IF(M97&lt;0,M97*-1,0)</f>
        <v>348</v>
      </c>
      <c r="N117" s="93">
        <f t="shared" si="72"/>
        <v>347</v>
      </c>
      <c r="O117" s="93">
        <f t="shared" si="71"/>
        <v>0</v>
      </c>
      <c r="P117" s="93">
        <f t="shared" si="71"/>
        <v>0</v>
      </c>
      <c r="Q117" s="93">
        <f t="shared" si="71"/>
        <v>0</v>
      </c>
      <c r="R117" s="93">
        <f t="shared" si="71"/>
        <v>0</v>
      </c>
      <c r="S117" s="93">
        <f t="shared" si="71"/>
        <v>0</v>
      </c>
      <c r="T117" s="93">
        <f t="shared" si="71"/>
        <v>0</v>
      </c>
      <c r="U117" s="93">
        <f t="shared" si="71"/>
        <v>0</v>
      </c>
      <c r="V117" s="93">
        <f t="shared" si="71"/>
        <v>0</v>
      </c>
      <c r="W117" s="93">
        <f t="shared" si="71"/>
        <v>0</v>
      </c>
      <c r="X117" s="93">
        <f t="shared" si="71"/>
        <v>0</v>
      </c>
      <c r="Y117" s="93">
        <f t="shared" si="71"/>
        <v>0</v>
      </c>
      <c r="Z117" s="93">
        <f t="shared" si="71"/>
        <v>0</v>
      </c>
      <c r="AA117" s="93">
        <f t="shared" si="71"/>
        <v>0</v>
      </c>
      <c r="AB117" s="93">
        <f t="shared" si="71"/>
        <v>0</v>
      </c>
      <c r="AC117" s="93">
        <f t="shared" si="71"/>
        <v>0</v>
      </c>
      <c r="AD117" s="93">
        <f t="shared" si="71"/>
        <v>0</v>
      </c>
      <c r="AE117" s="93">
        <f t="shared" si="71"/>
        <v>0</v>
      </c>
      <c r="AF117" s="93">
        <f t="shared" si="71"/>
        <v>0</v>
      </c>
      <c r="AG117" s="61"/>
      <c r="AH117" s="46">
        <f t="shared" si="26"/>
        <v>526.79999999999995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8"/>
        <v>0</v>
      </c>
      <c r="C118" s="93">
        <f t="shared" si="68"/>
        <v>0</v>
      </c>
      <c r="D118" s="93">
        <f t="shared" ref="D118:E118" si="73">IF(D98&lt;0,D98*-1,0)</f>
        <v>0</v>
      </c>
      <c r="E118" s="93">
        <f t="shared" si="73"/>
        <v>0</v>
      </c>
      <c r="F118" s="93">
        <f t="shared" ref="F118" si="74">IF(F98&lt;0,F98*-1,0)</f>
        <v>0</v>
      </c>
      <c r="G118" s="93">
        <f t="shared" si="71"/>
        <v>0</v>
      </c>
      <c r="H118" s="93">
        <f t="shared" si="71"/>
        <v>0</v>
      </c>
      <c r="I118" s="93">
        <f t="shared" si="71"/>
        <v>0</v>
      </c>
      <c r="J118" s="93">
        <f t="shared" si="71"/>
        <v>0</v>
      </c>
      <c r="K118" s="93">
        <f t="shared" si="71"/>
        <v>0</v>
      </c>
      <c r="L118" s="93">
        <f t="shared" si="71"/>
        <v>0</v>
      </c>
      <c r="M118" s="93">
        <f t="shared" ref="M118:N118" si="75">IF(M98&lt;0,M98*-1,0)</f>
        <v>0</v>
      </c>
      <c r="N118" s="93">
        <f t="shared" si="75"/>
        <v>0</v>
      </c>
      <c r="O118" s="93">
        <f t="shared" si="71"/>
        <v>0</v>
      </c>
      <c r="P118" s="93">
        <f t="shared" si="71"/>
        <v>0</v>
      </c>
      <c r="Q118" s="93">
        <f t="shared" si="71"/>
        <v>0</v>
      </c>
      <c r="R118" s="93">
        <f t="shared" si="71"/>
        <v>0</v>
      </c>
      <c r="S118" s="93">
        <f t="shared" si="71"/>
        <v>0</v>
      </c>
      <c r="T118" s="93">
        <f t="shared" si="71"/>
        <v>0</v>
      </c>
      <c r="U118" s="93">
        <f t="shared" si="71"/>
        <v>0</v>
      </c>
      <c r="V118" s="93">
        <f t="shared" si="71"/>
        <v>0</v>
      </c>
      <c r="W118" s="93">
        <f t="shared" si="71"/>
        <v>0</v>
      </c>
      <c r="X118" s="93">
        <f t="shared" si="71"/>
        <v>0</v>
      </c>
      <c r="Y118" s="93">
        <f t="shared" si="71"/>
        <v>0</v>
      </c>
      <c r="Z118" s="93">
        <f t="shared" si="71"/>
        <v>0</v>
      </c>
      <c r="AA118" s="93">
        <f t="shared" si="71"/>
        <v>0</v>
      </c>
      <c r="AB118" s="93">
        <f t="shared" si="71"/>
        <v>0</v>
      </c>
      <c r="AC118" s="93">
        <f t="shared" si="71"/>
        <v>0</v>
      </c>
      <c r="AD118" s="93">
        <f t="shared" si="71"/>
        <v>0</v>
      </c>
      <c r="AE118" s="93">
        <f t="shared" si="71"/>
        <v>0</v>
      </c>
      <c r="AF118" s="93">
        <f t="shared" si="71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8"/>
        <v>0</v>
      </c>
      <c r="C119" s="93">
        <f t="shared" si="68"/>
        <v>0</v>
      </c>
      <c r="D119" s="93">
        <f t="shared" ref="D119:E119" si="76">IF(D99&lt;0,D99*-1,0)</f>
        <v>0</v>
      </c>
      <c r="E119" s="93">
        <f t="shared" si="76"/>
        <v>0</v>
      </c>
      <c r="F119" s="93">
        <f t="shared" ref="F119" si="77">IF(F99&lt;0,F99*-1,0)</f>
        <v>0</v>
      </c>
      <c r="G119" s="93">
        <f t="shared" si="71"/>
        <v>0</v>
      </c>
      <c r="H119" s="93">
        <f t="shared" si="71"/>
        <v>0</v>
      </c>
      <c r="I119" s="93">
        <f t="shared" si="71"/>
        <v>0</v>
      </c>
      <c r="J119" s="93">
        <f t="shared" si="71"/>
        <v>0</v>
      </c>
      <c r="K119" s="93">
        <f t="shared" si="71"/>
        <v>0</v>
      </c>
      <c r="L119" s="93">
        <f t="shared" si="71"/>
        <v>0</v>
      </c>
      <c r="M119" s="93">
        <f t="shared" ref="M119:N119" si="78">IF(M99&lt;0,M99*-1,0)</f>
        <v>0</v>
      </c>
      <c r="N119" s="93">
        <f t="shared" si="78"/>
        <v>0</v>
      </c>
      <c r="O119" s="93">
        <f t="shared" si="71"/>
        <v>0</v>
      </c>
      <c r="P119" s="93">
        <f t="shared" si="71"/>
        <v>0</v>
      </c>
      <c r="Q119" s="93">
        <f t="shared" si="71"/>
        <v>0</v>
      </c>
      <c r="R119" s="93">
        <f t="shared" si="71"/>
        <v>0</v>
      </c>
      <c r="S119" s="93">
        <f t="shared" si="71"/>
        <v>0</v>
      </c>
      <c r="T119" s="93">
        <f t="shared" si="71"/>
        <v>0</v>
      </c>
      <c r="U119" s="93">
        <f t="shared" si="71"/>
        <v>0</v>
      </c>
      <c r="V119" s="93">
        <f t="shared" si="71"/>
        <v>0</v>
      </c>
      <c r="W119" s="93">
        <f t="shared" si="71"/>
        <v>0</v>
      </c>
      <c r="X119" s="93">
        <f t="shared" si="71"/>
        <v>0</v>
      </c>
      <c r="Y119" s="93">
        <f t="shared" si="71"/>
        <v>0</v>
      </c>
      <c r="Z119" s="93">
        <f t="shared" si="71"/>
        <v>0</v>
      </c>
      <c r="AA119" s="93">
        <f t="shared" si="71"/>
        <v>0</v>
      </c>
      <c r="AB119" s="93">
        <f t="shared" si="71"/>
        <v>0</v>
      </c>
      <c r="AC119" s="93">
        <f t="shared" si="71"/>
        <v>0</v>
      </c>
      <c r="AD119" s="93">
        <f t="shared" si="71"/>
        <v>0</v>
      </c>
      <c r="AE119" s="93">
        <f t="shared" si="71"/>
        <v>0</v>
      </c>
      <c r="AF119" s="93">
        <f t="shared" si="71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68"/>
        <v>0</v>
      </c>
      <c r="C120" s="93">
        <f t="shared" si="68"/>
        <v>0</v>
      </c>
      <c r="D120" s="93">
        <f t="shared" ref="D120:E120" si="79">IF(D100&lt;0,D100*-1,0)</f>
        <v>0</v>
      </c>
      <c r="E120" s="93">
        <f t="shared" si="79"/>
        <v>0</v>
      </c>
      <c r="F120" s="93">
        <f t="shared" ref="F120" si="80">IF(F100&lt;0,F100*-1,0)</f>
        <v>0</v>
      </c>
      <c r="G120" s="93">
        <f t="shared" si="71"/>
        <v>0</v>
      </c>
      <c r="H120" s="93">
        <f t="shared" si="71"/>
        <v>0</v>
      </c>
      <c r="I120" s="93">
        <f t="shared" si="71"/>
        <v>0</v>
      </c>
      <c r="J120" s="93">
        <f t="shared" si="71"/>
        <v>0</v>
      </c>
      <c r="K120" s="93">
        <f t="shared" si="71"/>
        <v>0</v>
      </c>
      <c r="L120" s="93">
        <f t="shared" si="71"/>
        <v>0</v>
      </c>
      <c r="M120" s="93">
        <f t="shared" ref="M120:N120" si="81">IF(M100&lt;0,M100*-1,0)</f>
        <v>0</v>
      </c>
      <c r="N120" s="93">
        <f t="shared" si="81"/>
        <v>0</v>
      </c>
      <c r="O120" s="93">
        <f t="shared" si="71"/>
        <v>0</v>
      </c>
      <c r="P120" s="93">
        <f t="shared" si="71"/>
        <v>0</v>
      </c>
      <c r="Q120" s="93">
        <f t="shared" si="71"/>
        <v>0</v>
      </c>
      <c r="R120" s="93">
        <f t="shared" si="71"/>
        <v>0</v>
      </c>
      <c r="S120" s="93">
        <f t="shared" si="71"/>
        <v>0</v>
      </c>
      <c r="T120" s="93">
        <f t="shared" si="71"/>
        <v>0</v>
      </c>
      <c r="U120" s="93">
        <f t="shared" si="71"/>
        <v>0</v>
      </c>
      <c r="V120" s="93">
        <f t="shared" si="71"/>
        <v>0</v>
      </c>
      <c r="W120" s="93">
        <f t="shared" si="71"/>
        <v>0</v>
      </c>
      <c r="X120" s="93">
        <f t="shared" si="71"/>
        <v>0</v>
      </c>
      <c r="Y120" s="93">
        <f t="shared" si="71"/>
        <v>0</v>
      </c>
      <c r="Z120" s="93">
        <f t="shared" si="71"/>
        <v>0</v>
      </c>
      <c r="AA120" s="93">
        <f t="shared" si="71"/>
        <v>0</v>
      </c>
      <c r="AB120" s="93">
        <f t="shared" si="71"/>
        <v>0</v>
      </c>
      <c r="AC120" s="93">
        <f t="shared" si="71"/>
        <v>0</v>
      </c>
      <c r="AD120" s="93">
        <f t="shared" si="71"/>
        <v>0</v>
      </c>
      <c r="AE120" s="93">
        <f t="shared" si="71"/>
        <v>0</v>
      </c>
      <c r="AF120" s="93">
        <f t="shared" si="71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68"/>
        <v>0</v>
      </c>
      <c r="C121" s="93">
        <f t="shared" si="68"/>
        <v>0</v>
      </c>
      <c r="D121" s="93">
        <f t="shared" ref="D121:E121" si="82">IF(D101&lt;0,D101*-1,0)</f>
        <v>0</v>
      </c>
      <c r="E121" s="93">
        <f t="shared" si="82"/>
        <v>0</v>
      </c>
      <c r="F121" s="93">
        <f t="shared" ref="F121" si="83">IF(F101&lt;0,F101*-1,0)</f>
        <v>0</v>
      </c>
      <c r="G121" s="93">
        <f t="shared" si="71"/>
        <v>0</v>
      </c>
      <c r="H121" s="93">
        <f t="shared" si="71"/>
        <v>0</v>
      </c>
      <c r="I121" s="93">
        <f t="shared" si="71"/>
        <v>0</v>
      </c>
      <c r="J121" s="93">
        <f t="shared" si="71"/>
        <v>0</v>
      </c>
      <c r="K121" s="93">
        <f t="shared" si="71"/>
        <v>0</v>
      </c>
      <c r="L121" s="93">
        <f t="shared" si="71"/>
        <v>0</v>
      </c>
      <c r="M121" s="93">
        <f t="shared" ref="M121:N121" si="84">IF(M101&lt;0,M101*-1,0)</f>
        <v>0</v>
      </c>
      <c r="N121" s="93">
        <f t="shared" si="84"/>
        <v>0</v>
      </c>
      <c r="O121" s="93">
        <f t="shared" si="71"/>
        <v>0</v>
      </c>
      <c r="P121" s="93">
        <f t="shared" si="71"/>
        <v>0</v>
      </c>
      <c r="Q121" s="93">
        <f t="shared" si="71"/>
        <v>0</v>
      </c>
      <c r="R121" s="93">
        <f t="shared" si="71"/>
        <v>0</v>
      </c>
      <c r="S121" s="93">
        <f t="shared" si="71"/>
        <v>0</v>
      </c>
      <c r="T121" s="93">
        <f t="shared" si="71"/>
        <v>0</v>
      </c>
      <c r="U121" s="93">
        <f t="shared" si="71"/>
        <v>0</v>
      </c>
      <c r="V121" s="93">
        <f t="shared" si="71"/>
        <v>0</v>
      </c>
      <c r="W121" s="93">
        <f t="shared" si="71"/>
        <v>0</v>
      </c>
      <c r="X121" s="93">
        <f t="shared" si="71"/>
        <v>0</v>
      </c>
      <c r="Y121" s="93">
        <f t="shared" si="71"/>
        <v>0</v>
      </c>
      <c r="Z121" s="93">
        <f t="shared" si="71"/>
        <v>0</v>
      </c>
      <c r="AA121" s="93">
        <f t="shared" si="71"/>
        <v>0</v>
      </c>
      <c r="AB121" s="93">
        <f t="shared" si="71"/>
        <v>0</v>
      </c>
      <c r="AC121" s="93">
        <f t="shared" si="71"/>
        <v>0</v>
      </c>
      <c r="AD121" s="93">
        <f t="shared" si="71"/>
        <v>0</v>
      </c>
      <c r="AE121" s="93">
        <f t="shared" si="71"/>
        <v>0</v>
      </c>
      <c r="AF121" s="93">
        <f t="shared" si="71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68"/>
        <v>0</v>
      </c>
      <c r="C122" s="93">
        <f t="shared" si="68"/>
        <v>0</v>
      </c>
      <c r="D122" s="93">
        <f t="shared" ref="D122:E122" si="85">IF(D102&lt;0,D102*-1,0)</f>
        <v>0</v>
      </c>
      <c r="E122" s="93">
        <f t="shared" si="85"/>
        <v>0</v>
      </c>
      <c r="F122" s="93">
        <f t="shared" ref="F122" si="86">IF(F102&lt;0,F102*-1,0)</f>
        <v>0</v>
      </c>
      <c r="G122" s="93">
        <f t="shared" si="71"/>
        <v>0</v>
      </c>
      <c r="H122" s="93">
        <f t="shared" si="71"/>
        <v>0</v>
      </c>
      <c r="I122" s="93">
        <f t="shared" si="71"/>
        <v>0</v>
      </c>
      <c r="J122" s="93">
        <f t="shared" si="71"/>
        <v>0</v>
      </c>
      <c r="K122" s="93">
        <f t="shared" si="71"/>
        <v>0</v>
      </c>
      <c r="L122" s="93">
        <f t="shared" si="71"/>
        <v>0</v>
      </c>
      <c r="M122" s="93">
        <f t="shared" ref="M122:N122" si="87">IF(M102&lt;0,M102*-1,0)</f>
        <v>0</v>
      </c>
      <c r="N122" s="93">
        <f t="shared" si="87"/>
        <v>0</v>
      </c>
      <c r="O122" s="93">
        <f t="shared" si="71"/>
        <v>0</v>
      </c>
      <c r="P122" s="93">
        <f t="shared" si="71"/>
        <v>0</v>
      </c>
      <c r="Q122" s="93">
        <f t="shared" si="71"/>
        <v>0</v>
      </c>
      <c r="R122" s="93">
        <f t="shared" si="71"/>
        <v>0</v>
      </c>
      <c r="S122" s="93">
        <f t="shared" si="71"/>
        <v>0</v>
      </c>
      <c r="T122" s="93">
        <f t="shared" si="71"/>
        <v>0</v>
      </c>
      <c r="U122" s="93">
        <f t="shared" si="71"/>
        <v>0</v>
      </c>
      <c r="V122" s="93">
        <f t="shared" si="71"/>
        <v>0</v>
      </c>
      <c r="W122" s="93">
        <f t="shared" si="71"/>
        <v>0</v>
      </c>
      <c r="X122" s="93">
        <f t="shared" si="71"/>
        <v>0</v>
      </c>
      <c r="Y122" s="93">
        <f t="shared" si="71"/>
        <v>0</v>
      </c>
      <c r="Z122" s="93">
        <f t="shared" si="71"/>
        <v>0</v>
      </c>
      <c r="AA122" s="93">
        <f t="shared" si="71"/>
        <v>0</v>
      </c>
      <c r="AB122" s="93">
        <f t="shared" si="71"/>
        <v>0</v>
      </c>
      <c r="AC122" s="93">
        <f t="shared" si="71"/>
        <v>0</v>
      </c>
      <c r="AD122" s="93">
        <f t="shared" si="71"/>
        <v>0</v>
      </c>
      <c r="AE122" s="93">
        <f t="shared" si="71"/>
        <v>0</v>
      </c>
      <c r="AF122" s="93">
        <f t="shared" si="71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:C123" si="88">SUM(B117:B122)</f>
        <v>460</v>
      </c>
      <c r="C123" s="70">
        <f t="shared" si="88"/>
        <v>483.3</v>
      </c>
      <c r="D123" s="70">
        <f t="shared" ref="D123:E123" si="89">SUM(D117:D122)</f>
        <v>490.4</v>
      </c>
      <c r="E123" s="70">
        <f t="shared" si="89"/>
        <v>490.8</v>
      </c>
      <c r="F123" s="70">
        <f t="shared" ref="F123" si="90">SUM(F117:F122)</f>
        <v>495.3</v>
      </c>
      <c r="G123" s="70">
        <f t="shared" ref="B123:AF123" si="91">SUM(G117:G122)</f>
        <v>526.79999999999995</v>
      </c>
      <c r="H123" s="70">
        <f t="shared" si="91"/>
        <v>510</v>
      </c>
      <c r="I123" s="70">
        <f t="shared" si="91"/>
        <v>465.8</v>
      </c>
      <c r="J123" s="70">
        <f t="shared" si="91"/>
        <v>400</v>
      </c>
      <c r="K123" s="70">
        <f t="shared" si="91"/>
        <v>300</v>
      </c>
      <c r="L123" s="70">
        <f t="shared" si="91"/>
        <v>0</v>
      </c>
      <c r="M123" s="70">
        <f t="shared" ref="M123:N123" si="92">SUM(M117:M122)</f>
        <v>348</v>
      </c>
      <c r="N123" s="70">
        <f t="shared" si="92"/>
        <v>347</v>
      </c>
      <c r="O123" s="70">
        <f t="shared" si="91"/>
        <v>0</v>
      </c>
      <c r="P123" s="70">
        <f t="shared" si="91"/>
        <v>0</v>
      </c>
      <c r="Q123" s="70">
        <f t="shared" si="91"/>
        <v>0</v>
      </c>
      <c r="R123" s="70">
        <f t="shared" si="91"/>
        <v>0</v>
      </c>
      <c r="S123" s="70">
        <f t="shared" si="91"/>
        <v>0</v>
      </c>
      <c r="T123" s="70">
        <f t="shared" si="91"/>
        <v>0</v>
      </c>
      <c r="U123" s="70">
        <f t="shared" si="91"/>
        <v>0</v>
      </c>
      <c r="V123" s="70">
        <f t="shared" si="91"/>
        <v>0</v>
      </c>
      <c r="W123" s="70">
        <f t="shared" si="91"/>
        <v>0</v>
      </c>
      <c r="X123" s="70">
        <f t="shared" si="91"/>
        <v>0</v>
      </c>
      <c r="Y123" s="70">
        <f t="shared" si="91"/>
        <v>0</v>
      </c>
      <c r="Z123" s="70">
        <f t="shared" si="91"/>
        <v>0</v>
      </c>
      <c r="AA123" s="70">
        <f t="shared" si="91"/>
        <v>0</v>
      </c>
      <c r="AB123" s="70">
        <f t="shared" si="91"/>
        <v>0</v>
      </c>
      <c r="AC123" s="70">
        <f t="shared" si="91"/>
        <v>0</v>
      </c>
      <c r="AD123" s="70">
        <f t="shared" si="91"/>
        <v>0</v>
      </c>
      <c r="AE123" s="70">
        <f t="shared" si="91"/>
        <v>0</v>
      </c>
      <c r="AF123" s="70">
        <f t="shared" si="91"/>
        <v>0</v>
      </c>
      <c r="AG123" s="104"/>
      <c r="AH123" s="46">
        <f t="shared" si="26"/>
        <v>526.79999999999995</v>
      </c>
      <c r="AI123" s="47">
        <f t="shared" si="27"/>
        <v>0</v>
      </c>
      <c r="AJ123" s="105">
        <f t="array" ref="AJ123">MIN(IF(B123:AF123&lt;&gt;0,B123:AF123))</f>
        <v>300</v>
      </c>
    </row>
    <row r="124" spans="1:64" ht="15.75" thickBot="1" x14ac:dyDescent="0.3">
      <c r="A124" s="87" t="s">
        <v>146</v>
      </c>
      <c r="B124" s="70">
        <f t="shared" ref="B124:C124" si="93">B108-B123</f>
        <v>-388</v>
      </c>
      <c r="C124" s="70">
        <f t="shared" si="93"/>
        <v>-406.5</v>
      </c>
      <c r="D124" s="70">
        <f t="shared" ref="D124:E124" si="94">D108-D123</f>
        <v>-415.7</v>
      </c>
      <c r="E124" s="70">
        <f t="shared" si="94"/>
        <v>-407.4</v>
      </c>
      <c r="F124" s="70">
        <f t="shared" ref="F124" si="95">F108-F123</f>
        <v>-414.5</v>
      </c>
      <c r="G124" s="70">
        <f t="shared" ref="B124:AF124" si="96">G108-G123</f>
        <v>-388.49999999999994</v>
      </c>
      <c r="H124" s="70">
        <f t="shared" si="96"/>
        <v>-339</v>
      </c>
      <c r="I124" s="70">
        <f t="shared" si="96"/>
        <v>-301.60000000000002</v>
      </c>
      <c r="J124" s="70">
        <f t="shared" si="96"/>
        <v>-247.5</v>
      </c>
      <c r="K124" s="70">
        <f t="shared" si="96"/>
        <v>-147.5</v>
      </c>
      <c r="L124" s="70">
        <f t="shared" si="96"/>
        <v>169</v>
      </c>
      <c r="M124" s="70">
        <f t="shared" ref="M124:N124" si="97">M108-M123</f>
        <v>-197</v>
      </c>
      <c r="N124" s="70">
        <f t="shared" si="97"/>
        <v>-173.5</v>
      </c>
      <c r="O124" s="70">
        <f t="shared" si="96"/>
        <v>0</v>
      </c>
      <c r="P124" s="70">
        <f t="shared" si="96"/>
        <v>0</v>
      </c>
      <c r="Q124" s="70">
        <f t="shared" si="96"/>
        <v>0</v>
      </c>
      <c r="R124" s="70">
        <f t="shared" si="96"/>
        <v>0</v>
      </c>
      <c r="S124" s="70">
        <f t="shared" si="96"/>
        <v>0</v>
      </c>
      <c r="T124" s="70">
        <f t="shared" si="96"/>
        <v>0</v>
      </c>
      <c r="U124" s="70">
        <f t="shared" si="96"/>
        <v>0</v>
      </c>
      <c r="V124" s="70">
        <f t="shared" si="96"/>
        <v>0</v>
      </c>
      <c r="W124" s="70">
        <f t="shared" si="96"/>
        <v>0</v>
      </c>
      <c r="X124" s="70">
        <f t="shared" si="96"/>
        <v>0</v>
      </c>
      <c r="Y124" s="70">
        <f t="shared" si="96"/>
        <v>0</v>
      </c>
      <c r="Z124" s="70">
        <f t="shared" si="96"/>
        <v>0</v>
      </c>
      <c r="AA124" s="70">
        <f t="shared" si="96"/>
        <v>0</v>
      </c>
      <c r="AB124" s="70">
        <f t="shared" si="96"/>
        <v>0</v>
      </c>
      <c r="AC124" s="70">
        <f t="shared" si="96"/>
        <v>0</v>
      </c>
      <c r="AD124" s="70">
        <f t="shared" si="96"/>
        <v>0</v>
      </c>
      <c r="AE124" s="70">
        <f t="shared" si="96"/>
        <v>0</v>
      </c>
      <c r="AF124" s="70">
        <f t="shared" si="96"/>
        <v>0</v>
      </c>
      <c r="AG124" s="104"/>
      <c r="AH124" s="46">
        <f t="shared" si="26"/>
        <v>169</v>
      </c>
      <c r="AI124" s="47">
        <f t="shared" si="27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51.03</v>
      </c>
      <c r="AI126" s="47">
        <f t="shared" si="27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134.9</v>
      </c>
      <c r="AI127" s="47">
        <f t="shared" si="27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131.6</v>
      </c>
      <c r="AI128" s="47">
        <f t="shared" si="27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136.69999999999999</v>
      </c>
      <c r="AI130" s="47">
        <f t="shared" si="27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0</v>
      </c>
      <c r="AI131" s="47">
        <f t="shared" si="27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131.5</v>
      </c>
      <c r="AI132" s="47">
        <f t="shared" si="27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67.3</v>
      </c>
      <c r="AI133" s="47">
        <f t="shared" si="27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:C135" si="98">SUM(B26,B32,B45:B46,B82,B84:B85,B87,B89,B137:B142,B177,B183,B189,B198,B200,B212,B219,B222:B223,B230,B232,B234,B238:B240,B242:B244,B249,B255:B256,B258:B260,B161,B166)</f>
        <v>340.64000000000004</v>
      </c>
      <c r="C135" s="114">
        <f t="shared" si="98"/>
        <v>121.44</v>
      </c>
      <c r="D135" s="114">
        <f t="shared" ref="D135:E135" si="99">SUM(D26,D32,D45:D46,D82,D84:D85,D87,D89,D137:D142,D177,D183,D189,D198,D200,D212,D219,D222:D223,D230,D232,D234,D238:D240,D242:D244,D249,D255:D256,D258:D260,D161,D166)</f>
        <v>122.23999999999997</v>
      </c>
      <c r="E135" s="114">
        <f t="shared" si="99"/>
        <v>119.33999999999996</v>
      </c>
      <c r="F135" s="114">
        <f t="shared" ref="F135" si="100">SUM(F26,F32,F45:F46,F82,F84:F85,F87,F89,F137:F142,F177,F183,F189,F198,F200,F212,F219,F222:F223,F230,F232,F234,F238:F240,F242:F244,F249,F255:F256,F258:F260,F161,F166)</f>
        <v>123.04</v>
      </c>
      <c r="G135" s="114">
        <f t="shared" ref="C135:O135" si="101">SUM(G26,G32,G45:G46,G82,G84:G85,G87,G89,G137:G142,G177,G183,G189,G198,G200,G212,G219,G222:G223,G230,G232,G234,G238:G240,G242:G244,G249,G255:G256,G258:G260,G161,G166)</f>
        <v>164.24</v>
      </c>
      <c r="H135" s="114">
        <f t="shared" si="101"/>
        <v>196.93999999999997</v>
      </c>
      <c r="I135" s="114">
        <f t="shared" si="101"/>
        <v>224.84</v>
      </c>
      <c r="J135" s="114">
        <f t="shared" si="101"/>
        <v>233.44</v>
      </c>
      <c r="K135" s="114">
        <f t="shared" si="101"/>
        <v>351.64000000000004</v>
      </c>
      <c r="L135" s="114">
        <f t="shared" si="101"/>
        <v>381.94</v>
      </c>
      <c r="M135" s="114">
        <f t="shared" ref="M135:N135" si="102">SUM(M26,M32,M45:M46,M82,M84:M85,M87,M89,M137:M142,M177,M183,M189,M198,M200,M212,M219,M222:M223,M230,M232,M234,M238:M240,M242:M244,M249,M255:M256,M258:M260,M161,M166)</f>
        <v>382.94</v>
      </c>
      <c r="N135" s="114">
        <f t="shared" si="102"/>
        <v>389.03999999999991</v>
      </c>
      <c r="O135" s="114">
        <f t="shared" si="101"/>
        <v>0.94</v>
      </c>
      <c r="P135" s="114">
        <v>42</v>
      </c>
      <c r="Q135" s="114">
        <f t="shared" ref="Q135:X135" si="103">SUM(Q26,Q32,Q45:Q46,Q82,Q84:Q85,Q87,Q89,Q137:Q142,Q177,Q183,Q189,Q198,Q200,Q212,Q219,Q222:Q223,Q230,Q232,Q234,Q238:Q240,Q242:Q244,Q249,Q255:Q256,Q258:Q260,Q161,Q166)</f>
        <v>0.94</v>
      </c>
      <c r="R135" s="114">
        <f t="shared" si="103"/>
        <v>0.94</v>
      </c>
      <c r="S135" s="114">
        <f t="shared" si="103"/>
        <v>0.94</v>
      </c>
      <c r="T135" s="114">
        <f t="shared" si="103"/>
        <v>0.94</v>
      </c>
      <c r="U135" s="114">
        <f t="shared" si="103"/>
        <v>0.94</v>
      </c>
      <c r="V135" s="114">
        <f t="shared" si="103"/>
        <v>0.94</v>
      </c>
      <c r="W135" s="114">
        <f t="shared" si="103"/>
        <v>0.94</v>
      </c>
      <c r="X135" s="114">
        <f t="shared" si="10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4"/>
        <v>0.94</v>
      </c>
      <c r="AC135" s="114">
        <f t="shared" si="104"/>
        <v>0.94</v>
      </c>
      <c r="AD135" s="114">
        <f t="shared" si="104"/>
        <v>0.94</v>
      </c>
      <c r="AE135" s="114">
        <f t="shared" si="104"/>
        <v>0.94</v>
      </c>
      <c r="AF135" s="114">
        <f t="shared" si="104"/>
        <v>0.94</v>
      </c>
      <c r="AG135" s="127"/>
      <c r="AH135" s="46">
        <f t="shared" si="26"/>
        <v>389.03999999999991</v>
      </c>
      <c r="AI135" s="47">
        <f t="shared" si="27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68.5</v>
      </c>
      <c r="AI137" s="47">
        <f t="shared" si="27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70</v>
      </c>
      <c r="AI138" s="47">
        <f t="shared" si="27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92.1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5">MAX(B146:AF146)</f>
        <v>-135</v>
      </c>
      <c r="AI146" s="47">
        <f t="shared" ref="AI146:AI158" si="106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5"/>
        <v>66.599999999999994</v>
      </c>
      <c r="AI147" s="47">
        <f t="shared" si="106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5"/>
        <v>-5.3</v>
      </c>
      <c r="AI148" s="47">
        <f t="shared" si="106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5"/>
        <v>258.7</v>
      </c>
      <c r="AI149" s="47">
        <f t="shared" si="106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5"/>
        <v>31.2</v>
      </c>
      <c r="AI150" s="47">
        <f t="shared" si="106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5"/>
        <v>10</v>
      </c>
      <c r="AI151" s="47">
        <f t="shared" si="106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5"/>
        <v>0</v>
      </c>
      <c r="AI152" s="47">
        <f t="shared" si="10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5"/>
        <v>1985.97</v>
      </c>
      <c r="AI153" s="47">
        <f t="shared" si="106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5"/>
        <v>0</v>
      </c>
      <c r="AI154" s="47">
        <f t="shared" si="106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5"/>
        <v>625.5</v>
      </c>
      <c r="AI155" s="47">
        <f t="shared" si="106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5"/>
        <v>336.98</v>
      </c>
      <c r="AI156" s="47">
        <f t="shared" si="106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5"/>
        <v>0</v>
      </c>
      <c r="AI157" s="47">
        <f t="shared" si="10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5"/>
        <v>0</v>
      </c>
      <c r="AI158" s="47">
        <f t="shared" si="10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07">F161</f>
        <v>0.3</v>
      </c>
      <c r="H161" s="159">
        <f t="shared" si="107"/>
        <v>0.3</v>
      </c>
      <c r="I161" s="159">
        <f t="shared" si="107"/>
        <v>0.3</v>
      </c>
      <c r="J161" s="159">
        <f t="shared" si="107"/>
        <v>0.3</v>
      </c>
      <c r="K161" s="159">
        <f t="shared" si="107"/>
        <v>0.3</v>
      </c>
      <c r="L161" s="159">
        <f t="shared" si="107"/>
        <v>0.3</v>
      </c>
      <c r="M161" s="159">
        <f t="shared" si="107"/>
        <v>0.3</v>
      </c>
      <c r="N161" s="159">
        <f t="shared" si="107"/>
        <v>0.3</v>
      </c>
      <c r="O161" s="159">
        <f t="shared" si="107"/>
        <v>0.3</v>
      </c>
      <c r="P161" s="159">
        <f t="shared" si="107"/>
        <v>0.3</v>
      </c>
      <c r="Q161" s="159">
        <f t="shared" si="107"/>
        <v>0.3</v>
      </c>
      <c r="R161" s="159">
        <f t="shared" si="107"/>
        <v>0.3</v>
      </c>
      <c r="S161" s="159">
        <f t="shared" ref="S161:AF166" si="108">R161</f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si="108"/>
        <v>0.3</v>
      </c>
      <c r="X161" s="159">
        <f t="shared" si="108"/>
        <v>0.3</v>
      </c>
      <c r="Y161" s="159">
        <f t="shared" si="108"/>
        <v>0.3</v>
      </c>
      <c r="Z161" s="159">
        <f t="shared" si="108"/>
        <v>0.3</v>
      </c>
      <c r="AA161" s="159">
        <f t="shared" si="108"/>
        <v>0.3</v>
      </c>
      <c r="AB161" s="159">
        <f t="shared" si="108"/>
        <v>0.3</v>
      </c>
      <c r="AC161" s="159">
        <f t="shared" si="108"/>
        <v>0.3</v>
      </c>
      <c r="AD161" s="159">
        <f t="shared" si="108"/>
        <v>0.3</v>
      </c>
      <c r="AE161" s="159">
        <f t="shared" si="108"/>
        <v>0.3</v>
      </c>
      <c r="AF161" s="159">
        <f t="shared" si="10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07"/>
        <v>0.4</v>
      </c>
      <c r="H162" s="161">
        <f t="shared" si="107"/>
        <v>0.4</v>
      </c>
      <c r="I162" s="161">
        <f t="shared" si="107"/>
        <v>0.4</v>
      </c>
      <c r="J162" s="161">
        <f t="shared" si="107"/>
        <v>0.4</v>
      </c>
      <c r="K162" s="161">
        <f t="shared" si="107"/>
        <v>0.4</v>
      </c>
      <c r="L162" s="161">
        <f t="shared" si="107"/>
        <v>0.4</v>
      </c>
      <c r="M162" s="161">
        <f t="shared" si="107"/>
        <v>0.4</v>
      </c>
      <c r="N162" s="161">
        <f t="shared" si="107"/>
        <v>0.4</v>
      </c>
      <c r="O162" s="161">
        <f t="shared" si="107"/>
        <v>0.4</v>
      </c>
      <c r="P162" s="161">
        <f t="shared" si="107"/>
        <v>0.4</v>
      </c>
      <c r="Q162" s="161">
        <f t="shared" si="107"/>
        <v>0.4</v>
      </c>
      <c r="R162" s="161">
        <f t="shared" si="107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8"/>
        <v>0.4</v>
      </c>
      <c r="X162" s="161">
        <f t="shared" si="108"/>
        <v>0.4</v>
      </c>
      <c r="Y162" s="161">
        <f t="shared" si="108"/>
        <v>0.4</v>
      </c>
      <c r="Z162" s="161">
        <f t="shared" si="108"/>
        <v>0.4</v>
      </c>
      <c r="AA162" s="161">
        <f t="shared" si="108"/>
        <v>0.4</v>
      </c>
      <c r="AB162" s="161">
        <f t="shared" si="108"/>
        <v>0.4</v>
      </c>
      <c r="AC162" s="161">
        <f t="shared" si="108"/>
        <v>0.4</v>
      </c>
      <c r="AD162" s="161">
        <f t="shared" si="108"/>
        <v>0.4</v>
      </c>
      <c r="AE162" s="161">
        <f t="shared" si="108"/>
        <v>0.4</v>
      </c>
      <c r="AF162" s="161">
        <f t="shared" si="10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07"/>
        <v>1.5</v>
      </c>
      <c r="H163" s="161">
        <f t="shared" si="107"/>
        <v>1.5</v>
      </c>
      <c r="I163" s="161">
        <f t="shared" si="107"/>
        <v>1.5</v>
      </c>
      <c r="J163" s="161">
        <f t="shared" si="107"/>
        <v>1.5</v>
      </c>
      <c r="K163" s="161">
        <f t="shared" si="107"/>
        <v>1.5</v>
      </c>
      <c r="L163" s="161">
        <f t="shared" si="107"/>
        <v>1.5</v>
      </c>
      <c r="M163" s="161">
        <f t="shared" si="107"/>
        <v>1.5</v>
      </c>
      <c r="N163" s="161">
        <f t="shared" si="107"/>
        <v>1.5</v>
      </c>
      <c r="O163" s="161">
        <f t="shared" si="107"/>
        <v>1.5</v>
      </c>
      <c r="P163" s="161">
        <f t="shared" si="107"/>
        <v>1.5</v>
      </c>
      <c r="Q163" s="161">
        <f t="shared" si="107"/>
        <v>1.5</v>
      </c>
      <c r="R163" s="161">
        <f t="shared" si="107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8"/>
        <v>1.5</v>
      </c>
      <c r="X163" s="161">
        <f t="shared" si="108"/>
        <v>1.5</v>
      </c>
      <c r="Y163" s="161">
        <f t="shared" si="108"/>
        <v>1.5</v>
      </c>
      <c r="Z163" s="161">
        <f t="shared" si="108"/>
        <v>1.5</v>
      </c>
      <c r="AA163" s="161">
        <f t="shared" si="108"/>
        <v>1.5</v>
      </c>
      <c r="AB163" s="161">
        <f t="shared" si="108"/>
        <v>1.5</v>
      </c>
      <c r="AC163" s="161">
        <f t="shared" si="108"/>
        <v>1.5</v>
      </c>
      <c r="AD163" s="161">
        <f t="shared" si="108"/>
        <v>1.5</v>
      </c>
      <c r="AE163" s="161">
        <f t="shared" si="108"/>
        <v>1.5</v>
      </c>
      <c r="AF163" s="161">
        <f t="shared" si="10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07"/>
        <v>0.3</v>
      </c>
      <c r="H164" s="161">
        <f t="shared" si="107"/>
        <v>0.3</v>
      </c>
      <c r="I164" s="161">
        <f t="shared" si="107"/>
        <v>0.3</v>
      </c>
      <c r="J164" s="161">
        <f t="shared" si="107"/>
        <v>0.3</v>
      </c>
      <c r="K164" s="161">
        <f t="shared" si="107"/>
        <v>0.3</v>
      </c>
      <c r="L164" s="161">
        <f t="shared" si="107"/>
        <v>0.3</v>
      </c>
      <c r="M164" s="161">
        <f t="shared" si="107"/>
        <v>0.3</v>
      </c>
      <c r="N164" s="161">
        <f t="shared" si="107"/>
        <v>0.3</v>
      </c>
      <c r="O164" s="161">
        <f t="shared" si="107"/>
        <v>0.3</v>
      </c>
      <c r="P164" s="161">
        <f t="shared" si="107"/>
        <v>0.3</v>
      </c>
      <c r="Q164" s="161">
        <f t="shared" si="107"/>
        <v>0.3</v>
      </c>
      <c r="R164" s="161">
        <f t="shared" si="107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8"/>
        <v>0.3</v>
      </c>
      <c r="X164" s="161">
        <f t="shared" si="108"/>
        <v>0.3</v>
      </c>
      <c r="Y164" s="161">
        <f t="shared" si="108"/>
        <v>0.3</v>
      </c>
      <c r="Z164" s="161">
        <f t="shared" si="108"/>
        <v>0.3</v>
      </c>
      <c r="AA164" s="161">
        <f t="shared" si="108"/>
        <v>0.3</v>
      </c>
      <c r="AB164" s="161">
        <f t="shared" si="108"/>
        <v>0.3</v>
      </c>
      <c r="AC164" s="161">
        <f t="shared" si="108"/>
        <v>0.3</v>
      </c>
      <c r="AD164" s="161">
        <f t="shared" si="108"/>
        <v>0.3</v>
      </c>
      <c r="AE164" s="161">
        <f t="shared" si="108"/>
        <v>0.3</v>
      </c>
      <c r="AF164" s="161">
        <f t="shared" si="10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07"/>
        <v>0.4</v>
      </c>
      <c r="H165" s="161">
        <f t="shared" si="107"/>
        <v>0.4</v>
      </c>
      <c r="I165" s="161">
        <f t="shared" si="107"/>
        <v>0.4</v>
      </c>
      <c r="J165" s="161">
        <f t="shared" si="107"/>
        <v>0.4</v>
      </c>
      <c r="K165" s="161">
        <f t="shared" si="107"/>
        <v>0.4</v>
      </c>
      <c r="L165" s="161">
        <f t="shared" si="107"/>
        <v>0.4</v>
      </c>
      <c r="M165" s="161">
        <f t="shared" si="107"/>
        <v>0.4</v>
      </c>
      <c r="N165" s="161">
        <f t="shared" si="107"/>
        <v>0.4</v>
      </c>
      <c r="O165" s="161">
        <f t="shared" si="107"/>
        <v>0.4</v>
      </c>
      <c r="P165" s="161">
        <f t="shared" si="107"/>
        <v>0.4</v>
      </c>
      <c r="Q165" s="161">
        <f t="shared" si="107"/>
        <v>0.4</v>
      </c>
      <c r="R165" s="161">
        <f t="shared" si="107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8"/>
        <v>0.4</v>
      </c>
      <c r="X165" s="161">
        <f t="shared" si="108"/>
        <v>0.4</v>
      </c>
      <c r="Y165" s="161">
        <f t="shared" si="108"/>
        <v>0.4</v>
      </c>
      <c r="Z165" s="161">
        <f t="shared" si="108"/>
        <v>0.4</v>
      </c>
      <c r="AA165" s="161">
        <f t="shared" si="108"/>
        <v>0.4</v>
      </c>
      <c r="AB165" s="161">
        <f t="shared" si="108"/>
        <v>0.4</v>
      </c>
      <c r="AC165" s="161">
        <f t="shared" si="108"/>
        <v>0.4</v>
      </c>
      <c r="AD165" s="161">
        <f t="shared" si="108"/>
        <v>0.4</v>
      </c>
      <c r="AE165" s="161">
        <f t="shared" si="108"/>
        <v>0.4</v>
      </c>
      <c r="AF165" s="161">
        <f t="shared" si="10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07"/>
        <v>0.64</v>
      </c>
      <c r="H166" s="164">
        <f t="shared" si="107"/>
        <v>0.64</v>
      </c>
      <c r="I166" s="164">
        <f t="shared" si="107"/>
        <v>0.64</v>
      </c>
      <c r="J166" s="164">
        <f t="shared" si="107"/>
        <v>0.64</v>
      </c>
      <c r="K166" s="164">
        <f t="shared" si="107"/>
        <v>0.64</v>
      </c>
      <c r="L166" s="164">
        <f t="shared" si="107"/>
        <v>0.64</v>
      </c>
      <c r="M166" s="164">
        <f t="shared" si="107"/>
        <v>0.64</v>
      </c>
      <c r="N166" s="164">
        <f t="shared" si="107"/>
        <v>0.64</v>
      </c>
      <c r="O166" s="164">
        <f t="shared" si="107"/>
        <v>0.64</v>
      </c>
      <c r="P166" s="164">
        <f t="shared" si="107"/>
        <v>0.64</v>
      </c>
      <c r="Q166" s="164">
        <f t="shared" si="107"/>
        <v>0.64</v>
      </c>
      <c r="R166" s="164">
        <f t="shared" si="107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8"/>
        <v>0.64</v>
      </c>
      <c r="X166" s="164">
        <f t="shared" si="108"/>
        <v>0.64</v>
      </c>
      <c r="Y166" s="164">
        <f t="shared" si="108"/>
        <v>0.64</v>
      </c>
      <c r="Z166" s="164">
        <f t="shared" si="108"/>
        <v>0.64</v>
      </c>
      <c r="AA166" s="164">
        <f t="shared" si="108"/>
        <v>0.64</v>
      </c>
      <c r="AB166" s="164">
        <f t="shared" si="108"/>
        <v>0.64</v>
      </c>
      <c r="AC166" s="164">
        <f t="shared" si="108"/>
        <v>0.64</v>
      </c>
      <c r="AD166" s="164">
        <f t="shared" si="108"/>
        <v>0.64</v>
      </c>
      <c r="AE166" s="164">
        <f t="shared" si="108"/>
        <v>0.64</v>
      </c>
      <c r="AF166" s="164">
        <f t="shared" si="10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09">SUM(G161:G166)</f>
        <v>3.54</v>
      </c>
      <c r="H167" s="167">
        <f t="shared" si="109"/>
        <v>3.54</v>
      </c>
      <c r="I167" s="167">
        <f t="shared" si="109"/>
        <v>3.54</v>
      </c>
      <c r="J167" s="167">
        <f t="shared" si="109"/>
        <v>3.54</v>
      </c>
      <c r="K167" s="167">
        <f t="shared" si="109"/>
        <v>3.54</v>
      </c>
      <c r="L167" s="167">
        <f t="shared" si="109"/>
        <v>3.54</v>
      </c>
      <c r="M167" s="167">
        <f t="shared" si="109"/>
        <v>3.54</v>
      </c>
      <c r="N167" s="167">
        <f t="shared" si="109"/>
        <v>3.54</v>
      </c>
      <c r="O167" s="167">
        <f t="shared" si="109"/>
        <v>3.54</v>
      </c>
      <c r="P167" s="167">
        <f t="shared" si="109"/>
        <v>3.54</v>
      </c>
      <c r="Q167" s="167">
        <f t="shared" si="109"/>
        <v>3.54</v>
      </c>
      <c r="R167" s="167">
        <f t="shared" si="109"/>
        <v>3.54</v>
      </c>
      <c r="S167" s="167">
        <f t="shared" si="109"/>
        <v>3.54</v>
      </c>
      <c r="T167" s="167">
        <f t="shared" si="109"/>
        <v>3.54</v>
      </c>
      <c r="U167" s="167">
        <f t="shared" si="109"/>
        <v>3.54</v>
      </c>
      <c r="V167" s="167">
        <f t="shared" si="109"/>
        <v>3.54</v>
      </c>
      <c r="W167" s="167">
        <f t="shared" si="109"/>
        <v>3.54</v>
      </c>
      <c r="X167" s="167">
        <f t="shared" si="109"/>
        <v>3.54</v>
      </c>
      <c r="Y167" s="167">
        <f t="shared" si="109"/>
        <v>3.54</v>
      </c>
      <c r="Z167" s="167">
        <f t="shared" si="109"/>
        <v>3.54</v>
      </c>
      <c r="AA167" s="167">
        <f t="shared" si="109"/>
        <v>3.54</v>
      </c>
      <c r="AB167" s="167">
        <f t="shared" si="109"/>
        <v>3.54</v>
      </c>
      <c r="AC167" s="167">
        <f t="shared" si="109"/>
        <v>3.54</v>
      </c>
      <c r="AD167" s="167">
        <f t="shared" si="109"/>
        <v>3.54</v>
      </c>
      <c r="AE167" s="167">
        <f t="shared" si="109"/>
        <v>3.54</v>
      </c>
      <c r="AF167" s="167">
        <f t="shared" si="109"/>
        <v>3.54</v>
      </c>
      <c r="AG167" s="168">
        <f t="shared" si="10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10">F169</f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1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13">F185</f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15">F201</f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17">F217</f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19">F233</f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21">F249</f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23">F265</f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4">SUM(B169:B273)</f>
        <v>0</v>
      </c>
      <c r="C274" s="180">
        <f t="shared" ref="C274:D274" si="125">SUM(C169:C273)</f>
        <v>0</v>
      </c>
      <c r="D274" s="180">
        <f t="shared" si="125"/>
        <v>0</v>
      </c>
      <c r="E274" s="180">
        <f t="shared" ref="E274:F274" si="126">SUM(E169:E273)</f>
        <v>0</v>
      </c>
      <c r="F274" s="180">
        <f t="shared" si="126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si="124"/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O11:AA13 AB12:AF13 B9:AF10 B76:F90 B113:F115 B108:F108 B117:F124 B153:F153 B93:F96 O85:AF90 B72:N72 G93:AF115 G79:N90 G76:AF77 G117:AF134 G137:AF159">
    <cfRule type="expression" dxfId="172" priority="106">
      <formula>B$9&gt;=20/24</formula>
    </cfRule>
  </conditionalFormatting>
  <conditionalFormatting sqref="B9:AF10 O11:AA13 AB12:AF13 B76:F90 B113:F115 B108:F108 B117:F124 B153:F153 B93:F96 O85:AF90 B72:N72 G93:AF115 G79:N90 G76:AF77 G117:AF134 G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O14:AF53 B29:N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O11:AA13 AB12:AF13 AF92:AF95 AF96:AG96 O76:AF77 O79:AC90 O92:AE96 O78:AG78 O91:AF91 B71:AG71 B69:AA69 B76:N96">
    <cfRule type="expression" dxfId="144" priority="105">
      <formula>B11&gt;$AG11*1</formula>
    </cfRule>
  </conditionalFormatting>
  <conditionalFormatting sqref="O83 G79:N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O76:AF78 G78:N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O73:AF75">
    <cfRule type="expression" dxfId="131" priority="35">
      <formula>O$9&gt;=20/24</formula>
    </cfRule>
    <cfRule type="expression" dxfId="130" priority="36">
      <formula>AND(O$9&gt;=14/24,O$9&lt;20/24)</formula>
    </cfRule>
    <cfRule type="expression" dxfId="129" priority="37">
      <formula>AND(O$9&gt;=8/24,O$9&lt;14/24)</formula>
    </cfRule>
    <cfRule type="expression" dxfId="128" priority="38">
      <formula>O$9&lt;8/24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O79:Y83 Z80:AA83">
    <cfRule type="expression" dxfId="116" priority="137">
      <formula>O$9&gt;=20/24</formula>
    </cfRule>
    <cfRule type="expression" dxfId="115" priority="138">
      <formula>AND(O$9&gt;=14/24,O$9&lt;20/24)</formula>
    </cfRule>
    <cfRule type="expression" dxfId="114" priority="139">
      <formula>AND(O$9&gt;=8/24,O$9&lt;14/24)</formula>
    </cfRule>
    <cfRule type="expression" dxfId="113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N13">
    <cfRule type="expression" dxfId="22" priority="20">
      <formula>B$9&gt;=20/24</formula>
    </cfRule>
  </conditionalFormatting>
  <conditionalFormatting sqref="B97:F107 B137:F152 B109:F112 B125:F134 B154:F159 B11:N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N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N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2026-05-20T03:22:14Z</dcterms:modified>
</cp:coreProperties>
</file>