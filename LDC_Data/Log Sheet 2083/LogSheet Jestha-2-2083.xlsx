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49" i="84" l="1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P88" i="84"/>
  <c r="AI88" i="84"/>
  <c r="AH88" i="84"/>
  <c r="BU87" i="84"/>
  <c r="BT87" i="84"/>
  <c r="BS87" i="84"/>
  <c r="BK87" i="84"/>
  <c r="BD87" i="84"/>
  <c r="BC87" i="84"/>
  <c r="BB87" i="84"/>
  <c r="BA87" i="84"/>
  <c r="AI87" i="84"/>
  <c r="AH87" i="84"/>
  <c r="BV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Z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Z123" i="84" l="1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<sst xmlns="http://schemas.openxmlformats.org/spreadsheetml/2006/main" count="3902" uniqueCount="435">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</sst>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8" priority="47">
      <formula>$AH11=0</formula>
    </cfRule>
  </conditionalFormatting>
  <conditionalFormatting sqref="A101:A102">
    <cfRule type="expression" dxfId="1857" priority="215">
      <formula>$AH106=0</formula>
    </cfRule>
  </conditionalFormatting>
  <conditionalFormatting sqref="A103:A107">
    <cfRule type="expression" dxfId="1856" priority="163">
      <formula>$AH102=0</formula>
    </cfRule>
  </conditionalFormatting>
  <conditionalFormatting sqref="A160:A167">
    <cfRule type="expression" dxfId="1855" priority="216">
      <formula>$AH267=0</formula>
    </cfRule>
  </conditionalFormatting>
  <conditionalFormatting sqref="A168:A275">
    <cfRule type="expression" dxfId="1854" priority="86">
      <formula>$AH168=0</formula>
    </cfRule>
  </conditionalFormatting>
  <conditionalFormatting sqref="B8">
    <cfRule type="expression" dxfId="1853" priority="211">
      <formula>AND(C$9&gt;=14/24,C$9&lt;20/24)</formula>
    </cfRule>
    <cfRule type="expression" dxfId="1852" priority="212">
      <formula>AND(C$9&gt;=8/24,C$9&lt;14/24)</formula>
    </cfRule>
    <cfRule type="expression" dxfId="1851" priority="213">
      <formula>C$9&lt;8/24</formula>
    </cfRule>
    <cfRule type="expression" dxfId="18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8" priority="129">
      <formula>AND(B$9&gt;=14/24,B$9&lt;20/24)</formula>
    </cfRule>
    <cfRule type="expression" dxfId="1847" priority="130">
      <formula>AND(B$9&gt;=8/24,B$9&lt;14/24)</formula>
    </cfRule>
    <cfRule type="expression" dxfId="1846" priority="131">
      <formula>B$9&lt;8/24</formula>
    </cfRule>
  </conditionalFormatting>
  <conditionalFormatting sqref="B29:Y53">
    <cfRule type="expression" dxfId="1845" priority="71">
      <formula>B29&gt;$AG29*1</formula>
    </cfRule>
    <cfRule type="expression" dxfId="1844" priority="72">
      <formula>B$9&gt;=20/24</formula>
    </cfRule>
    <cfRule type="expression" dxfId="1843" priority="73">
      <formula>AND(B$9&gt;=14/24,B$9&lt;20/24)</formula>
    </cfRule>
    <cfRule type="expression" dxfId="1842" priority="74">
      <formula>AND(B$9&gt;=8/24,B$9&lt;14/24)</formula>
    </cfRule>
    <cfRule type="expression" dxfId="1841" priority="75">
      <formula>B$9&lt;8/24</formula>
    </cfRule>
  </conditionalFormatting>
  <conditionalFormatting sqref="B54:Y68">
    <cfRule type="expression" dxfId="1840" priority="64">
      <formula>B$9&lt;8/24</formula>
    </cfRule>
  </conditionalFormatting>
  <conditionalFormatting sqref="B54:Y70">
    <cfRule type="expression" dxfId="1839" priority="61">
      <formula>B$9&gt;=20/24</formula>
    </cfRule>
    <cfRule type="expression" dxfId="1838" priority="62">
      <formula>AND(B$9&gt;=14/24,B$9&lt;20/24)</formula>
    </cfRule>
    <cfRule type="expression" dxfId="1837" priority="63">
      <formula>AND(B$9&gt;=8/24,B$9&lt;14/24)</formula>
    </cfRule>
  </conditionalFormatting>
  <conditionalFormatting sqref="B63:Y65">
    <cfRule type="expression" dxfId="1836" priority="65">
      <formula>B63&gt;$AG63</formula>
    </cfRule>
  </conditionalFormatting>
  <conditionalFormatting sqref="B69:Y70">
    <cfRule type="expression" dxfId="1835" priority="136">
      <formula>B$9&lt;8/24</formula>
    </cfRule>
  </conditionalFormatting>
  <conditionalFormatting sqref="B72:AF75">
    <cfRule type="expression" dxfId="1834" priority="52">
      <formula>B72&gt;$AG72*1</formula>
    </cfRule>
  </conditionalFormatting>
  <conditionalFormatting sqref="B73:AF75">
    <cfRule type="expression" dxfId="1833" priority="53">
      <formula>B$9&gt;=20/24</formula>
    </cfRule>
    <cfRule type="expression" dxfId="1832" priority="54">
      <formula>AND(B$9&gt;=14/24,B$9&lt;20/24)</formula>
    </cfRule>
    <cfRule type="expression" dxfId="1831" priority="55">
      <formula>AND(B$9&gt;=8/24,B$9&lt;14/24)</formula>
    </cfRule>
    <cfRule type="expression" dxfId="1830" priority="56">
      <formula>B$9&lt;8/24</formula>
    </cfRule>
  </conditionalFormatting>
  <conditionalFormatting sqref="F161:AF167">
    <cfRule type="expression" dxfId="1829" priority="87">
      <formula>F$9&gt;=20/24</formula>
    </cfRule>
    <cfRule type="expression" dxfId="1828" priority="88">
      <formula>AND(F$9&gt;=14/24,F$9&lt;20/24)</formula>
    </cfRule>
    <cfRule type="expression" dxfId="1827" priority="89">
      <formula>AND(F$9&gt;=8/24,F$9&lt;14/24)</formula>
    </cfRule>
    <cfRule type="expression" dxfId="1826" priority="90">
      <formula>F$9&lt;8/24</formula>
    </cfRule>
  </conditionalFormatting>
  <conditionalFormatting sqref="F169:AF274">
    <cfRule type="expression" dxfId="1825" priority="48">
      <formula>F$9&gt;=20/24</formula>
    </cfRule>
    <cfRule type="expression" dxfId="1824" priority="49">
      <formula>AND(F$9&gt;=14/24,F$9&lt;20/24)</formula>
    </cfRule>
    <cfRule type="expression" dxfId="1823" priority="50">
      <formula>AND(F$9&gt;=8/24,F$9&lt;14/24)</formula>
    </cfRule>
    <cfRule type="expression" dxfId="1822" priority="51">
      <formula>F$9&lt;8/24</formula>
    </cfRule>
  </conditionalFormatting>
  <conditionalFormatting sqref="AF96:AG96 B71:AG71 Z78:AG78 X91:AF91 B76:W96 B69:Y69 X76:Y90 X92:AE96 Z76:AF77 Z79:AF90 AF92:AF95">
    <cfRule type="expression" dxfId="1821" priority="127">
      <formula>B69&gt;$AG69*1</formula>
    </cfRule>
  </conditionalFormatting>
  <conditionalFormatting sqref="F79:Y83">
    <cfRule type="expression" dxfId="1820" priority="137">
      <formula>F$9&gt;=20/24</formula>
    </cfRule>
    <cfRule type="expression" dxfId="1819" priority="138">
      <formula>AND(F$9&gt;=14/24,F$9&lt;20/24)</formula>
    </cfRule>
    <cfRule type="expression" dxfId="1818" priority="139">
      <formula>AND(F$9&gt;=8/24,F$9&lt;14/24)</formula>
    </cfRule>
    <cfRule type="expression" dxfId="1817" priority="140">
      <formula>F$9&lt;8/24</formula>
    </cfRule>
  </conditionalFormatting>
  <conditionalFormatting sqref="F84:Y84">
    <cfRule type="expression" dxfId="1816" priority="132">
      <formula>F$9&gt;=20/24</formula>
    </cfRule>
    <cfRule type="expression" dxfId="1815" priority="133">
      <formula>AND(F$9&gt;=14/24,F$9&lt;20/24)</formula>
    </cfRule>
    <cfRule type="expression" dxfId="1814" priority="134">
      <formula>AND(F$9&gt;=8/24,F$9&lt;14/24)</formula>
    </cfRule>
    <cfRule type="expression" dxfId="1813" priority="135">
      <formula>F$9&lt;8/24</formula>
    </cfRule>
  </conditionalFormatting>
  <conditionalFormatting sqref="F78:AF78 B72:AF72">
    <cfRule type="expression" dxfId="1812" priority="147">
      <formula>B$9&gt;=20/24</formula>
    </cfRule>
    <cfRule type="expression" dxfId="1811" priority="148">
      <formula>AND(B$9&gt;=14/24,B$9&lt;20/24)</formula>
    </cfRule>
    <cfRule type="expression" dxfId="1810" priority="149">
      <formula>AND(B$9&gt;=8/24,B$9&lt;14/24)</formula>
    </cfRule>
    <cfRule type="expression" dxfId="1809" priority="150">
      <formula>B$9&lt;8/24</formula>
    </cfRule>
  </conditionalFormatting>
  <conditionalFormatting sqref="F79:Y81">
    <cfRule type="expression" dxfId="1808" priority="155">
      <formula>F$9&gt;=20/24</formula>
    </cfRule>
    <cfRule type="expression" dxfId="1807" priority="156">
      <formula>AND(F$9&gt;=14/24,F$9&lt;20/24)</formula>
    </cfRule>
    <cfRule type="expression" dxfId="1806" priority="157">
      <formula>AND(F$9&gt;=8/24,F$9&lt;14/24)</formula>
    </cfRule>
    <cfRule type="expression" dxfId="1805" priority="158">
      <formula>F$9&lt;8/24</formula>
    </cfRule>
  </conditionalFormatting>
  <conditionalFormatting sqref="L84:AF84">
    <cfRule type="expression" dxfId="1804" priority="151">
      <formula>L$9&gt;=20/24</formula>
    </cfRule>
    <cfRule type="expression" dxfId="1803" priority="152">
      <formula>AND(L$9&gt;=14/24,L$9&lt;20/24)</formula>
    </cfRule>
    <cfRule type="expression" dxfId="1802" priority="153">
      <formula>AND(L$9&gt;=8/24,L$9&lt;14/24)</formula>
    </cfRule>
    <cfRule type="expression" dxfId="1801" priority="154">
      <formula>L$9&lt;8/24</formula>
    </cfRule>
  </conditionalFormatting>
  <conditionalFormatting sqref="M8 S8 AB8">
    <cfRule type="expression" dxfId="1800" priority="204">
      <formula>AND(N$9&gt;=14/24,N$9&lt;20/24)</formula>
    </cfRule>
    <cfRule type="expression" dxfId="1799" priority="205">
      <formula>AND(N$9&gt;=8/24,N$9&lt;14/24)</formula>
    </cfRule>
    <cfRule type="expression" dxfId="1798" priority="206">
      <formula>N$9&lt;8/24</formula>
    </cfRule>
  </conditionalFormatting>
  <conditionalFormatting sqref="T79:Y83 Z80:AF83">
    <cfRule type="expression" dxfId="1797" priority="159">
      <formula>T$9&gt;=20/24</formula>
    </cfRule>
    <cfRule type="expression" dxfId="1796" priority="160">
      <formula>AND(T$9&gt;=14/24,T$9&lt;20/24)</formula>
    </cfRule>
    <cfRule type="expression" dxfId="1795" priority="161">
      <formula>AND(T$9&gt;=8/24,T$9&lt;14/24)</formula>
    </cfRule>
    <cfRule type="expression" dxfId="17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93" priority="203">
      <formula>N$9&gt;=20/24</formula>
    </cfRule>
  </conditionalFormatting>
  <conditionalFormatting sqref="S8">
    <cfRule type="expression" dxfId="1792" priority="194">
      <formula>U$9&gt;=20/24</formula>
    </cfRule>
    <cfRule type="expression" dxfId="1791" priority="195">
      <formula>AND(U$9&gt;=14/24,U$9&lt;20/24)</formula>
    </cfRule>
    <cfRule type="expression" dxfId="1790" priority="196">
      <formula>AND(U$9&gt;=8/24,U$9&lt;14/24)</formula>
    </cfRule>
    <cfRule type="expression" dxfId="1789" priority="197">
      <formula>U$9&lt;8/24</formula>
    </cfRule>
  </conditionalFormatting>
  <conditionalFormatting sqref="T79:AF84">
    <cfRule type="expression" dxfId="1788" priority="81">
      <formula>T$9&gt;=20/24</formula>
    </cfRule>
    <cfRule type="expression" dxfId="1787" priority="82">
      <formula>AND(T$9&gt;=14/24,T$9&lt;20/24)</formula>
    </cfRule>
    <cfRule type="expression" dxfId="1786" priority="83">
      <formula>AND(T$9&gt;=8/24,T$9&lt;14/24)</formula>
    </cfRule>
    <cfRule type="expression" dxfId="17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84" priority="141">
      <formula>B54&gt;$AG54</formula>
    </cfRule>
  </conditionalFormatting>
  <conditionalFormatting sqref="AB8">
    <cfRule type="expression" dxfId="1783" priority="190">
      <formula>AD$9&gt;=20/24</formula>
    </cfRule>
    <cfRule type="expression" dxfId="1782" priority="191">
      <formula>AND(AD$9&gt;=14/24,AD$9&lt;20/24)</formula>
    </cfRule>
    <cfRule type="expression" dxfId="1781" priority="192">
      <formula>AND(AD$9&gt;=8/24,AD$9&lt;14/24)</formula>
    </cfRule>
    <cfRule type="expression" dxfId="1780" priority="193">
      <formula>AD$9&lt;8/24</formula>
    </cfRule>
  </conditionalFormatting>
  <conditionalFormatting sqref="AG78">
    <cfRule type="expression" dxfId="1779" priority="169">
      <formula>AG$9&gt;=20/24</formula>
    </cfRule>
    <cfRule type="expression" dxfId="1778" priority="170">
      <formula>AND(AG$9&gt;=14/24,AG$9&lt;20/24)</formula>
    </cfRule>
    <cfRule type="expression" dxfId="1777" priority="171">
      <formula>AND(AG$9&gt;=8/24,AG$9&lt;14/24)</formula>
    </cfRule>
    <cfRule type="expression" dxfId="1776" priority="172">
      <formula>AG$9&lt;8/24</formula>
    </cfRule>
  </conditionalFormatting>
  <conditionalFormatting sqref="AG91:AG92">
    <cfRule type="expression" dxfId="1775" priority="164">
      <formula>AG91&gt;$AG91</formula>
    </cfRule>
  </conditionalFormatting>
  <conditionalFormatting sqref="AG96">
    <cfRule type="expression" dxfId="1774" priority="165">
      <formula>AG$9&gt;=20/24</formula>
    </cfRule>
    <cfRule type="expression" dxfId="1773" priority="166">
      <formula>AND(AG$9&gt;=14/24,AG$9&lt;20/24)</formula>
    </cfRule>
    <cfRule type="expression" dxfId="1772" priority="167">
      <formula>AND(AG$9&gt;=8/24,AG$9&lt;14/24)</formula>
    </cfRule>
    <cfRule type="expression" dxfId="1771" priority="168">
      <formula>AG$9&lt;8/24</formula>
    </cfRule>
  </conditionalFormatting>
  <conditionalFormatting sqref="AG113">
    <cfRule type="expression" dxfId="1770" priority="186">
      <formula>AG$9&gt;=20/24</formula>
    </cfRule>
    <cfRule type="expression" dxfId="1769" priority="187">
      <formula>AND(AG$9&gt;=14/24,AG$9&lt;20/24)</formula>
    </cfRule>
    <cfRule type="expression" dxfId="1768" priority="188">
      <formula>AND(AG$9&gt;=8/24,AG$9&lt;14/24)</formula>
    </cfRule>
    <cfRule type="expression" dxfId="1767" priority="189">
      <formula>AG$9&lt;8/24</formula>
    </cfRule>
  </conditionalFormatting>
  <conditionalFormatting sqref="AH8:AI10">
    <cfRule type="expression" dxfId="1766" priority="77">
      <formula>AH$9&gt;=20/24</formula>
    </cfRule>
    <cfRule type="expression" dxfId="1765" priority="78">
      <formula>AND(AH$9&gt;=14/24,AH$9&lt;20/24)</formula>
    </cfRule>
    <cfRule type="expression" dxfId="1764" priority="79">
      <formula>AND(AH$9&gt;=8/24,AH$9&lt;14/24)</formula>
    </cfRule>
    <cfRule type="expression" dxfId="17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62" priority="207">
      <formula>AJ$9&gt;=20/24</formula>
    </cfRule>
    <cfRule type="expression" dxfId="1761" priority="208">
      <formula>AND(AJ$9&gt;=14/24,AJ$9&lt;20/24)</formula>
    </cfRule>
    <cfRule type="expression" dxfId="1760" priority="209">
      <formula>AND(AJ$9&gt;=8/24,AJ$9&lt;14/24)</formula>
    </cfRule>
    <cfRule type="expression" dxfId="1759" priority="210">
      <formula>AJ$9&lt;8/24</formula>
    </cfRule>
  </conditionalFormatting>
  <conditionalFormatting sqref="AL99:AN99 AL105:AN105">
    <cfRule type="expression" dxfId="1758" priority="179">
      <formula>AL$9&gt;=20/24</formula>
    </cfRule>
    <cfRule type="expression" dxfId="1757" priority="180">
      <formula>AND(AL$9&gt;=14/24,AL$9&lt;20/24)</formula>
    </cfRule>
    <cfRule type="expression" dxfId="1756" priority="181">
      <formula>AND(AL$9&gt;=8/24,AL$9&lt;14/24)</formula>
    </cfRule>
    <cfRule type="expression" dxfId="1755" priority="182">
      <formula>AL$9&lt;8/24</formula>
    </cfRule>
  </conditionalFormatting>
  <conditionalFormatting sqref="AM15:AM21 AN16:AR21">
    <cfRule type="expression" dxfId="1754" priority="103">
      <formula>AX$9&gt;=20/24</formula>
    </cfRule>
    <cfRule type="expression" dxfId="1753" priority="104">
      <formula>AND(AX$9&gt;=14/24,AX$9&lt;20/24)</formula>
    </cfRule>
    <cfRule type="expression" dxfId="1752" priority="105">
      <formula>AND(AX$9&gt;=8/24,AX$9&lt;14/24)</formula>
    </cfRule>
    <cfRule type="expression" dxfId="1751" priority="106">
      <formula>AX$9&lt;8/24</formula>
    </cfRule>
  </conditionalFormatting>
  <conditionalFormatting sqref="AN100:AN103">
    <cfRule type="expression" dxfId="1750" priority="175">
      <formula>AN$9&gt;=20/24</formula>
    </cfRule>
    <cfRule type="expression" dxfId="1749" priority="176">
      <formula>AND(AN$9&gt;=14/24,AN$9&lt;20/24)</formula>
    </cfRule>
    <cfRule type="expression" dxfId="1748" priority="177">
      <formula>AND(AN$9&gt;=8/24,AN$9&lt;14/24)</formula>
    </cfRule>
    <cfRule type="expression" dxfId="1747" priority="178">
      <formula>AN$9&lt;8/24</formula>
    </cfRule>
  </conditionalFormatting>
  <conditionalFormatting sqref="AN15:AR15">
    <cfRule type="expression" dxfId="1746" priority="91">
      <formula>U$9&gt;=20/24</formula>
    </cfRule>
    <cfRule type="expression" dxfId="1745" priority="92">
      <formula>AND(U$9&gt;=14/24,U$9&lt;20/24)</formula>
    </cfRule>
    <cfRule type="expression" dxfId="1744" priority="93">
      <formula>AND(U$9&gt;=8/24,U$9&lt;14/24)</formula>
    </cfRule>
    <cfRule type="expression" dxfId="1743" priority="94">
      <formula>U$9&lt;8/24</formula>
    </cfRule>
  </conditionalFormatting>
  <conditionalFormatting sqref="AS15">
    <cfRule type="expression" dxfId="1742" priority="99">
      <formula>AA$9&gt;=20/24</formula>
    </cfRule>
    <cfRule type="expression" dxfId="1741" priority="100">
      <formula>AND(AA$9&gt;=14/24,AA$9&lt;20/24)</formula>
    </cfRule>
    <cfRule type="expression" dxfId="1740" priority="101">
      <formula>AND(AA$9&gt;=8/24,AA$9&lt;14/24)</formula>
    </cfRule>
    <cfRule type="expression" dxfId="1739" priority="102">
      <formula>AA$9&lt;8/24</formula>
    </cfRule>
  </conditionalFormatting>
  <conditionalFormatting sqref="AS16:AS21">
    <cfRule type="expression" dxfId="1738" priority="107">
      <formula>BE$9&gt;=20/24</formula>
    </cfRule>
    <cfRule type="expression" dxfId="1737" priority="108">
      <formula>AND(BE$9&gt;=14/24,BE$9&lt;20/24)</formula>
    </cfRule>
    <cfRule type="expression" dxfId="1736" priority="109">
      <formula>AND(BE$9&gt;=8/24,BE$9&lt;14/24)</formula>
    </cfRule>
    <cfRule type="expression" dxfId="1735" priority="110">
      <formula>BE$9&lt;8/24</formula>
    </cfRule>
  </conditionalFormatting>
  <conditionalFormatting sqref="AT15 AX15:BJ15">
    <cfRule type="expression" dxfId="1734" priority="111">
      <formula>AC$9&gt;=20/24</formula>
    </cfRule>
    <cfRule type="expression" dxfId="1733" priority="112">
      <formula>AND(AC$9&gt;=14/24,AC$9&lt;20/24)</formula>
    </cfRule>
    <cfRule type="expression" dxfId="1732" priority="113">
      <formula>AND(AC$9&gt;=8/24,AC$9&lt;14/24)</formula>
    </cfRule>
    <cfRule type="expression" dxfId="1731" priority="114">
      <formula>AC$9&lt;8/24</formula>
    </cfRule>
  </conditionalFormatting>
  <conditionalFormatting sqref="AT16:AT21">
    <cfRule type="expression" dxfId="1730" priority="115">
      <formula>BG$9&gt;=20/24</formula>
    </cfRule>
    <cfRule type="expression" dxfId="1729" priority="116">
      <formula>AND(BG$9&gt;=14/24,BG$9&lt;20/24)</formula>
    </cfRule>
    <cfRule type="expression" dxfId="1728" priority="117">
      <formula>AND(BG$9&gt;=8/24,BG$9&lt;14/24)</formula>
    </cfRule>
    <cfRule type="expression" dxfId="1727" priority="118">
      <formula>BG$9&lt;8/24</formula>
    </cfRule>
  </conditionalFormatting>
  <conditionalFormatting sqref="AU15:AV15">
    <cfRule type="expression" dxfId="1726" priority="119">
      <formula>AE$9&gt;=20/24</formula>
    </cfRule>
    <cfRule type="expression" dxfId="1725" priority="120">
      <formula>AND(AE$9&gt;=14/24,AE$9&lt;20/24)</formula>
    </cfRule>
    <cfRule type="expression" dxfId="1724" priority="121">
      <formula>AND(AE$9&gt;=8/24,AE$9&lt;14/24)</formula>
    </cfRule>
    <cfRule type="expression" dxfId="1723" priority="122">
      <formula>AE$9&lt;8/24</formula>
    </cfRule>
  </conditionalFormatting>
  <conditionalFormatting sqref="AU16:BJ21">
    <cfRule type="expression" dxfId="1722" priority="123">
      <formula>BI$9&gt;=20/24</formula>
    </cfRule>
    <cfRule type="expression" dxfId="1721" priority="124">
      <formula>AND(BI$9&gt;=14/24,BI$9&lt;20/24)</formula>
    </cfRule>
    <cfRule type="expression" dxfId="1720" priority="125">
      <formula>AND(BI$9&gt;=8/24,BI$9&lt;14/24)</formula>
    </cfRule>
    <cfRule type="expression" dxfId="1719" priority="126">
      <formula>BI$9&lt;8/24</formula>
    </cfRule>
  </conditionalFormatting>
  <conditionalFormatting sqref="AW15">
    <cfRule type="expression" dxfId="1718" priority="95">
      <formula>B$9&gt;=20/24</formula>
    </cfRule>
    <cfRule type="expression" dxfId="1717" priority="96">
      <formula>AND(B$9&gt;=14/24,B$9&lt;20/24)</formula>
    </cfRule>
    <cfRule type="expression" dxfId="1716" priority="97">
      <formula>AND(B$9&gt;=8/24,B$9&lt;14/24)</formula>
    </cfRule>
    <cfRule type="expression" dxfId="1715" priority="98">
      <formula>B$9&lt;8/24</formula>
    </cfRule>
  </conditionalFormatting>
  <conditionalFormatting sqref="A73">
    <cfRule type="expression" dxfId="1714" priority="46">
      <formula>$AH73=0</formula>
    </cfRule>
  </conditionalFormatting>
  <conditionalFormatting sqref="B97:E107 B137:E152 B109:E112 B125:E134 B154:E159 F97:F102 G98:G102 F126:G133 F137:G151 B11:Y13 AA11:AF13">
    <cfRule type="expression" dxfId="1713" priority="42">
      <formula>B$9&gt;=20/24</formula>
    </cfRule>
  </conditionalFormatting>
  <conditionalFormatting sqref="B97:E107 B137:E152 B109:E112 B125:E134 B154:E159 F97:F102 G98:G102 F126:G133 F137:G151 B11:Y13 AA11:AF13">
    <cfRule type="expression" dxfId="1712" priority="43">
      <formula>AND(B$9&gt;=14/24,B$9&lt;20/24)</formula>
    </cfRule>
    <cfRule type="expression" dxfId="1711" priority="44">
      <formula>AND(B$9&gt;=8/24,B$9&lt;14/24)</formula>
    </cfRule>
    <cfRule type="expression" dxfId="1710" priority="45">
      <formula>B$9&lt;8/24</formula>
    </cfRule>
  </conditionalFormatting>
  <conditionalFormatting sqref="B14:Y28 AA14:AF16">
    <cfRule type="expression" dxfId="1709" priority="32">
      <formula>B14&gt;$AG14*1</formula>
    </cfRule>
    <cfRule type="expression" dxfId="1708" priority="33">
      <formula>B$9&gt;=20/24</formula>
    </cfRule>
    <cfRule type="expression" dxfId="1707" priority="34">
      <formula>AND(B$9&gt;=14/24,B$9&lt;20/24)</formula>
    </cfRule>
    <cfRule type="expression" dxfId="1706" priority="35">
      <formula>AND(B$9&gt;=8/24,B$9&lt;14/24)</formula>
    </cfRule>
    <cfRule type="expression" dxfId="1705" priority="36">
      <formula>B$9&lt;8/24</formula>
    </cfRule>
  </conditionalFormatting>
  <conditionalFormatting sqref="B161:E167">
    <cfRule type="expression" dxfId="1704" priority="37">
      <formula>B$9&gt;=20/24</formula>
    </cfRule>
    <cfRule type="expression" dxfId="1703" priority="38">
      <formula>AND(B$9&gt;=14/24,B$9&lt;20/24)</formula>
    </cfRule>
    <cfRule type="expression" dxfId="1702" priority="39">
      <formula>AND(B$9&gt;=8/24,B$9&lt;14/24)</formula>
    </cfRule>
    <cfRule type="expression" dxfId="1701" priority="40">
      <formula>B$9&lt;8/24</formula>
    </cfRule>
  </conditionalFormatting>
  <conditionalFormatting sqref="B169:E274">
    <cfRule type="expression" dxfId="1700" priority="28">
      <formula>B$9&gt;=20/24</formula>
    </cfRule>
    <cfRule type="expression" dxfId="1699" priority="29">
      <formula>AND(B$9&gt;=14/24,B$9&lt;20/24)</formula>
    </cfRule>
    <cfRule type="expression" dxfId="1698" priority="30">
      <formula>AND(B$9&gt;=8/24,B$9&lt;14/24)</formula>
    </cfRule>
    <cfRule type="expression" dxfId="1697" priority="31">
      <formula>B$9&lt;8/24</formula>
    </cfRule>
  </conditionalFormatting>
  <conditionalFormatting sqref="B11:Y13 AA11:AF13">
    <cfRule type="expression" dxfId="1696" priority="41">
      <formula>B11&gt;$AG11*1</formula>
    </cfRule>
  </conditionalFormatting>
  <conditionalFormatting sqref="A153">
    <cfRule type="expression" dxfId="16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94" priority="23">
      <formula>AL$9&gt;=20/24</formula>
    </cfRule>
  </conditionalFormatting>
  <conditionalFormatting sqref="AL153">
    <cfRule type="expression" dxfId="1693" priority="24">
      <formula>AND(AL$9&gt;=14/24,AL$9&lt;20/24)</formula>
    </cfRule>
    <cfRule type="expression" dxfId="1692" priority="25">
      <formula>AND(AL$9&gt;=8/24,AL$9&lt;14/24)</formula>
    </cfRule>
    <cfRule type="expression" dxfId="1691" priority="26">
      <formula>AL$9&lt;8/24</formula>
    </cfRule>
  </conditionalFormatting>
  <conditionalFormatting sqref="Z56:AF68">
    <cfRule type="expression" dxfId="1690" priority="1">
      <formula>Z$9&gt;=20/24</formula>
    </cfRule>
    <cfRule type="expression" dxfId="1689" priority="2">
      <formula>AND(Z$9&gt;=14/24,Z$9&lt;20/24)</formula>
    </cfRule>
    <cfRule type="expression" dxfId="1688" priority="3">
      <formula>AND(Z$9&gt;=8/24,Z$9&lt;14/24)</formula>
    </cfRule>
  </conditionalFormatting>
  <conditionalFormatting sqref="Z11:Z13">
    <cfRule type="expression" dxfId="1687" priority="17">
      <formula>Z$9&gt;=20/24</formula>
    </cfRule>
  </conditionalFormatting>
  <conditionalFormatting sqref="Z11:Z13">
    <cfRule type="expression" dxfId="1686" priority="18">
      <formula>AND(Z$9&gt;=14/24,Z$9&lt;20/24)</formula>
    </cfRule>
    <cfRule type="expression" dxfId="1685" priority="19">
      <formula>AND(Z$9&gt;=8/24,Z$9&lt;14/24)</formula>
    </cfRule>
    <cfRule type="expression" dxfId="1684" priority="20">
      <formula>Z$9&lt;8/24</formula>
    </cfRule>
  </conditionalFormatting>
  <conditionalFormatting sqref="Z14:Z53 AA17:AF53">
    <cfRule type="expression" dxfId="1683" priority="11">
      <formula>Z14&gt;$AG14*1</formula>
    </cfRule>
    <cfRule type="expression" dxfId="1682" priority="12">
      <formula>Z$9&gt;=20/24</formula>
    </cfRule>
    <cfRule type="expression" dxfId="1681" priority="13">
      <formula>AND(Z$9&gt;=14/24,Z$9&lt;20/24)</formula>
    </cfRule>
    <cfRule type="expression" dxfId="1680" priority="14">
      <formula>AND(Z$9&gt;=8/24,Z$9&lt;14/24)</formula>
    </cfRule>
    <cfRule type="expression" dxfId="1679" priority="15">
      <formula>Z$9&lt;8/24</formula>
    </cfRule>
  </conditionalFormatting>
  <conditionalFormatting sqref="Z54:AF55">
    <cfRule type="expression" dxfId="1678" priority="10">
      <formula>Z$9&lt;8/24</formula>
    </cfRule>
  </conditionalFormatting>
  <conditionalFormatting sqref="Z54:AF55 Z69:AF70">
    <cfRule type="expression" dxfId="1677" priority="7">
      <formula>Z$9&gt;=20/24</formula>
    </cfRule>
    <cfRule type="expression" dxfId="1676" priority="8">
      <formula>AND(Z$9&gt;=14/24,Z$9&lt;20/24)</formula>
    </cfRule>
    <cfRule type="expression" dxfId="1675" priority="9">
      <formula>AND(Z$9&gt;=8/24,Z$9&lt;14/24)</formula>
    </cfRule>
  </conditionalFormatting>
  <conditionalFormatting sqref="Z69:AF70">
    <cfRule type="expression" dxfId="1674" priority="21">
      <formula>Z$9&lt;8/24</formula>
    </cfRule>
  </conditionalFormatting>
  <conditionalFormatting sqref="Z11:Z13 Z69:AF69">
    <cfRule type="expression" dxfId="1673" priority="16">
      <formula>Z11&gt;$AG11*1</formula>
    </cfRule>
  </conditionalFormatting>
  <conditionalFormatting sqref="Z54:AF55 Z69:AF70">
    <cfRule type="expression" dxfId="1672" priority="22">
      <formula>Z54&gt;$AG54</formula>
    </cfRule>
  </conditionalFormatting>
  <conditionalFormatting sqref="Z56:AF68">
    <cfRule type="expression" dxfId="1671" priority="4">
      <formula>Z$9&lt;8/24</formula>
    </cfRule>
  </conditionalFormatting>
  <conditionalFormatting sqref="Z63:AF65">
    <cfRule type="expression" dxfId="1670" priority="5">
      <formula>Z63&gt;$AG63</formula>
    </cfRule>
  </conditionalFormatting>
  <conditionalFormatting sqref="Z66:AF68 Z56:AF62">
    <cfRule type="expression" dxfId="16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68" priority="97">
      <formula>$AH11=0</formula>
    </cfRule>
  </conditionalFormatting>
  <conditionalFormatting sqref="A101:A102">
    <cfRule type="expression" dxfId="1667" priority="265">
      <formula>$AH106=0</formula>
    </cfRule>
  </conditionalFormatting>
  <conditionalFormatting sqref="A103:A107">
    <cfRule type="expression" dxfId="1666" priority="213">
      <formula>$AH102=0</formula>
    </cfRule>
  </conditionalFormatting>
  <conditionalFormatting sqref="A160:A167">
    <cfRule type="expression" dxfId="1665" priority="266">
      <formula>$AH267=0</formula>
    </cfRule>
  </conditionalFormatting>
  <conditionalFormatting sqref="A168:A275">
    <cfRule type="expression" dxfId="1664" priority="136">
      <formula>$AH168=0</formula>
    </cfRule>
  </conditionalFormatting>
  <conditionalFormatting sqref="B8">
    <cfRule type="expression" dxfId="1663" priority="261">
      <formula>AND(C$9&gt;=14/24,C$9&lt;20/24)</formula>
    </cfRule>
    <cfRule type="expression" dxfId="1662" priority="262">
      <formula>AND(C$9&gt;=8/24,C$9&lt;14/24)</formula>
    </cfRule>
    <cfRule type="expression" dxfId="1661" priority="263">
      <formula>C$9&lt;8/24</formula>
    </cfRule>
    <cfRule type="expression" dxfId="16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8" priority="179">
      <formula>AND(B$9&gt;=14/24,B$9&lt;20/24)</formula>
    </cfRule>
    <cfRule type="expression" dxfId="1657" priority="180">
      <formula>AND(B$9&gt;=8/24,B$9&lt;14/24)</formula>
    </cfRule>
    <cfRule type="expression" dxfId="1656" priority="181">
      <formula>B$9&lt;8/24</formula>
    </cfRule>
  </conditionalFormatting>
  <conditionalFormatting sqref="AA14:AF53">
    <cfRule type="expression" dxfId="1655" priority="121">
      <formula>AA14&gt;$AG14*1</formula>
    </cfRule>
    <cfRule type="expression" dxfId="1654" priority="122">
      <formula>AA$9&gt;=20/24</formula>
    </cfRule>
    <cfRule type="expression" dxfId="1653" priority="123">
      <formula>AND(AA$9&gt;=14/24,AA$9&lt;20/24)</formula>
    </cfRule>
    <cfRule type="expression" dxfId="1652" priority="124">
      <formula>AND(AA$9&gt;=8/24,AA$9&lt;14/24)</formula>
    </cfRule>
    <cfRule type="expression" dxfId="1651" priority="125">
      <formula>AA$9&lt;8/24</formula>
    </cfRule>
  </conditionalFormatting>
  <conditionalFormatting sqref="AA54:AF68">
    <cfRule type="expression" dxfId="1650" priority="114">
      <formula>AA$9&lt;8/24</formula>
    </cfRule>
  </conditionalFormatting>
  <conditionalFormatting sqref="AA54:AF70">
    <cfRule type="expression" dxfId="1649" priority="111">
      <formula>AA$9&gt;=20/24</formula>
    </cfRule>
    <cfRule type="expression" dxfId="1648" priority="112">
      <formula>AND(AA$9&gt;=14/24,AA$9&lt;20/24)</formula>
    </cfRule>
    <cfRule type="expression" dxfId="1647" priority="113">
      <formula>AND(AA$9&gt;=8/24,AA$9&lt;14/24)</formula>
    </cfRule>
  </conditionalFormatting>
  <conditionalFormatting sqref="AA63:AF65">
    <cfRule type="expression" dxfId="1646" priority="115">
      <formula>AA63&gt;$AG63</formula>
    </cfRule>
  </conditionalFormatting>
  <conditionalFormatting sqref="AA69:AF70">
    <cfRule type="expression" dxfId="1645" priority="186">
      <formula>AA$9&lt;8/24</formula>
    </cfRule>
  </conditionalFormatting>
  <conditionalFormatting sqref="AA72:AF75">
    <cfRule type="expression" dxfId="1644" priority="102">
      <formula>AA72&gt;$AG72*1</formula>
    </cfRule>
  </conditionalFormatting>
  <conditionalFormatting sqref="AA73:AF75">
    <cfRule type="expression" dxfId="1643" priority="103">
      <formula>AA$9&gt;=20/24</formula>
    </cfRule>
    <cfRule type="expression" dxfId="1642" priority="104">
      <formula>AND(AA$9&gt;=14/24,AA$9&lt;20/24)</formula>
    </cfRule>
    <cfRule type="expression" dxfId="1641" priority="105">
      <formula>AND(AA$9&gt;=8/24,AA$9&lt;14/24)</formula>
    </cfRule>
    <cfRule type="expression" dxfId="1640" priority="106">
      <formula>AA$9&lt;8/24</formula>
    </cfRule>
  </conditionalFormatting>
  <conditionalFormatting sqref="C161:AF167">
    <cfRule type="expression" dxfId="1639" priority="137">
      <formula>C$9&gt;=20/24</formula>
    </cfRule>
    <cfRule type="expression" dxfId="1638" priority="138">
      <formula>AND(C$9&gt;=14/24,C$9&lt;20/24)</formula>
    </cfRule>
    <cfRule type="expression" dxfId="1637" priority="139">
      <formula>AND(C$9&gt;=8/24,C$9&lt;14/24)</formula>
    </cfRule>
    <cfRule type="expression" dxfId="1636" priority="140">
      <formula>C$9&lt;8/24</formula>
    </cfRule>
  </conditionalFormatting>
  <conditionalFormatting sqref="C169:AF274">
    <cfRule type="expression" dxfId="1635" priority="98">
      <formula>C$9&gt;=20/24</formula>
    </cfRule>
    <cfRule type="expression" dxfId="1634" priority="99">
      <formula>AND(C$9&gt;=14/24,C$9&lt;20/24)</formula>
    </cfRule>
    <cfRule type="expression" dxfId="1633" priority="100">
      <formula>AND(C$9&gt;=8/24,C$9&lt;14/24)</formula>
    </cfRule>
    <cfRule type="expression" dxfId="1632" priority="101">
      <formula>C$9&lt;8/24</formula>
    </cfRule>
  </conditionalFormatting>
  <conditionalFormatting sqref="B96:M96 B91:D92 E91:M95 AA96:AG96 N91:Z96 B71:AG71 B78:AG78 AA11:AF13 AA69:AF70 AA76:AF77 AA79:AF95">
    <cfRule type="expression" dxfId="1631" priority="177">
      <formula>B11&gt;$AG11*1</formula>
    </cfRule>
  </conditionalFormatting>
  <conditionalFormatting sqref="G78:AF78 AA72:AF72 AA76:AF77">
    <cfRule type="expression" dxfId="1630" priority="197">
      <formula>G$9&gt;=20/24</formula>
    </cfRule>
    <cfRule type="expression" dxfId="1629" priority="198">
      <formula>AND(G$9&gt;=14/24,G$9&lt;20/24)</formula>
    </cfRule>
    <cfRule type="expression" dxfId="1628" priority="199">
      <formula>AND(G$9&gt;=8/24,G$9&lt;14/24)</formula>
    </cfRule>
    <cfRule type="expression" dxfId="1627" priority="200">
      <formula>G$9&lt;8/24</formula>
    </cfRule>
  </conditionalFormatting>
  <conditionalFormatting sqref="AA73:AF75">
    <cfRule type="expression" dxfId="1626" priority="107">
      <formula>AA$9&gt;=20/24</formula>
    </cfRule>
    <cfRule type="expression" dxfId="1625" priority="108">
      <formula>AND(AA$9&gt;=14/24,AA$9&lt;20/24)</formula>
    </cfRule>
    <cfRule type="expression" dxfId="1624" priority="109">
      <formula>AND(AA$9&gt;=8/24,AA$9&lt;14/24)</formula>
    </cfRule>
    <cfRule type="expression" dxfId="1623" priority="110">
      <formula>AA$9&lt;8/24</formula>
    </cfRule>
  </conditionalFormatting>
  <conditionalFormatting sqref="AA84:AF84">
    <cfRule type="expression" dxfId="1622" priority="201">
      <formula>AA$9&gt;=20/24</formula>
    </cfRule>
    <cfRule type="expression" dxfId="1621" priority="202">
      <formula>AND(AA$9&gt;=14/24,AA$9&lt;20/24)</formula>
    </cfRule>
    <cfRule type="expression" dxfId="1620" priority="203">
      <formula>AND(AA$9&gt;=8/24,AA$9&lt;14/24)</formula>
    </cfRule>
    <cfRule type="expression" dxfId="1619" priority="204">
      <formula>AA$9&lt;8/24</formula>
    </cfRule>
  </conditionalFormatting>
  <conditionalFormatting sqref="M8 S8 AB8">
    <cfRule type="expression" dxfId="1618" priority="254">
      <formula>AND(N$9&gt;=14/24,N$9&lt;20/24)</formula>
    </cfRule>
    <cfRule type="expression" dxfId="1617" priority="255">
      <formula>AND(N$9&gt;=8/24,N$9&lt;14/24)</formula>
    </cfRule>
    <cfRule type="expression" dxfId="1616" priority="256">
      <formula>N$9&lt;8/24</formula>
    </cfRule>
  </conditionalFormatting>
  <conditionalFormatting sqref="AA80:AF83">
    <cfRule type="expression" dxfId="1615" priority="209">
      <formula>AA$9&gt;=20/24</formula>
    </cfRule>
    <cfRule type="expression" dxfId="1614" priority="210">
      <formula>AND(AA$9&gt;=14/24,AA$9&lt;20/24)</formula>
    </cfRule>
    <cfRule type="expression" dxfId="1613" priority="211">
      <formula>AND(AA$9&gt;=8/24,AA$9&lt;14/24)</formula>
    </cfRule>
    <cfRule type="expression" dxfId="16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11" priority="253">
      <formula>N$9&gt;=20/24</formula>
    </cfRule>
  </conditionalFormatting>
  <conditionalFormatting sqref="S8">
    <cfRule type="expression" dxfId="1610" priority="244">
      <formula>U$9&gt;=20/24</formula>
    </cfRule>
    <cfRule type="expression" dxfId="1609" priority="245">
      <formula>AND(U$9&gt;=14/24,U$9&lt;20/24)</formula>
    </cfRule>
    <cfRule type="expression" dxfId="1608" priority="246">
      <formula>AND(U$9&gt;=8/24,U$9&lt;14/24)</formula>
    </cfRule>
    <cfRule type="expression" dxfId="1607" priority="247">
      <formula>U$9&lt;8/24</formula>
    </cfRule>
  </conditionalFormatting>
  <conditionalFormatting sqref="AA79:AF84">
    <cfRule type="expression" dxfId="1606" priority="131">
      <formula>AA$9&gt;=20/24</formula>
    </cfRule>
    <cfRule type="expression" dxfId="1605" priority="132">
      <formula>AND(AA$9&gt;=14/24,AA$9&lt;20/24)</formula>
    </cfRule>
    <cfRule type="expression" dxfId="1604" priority="133">
      <formula>AND(AA$9&gt;=8/24,AA$9&lt;14/24)</formula>
    </cfRule>
    <cfRule type="expression" dxfId="16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602" priority="116">
      <formula>AA$9&gt;=20/24</formula>
    </cfRule>
    <cfRule type="expression" dxfId="1601" priority="117">
      <formula>AND(AA$9&gt;=14/24,AA$9&lt;20/24)</formula>
    </cfRule>
    <cfRule type="expression" dxfId="1600" priority="118">
      <formula>AND(AA$9&gt;=8/24,AA$9&lt;14/24)</formula>
    </cfRule>
    <cfRule type="expression" dxfId="1599" priority="119">
      <formula>AA$9&lt;8/24</formula>
    </cfRule>
  </conditionalFormatting>
  <conditionalFormatting sqref="AA54:AF62 AA66:AF69">
    <cfRule type="expression" dxfId="1598" priority="191">
      <formula>AA54&gt;$AG54</formula>
    </cfRule>
  </conditionalFormatting>
  <conditionalFormatting sqref="AB8">
    <cfRule type="expression" dxfId="1597" priority="240">
      <formula>AD$9&gt;=20/24</formula>
    </cfRule>
    <cfRule type="expression" dxfId="1596" priority="241">
      <formula>AND(AD$9&gt;=14/24,AD$9&lt;20/24)</formula>
    </cfRule>
    <cfRule type="expression" dxfId="1595" priority="242">
      <formula>AND(AD$9&gt;=8/24,AD$9&lt;14/24)</formula>
    </cfRule>
    <cfRule type="expression" dxfId="1594" priority="243">
      <formula>AD$9&lt;8/24</formula>
    </cfRule>
  </conditionalFormatting>
  <conditionalFormatting sqref="AG78">
    <cfRule type="expression" dxfId="1593" priority="219">
      <formula>AG$9&gt;=20/24</formula>
    </cfRule>
    <cfRule type="expression" dxfId="1592" priority="220">
      <formula>AND(AG$9&gt;=14/24,AG$9&lt;20/24)</formula>
    </cfRule>
    <cfRule type="expression" dxfId="1591" priority="221">
      <formula>AND(AG$9&gt;=8/24,AG$9&lt;14/24)</formula>
    </cfRule>
    <cfRule type="expression" dxfId="1590" priority="222">
      <formula>AG$9&lt;8/24</formula>
    </cfRule>
  </conditionalFormatting>
  <conditionalFormatting sqref="AG91:AG92">
    <cfRule type="expression" dxfId="1589" priority="214">
      <formula>AG91&gt;$AG91</formula>
    </cfRule>
  </conditionalFormatting>
  <conditionalFormatting sqref="AG96">
    <cfRule type="expression" dxfId="1588" priority="215">
      <formula>AG$9&gt;=20/24</formula>
    </cfRule>
    <cfRule type="expression" dxfId="1587" priority="216">
      <formula>AND(AG$9&gt;=14/24,AG$9&lt;20/24)</formula>
    </cfRule>
    <cfRule type="expression" dxfId="1586" priority="217">
      <formula>AND(AG$9&gt;=8/24,AG$9&lt;14/24)</formula>
    </cfRule>
    <cfRule type="expression" dxfId="1585" priority="218">
      <formula>AG$9&lt;8/24</formula>
    </cfRule>
  </conditionalFormatting>
  <conditionalFormatting sqref="AG113">
    <cfRule type="expression" dxfId="1584" priority="236">
      <formula>AG$9&gt;=20/24</formula>
    </cfRule>
    <cfRule type="expression" dxfId="1583" priority="237">
      <formula>AND(AG$9&gt;=14/24,AG$9&lt;20/24)</formula>
    </cfRule>
    <cfRule type="expression" dxfId="1582" priority="238">
      <formula>AND(AG$9&gt;=8/24,AG$9&lt;14/24)</formula>
    </cfRule>
    <cfRule type="expression" dxfId="1581" priority="239">
      <formula>AG$9&lt;8/24</formula>
    </cfRule>
  </conditionalFormatting>
  <conditionalFormatting sqref="AH8:AI10">
    <cfRule type="expression" dxfId="1580" priority="127">
      <formula>AH$9&gt;=20/24</formula>
    </cfRule>
    <cfRule type="expression" dxfId="1579" priority="128">
      <formula>AND(AH$9&gt;=14/24,AH$9&lt;20/24)</formula>
    </cfRule>
    <cfRule type="expression" dxfId="1578" priority="129">
      <formula>AND(AH$9&gt;=8/24,AH$9&lt;14/24)</formula>
    </cfRule>
    <cfRule type="expression" dxfId="15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76" priority="257">
      <formula>AJ$9&gt;=20/24</formula>
    </cfRule>
    <cfRule type="expression" dxfId="1575" priority="258">
      <formula>AND(AJ$9&gt;=14/24,AJ$9&lt;20/24)</formula>
    </cfRule>
    <cfRule type="expression" dxfId="1574" priority="259">
      <formula>AND(AJ$9&gt;=8/24,AJ$9&lt;14/24)</formula>
    </cfRule>
    <cfRule type="expression" dxfId="1573" priority="260">
      <formula>AJ$9&lt;8/24</formula>
    </cfRule>
  </conditionalFormatting>
  <conditionalFormatting sqref="AL99:AN99 AL105:AN105">
    <cfRule type="expression" dxfId="1572" priority="229">
      <formula>AL$9&gt;=20/24</formula>
    </cfRule>
    <cfRule type="expression" dxfId="1571" priority="230">
      <formula>AND(AL$9&gt;=14/24,AL$9&lt;20/24)</formula>
    </cfRule>
    <cfRule type="expression" dxfId="1570" priority="231">
      <formula>AND(AL$9&gt;=8/24,AL$9&lt;14/24)</formula>
    </cfRule>
    <cfRule type="expression" dxfId="1569" priority="232">
      <formula>AL$9&lt;8/24</formula>
    </cfRule>
  </conditionalFormatting>
  <conditionalFormatting sqref="AM15:AM21 AN16:AR21">
    <cfRule type="expression" dxfId="1568" priority="153">
      <formula>AX$9&gt;=20/24</formula>
    </cfRule>
    <cfRule type="expression" dxfId="1567" priority="154">
      <formula>AND(AX$9&gt;=14/24,AX$9&lt;20/24)</formula>
    </cfRule>
    <cfRule type="expression" dxfId="1566" priority="155">
      <formula>AND(AX$9&gt;=8/24,AX$9&lt;14/24)</formula>
    </cfRule>
    <cfRule type="expression" dxfId="1565" priority="156">
      <formula>AX$9&lt;8/24</formula>
    </cfRule>
  </conditionalFormatting>
  <conditionalFormatting sqref="AN100:AN103">
    <cfRule type="expression" dxfId="1564" priority="225">
      <formula>AN$9&gt;=20/24</formula>
    </cfRule>
    <cfRule type="expression" dxfId="1563" priority="226">
      <formula>AND(AN$9&gt;=14/24,AN$9&lt;20/24)</formula>
    </cfRule>
    <cfRule type="expression" dxfId="1562" priority="227">
      <formula>AND(AN$9&gt;=8/24,AN$9&lt;14/24)</formula>
    </cfRule>
    <cfRule type="expression" dxfId="1561" priority="228">
      <formula>AN$9&lt;8/24</formula>
    </cfRule>
  </conditionalFormatting>
  <conditionalFormatting sqref="AN15:AR15">
    <cfRule type="expression" dxfId="1560" priority="141">
      <formula>U$9&gt;=20/24</formula>
    </cfRule>
    <cfRule type="expression" dxfId="1559" priority="142">
      <formula>AND(U$9&gt;=14/24,U$9&lt;20/24)</formula>
    </cfRule>
    <cfRule type="expression" dxfId="1558" priority="143">
      <formula>AND(U$9&gt;=8/24,U$9&lt;14/24)</formula>
    </cfRule>
    <cfRule type="expression" dxfId="1557" priority="144">
      <formula>U$9&lt;8/24</formula>
    </cfRule>
  </conditionalFormatting>
  <conditionalFormatting sqref="AS15">
    <cfRule type="expression" dxfId="1556" priority="149">
      <formula>AA$9&gt;=20/24</formula>
    </cfRule>
    <cfRule type="expression" dxfId="1555" priority="150">
      <formula>AND(AA$9&gt;=14/24,AA$9&lt;20/24)</formula>
    </cfRule>
    <cfRule type="expression" dxfId="1554" priority="151">
      <formula>AND(AA$9&gt;=8/24,AA$9&lt;14/24)</formula>
    </cfRule>
    <cfRule type="expression" dxfId="1553" priority="152">
      <formula>AA$9&lt;8/24</formula>
    </cfRule>
  </conditionalFormatting>
  <conditionalFormatting sqref="AS16:AS21">
    <cfRule type="expression" dxfId="1552" priority="157">
      <formula>BE$9&gt;=20/24</formula>
    </cfRule>
    <cfRule type="expression" dxfId="1551" priority="158">
      <formula>AND(BE$9&gt;=14/24,BE$9&lt;20/24)</formula>
    </cfRule>
    <cfRule type="expression" dxfId="1550" priority="159">
      <formula>AND(BE$9&gt;=8/24,BE$9&lt;14/24)</formula>
    </cfRule>
    <cfRule type="expression" dxfId="1549" priority="160">
      <formula>BE$9&lt;8/24</formula>
    </cfRule>
  </conditionalFormatting>
  <conditionalFormatting sqref="AT15 AX15:BJ15">
    <cfRule type="expression" dxfId="1548" priority="161">
      <formula>AC$9&gt;=20/24</formula>
    </cfRule>
    <cfRule type="expression" dxfId="1547" priority="162">
      <formula>AND(AC$9&gt;=14/24,AC$9&lt;20/24)</formula>
    </cfRule>
    <cfRule type="expression" dxfId="1546" priority="163">
      <formula>AND(AC$9&gt;=8/24,AC$9&lt;14/24)</formula>
    </cfRule>
    <cfRule type="expression" dxfId="1545" priority="164">
      <formula>AC$9&lt;8/24</formula>
    </cfRule>
  </conditionalFormatting>
  <conditionalFormatting sqref="AT16:AT21">
    <cfRule type="expression" dxfId="1544" priority="165">
      <formula>BG$9&gt;=20/24</formula>
    </cfRule>
    <cfRule type="expression" dxfId="1543" priority="166">
      <formula>AND(BG$9&gt;=14/24,BG$9&lt;20/24)</formula>
    </cfRule>
    <cfRule type="expression" dxfId="1542" priority="167">
      <formula>AND(BG$9&gt;=8/24,BG$9&lt;14/24)</formula>
    </cfRule>
    <cfRule type="expression" dxfId="1541" priority="168">
      <formula>BG$9&lt;8/24</formula>
    </cfRule>
  </conditionalFormatting>
  <conditionalFormatting sqref="AU15:AV15">
    <cfRule type="expression" dxfId="1540" priority="169">
      <formula>AE$9&gt;=20/24</formula>
    </cfRule>
    <cfRule type="expression" dxfId="1539" priority="170">
      <formula>AND(AE$9&gt;=14/24,AE$9&lt;20/24)</formula>
    </cfRule>
    <cfRule type="expression" dxfId="1538" priority="171">
      <formula>AND(AE$9&gt;=8/24,AE$9&lt;14/24)</formula>
    </cfRule>
    <cfRule type="expression" dxfId="1537" priority="172">
      <formula>AE$9&lt;8/24</formula>
    </cfRule>
  </conditionalFormatting>
  <conditionalFormatting sqref="AU16:BJ21">
    <cfRule type="expression" dxfId="1536" priority="173">
      <formula>BI$9&gt;=20/24</formula>
    </cfRule>
    <cfRule type="expression" dxfId="1535" priority="174">
      <formula>AND(BI$9&gt;=14/24,BI$9&lt;20/24)</formula>
    </cfRule>
    <cfRule type="expression" dxfId="1534" priority="175">
      <formula>AND(BI$9&gt;=8/24,BI$9&lt;14/24)</formula>
    </cfRule>
    <cfRule type="expression" dxfId="1533" priority="176">
      <formula>BI$9&lt;8/24</formula>
    </cfRule>
  </conditionalFormatting>
  <conditionalFormatting sqref="AW15">
    <cfRule type="expression" dxfId="1532" priority="145">
      <formula>B$9&gt;=20/24</formula>
    </cfRule>
    <cfRule type="expression" dxfId="1531" priority="146">
      <formula>AND(B$9&gt;=14/24,B$9&lt;20/24)</formula>
    </cfRule>
    <cfRule type="expression" dxfId="1530" priority="147">
      <formula>AND(B$9&gt;=8/24,B$9&lt;14/24)</formula>
    </cfRule>
    <cfRule type="expression" dxfId="1529" priority="148">
      <formula>B$9&lt;8/24</formula>
    </cfRule>
  </conditionalFormatting>
  <conditionalFormatting sqref="A73">
    <cfRule type="expression" dxfId="1528" priority="96">
      <formula>$AH73=0</formula>
    </cfRule>
  </conditionalFormatting>
  <conditionalFormatting sqref="B97:B107 B152 B109:B112 B125 B154:B159 B134">
    <cfRule type="expression" dxfId="1527" priority="92">
      <formula>B$9&gt;=20/24</formula>
    </cfRule>
  </conditionalFormatting>
  <conditionalFormatting sqref="B97:B107 B152 B109:B112 B125 B154:B159 B134">
    <cfRule type="expression" dxfId="1526" priority="93">
      <formula>AND(B$9&gt;=14/24,B$9&lt;20/24)</formula>
    </cfRule>
    <cfRule type="expression" dxfId="1525" priority="94">
      <formula>AND(B$9&gt;=8/24,B$9&lt;14/24)</formula>
    </cfRule>
    <cfRule type="expression" dxfId="1524" priority="95">
      <formula>B$9&lt;8/24</formula>
    </cfRule>
  </conditionalFormatting>
  <conditionalFormatting sqref="B161:B167">
    <cfRule type="expression" dxfId="1523" priority="87">
      <formula>B$9&gt;=20/24</formula>
    </cfRule>
    <cfRule type="expression" dxfId="1522" priority="88">
      <formula>AND(B$9&gt;=14/24,B$9&lt;20/24)</formula>
    </cfRule>
    <cfRule type="expression" dxfId="1521" priority="89">
      <formula>AND(B$9&gt;=8/24,B$9&lt;14/24)</formula>
    </cfRule>
    <cfRule type="expression" dxfId="1520" priority="90">
      <formula>B$9&lt;8/24</formula>
    </cfRule>
  </conditionalFormatting>
  <conditionalFormatting sqref="B169:B274">
    <cfRule type="expression" dxfId="1519" priority="78">
      <formula>B$9&gt;=20/24</formula>
    </cfRule>
    <cfRule type="expression" dxfId="1518" priority="79">
      <formula>AND(B$9&gt;=14/24,B$9&lt;20/24)</formula>
    </cfRule>
    <cfRule type="expression" dxfId="1517" priority="80">
      <formula>AND(B$9&gt;=8/24,B$9&lt;14/24)</formula>
    </cfRule>
    <cfRule type="expression" dxfId="1516" priority="81">
      <formula>B$9&lt;8/24</formula>
    </cfRule>
  </conditionalFormatting>
  <conditionalFormatting sqref="A153">
    <cfRule type="expression" dxfId="15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14" priority="73">
      <formula>AL$9&gt;=20/24</formula>
    </cfRule>
  </conditionalFormatting>
  <conditionalFormatting sqref="AL153">
    <cfRule type="expression" dxfId="1513" priority="74">
      <formula>AND(AL$9&gt;=14/24,AL$9&lt;20/24)</formula>
    </cfRule>
    <cfRule type="expression" dxfId="1512" priority="75">
      <formula>AND(AL$9&gt;=8/24,AL$9&lt;14/24)</formula>
    </cfRule>
    <cfRule type="expression" dxfId="1511" priority="76">
      <formula>AL$9&lt;8/24</formula>
    </cfRule>
  </conditionalFormatting>
  <conditionalFormatting sqref="B11:Z13">
    <cfRule type="expression" dxfId="1510" priority="69">
      <formula>B$9&gt;=20/24</formula>
    </cfRule>
  </conditionalFormatting>
  <conditionalFormatting sqref="B11:Z13">
    <cfRule type="expression" dxfId="1509" priority="70">
      <formula>AND(B$9&gt;=14/24,B$9&lt;20/24)</formula>
    </cfRule>
    <cfRule type="expression" dxfId="1508" priority="71">
      <formula>AND(B$9&gt;=8/24,B$9&lt;14/24)</formula>
    </cfRule>
    <cfRule type="expression" dxfId="1507" priority="72">
      <formula>B$9&lt;8/24</formula>
    </cfRule>
  </conditionalFormatting>
  <conditionalFormatting sqref="B14:Z16">
    <cfRule type="expression" dxfId="1506" priority="63">
      <formula>B14&gt;$AG14*1</formula>
    </cfRule>
    <cfRule type="expression" dxfId="1505" priority="64">
      <formula>B$9&gt;=20/24</formula>
    </cfRule>
    <cfRule type="expression" dxfId="1504" priority="65">
      <formula>AND(B$9&gt;=14/24,B$9&lt;20/24)</formula>
    </cfRule>
    <cfRule type="expression" dxfId="1503" priority="66">
      <formula>AND(B$9&gt;=8/24,B$9&lt;14/24)</formula>
    </cfRule>
    <cfRule type="expression" dxfId="1502" priority="67">
      <formula>B$9&lt;8/24</formula>
    </cfRule>
  </conditionalFormatting>
  <conditionalFormatting sqref="B11:Z13">
    <cfRule type="expression" dxfId="1501" priority="68">
      <formula>B11&gt;$AG11*1</formula>
    </cfRule>
  </conditionalFormatting>
  <conditionalFormatting sqref="B17:Z53">
    <cfRule type="expression" dxfId="1500" priority="55">
      <formula>B17&gt;$AG17*1</formula>
    </cfRule>
    <cfRule type="expression" dxfId="1499" priority="56">
      <formula>B$9&gt;=20/24</formula>
    </cfRule>
    <cfRule type="expression" dxfId="1498" priority="57">
      <formula>AND(B$9&gt;=14/24,B$9&lt;20/24)</formula>
    </cfRule>
    <cfRule type="expression" dxfId="1497" priority="58">
      <formula>AND(B$9&gt;=8/24,B$9&lt;14/24)</formula>
    </cfRule>
    <cfRule type="expression" dxfId="1496" priority="59">
      <formula>B$9&lt;8/24</formula>
    </cfRule>
  </conditionalFormatting>
  <conditionalFormatting sqref="B54:Z55">
    <cfRule type="expression" dxfId="1495" priority="54">
      <formula>B$9&lt;8/24</formula>
    </cfRule>
  </conditionalFormatting>
  <conditionalFormatting sqref="B54:Z55 B69:Z70">
    <cfRule type="expression" dxfId="1494" priority="51">
      <formula>B$9&gt;=20/24</formula>
    </cfRule>
    <cfRule type="expression" dxfId="1493" priority="52">
      <formula>AND(B$9&gt;=14/24,B$9&lt;20/24)</formula>
    </cfRule>
    <cfRule type="expression" dxfId="1492" priority="53">
      <formula>AND(B$9&gt;=8/24,B$9&lt;14/24)</formula>
    </cfRule>
  </conditionalFormatting>
  <conditionalFormatting sqref="B69:Z70">
    <cfRule type="expression" dxfId="1491" priority="61">
      <formula>B$9&lt;8/24</formula>
    </cfRule>
  </conditionalFormatting>
  <conditionalFormatting sqref="B69:Z69">
    <cfRule type="expression" dxfId="1490" priority="60">
      <formula>B69&gt;$AG69*1</formula>
    </cfRule>
  </conditionalFormatting>
  <conditionalFormatting sqref="B54:Z55 B69:Z70">
    <cfRule type="expression" dxfId="1489" priority="62">
      <formula>B54&gt;$AG54</formula>
    </cfRule>
  </conditionalFormatting>
  <conditionalFormatting sqref="B56:Z68">
    <cfRule type="expression" dxfId="1488" priority="48">
      <formula>B$9&lt;8/24</formula>
    </cfRule>
  </conditionalFormatting>
  <conditionalFormatting sqref="B56:Z68">
    <cfRule type="expression" dxfId="1487" priority="45">
      <formula>B$9&gt;=20/24</formula>
    </cfRule>
    <cfRule type="expression" dxfId="1486" priority="46">
      <formula>AND(B$9&gt;=14/24,B$9&lt;20/24)</formula>
    </cfRule>
    <cfRule type="expression" dxfId="1485" priority="47">
      <formula>AND(B$9&gt;=8/24,B$9&lt;14/24)</formula>
    </cfRule>
  </conditionalFormatting>
  <conditionalFormatting sqref="B63:Z65">
    <cfRule type="expression" dxfId="1484" priority="49">
      <formula>B63&gt;$AG63</formula>
    </cfRule>
  </conditionalFormatting>
  <conditionalFormatting sqref="B56:Z62 B66:Z68">
    <cfRule type="expression" dxfId="1483" priority="50">
      <formula>B56&gt;$AG56</formula>
    </cfRule>
  </conditionalFormatting>
  <conditionalFormatting sqref="B76:Z77">
    <cfRule type="expression" dxfId="1482" priority="37">
      <formula>B$9&gt;=20/24</formula>
    </cfRule>
  </conditionalFormatting>
  <conditionalFormatting sqref="B76:Z77">
    <cfRule type="expression" dxfId="1481" priority="38">
      <formula>AND(B$9&gt;=14/24,B$9&lt;20/24)</formula>
    </cfRule>
    <cfRule type="expression" dxfId="1480" priority="39">
      <formula>AND(B$9&gt;=8/24,B$9&lt;14/24)</formula>
    </cfRule>
    <cfRule type="expression" dxfId="1479" priority="40">
      <formula>B$9&lt;8/24</formula>
    </cfRule>
  </conditionalFormatting>
  <conditionalFormatting sqref="B72:Z75">
    <cfRule type="expression" dxfId="1478" priority="31">
      <formula>B72&gt;$AG72*1</formula>
    </cfRule>
  </conditionalFormatting>
  <conditionalFormatting sqref="B73:Z75">
    <cfRule type="expression" dxfId="1477" priority="32">
      <formula>B$9&gt;=20/24</formula>
    </cfRule>
    <cfRule type="expression" dxfId="1476" priority="33">
      <formula>AND(B$9&gt;=14/24,B$9&lt;20/24)</formula>
    </cfRule>
    <cfRule type="expression" dxfId="1475" priority="34">
      <formula>AND(B$9&gt;=8/24,B$9&lt;14/24)</formula>
    </cfRule>
    <cfRule type="expression" dxfId="1474" priority="35">
      <formula>B$9&lt;8/24</formula>
    </cfRule>
  </conditionalFormatting>
  <conditionalFormatting sqref="B76:Z77">
    <cfRule type="expression" dxfId="1473" priority="36">
      <formula>B76&gt;$AG76*1</formula>
    </cfRule>
  </conditionalFormatting>
  <conditionalFormatting sqref="B72:Z72">
    <cfRule type="expression" dxfId="1472" priority="41">
      <formula>B$9&gt;=20/24</formula>
    </cfRule>
    <cfRule type="expression" dxfId="1471" priority="42">
      <formula>AND(B$9&gt;=14/24,B$9&lt;20/24)</formula>
    </cfRule>
    <cfRule type="expression" dxfId="1470" priority="43">
      <formula>AND(B$9&gt;=8/24,B$9&lt;14/24)</formula>
    </cfRule>
    <cfRule type="expression" dxfId="1469" priority="44">
      <formula>B$9&lt;8/24</formula>
    </cfRule>
  </conditionalFormatting>
  <conditionalFormatting sqref="B85:Z90">
    <cfRule type="expression" dxfId="1468" priority="19">
      <formula>B$9&gt;=20/24</formula>
    </cfRule>
  </conditionalFormatting>
  <conditionalFormatting sqref="B85:Z90">
    <cfRule type="expression" dxfId="1467" priority="20">
      <formula>AND(B$9&gt;=14/24,B$9&lt;20/24)</formula>
    </cfRule>
    <cfRule type="expression" dxfId="1466" priority="21">
      <formula>AND(B$9&gt;=8/24,B$9&lt;14/24)</formula>
    </cfRule>
    <cfRule type="expression" dxfId="1465" priority="22">
      <formula>B$9&lt;8/24</formula>
    </cfRule>
  </conditionalFormatting>
  <conditionalFormatting sqref="B79:Z90">
    <cfRule type="expression" dxfId="1464" priority="18">
      <formula>B79&gt;$AG79*1</formula>
    </cfRule>
  </conditionalFormatting>
  <conditionalFormatting sqref="B84:Z84">
    <cfRule type="expression" dxfId="1463" priority="23">
      <formula>B$9&gt;=20/24</formula>
    </cfRule>
    <cfRule type="expression" dxfId="1462" priority="24">
      <formula>AND(B$9&gt;=14/24,B$9&lt;20/24)</formula>
    </cfRule>
    <cfRule type="expression" dxfId="1461" priority="25">
      <formula>AND(B$9&gt;=8/24,B$9&lt;14/24)</formula>
    </cfRule>
    <cfRule type="expression" dxfId="1460" priority="26">
      <formula>B$9&lt;8/24</formula>
    </cfRule>
  </conditionalFormatting>
  <conditionalFormatting sqref="B80:Z83">
    <cfRule type="expression" dxfId="1459" priority="27">
      <formula>B$9&gt;=20/24</formula>
    </cfRule>
    <cfRule type="expression" dxfId="1458" priority="28">
      <formula>AND(B$9&gt;=14/24,B$9&lt;20/24)</formula>
    </cfRule>
    <cfRule type="expression" dxfId="1457" priority="29">
      <formula>AND(B$9&gt;=8/24,B$9&lt;14/24)</formula>
    </cfRule>
    <cfRule type="expression" dxfId="1456" priority="30">
      <formula>B$9&lt;8/24</formula>
    </cfRule>
  </conditionalFormatting>
  <conditionalFormatting sqref="B79:Z84">
    <cfRule type="expression" dxfId="1455" priority="14">
      <formula>B$9&gt;=20/24</formula>
    </cfRule>
    <cfRule type="expression" dxfId="1454" priority="15">
      <formula>AND(B$9&gt;=14/24,B$9&lt;20/24)</formula>
    </cfRule>
    <cfRule type="expression" dxfId="1453" priority="16">
      <formula>AND(B$9&gt;=8/24,B$9&lt;14/24)</formula>
    </cfRule>
    <cfRule type="expression" dxfId="1452" priority="17">
      <formula>B$9&lt;8/24</formula>
    </cfRule>
  </conditionalFormatting>
  <conditionalFormatting sqref="B93:D95">
    <cfRule type="expression" dxfId="1451" priority="10">
      <formula>B$9&gt;=20/24</formula>
    </cfRule>
  </conditionalFormatting>
  <conditionalFormatting sqref="B93:D95">
    <cfRule type="expression" dxfId="1450" priority="11">
      <formula>AND(B$9&gt;=14/24,B$9&lt;20/24)</formula>
    </cfRule>
    <cfRule type="expression" dxfId="1449" priority="12">
      <formula>AND(B$9&gt;=8/24,B$9&lt;14/24)</formula>
    </cfRule>
    <cfRule type="expression" dxfId="1448" priority="13">
      <formula>B$9&lt;8/24</formula>
    </cfRule>
  </conditionalFormatting>
  <conditionalFormatting sqref="B93:D95">
    <cfRule type="expression" dxfId="1447" priority="9">
      <formula>B93&gt;$AG93*1</formula>
    </cfRule>
  </conditionalFormatting>
  <conditionalFormatting sqref="B126:C133">
    <cfRule type="expression" dxfId="1446" priority="5">
      <formula>B$9&gt;=20/24</formula>
    </cfRule>
  </conditionalFormatting>
  <conditionalFormatting sqref="B126:C133">
    <cfRule type="expression" dxfId="1445" priority="6">
      <formula>AND(B$9&gt;=14/24,B$9&lt;20/24)</formula>
    </cfRule>
    <cfRule type="expression" dxfId="1444" priority="7">
      <formula>AND(B$9&gt;=8/24,B$9&lt;14/24)</formula>
    </cfRule>
    <cfRule type="expression" dxfId="1443" priority="8">
      <formula>B$9&lt;8/24</formula>
    </cfRule>
  </conditionalFormatting>
  <conditionalFormatting sqref="B137:C151">
    <cfRule type="expression" dxfId="1442" priority="1">
      <formula>B$9&gt;=20/24</formula>
    </cfRule>
  </conditionalFormatting>
  <conditionalFormatting sqref="B137:C151">
    <cfRule type="expression" dxfId="1441" priority="2">
      <formula>AND(B$9&gt;=14/24,B$9&lt;20/24)</formula>
    </cfRule>
    <cfRule type="expression" dxfId="1440" priority="3">
      <formula>AND(B$9&gt;=8/24,B$9&lt;14/24)</formula>
    </cfRule>
    <cfRule type="expression" dxfId="14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38" priority="25">
      <formula>$AH11=0</formula>
    </cfRule>
  </conditionalFormatting>
  <conditionalFormatting sqref="A101:A102">
    <cfRule type="expression" dxfId="1437" priority="193">
      <formula>$AH106=0</formula>
    </cfRule>
  </conditionalFormatting>
  <conditionalFormatting sqref="A103:A107">
    <cfRule type="expression" dxfId="1436" priority="141">
      <formula>$AH102=0</formula>
    </cfRule>
  </conditionalFormatting>
  <conditionalFormatting sqref="A160:A167">
    <cfRule type="expression" dxfId="1435" priority="194">
      <formula>$AH267=0</formula>
    </cfRule>
  </conditionalFormatting>
  <conditionalFormatting sqref="A168:A275">
    <cfRule type="expression" dxfId="1434" priority="64">
      <formula>$AH168=0</formula>
    </cfRule>
  </conditionalFormatting>
  <conditionalFormatting sqref="B8">
    <cfRule type="expression" dxfId="1433" priority="189">
      <formula>AND(C$9&gt;=14/24,C$9&lt;20/24)</formula>
    </cfRule>
    <cfRule type="expression" dxfId="1432" priority="190">
      <formula>AND(C$9&gt;=8/24,C$9&lt;14/24)</formula>
    </cfRule>
    <cfRule type="expression" dxfId="1431" priority="191">
      <formula>C$9&lt;8/24</formula>
    </cfRule>
    <cfRule type="expression" dxfId="14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8" priority="107">
      <formula>AND(B$9&gt;=14/24,B$9&lt;20/24)</formula>
    </cfRule>
    <cfRule type="expression" dxfId="1427" priority="108">
      <formula>AND(B$9&gt;=8/24,B$9&lt;14/24)</formula>
    </cfRule>
    <cfRule type="expression" dxfId="1426" priority="109">
      <formula>B$9&lt;8/24</formula>
    </cfRule>
  </conditionalFormatting>
  <conditionalFormatting sqref="B29:Y53 Z14:AF53">
    <cfRule type="expression" dxfId="1425" priority="49">
      <formula>B14&gt;$AG14*1</formula>
    </cfRule>
    <cfRule type="expression" dxfId="1424" priority="50">
      <formula>B$9&gt;=20/24</formula>
    </cfRule>
    <cfRule type="expression" dxfId="1423" priority="51">
      <formula>AND(B$9&gt;=14/24,B$9&lt;20/24)</formula>
    </cfRule>
    <cfRule type="expression" dxfId="1422" priority="52">
      <formula>AND(B$9&gt;=8/24,B$9&lt;14/24)</formula>
    </cfRule>
    <cfRule type="expression" dxfId="1421" priority="53">
      <formula>B$9&lt;8/24</formula>
    </cfRule>
  </conditionalFormatting>
  <conditionalFormatting sqref="B54:AF68">
    <cfRule type="expression" dxfId="1420" priority="42">
      <formula>B$9&lt;8/24</formula>
    </cfRule>
  </conditionalFormatting>
  <conditionalFormatting sqref="B54:AF70">
    <cfRule type="expression" dxfId="1419" priority="39">
      <formula>B$9&gt;=20/24</formula>
    </cfRule>
    <cfRule type="expression" dxfId="1418" priority="40">
      <formula>AND(B$9&gt;=14/24,B$9&lt;20/24)</formula>
    </cfRule>
    <cfRule type="expression" dxfId="1417" priority="41">
      <formula>AND(B$9&gt;=8/24,B$9&lt;14/24)</formula>
    </cfRule>
  </conditionalFormatting>
  <conditionalFormatting sqref="B63:AF65">
    <cfRule type="expression" dxfId="1416" priority="43">
      <formula>B63&gt;$AG63</formula>
    </cfRule>
  </conditionalFormatting>
  <conditionalFormatting sqref="B69:AF70">
    <cfRule type="expression" dxfId="1415" priority="114">
      <formula>B$9&lt;8/24</formula>
    </cfRule>
  </conditionalFormatting>
  <conditionalFormatting sqref="B72:AF75">
    <cfRule type="expression" dxfId="1414" priority="30">
      <formula>B72&gt;$AG72*1</formula>
    </cfRule>
  </conditionalFormatting>
  <conditionalFormatting sqref="B73:AF75">
    <cfRule type="expression" dxfId="1413" priority="31">
      <formula>B$9&gt;=20/24</formula>
    </cfRule>
    <cfRule type="expression" dxfId="1412" priority="32">
      <formula>AND(B$9&gt;=14/24,B$9&lt;20/24)</formula>
    </cfRule>
    <cfRule type="expression" dxfId="1411" priority="33">
      <formula>AND(B$9&gt;=8/24,B$9&lt;14/24)</formula>
    </cfRule>
    <cfRule type="expression" dxfId="1410" priority="34">
      <formula>B$9&lt;8/24</formula>
    </cfRule>
  </conditionalFormatting>
  <conditionalFormatting sqref="C161:AF167">
    <cfRule type="expression" dxfId="1409" priority="65">
      <formula>C$9&gt;=20/24</formula>
    </cfRule>
    <cfRule type="expression" dxfId="1408" priority="66">
      <formula>AND(C$9&gt;=14/24,C$9&lt;20/24)</formula>
    </cfRule>
    <cfRule type="expression" dxfId="1407" priority="67">
      <formula>AND(C$9&gt;=8/24,C$9&lt;14/24)</formula>
    </cfRule>
    <cfRule type="expression" dxfId="1406" priority="68">
      <formula>C$9&lt;8/24</formula>
    </cfRule>
  </conditionalFormatting>
  <conditionalFormatting sqref="C169:AF274">
    <cfRule type="expression" dxfId="1405" priority="26">
      <formula>C$9&gt;=20/24</formula>
    </cfRule>
    <cfRule type="expression" dxfId="1404" priority="27">
      <formula>AND(C$9&gt;=14/24,C$9&lt;20/24)</formula>
    </cfRule>
    <cfRule type="expression" dxfId="1403" priority="28">
      <formula>AND(C$9&gt;=8/24,C$9&lt;14/24)</formula>
    </cfRule>
    <cfRule type="expression" dxfId="1402" priority="29">
      <formula>C$9&lt;8/24</formula>
    </cfRule>
  </conditionalFormatting>
  <conditionalFormatting sqref="AA70 AG96 B71:AA71 B69:AA69 AG78 AG71 AB69:AF71 B76:AF96 Z11:AF13">
    <cfRule type="expression" dxfId="1401" priority="105">
      <formula>B11&gt;$AG11*1</formula>
    </cfRule>
  </conditionalFormatting>
  <conditionalFormatting sqref="F79:Y83">
    <cfRule type="expression" dxfId="1400" priority="115">
      <formula>F$9&gt;=20/24</formula>
    </cfRule>
    <cfRule type="expression" dxfId="1399" priority="116">
      <formula>AND(F$9&gt;=14/24,F$9&lt;20/24)</formula>
    </cfRule>
    <cfRule type="expression" dxfId="1398" priority="117">
      <formula>AND(F$9&gt;=8/24,F$9&lt;14/24)</formula>
    </cfRule>
    <cfRule type="expression" dxfId="1397" priority="118">
      <formula>F$9&lt;8/24</formula>
    </cfRule>
  </conditionalFormatting>
  <conditionalFormatting sqref="F84:Y84">
    <cfRule type="expression" dxfId="1396" priority="110">
      <formula>F$9&gt;=20/24</formula>
    </cfRule>
    <cfRule type="expression" dxfId="1395" priority="111">
      <formula>AND(F$9&gt;=14/24,F$9&lt;20/24)</formula>
    </cfRule>
    <cfRule type="expression" dxfId="1394" priority="112">
      <formula>AND(F$9&gt;=8/24,F$9&lt;14/24)</formula>
    </cfRule>
    <cfRule type="expression" dxfId="1393" priority="113">
      <formula>F$9&lt;8/24</formula>
    </cfRule>
  </conditionalFormatting>
  <conditionalFormatting sqref="F78:AC78 Z76:AC77 B72:AF72 AD76:AF78">
    <cfRule type="expression" dxfId="1392" priority="125">
      <formula>B$9&gt;=20/24</formula>
    </cfRule>
    <cfRule type="expression" dxfId="1391" priority="126">
      <formula>AND(B$9&gt;=14/24,B$9&lt;20/24)</formula>
    </cfRule>
    <cfRule type="expression" dxfId="1390" priority="127">
      <formula>AND(B$9&gt;=8/24,B$9&lt;14/24)</formula>
    </cfRule>
    <cfRule type="expression" dxfId="1389" priority="128">
      <formula>B$9&lt;8/24</formula>
    </cfRule>
  </conditionalFormatting>
  <conditionalFormatting sqref="Z73:AF75">
    <cfRule type="expression" dxfId="1388" priority="35">
      <formula>Z$9&gt;=20/24</formula>
    </cfRule>
    <cfRule type="expression" dxfId="1387" priority="36">
      <formula>AND(Z$9&gt;=14/24,Z$9&lt;20/24)</formula>
    </cfRule>
    <cfRule type="expression" dxfId="1386" priority="37">
      <formula>AND(Z$9&gt;=8/24,Z$9&lt;14/24)</formula>
    </cfRule>
    <cfRule type="expression" dxfId="1385" priority="38">
      <formula>Z$9&lt;8/24</formula>
    </cfRule>
  </conditionalFormatting>
  <conditionalFormatting sqref="F79:Y81">
    <cfRule type="expression" dxfId="1384" priority="133">
      <formula>F$9&gt;=20/24</formula>
    </cfRule>
    <cfRule type="expression" dxfId="1383" priority="134">
      <formula>AND(F$9&gt;=14/24,F$9&lt;20/24)</formula>
    </cfRule>
    <cfRule type="expression" dxfId="1382" priority="135">
      <formula>AND(F$9&gt;=8/24,F$9&lt;14/24)</formula>
    </cfRule>
    <cfRule type="expression" dxfId="1381" priority="136">
      <formula>F$9&lt;8/24</formula>
    </cfRule>
  </conditionalFormatting>
  <conditionalFormatting sqref="L84:AF84">
    <cfRule type="expression" dxfId="1380" priority="129">
      <formula>L$9&gt;=20/24</formula>
    </cfRule>
    <cfRule type="expression" dxfId="1379" priority="130">
      <formula>AND(L$9&gt;=14/24,L$9&lt;20/24)</formula>
    </cfRule>
    <cfRule type="expression" dxfId="1378" priority="131">
      <formula>AND(L$9&gt;=8/24,L$9&lt;14/24)</formula>
    </cfRule>
    <cfRule type="expression" dxfId="1377" priority="132">
      <formula>L$9&lt;8/24</formula>
    </cfRule>
  </conditionalFormatting>
  <conditionalFormatting sqref="M8 S8 AB8">
    <cfRule type="expression" dxfId="1376" priority="182">
      <formula>AND(N$9&gt;=14/24,N$9&lt;20/24)</formula>
    </cfRule>
    <cfRule type="expression" dxfId="1375" priority="183">
      <formula>AND(N$9&gt;=8/24,N$9&lt;14/24)</formula>
    </cfRule>
    <cfRule type="expression" dxfId="1374" priority="184">
      <formula>N$9&lt;8/24</formula>
    </cfRule>
  </conditionalFormatting>
  <conditionalFormatting sqref="R79:Y83 Z80:AF83">
    <cfRule type="expression" dxfId="1373" priority="137">
      <formula>R$9&gt;=20/24</formula>
    </cfRule>
    <cfRule type="expression" dxfId="1372" priority="138">
      <formula>AND(R$9&gt;=14/24,R$9&lt;20/24)</formula>
    </cfRule>
    <cfRule type="expression" dxfId="1371" priority="139">
      <formula>AND(R$9&gt;=8/24,R$9&lt;14/24)</formula>
    </cfRule>
    <cfRule type="expression" dxfId="13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69" priority="181">
      <formula>N$9&gt;=20/24</formula>
    </cfRule>
  </conditionalFormatting>
  <conditionalFormatting sqref="S8">
    <cfRule type="expression" dxfId="1368" priority="172">
      <formula>U$9&gt;=20/24</formula>
    </cfRule>
    <cfRule type="expression" dxfId="1367" priority="173">
      <formula>AND(U$9&gt;=14/24,U$9&lt;20/24)</formula>
    </cfRule>
    <cfRule type="expression" dxfId="1366" priority="174">
      <formula>AND(U$9&gt;=8/24,U$9&lt;14/24)</formula>
    </cfRule>
    <cfRule type="expression" dxfId="1365" priority="175">
      <formula>U$9&lt;8/24</formula>
    </cfRule>
  </conditionalFormatting>
  <conditionalFormatting sqref="Z79:AF84">
    <cfRule type="expression" dxfId="1364" priority="59">
      <formula>Z$9&gt;=20/24</formula>
    </cfRule>
    <cfRule type="expression" dxfId="1363" priority="60">
      <formula>AND(Z$9&gt;=14/24,Z$9&lt;20/24)</formula>
    </cfRule>
    <cfRule type="expression" dxfId="1362" priority="61">
      <formula>AND(Z$9&gt;=8/24,Z$9&lt;14/24)</formula>
    </cfRule>
    <cfRule type="expression" dxfId="13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60" priority="44">
      <formula>Z$9&gt;=20/24</formula>
    </cfRule>
    <cfRule type="expression" dxfId="1359" priority="45">
      <formula>AND(Z$9&gt;=14/24,Z$9&lt;20/24)</formula>
    </cfRule>
    <cfRule type="expression" dxfId="1358" priority="46">
      <formula>AND(Z$9&gt;=8/24,Z$9&lt;14/24)</formula>
    </cfRule>
    <cfRule type="expression" dxfId="1357" priority="47">
      <formula>Z$9&lt;8/24</formula>
    </cfRule>
  </conditionalFormatting>
  <conditionalFormatting sqref="Z69:Z70">
    <cfRule type="expression" dxfId="1356" priority="124">
      <formula>Z69&gt;$AG69</formula>
    </cfRule>
  </conditionalFormatting>
  <conditionalFormatting sqref="B66:Y70 B54:AF62 Z66:AF69">
    <cfRule type="expression" dxfId="1355" priority="119">
      <formula>B54&gt;$AG54</formula>
    </cfRule>
  </conditionalFormatting>
  <conditionalFormatting sqref="AB8">
    <cfRule type="expression" dxfId="1354" priority="168">
      <formula>AD$9&gt;=20/24</formula>
    </cfRule>
    <cfRule type="expression" dxfId="1353" priority="169">
      <formula>AND(AD$9&gt;=14/24,AD$9&lt;20/24)</formula>
    </cfRule>
    <cfRule type="expression" dxfId="1352" priority="170">
      <formula>AND(AD$9&gt;=8/24,AD$9&lt;14/24)</formula>
    </cfRule>
    <cfRule type="expression" dxfId="1351" priority="171">
      <formula>AD$9&lt;8/24</formula>
    </cfRule>
  </conditionalFormatting>
  <conditionalFormatting sqref="AG78">
    <cfRule type="expression" dxfId="1350" priority="147">
      <formula>AG$9&gt;=20/24</formula>
    </cfRule>
    <cfRule type="expression" dxfId="1349" priority="148">
      <formula>AND(AG$9&gt;=14/24,AG$9&lt;20/24)</formula>
    </cfRule>
    <cfRule type="expression" dxfId="1348" priority="149">
      <formula>AND(AG$9&gt;=8/24,AG$9&lt;14/24)</formula>
    </cfRule>
    <cfRule type="expression" dxfId="1347" priority="150">
      <formula>AG$9&lt;8/24</formula>
    </cfRule>
  </conditionalFormatting>
  <conditionalFormatting sqref="AG91:AG92">
    <cfRule type="expression" dxfId="1346" priority="142">
      <formula>AG91&gt;$AG91</formula>
    </cfRule>
  </conditionalFormatting>
  <conditionalFormatting sqref="AG96">
    <cfRule type="expression" dxfId="1345" priority="143">
      <formula>AG$9&gt;=20/24</formula>
    </cfRule>
    <cfRule type="expression" dxfId="1344" priority="144">
      <formula>AND(AG$9&gt;=14/24,AG$9&lt;20/24)</formula>
    </cfRule>
    <cfRule type="expression" dxfId="1343" priority="145">
      <formula>AND(AG$9&gt;=8/24,AG$9&lt;14/24)</formula>
    </cfRule>
    <cfRule type="expression" dxfId="1342" priority="146">
      <formula>AG$9&lt;8/24</formula>
    </cfRule>
  </conditionalFormatting>
  <conditionalFormatting sqref="AG113">
    <cfRule type="expression" dxfId="1341" priority="164">
      <formula>AG$9&gt;=20/24</formula>
    </cfRule>
    <cfRule type="expression" dxfId="1340" priority="165">
      <formula>AND(AG$9&gt;=14/24,AG$9&lt;20/24)</formula>
    </cfRule>
    <cfRule type="expression" dxfId="1339" priority="166">
      <formula>AND(AG$9&gt;=8/24,AG$9&lt;14/24)</formula>
    </cfRule>
    <cfRule type="expression" dxfId="1338" priority="167">
      <formula>AG$9&lt;8/24</formula>
    </cfRule>
  </conditionalFormatting>
  <conditionalFormatting sqref="AH8:AI10">
    <cfRule type="expression" dxfId="1337" priority="55">
      <formula>AH$9&gt;=20/24</formula>
    </cfRule>
    <cfRule type="expression" dxfId="1336" priority="56">
      <formula>AND(AH$9&gt;=14/24,AH$9&lt;20/24)</formula>
    </cfRule>
    <cfRule type="expression" dxfId="1335" priority="57">
      <formula>AND(AH$9&gt;=8/24,AH$9&lt;14/24)</formula>
    </cfRule>
    <cfRule type="expression" dxfId="13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33" priority="185">
      <formula>AJ$9&gt;=20/24</formula>
    </cfRule>
    <cfRule type="expression" dxfId="1332" priority="186">
      <formula>AND(AJ$9&gt;=14/24,AJ$9&lt;20/24)</formula>
    </cfRule>
    <cfRule type="expression" dxfId="1331" priority="187">
      <formula>AND(AJ$9&gt;=8/24,AJ$9&lt;14/24)</formula>
    </cfRule>
    <cfRule type="expression" dxfId="1330" priority="188">
      <formula>AJ$9&lt;8/24</formula>
    </cfRule>
  </conditionalFormatting>
  <conditionalFormatting sqref="AL99:AN99 AL105:AN105">
    <cfRule type="expression" dxfId="1329" priority="157">
      <formula>AL$9&gt;=20/24</formula>
    </cfRule>
    <cfRule type="expression" dxfId="1328" priority="158">
      <formula>AND(AL$9&gt;=14/24,AL$9&lt;20/24)</formula>
    </cfRule>
    <cfRule type="expression" dxfId="1327" priority="159">
      <formula>AND(AL$9&gt;=8/24,AL$9&lt;14/24)</formula>
    </cfRule>
    <cfRule type="expression" dxfId="1326" priority="160">
      <formula>AL$9&lt;8/24</formula>
    </cfRule>
  </conditionalFormatting>
  <conditionalFormatting sqref="AM15:AM21 AN16:AR21">
    <cfRule type="expression" dxfId="1325" priority="81">
      <formula>AX$9&gt;=20/24</formula>
    </cfRule>
    <cfRule type="expression" dxfId="1324" priority="82">
      <formula>AND(AX$9&gt;=14/24,AX$9&lt;20/24)</formula>
    </cfRule>
    <cfRule type="expression" dxfId="1323" priority="83">
      <formula>AND(AX$9&gt;=8/24,AX$9&lt;14/24)</formula>
    </cfRule>
    <cfRule type="expression" dxfId="1322" priority="84">
      <formula>AX$9&lt;8/24</formula>
    </cfRule>
  </conditionalFormatting>
  <conditionalFormatting sqref="AN100:AN103">
    <cfRule type="expression" dxfId="1321" priority="153">
      <formula>AN$9&gt;=20/24</formula>
    </cfRule>
    <cfRule type="expression" dxfId="1320" priority="154">
      <formula>AND(AN$9&gt;=14/24,AN$9&lt;20/24)</formula>
    </cfRule>
    <cfRule type="expression" dxfId="1319" priority="155">
      <formula>AND(AN$9&gt;=8/24,AN$9&lt;14/24)</formula>
    </cfRule>
    <cfRule type="expression" dxfId="1318" priority="156">
      <formula>AN$9&lt;8/24</formula>
    </cfRule>
  </conditionalFormatting>
  <conditionalFormatting sqref="AN15:AR15">
    <cfRule type="expression" dxfId="1317" priority="69">
      <formula>U$9&gt;=20/24</formula>
    </cfRule>
    <cfRule type="expression" dxfId="1316" priority="70">
      <formula>AND(U$9&gt;=14/24,U$9&lt;20/24)</formula>
    </cfRule>
    <cfRule type="expression" dxfId="1315" priority="71">
      <formula>AND(U$9&gt;=8/24,U$9&lt;14/24)</formula>
    </cfRule>
    <cfRule type="expression" dxfId="1314" priority="72">
      <formula>U$9&lt;8/24</formula>
    </cfRule>
  </conditionalFormatting>
  <conditionalFormatting sqref="AS15">
    <cfRule type="expression" dxfId="1313" priority="77">
      <formula>AA$9&gt;=20/24</formula>
    </cfRule>
    <cfRule type="expression" dxfId="1312" priority="78">
      <formula>AND(AA$9&gt;=14/24,AA$9&lt;20/24)</formula>
    </cfRule>
    <cfRule type="expression" dxfId="1311" priority="79">
      <formula>AND(AA$9&gt;=8/24,AA$9&lt;14/24)</formula>
    </cfRule>
    <cfRule type="expression" dxfId="1310" priority="80">
      <formula>AA$9&lt;8/24</formula>
    </cfRule>
  </conditionalFormatting>
  <conditionalFormatting sqref="AS16:AS21">
    <cfRule type="expression" dxfId="1309" priority="85">
      <formula>BE$9&gt;=20/24</formula>
    </cfRule>
    <cfRule type="expression" dxfId="1308" priority="86">
      <formula>AND(BE$9&gt;=14/24,BE$9&lt;20/24)</formula>
    </cfRule>
    <cfRule type="expression" dxfId="1307" priority="87">
      <formula>AND(BE$9&gt;=8/24,BE$9&lt;14/24)</formula>
    </cfRule>
    <cfRule type="expression" dxfId="1306" priority="88">
      <formula>BE$9&lt;8/24</formula>
    </cfRule>
  </conditionalFormatting>
  <conditionalFormatting sqref="AT15 AX15:BJ15">
    <cfRule type="expression" dxfId="1305" priority="89">
      <formula>AC$9&gt;=20/24</formula>
    </cfRule>
    <cfRule type="expression" dxfId="1304" priority="90">
      <formula>AND(AC$9&gt;=14/24,AC$9&lt;20/24)</formula>
    </cfRule>
    <cfRule type="expression" dxfId="1303" priority="91">
      <formula>AND(AC$9&gt;=8/24,AC$9&lt;14/24)</formula>
    </cfRule>
    <cfRule type="expression" dxfId="1302" priority="92">
      <formula>AC$9&lt;8/24</formula>
    </cfRule>
  </conditionalFormatting>
  <conditionalFormatting sqref="AT16:AT21">
    <cfRule type="expression" dxfId="1301" priority="93">
      <formula>BG$9&gt;=20/24</formula>
    </cfRule>
    <cfRule type="expression" dxfId="1300" priority="94">
      <formula>AND(BG$9&gt;=14/24,BG$9&lt;20/24)</formula>
    </cfRule>
    <cfRule type="expression" dxfId="1299" priority="95">
      <formula>AND(BG$9&gt;=8/24,BG$9&lt;14/24)</formula>
    </cfRule>
    <cfRule type="expression" dxfId="1298" priority="96">
      <formula>BG$9&lt;8/24</formula>
    </cfRule>
  </conditionalFormatting>
  <conditionalFormatting sqref="AU15:AV15">
    <cfRule type="expression" dxfId="1297" priority="97">
      <formula>AE$9&gt;=20/24</formula>
    </cfRule>
    <cfRule type="expression" dxfId="1296" priority="98">
      <formula>AND(AE$9&gt;=14/24,AE$9&lt;20/24)</formula>
    </cfRule>
    <cfRule type="expression" dxfId="1295" priority="99">
      <formula>AND(AE$9&gt;=8/24,AE$9&lt;14/24)</formula>
    </cfRule>
    <cfRule type="expression" dxfId="1294" priority="100">
      <formula>AE$9&lt;8/24</formula>
    </cfRule>
  </conditionalFormatting>
  <conditionalFormatting sqref="AU16:BJ21">
    <cfRule type="expression" dxfId="1293" priority="101">
      <formula>BI$9&gt;=20/24</formula>
    </cfRule>
    <cfRule type="expression" dxfId="1292" priority="102">
      <formula>AND(BI$9&gt;=14/24,BI$9&lt;20/24)</formula>
    </cfRule>
    <cfRule type="expression" dxfId="1291" priority="103">
      <formula>AND(BI$9&gt;=8/24,BI$9&lt;14/24)</formula>
    </cfRule>
    <cfRule type="expression" dxfId="1290" priority="104">
      <formula>BI$9&lt;8/24</formula>
    </cfRule>
  </conditionalFormatting>
  <conditionalFormatting sqref="AW15">
    <cfRule type="expression" dxfId="1289" priority="73">
      <formula>B$9&gt;=20/24</formula>
    </cfRule>
    <cfRule type="expression" dxfId="1288" priority="74">
      <formula>AND(B$9&gt;=14/24,B$9&lt;20/24)</formula>
    </cfRule>
    <cfRule type="expression" dxfId="1287" priority="75">
      <formula>AND(B$9&gt;=8/24,B$9&lt;14/24)</formula>
    </cfRule>
    <cfRule type="expression" dxfId="1286" priority="76">
      <formula>B$9&lt;8/24</formula>
    </cfRule>
  </conditionalFormatting>
  <conditionalFormatting sqref="A73">
    <cfRule type="expression" dxfId="1285" priority="24">
      <formula>$AH73=0</formula>
    </cfRule>
  </conditionalFormatting>
  <conditionalFormatting sqref="B97:B107 B137:B152 B109:B112 B125:B134 B154:B159 C137:E151 C126:Q133 B11:Y13">
    <cfRule type="expression" dxfId="1284" priority="20">
      <formula>B$9&gt;=20/24</formula>
    </cfRule>
  </conditionalFormatting>
  <conditionalFormatting sqref="B97:B107 B137:B152 B109:B112 B125:B134 B154:B159 C137:E151 C126:Q133 B11:Y13">
    <cfRule type="expression" dxfId="1283" priority="21">
      <formula>AND(B$9&gt;=14/24,B$9&lt;20/24)</formula>
    </cfRule>
    <cfRule type="expression" dxfId="1282" priority="22">
      <formula>AND(B$9&gt;=8/24,B$9&lt;14/24)</formula>
    </cfRule>
    <cfRule type="expression" dxfId="1281" priority="23">
      <formula>B$9&lt;8/24</formula>
    </cfRule>
  </conditionalFormatting>
  <conditionalFormatting sqref="B14:Y28">
    <cfRule type="expression" dxfId="1280" priority="10">
      <formula>B14&gt;$AG14*1</formula>
    </cfRule>
    <cfRule type="expression" dxfId="1279" priority="11">
      <formula>B$9&gt;=20/24</formula>
    </cfRule>
    <cfRule type="expression" dxfId="1278" priority="12">
      <formula>AND(B$9&gt;=14/24,B$9&lt;20/24)</formula>
    </cfRule>
    <cfRule type="expression" dxfId="1277" priority="13">
      <formula>AND(B$9&gt;=8/24,B$9&lt;14/24)</formula>
    </cfRule>
    <cfRule type="expression" dxfId="1276" priority="14">
      <formula>B$9&lt;8/24</formula>
    </cfRule>
  </conditionalFormatting>
  <conditionalFormatting sqref="B161:B167">
    <cfRule type="expression" dxfId="1275" priority="15">
      <formula>B$9&gt;=20/24</formula>
    </cfRule>
    <cfRule type="expression" dxfId="1274" priority="16">
      <formula>AND(B$9&gt;=14/24,B$9&lt;20/24)</formula>
    </cfRule>
    <cfRule type="expression" dxfId="1273" priority="17">
      <formula>AND(B$9&gt;=8/24,B$9&lt;14/24)</formula>
    </cfRule>
    <cfRule type="expression" dxfId="1272" priority="18">
      <formula>B$9&lt;8/24</formula>
    </cfRule>
  </conditionalFormatting>
  <conditionalFormatting sqref="B169:B274">
    <cfRule type="expression" dxfId="1271" priority="6">
      <formula>B$9&gt;=20/24</formula>
    </cfRule>
    <cfRule type="expression" dxfId="1270" priority="7">
      <formula>AND(B$9&gt;=14/24,B$9&lt;20/24)</formula>
    </cfRule>
    <cfRule type="expression" dxfId="1269" priority="8">
      <formula>AND(B$9&gt;=8/24,B$9&lt;14/24)</formula>
    </cfRule>
    <cfRule type="expression" dxfId="1268" priority="9">
      <formula>B$9&lt;8/24</formula>
    </cfRule>
  </conditionalFormatting>
  <conditionalFormatting sqref="B11:Y13">
    <cfRule type="expression" dxfId="1267" priority="19">
      <formula>B11&gt;$AG11*1</formula>
    </cfRule>
  </conditionalFormatting>
  <conditionalFormatting sqref="A153">
    <cfRule type="expression" dxfId="12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65" priority="1">
      <formula>AL$9&gt;=20/24</formula>
    </cfRule>
  </conditionalFormatting>
  <conditionalFormatting sqref="AL153">
    <cfRule type="expression" dxfId="1264" priority="2">
      <formula>AND(AL$9&gt;=14/24,AL$9&lt;20/24)</formula>
    </cfRule>
    <cfRule type="expression" dxfId="1263" priority="3">
      <formula>AND(AL$9&gt;=8/24,AL$9&lt;14/24)</formula>
    </cfRule>
    <cfRule type="expression" dxfId="12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61" priority="25">
      <formula>$AH11=0</formula>
    </cfRule>
  </conditionalFormatting>
  <conditionalFormatting sqref="A101:A102">
    <cfRule type="expression" dxfId="1260" priority="193">
      <formula>$AH106=0</formula>
    </cfRule>
  </conditionalFormatting>
  <conditionalFormatting sqref="A103:A107">
    <cfRule type="expression" dxfId="1259" priority="141">
      <formula>$AH102=0</formula>
    </cfRule>
  </conditionalFormatting>
  <conditionalFormatting sqref="A160:A167">
    <cfRule type="expression" dxfId="1258" priority="194">
      <formula>$AH267=0</formula>
    </cfRule>
  </conditionalFormatting>
  <conditionalFormatting sqref="A168:A275">
    <cfRule type="expression" dxfId="1257" priority="64">
      <formula>$AH168=0</formula>
    </cfRule>
  </conditionalFormatting>
  <conditionalFormatting sqref="B8">
    <cfRule type="expression" dxfId="1256" priority="189">
      <formula>AND(C$9&gt;=14/24,C$9&lt;20/24)</formula>
    </cfRule>
    <cfRule type="expression" dxfId="1255" priority="190">
      <formula>AND(C$9&gt;=8/24,C$9&lt;14/24)</formula>
    </cfRule>
    <cfRule type="expression" dxfId="1254" priority="191">
      <formula>C$9&lt;8/24</formula>
    </cfRule>
    <cfRule type="expression" dxfId="12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1" priority="107">
      <formula>AND(B$9&gt;=14/24,B$9&lt;20/24)</formula>
    </cfRule>
    <cfRule type="expression" dxfId="1250" priority="108">
      <formula>AND(B$9&gt;=8/24,B$9&lt;14/24)</formula>
    </cfRule>
    <cfRule type="expression" dxfId="1249" priority="109">
      <formula>B$9&lt;8/24</formula>
    </cfRule>
  </conditionalFormatting>
  <conditionalFormatting sqref="B29:AF53">
    <cfRule type="expression" dxfId="1248" priority="49">
      <formula>B29&gt;$AG29*1</formula>
    </cfRule>
    <cfRule type="expression" dxfId="1247" priority="50">
      <formula>B$9&gt;=20/24</formula>
    </cfRule>
    <cfRule type="expression" dxfId="1246" priority="51">
      <formula>AND(B$9&gt;=14/24,B$9&lt;20/24)</formula>
    </cfRule>
    <cfRule type="expression" dxfId="1245" priority="52">
      <formula>AND(B$9&gt;=8/24,B$9&lt;14/24)</formula>
    </cfRule>
    <cfRule type="expression" dxfId="1244" priority="53">
      <formula>B$9&lt;8/24</formula>
    </cfRule>
  </conditionalFormatting>
  <conditionalFormatting sqref="B54:AF68">
    <cfRule type="expression" dxfId="1243" priority="42">
      <formula>B$9&lt;8/24</formula>
    </cfRule>
  </conditionalFormatting>
  <conditionalFormatting sqref="B54:AF70">
    <cfRule type="expression" dxfId="1242" priority="39">
      <formula>B$9&gt;=20/24</formula>
    </cfRule>
    <cfRule type="expression" dxfId="1241" priority="40">
      <formula>AND(B$9&gt;=14/24,B$9&lt;20/24)</formula>
    </cfRule>
    <cfRule type="expression" dxfId="1240" priority="41">
      <formula>AND(B$9&gt;=8/24,B$9&lt;14/24)</formula>
    </cfRule>
  </conditionalFormatting>
  <conditionalFormatting sqref="B63:AF65">
    <cfRule type="expression" dxfId="1239" priority="43">
      <formula>B63&gt;$AG63</formula>
    </cfRule>
  </conditionalFormatting>
  <conditionalFormatting sqref="B69:AF70">
    <cfRule type="expression" dxfId="1238" priority="114">
      <formula>B$9&lt;8/24</formula>
    </cfRule>
  </conditionalFormatting>
  <conditionalFormatting sqref="B72:AF75">
    <cfRule type="expression" dxfId="1237" priority="30">
      <formula>B72&gt;$AG72*1</formula>
    </cfRule>
  </conditionalFormatting>
  <conditionalFormatting sqref="B73:AF75">
    <cfRule type="expression" dxfId="1236" priority="31">
      <formula>B$9&gt;=20/24</formula>
    </cfRule>
    <cfRule type="expression" dxfId="1235" priority="32">
      <formula>AND(B$9&gt;=14/24,B$9&lt;20/24)</formula>
    </cfRule>
    <cfRule type="expression" dxfId="1234" priority="33">
      <formula>AND(B$9&gt;=8/24,B$9&lt;14/24)</formula>
    </cfRule>
    <cfRule type="expression" dxfId="1233" priority="34">
      <formula>B$9&lt;8/24</formula>
    </cfRule>
  </conditionalFormatting>
  <conditionalFormatting sqref="C161:AF167">
    <cfRule type="expression" dxfId="1232" priority="65">
      <formula>C$9&gt;=20/24</formula>
    </cfRule>
    <cfRule type="expression" dxfId="1231" priority="66">
      <formula>AND(C$9&gt;=14/24,C$9&lt;20/24)</formula>
    </cfRule>
    <cfRule type="expression" dxfId="1230" priority="67">
      <formula>AND(C$9&gt;=8/24,C$9&lt;14/24)</formula>
    </cfRule>
    <cfRule type="expression" dxfId="1229" priority="68">
      <formula>C$9&lt;8/24</formula>
    </cfRule>
  </conditionalFormatting>
  <conditionalFormatting sqref="C169:AF274">
    <cfRule type="expression" dxfId="1228" priority="26">
      <formula>C$9&gt;=20/24</formula>
    </cfRule>
    <cfRule type="expression" dxfId="1227" priority="27">
      <formula>AND(C$9&gt;=14/24,C$9&lt;20/24)</formula>
    </cfRule>
    <cfRule type="expression" dxfId="1226" priority="28">
      <formula>AND(C$9&gt;=8/24,C$9&lt;14/24)</formula>
    </cfRule>
    <cfRule type="expression" dxfId="1225" priority="29">
      <formula>C$9&lt;8/24</formula>
    </cfRule>
  </conditionalFormatting>
  <conditionalFormatting sqref="AG78 AG96 B71:AG71 B69:AF69 B76:AF96">
    <cfRule type="expression" dxfId="1224" priority="105">
      <formula>B69&gt;$AG69*1</formula>
    </cfRule>
  </conditionalFormatting>
  <conditionalFormatting sqref="G79:AF83">
    <cfRule type="expression" dxfId="1223" priority="115">
      <formula>G$9&gt;=20/24</formula>
    </cfRule>
    <cfRule type="expression" dxfId="1222" priority="116">
      <formula>AND(G$9&gt;=14/24,G$9&lt;20/24)</formula>
    </cfRule>
    <cfRule type="expression" dxfId="1221" priority="117">
      <formula>AND(G$9&gt;=8/24,G$9&lt;14/24)</formula>
    </cfRule>
    <cfRule type="expression" dxfId="1220" priority="118">
      <formula>G$9&lt;8/24</formula>
    </cfRule>
  </conditionalFormatting>
  <conditionalFormatting sqref="G84:AF84">
    <cfRule type="expression" dxfId="1219" priority="110">
      <formula>G$9&gt;=20/24</formula>
    </cfRule>
    <cfRule type="expression" dxfId="1218" priority="111">
      <formula>AND(G$9&gt;=14/24,G$9&lt;20/24)</formula>
    </cfRule>
    <cfRule type="expression" dxfId="1217" priority="112">
      <formula>AND(G$9&gt;=8/24,G$9&lt;14/24)</formula>
    </cfRule>
    <cfRule type="expression" dxfId="1216" priority="113">
      <formula>G$9&lt;8/24</formula>
    </cfRule>
  </conditionalFormatting>
  <conditionalFormatting sqref="G78:AF78 B72:AF72">
    <cfRule type="expression" dxfId="1215" priority="125">
      <formula>B$9&gt;=20/24</formula>
    </cfRule>
    <cfRule type="expression" dxfId="1214" priority="126">
      <formula>AND(B$9&gt;=14/24,B$9&lt;20/24)</formula>
    </cfRule>
    <cfRule type="expression" dxfId="1213" priority="127">
      <formula>AND(B$9&gt;=8/24,B$9&lt;14/24)</formula>
    </cfRule>
    <cfRule type="expression" dxfId="1212" priority="128">
      <formula>B$9&lt;8/24</formula>
    </cfRule>
  </conditionalFormatting>
  <conditionalFormatting sqref="G79:AF81">
    <cfRule type="expression" dxfId="1211" priority="133">
      <formula>G$9&gt;=20/24</formula>
    </cfRule>
    <cfRule type="expression" dxfId="1210" priority="134">
      <formula>AND(G$9&gt;=14/24,G$9&lt;20/24)</formula>
    </cfRule>
    <cfRule type="expression" dxfId="1209" priority="135">
      <formula>AND(G$9&gt;=8/24,G$9&lt;14/24)</formula>
    </cfRule>
    <cfRule type="expression" dxfId="1208" priority="136">
      <formula>G$9&lt;8/24</formula>
    </cfRule>
  </conditionalFormatting>
  <conditionalFormatting sqref="L84:AF84">
    <cfRule type="expression" dxfId="1207" priority="129">
      <formula>L$9&gt;=20/24</formula>
    </cfRule>
    <cfRule type="expression" dxfId="1206" priority="130">
      <formula>AND(L$9&gt;=14/24,L$9&lt;20/24)</formula>
    </cfRule>
    <cfRule type="expression" dxfId="1205" priority="131">
      <formula>AND(L$9&gt;=8/24,L$9&lt;14/24)</formula>
    </cfRule>
    <cfRule type="expression" dxfId="1204" priority="132">
      <formula>L$9&lt;8/24</formula>
    </cfRule>
  </conditionalFormatting>
  <conditionalFormatting sqref="M8 S8 AB8">
    <cfRule type="expression" dxfId="1203" priority="182">
      <formula>AND(N$9&gt;=14/24,N$9&lt;20/24)</formula>
    </cfRule>
    <cfRule type="expression" dxfId="1202" priority="183">
      <formula>AND(N$9&gt;=8/24,N$9&lt;14/24)</formula>
    </cfRule>
    <cfRule type="expression" dxfId="1201" priority="184">
      <formula>N$9&lt;8/24</formula>
    </cfRule>
  </conditionalFormatting>
  <conditionalFormatting sqref="Y79:AF83">
    <cfRule type="expression" dxfId="1200" priority="137">
      <formula>Y$9&gt;=20/24</formula>
    </cfRule>
    <cfRule type="expression" dxfId="1199" priority="138">
      <formula>AND(Y$9&gt;=14/24,Y$9&lt;20/24)</formula>
    </cfRule>
    <cfRule type="expression" dxfId="1198" priority="139">
      <formula>AND(Y$9&gt;=8/24,Y$9&lt;14/24)</formula>
    </cfRule>
    <cfRule type="expression" dxfId="11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6" priority="181">
      <formula>N$9&gt;=20/24</formula>
    </cfRule>
  </conditionalFormatting>
  <conditionalFormatting sqref="S8">
    <cfRule type="expression" dxfId="1195" priority="172">
      <formula>U$9&gt;=20/24</formula>
    </cfRule>
    <cfRule type="expression" dxfId="1194" priority="173">
      <formula>AND(U$9&gt;=14/24,U$9&lt;20/24)</formula>
    </cfRule>
    <cfRule type="expression" dxfId="1193" priority="174">
      <formula>AND(U$9&gt;=8/24,U$9&lt;14/24)</formula>
    </cfRule>
    <cfRule type="expression" dxfId="1192" priority="175">
      <formula>U$9&lt;8/24</formula>
    </cfRule>
  </conditionalFormatting>
  <conditionalFormatting sqref="Y79:AF84">
    <cfRule type="expression" dxfId="1191" priority="59">
      <formula>Y$9&gt;=20/24</formula>
    </cfRule>
    <cfRule type="expression" dxfId="1190" priority="60">
      <formula>AND(Y$9&gt;=14/24,Y$9&lt;20/24)</formula>
    </cfRule>
    <cfRule type="expression" dxfId="1189" priority="61">
      <formula>AND(Y$9&gt;=8/24,Y$9&lt;14/24)</formula>
    </cfRule>
    <cfRule type="expression" dxfId="11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87" priority="119">
      <formula>B54&gt;$AG54</formula>
    </cfRule>
  </conditionalFormatting>
  <conditionalFormatting sqref="AB8">
    <cfRule type="expression" dxfId="1186" priority="168">
      <formula>AD$9&gt;=20/24</formula>
    </cfRule>
    <cfRule type="expression" dxfId="1185" priority="169">
      <formula>AND(AD$9&gt;=14/24,AD$9&lt;20/24)</formula>
    </cfRule>
    <cfRule type="expression" dxfId="1184" priority="170">
      <formula>AND(AD$9&gt;=8/24,AD$9&lt;14/24)</formula>
    </cfRule>
    <cfRule type="expression" dxfId="1183" priority="171">
      <formula>AD$9&lt;8/24</formula>
    </cfRule>
  </conditionalFormatting>
  <conditionalFormatting sqref="AG78">
    <cfRule type="expression" dxfId="1182" priority="147">
      <formula>AG$9&gt;=20/24</formula>
    </cfRule>
    <cfRule type="expression" dxfId="1181" priority="148">
      <formula>AND(AG$9&gt;=14/24,AG$9&lt;20/24)</formula>
    </cfRule>
    <cfRule type="expression" dxfId="1180" priority="149">
      <formula>AND(AG$9&gt;=8/24,AG$9&lt;14/24)</formula>
    </cfRule>
    <cfRule type="expression" dxfId="1179" priority="150">
      <formula>AG$9&lt;8/24</formula>
    </cfRule>
  </conditionalFormatting>
  <conditionalFormatting sqref="AG91:AG92">
    <cfRule type="expression" dxfId="1178" priority="142">
      <formula>AG91&gt;$AG91</formula>
    </cfRule>
  </conditionalFormatting>
  <conditionalFormatting sqref="AG96">
    <cfRule type="expression" dxfId="1177" priority="143">
      <formula>AG$9&gt;=20/24</formula>
    </cfRule>
    <cfRule type="expression" dxfId="1176" priority="144">
      <formula>AND(AG$9&gt;=14/24,AG$9&lt;20/24)</formula>
    </cfRule>
    <cfRule type="expression" dxfId="1175" priority="145">
      <formula>AND(AG$9&gt;=8/24,AG$9&lt;14/24)</formula>
    </cfRule>
    <cfRule type="expression" dxfId="1174" priority="146">
      <formula>AG$9&lt;8/24</formula>
    </cfRule>
  </conditionalFormatting>
  <conditionalFormatting sqref="AG113">
    <cfRule type="expression" dxfId="1173" priority="164">
      <formula>AG$9&gt;=20/24</formula>
    </cfRule>
    <cfRule type="expression" dxfId="1172" priority="165">
      <formula>AND(AG$9&gt;=14/24,AG$9&lt;20/24)</formula>
    </cfRule>
    <cfRule type="expression" dxfId="1171" priority="166">
      <formula>AND(AG$9&gt;=8/24,AG$9&lt;14/24)</formula>
    </cfRule>
    <cfRule type="expression" dxfId="1170" priority="167">
      <formula>AG$9&lt;8/24</formula>
    </cfRule>
  </conditionalFormatting>
  <conditionalFormatting sqref="AH8:AI10">
    <cfRule type="expression" dxfId="1169" priority="55">
      <formula>AH$9&gt;=20/24</formula>
    </cfRule>
    <cfRule type="expression" dxfId="1168" priority="56">
      <formula>AND(AH$9&gt;=14/24,AH$9&lt;20/24)</formula>
    </cfRule>
    <cfRule type="expression" dxfId="1167" priority="57">
      <formula>AND(AH$9&gt;=8/24,AH$9&lt;14/24)</formula>
    </cfRule>
    <cfRule type="expression" dxfId="11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65" priority="185">
      <formula>AJ$9&gt;=20/24</formula>
    </cfRule>
    <cfRule type="expression" dxfId="1164" priority="186">
      <formula>AND(AJ$9&gt;=14/24,AJ$9&lt;20/24)</formula>
    </cfRule>
    <cfRule type="expression" dxfId="1163" priority="187">
      <formula>AND(AJ$9&gt;=8/24,AJ$9&lt;14/24)</formula>
    </cfRule>
    <cfRule type="expression" dxfId="1162" priority="188">
      <formula>AJ$9&lt;8/24</formula>
    </cfRule>
  </conditionalFormatting>
  <conditionalFormatting sqref="AL99:AN99 AL105:AN105">
    <cfRule type="expression" dxfId="1161" priority="157">
      <formula>AL$9&gt;=20/24</formula>
    </cfRule>
    <cfRule type="expression" dxfId="1160" priority="158">
      <formula>AND(AL$9&gt;=14/24,AL$9&lt;20/24)</formula>
    </cfRule>
    <cfRule type="expression" dxfId="1159" priority="159">
      <formula>AND(AL$9&gt;=8/24,AL$9&lt;14/24)</formula>
    </cfRule>
    <cfRule type="expression" dxfId="1158" priority="160">
      <formula>AL$9&lt;8/24</formula>
    </cfRule>
  </conditionalFormatting>
  <conditionalFormatting sqref="AM15:AM21 AN16:AR21">
    <cfRule type="expression" dxfId="1157" priority="81">
      <formula>AX$9&gt;=20/24</formula>
    </cfRule>
    <cfRule type="expression" dxfId="1156" priority="82">
      <formula>AND(AX$9&gt;=14/24,AX$9&lt;20/24)</formula>
    </cfRule>
    <cfRule type="expression" dxfId="1155" priority="83">
      <formula>AND(AX$9&gt;=8/24,AX$9&lt;14/24)</formula>
    </cfRule>
    <cfRule type="expression" dxfId="1154" priority="84">
      <formula>AX$9&lt;8/24</formula>
    </cfRule>
  </conditionalFormatting>
  <conditionalFormatting sqref="AN100:AN103">
    <cfRule type="expression" dxfId="1153" priority="153">
      <formula>AN$9&gt;=20/24</formula>
    </cfRule>
    <cfRule type="expression" dxfId="1152" priority="154">
      <formula>AND(AN$9&gt;=14/24,AN$9&lt;20/24)</formula>
    </cfRule>
    <cfRule type="expression" dxfId="1151" priority="155">
      <formula>AND(AN$9&gt;=8/24,AN$9&lt;14/24)</formula>
    </cfRule>
    <cfRule type="expression" dxfId="1150" priority="156">
      <formula>AN$9&lt;8/24</formula>
    </cfRule>
  </conditionalFormatting>
  <conditionalFormatting sqref="AN15:AR15">
    <cfRule type="expression" dxfId="1149" priority="69">
      <formula>U$9&gt;=20/24</formula>
    </cfRule>
    <cfRule type="expression" dxfId="1148" priority="70">
      <formula>AND(U$9&gt;=14/24,U$9&lt;20/24)</formula>
    </cfRule>
    <cfRule type="expression" dxfId="1147" priority="71">
      <formula>AND(U$9&gt;=8/24,U$9&lt;14/24)</formula>
    </cfRule>
    <cfRule type="expression" dxfId="1146" priority="72">
      <formula>U$9&lt;8/24</formula>
    </cfRule>
  </conditionalFormatting>
  <conditionalFormatting sqref="AS15">
    <cfRule type="expression" dxfId="1145" priority="77">
      <formula>AA$9&gt;=20/24</formula>
    </cfRule>
    <cfRule type="expression" dxfId="1144" priority="78">
      <formula>AND(AA$9&gt;=14/24,AA$9&lt;20/24)</formula>
    </cfRule>
    <cfRule type="expression" dxfId="1143" priority="79">
      <formula>AND(AA$9&gt;=8/24,AA$9&lt;14/24)</formula>
    </cfRule>
    <cfRule type="expression" dxfId="1142" priority="80">
      <formula>AA$9&lt;8/24</formula>
    </cfRule>
  </conditionalFormatting>
  <conditionalFormatting sqref="AS16:AS21">
    <cfRule type="expression" dxfId="1141" priority="85">
      <formula>BE$9&gt;=20/24</formula>
    </cfRule>
    <cfRule type="expression" dxfId="1140" priority="86">
      <formula>AND(BE$9&gt;=14/24,BE$9&lt;20/24)</formula>
    </cfRule>
    <cfRule type="expression" dxfId="1139" priority="87">
      <formula>AND(BE$9&gt;=8/24,BE$9&lt;14/24)</formula>
    </cfRule>
    <cfRule type="expression" dxfId="1138" priority="88">
      <formula>BE$9&lt;8/24</formula>
    </cfRule>
  </conditionalFormatting>
  <conditionalFormatting sqref="AT15 AX15:BJ15">
    <cfRule type="expression" dxfId="1137" priority="89">
      <formula>AC$9&gt;=20/24</formula>
    </cfRule>
    <cfRule type="expression" dxfId="1136" priority="90">
      <formula>AND(AC$9&gt;=14/24,AC$9&lt;20/24)</formula>
    </cfRule>
    <cfRule type="expression" dxfId="1135" priority="91">
      <formula>AND(AC$9&gt;=8/24,AC$9&lt;14/24)</formula>
    </cfRule>
    <cfRule type="expression" dxfId="1134" priority="92">
      <formula>AC$9&lt;8/24</formula>
    </cfRule>
  </conditionalFormatting>
  <conditionalFormatting sqref="AT16:AT21">
    <cfRule type="expression" dxfId="1133" priority="93">
      <formula>BG$9&gt;=20/24</formula>
    </cfRule>
    <cfRule type="expression" dxfId="1132" priority="94">
      <formula>AND(BG$9&gt;=14/24,BG$9&lt;20/24)</formula>
    </cfRule>
    <cfRule type="expression" dxfId="1131" priority="95">
      <formula>AND(BG$9&gt;=8/24,BG$9&lt;14/24)</formula>
    </cfRule>
    <cfRule type="expression" dxfId="1130" priority="96">
      <formula>BG$9&lt;8/24</formula>
    </cfRule>
  </conditionalFormatting>
  <conditionalFormatting sqref="AU15:AV15">
    <cfRule type="expression" dxfId="1129" priority="97">
      <formula>AE$9&gt;=20/24</formula>
    </cfRule>
    <cfRule type="expression" dxfId="1128" priority="98">
      <formula>AND(AE$9&gt;=14/24,AE$9&lt;20/24)</formula>
    </cfRule>
    <cfRule type="expression" dxfId="1127" priority="99">
      <formula>AND(AE$9&gt;=8/24,AE$9&lt;14/24)</formula>
    </cfRule>
    <cfRule type="expression" dxfId="1126" priority="100">
      <formula>AE$9&lt;8/24</formula>
    </cfRule>
  </conditionalFormatting>
  <conditionalFormatting sqref="AU16:BJ21">
    <cfRule type="expression" dxfId="1125" priority="101">
      <formula>BI$9&gt;=20/24</formula>
    </cfRule>
    <cfRule type="expression" dxfId="1124" priority="102">
      <formula>AND(BI$9&gt;=14/24,BI$9&lt;20/24)</formula>
    </cfRule>
    <cfRule type="expression" dxfId="1123" priority="103">
      <formula>AND(BI$9&gt;=8/24,BI$9&lt;14/24)</formula>
    </cfRule>
    <cfRule type="expression" dxfId="1122" priority="104">
      <formula>BI$9&lt;8/24</formula>
    </cfRule>
  </conditionalFormatting>
  <conditionalFormatting sqref="AW15">
    <cfRule type="expression" dxfId="1121" priority="73">
      <formula>B$9&gt;=20/24</formula>
    </cfRule>
    <cfRule type="expression" dxfId="1120" priority="74">
      <formula>AND(B$9&gt;=14/24,B$9&lt;20/24)</formula>
    </cfRule>
    <cfRule type="expression" dxfId="1119" priority="75">
      <formula>AND(B$9&gt;=8/24,B$9&lt;14/24)</formula>
    </cfRule>
    <cfRule type="expression" dxfId="1118" priority="76">
      <formula>B$9&lt;8/24</formula>
    </cfRule>
  </conditionalFormatting>
  <conditionalFormatting sqref="A73">
    <cfRule type="expression" dxfId="1117" priority="24">
      <formula>$AH73=0</formula>
    </cfRule>
  </conditionalFormatting>
  <conditionalFormatting sqref="B137:B152 B154:B159 B97:F107 C137:F151 B109:F112 B125:F134 G131:R133 B11:AF13">
    <cfRule type="expression" dxfId="1116" priority="20">
      <formula>B$9&gt;=20/24</formula>
    </cfRule>
  </conditionalFormatting>
  <conditionalFormatting sqref="B137:B152 B154:B159 B97:F107 C137:F151 B109:F112 B125:F134 G131:R133 B11:AF13">
    <cfRule type="expression" dxfId="1115" priority="21">
      <formula>AND(B$9&gt;=14/24,B$9&lt;20/24)</formula>
    </cfRule>
    <cfRule type="expression" dxfId="1114" priority="22">
      <formula>AND(B$9&gt;=8/24,B$9&lt;14/24)</formula>
    </cfRule>
    <cfRule type="expression" dxfId="1113" priority="23">
      <formula>B$9&lt;8/24</formula>
    </cfRule>
  </conditionalFormatting>
  <conditionalFormatting sqref="B14:AF28">
    <cfRule type="expression" dxfId="1112" priority="10">
      <formula>B14&gt;$AG14*1</formula>
    </cfRule>
    <cfRule type="expression" dxfId="1111" priority="11">
      <formula>B$9&gt;=20/24</formula>
    </cfRule>
    <cfRule type="expression" dxfId="1110" priority="12">
      <formula>AND(B$9&gt;=14/24,B$9&lt;20/24)</formula>
    </cfRule>
    <cfRule type="expression" dxfId="1109" priority="13">
      <formula>AND(B$9&gt;=8/24,B$9&lt;14/24)</formula>
    </cfRule>
    <cfRule type="expression" dxfId="1108" priority="14">
      <formula>B$9&lt;8/24</formula>
    </cfRule>
  </conditionalFormatting>
  <conditionalFormatting sqref="B161:B167">
    <cfRule type="expression" dxfId="1107" priority="15">
      <formula>B$9&gt;=20/24</formula>
    </cfRule>
    <cfRule type="expression" dxfId="1106" priority="16">
      <formula>AND(B$9&gt;=14/24,B$9&lt;20/24)</formula>
    </cfRule>
    <cfRule type="expression" dxfId="1105" priority="17">
      <formula>AND(B$9&gt;=8/24,B$9&lt;14/24)</formula>
    </cfRule>
    <cfRule type="expression" dxfId="1104" priority="18">
      <formula>B$9&lt;8/24</formula>
    </cfRule>
  </conditionalFormatting>
  <conditionalFormatting sqref="B169:B274">
    <cfRule type="expression" dxfId="1103" priority="6">
      <formula>B$9&gt;=20/24</formula>
    </cfRule>
    <cfRule type="expression" dxfId="1102" priority="7">
      <formula>AND(B$9&gt;=14/24,B$9&lt;20/24)</formula>
    </cfRule>
    <cfRule type="expression" dxfId="1101" priority="8">
      <formula>AND(B$9&gt;=8/24,B$9&lt;14/24)</formula>
    </cfRule>
    <cfRule type="expression" dxfId="1100" priority="9">
      <formula>B$9&lt;8/24</formula>
    </cfRule>
  </conditionalFormatting>
  <conditionalFormatting sqref="B11:AF13">
    <cfRule type="expression" dxfId="1099" priority="19">
      <formula>B11&gt;$AG11*1</formula>
    </cfRule>
  </conditionalFormatting>
  <conditionalFormatting sqref="A153">
    <cfRule type="expression" dxfId="10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97" priority="1">
      <formula>AL$9&gt;=20/24</formula>
    </cfRule>
  </conditionalFormatting>
  <conditionalFormatting sqref="AL153">
    <cfRule type="expression" dxfId="1096" priority="2">
      <formula>AND(AL$9&gt;=14/24,AL$9&lt;20/24)</formula>
    </cfRule>
    <cfRule type="expression" dxfId="1095" priority="3">
      <formula>AND(AL$9&gt;=8/24,AL$9&lt;14/24)</formula>
    </cfRule>
    <cfRule type="expression" dxfId="10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93" priority="29">
      <formula>$AH11=0</formula>
    </cfRule>
  </conditionalFormatting>
  <conditionalFormatting sqref="A101:A102">
    <cfRule type="expression" dxfId="1092" priority="197">
      <formula>$AH106=0</formula>
    </cfRule>
  </conditionalFormatting>
  <conditionalFormatting sqref="A103:A107">
    <cfRule type="expression" dxfId="1091" priority="145">
      <formula>$AH102=0</formula>
    </cfRule>
  </conditionalFormatting>
  <conditionalFormatting sqref="A160:A167">
    <cfRule type="expression" dxfId="1090" priority="198">
      <formula>$AH267=0</formula>
    </cfRule>
  </conditionalFormatting>
  <conditionalFormatting sqref="A168:A275">
    <cfRule type="expression" dxfId="1089" priority="68">
      <formula>$AH168=0</formula>
    </cfRule>
  </conditionalFormatting>
  <conditionalFormatting sqref="B8">
    <cfRule type="expression" dxfId="1088" priority="193">
      <formula>AND(C$9&gt;=14/24,C$9&lt;20/24)</formula>
    </cfRule>
    <cfRule type="expression" dxfId="1087" priority="194">
      <formula>AND(C$9&gt;=8/24,C$9&lt;14/24)</formula>
    </cfRule>
    <cfRule type="expression" dxfId="1086" priority="195">
      <formula>C$9&lt;8/24</formula>
    </cfRule>
    <cfRule type="expression" dxfId="10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3" priority="111">
      <formula>AND(B$9&gt;=14/24,B$9&lt;20/24)</formula>
    </cfRule>
    <cfRule type="expression" dxfId="1082" priority="112">
      <formula>AND(B$9&gt;=8/24,B$9&lt;14/24)</formula>
    </cfRule>
    <cfRule type="expression" dxfId="1081" priority="113">
      <formula>B$9&lt;8/24</formula>
    </cfRule>
  </conditionalFormatting>
  <conditionalFormatting sqref="B29:Y53 Z14:AF53">
    <cfRule type="expression" dxfId="1080" priority="53">
      <formula>B14&gt;$AG14*1</formula>
    </cfRule>
    <cfRule type="expression" dxfId="1079" priority="54">
      <formula>B$9&gt;=20/24</formula>
    </cfRule>
    <cfRule type="expression" dxfId="1078" priority="55">
      <formula>AND(B$9&gt;=14/24,B$9&lt;20/24)</formula>
    </cfRule>
    <cfRule type="expression" dxfId="1077" priority="56">
      <formula>AND(B$9&gt;=8/24,B$9&lt;14/24)</formula>
    </cfRule>
    <cfRule type="expression" dxfId="1076" priority="57">
      <formula>B$9&lt;8/24</formula>
    </cfRule>
  </conditionalFormatting>
  <conditionalFormatting sqref="B54:AF68">
    <cfRule type="expression" dxfId="1075" priority="46">
      <formula>B$9&lt;8/24</formula>
    </cfRule>
  </conditionalFormatting>
  <conditionalFormatting sqref="B54:AF70">
    <cfRule type="expression" dxfId="1074" priority="43">
      <formula>B$9&gt;=20/24</formula>
    </cfRule>
    <cfRule type="expression" dxfId="1073" priority="44">
      <formula>AND(B$9&gt;=14/24,B$9&lt;20/24)</formula>
    </cfRule>
    <cfRule type="expression" dxfId="1072" priority="45">
      <formula>AND(B$9&gt;=8/24,B$9&lt;14/24)</formula>
    </cfRule>
  </conditionalFormatting>
  <conditionalFormatting sqref="B63:AF65">
    <cfRule type="expression" dxfId="1071" priority="47">
      <formula>B63&gt;$AG63</formula>
    </cfRule>
  </conditionalFormatting>
  <conditionalFormatting sqref="B69:AF70">
    <cfRule type="expression" dxfId="1070" priority="118">
      <formula>B$9&lt;8/24</formula>
    </cfRule>
  </conditionalFormatting>
  <conditionalFormatting sqref="B72:AF75">
    <cfRule type="expression" dxfId="1069" priority="34">
      <formula>B72&gt;$AG72*1</formula>
    </cfRule>
  </conditionalFormatting>
  <conditionalFormatting sqref="B73:AF75">
    <cfRule type="expression" dxfId="1068" priority="35">
      <formula>B$9&gt;=20/24</formula>
    </cfRule>
    <cfRule type="expression" dxfId="1067" priority="36">
      <formula>AND(B$9&gt;=14/24,B$9&lt;20/24)</formula>
    </cfRule>
    <cfRule type="expression" dxfId="1066" priority="37">
      <formula>AND(B$9&gt;=8/24,B$9&lt;14/24)</formula>
    </cfRule>
    <cfRule type="expression" dxfId="1065" priority="38">
      <formula>B$9&lt;8/24</formula>
    </cfRule>
  </conditionalFormatting>
  <conditionalFormatting sqref="D161:AF167">
    <cfRule type="expression" dxfId="1064" priority="69">
      <formula>D$9&gt;=20/24</formula>
    </cfRule>
    <cfRule type="expression" dxfId="1063" priority="70">
      <formula>AND(D$9&gt;=14/24,D$9&lt;20/24)</formula>
    </cfRule>
    <cfRule type="expression" dxfId="1062" priority="71">
      <formula>AND(D$9&gt;=8/24,D$9&lt;14/24)</formula>
    </cfRule>
    <cfRule type="expression" dxfId="1061" priority="72">
      <formula>D$9&lt;8/24</formula>
    </cfRule>
  </conditionalFormatting>
  <conditionalFormatting sqref="C207:AA274 D169:S174 C175:S206 T169:AA206 AB169:AF274">
    <cfRule type="expression" dxfId="1060" priority="30">
      <formula>C$9&gt;=20/24</formula>
    </cfRule>
    <cfRule type="expression" dxfId="1059" priority="31">
      <formula>AND(C$9&gt;=14/24,C$9&lt;20/24)</formula>
    </cfRule>
    <cfRule type="expression" dxfId="1058" priority="32">
      <formula>AND(C$9&gt;=8/24,C$9&lt;14/24)</formula>
    </cfRule>
    <cfRule type="expression" dxfId="10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56" priority="109">
      <formula>B11&gt;$AG11*1</formula>
    </cfRule>
  </conditionalFormatting>
  <conditionalFormatting sqref="E79:AF83">
    <cfRule type="expression" dxfId="1055" priority="119">
      <formula>E$9&gt;=20/24</formula>
    </cfRule>
    <cfRule type="expression" dxfId="1054" priority="120">
      <formula>AND(E$9&gt;=14/24,E$9&lt;20/24)</formula>
    </cfRule>
    <cfRule type="expression" dxfId="1053" priority="121">
      <formula>AND(E$9&gt;=8/24,E$9&lt;14/24)</formula>
    </cfRule>
    <cfRule type="expression" dxfId="1052" priority="122">
      <formula>E$9&lt;8/24</formula>
    </cfRule>
  </conditionalFormatting>
  <conditionalFormatting sqref="E84:AF84">
    <cfRule type="expression" dxfId="1051" priority="114">
      <formula>E$9&gt;=20/24</formula>
    </cfRule>
    <cfRule type="expression" dxfId="1050" priority="115">
      <formula>AND(E$9&gt;=14/24,E$9&lt;20/24)</formula>
    </cfRule>
    <cfRule type="expression" dxfId="1049" priority="116">
      <formula>AND(E$9&gt;=8/24,E$9&lt;14/24)</formula>
    </cfRule>
    <cfRule type="expression" dxfId="1048" priority="117">
      <formula>E$9&lt;8/24</formula>
    </cfRule>
  </conditionalFormatting>
  <conditionalFormatting sqref="E78:Y78 Z76:AF78 B72:AF72">
    <cfRule type="expression" dxfId="1047" priority="129">
      <formula>B$9&gt;=20/24</formula>
    </cfRule>
    <cfRule type="expression" dxfId="1046" priority="130">
      <formula>AND(B$9&gt;=14/24,B$9&lt;20/24)</formula>
    </cfRule>
    <cfRule type="expression" dxfId="1045" priority="131">
      <formula>AND(B$9&gt;=8/24,B$9&lt;14/24)</formula>
    </cfRule>
    <cfRule type="expression" dxfId="1044" priority="132">
      <formula>B$9&lt;8/24</formula>
    </cfRule>
  </conditionalFormatting>
  <conditionalFormatting sqref="J73:Y73 Z73:AF75">
    <cfRule type="expression" dxfId="1043" priority="39">
      <formula>J$9&gt;=20/24</formula>
    </cfRule>
    <cfRule type="expression" dxfId="1042" priority="40">
      <formula>AND(J$9&gt;=14/24,J$9&lt;20/24)</formula>
    </cfRule>
    <cfRule type="expression" dxfId="1041" priority="41">
      <formula>AND(J$9&gt;=8/24,J$9&lt;14/24)</formula>
    </cfRule>
    <cfRule type="expression" dxfId="1040" priority="42">
      <formula>J$9&lt;8/24</formula>
    </cfRule>
  </conditionalFormatting>
  <conditionalFormatting sqref="F79:AF81">
    <cfRule type="expression" dxfId="1039" priority="137">
      <formula>F$9&gt;=20/24</formula>
    </cfRule>
    <cfRule type="expression" dxfId="1038" priority="138">
      <formula>AND(F$9&gt;=14/24,F$9&lt;20/24)</formula>
    </cfRule>
    <cfRule type="expression" dxfId="1037" priority="139">
      <formula>AND(F$9&gt;=8/24,F$9&lt;14/24)</formula>
    </cfRule>
    <cfRule type="expression" dxfId="1036" priority="140">
      <formula>F$9&lt;8/24</formula>
    </cfRule>
  </conditionalFormatting>
  <conditionalFormatting sqref="L84:AF84">
    <cfRule type="expression" dxfId="1035" priority="133">
      <formula>L$9&gt;=20/24</formula>
    </cfRule>
    <cfRule type="expression" dxfId="1034" priority="134">
      <formula>AND(L$9&gt;=14/24,L$9&lt;20/24)</formula>
    </cfRule>
    <cfRule type="expression" dxfId="1033" priority="135">
      <formula>AND(L$9&gt;=8/24,L$9&lt;14/24)</formula>
    </cfRule>
    <cfRule type="expression" dxfId="1032" priority="136">
      <formula>L$9&lt;8/24</formula>
    </cfRule>
  </conditionalFormatting>
  <conditionalFormatting sqref="M8 S8 AB8">
    <cfRule type="expression" dxfId="1031" priority="186">
      <formula>AND(N$9&gt;=14/24,N$9&lt;20/24)</formula>
    </cfRule>
    <cfRule type="expression" dxfId="1030" priority="187">
      <formula>AND(N$9&gt;=8/24,N$9&lt;14/24)</formula>
    </cfRule>
    <cfRule type="expression" dxfId="1029" priority="188">
      <formula>N$9&lt;8/24</formula>
    </cfRule>
  </conditionalFormatting>
  <conditionalFormatting sqref="R79:AF83">
    <cfRule type="expression" dxfId="1028" priority="141">
      <formula>R$9&gt;=20/24</formula>
    </cfRule>
    <cfRule type="expression" dxfId="1027" priority="142">
      <formula>AND(R$9&gt;=14/24,R$9&lt;20/24)</formula>
    </cfRule>
    <cfRule type="expression" dxfId="1026" priority="143">
      <formula>AND(R$9&gt;=8/24,R$9&lt;14/24)</formula>
    </cfRule>
    <cfRule type="expression" dxfId="10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24" priority="185">
      <formula>N$9&gt;=20/24</formula>
    </cfRule>
  </conditionalFormatting>
  <conditionalFormatting sqref="S8">
    <cfRule type="expression" dxfId="1023" priority="176">
      <formula>U$9&gt;=20/24</formula>
    </cfRule>
    <cfRule type="expression" dxfId="1022" priority="177">
      <formula>AND(U$9&gt;=14/24,U$9&lt;20/24)</formula>
    </cfRule>
    <cfRule type="expression" dxfId="1021" priority="178">
      <formula>AND(U$9&gt;=8/24,U$9&lt;14/24)</formula>
    </cfRule>
    <cfRule type="expression" dxfId="1020" priority="179">
      <formula>U$9&lt;8/24</formula>
    </cfRule>
  </conditionalFormatting>
  <conditionalFormatting sqref="X79:AF84">
    <cfRule type="expression" dxfId="1019" priority="63">
      <formula>X$9&gt;=20/24</formula>
    </cfRule>
    <cfRule type="expression" dxfId="1018" priority="64">
      <formula>AND(X$9&gt;=14/24,X$9&lt;20/24)</formula>
    </cfRule>
    <cfRule type="expression" dxfId="1017" priority="65">
      <formula>AND(X$9&gt;=8/24,X$9&lt;14/24)</formula>
    </cfRule>
    <cfRule type="expression" dxfId="10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15" priority="48">
      <formula>Z$9&gt;=20/24</formula>
    </cfRule>
    <cfRule type="expression" dxfId="1014" priority="49">
      <formula>AND(Z$9&gt;=14/24,Z$9&lt;20/24)</formula>
    </cfRule>
    <cfRule type="expression" dxfId="1013" priority="50">
      <formula>AND(Z$9&gt;=8/24,Z$9&lt;14/24)</formula>
    </cfRule>
    <cfRule type="expression" dxfId="1012" priority="51">
      <formula>Z$9&lt;8/24</formula>
    </cfRule>
  </conditionalFormatting>
  <conditionalFormatting sqref="Z69:AF70">
    <cfRule type="expression" dxfId="1011" priority="128">
      <formula>Z69&gt;$AG69</formula>
    </cfRule>
  </conditionalFormatting>
  <conditionalFormatting sqref="B66:Y70 B54:AF62 Z66:AF69">
    <cfRule type="expression" dxfId="1010" priority="123">
      <formula>B54&gt;$AG54</formula>
    </cfRule>
  </conditionalFormatting>
  <conditionalFormatting sqref="AB8">
    <cfRule type="expression" dxfId="1009" priority="172">
      <formula>AD$9&gt;=20/24</formula>
    </cfRule>
    <cfRule type="expression" dxfId="1008" priority="173">
      <formula>AND(AD$9&gt;=14/24,AD$9&lt;20/24)</formula>
    </cfRule>
    <cfRule type="expression" dxfId="1007" priority="174">
      <formula>AND(AD$9&gt;=8/24,AD$9&lt;14/24)</formula>
    </cfRule>
    <cfRule type="expression" dxfId="1006" priority="175">
      <formula>AD$9&lt;8/24</formula>
    </cfRule>
  </conditionalFormatting>
  <conditionalFormatting sqref="AG78">
    <cfRule type="expression" dxfId="1005" priority="151">
      <formula>AG$9&gt;=20/24</formula>
    </cfRule>
    <cfRule type="expression" dxfId="1004" priority="152">
      <formula>AND(AG$9&gt;=14/24,AG$9&lt;20/24)</formula>
    </cfRule>
    <cfRule type="expression" dxfId="1003" priority="153">
      <formula>AND(AG$9&gt;=8/24,AG$9&lt;14/24)</formula>
    </cfRule>
    <cfRule type="expression" dxfId="1002" priority="154">
      <formula>AG$9&lt;8/24</formula>
    </cfRule>
  </conditionalFormatting>
  <conditionalFormatting sqref="AG91:AG92">
    <cfRule type="expression" dxfId="1001" priority="146">
      <formula>AG91&gt;$AG91</formula>
    </cfRule>
  </conditionalFormatting>
  <conditionalFormatting sqref="AG96">
    <cfRule type="expression" dxfId="1000" priority="147">
      <formula>AG$9&gt;=20/24</formula>
    </cfRule>
    <cfRule type="expression" dxfId="999" priority="148">
      <formula>AND(AG$9&gt;=14/24,AG$9&lt;20/24)</formula>
    </cfRule>
    <cfRule type="expression" dxfId="998" priority="149">
      <formula>AND(AG$9&gt;=8/24,AG$9&lt;14/24)</formula>
    </cfRule>
    <cfRule type="expression" dxfId="997" priority="150">
      <formula>AG$9&lt;8/24</formula>
    </cfRule>
  </conditionalFormatting>
  <conditionalFormatting sqref="AG113">
    <cfRule type="expression" dxfId="996" priority="168">
      <formula>AG$9&gt;=20/24</formula>
    </cfRule>
    <cfRule type="expression" dxfId="995" priority="169">
      <formula>AND(AG$9&gt;=14/24,AG$9&lt;20/24)</formula>
    </cfRule>
    <cfRule type="expression" dxfId="994" priority="170">
      <formula>AND(AG$9&gt;=8/24,AG$9&lt;14/24)</formula>
    </cfRule>
    <cfRule type="expression" dxfId="993" priority="171">
      <formula>AG$9&lt;8/24</formula>
    </cfRule>
  </conditionalFormatting>
  <conditionalFormatting sqref="AH8:AI10">
    <cfRule type="expression" dxfId="992" priority="59">
      <formula>AH$9&gt;=20/24</formula>
    </cfRule>
    <cfRule type="expression" dxfId="991" priority="60">
      <formula>AND(AH$9&gt;=14/24,AH$9&lt;20/24)</formula>
    </cfRule>
    <cfRule type="expression" dxfId="990" priority="61">
      <formula>AND(AH$9&gt;=8/24,AH$9&lt;14/24)</formula>
    </cfRule>
    <cfRule type="expression" dxfId="9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88" priority="189">
      <formula>AJ$9&gt;=20/24</formula>
    </cfRule>
    <cfRule type="expression" dxfId="987" priority="190">
      <formula>AND(AJ$9&gt;=14/24,AJ$9&lt;20/24)</formula>
    </cfRule>
    <cfRule type="expression" dxfId="986" priority="191">
      <formula>AND(AJ$9&gt;=8/24,AJ$9&lt;14/24)</formula>
    </cfRule>
    <cfRule type="expression" dxfId="985" priority="192">
      <formula>AJ$9&lt;8/24</formula>
    </cfRule>
  </conditionalFormatting>
  <conditionalFormatting sqref="AL99:AN99 AL105:AN105">
    <cfRule type="expression" dxfId="984" priority="161">
      <formula>AL$9&gt;=20/24</formula>
    </cfRule>
    <cfRule type="expression" dxfId="983" priority="162">
      <formula>AND(AL$9&gt;=14/24,AL$9&lt;20/24)</formula>
    </cfRule>
    <cfRule type="expression" dxfId="982" priority="163">
      <formula>AND(AL$9&gt;=8/24,AL$9&lt;14/24)</formula>
    </cfRule>
    <cfRule type="expression" dxfId="981" priority="164">
      <formula>AL$9&lt;8/24</formula>
    </cfRule>
  </conditionalFormatting>
  <conditionalFormatting sqref="AM15:AM21 AN16:AR21">
    <cfRule type="expression" dxfId="980" priority="85">
      <formula>AX$9&gt;=20/24</formula>
    </cfRule>
    <cfRule type="expression" dxfId="979" priority="86">
      <formula>AND(AX$9&gt;=14/24,AX$9&lt;20/24)</formula>
    </cfRule>
    <cfRule type="expression" dxfId="978" priority="87">
      <formula>AND(AX$9&gt;=8/24,AX$9&lt;14/24)</formula>
    </cfRule>
    <cfRule type="expression" dxfId="977" priority="88">
      <formula>AX$9&lt;8/24</formula>
    </cfRule>
  </conditionalFormatting>
  <conditionalFormatting sqref="AN100:AN103">
    <cfRule type="expression" dxfId="976" priority="157">
      <formula>AN$9&gt;=20/24</formula>
    </cfRule>
    <cfRule type="expression" dxfId="975" priority="158">
      <formula>AND(AN$9&gt;=14/24,AN$9&lt;20/24)</formula>
    </cfRule>
    <cfRule type="expression" dxfId="974" priority="159">
      <formula>AND(AN$9&gt;=8/24,AN$9&lt;14/24)</formula>
    </cfRule>
    <cfRule type="expression" dxfId="973" priority="160">
      <formula>AN$9&lt;8/24</formula>
    </cfRule>
  </conditionalFormatting>
  <conditionalFormatting sqref="AN15:AR15">
    <cfRule type="expression" dxfId="972" priority="73">
      <formula>U$9&gt;=20/24</formula>
    </cfRule>
    <cfRule type="expression" dxfId="971" priority="74">
      <formula>AND(U$9&gt;=14/24,U$9&lt;20/24)</formula>
    </cfRule>
    <cfRule type="expression" dxfId="970" priority="75">
      <formula>AND(U$9&gt;=8/24,U$9&lt;14/24)</formula>
    </cfRule>
    <cfRule type="expression" dxfId="969" priority="76">
      <formula>U$9&lt;8/24</formula>
    </cfRule>
  </conditionalFormatting>
  <conditionalFormatting sqref="AS15">
    <cfRule type="expression" dxfId="968" priority="81">
      <formula>AA$9&gt;=20/24</formula>
    </cfRule>
    <cfRule type="expression" dxfId="967" priority="82">
      <formula>AND(AA$9&gt;=14/24,AA$9&lt;20/24)</formula>
    </cfRule>
    <cfRule type="expression" dxfId="966" priority="83">
      <formula>AND(AA$9&gt;=8/24,AA$9&lt;14/24)</formula>
    </cfRule>
    <cfRule type="expression" dxfId="965" priority="84">
      <formula>AA$9&lt;8/24</formula>
    </cfRule>
  </conditionalFormatting>
  <conditionalFormatting sqref="AS16:AS21">
    <cfRule type="expression" dxfId="964" priority="89">
      <formula>BE$9&gt;=20/24</formula>
    </cfRule>
    <cfRule type="expression" dxfId="963" priority="90">
      <formula>AND(BE$9&gt;=14/24,BE$9&lt;20/24)</formula>
    </cfRule>
    <cfRule type="expression" dxfId="962" priority="91">
      <formula>AND(BE$9&gt;=8/24,BE$9&lt;14/24)</formula>
    </cfRule>
    <cfRule type="expression" dxfId="961" priority="92">
      <formula>BE$9&lt;8/24</formula>
    </cfRule>
  </conditionalFormatting>
  <conditionalFormatting sqref="AT15 AX15:BJ15">
    <cfRule type="expression" dxfId="960" priority="93">
      <formula>AC$9&gt;=20/24</formula>
    </cfRule>
    <cfRule type="expression" dxfId="959" priority="94">
      <formula>AND(AC$9&gt;=14/24,AC$9&lt;20/24)</formula>
    </cfRule>
    <cfRule type="expression" dxfId="958" priority="95">
      <formula>AND(AC$9&gt;=8/24,AC$9&lt;14/24)</formula>
    </cfRule>
    <cfRule type="expression" dxfId="957" priority="96">
      <formula>AC$9&lt;8/24</formula>
    </cfRule>
  </conditionalFormatting>
  <conditionalFormatting sqref="AT16:AT21">
    <cfRule type="expression" dxfId="956" priority="97">
      <formula>BG$9&gt;=20/24</formula>
    </cfRule>
    <cfRule type="expression" dxfId="955" priority="98">
      <formula>AND(BG$9&gt;=14/24,BG$9&lt;20/24)</formula>
    </cfRule>
    <cfRule type="expression" dxfId="954" priority="99">
      <formula>AND(BG$9&gt;=8/24,BG$9&lt;14/24)</formula>
    </cfRule>
    <cfRule type="expression" dxfId="953" priority="100">
      <formula>BG$9&lt;8/24</formula>
    </cfRule>
  </conditionalFormatting>
  <conditionalFormatting sqref="AU15:AV15">
    <cfRule type="expression" dxfId="952" priority="101">
      <formula>AE$9&gt;=20/24</formula>
    </cfRule>
    <cfRule type="expression" dxfId="951" priority="102">
      <formula>AND(AE$9&gt;=14/24,AE$9&lt;20/24)</formula>
    </cfRule>
    <cfRule type="expression" dxfId="950" priority="103">
      <formula>AND(AE$9&gt;=8/24,AE$9&lt;14/24)</formula>
    </cfRule>
    <cfRule type="expression" dxfId="949" priority="104">
      <formula>AE$9&lt;8/24</formula>
    </cfRule>
  </conditionalFormatting>
  <conditionalFormatting sqref="AU16:BJ21">
    <cfRule type="expression" dxfId="948" priority="105">
      <formula>BI$9&gt;=20/24</formula>
    </cfRule>
    <cfRule type="expression" dxfId="947" priority="106">
      <formula>AND(BI$9&gt;=14/24,BI$9&lt;20/24)</formula>
    </cfRule>
    <cfRule type="expression" dxfId="946" priority="107">
      <formula>AND(BI$9&gt;=8/24,BI$9&lt;14/24)</formula>
    </cfRule>
    <cfRule type="expression" dxfId="945" priority="108">
      <formula>BI$9&lt;8/24</formula>
    </cfRule>
  </conditionalFormatting>
  <conditionalFormatting sqref="AW15">
    <cfRule type="expression" dxfId="944" priority="77">
      <formula>B$9&gt;=20/24</formula>
    </cfRule>
    <cfRule type="expression" dxfId="943" priority="78">
      <formula>AND(B$9&gt;=14/24,B$9&lt;20/24)</formula>
    </cfRule>
    <cfRule type="expression" dxfId="942" priority="79">
      <formula>AND(B$9&gt;=8/24,B$9&lt;14/24)</formula>
    </cfRule>
    <cfRule type="expression" dxfId="941" priority="80">
      <formula>B$9&lt;8/24</formula>
    </cfRule>
  </conditionalFormatting>
  <conditionalFormatting sqref="A73">
    <cfRule type="expression" dxfId="940" priority="28">
      <formula>$AH73=0</formula>
    </cfRule>
  </conditionalFormatting>
  <conditionalFormatting sqref="B97:C107 B137:C152 B109:C112 B125:C134 B154:C159 B11:Q13 R11:Y12">
    <cfRule type="expression" dxfId="939" priority="24">
      <formula>B$9&gt;=20/24</formula>
    </cfRule>
  </conditionalFormatting>
  <conditionalFormatting sqref="B97:C107 B137:C152 B109:C112 B125:C134 B154:C159 B11:Q13 R11:Y12">
    <cfRule type="expression" dxfId="938" priority="25">
      <formula>AND(B$9&gt;=14/24,B$9&lt;20/24)</formula>
    </cfRule>
    <cfRule type="expression" dxfId="937" priority="26">
      <formula>AND(B$9&gt;=8/24,B$9&lt;14/24)</formula>
    </cfRule>
    <cfRule type="expression" dxfId="936" priority="27">
      <formula>B$9&lt;8/24</formula>
    </cfRule>
  </conditionalFormatting>
  <conditionalFormatting sqref="B14:Y28">
    <cfRule type="expression" dxfId="935" priority="14">
      <formula>B14&gt;$AG14*1</formula>
    </cfRule>
    <cfRule type="expression" dxfId="934" priority="15">
      <formula>B$9&gt;=20/24</formula>
    </cfRule>
    <cfRule type="expression" dxfId="933" priority="16">
      <formula>AND(B$9&gt;=14/24,B$9&lt;20/24)</formula>
    </cfRule>
    <cfRule type="expression" dxfId="932" priority="17">
      <formula>AND(B$9&gt;=8/24,B$9&lt;14/24)</formula>
    </cfRule>
    <cfRule type="expression" dxfId="931" priority="18">
      <formula>B$9&lt;8/24</formula>
    </cfRule>
  </conditionalFormatting>
  <conditionalFormatting sqref="B161:C167">
    <cfRule type="expression" dxfId="930" priority="19">
      <formula>B$9&gt;=20/24</formula>
    </cfRule>
    <cfRule type="expression" dxfId="929" priority="20">
      <formula>AND(B$9&gt;=14/24,B$9&lt;20/24)</formula>
    </cfRule>
    <cfRule type="expression" dxfId="928" priority="21">
      <formula>AND(B$9&gt;=8/24,B$9&lt;14/24)</formula>
    </cfRule>
    <cfRule type="expression" dxfId="927" priority="22">
      <formula>B$9&lt;8/24</formula>
    </cfRule>
  </conditionalFormatting>
  <conditionalFormatting sqref="B169:B274 C169:C174">
    <cfRule type="expression" dxfId="926" priority="10">
      <formula>B$9&gt;=20/24</formula>
    </cfRule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11:Q13 R11:Y12">
    <cfRule type="expression" dxfId="922" priority="23">
      <formula>B11&gt;$AG11*1</formula>
    </cfRule>
  </conditionalFormatting>
  <conditionalFormatting sqref="A153">
    <cfRule type="expression" dxfId="9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20" priority="5">
      <formula>AL$9&gt;=20/24</formula>
    </cfRule>
  </conditionalFormatting>
  <conditionalFormatting sqref="AL153">
    <cfRule type="expression" dxfId="919" priority="6">
      <formula>AND(AL$9&gt;=14/24,AL$9&lt;20/24)</formula>
    </cfRule>
    <cfRule type="expression" dxfId="918" priority="7">
      <formula>AND(AL$9&gt;=8/24,AL$9&lt;14/24)</formula>
    </cfRule>
    <cfRule type="expression" dxfId="917" priority="8">
      <formula>AL$9&lt;8/24</formula>
    </cfRule>
  </conditionalFormatting>
  <conditionalFormatting sqref="AA137:AF151">
    <cfRule type="expression" dxfId="916" priority="1">
      <formula>AA$9&gt;=20/24</formula>
    </cfRule>
    <cfRule type="expression" dxfId="915" priority="2">
      <formula>AND(AA$9&gt;=14/24,AA$9&lt;20/24)</formula>
    </cfRule>
    <cfRule type="expression" dxfId="914" priority="3">
      <formula>AND(AA$9&gt;=8/24,AA$9&lt;14/24)</formula>
    </cfRule>
    <cfRule type="expression" dxfId="9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2" priority="25">
      <formula>$AH11=0</formula>
    </cfRule>
  </conditionalFormatting>
  <conditionalFormatting sqref="A101:A102">
    <cfRule type="expression" dxfId="911" priority="193">
      <formula>$AH106=0</formula>
    </cfRule>
  </conditionalFormatting>
  <conditionalFormatting sqref="A103:A107">
    <cfRule type="expression" dxfId="910" priority="141">
      <formula>$AH102=0</formula>
    </cfRule>
  </conditionalFormatting>
  <conditionalFormatting sqref="A160:A167">
    <cfRule type="expression" dxfId="909" priority="194">
      <formula>$AH267=0</formula>
    </cfRule>
  </conditionalFormatting>
  <conditionalFormatting sqref="A168:A275">
    <cfRule type="expression" dxfId="908" priority="64">
      <formula>$AH168=0</formula>
    </cfRule>
  </conditionalFormatting>
  <conditionalFormatting sqref="B8">
    <cfRule type="expression" dxfId="907" priority="189">
      <formula>AND(C$9&gt;=14/24,C$9&lt;20/24)</formula>
    </cfRule>
    <cfRule type="expression" dxfId="906" priority="190">
      <formula>AND(C$9&gt;=8/24,C$9&lt;14/24)</formula>
    </cfRule>
    <cfRule type="expression" dxfId="905" priority="191">
      <formula>C$9&lt;8/24</formula>
    </cfRule>
    <cfRule type="expression" dxfId="9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2" priority="107">
      <formula>AND(B$9&gt;=14/24,B$9&lt;20/24)</formula>
    </cfRule>
    <cfRule type="expression" dxfId="901" priority="108">
      <formula>AND(B$9&gt;=8/24,B$9&lt;14/24)</formula>
    </cfRule>
    <cfRule type="expression" dxfId="900" priority="109">
      <formula>B$9&lt;8/24</formula>
    </cfRule>
  </conditionalFormatting>
  <conditionalFormatting sqref="B29:O53 P14:R32 R33:R53 P11:Q151 S14:AF53">
    <cfRule type="expression" dxfId="899" priority="49">
      <formula>B11&gt;$AG11*1</formula>
    </cfRule>
    <cfRule type="expression" dxfId="898" priority="50">
      <formula>B$9&gt;=20/24</formula>
    </cfRule>
    <cfRule type="expression" dxfId="897" priority="51">
      <formula>AND(B$9&gt;=14/24,B$9&lt;20/24)</formula>
    </cfRule>
    <cfRule type="expression" dxfId="896" priority="52">
      <formula>AND(B$9&gt;=8/24,B$9&lt;14/24)</formula>
    </cfRule>
    <cfRule type="expression" dxfId="895" priority="53">
      <formula>B$9&lt;8/24</formula>
    </cfRule>
  </conditionalFormatting>
  <conditionalFormatting sqref="B54:O68 R54:AF68">
    <cfRule type="expression" dxfId="894" priority="42">
      <formula>B$9&lt;8/24</formula>
    </cfRule>
  </conditionalFormatting>
  <conditionalFormatting sqref="B54:O70 R54:AF70">
    <cfRule type="expression" dxfId="893" priority="39">
      <formula>B$9&gt;=20/24</formula>
    </cfRule>
    <cfRule type="expression" dxfId="892" priority="40">
      <formula>AND(B$9&gt;=14/24,B$9&lt;20/24)</formula>
    </cfRule>
    <cfRule type="expression" dxfId="891" priority="41">
      <formula>AND(B$9&gt;=8/24,B$9&lt;14/24)</formula>
    </cfRule>
  </conditionalFormatting>
  <conditionalFormatting sqref="B63:O65 R63:AF65">
    <cfRule type="expression" dxfId="890" priority="43">
      <formula>B63&gt;$AG63</formula>
    </cfRule>
  </conditionalFormatting>
  <conditionalFormatting sqref="B69:O70 R69:AF70">
    <cfRule type="expression" dxfId="889" priority="114">
      <formula>B$9&lt;8/24</formula>
    </cfRule>
  </conditionalFormatting>
  <conditionalFormatting sqref="B72:O75 R72:AF75">
    <cfRule type="expression" dxfId="888" priority="30">
      <formula>B72&gt;$AG72*1</formula>
    </cfRule>
  </conditionalFormatting>
  <conditionalFormatting sqref="B73:O75 R73:AF75">
    <cfRule type="expression" dxfId="887" priority="31">
      <formula>B$9&gt;=20/24</formula>
    </cfRule>
    <cfRule type="expression" dxfId="886" priority="32">
      <formula>AND(B$9&gt;=14/24,B$9&lt;20/24)</formula>
    </cfRule>
    <cfRule type="expression" dxfId="885" priority="33">
      <formula>AND(B$9&gt;=8/24,B$9&lt;14/24)</formula>
    </cfRule>
    <cfRule type="expression" dxfId="884" priority="34">
      <formula>B$9&lt;8/24</formula>
    </cfRule>
  </conditionalFormatting>
  <conditionalFormatting sqref="G161:AF167">
    <cfRule type="expression" dxfId="883" priority="65">
      <formula>G$9&gt;=20/24</formula>
    </cfRule>
    <cfRule type="expression" dxfId="882" priority="66">
      <formula>AND(G$9&gt;=14/24,G$9&lt;20/24)</formula>
    </cfRule>
    <cfRule type="expression" dxfId="881" priority="67">
      <formula>AND(G$9&gt;=8/24,G$9&lt;14/24)</formula>
    </cfRule>
    <cfRule type="expression" dxfId="880" priority="68">
      <formula>G$9&lt;8/24</formula>
    </cfRule>
  </conditionalFormatting>
  <conditionalFormatting sqref="G169:AF274">
    <cfRule type="expression" dxfId="879" priority="26">
      <formula>G$9&gt;=20/24</formula>
    </cfRule>
    <cfRule type="expression" dxfId="878" priority="27">
      <formula>AND(G$9&gt;=14/24,G$9&lt;20/24)</formula>
    </cfRule>
    <cfRule type="expression" dxfId="877" priority="28">
      <formula>AND(G$9&gt;=8/24,G$9&lt;14/24)</formula>
    </cfRule>
    <cfRule type="expression" dxfId="8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75" priority="105">
      <formula>B11&gt;$AG11*1</formula>
    </cfRule>
  </conditionalFormatting>
  <conditionalFormatting sqref="G79:O83">
    <cfRule type="expression" dxfId="874" priority="115">
      <formula>G$9&gt;=20/24</formula>
    </cfRule>
    <cfRule type="expression" dxfId="873" priority="116">
      <formula>AND(G$9&gt;=14/24,G$9&lt;20/24)</formula>
    </cfRule>
    <cfRule type="expression" dxfId="872" priority="117">
      <formula>AND(G$9&gt;=8/24,G$9&lt;14/24)</formula>
    </cfRule>
    <cfRule type="expression" dxfId="871" priority="118">
      <formula>G$9&lt;8/24</formula>
    </cfRule>
  </conditionalFormatting>
  <conditionalFormatting sqref="G84:O84">
    <cfRule type="expression" dxfId="870" priority="110">
      <formula>G$9&gt;=20/24</formula>
    </cfRule>
    <cfRule type="expression" dxfId="869" priority="111">
      <formula>AND(G$9&gt;=14/24,G$9&lt;20/24)</formula>
    </cfRule>
    <cfRule type="expression" dxfId="868" priority="112">
      <formula>AND(G$9&gt;=8/24,G$9&lt;14/24)</formula>
    </cfRule>
    <cfRule type="expression" dxfId="867" priority="113">
      <formula>G$9&lt;8/24</formula>
    </cfRule>
  </conditionalFormatting>
  <conditionalFormatting sqref="G78:O78 B72:O72 R72:AF72 R76:AF78">
    <cfRule type="expression" dxfId="866" priority="125">
      <formula>B$9&gt;=20/24</formula>
    </cfRule>
    <cfRule type="expression" dxfId="865" priority="126">
      <formula>AND(B$9&gt;=14/24,B$9&lt;20/24)</formula>
    </cfRule>
    <cfRule type="expression" dxfId="864" priority="127">
      <formula>AND(B$9&gt;=8/24,B$9&lt;14/24)</formula>
    </cfRule>
    <cfRule type="expression" dxfId="863" priority="128">
      <formula>B$9&lt;8/24</formula>
    </cfRule>
  </conditionalFormatting>
  <conditionalFormatting sqref="R73:AF75">
    <cfRule type="expression" dxfId="862" priority="35">
      <formula>R$9&gt;=20/24</formula>
    </cfRule>
    <cfRule type="expression" dxfId="861" priority="36">
      <formula>AND(R$9&gt;=14/24,R$9&lt;20/24)</formula>
    </cfRule>
    <cfRule type="expression" dxfId="860" priority="37">
      <formula>AND(R$9&gt;=8/24,R$9&lt;14/24)</formula>
    </cfRule>
    <cfRule type="expression" dxfId="859" priority="38">
      <formula>R$9&lt;8/24</formula>
    </cfRule>
  </conditionalFormatting>
  <conditionalFormatting sqref="G79:O81">
    <cfRule type="expression" dxfId="858" priority="133">
      <formula>G$9&gt;=20/24</formula>
    </cfRule>
    <cfRule type="expression" dxfId="857" priority="134">
      <formula>AND(G$9&gt;=14/24,G$9&lt;20/24)</formula>
    </cfRule>
    <cfRule type="expression" dxfId="856" priority="135">
      <formula>AND(G$9&gt;=8/24,G$9&lt;14/24)</formula>
    </cfRule>
    <cfRule type="expression" dxfId="855" priority="136">
      <formula>G$9&lt;8/24</formula>
    </cfRule>
  </conditionalFormatting>
  <conditionalFormatting sqref="L84:O84 R84:AF84">
    <cfRule type="expression" dxfId="854" priority="129">
      <formula>L$9&gt;=20/24</formula>
    </cfRule>
    <cfRule type="expression" dxfId="853" priority="130">
      <formula>AND(L$9&gt;=14/24,L$9&lt;20/24)</formula>
    </cfRule>
    <cfRule type="expression" dxfId="852" priority="131">
      <formula>AND(L$9&gt;=8/24,L$9&lt;14/24)</formula>
    </cfRule>
    <cfRule type="expression" dxfId="851" priority="132">
      <formula>L$9&lt;8/24</formula>
    </cfRule>
  </conditionalFormatting>
  <conditionalFormatting sqref="M8 S8 AB8">
    <cfRule type="expression" dxfId="850" priority="182">
      <formula>AND(N$9&gt;=14/24,N$9&lt;20/24)</formula>
    </cfRule>
    <cfRule type="expression" dxfId="849" priority="183">
      <formula>AND(N$9&gt;=8/24,N$9&lt;14/24)</formula>
    </cfRule>
    <cfRule type="expression" dxfId="848" priority="184">
      <formula>N$9&lt;8/24</formula>
    </cfRule>
  </conditionalFormatting>
  <conditionalFormatting sqref="R79:Z83 Z80:AF83">
    <cfRule type="expression" dxfId="847" priority="137">
      <formula>R$9&gt;=20/24</formula>
    </cfRule>
    <cfRule type="expression" dxfId="846" priority="138">
      <formula>AND(R$9&gt;=14/24,R$9&lt;20/24)</formula>
    </cfRule>
    <cfRule type="expression" dxfId="845" priority="139">
      <formula>AND(R$9&gt;=8/24,R$9&lt;14/24)</formula>
    </cfRule>
    <cfRule type="expression" dxfId="8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3" priority="181">
      <formula>N$9&gt;=20/24</formula>
    </cfRule>
  </conditionalFormatting>
  <conditionalFormatting sqref="S8">
    <cfRule type="expression" dxfId="842" priority="172">
      <formula>U$9&gt;=20/24</formula>
    </cfRule>
    <cfRule type="expression" dxfId="841" priority="173">
      <formula>AND(U$9&gt;=14/24,U$9&lt;20/24)</formula>
    </cfRule>
    <cfRule type="expression" dxfId="840" priority="174">
      <formula>AND(U$9&gt;=8/24,U$9&lt;14/24)</formula>
    </cfRule>
    <cfRule type="expression" dxfId="839" priority="175">
      <formula>U$9&lt;8/24</formula>
    </cfRule>
  </conditionalFormatting>
  <conditionalFormatting sqref="Z79:AF84">
    <cfRule type="expression" dxfId="838" priority="59">
      <formula>Z$9&gt;=20/24</formula>
    </cfRule>
    <cfRule type="expression" dxfId="837" priority="60">
      <formula>AND(Z$9&gt;=14/24,Z$9&lt;20/24)</formula>
    </cfRule>
    <cfRule type="expression" dxfId="836" priority="61">
      <formula>AND(Z$9&gt;=8/24,Z$9&lt;14/24)</formula>
    </cfRule>
    <cfRule type="expression" dxfId="8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34" priority="119">
      <formula>B54&gt;$AG54</formula>
    </cfRule>
  </conditionalFormatting>
  <conditionalFormatting sqref="AB8">
    <cfRule type="expression" dxfId="833" priority="168">
      <formula>AD$9&gt;=20/24</formula>
    </cfRule>
    <cfRule type="expression" dxfId="832" priority="169">
      <formula>AND(AD$9&gt;=14/24,AD$9&lt;20/24)</formula>
    </cfRule>
    <cfRule type="expression" dxfId="831" priority="170">
      <formula>AND(AD$9&gt;=8/24,AD$9&lt;14/24)</formula>
    </cfRule>
    <cfRule type="expression" dxfId="830" priority="171">
      <formula>AD$9&lt;8/24</formula>
    </cfRule>
  </conditionalFormatting>
  <conditionalFormatting sqref="AG78">
    <cfRule type="expression" dxfId="829" priority="147">
      <formula>AG$9&gt;=20/24</formula>
    </cfRule>
    <cfRule type="expression" dxfId="828" priority="148">
      <formula>AND(AG$9&gt;=14/24,AG$9&lt;20/24)</formula>
    </cfRule>
    <cfRule type="expression" dxfId="827" priority="149">
      <formula>AND(AG$9&gt;=8/24,AG$9&lt;14/24)</formula>
    </cfRule>
    <cfRule type="expression" dxfId="826" priority="150">
      <formula>AG$9&lt;8/24</formula>
    </cfRule>
  </conditionalFormatting>
  <conditionalFormatting sqref="AG91:AG92">
    <cfRule type="expression" dxfId="825" priority="142">
      <formula>AG91&gt;$AG91</formula>
    </cfRule>
  </conditionalFormatting>
  <conditionalFormatting sqref="AG96">
    <cfRule type="expression" dxfId="824" priority="143">
      <formula>AG$9&gt;=20/24</formula>
    </cfRule>
    <cfRule type="expression" dxfId="823" priority="144">
      <formula>AND(AG$9&gt;=14/24,AG$9&lt;20/24)</formula>
    </cfRule>
    <cfRule type="expression" dxfId="822" priority="145">
      <formula>AND(AG$9&gt;=8/24,AG$9&lt;14/24)</formula>
    </cfRule>
    <cfRule type="expression" dxfId="821" priority="146">
      <formula>AG$9&lt;8/24</formula>
    </cfRule>
  </conditionalFormatting>
  <conditionalFormatting sqref="AG113">
    <cfRule type="expression" dxfId="820" priority="164">
      <formula>AG$9&gt;=20/24</formula>
    </cfRule>
    <cfRule type="expression" dxfId="819" priority="165">
      <formula>AND(AG$9&gt;=14/24,AG$9&lt;20/24)</formula>
    </cfRule>
    <cfRule type="expression" dxfId="818" priority="166">
      <formula>AND(AG$9&gt;=8/24,AG$9&lt;14/24)</formula>
    </cfRule>
    <cfRule type="expression" dxfId="817" priority="167">
      <formula>AG$9&lt;8/24</formula>
    </cfRule>
  </conditionalFormatting>
  <conditionalFormatting sqref="AH8:AI10">
    <cfRule type="expression" dxfId="816" priority="55">
      <formula>AH$9&gt;=20/24</formula>
    </cfRule>
    <cfRule type="expression" dxfId="815" priority="56">
      <formula>AND(AH$9&gt;=14/24,AH$9&lt;20/24)</formula>
    </cfRule>
    <cfRule type="expression" dxfId="814" priority="57">
      <formula>AND(AH$9&gt;=8/24,AH$9&lt;14/24)</formula>
    </cfRule>
    <cfRule type="expression" dxfId="8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2" priority="185">
      <formula>AJ$9&gt;=20/24</formula>
    </cfRule>
    <cfRule type="expression" dxfId="811" priority="186">
      <formula>AND(AJ$9&gt;=14/24,AJ$9&lt;20/24)</formula>
    </cfRule>
    <cfRule type="expression" dxfId="810" priority="187">
      <formula>AND(AJ$9&gt;=8/24,AJ$9&lt;14/24)</formula>
    </cfRule>
    <cfRule type="expression" dxfId="809" priority="188">
      <formula>AJ$9&lt;8/24</formula>
    </cfRule>
  </conditionalFormatting>
  <conditionalFormatting sqref="AL99:AN99 AL105:AN105">
    <cfRule type="expression" dxfId="808" priority="157">
      <formula>AL$9&gt;=20/24</formula>
    </cfRule>
    <cfRule type="expression" dxfId="807" priority="158">
      <formula>AND(AL$9&gt;=14/24,AL$9&lt;20/24)</formula>
    </cfRule>
    <cfRule type="expression" dxfId="806" priority="159">
      <formula>AND(AL$9&gt;=8/24,AL$9&lt;14/24)</formula>
    </cfRule>
    <cfRule type="expression" dxfId="805" priority="160">
      <formula>AL$9&lt;8/24</formula>
    </cfRule>
  </conditionalFormatting>
  <conditionalFormatting sqref="AM15:AM21 AN16:AR21">
    <cfRule type="expression" dxfId="804" priority="81">
      <formula>AX$9&gt;=20/24</formula>
    </cfRule>
    <cfRule type="expression" dxfId="803" priority="82">
      <formula>AND(AX$9&gt;=14/24,AX$9&lt;20/24)</formula>
    </cfRule>
    <cfRule type="expression" dxfId="802" priority="83">
      <formula>AND(AX$9&gt;=8/24,AX$9&lt;14/24)</formula>
    </cfRule>
    <cfRule type="expression" dxfId="801" priority="84">
      <formula>AX$9&lt;8/24</formula>
    </cfRule>
  </conditionalFormatting>
  <conditionalFormatting sqref="AN100:AN103">
    <cfRule type="expression" dxfId="800" priority="153">
      <formula>AN$9&gt;=20/24</formula>
    </cfRule>
    <cfRule type="expression" dxfId="799" priority="154">
      <formula>AND(AN$9&gt;=14/24,AN$9&lt;20/24)</formula>
    </cfRule>
    <cfRule type="expression" dxfId="798" priority="155">
      <formula>AND(AN$9&gt;=8/24,AN$9&lt;14/24)</formula>
    </cfRule>
    <cfRule type="expression" dxfId="797" priority="156">
      <formula>AN$9&lt;8/24</formula>
    </cfRule>
  </conditionalFormatting>
  <conditionalFormatting sqref="AN15:AR15">
    <cfRule type="expression" dxfId="796" priority="69">
      <formula>U$9&gt;=20/24</formula>
    </cfRule>
    <cfRule type="expression" dxfId="795" priority="70">
      <formula>AND(U$9&gt;=14/24,U$9&lt;20/24)</formula>
    </cfRule>
    <cfRule type="expression" dxfId="794" priority="71">
      <formula>AND(U$9&gt;=8/24,U$9&lt;14/24)</formula>
    </cfRule>
    <cfRule type="expression" dxfId="793" priority="72">
      <formula>U$9&lt;8/24</formula>
    </cfRule>
  </conditionalFormatting>
  <conditionalFormatting sqref="AS15">
    <cfRule type="expression" dxfId="792" priority="77">
      <formula>AA$9&gt;=20/24</formula>
    </cfRule>
    <cfRule type="expression" dxfId="791" priority="78">
      <formula>AND(AA$9&gt;=14/24,AA$9&lt;20/24)</formula>
    </cfRule>
    <cfRule type="expression" dxfId="790" priority="79">
      <formula>AND(AA$9&gt;=8/24,AA$9&lt;14/24)</formula>
    </cfRule>
    <cfRule type="expression" dxfId="789" priority="80">
      <formula>AA$9&lt;8/24</formula>
    </cfRule>
  </conditionalFormatting>
  <conditionalFormatting sqref="AS16:AS21">
    <cfRule type="expression" dxfId="788" priority="85">
      <formula>BE$9&gt;=20/24</formula>
    </cfRule>
    <cfRule type="expression" dxfId="787" priority="86">
      <formula>AND(BE$9&gt;=14/24,BE$9&lt;20/24)</formula>
    </cfRule>
    <cfRule type="expression" dxfId="786" priority="87">
      <formula>AND(BE$9&gt;=8/24,BE$9&lt;14/24)</formula>
    </cfRule>
    <cfRule type="expression" dxfId="785" priority="88">
      <formula>BE$9&lt;8/24</formula>
    </cfRule>
  </conditionalFormatting>
  <conditionalFormatting sqref="AT15 AX15:BJ15">
    <cfRule type="expression" dxfId="784" priority="89">
      <formula>AC$9&gt;=20/24</formula>
    </cfRule>
    <cfRule type="expression" dxfId="783" priority="90">
      <formula>AND(AC$9&gt;=14/24,AC$9&lt;20/24)</formula>
    </cfRule>
    <cfRule type="expression" dxfId="782" priority="91">
      <formula>AND(AC$9&gt;=8/24,AC$9&lt;14/24)</formula>
    </cfRule>
    <cfRule type="expression" dxfId="781" priority="92">
      <formula>AC$9&lt;8/24</formula>
    </cfRule>
  </conditionalFormatting>
  <conditionalFormatting sqref="AT16:AT21">
    <cfRule type="expression" dxfId="780" priority="93">
      <formula>BG$9&gt;=20/24</formula>
    </cfRule>
    <cfRule type="expression" dxfId="779" priority="94">
      <formula>AND(BG$9&gt;=14/24,BG$9&lt;20/24)</formula>
    </cfRule>
    <cfRule type="expression" dxfId="778" priority="95">
      <formula>AND(BG$9&gt;=8/24,BG$9&lt;14/24)</formula>
    </cfRule>
    <cfRule type="expression" dxfId="777" priority="96">
      <formula>BG$9&lt;8/24</formula>
    </cfRule>
  </conditionalFormatting>
  <conditionalFormatting sqref="AU15:AV15">
    <cfRule type="expression" dxfId="776" priority="97">
      <formula>AE$9&gt;=20/24</formula>
    </cfRule>
    <cfRule type="expression" dxfId="775" priority="98">
      <formula>AND(AE$9&gt;=14/24,AE$9&lt;20/24)</formula>
    </cfRule>
    <cfRule type="expression" dxfId="774" priority="99">
      <formula>AND(AE$9&gt;=8/24,AE$9&lt;14/24)</formula>
    </cfRule>
    <cfRule type="expression" dxfId="773" priority="100">
      <formula>AE$9&lt;8/24</formula>
    </cfRule>
  </conditionalFormatting>
  <conditionalFormatting sqref="AU16:BJ21">
    <cfRule type="expression" dxfId="772" priority="101">
      <formula>BI$9&gt;=20/24</formula>
    </cfRule>
    <cfRule type="expression" dxfId="771" priority="102">
      <formula>AND(BI$9&gt;=14/24,BI$9&lt;20/24)</formula>
    </cfRule>
    <cfRule type="expression" dxfId="770" priority="103">
      <formula>AND(BI$9&gt;=8/24,BI$9&lt;14/24)</formula>
    </cfRule>
    <cfRule type="expression" dxfId="769" priority="104">
      <formula>BI$9&lt;8/24</formula>
    </cfRule>
  </conditionalFormatting>
  <conditionalFormatting sqref="AW15">
    <cfRule type="expression" dxfId="768" priority="73">
      <formula>B$9&gt;=20/24</formula>
    </cfRule>
    <cfRule type="expression" dxfId="767" priority="74">
      <formula>AND(B$9&gt;=14/24,B$9&lt;20/24)</formula>
    </cfRule>
    <cfRule type="expression" dxfId="766" priority="75">
      <formula>AND(B$9&gt;=8/24,B$9&lt;14/24)</formula>
    </cfRule>
    <cfRule type="expression" dxfId="765" priority="76">
      <formula>B$9&lt;8/24</formula>
    </cfRule>
  </conditionalFormatting>
  <conditionalFormatting sqref="A73">
    <cfRule type="expression" dxfId="764" priority="24">
      <formula>$AH73=0</formula>
    </cfRule>
  </conditionalFormatting>
  <conditionalFormatting sqref="B97:F107 B137:F152 B109:F112 B125:F134 B154:F159 B11:O13">
    <cfRule type="expression" dxfId="763" priority="20">
      <formula>B$9&gt;=20/24</formula>
    </cfRule>
  </conditionalFormatting>
  <conditionalFormatting sqref="B97:F107 B137:F152 B109:F112 B125:F134 B154:F159 B11:O13">
    <cfRule type="expression" dxfId="762" priority="21">
      <formula>AND(B$9&gt;=14/24,B$9&lt;20/24)</formula>
    </cfRule>
    <cfRule type="expression" dxfId="761" priority="22">
      <formula>AND(B$9&gt;=8/24,B$9&lt;14/24)</formula>
    </cfRule>
    <cfRule type="expression" dxfId="760" priority="23">
      <formula>B$9&lt;8/24</formula>
    </cfRule>
  </conditionalFormatting>
  <conditionalFormatting sqref="B14:O28">
    <cfRule type="expression" dxfId="759" priority="10">
      <formula>B14&gt;$AG14*1</formula>
    </cfRule>
    <cfRule type="expression" dxfId="758" priority="11">
      <formula>B$9&gt;=20/24</formula>
    </cfRule>
    <cfRule type="expression" dxfId="757" priority="12">
      <formula>AND(B$9&gt;=14/24,B$9&lt;20/24)</formula>
    </cfRule>
    <cfRule type="expression" dxfId="756" priority="13">
      <formula>AND(B$9&gt;=8/24,B$9&lt;14/24)</formula>
    </cfRule>
    <cfRule type="expression" dxfId="755" priority="14">
      <formula>B$9&lt;8/24</formula>
    </cfRule>
  </conditionalFormatting>
  <conditionalFormatting sqref="B161:F167">
    <cfRule type="expression" dxfId="754" priority="15">
      <formula>B$9&gt;=20/24</formula>
    </cfRule>
    <cfRule type="expression" dxfId="753" priority="16">
      <formula>AND(B$9&gt;=14/24,B$9&lt;20/24)</formula>
    </cfRule>
    <cfRule type="expression" dxfId="752" priority="17">
      <formula>AND(B$9&gt;=8/24,B$9&lt;14/24)</formula>
    </cfRule>
    <cfRule type="expression" dxfId="751" priority="18">
      <formula>B$9&lt;8/24</formula>
    </cfRule>
  </conditionalFormatting>
  <conditionalFormatting sqref="B169:F274">
    <cfRule type="expression" dxfId="750" priority="6">
      <formula>B$9&gt;=20/24</formula>
    </cfRule>
    <cfRule type="expression" dxfId="749" priority="7">
      <formula>AND(B$9&gt;=14/24,B$9&lt;20/24)</formula>
    </cfRule>
    <cfRule type="expression" dxfId="748" priority="8">
      <formula>AND(B$9&gt;=8/24,B$9&lt;14/24)</formula>
    </cfRule>
    <cfRule type="expression" dxfId="747" priority="9">
      <formula>B$9&lt;8/24</formula>
    </cfRule>
  </conditionalFormatting>
  <conditionalFormatting sqref="B11:O13">
    <cfRule type="expression" dxfId="746" priority="19">
      <formula>B11&gt;$AG11*1</formula>
    </cfRule>
  </conditionalFormatting>
  <conditionalFormatting sqref="A153">
    <cfRule type="expression" dxfId="7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4" priority="1">
      <formula>AL$9&gt;=20/24</formula>
    </cfRule>
  </conditionalFormatting>
  <conditionalFormatting sqref="AL153">
    <cfRule type="expression" dxfId="743" priority="2">
      <formula>AND(AL$9&gt;=14/24,AL$9&lt;20/24)</formula>
    </cfRule>
    <cfRule type="expression" dxfId="742" priority="3">
      <formula>AND(AL$9&gt;=8/24,AL$9&lt;14/24)</formula>
    </cfRule>
    <cfRule type="expression" dxfId="7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40" priority="25">
      <formula>$AH11=0</formula>
    </cfRule>
  </conditionalFormatting>
  <conditionalFormatting sqref="A101:A102">
    <cfRule type="expression" dxfId="739" priority="193">
      <formula>$AH106=0</formula>
    </cfRule>
  </conditionalFormatting>
  <conditionalFormatting sqref="A103:A107">
    <cfRule type="expression" dxfId="738" priority="141">
      <formula>$AH102=0</formula>
    </cfRule>
  </conditionalFormatting>
  <conditionalFormatting sqref="A160:A167">
    <cfRule type="expression" dxfId="737" priority="194">
      <formula>$AH267=0</formula>
    </cfRule>
  </conditionalFormatting>
  <conditionalFormatting sqref="A168:A275">
    <cfRule type="expression" dxfId="736" priority="64">
      <formula>$AH168=0</formula>
    </cfRule>
  </conditionalFormatting>
  <conditionalFormatting sqref="B8">
    <cfRule type="expression" dxfId="735" priority="189">
      <formula>AND(C$9&gt;=14/24,C$9&lt;20/24)</formula>
    </cfRule>
    <cfRule type="expression" dxfId="734" priority="190">
      <formula>AND(C$9&gt;=8/24,C$9&lt;14/24)</formula>
    </cfRule>
    <cfRule type="expression" dxfId="733" priority="191">
      <formula>C$9&lt;8/24</formula>
    </cfRule>
    <cfRule type="expression" dxfId="7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0" priority="107">
      <formula>AND(B$9&gt;=14/24,B$9&lt;20/24)</formula>
    </cfRule>
    <cfRule type="expression" dxfId="729" priority="108">
      <formula>AND(B$9&gt;=8/24,B$9&lt;14/24)</formula>
    </cfRule>
    <cfRule type="expression" dxfId="728" priority="109">
      <formula>B$9&lt;8/24</formula>
    </cfRule>
  </conditionalFormatting>
  <conditionalFormatting sqref="B29:AF53">
    <cfRule type="expression" dxfId="727" priority="49">
      <formula>B29&gt;$AG29*1</formula>
    </cfRule>
    <cfRule type="expression" dxfId="726" priority="50">
      <formula>B$9&gt;=20/24</formula>
    </cfRule>
    <cfRule type="expression" dxfId="725" priority="51">
      <formula>AND(B$9&gt;=14/24,B$9&lt;20/24)</formula>
    </cfRule>
    <cfRule type="expression" dxfId="724" priority="52">
      <formula>AND(B$9&gt;=8/24,B$9&lt;14/24)</formula>
    </cfRule>
    <cfRule type="expression" dxfId="723" priority="53">
      <formula>B$9&lt;8/24</formula>
    </cfRule>
  </conditionalFormatting>
  <conditionalFormatting sqref="B54:AF68">
    <cfRule type="expression" dxfId="722" priority="42">
      <formula>B$9&lt;8/24</formula>
    </cfRule>
  </conditionalFormatting>
  <conditionalFormatting sqref="B54:AF70">
    <cfRule type="expression" dxfId="721" priority="39">
      <formula>B$9&gt;=20/24</formula>
    </cfRule>
    <cfRule type="expression" dxfId="720" priority="40">
      <formula>AND(B$9&gt;=14/24,B$9&lt;20/24)</formula>
    </cfRule>
    <cfRule type="expression" dxfId="719" priority="41">
      <formula>AND(B$9&gt;=8/24,B$9&lt;14/24)</formula>
    </cfRule>
  </conditionalFormatting>
  <conditionalFormatting sqref="B63:AF65">
    <cfRule type="expression" dxfId="718" priority="43">
      <formula>B63&gt;$AG63</formula>
    </cfRule>
  </conditionalFormatting>
  <conditionalFormatting sqref="B69:AF70">
    <cfRule type="expression" dxfId="717" priority="114">
      <formula>B$9&lt;8/24</formula>
    </cfRule>
  </conditionalFormatting>
  <conditionalFormatting sqref="B72:AF75">
    <cfRule type="expression" dxfId="716" priority="30">
      <formula>B72&gt;$AG72*1</formula>
    </cfRule>
  </conditionalFormatting>
  <conditionalFormatting sqref="B73:AF75">
    <cfRule type="expression" dxfId="715" priority="31">
      <formula>B$9&gt;=20/24</formula>
    </cfRule>
    <cfRule type="expression" dxfId="714" priority="32">
      <formula>AND(B$9&gt;=14/24,B$9&lt;20/24)</formula>
    </cfRule>
    <cfRule type="expression" dxfId="713" priority="33">
      <formula>AND(B$9&gt;=8/24,B$9&lt;14/24)</formula>
    </cfRule>
    <cfRule type="expression" dxfId="712" priority="34">
      <formula>B$9&lt;8/24</formula>
    </cfRule>
  </conditionalFormatting>
  <conditionalFormatting sqref="C161:AF167">
    <cfRule type="expression" dxfId="711" priority="65">
      <formula>C$9&gt;=20/24</formula>
    </cfRule>
    <cfRule type="expression" dxfId="710" priority="66">
      <formula>AND(C$9&gt;=14/24,C$9&lt;20/24)</formula>
    </cfRule>
    <cfRule type="expression" dxfId="709" priority="67">
      <formula>AND(C$9&gt;=8/24,C$9&lt;14/24)</formula>
    </cfRule>
    <cfRule type="expression" dxfId="708" priority="68">
      <formula>C$9&lt;8/24</formula>
    </cfRule>
  </conditionalFormatting>
  <conditionalFormatting sqref="C169:AF274">
    <cfRule type="expression" dxfId="707" priority="26">
      <formula>C$9&gt;=20/24</formula>
    </cfRule>
    <cfRule type="expression" dxfId="706" priority="27">
      <formula>AND(C$9&gt;=14/24,C$9&lt;20/24)</formula>
    </cfRule>
    <cfRule type="expression" dxfId="705" priority="28">
      <formula>AND(C$9&gt;=8/24,C$9&lt;14/24)</formula>
    </cfRule>
    <cfRule type="expression" dxfId="704" priority="29">
      <formula>C$9&lt;8/24</formula>
    </cfRule>
  </conditionalFormatting>
  <conditionalFormatting sqref="AF96:AG96 AF78:AG78 B71:AG71 B76:AE96 AF76:AF77 AF79:AF96 B69:AF69 AC80:AF81">
    <cfRule type="expression" dxfId="703" priority="105">
      <formula>B69&gt;$AG69*1</formula>
    </cfRule>
  </conditionalFormatting>
  <conditionalFormatting sqref="G79:AF83">
    <cfRule type="expression" dxfId="702" priority="115">
      <formula>G$9&gt;=20/24</formula>
    </cfRule>
    <cfRule type="expression" dxfId="701" priority="116">
      <formula>AND(G$9&gt;=14/24,G$9&lt;20/24)</formula>
    </cfRule>
    <cfRule type="expression" dxfId="700" priority="117">
      <formula>AND(G$9&gt;=8/24,G$9&lt;14/24)</formula>
    </cfRule>
    <cfRule type="expression" dxfId="699" priority="118">
      <formula>G$9&lt;8/24</formula>
    </cfRule>
  </conditionalFormatting>
  <conditionalFormatting sqref="G84:AF84">
    <cfRule type="expression" dxfId="698" priority="110">
      <formula>G$9&gt;=20/24</formula>
    </cfRule>
    <cfRule type="expression" dxfId="697" priority="111">
      <formula>AND(G$9&gt;=14/24,G$9&lt;20/24)</formula>
    </cfRule>
    <cfRule type="expression" dxfId="696" priority="112">
      <formula>AND(G$9&gt;=8/24,G$9&lt;14/24)</formula>
    </cfRule>
    <cfRule type="expression" dxfId="695" priority="113">
      <formula>G$9&lt;8/24</formula>
    </cfRule>
  </conditionalFormatting>
  <conditionalFormatting sqref="G78:AF78 B72:AF72">
    <cfRule type="expression" dxfId="694" priority="125">
      <formula>B$9&gt;=20/24</formula>
    </cfRule>
    <cfRule type="expression" dxfId="693" priority="126">
      <formula>AND(B$9&gt;=14/24,B$9&lt;20/24)</formula>
    </cfRule>
    <cfRule type="expression" dxfId="692" priority="127">
      <formula>AND(B$9&gt;=8/24,B$9&lt;14/24)</formula>
    </cfRule>
    <cfRule type="expression" dxfId="691" priority="128">
      <formula>B$9&lt;8/24</formula>
    </cfRule>
  </conditionalFormatting>
  <conditionalFormatting sqref="G79:AF81">
    <cfRule type="expression" dxfId="686" priority="133">
      <formula>G$9&gt;=20/24</formula>
    </cfRule>
    <cfRule type="expression" dxfId="685" priority="134">
      <formula>AND(G$9&gt;=14/24,G$9&lt;20/24)</formula>
    </cfRule>
    <cfRule type="expression" dxfId="684" priority="135">
      <formula>AND(G$9&gt;=8/24,G$9&lt;14/24)</formula>
    </cfRule>
    <cfRule type="expression" dxfId="683" priority="136">
      <formula>G$9&lt;8/24</formula>
    </cfRule>
  </conditionalFormatting>
  <conditionalFormatting sqref="L84:AF84">
    <cfRule type="expression" dxfId="682" priority="129">
      <formula>L$9&gt;=20/24</formula>
    </cfRule>
    <cfRule type="expression" dxfId="681" priority="130">
      <formula>AND(L$9&gt;=14/24,L$9&lt;20/24)</formula>
    </cfRule>
    <cfRule type="expression" dxfId="680" priority="131">
      <formula>AND(L$9&gt;=8/24,L$9&lt;14/24)</formula>
    </cfRule>
    <cfRule type="expression" dxfId="679" priority="132">
      <formula>L$9&lt;8/24</formula>
    </cfRule>
  </conditionalFormatting>
  <conditionalFormatting sqref="M8 S8 AB8">
    <cfRule type="expression" dxfId="678" priority="182">
      <formula>AND(N$9&gt;=14/24,N$9&lt;20/24)</formula>
    </cfRule>
    <cfRule type="expression" dxfId="677" priority="183">
      <formula>AND(N$9&gt;=8/24,N$9&lt;14/24)</formula>
    </cfRule>
    <cfRule type="expression" dxfId="6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5" priority="181">
      <formula>N$9&gt;=20/24</formula>
    </cfRule>
  </conditionalFormatting>
  <conditionalFormatting sqref="S8">
    <cfRule type="expression" dxfId="674" priority="172">
      <formula>U$9&gt;=20/24</formula>
    </cfRule>
    <cfRule type="expression" dxfId="673" priority="173">
      <formula>AND(U$9&gt;=14/24,U$9&lt;20/24)</formula>
    </cfRule>
    <cfRule type="expression" dxfId="672" priority="174">
      <formula>AND(U$9&gt;=8/24,U$9&lt;14/24)</formula>
    </cfRule>
    <cfRule type="expression" dxfId="671" priority="175">
      <formula>U$9&lt;8/24</formula>
    </cfRule>
  </conditionalFormatting>
  <conditionalFormatting sqref="AC79:AF84">
    <cfRule type="expression" dxfId="670" priority="59">
      <formula>AC$9&gt;=20/24</formula>
    </cfRule>
    <cfRule type="expression" dxfId="669" priority="60">
      <formula>AND(AC$9&gt;=14/24,AC$9&lt;20/24)</formula>
    </cfRule>
    <cfRule type="expression" dxfId="668" priority="61">
      <formula>AND(AC$9&gt;=8/24,AC$9&lt;14/24)</formula>
    </cfRule>
    <cfRule type="expression" dxfId="6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62" priority="119">
      <formula>B54&gt;$AG54</formula>
    </cfRule>
  </conditionalFormatting>
  <conditionalFormatting sqref="AB8">
    <cfRule type="expression" dxfId="661" priority="168">
      <formula>AD$9&gt;=20/24</formula>
    </cfRule>
    <cfRule type="expression" dxfId="660" priority="169">
      <formula>AND(AD$9&gt;=14/24,AD$9&lt;20/24)</formula>
    </cfRule>
    <cfRule type="expression" dxfId="659" priority="170">
      <formula>AND(AD$9&gt;=8/24,AD$9&lt;14/24)</formula>
    </cfRule>
    <cfRule type="expression" dxfId="658" priority="171">
      <formula>AD$9&lt;8/24</formula>
    </cfRule>
  </conditionalFormatting>
  <conditionalFormatting sqref="AG78">
    <cfRule type="expression" dxfId="652" priority="147">
      <formula>AG$9&gt;=20/24</formula>
    </cfRule>
    <cfRule type="expression" dxfId="651" priority="148">
      <formula>AND(AG$9&gt;=14/24,AG$9&lt;20/24)</formula>
    </cfRule>
    <cfRule type="expression" dxfId="650" priority="149">
      <formula>AND(AG$9&gt;=8/24,AG$9&lt;14/24)</formula>
    </cfRule>
    <cfRule type="expression" dxfId="649" priority="150">
      <formula>AG$9&lt;8/24</formula>
    </cfRule>
  </conditionalFormatting>
  <conditionalFormatting sqref="AG91:AG92">
    <cfRule type="expression" dxfId="648" priority="142">
      <formula>AG91&gt;$AG91</formula>
    </cfRule>
  </conditionalFormatting>
  <conditionalFormatting sqref="AG96">
    <cfRule type="expression" dxfId="647" priority="143">
      <formula>AG$9&gt;=20/24</formula>
    </cfRule>
    <cfRule type="expression" dxfId="646" priority="144">
      <formula>AND(AG$9&gt;=14/24,AG$9&lt;20/24)</formula>
    </cfRule>
    <cfRule type="expression" dxfId="645" priority="145">
      <formula>AND(AG$9&gt;=8/24,AG$9&lt;14/24)</formula>
    </cfRule>
    <cfRule type="expression" dxfId="644" priority="146">
      <formula>AG$9&lt;8/24</formula>
    </cfRule>
  </conditionalFormatting>
  <conditionalFormatting sqref="AG113">
    <cfRule type="expression" dxfId="643" priority="164">
      <formula>AG$9&gt;=20/24</formula>
    </cfRule>
    <cfRule type="expression" dxfId="642" priority="165">
      <formula>AND(AG$9&gt;=14/24,AG$9&lt;20/24)</formula>
    </cfRule>
    <cfRule type="expression" dxfId="641" priority="166">
      <formula>AND(AG$9&gt;=8/24,AG$9&lt;14/24)</formula>
    </cfRule>
    <cfRule type="expression" dxfId="640" priority="167">
      <formula>AG$9&lt;8/24</formula>
    </cfRule>
  </conditionalFormatting>
  <conditionalFormatting sqref="AH8:AI10">
    <cfRule type="expression" dxfId="639" priority="55">
      <formula>AH$9&gt;=20/24</formula>
    </cfRule>
    <cfRule type="expression" dxfId="638" priority="56">
      <formula>AND(AH$9&gt;=14/24,AH$9&lt;20/24)</formula>
    </cfRule>
    <cfRule type="expression" dxfId="637" priority="57">
      <formula>AND(AH$9&gt;=8/24,AH$9&lt;14/24)</formula>
    </cfRule>
    <cfRule type="expression" dxfId="6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35" priority="185">
      <formula>AJ$9&gt;=20/24</formula>
    </cfRule>
    <cfRule type="expression" dxfId="634" priority="186">
      <formula>AND(AJ$9&gt;=14/24,AJ$9&lt;20/24)</formula>
    </cfRule>
    <cfRule type="expression" dxfId="633" priority="187">
      <formula>AND(AJ$9&gt;=8/24,AJ$9&lt;14/24)</formula>
    </cfRule>
    <cfRule type="expression" dxfId="632" priority="188">
      <formula>AJ$9&lt;8/24</formula>
    </cfRule>
  </conditionalFormatting>
  <conditionalFormatting sqref="AL99:AN99 AL105:AN105">
    <cfRule type="expression" dxfId="631" priority="157">
      <formula>AL$9&gt;=20/24</formula>
    </cfRule>
    <cfRule type="expression" dxfId="630" priority="158">
      <formula>AND(AL$9&gt;=14/24,AL$9&lt;20/24)</formula>
    </cfRule>
    <cfRule type="expression" dxfId="629" priority="159">
      <formula>AND(AL$9&gt;=8/24,AL$9&lt;14/24)</formula>
    </cfRule>
    <cfRule type="expression" dxfId="628" priority="160">
      <formula>AL$9&lt;8/24</formula>
    </cfRule>
  </conditionalFormatting>
  <conditionalFormatting sqref="AM15:AM21 AN16:AR21">
    <cfRule type="expression" dxfId="627" priority="81">
      <formula>AX$9&gt;=20/24</formula>
    </cfRule>
    <cfRule type="expression" dxfId="626" priority="82">
      <formula>AND(AX$9&gt;=14/24,AX$9&lt;20/24)</formula>
    </cfRule>
    <cfRule type="expression" dxfId="625" priority="83">
      <formula>AND(AX$9&gt;=8/24,AX$9&lt;14/24)</formula>
    </cfRule>
    <cfRule type="expression" dxfId="624" priority="84">
      <formula>AX$9&lt;8/24</formula>
    </cfRule>
  </conditionalFormatting>
  <conditionalFormatting sqref="AN100:AN103">
    <cfRule type="expression" dxfId="623" priority="153">
      <formula>AN$9&gt;=20/24</formula>
    </cfRule>
    <cfRule type="expression" dxfId="622" priority="154">
      <formula>AND(AN$9&gt;=14/24,AN$9&lt;20/24)</formula>
    </cfRule>
    <cfRule type="expression" dxfId="621" priority="155">
      <formula>AND(AN$9&gt;=8/24,AN$9&lt;14/24)</formula>
    </cfRule>
    <cfRule type="expression" dxfId="620" priority="156">
      <formula>AN$9&lt;8/24</formula>
    </cfRule>
  </conditionalFormatting>
  <conditionalFormatting sqref="AN15:AR15">
    <cfRule type="expression" dxfId="619" priority="69">
      <formula>U$9&gt;=20/24</formula>
    </cfRule>
    <cfRule type="expression" dxfId="618" priority="70">
      <formula>AND(U$9&gt;=14/24,U$9&lt;20/24)</formula>
    </cfRule>
    <cfRule type="expression" dxfId="617" priority="71">
      <formula>AND(U$9&gt;=8/24,U$9&lt;14/24)</formula>
    </cfRule>
    <cfRule type="expression" dxfId="616" priority="72">
      <formula>U$9&lt;8/24</formula>
    </cfRule>
  </conditionalFormatting>
  <conditionalFormatting sqref="AS15">
    <cfRule type="expression" dxfId="615" priority="77">
      <formula>AA$9&gt;=20/24</formula>
    </cfRule>
    <cfRule type="expression" dxfId="614" priority="78">
      <formula>AND(AA$9&gt;=14/24,AA$9&lt;20/24)</formula>
    </cfRule>
    <cfRule type="expression" dxfId="613" priority="79">
      <formula>AND(AA$9&gt;=8/24,AA$9&lt;14/24)</formula>
    </cfRule>
    <cfRule type="expression" dxfId="612" priority="80">
      <formula>AA$9&lt;8/24</formula>
    </cfRule>
  </conditionalFormatting>
  <conditionalFormatting sqref="AS16:AS21">
    <cfRule type="expression" dxfId="611" priority="85">
      <formula>BE$9&gt;=20/24</formula>
    </cfRule>
    <cfRule type="expression" dxfId="610" priority="86">
      <formula>AND(BE$9&gt;=14/24,BE$9&lt;20/24)</formula>
    </cfRule>
    <cfRule type="expression" dxfId="609" priority="87">
      <formula>AND(BE$9&gt;=8/24,BE$9&lt;14/24)</formula>
    </cfRule>
    <cfRule type="expression" dxfId="608" priority="88">
      <formula>BE$9&lt;8/24</formula>
    </cfRule>
  </conditionalFormatting>
  <conditionalFormatting sqref="AT15 AX15:BJ15">
    <cfRule type="expression" dxfId="607" priority="89">
      <formula>AC$9&gt;=20/24</formula>
    </cfRule>
    <cfRule type="expression" dxfId="606" priority="90">
      <formula>AND(AC$9&gt;=14/24,AC$9&lt;20/24)</formula>
    </cfRule>
    <cfRule type="expression" dxfId="605" priority="91">
      <formula>AND(AC$9&gt;=8/24,AC$9&lt;14/24)</formula>
    </cfRule>
    <cfRule type="expression" dxfId="604" priority="92">
      <formula>AC$9&lt;8/24</formula>
    </cfRule>
  </conditionalFormatting>
  <conditionalFormatting sqref="AT16:AT21">
    <cfRule type="expression" dxfId="603" priority="93">
      <formula>BG$9&gt;=20/24</formula>
    </cfRule>
    <cfRule type="expression" dxfId="602" priority="94">
      <formula>AND(BG$9&gt;=14/24,BG$9&lt;20/24)</formula>
    </cfRule>
    <cfRule type="expression" dxfId="601" priority="95">
      <formula>AND(BG$9&gt;=8/24,BG$9&lt;14/24)</formula>
    </cfRule>
    <cfRule type="expression" dxfId="600" priority="96">
      <formula>BG$9&lt;8/24</formula>
    </cfRule>
  </conditionalFormatting>
  <conditionalFormatting sqref="AU15:AV15">
    <cfRule type="expression" dxfId="599" priority="97">
      <formula>AE$9&gt;=20/24</formula>
    </cfRule>
    <cfRule type="expression" dxfId="598" priority="98">
      <formula>AND(AE$9&gt;=14/24,AE$9&lt;20/24)</formula>
    </cfRule>
    <cfRule type="expression" dxfId="597" priority="99">
      <formula>AND(AE$9&gt;=8/24,AE$9&lt;14/24)</formula>
    </cfRule>
    <cfRule type="expression" dxfId="596" priority="100">
      <formula>AE$9&lt;8/24</formula>
    </cfRule>
  </conditionalFormatting>
  <conditionalFormatting sqref="AU16:BJ21">
    <cfRule type="expression" dxfId="595" priority="101">
      <formula>BI$9&gt;=20/24</formula>
    </cfRule>
    <cfRule type="expression" dxfId="594" priority="102">
      <formula>AND(BI$9&gt;=14/24,BI$9&lt;20/24)</formula>
    </cfRule>
    <cfRule type="expression" dxfId="593" priority="103">
      <formula>AND(BI$9&gt;=8/24,BI$9&lt;14/24)</formula>
    </cfRule>
    <cfRule type="expression" dxfId="592" priority="104">
      <formula>BI$9&lt;8/24</formula>
    </cfRule>
  </conditionalFormatting>
  <conditionalFormatting sqref="AW15">
    <cfRule type="expression" dxfId="591" priority="73">
      <formula>B$9&gt;=20/24</formula>
    </cfRule>
    <cfRule type="expression" dxfId="590" priority="74">
      <formula>AND(B$9&gt;=14/24,B$9&lt;20/24)</formula>
    </cfRule>
    <cfRule type="expression" dxfId="589" priority="75">
      <formula>AND(B$9&gt;=8/24,B$9&lt;14/24)</formula>
    </cfRule>
    <cfRule type="expression" dxfId="588" priority="76">
      <formula>B$9&lt;8/24</formula>
    </cfRule>
  </conditionalFormatting>
  <conditionalFormatting sqref="A73">
    <cfRule type="expression" dxfId="587" priority="24">
      <formula>$AH73=0</formula>
    </cfRule>
  </conditionalFormatting>
  <conditionalFormatting sqref="B97:B107 B137:B152 B109:B112 B125:B134 B154:B159 B11:AF13">
    <cfRule type="expression" dxfId="586" priority="20">
      <formula>B$9&gt;=20/24</formula>
    </cfRule>
  </conditionalFormatting>
  <conditionalFormatting sqref="B97:B107 B137:B152 B109:B112 B125:B134 B154:B159 B11:AF13">
    <cfRule type="expression" dxfId="585" priority="21">
      <formula>AND(B$9&gt;=14/24,B$9&lt;20/24)</formula>
    </cfRule>
    <cfRule type="expression" dxfId="584" priority="22">
      <formula>AND(B$9&gt;=8/24,B$9&lt;14/24)</formula>
    </cfRule>
    <cfRule type="expression" dxfId="583" priority="23">
      <formula>B$9&lt;8/24</formula>
    </cfRule>
  </conditionalFormatting>
  <conditionalFormatting sqref="B14:AF28">
    <cfRule type="expression" dxfId="582" priority="10">
      <formula>B14&gt;$AG14*1</formula>
    </cfRule>
    <cfRule type="expression" dxfId="581" priority="11">
      <formula>B$9&gt;=20/24</formula>
    </cfRule>
    <cfRule type="expression" dxfId="580" priority="12">
      <formula>AND(B$9&gt;=14/24,B$9&lt;20/24)</formula>
    </cfRule>
    <cfRule type="expression" dxfId="579" priority="13">
      <formula>AND(B$9&gt;=8/24,B$9&lt;14/24)</formula>
    </cfRule>
    <cfRule type="expression" dxfId="578" priority="14">
      <formula>B$9&lt;8/24</formula>
    </cfRule>
  </conditionalFormatting>
  <conditionalFormatting sqref="B161:B167">
    <cfRule type="expression" dxfId="577" priority="15">
      <formula>B$9&gt;=20/24</formula>
    </cfRule>
    <cfRule type="expression" dxfId="576" priority="16">
      <formula>AND(B$9&gt;=14/24,B$9&lt;20/24)</formula>
    </cfRule>
    <cfRule type="expression" dxfId="575" priority="17">
      <formula>AND(B$9&gt;=8/24,B$9&lt;14/24)</formula>
    </cfRule>
    <cfRule type="expression" dxfId="574" priority="18">
      <formula>B$9&lt;8/24</formula>
    </cfRule>
  </conditionalFormatting>
  <conditionalFormatting sqref="B169:B274">
    <cfRule type="expression" dxfId="573" priority="6">
      <formula>B$9&gt;=20/24</formula>
    </cfRule>
    <cfRule type="expression" dxfId="572" priority="7">
      <formula>AND(B$9&gt;=14/24,B$9&lt;20/24)</formula>
    </cfRule>
    <cfRule type="expression" dxfId="571" priority="8">
      <formula>AND(B$9&gt;=8/24,B$9&lt;14/24)</formula>
    </cfRule>
    <cfRule type="expression" dxfId="570" priority="9">
      <formula>B$9&lt;8/24</formula>
    </cfRule>
  </conditionalFormatting>
  <conditionalFormatting sqref="B11:AF13">
    <cfRule type="expression" dxfId="569" priority="19">
      <formula>B11&gt;$AG11*1</formula>
    </cfRule>
  </conditionalFormatting>
  <conditionalFormatting sqref="A153">
    <cfRule type="expression" dxfId="5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67" priority="1">
      <formula>AL$9&gt;=20/24</formula>
    </cfRule>
  </conditionalFormatting>
  <conditionalFormatting sqref="AL153">
    <cfRule type="expression" dxfId="566" priority="2">
      <formula>AND(AL$9&gt;=14/24,AL$9&lt;20/24)</formula>
    </cfRule>
    <cfRule type="expression" dxfId="565" priority="3">
      <formula>AND(AL$9&gt;=8/24,AL$9&lt;14/24)</formula>
    </cfRule>
    <cfRule type="expression" dxfId="5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1" priority="25">
      <formula>$AH11=0</formula>
    </cfRule>
  </conditionalFormatting>
  <conditionalFormatting sqref="A101:A102">
    <cfRule type="expression" dxfId="380" priority="193">
      <formula>$AH106=0</formula>
    </cfRule>
  </conditionalFormatting>
  <conditionalFormatting sqref="A103:A107">
    <cfRule type="expression" dxfId="379" priority="141">
      <formula>$AH102=0</formula>
    </cfRule>
  </conditionalFormatting>
  <conditionalFormatting sqref="A160:A167">
    <cfRule type="expression" dxfId="378" priority="194">
      <formula>$AH267=0</formula>
    </cfRule>
  </conditionalFormatting>
  <conditionalFormatting sqref="A168:A275">
    <cfRule type="expression" dxfId="377" priority="64">
      <formula>$AH168=0</formula>
    </cfRule>
  </conditionalFormatting>
  <conditionalFormatting sqref="B8">
    <cfRule type="expression" dxfId="376" priority="189">
      <formula>AND(C$9&gt;=14/24,C$9&lt;20/24)</formula>
    </cfRule>
    <cfRule type="expression" dxfId="375" priority="190">
      <formula>AND(C$9&gt;=8/24,C$9&lt;14/24)</formula>
    </cfRule>
    <cfRule type="expression" dxfId="374" priority="191">
      <formula>C$9&lt;8/24</formula>
    </cfRule>
    <cfRule type="expression" dxfId="373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2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1" priority="107">
      <formula>AND(B$9&gt;=14/24,B$9&lt;20/24)</formula>
    </cfRule>
    <cfRule type="expression" dxfId="370" priority="108">
      <formula>AND(B$9&gt;=8/24,B$9&lt;14/24)</formula>
    </cfRule>
    <cfRule type="expression" dxfId="369" priority="109">
      <formula>B$9&lt;8/24</formula>
    </cfRule>
  </conditionalFormatting>
  <conditionalFormatting sqref="B29:AF53">
    <cfRule type="expression" dxfId="368" priority="49">
      <formula>B29&gt;$AG29*1</formula>
    </cfRule>
    <cfRule type="expression" dxfId="367" priority="50">
      <formula>B$9&gt;=20/24</formula>
    </cfRule>
    <cfRule type="expression" dxfId="366" priority="51">
      <formula>AND(B$9&gt;=14/24,B$9&lt;20/24)</formula>
    </cfRule>
    <cfRule type="expression" dxfId="365" priority="52">
      <formula>AND(B$9&gt;=8/24,B$9&lt;14/24)</formula>
    </cfRule>
    <cfRule type="expression" dxfId="364" priority="53">
      <formula>B$9&lt;8/24</formula>
    </cfRule>
  </conditionalFormatting>
  <conditionalFormatting sqref="B54:AF68">
    <cfRule type="expression" dxfId="363" priority="42">
      <formula>B$9&lt;8/24</formula>
    </cfRule>
  </conditionalFormatting>
  <conditionalFormatting sqref="B54:AF70">
    <cfRule type="expression" dxfId="362" priority="39">
      <formula>B$9&gt;=20/24</formula>
    </cfRule>
    <cfRule type="expression" dxfId="361" priority="40">
      <formula>AND(B$9&gt;=14/24,B$9&lt;20/24)</formula>
    </cfRule>
    <cfRule type="expression" dxfId="360" priority="41">
      <formula>AND(B$9&gt;=8/24,B$9&lt;14/24)</formula>
    </cfRule>
  </conditionalFormatting>
  <conditionalFormatting sqref="B63:AF65">
    <cfRule type="expression" dxfId="359" priority="43">
      <formula>B63&gt;$AG63</formula>
    </cfRule>
  </conditionalFormatting>
  <conditionalFormatting sqref="B69:AF70">
    <cfRule type="expression" dxfId="358" priority="114">
      <formula>B$9&lt;8/24</formula>
    </cfRule>
  </conditionalFormatting>
  <conditionalFormatting sqref="B72:AF75">
    <cfRule type="expression" dxfId="357" priority="30">
      <formula>B72&gt;$AG72*1</formula>
    </cfRule>
  </conditionalFormatting>
  <conditionalFormatting sqref="B73:AF75">
    <cfRule type="expression" dxfId="356" priority="31">
      <formula>B$9&gt;=20/24</formula>
    </cfRule>
    <cfRule type="expression" dxfId="355" priority="32">
      <formula>AND(B$9&gt;=14/24,B$9&lt;20/24)</formula>
    </cfRule>
    <cfRule type="expression" dxfId="354" priority="33">
      <formula>AND(B$9&gt;=8/24,B$9&lt;14/24)</formula>
    </cfRule>
    <cfRule type="expression" dxfId="353" priority="34">
      <formula>B$9&lt;8/24</formula>
    </cfRule>
  </conditionalFormatting>
  <conditionalFormatting sqref="C161:AF167">
    <cfRule type="expression" dxfId="352" priority="65">
      <formula>C$9&gt;=20/24</formula>
    </cfRule>
    <cfRule type="expression" dxfId="351" priority="66">
      <formula>AND(C$9&gt;=14/24,C$9&lt;20/24)</formula>
    </cfRule>
    <cfRule type="expression" dxfId="350" priority="67">
      <formula>AND(C$9&gt;=8/24,C$9&lt;14/24)</formula>
    </cfRule>
    <cfRule type="expression" dxfId="349" priority="68">
      <formula>C$9&lt;8/24</formula>
    </cfRule>
  </conditionalFormatting>
  <conditionalFormatting sqref="C169:AF274">
    <cfRule type="expression" dxfId="348" priority="26">
      <formula>C$9&gt;=20/24</formula>
    </cfRule>
    <cfRule type="expression" dxfId="347" priority="27">
      <formula>AND(C$9&gt;=14/24,C$9&lt;20/24)</formula>
    </cfRule>
    <cfRule type="expression" dxfId="346" priority="28">
      <formula>AND(C$9&gt;=8/24,C$9&lt;14/24)</formula>
    </cfRule>
    <cfRule type="expression" dxfId="345" priority="29">
      <formula>C$9&lt;8/24</formula>
    </cfRule>
  </conditionalFormatting>
  <conditionalFormatting sqref="AG78 AF96:AG96 AF70 B71:AG71 B76:AE96 AF76:AF95 B69:AF69">
    <cfRule type="expression" dxfId="344" priority="105">
      <formula>B69&gt;$AG69*1</formula>
    </cfRule>
  </conditionalFormatting>
  <conditionalFormatting sqref="F79:AF83">
    <cfRule type="expression" dxfId="343" priority="115">
      <formula>F$9&gt;=20/24</formula>
    </cfRule>
    <cfRule type="expression" dxfId="342" priority="116">
      <formula>AND(F$9&gt;=14/24,F$9&lt;20/24)</formula>
    </cfRule>
    <cfRule type="expression" dxfId="341" priority="117">
      <formula>AND(F$9&gt;=8/24,F$9&lt;14/24)</formula>
    </cfRule>
    <cfRule type="expression" dxfId="340" priority="118">
      <formula>F$9&lt;8/24</formula>
    </cfRule>
  </conditionalFormatting>
  <conditionalFormatting sqref="F84:AF84">
    <cfRule type="expression" dxfId="339" priority="110">
      <formula>F$9&gt;=20/24</formula>
    </cfRule>
    <cfRule type="expression" dxfId="338" priority="111">
      <formula>AND(F$9&gt;=14/24,F$9&lt;20/24)</formula>
    </cfRule>
    <cfRule type="expression" dxfId="337" priority="112">
      <formula>AND(F$9&gt;=8/24,F$9&lt;14/24)</formula>
    </cfRule>
    <cfRule type="expression" dxfId="336" priority="113">
      <formula>F$9&lt;8/24</formula>
    </cfRule>
  </conditionalFormatting>
  <conditionalFormatting sqref="F78:AF78 B72:AF72">
    <cfRule type="expression" dxfId="335" priority="125">
      <formula>B$9&gt;=20/24</formula>
    </cfRule>
    <cfRule type="expression" dxfId="334" priority="126">
      <formula>AND(B$9&gt;=14/24,B$9&lt;20/24)</formula>
    </cfRule>
    <cfRule type="expression" dxfId="333" priority="127">
      <formula>AND(B$9&gt;=8/24,B$9&lt;14/24)</formula>
    </cfRule>
    <cfRule type="expression" dxfId="332" priority="128">
      <formula>B$9&lt;8/24</formula>
    </cfRule>
  </conditionalFormatting>
  <conditionalFormatting sqref="F79:AF81">
    <cfRule type="expression" dxfId="327" priority="133">
      <formula>F$9&gt;=20/24</formula>
    </cfRule>
    <cfRule type="expression" dxfId="326" priority="134">
      <formula>AND(F$9&gt;=14/24,F$9&lt;20/24)</formula>
    </cfRule>
    <cfRule type="expression" dxfId="325" priority="135">
      <formula>AND(F$9&gt;=8/24,F$9&lt;14/24)</formula>
    </cfRule>
    <cfRule type="expression" dxfId="324" priority="136">
      <formula>F$9&lt;8/24</formula>
    </cfRule>
  </conditionalFormatting>
  <conditionalFormatting sqref="L84:AF84">
    <cfRule type="expression" dxfId="323" priority="129">
      <formula>L$9&gt;=20/24</formula>
    </cfRule>
    <cfRule type="expression" dxfId="322" priority="130">
      <formula>AND(L$9&gt;=14/24,L$9&lt;20/24)</formula>
    </cfRule>
    <cfRule type="expression" dxfId="321" priority="131">
      <formula>AND(L$9&gt;=8/24,L$9&lt;14/24)</formula>
    </cfRule>
    <cfRule type="expression" dxfId="320" priority="132">
      <formula>L$9&lt;8/24</formula>
    </cfRule>
  </conditionalFormatting>
  <conditionalFormatting sqref="M8 S8 AB8">
    <cfRule type="expression" dxfId="319" priority="182">
      <formula>AND(N$9&gt;=14/24,N$9&lt;20/24)</formula>
    </cfRule>
    <cfRule type="expression" dxfId="318" priority="183">
      <formula>AND(N$9&gt;=8/24,N$9&lt;14/24)</formula>
    </cfRule>
    <cfRule type="expression" dxfId="317" priority="184">
      <formula>N$9&lt;8/24</formula>
    </cfRule>
  </conditionalFormatting>
  <conditionalFormatting sqref="M79:AF83">
    <cfRule type="expression" dxfId="316" priority="137">
      <formula>M$9&gt;=20/24</formula>
    </cfRule>
    <cfRule type="expression" dxfId="315" priority="138">
      <formula>AND(M$9&gt;=14/24,M$9&lt;20/24)</formula>
    </cfRule>
    <cfRule type="expression" dxfId="314" priority="139">
      <formula>AND(M$9&gt;=8/24,M$9&lt;14/24)</formula>
    </cfRule>
    <cfRule type="expression" dxfId="3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" priority="181">
      <formula>N$9&gt;=20/24</formula>
    </cfRule>
  </conditionalFormatting>
  <conditionalFormatting sqref="S8">
    <cfRule type="expression" dxfId="311" priority="172">
      <formula>U$9&gt;=20/24</formula>
    </cfRule>
    <cfRule type="expression" dxfId="310" priority="173">
      <formula>AND(U$9&gt;=14/24,U$9&lt;20/24)</formula>
    </cfRule>
    <cfRule type="expression" dxfId="309" priority="174">
      <formula>AND(U$9&gt;=8/24,U$9&lt;14/24)</formula>
    </cfRule>
    <cfRule type="expression" dxfId="308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98" priority="119">
      <formula>B54&gt;$AG54</formula>
    </cfRule>
  </conditionalFormatting>
  <conditionalFormatting sqref="AB8">
    <cfRule type="expression" dxfId="297" priority="168">
      <formula>AD$9&gt;=20/24</formula>
    </cfRule>
    <cfRule type="expression" dxfId="296" priority="169">
      <formula>AND(AD$9&gt;=14/24,AD$9&lt;20/24)</formula>
    </cfRule>
    <cfRule type="expression" dxfId="295" priority="170">
      <formula>AND(AD$9&gt;=8/24,AD$9&lt;14/24)</formula>
    </cfRule>
    <cfRule type="expression" dxfId="294" priority="171">
      <formula>AD$9&lt;8/24</formula>
    </cfRule>
  </conditionalFormatting>
  <conditionalFormatting sqref="AG78">
    <cfRule type="expression" dxfId="288" priority="147">
      <formula>AG$9&gt;=20/24</formula>
    </cfRule>
    <cfRule type="expression" dxfId="287" priority="148">
      <formula>AND(AG$9&gt;=14/24,AG$9&lt;20/24)</formula>
    </cfRule>
    <cfRule type="expression" dxfId="286" priority="149">
      <formula>AND(AG$9&gt;=8/24,AG$9&lt;14/24)</formula>
    </cfRule>
    <cfRule type="expression" dxfId="285" priority="150">
      <formula>AG$9&lt;8/24</formula>
    </cfRule>
  </conditionalFormatting>
  <conditionalFormatting sqref="AG91:AG92">
    <cfRule type="expression" dxfId="284" priority="142">
      <formula>AG91&gt;$AG91</formula>
    </cfRule>
  </conditionalFormatting>
  <conditionalFormatting sqref="AG96">
    <cfRule type="expression" dxfId="283" priority="143">
      <formula>AG$9&gt;=20/24</formula>
    </cfRule>
    <cfRule type="expression" dxfId="282" priority="144">
      <formula>AND(AG$9&gt;=14/24,AG$9&lt;20/24)</formula>
    </cfRule>
    <cfRule type="expression" dxfId="281" priority="145">
      <formula>AND(AG$9&gt;=8/24,AG$9&lt;14/24)</formula>
    </cfRule>
    <cfRule type="expression" dxfId="280" priority="146">
      <formula>AG$9&lt;8/24</formula>
    </cfRule>
  </conditionalFormatting>
  <conditionalFormatting sqref="AG113">
    <cfRule type="expression" dxfId="279" priority="164">
      <formula>AG$9&gt;=20/24</formula>
    </cfRule>
    <cfRule type="expression" dxfId="278" priority="165">
      <formula>AND(AG$9&gt;=14/24,AG$9&lt;20/24)</formula>
    </cfRule>
    <cfRule type="expression" dxfId="277" priority="166">
      <formula>AND(AG$9&gt;=8/24,AG$9&lt;14/24)</formula>
    </cfRule>
    <cfRule type="expression" dxfId="276" priority="167">
      <formula>AG$9&lt;8/24</formula>
    </cfRule>
  </conditionalFormatting>
  <conditionalFormatting sqref="AH8:AI10">
    <cfRule type="expression" dxfId="275" priority="55">
      <formula>AH$9&gt;=20/24</formula>
    </cfRule>
    <cfRule type="expression" dxfId="274" priority="56">
      <formula>AND(AH$9&gt;=14/24,AH$9&lt;20/24)</formula>
    </cfRule>
    <cfRule type="expression" dxfId="273" priority="57">
      <formula>AND(AH$9&gt;=8/24,AH$9&lt;14/24)</formula>
    </cfRule>
    <cfRule type="expression" dxfId="2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1" priority="185">
      <formula>AJ$9&gt;=20/24</formula>
    </cfRule>
    <cfRule type="expression" dxfId="270" priority="186">
      <formula>AND(AJ$9&gt;=14/24,AJ$9&lt;20/24)</formula>
    </cfRule>
    <cfRule type="expression" dxfId="269" priority="187">
      <formula>AND(AJ$9&gt;=8/24,AJ$9&lt;14/24)</formula>
    </cfRule>
    <cfRule type="expression" dxfId="268" priority="188">
      <formula>AJ$9&lt;8/24</formula>
    </cfRule>
  </conditionalFormatting>
  <conditionalFormatting sqref="AL99:AN99 AL105:AN105">
    <cfRule type="expression" dxfId="267" priority="157">
      <formula>AL$9&gt;=20/24</formula>
    </cfRule>
    <cfRule type="expression" dxfId="266" priority="158">
      <formula>AND(AL$9&gt;=14/24,AL$9&lt;20/24)</formula>
    </cfRule>
    <cfRule type="expression" dxfId="265" priority="159">
      <formula>AND(AL$9&gt;=8/24,AL$9&lt;14/24)</formula>
    </cfRule>
    <cfRule type="expression" dxfId="264" priority="160">
      <formula>AL$9&lt;8/24</formula>
    </cfRule>
  </conditionalFormatting>
  <conditionalFormatting sqref="AM15:AM21 AN16:AR21">
    <cfRule type="expression" dxfId="263" priority="81">
      <formula>AX$9&gt;=20/24</formula>
    </cfRule>
    <cfRule type="expression" dxfId="262" priority="82">
      <formula>AND(AX$9&gt;=14/24,AX$9&lt;20/24)</formula>
    </cfRule>
    <cfRule type="expression" dxfId="261" priority="83">
      <formula>AND(AX$9&gt;=8/24,AX$9&lt;14/24)</formula>
    </cfRule>
    <cfRule type="expression" dxfId="260" priority="84">
      <formula>AX$9&lt;8/24</formula>
    </cfRule>
  </conditionalFormatting>
  <conditionalFormatting sqref="AN100:AN103">
    <cfRule type="expression" dxfId="259" priority="153">
      <formula>AN$9&gt;=20/24</formula>
    </cfRule>
    <cfRule type="expression" dxfId="258" priority="154">
      <formula>AND(AN$9&gt;=14/24,AN$9&lt;20/24)</formula>
    </cfRule>
    <cfRule type="expression" dxfId="257" priority="155">
      <formula>AND(AN$9&gt;=8/24,AN$9&lt;14/24)</formula>
    </cfRule>
    <cfRule type="expression" dxfId="256" priority="156">
      <formula>AN$9&lt;8/24</formula>
    </cfRule>
  </conditionalFormatting>
  <conditionalFormatting sqref="AN15:AR15">
    <cfRule type="expression" dxfId="255" priority="69">
      <formula>U$9&gt;=20/24</formula>
    </cfRule>
    <cfRule type="expression" dxfId="254" priority="70">
      <formula>AND(U$9&gt;=14/24,U$9&lt;20/24)</formula>
    </cfRule>
    <cfRule type="expression" dxfId="253" priority="71">
      <formula>AND(U$9&gt;=8/24,U$9&lt;14/24)</formula>
    </cfRule>
    <cfRule type="expression" dxfId="252" priority="72">
      <formula>U$9&lt;8/24</formula>
    </cfRule>
  </conditionalFormatting>
  <conditionalFormatting sqref="AS15">
    <cfRule type="expression" dxfId="251" priority="77">
      <formula>AA$9&gt;=20/24</formula>
    </cfRule>
    <cfRule type="expression" dxfId="250" priority="78">
      <formula>AND(AA$9&gt;=14/24,AA$9&lt;20/24)</formula>
    </cfRule>
    <cfRule type="expression" dxfId="249" priority="79">
      <formula>AND(AA$9&gt;=8/24,AA$9&lt;14/24)</formula>
    </cfRule>
    <cfRule type="expression" dxfId="248" priority="80">
      <formula>AA$9&lt;8/24</formula>
    </cfRule>
  </conditionalFormatting>
  <conditionalFormatting sqref="AS16:AS21">
    <cfRule type="expression" dxfId="247" priority="85">
      <formula>BE$9&gt;=20/24</formula>
    </cfRule>
    <cfRule type="expression" dxfId="246" priority="86">
      <formula>AND(BE$9&gt;=14/24,BE$9&lt;20/24)</formula>
    </cfRule>
    <cfRule type="expression" dxfId="245" priority="87">
      <formula>AND(BE$9&gt;=8/24,BE$9&lt;14/24)</formula>
    </cfRule>
    <cfRule type="expression" dxfId="244" priority="88">
      <formula>BE$9&lt;8/24</formula>
    </cfRule>
  </conditionalFormatting>
  <conditionalFormatting sqref="AT15 AX15:BJ15">
    <cfRule type="expression" dxfId="243" priority="89">
      <formula>AC$9&gt;=20/24</formula>
    </cfRule>
    <cfRule type="expression" dxfId="242" priority="90">
      <formula>AND(AC$9&gt;=14/24,AC$9&lt;20/24)</formula>
    </cfRule>
    <cfRule type="expression" dxfId="241" priority="91">
      <formula>AND(AC$9&gt;=8/24,AC$9&lt;14/24)</formula>
    </cfRule>
    <cfRule type="expression" dxfId="240" priority="92">
      <formula>AC$9&lt;8/24</formula>
    </cfRule>
  </conditionalFormatting>
  <conditionalFormatting sqref="AT16:AT21">
    <cfRule type="expression" dxfId="239" priority="93">
      <formula>BG$9&gt;=20/24</formula>
    </cfRule>
    <cfRule type="expression" dxfId="238" priority="94">
      <formula>AND(BG$9&gt;=14/24,BG$9&lt;20/24)</formula>
    </cfRule>
    <cfRule type="expression" dxfId="237" priority="95">
      <formula>AND(BG$9&gt;=8/24,BG$9&lt;14/24)</formula>
    </cfRule>
    <cfRule type="expression" dxfId="236" priority="96">
      <formula>BG$9&lt;8/24</formula>
    </cfRule>
  </conditionalFormatting>
  <conditionalFormatting sqref="AU15:AV15">
    <cfRule type="expression" dxfId="235" priority="97">
      <formula>AE$9&gt;=20/24</formula>
    </cfRule>
    <cfRule type="expression" dxfId="234" priority="98">
      <formula>AND(AE$9&gt;=14/24,AE$9&lt;20/24)</formula>
    </cfRule>
    <cfRule type="expression" dxfId="233" priority="99">
      <formula>AND(AE$9&gt;=8/24,AE$9&lt;14/24)</formula>
    </cfRule>
    <cfRule type="expression" dxfId="232" priority="100">
      <formula>AE$9&lt;8/24</formula>
    </cfRule>
  </conditionalFormatting>
  <conditionalFormatting sqref="AU16:BJ21">
    <cfRule type="expression" dxfId="231" priority="101">
      <formula>BI$9&gt;=20/24</formula>
    </cfRule>
    <cfRule type="expression" dxfId="230" priority="102">
      <formula>AND(BI$9&gt;=14/24,BI$9&lt;20/24)</formula>
    </cfRule>
    <cfRule type="expression" dxfId="229" priority="103">
      <formula>AND(BI$9&gt;=8/24,BI$9&lt;14/24)</formula>
    </cfRule>
    <cfRule type="expression" dxfId="228" priority="104">
      <formula>BI$9&lt;8/24</formula>
    </cfRule>
  </conditionalFormatting>
  <conditionalFormatting sqref="AW15">
    <cfRule type="expression" dxfId="227" priority="73">
      <formula>B$9&gt;=20/24</formula>
    </cfRule>
    <cfRule type="expression" dxfId="226" priority="74">
      <formula>AND(B$9&gt;=14/24,B$9&lt;20/24)</formula>
    </cfRule>
    <cfRule type="expression" dxfId="225" priority="75">
      <formula>AND(B$9&gt;=8/24,B$9&lt;14/24)</formula>
    </cfRule>
    <cfRule type="expression" dxfId="224" priority="76">
      <formula>B$9&lt;8/24</formula>
    </cfRule>
  </conditionalFormatting>
  <conditionalFormatting sqref="A73">
    <cfRule type="expression" dxfId="223" priority="24">
      <formula>$AH73=0</formula>
    </cfRule>
  </conditionalFormatting>
  <conditionalFormatting sqref="B97:B107 B137:B152 B109:B112 B125:B134 B154:B159 C126:L133 C137:L151 B11:AF13">
    <cfRule type="expression" dxfId="222" priority="20">
      <formula>B$9&gt;=20/24</formula>
    </cfRule>
  </conditionalFormatting>
  <conditionalFormatting sqref="B97:B107 B137:B152 B109:B112 B125:B134 B154:B159 C126:L133 C137:L151 B11:AF13">
    <cfRule type="expression" dxfId="221" priority="21">
      <formula>AND(B$9&gt;=14/24,B$9&lt;20/24)</formula>
    </cfRule>
    <cfRule type="expression" dxfId="220" priority="22">
      <formula>AND(B$9&gt;=8/24,B$9&lt;14/24)</formula>
    </cfRule>
    <cfRule type="expression" dxfId="219" priority="23">
      <formula>B$9&lt;8/24</formula>
    </cfRule>
  </conditionalFormatting>
  <conditionalFormatting sqref="B14:AF28">
    <cfRule type="expression" dxfId="218" priority="10">
      <formula>B14&gt;$AG14*1</formula>
    </cfRule>
    <cfRule type="expression" dxfId="217" priority="11">
      <formula>B$9&gt;=20/24</formula>
    </cfRule>
    <cfRule type="expression" dxfId="216" priority="12">
      <formula>AND(B$9&gt;=14/24,B$9&lt;20/24)</formula>
    </cfRule>
    <cfRule type="expression" dxfId="215" priority="13">
      <formula>AND(B$9&gt;=8/24,B$9&lt;14/24)</formula>
    </cfRule>
    <cfRule type="expression" dxfId="214" priority="14">
      <formula>B$9&lt;8/24</formula>
    </cfRule>
  </conditionalFormatting>
  <conditionalFormatting sqref="B161:B167">
    <cfRule type="expression" dxfId="213" priority="15">
      <formula>B$9&gt;=20/24</formula>
    </cfRule>
    <cfRule type="expression" dxfId="212" priority="16">
      <formula>AND(B$9&gt;=14/24,B$9&lt;20/24)</formula>
    </cfRule>
    <cfRule type="expression" dxfId="211" priority="17">
      <formula>AND(B$9&gt;=8/24,B$9&lt;14/24)</formula>
    </cfRule>
    <cfRule type="expression" dxfId="210" priority="18">
      <formula>B$9&lt;8/24</formula>
    </cfRule>
  </conditionalFormatting>
  <conditionalFormatting sqref="B169:B274">
    <cfRule type="expression" dxfId="209" priority="6">
      <formula>B$9&gt;=20/24</formula>
    </cfRule>
    <cfRule type="expression" dxfId="208" priority="7">
      <formula>AND(B$9&gt;=14/24,B$9&lt;20/24)</formula>
    </cfRule>
    <cfRule type="expression" dxfId="207" priority="8">
      <formula>AND(B$9&gt;=8/24,B$9&lt;14/24)</formula>
    </cfRule>
    <cfRule type="expression" dxfId="206" priority="9">
      <formula>B$9&lt;8/24</formula>
    </cfRule>
  </conditionalFormatting>
  <conditionalFormatting sqref="B11:AF13">
    <cfRule type="expression" dxfId="205" priority="19">
      <formula>B11&gt;$AG11*1</formula>
    </cfRule>
  </conditionalFormatting>
  <conditionalFormatting sqref="A153">
    <cfRule type="expression" dxfId="20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3" priority="1">
      <formula>AL$9&gt;=20/24</formula>
    </cfRule>
  </conditionalFormatting>
  <conditionalFormatting sqref="AL153">
    <cfRule type="expression" dxfId="202" priority="2">
      <formula>AND(AL$9&gt;=14/24,AL$9&lt;20/24)</formula>
    </cfRule>
    <cfRule type="expression" dxfId="201" priority="3">
      <formula>AND(AL$9&gt;=8/24,AL$9&lt;14/24)</formula>
    </cfRule>
    <cfRule type="expression" dxfId="20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N13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146" sqref="AA14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440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44.6</v>
      </c>
      <c r="AI75" s="47">
        <f t="shared" ref="AI75:AI138" si="28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22.3</v>
      </c>
      <c r="AI76" s="47">
        <f t="shared" si="28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15.6</v>
      </c>
      <c r="AI77" s="47">
        <f t="shared" si="28"/>
        <v>8.9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686</v>
      </c>
      <c r="C78" s="70">
        <f t="shared" si="29"/>
        <v>686</v>
      </c>
      <c r="D78" s="70">
        <f t="shared" ref="D78:E78" si="30">SUM(D72:D77)</f>
        <v>686</v>
      </c>
      <c r="E78" s="70">
        <f t="shared" si="30"/>
        <v>686</v>
      </c>
      <c r="F78" s="70">
        <f t="shared" ref="F78" si="31">SUM(F72:F77)</f>
        <v>672.8</v>
      </c>
      <c r="G78" s="70">
        <f t="shared" ref="D78:AG78" si="32">SUM(G72:G77)</f>
        <v>674</v>
      </c>
      <c r="H78" s="70">
        <f t="shared" si="32"/>
        <v>670.5</v>
      </c>
      <c r="I78" s="70">
        <f t="shared" ref="I78" si="33">SUM(I72:I77)</f>
        <v>630.9</v>
      </c>
      <c r="J78" s="70">
        <f t="shared" si="32"/>
        <v>630.9</v>
      </c>
      <c r="K78" s="70">
        <f t="shared" si="32"/>
        <v>630.9</v>
      </c>
      <c r="L78" s="70">
        <f t="shared" si="32"/>
        <v>630.9</v>
      </c>
      <c r="M78" s="70">
        <f t="shared" si="32"/>
        <v>630.9</v>
      </c>
      <c r="N78" s="70">
        <f t="shared" si="32"/>
        <v>630.9</v>
      </c>
      <c r="O78" s="70">
        <f t="shared" si="32"/>
        <v>630.9</v>
      </c>
      <c r="P78" s="70">
        <f t="shared" si="32"/>
        <v>630.9</v>
      </c>
      <c r="Q78" s="70">
        <f t="shared" si="32"/>
        <v>630.9</v>
      </c>
      <c r="R78" s="70">
        <f t="shared" si="32"/>
        <v>630.9</v>
      </c>
      <c r="S78" s="70">
        <f t="shared" ref="S78:T78" si="34">SUM(S72:S77)</f>
        <v>630.9</v>
      </c>
      <c r="T78" s="70">
        <f t="shared" si="34"/>
        <v>630.9</v>
      </c>
      <c r="U78" s="70">
        <f t="shared" si="32"/>
        <v>0</v>
      </c>
      <c r="V78" s="70">
        <f t="shared" si="32"/>
        <v>612.6</v>
      </c>
      <c r="W78" s="70">
        <f t="shared" ref="W78:X78" si="35">SUM(W72:W77)</f>
        <v>612.6</v>
      </c>
      <c r="X78" s="70">
        <f t="shared" si="35"/>
        <v>612.6</v>
      </c>
      <c r="Y78" s="70">
        <f t="shared" si="32"/>
        <v>612.6</v>
      </c>
      <c r="Z78" s="70">
        <f t="shared" si="32"/>
        <v>612.6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686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96.1</v>
      </c>
      <c r="AI79" s="47">
        <f t="shared" si="28"/>
        <v>60</v>
      </c>
      <c r="AK79" s="49"/>
      <c r="AY79" s="1" t="s">
        <v>99</v>
      </c>
      <c r="AZ79" s="82">
        <f>ROUND(C97,0)</f>
        <v>-477</v>
      </c>
      <c r="BA79" s="81">
        <f t="shared" ref="BA79:BD83" si="36">D97</f>
        <v>-521</v>
      </c>
      <c r="BB79" s="81">
        <f t="shared" si="36"/>
        <v>-541</v>
      </c>
      <c r="BC79" s="81">
        <f t="shared" si="36"/>
        <v>-563</v>
      </c>
      <c r="BD79" s="81">
        <f t="shared" si="36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7">M97</f>
        <v>0</v>
      </c>
      <c r="BH79" s="82">
        <f t="shared" si="37"/>
        <v>-480</v>
      </c>
      <c r="BI79" s="82">
        <f t="shared" si="37"/>
        <v>-525.4</v>
      </c>
      <c r="BJ79" s="82">
        <f t="shared" si="37"/>
        <v>-525.4</v>
      </c>
      <c r="BK79" s="82">
        <f t="shared" si="37"/>
        <v>-500</v>
      </c>
      <c r="BL79" s="82">
        <f t="shared" si="37"/>
        <v>-530</v>
      </c>
      <c r="BM79" s="82">
        <f t="shared" si="37"/>
        <v>-485.52</v>
      </c>
      <c r="BN79" s="82">
        <f t="shared" si="37"/>
        <v>-567.6</v>
      </c>
      <c r="BO79" s="82">
        <f t="shared" si="37"/>
        <v>0</v>
      </c>
      <c r="BP79" s="82">
        <f t="shared" si="37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</v>
      </c>
      <c r="AI80" s="47">
        <f t="shared" si="28"/>
        <v>60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21.6</v>
      </c>
      <c r="BG80" s="82">
        <f t="shared" si="37"/>
        <v>0</v>
      </c>
      <c r="BH80" s="82">
        <f t="shared" si="37"/>
        <v>23</v>
      </c>
      <c r="BI80" s="82">
        <f t="shared" si="37"/>
        <v>25.6</v>
      </c>
      <c r="BJ80" s="82">
        <f t="shared" si="37"/>
        <v>25.6</v>
      </c>
      <c r="BK80" s="82">
        <f t="shared" si="37"/>
        <v>25.6</v>
      </c>
      <c r="BL80" s="82">
        <f t="shared" si="37"/>
        <v>28</v>
      </c>
      <c r="BM80" s="82">
        <f t="shared" si="37"/>
        <v>24.8</v>
      </c>
      <c r="BN80" s="82">
        <f t="shared" si="37"/>
        <v>24.8</v>
      </c>
      <c r="BO80" s="82">
        <f t="shared" si="37"/>
        <v>0</v>
      </c>
      <c r="BP80" s="82">
        <f t="shared" si="37"/>
        <v>23.5</v>
      </c>
      <c r="BQ80" s="82">
        <f>X98</f>
        <v>22.2</v>
      </c>
      <c r="BR80" s="82">
        <f>Z98</f>
        <v>22.2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71.5</v>
      </c>
      <c r="AI81" s="47">
        <f t="shared" si="28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6"/>
        <v>22.4</v>
      </c>
      <c r="BB81" s="81">
        <f t="shared" si="36"/>
        <v>22.4</v>
      </c>
      <c r="BC81" s="81">
        <f t="shared" si="36"/>
        <v>21</v>
      </c>
      <c r="BD81" s="81">
        <f t="shared" si="36"/>
        <v>21.2</v>
      </c>
      <c r="BE81" s="82">
        <f>I99</f>
        <v>19.3</v>
      </c>
      <c r="BF81" s="82">
        <f>K99</f>
        <v>19.600000000000001</v>
      </c>
      <c r="BG81" s="82">
        <f t="shared" si="37"/>
        <v>0</v>
      </c>
      <c r="BH81" s="82">
        <f t="shared" si="37"/>
        <v>20</v>
      </c>
      <c r="BI81" s="82">
        <f t="shared" si="37"/>
        <v>20.8</v>
      </c>
      <c r="BJ81" s="82">
        <f t="shared" si="37"/>
        <v>20.8</v>
      </c>
      <c r="BK81" s="82">
        <f t="shared" si="37"/>
        <v>20.8</v>
      </c>
      <c r="BL81" s="82">
        <f t="shared" si="37"/>
        <v>18.2</v>
      </c>
      <c r="BM81" s="82">
        <f t="shared" si="37"/>
        <v>18.8</v>
      </c>
      <c r="BN81" s="82">
        <f t="shared" si="37"/>
        <v>18.8</v>
      </c>
      <c r="BO81" s="82">
        <f t="shared" si="37"/>
        <v>0</v>
      </c>
      <c r="BP81" s="82">
        <f t="shared" si="37"/>
        <v>14.8</v>
      </c>
      <c r="BQ81" s="82">
        <f>X99</f>
        <v>17.2</v>
      </c>
      <c r="BR81" s="82">
        <f>Z99</f>
        <v>17.2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20.8</v>
      </c>
      <c r="BB82" s="81">
        <f t="shared" si="36"/>
        <v>20.8</v>
      </c>
      <c r="BC82" s="81">
        <f t="shared" si="36"/>
        <v>20.8</v>
      </c>
      <c r="BD82" s="81">
        <f t="shared" si="36"/>
        <v>18.600000000000001</v>
      </c>
      <c r="BE82" s="82">
        <f>I100</f>
        <v>17.3</v>
      </c>
      <c r="BF82" s="82">
        <f>K100</f>
        <v>16.899999999999999</v>
      </c>
      <c r="BG82" s="82">
        <f t="shared" si="37"/>
        <v>0</v>
      </c>
      <c r="BH82" s="82">
        <f t="shared" si="37"/>
        <v>14</v>
      </c>
      <c r="BI82" s="82">
        <f t="shared" si="37"/>
        <v>12.3</v>
      </c>
      <c r="BJ82" s="82">
        <f t="shared" si="37"/>
        <v>12.3</v>
      </c>
      <c r="BK82" s="82">
        <f t="shared" si="37"/>
        <v>12.3</v>
      </c>
      <c r="BL82" s="82">
        <f t="shared" si="37"/>
        <v>12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14.8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0</v>
      </c>
      <c r="BF83" s="82">
        <f>K101</f>
        <v>0</v>
      </c>
      <c r="BG83" s="82">
        <f t="shared" si="37"/>
        <v>0</v>
      </c>
      <c r="BH83" s="82">
        <f t="shared" si="37"/>
        <v>0</v>
      </c>
      <c r="BI83" s="82">
        <f t="shared" si="37"/>
        <v>0</v>
      </c>
      <c r="BJ83" s="82">
        <f t="shared" si="37"/>
        <v>0</v>
      </c>
      <c r="BK83" s="82">
        <f t="shared" si="37"/>
        <v>0</v>
      </c>
      <c r="BL83" s="82">
        <f t="shared" si="37"/>
        <v>0</v>
      </c>
      <c r="BM83" s="82">
        <f t="shared" si="37"/>
        <v>0</v>
      </c>
      <c r="BN83" s="82">
        <f t="shared" si="37"/>
        <v>0</v>
      </c>
      <c r="BO83" s="82">
        <f t="shared" si="37"/>
        <v>0</v>
      </c>
      <c r="BP83" s="82">
        <f t="shared" si="37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5.0999999999999996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11.89</v>
      </c>
      <c r="AI85" s="47">
        <f t="shared" si="28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-477</v>
      </c>
      <c r="BA86" s="82">
        <f t="shared" si="40"/>
        <v>-521</v>
      </c>
      <c r="BB86" s="82">
        <f t="shared" si="40"/>
        <v>-541</v>
      </c>
      <c r="BC86" s="82">
        <f t="shared" si="40"/>
        <v>-563</v>
      </c>
      <c r="BD86" s="82">
        <f t="shared" si="40"/>
        <v>-556.29999999999995</v>
      </c>
      <c r="BE86" s="82">
        <f t="shared" si="40"/>
        <v>-530.29999999999995</v>
      </c>
      <c r="BF86" s="82">
        <f t="shared" si="40"/>
        <v>-483.6</v>
      </c>
      <c r="BG86" s="82">
        <f t="shared" si="40"/>
        <v>0</v>
      </c>
      <c r="BH86" s="82">
        <f t="shared" si="40"/>
        <v>-480</v>
      </c>
      <c r="BI86" s="82">
        <f t="shared" si="40"/>
        <v>-525.4</v>
      </c>
      <c r="BJ86" s="82">
        <f t="shared" si="40"/>
        <v>-525.4</v>
      </c>
      <c r="BK86" s="82">
        <f t="shared" si="40"/>
        <v>-500</v>
      </c>
      <c r="BL86" s="82">
        <f t="shared" si="40"/>
        <v>-530</v>
      </c>
      <c r="BM86" s="82">
        <f t="shared" si="40"/>
        <v>-485.52</v>
      </c>
      <c r="BN86" s="82">
        <f t="shared" si="40"/>
        <v>-567.6</v>
      </c>
      <c r="BO86" s="82">
        <f t="shared" si="40"/>
        <v>0</v>
      </c>
      <c r="BP86" s="82">
        <f t="shared" si="40"/>
        <v>-565.20000000000005</v>
      </c>
      <c r="BQ86" s="82">
        <f t="shared" si="40"/>
        <v>-561.20000000000005</v>
      </c>
      <c r="BR86" s="82">
        <f t="shared" si="40"/>
        <v>-561.20000000000005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8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21.6</v>
      </c>
      <c r="BG87" s="82">
        <f t="shared" si="40"/>
        <v>0</v>
      </c>
      <c r="BH87" s="82">
        <f t="shared" si="40"/>
        <v>23</v>
      </c>
      <c r="BI87" s="82">
        <f t="shared" si="40"/>
        <v>25.6</v>
      </c>
      <c r="BJ87" s="82">
        <f t="shared" si="40"/>
        <v>25.6</v>
      </c>
      <c r="BK87" s="82">
        <f t="shared" si="40"/>
        <v>25.6</v>
      </c>
      <c r="BL87" s="82">
        <f t="shared" si="40"/>
        <v>28</v>
      </c>
      <c r="BM87" s="82">
        <f t="shared" si="40"/>
        <v>24.8</v>
      </c>
      <c r="BN87" s="82">
        <f t="shared" si="40"/>
        <v>24.8</v>
      </c>
      <c r="BO87" s="82">
        <f t="shared" si="40"/>
        <v>0</v>
      </c>
      <c r="BP87" s="82">
        <f t="shared" si="40"/>
        <v>23.5</v>
      </c>
      <c r="BQ87" s="82">
        <f t="shared" si="40"/>
        <v>22.2</v>
      </c>
      <c r="BR87" s="82">
        <f t="shared" si="40"/>
        <v>22.2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14.2</v>
      </c>
      <c r="AI88" s="47">
        <f t="shared" si="28"/>
        <v>13.85</v>
      </c>
      <c r="AK88" s="49"/>
      <c r="AZ88" s="82">
        <f t="shared" si="40"/>
        <v>22</v>
      </c>
      <c r="BA88" s="82">
        <f t="shared" si="40"/>
        <v>22.4</v>
      </c>
      <c r="BB88" s="82">
        <f t="shared" si="40"/>
        <v>22.4</v>
      </c>
      <c r="BC88" s="82">
        <f t="shared" si="40"/>
        <v>21</v>
      </c>
      <c r="BD88" s="82">
        <f t="shared" si="40"/>
        <v>21.2</v>
      </c>
      <c r="BE88" s="82">
        <f t="shared" si="40"/>
        <v>19.3</v>
      </c>
      <c r="BF88" s="82">
        <f t="shared" si="40"/>
        <v>19.600000000000001</v>
      </c>
      <c r="BG88" s="82">
        <f t="shared" si="40"/>
        <v>0</v>
      </c>
      <c r="BH88" s="82">
        <f t="shared" si="40"/>
        <v>20</v>
      </c>
      <c r="BI88" s="82">
        <f t="shared" si="40"/>
        <v>20.8</v>
      </c>
      <c r="BJ88" s="82">
        <f t="shared" si="40"/>
        <v>20.8</v>
      </c>
      <c r="BK88" s="82">
        <f t="shared" si="40"/>
        <v>20.8</v>
      </c>
      <c r="BL88" s="82">
        <f t="shared" si="40"/>
        <v>18.2</v>
      </c>
      <c r="BM88" s="82">
        <f t="shared" si="40"/>
        <v>18.8</v>
      </c>
      <c r="BN88" s="82">
        <f t="shared" si="40"/>
        <v>18.8</v>
      </c>
      <c r="BO88" s="82">
        <f t="shared" si="40"/>
        <v>0</v>
      </c>
      <c r="BP88" s="82">
        <f t="shared" si="40"/>
        <v>14.8</v>
      </c>
      <c r="BQ88" s="82">
        <f t="shared" si="40"/>
        <v>17.2</v>
      </c>
      <c r="BR88" s="82">
        <f t="shared" si="40"/>
        <v>17.2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20.8</v>
      </c>
      <c r="BB89" s="82">
        <f t="shared" si="40"/>
        <v>20.8</v>
      </c>
      <c r="BC89" s="82">
        <f t="shared" si="40"/>
        <v>20.8</v>
      </c>
      <c r="BD89" s="82">
        <f t="shared" si="40"/>
        <v>18.600000000000001</v>
      </c>
      <c r="BE89" s="82">
        <f t="shared" si="40"/>
        <v>17.3</v>
      </c>
      <c r="BF89" s="82">
        <f t="shared" si="40"/>
        <v>16.899999999999999</v>
      </c>
      <c r="BG89" s="82">
        <f t="shared" si="40"/>
        <v>0</v>
      </c>
      <c r="BH89" s="82">
        <f t="shared" si="40"/>
        <v>14</v>
      </c>
      <c r="BI89" s="82">
        <f t="shared" si="40"/>
        <v>12.3</v>
      </c>
      <c r="BJ89" s="82">
        <f t="shared" si="40"/>
        <v>12.3</v>
      </c>
      <c r="BK89" s="82">
        <f t="shared" si="40"/>
        <v>12.3</v>
      </c>
      <c r="BL89" s="82">
        <f t="shared" si="40"/>
        <v>12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16.899999999999999</v>
      </c>
      <c r="BQ89" s="82">
        <f t="shared" si="40"/>
        <v>16.600000000000001</v>
      </c>
      <c r="BR89" s="82">
        <f t="shared" si="40"/>
        <v>16.600000000000001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6</v>
      </c>
      <c r="AI90" s="47">
        <f t="shared" si="28"/>
        <v>6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0</v>
      </c>
      <c r="BF90" s="82">
        <f t="shared" si="40"/>
        <v>0</v>
      </c>
      <c r="BG90" s="82">
        <f t="shared" si="40"/>
        <v>0</v>
      </c>
      <c r="BH90" s="82">
        <f t="shared" si="40"/>
        <v>0</v>
      </c>
      <c r="BI90" s="82">
        <f t="shared" si="40"/>
        <v>0</v>
      </c>
      <c r="BJ90" s="82">
        <f t="shared" si="40"/>
        <v>0</v>
      </c>
      <c r="BK90" s="82">
        <f t="shared" si="40"/>
        <v>0</v>
      </c>
      <c r="BL90" s="82">
        <f t="shared" si="40"/>
        <v>0</v>
      </c>
      <c r="BM90" s="82">
        <f t="shared" si="40"/>
        <v>0</v>
      </c>
      <c r="BN90" s="82">
        <f t="shared" si="40"/>
        <v>0</v>
      </c>
      <c r="BO90" s="82">
        <f t="shared" si="40"/>
        <v>0</v>
      </c>
      <c r="BP90" s="82">
        <f t="shared" si="40"/>
        <v>0</v>
      </c>
      <c r="BQ90" s="82">
        <f t="shared" si="40"/>
        <v>8.8000000000000007</v>
      </c>
      <c r="BR90" s="82">
        <f t="shared" si="40"/>
        <v>8.8000000000000007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346.1</v>
      </c>
      <c r="C92" s="70">
        <f t="shared" si="41"/>
        <v>346.1</v>
      </c>
      <c r="D92" s="70">
        <f t="shared" ref="D92:E92" si="42">SUM(D79:D91)</f>
        <v>346.1</v>
      </c>
      <c r="E92" s="70">
        <f t="shared" si="42"/>
        <v>346.1</v>
      </c>
      <c r="F92" s="70">
        <f t="shared" ref="F92" si="43">SUM(F79:F91)</f>
        <v>346.1</v>
      </c>
      <c r="G92" s="70">
        <f t="shared" ref="B92:AG92" si="44">SUM(G79:G91)</f>
        <v>325.8</v>
      </c>
      <c r="H92" s="70">
        <f t="shared" si="44"/>
        <v>336.8</v>
      </c>
      <c r="I92" s="70">
        <f t="shared" ref="I92" si="45">SUM(I79:I91)</f>
        <v>337.1</v>
      </c>
      <c r="J92" s="70">
        <f t="shared" si="44"/>
        <v>338</v>
      </c>
      <c r="K92" s="70">
        <f t="shared" ref="K92:L92" si="46">SUM(K79:K91)</f>
        <v>349.90000000000003</v>
      </c>
      <c r="L92" s="70">
        <f t="shared" si="46"/>
        <v>352.40000000000003</v>
      </c>
      <c r="M92" s="70">
        <f t="shared" si="44"/>
        <v>352.40000000000003</v>
      </c>
      <c r="N92" s="70">
        <f t="shared" si="44"/>
        <v>352.40000000000003</v>
      </c>
      <c r="O92" s="70">
        <f t="shared" si="44"/>
        <v>352.40000000000003</v>
      </c>
      <c r="P92" s="70">
        <f t="shared" si="44"/>
        <v>352.40000000000003</v>
      </c>
      <c r="Q92" s="70">
        <f t="shared" si="44"/>
        <v>352.40000000000003</v>
      </c>
      <c r="R92" s="70">
        <f t="shared" si="44"/>
        <v>352.40000000000003</v>
      </c>
      <c r="S92" s="70">
        <f t="shared" si="44"/>
        <v>352.40000000000003</v>
      </c>
      <c r="T92" s="70">
        <f t="shared" si="44"/>
        <v>352.40000000000003</v>
      </c>
      <c r="U92" s="70">
        <f t="shared" si="44"/>
        <v>2</v>
      </c>
      <c r="V92" s="70">
        <f t="shared" si="44"/>
        <v>319.54000000000002</v>
      </c>
      <c r="W92" s="70">
        <f t="shared" si="44"/>
        <v>319.54000000000002</v>
      </c>
      <c r="X92" s="70">
        <f t="shared" ref="X92" si="47">SUM(X79:X91)</f>
        <v>355.64</v>
      </c>
      <c r="Y92" s="70">
        <f t="shared" si="44"/>
        <v>355.64</v>
      </c>
      <c r="Z92" s="70">
        <f t="shared" si="44"/>
        <v>340.84000000000003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355.64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28.6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11.3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8">B93+B94+B95</f>
        <v>53</v>
      </c>
      <c r="C96" s="70">
        <f t="shared" si="48"/>
        <v>53</v>
      </c>
      <c r="D96" s="70">
        <f t="shared" ref="D96:E96" si="49">D93+D94+D95</f>
        <v>53</v>
      </c>
      <c r="E96" s="70">
        <f t="shared" si="49"/>
        <v>35</v>
      </c>
      <c r="F96" s="70">
        <f t="shared" ref="F96" si="50">F93+F94+F95</f>
        <v>53</v>
      </c>
      <c r="G96" s="70">
        <f t="shared" ref="B96:AF96" si="51">G93+G94+G95</f>
        <v>53</v>
      </c>
      <c r="H96" s="70">
        <f t="shared" si="51"/>
        <v>84.899999999999991</v>
      </c>
      <c r="I96" s="70">
        <f t="shared" ref="I96" si="52">I93+I94+I95</f>
        <v>84.899999999999991</v>
      </c>
      <c r="J96" s="70">
        <f t="shared" si="51"/>
        <v>84.899999999999991</v>
      </c>
      <c r="K96" s="70">
        <f t="shared" ref="K96:L96" si="53">K93+K94+K95</f>
        <v>84.899999999999991</v>
      </c>
      <c r="L96" s="70">
        <f t="shared" si="53"/>
        <v>84.899999999999991</v>
      </c>
      <c r="M96" s="70">
        <f t="shared" si="51"/>
        <v>0</v>
      </c>
      <c r="N96" s="70">
        <f t="shared" si="51"/>
        <v>48</v>
      </c>
      <c r="O96" s="70">
        <f t="shared" si="51"/>
        <v>48</v>
      </c>
      <c r="P96" s="70">
        <f t="shared" si="51"/>
        <v>48</v>
      </c>
      <c r="Q96" s="70">
        <f t="shared" si="51"/>
        <v>68</v>
      </c>
      <c r="R96" s="70">
        <f t="shared" si="51"/>
        <v>46</v>
      </c>
      <c r="S96" s="70">
        <f t="shared" si="51"/>
        <v>0</v>
      </c>
      <c r="T96" s="70">
        <f t="shared" si="51"/>
        <v>51</v>
      </c>
      <c r="U96" s="70">
        <f t="shared" si="51"/>
        <v>0</v>
      </c>
      <c r="V96" s="70">
        <f t="shared" si="51"/>
        <v>54</v>
      </c>
      <c r="W96" s="70">
        <f t="shared" si="51"/>
        <v>54</v>
      </c>
      <c r="X96" s="70">
        <f t="shared" si="51"/>
        <v>54</v>
      </c>
      <c r="Y96" s="70">
        <f t="shared" si="51"/>
        <v>54</v>
      </c>
      <c r="Z96" s="70">
        <f t="shared" si="51"/>
        <v>54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7"/>
        <v>84.899999999999991</v>
      </c>
      <c r="AI96" s="47">
        <f t="shared" si="28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/>
      <c r="AB97" s="44"/>
      <c r="AC97" s="44"/>
      <c r="AD97" s="44"/>
      <c r="AE97" s="44"/>
      <c r="AF97" s="44"/>
      <c r="AG97" s="61"/>
      <c r="AH97" s="46">
        <f t="shared" si="27"/>
        <v>-470.6</v>
      </c>
      <c r="AI97" s="47">
        <f t="shared" si="28"/>
        <v>-567.6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/>
      <c r="AB98" s="43"/>
      <c r="AC98" s="43"/>
      <c r="AD98" s="43"/>
      <c r="AE98" s="43"/>
      <c r="AF98" s="43"/>
      <c r="AG98" s="64"/>
      <c r="AH98" s="46">
        <f t="shared" si="27"/>
        <v>211.2</v>
      </c>
      <c r="AI98" s="47">
        <f t="shared" si="28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/>
      <c r="AB99" s="43"/>
      <c r="AC99" s="43"/>
      <c r="AD99" s="43"/>
      <c r="AE99" s="43"/>
      <c r="AF99" s="43"/>
      <c r="AG99" s="89"/>
      <c r="AH99" s="46">
        <f t="shared" si="27"/>
        <v>22.5</v>
      </c>
      <c r="AI99" s="47">
        <f t="shared" si="28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/>
      <c r="AB100" s="93"/>
      <c r="AC100" s="93"/>
      <c r="AD100" s="93"/>
      <c r="AE100" s="93"/>
      <c r="AF100" s="93"/>
      <c r="AG100" s="89"/>
      <c r="AH100" s="46">
        <f t="shared" si="27"/>
        <v>21.3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/>
      <c r="AF101" s="44"/>
      <c r="AG101" s="89"/>
      <c r="AH101" s="46">
        <f t="shared" si="27"/>
        <v>8.8000000000000007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/>
      <c r="AB102" s="97"/>
      <c r="AC102" s="97"/>
      <c r="AD102" s="97"/>
      <c r="AE102" s="97"/>
      <c r="AF102" s="97"/>
      <c r="AG102" s="89"/>
      <c r="AH102" s="46">
        <f t="shared" si="27"/>
        <v>64</v>
      </c>
      <c r="AI102" s="47">
        <f t="shared" si="28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4">SUMIF(B97:B107,"&gt;0")</f>
        <v>103.4</v>
      </c>
      <c r="C108" s="70">
        <f t="shared" si="54"/>
        <v>102.80000000000001</v>
      </c>
      <c r="D108" s="70">
        <f t="shared" ref="D108:E108" si="55">SUMIF(D97:D107,"&gt;0")</f>
        <v>106.2</v>
      </c>
      <c r="E108" s="70">
        <f t="shared" si="55"/>
        <v>94.2</v>
      </c>
      <c r="F108" s="70">
        <f t="shared" ref="F108" si="56">SUMIF(F97:F107,"&gt;0")</f>
        <v>96.8</v>
      </c>
      <c r="G108" s="70">
        <f t="shared" ref="B108:AF108" si="57">SUMIF(G97:G107,"&gt;0")</f>
        <v>95.1</v>
      </c>
      <c r="H108" s="70">
        <f t="shared" si="57"/>
        <v>90.5</v>
      </c>
      <c r="I108" s="70">
        <f t="shared" ref="I108" si="58">SUMIF(I97:I107,"&gt;0")</f>
        <v>83.6</v>
      </c>
      <c r="J108" s="70">
        <f t="shared" si="57"/>
        <v>94.5</v>
      </c>
      <c r="K108" s="70">
        <f t="shared" si="57"/>
        <v>111.1</v>
      </c>
      <c r="L108" s="70">
        <f t="shared" si="57"/>
        <v>110.19999999999999</v>
      </c>
      <c r="M108" s="70">
        <f t="shared" si="57"/>
        <v>0</v>
      </c>
      <c r="N108" s="70">
        <f t="shared" si="57"/>
        <v>118</v>
      </c>
      <c r="O108" s="70">
        <f t="shared" si="57"/>
        <v>122.7</v>
      </c>
      <c r="P108" s="70">
        <f t="shared" si="57"/>
        <v>122.7</v>
      </c>
      <c r="Q108" s="70">
        <f t="shared" si="57"/>
        <v>122.7</v>
      </c>
      <c r="R108" s="70">
        <f t="shared" si="57"/>
        <v>122.2</v>
      </c>
      <c r="S108" s="70">
        <f t="shared" si="57"/>
        <v>103.6</v>
      </c>
      <c r="T108" s="70">
        <f t="shared" si="57"/>
        <v>78.599999999999994</v>
      </c>
      <c r="U108" s="70">
        <f t="shared" si="57"/>
        <v>0</v>
      </c>
      <c r="V108" s="70">
        <f t="shared" si="57"/>
        <v>73.199999999999989</v>
      </c>
      <c r="W108" s="70">
        <f t="shared" si="57"/>
        <v>275.29999999999995</v>
      </c>
      <c r="X108" s="70">
        <f t="shared" si="57"/>
        <v>90.8</v>
      </c>
      <c r="Y108" s="70">
        <f t="shared" si="57"/>
        <v>90.8</v>
      </c>
      <c r="Z108" s="70">
        <f t="shared" si="57"/>
        <v>90.8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275.29999999999995</v>
      </c>
      <c r="AI108" s="47">
        <f t="shared" si="28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2462.9999999999995</v>
      </c>
      <c r="C113" s="108">
        <f t="shared" si="59"/>
        <v>2462.3999999999996</v>
      </c>
      <c r="D113" s="108">
        <f t="shared" ref="D113:E113" si="60">D71+D78+D96+D92+D108+D112</f>
        <v>2465.7999999999993</v>
      </c>
      <c r="E113" s="108">
        <f t="shared" si="60"/>
        <v>2435.7999999999993</v>
      </c>
      <c r="F113" s="108">
        <f t="shared" ref="F113" si="61">F71+F78+F96+F92+F108+F112</f>
        <v>2443.1999999999998</v>
      </c>
      <c r="G113" s="108">
        <f t="shared" ref="B113:AG113" si="62">G71+G78+G96+G92+G108+G112</f>
        <v>2422.3999999999996</v>
      </c>
      <c r="H113" s="108">
        <f t="shared" si="62"/>
        <v>2371.6999999999998</v>
      </c>
      <c r="I113" s="108">
        <f t="shared" ref="I113" si="63">I71+I78+I96+I92+I108+I112</f>
        <v>2326.8999999999996</v>
      </c>
      <c r="J113" s="108">
        <f t="shared" si="62"/>
        <v>2338.6999999999998</v>
      </c>
      <c r="K113" s="108">
        <f t="shared" si="62"/>
        <v>2367.1999999999998</v>
      </c>
      <c r="L113" s="108">
        <f t="shared" si="62"/>
        <v>2368.7999999999997</v>
      </c>
      <c r="M113" s="108">
        <f t="shared" si="62"/>
        <v>2173.6999999999998</v>
      </c>
      <c r="N113" s="108">
        <f t="shared" si="62"/>
        <v>2339.6999999999998</v>
      </c>
      <c r="O113" s="108">
        <f t="shared" si="62"/>
        <v>2344.3999999999996</v>
      </c>
      <c r="P113" s="108">
        <f t="shared" si="62"/>
        <v>2344.3999999999996</v>
      </c>
      <c r="Q113" s="108">
        <f t="shared" si="62"/>
        <v>2364.3999999999996</v>
      </c>
      <c r="R113" s="108">
        <f t="shared" si="62"/>
        <v>2341.8999999999996</v>
      </c>
      <c r="S113" s="108">
        <f t="shared" si="62"/>
        <v>2277.2999999999997</v>
      </c>
      <c r="T113" s="108">
        <f t="shared" si="62"/>
        <v>2303.2999999999997</v>
      </c>
      <c r="U113" s="108">
        <f t="shared" si="62"/>
        <v>252</v>
      </c>
      <c r="V113" s="108">
        <f t="shared" si="62"/>
        <v>2115.8399999999997</v>
      </c>
      <c r="W113" s="108">
        <f t="shared" si="62"/>
        <v>2317.9399999999996</v>
      </c>
      <c r="X113" s="108">
        <f t="shared" si="62"/>
        <v>2169.54</v>
      </c>
      <c r="Y113" s="108">
        <f t="shared" si="62"/>
        <v>2169.54</v>
      </c>
      <c r="Z113" s="108">
        <f t="shared" si="62"/>
        <v>2154.7400000000002</v>
      </c>
      <c r="AA113" s="108">
        <f t="shared" si="62"/>
        <v>252</v>
      </c>
      <c r="AB113" s="108">
        <f t="shared" si="62"/>
        <v>252</v>
      </c>
      <c r="AC113" s="108">
        <f t="shared" si="62"/>
        <v>252</v>
      </c>
      <c r="AD113" s="108">
        <f t="shared" si="62"/>
        <v>252</v>
      </c>
      <c r="AE113" s="108">
        <f t="shared" si="62"/>
        <v>252</v>
      </c>
      <c r="AF113" s="108">
        <f t="shared" si="62"/>
        <v>252</v>
      </c>
      <c r="AG113" s="80">
        <f t="shared" si="62"/>
        <v>3169.915</v>
      </c>
      <c r="AH113" s="46">
        <f t="shared" si="27"/>
        <v>2465.7999999999993</v>
      </c>
      <c r="AI113" s="47">
        <f t="shared" si="28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35</v>
      </c>
      <c r="AI114" s="47">
        <f t="shared" si="28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2497.9999999999995</v>
      </c>
      <c r="C115" s="108">
        <f t="shared" si="64"/>
        <v>2497.3999999999996</v>
      </c>
      <c r="D115" s="108">
        <f t="shared" ref="D115:E115" si="65">D113+D114</f>
        <v>2485.7999999999993</v>
      </c>
      <c r="E115" s="108">
        <f t="shared" si="65"/>
        <v>2435.7999999999993</v>
      </c>
      <c r="F115" s="108">
        <f t="shared" ref="F115" si="66">F113+F114</f>
        <v>2443.1999999999998</v>
      </c>
      <c r="G115" s="108">
        <f t="shared" ref="C115:AF115" si="67">G113+G114</f>
        <v>2422.3999999999996</v>
      </c>
      <c r="H115" s="108">
        <f t="shared" si="67"/>
        <v>2371.6999999999998</v>
      </c>
      <c r="I115" s="108">
        <f t="shared" ref="I115" si="68">I113+I114</f>
        <v>2326.8999999999996</v>
      </c>
      <c r="J115" s="108">
        <f t="shared" si="67"/>
        <v>2338.6999999999998</v>
      </c>
      <c r="K115" s="108">
        <f t="shared" si="67"/>
        <v>2367.1999999999998</v>
      </c>
      <c r="L115" s="108">
        <f t="shared" si="67"/>
        <v>2368.7999999999997</v>
      </c>
      <c r="M115" s="108">
        <f t="shared" si="67"/>
        <v>2173.6999999999998</v>
      </c>
      <c r="N115" s="108">
        <f t="shared" si="67"/>
        <v>2339.6999999999998</v>
      </c>
      <c r="O115" s="108">
        <f t="shared" si="67"/>
        <v>2344.3999999999996</v>
      </c>
      <c r="P115" s="108">
        <f t="shared" si="67"/>
        <v>2344.3999999999996</v>
      </c>
      <c r="Q115" s="108">
        <f t="shared" si="67"/>
        <v>2364.3999999999996</v>
      </c>
      <c r="R115" s="108">
        <f t="shared" si="67"/>
        <v>2341.8999999999996</v>
      </c>
      <c r="S115" s="108">
        <f t="shared" si="67"/>
        <v>2277.2999999999997</v>
      </c>
      <c r="T115" s="108">
        <f t="shared" si="67"/>
        <v>2303.2999999999997</v>
      </c>
      <c r="U115" s="108">
        <f t="shared" si="67"/>
        <v>252</v>
      </c>
      <c r="V115" s="108">
        <f t="shared" si="67"/>
        <v>2115.8399999999997</v>
      </c>
      <c r="W115" s="108">
        <f t="shared" si="67"/>
        <v>2317.9399999999996</v>
      </c>
      <c r="X115" s="108">
        <f t="shared" si="67"/>
        <v>2169.54</v>
      </c>
      <c r="Y115" s="108">
        <f t="shared" si="67"/>
        <v>2169.54</v>
      </c>
      <c r="Z115" s="108">
        <f t="shared" si="67"/>
        <v>2154.7400000000002</v>
      </c>
      <c r="AA115" s="108">
        <f t="shared" si="67"/>
        <v>252</v>
      </c>
      <c r="AB115" s="108">
        <f t="shared" si="67"/>
        <v>252</v>
      </c>
      <c r="AC115" s="108">
        <f t="shared" si="67"/>
        <v>252</v>
      </c>
      <c r="AD115" s="108">
        <f t="shared" si="67"/>
        <v>252</v>
      </c>
      <c r="AE115" s="108">
        <f t="shared" si="67"/>
        <v>252</v>
      </c>
      <c r="AF115" s="108">
        <f t="shared" si="67"/>
        <v>252</v>
      </c>
      <c r="AG115" s="104">
        <f>AG112+AG108+AG96+AG92+AG71+AG114</f>
        <v>2463.5149999999999</v>
      </c>
      <c r="AH115" s="46">
        <f t="shared" si="27"/>
        <v>2497.9999999999995</v>
      </c>
      <c r="AI115" s="47">
        <f t="shared" si="28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9">B115-(B123)</f>
        <v>1934.6999999999996</v>
      </c>
      <c r="C116" s="108">
        <f t="shared" si="69"/>
        <v>2020.3999999999996</v>
      </c>
      <c r="D116" s="108">
        <f t="shared" ref="D116:E116" si="70">D115-(D123)</f>
        <v>1964.7999999999993</v>
      </c>
      <c r="E116" s="108">
        <f t="shared" si="70"/>
        <v>1894.7999999999993</v>
      </c>
      <c r="F116" s="108">
        <f t="shared" ref="F116" si="71">F115-(F123)</f>
        <v>1880.1999999999998</v>
      </c>
      <c r="G116" s="108">
        <f t="shared" ref="C116:AF116" si="72">G115-(G123)</f>
        <v>1866.0999999999997</v>
      </c>
      <c r="H116" s="108">
        <f t="shared" si="72"/>
        <v>1824.3999999999999</v>
      </c>
      <c r="I116" s="108">
        <f t="shared" ref="I116" si="73">I115-(I123)</f>
        <v>1796.5999999999997</v>
      </c>
      <c r="J116" s="108">
        <f t="shared" si="72"/>
        <v>1840.1</v>
      </c>
      <c r="K116" s="108">
        <f t="shared" si="72"/>
        <v>1883.6</v>
      </c>
      <c r="L116" s="108">
        <f t="shared" si="72"/>
        <v>1898.1999999999998</v>
      </c>
      <c r="M116" s="108">
        <f t="shared" si="72"/>
        <v>2173.6999999999998</v>
      </c>
      <c r="N116" s="108">
        <f t="shared" si="72"/>
        <v>1859.6999999999998</v>
      </c>
      <c r="O116" s="108">
        <f t="shared" si="72"/>
        <v>1818.9999999999995</v>
      </c>
      <c r="P116" s="108">
        <f t="shared" si="72"/>
        <v>1818.9999999999995</v>
      </c>
      <c r="Q116" s="108">
        <f t="shared" si="72"/>
        <v>1864.3999999999996</v>
      </c>
      <c r="R116" s="108">
        <f t="shared" si="72"/>
        <v>1811.8999999999996</v>
      </c>
      <c r="S116" s="108">
        <f t="shared" si="72"/>
        <v>1791.7799999999997</v>
      </c>
      <c r="T116" s="108">
        <f t="shared" si="72"/>
        <v>1735.6999999999998</v>
      </c>
      <c r="U116" s="108">
        <f t="shared" si="72"/>
        <v>252</v>
      </c>
      <c r="V116" s="108">
        <f t="shared" si="72"/>
        <v>1550.6399999999996</v>
      </c>
      <c r="W116" s="108">
        <f t="shared" si="72"/>
        <v>1762.1399999999996</v>
      </c>
      <c r="X116" s="108">
        <f t="shared" si="72"/>
        <v>1608.34</v>
      </c>
      <c r="Y116" s="108">
        <f t="shared" si="72"/>
        <v>1608.34</v>
      </c>
      <c r="Z116" s="108">
        <f t="shared" si="72"/>
        <v>1593.5400000000002</v>
      </c>
      <c r="AA116" s="108">
        <f t="shared" si="72"/>
        <v>252</v>
      </c>
      <c r="AB116" s="108">
        <f t="shared" si="72"/>
        <v>252</v>
      </c>
      <c r="AC116" s="108">
        <f t="shared" si="72"/>
        <v>252</v>
      </c>
      <c r="AD116" s="108">
        <f t="shared" si="72"/>
        <v>252</v>
      </c>
      <c r="AE116" s="108">
        <f t="shared" si="72"/>
        <v>252</v>
      </c>
      <c r="AF116" s="108">
        <f t="shared" si="72"/>
        <v>252</v>
      </c>
      <c r="AG116" s="104"/>
      <c r="AH116" s="46">
        <f t="shared" si="27"/>
        <v>2173.6999999999998</v>
      </c>
      <c r="AI116" s="47">
        <f t="shared" si="28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4">IF(B97&lt;0,B97*-1,0)</f>
        <v>563.29999999999995</v>
      </c>
      <c r="C117" s="93">
        <f t="shared" si="74"/>
        <v>477</v>
      </c>
      <c r="D117" s="93">
        <f t="shared" ref="D117:E117" si="75">IF(D97&lt;0,D97*-1,0)</f>
        <v>521</v>
      </c>
      <c r="E117" s="93">
        <f t="shared" si="75"/>
        <v>541</v>
      </c>
      <c r="F117" s="93">
        <f t="shared" ref="F117" si="76">IF(F97&lt;0,F97*-1,0)</f>
        <v>563</v>
      </c>
      <c r="G117" s="93">
        <f t="shared" ref="B117:AF122" si="77">IF(G97&lt;0,G97*-1,0)</f>
        <v>556.29999999999995</v>
      </c>
      <c r="H117" s="93">
        <f t="shared" si="77"/>
        <v>547.29999999999995</v>
      </c>
      <c r="I117" s="93">
        <f t="shared" ref="I117" si="78">IF(I97&lt;0,I97*-1,0)</f>
        <v>530.29999999999995</v>
      </c>
      <c r="J117" s="93">
        <f t="shared" si="77"/>
        <v>498.6</v>
      </c>
      <c r="K117" s="93">
        <f t="shared" si="77"/>
        <v>483.6</v>
      </c>
      <c r="L117" s="93">
        <f t="shared" si="77"/>
        <v>470.6</v>
      </c>
      <c r="M117" s="93">
        <f t="shared" si="77"/>
        <v>0</v>
      </c>
      <c r="N117" s="93">
        <f t="shared" si="77"/>
        <v>480</v>
      </c>
      <c r="O117" s="93">
        <f t="shared" si="77"/>
        <v>525.4</v>
      </c>
      <c r="P117" s="93">
        <f t="shared" si="77"/>
        <v>525.4</v>
      </c>
      <c r="Q117" s="93">
        <f t="shared" si="77"/>
        <v>500</v>
      </c>
      <c r="R117" s="93">
        <f t="shared" si="77"/>
        <v>530</v>
      </c>
      <c r="S117" s="93">
        <f t="shared" si="77"/>
        <v>485.52</v>
      </c>
      <c r="T117" s="93">
        <f t="shared" si="77"/>
        <v>567.6</v>
      </c>
      <c r="U117" s="93">
        <f t="shared" si="77"/>
        <v>0</v>
      </c>
      <c r="V117" s="93">
        <f t="shared" si="77"/>
        <v>565.20000000000005</v>
      </c>
      <c r="W117" s="93">
        <f t="shared" si="77"/>
        <v>555.79999999999995</v>
      </c>
      <c r="X117" s="93">
        <f t="shared" si="77"/>
        <v>561.20000000000005</v>
      </c>
      <c r="Y117" s="93">
        <f t="shared" si="77"/>
        <v>561.20000000000005</v>
      </c>
      <c r="Z117" s="93">
        <f t="shared" si="77"/>
        <v>561.20000000000005</v>
      </c>
      <c r="AA117" s="93">
        <f t="shared" si="77"/>
        <v>0</v>
      </c>
      <c r="AB117" s="93">
        <f t="shared" si="77"/>
        <v>0</v>
      </c>
      <c r="AC117" s="93">
        <f t="shared" si="77"/>
        <v>0</v>
      </c>
      <c r="AD117" s="93">
        <f t="shared" si="77"/>
        <v>0</v>
      </c>
      <c r="AE117" s="93">
        <f t="shared" si="77"/>
        <v>0</v>
      </c>
      <c r="AF117" s="93">
        <f t="shared" si="77"/>
        <v>0</v>
      </c>
      <c r="AG117" s="61"/>
      <c r="AH117" s="46">
        <f t="shared" si="27"/>
        <v>567.6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4"/>
        <v>0</v>
      </c>
      <c r="C118" s="93">
        <f t="shared" si="74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7"/>
        <v>0</v>
      </c>
      <c r="H118" s="93">
        <f t="shared" si="77"/>
        <v>0</v>
      </c>
      <c r="I118" s="93">
        <f t="shared" ref="I118" si="81">IF(I98&lt;0,I98*-1,0)</f>
        <v>0</v>
      </c>
      <c r="J118" s="93">
        <f t="shared" si="77"/>
        <v>0</v>
      </c>
      <c r="K118" s="93">
        <f t="shared" si="77"/>
        <v>0</v>
      </c>
      <c r="L118" s="93">
        <f t="shared" si="77"/>
        <v>0</v>
      </c>
      <c r="M118" s="93">
        <f t="shared" si="77"/>
        <v>0</v>
      </c>
      <c r="N118" s="93">
        <f t="shared" si="77"/>
        <v>0</v>
      </c>
      <c r="O118" s="93">
        <f t="shared" si="77"/>
        <v>0</v>
      </c>
      <c r="P118" s="93">
        <f t="shared" si="77"/>
        <v>0</v>
      </c>
      <c r="Q118" s="93">
        <f t="shared" si="77"/>
        <v>0</v>
      </c>
      <c r="R118" s="93">
        <f t="shared" si="77"/>
        <v>0</v>
      </c>
      <c r="S118" s="93">
        <f t="shared" si="77"/>
        <v>0</v>
      </c>
      <c r="T118" s="93">
        <f t="shared" si="77"/>
        <v>0</v>
      </c>
      <c r="U118" s="93">
        <f t="shared" si="77"/>
        <v>0</v>
      </c>
      <c r="V118" s="93">
        <f t="shared" si="77"/>
        <v>0</v>
      </c>
      <c r="W118" s="93">
        <f t="shared" si="77"/>
        <v>0</v>
      </c>
      <c r="X118" s="93">
        <f t="shared" si="77"/>
        <v>0</v>
      </c>
      <c r="Y118" s="93">
        <f t="shared" si="77"/>
        <v>0</v>
      </c>
      <c r="Z118" s="93">
        <f t="shared" si="77"/>
        <v>0</v>
      </c>
      <c r="AA118" s="93">
        <f t="shared" si="77"/>
        <v>0</v>
      </c>
      <c r="AB118" s="93">
        <f t="shared" si="77"/>
        <v>0</v>
      </c>
      <c r="AC118" s="93">
        <f t="shared" si="77"/>
        <v>0</v>
      </c>
      <c r="AD118" s="93">
        <f t="shared" si="77"/>
        <v>0</v>
      </c>
      <c r="AE118" s="93">
        <f t="shared" si="77"/>
        <v>0</v>
      </c>
      <c r="AF118" s="93">
        <f t="shared" si="77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4"/>
        <v>0</v>
      </c>
      <c r="C119" s="93">
        <f t="shared" si="74"/>
        <v>0</v>
      </c>
      <c r="D119" s="93">
        <f t="shared" ref="D119:E119" si="82">IF(D99&lt;0,D99*-1,0)</f>
        <v>0</v>
      </c>
      <c r="E119" s="93">
        <f t="shared" si="82"/>
        <v>0</v>
      </c>
      <c r="F119" s="93">
        <f t="shared" ref="F119" si="83">IF(F99&lt;0,F99*-1,0)</f>
        <v>0</v>
      </c>
      <c r="G119" s="93">
        <f t="shared" si="77"/>
        <v>0</v>
      </c>
      <c r="H119" s="93">
        <f t="shared" si="77"/>
        <v>0</v>
      </c>
      <c r="I119" s="93">
        <f t="shared" ref="I119" si="84">IF(I99&lt;0,I99*-1,0)</f>
        <v>0</v>
      </c>
      <c r="J119" s="93">
        <f t="shared" si="77"/>
        <v>0</v>
      </c>
      <c r="K119" s="93">
        <f t="shared" si="77"/>
        <v>0</v>
      </c>
      <c r="L119" s="93">
        <f t="shared" si="77"/>
        <v>0</v>
      </c>
      <c r="M119" s="93">
        <f t="shared" si="77"/>
        <v>0</v>
      </c>
      <c r="N119" s="93">
        <f t="shared" si="77"/>
        <v>0</v>
      </c>
      <c r="O119" s="93">
        <f t="shared" si="77"/>
        <v>0</v>
      </c>
      <c r="P119" s="93">
        <f t="shared" si="77"/>
        <v>0</v>
      </c>
      <c r="Q119" s="93">
        <f t="shared" si="77"/>
        <v>0</v>
      </c>
      <c r="R119" s="93">
        <f t="shared" si="77"/>
        <v>0</v>
      </c>
      <c r="S119" s="93">
        <f t="shared" si="77"/>
        <v>0</v>
      </c>
      <c r="T119" s="93">
        <f t="shared" si="77"/>
        <v>0</v>
      </c>
      <c r="U119" s="93">
        <f t="shared" si="77"/>
        <v>0</v>
      </c>
      <c r="V119" s="93">
        <f t="shared" si="77"/>
        <v>0</v>
      </c>
      <c r="W119" s="93">
        <f t="shared" si="77"/>
        <v>0</v>
      </c>
      <c r="X119" s="93">
        <f t="shared" si="77"/>
        <v>0</v>
      </c>
      <c r="Y119" s="93">
        <f t="shared" si="77"/>
        <v>0</v>
      </c>
      <c r="Z119" s="93">
        <f t="shared" si="77"/>
        <v>0</v>
      </c>
      <c r="AA119" s="93">
        <f t="shared" si="77"/>
        <v>0</v>
      </c>
      <c r="AB119" s="93">
        <f t="shared" si="77"/>
        <v>0</v>
      </c>
      <c r="AC119" s="93">
        <f t="shared" si="77"/>
        <v>0</v>
      </c>
      <c r="AD119" s="93">
        <f t="shared" si="77"/>
        <v>0</v>
      </c>
      <c r="AE119" s="93">
        <f t="shared" si="77"/>
        <v>0</v>
      </c>
      <c r="AF119" s="93">
        <f t="shared" si="77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4"/>
        <v>0</v>
      </c>
      <c r="C120" s="93">
        <f t="shared" si="74"/>
        <v>0</v>
      </c>
      <c r="D120" s="93">
        <f t="shared" ref="D120:E120" si="85">IF(D100&lt;0,D100*-1,0)</f>
        <v>0</v>
      </c>
      <c r="E120" s="93">
        <f t="shared" si="85"/>
        <v>0</v>
      </c>
      <c r="F120" s="93">
        <f t="shared" ref="F120" si="86">IF(F100&lt;0,F100*-1,0)</f>
        <v>0</v>
      </c>
      <c r="G120" s="93">
        <f t="shared" si="77"/>
        <v>0</v>
      </c>
      <c r="H120" s="93">
        <f t="shared" si="77"/>
        <v>0</v>
      </c>
      <c r="I120" s="93">
        <f t="shared" ref="I120" si="87">IF(I100&lt;0,I100*-1,0)</f>
        <v>0</v>
      </c>
      <c r="J120" s="93">
        <f t="shared" si="77"/>
        <v>0</v>
      </c>
      <c r="K120" s="93">
        <f t="shared" si="77"/>
        <v>0</v>
      </c>
      <c r="L120" s="93">
        <f t="shared" si="77"/>
        <v>0</v>
      </c>
      <c r="M120" s="93">
        <f t="shared" si="77"/>
        <v>0</v>
      </c>
      <c r="N120" s="93">
        <f t="shared" si="77"/>
        <v>0</v>
      </c>
      <c r="O120" s="93">
        <f t="shared" si="77"/>
        <v>0</v>
      </c>
      <c r="P120" s="93">
        <f t="shared" si="77"/>
        <v>0</v>
      </c>
      <c r="Q120" s="93">
        <f t="shared" si="77"/>
        <v>0</v>
      </c>
      <c r="R120" s="93">
        <f t="shared" si="77"/>
        <v>0</v>
      </c>
      <c r="S120" s="93">
        <f t="shared" si="77"/>
        <v>0</v>
      </c>
      <c r="T120" s="93">
        <f t="shared" si="77"/>
        <v>0</v>
      </c>
      <c r="U120" s="93">
        <f t="shared" si="77"/>
        <v>0</v>
      </c>
      <c r="V120" s="93">
        <f t="shared" si="77"/>
        <v>0</v>
      </c>
      <c r="W120" s="93">
        <f t="shared" si="77"/>
        <v>0</v>
      </c>
      <c r="X120" s="93">
        <f t="shared" si="77"/>
        <v>0</v>
      </c>
      <c r="Y120" s="93">
        <f t="shared" si="77"/>
        <v>0</v>
      </c>
      <c r="Z120" s="93">
        <f t="shared" si="77"/>
        <v>0</v>
      </c>
      <c r="AA120" s="93">
        <f t="shared" si="77"/>
        <v>0</v>
      </c>
      <c r="AB120" s="93">
        <f t="shared" si="77"/>
        <v>0</v>
      </c>
      <c r="AC120" s="93">
        <f t="shared" si="77"/>
        <v>0</v>
      </c>
      <c r="AD120" s="93">
        <f t="shared" si="77"/>
        <v>0</v>
      </c>
      <c r="AE120" s="93">
        <f t="shared" si="77"/>
        <v>0</v>
      </c>
      <c r="AF120" s="93">
        <f t="shared" si="77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4"/>
        <v>0</v>
      </c>
      <c r="C121" s="93">
        <f t="shared" si="74"/>
        <v>0</v>
      </c>
      <c r="D121" s="93">
        <f t="shared" ref="D121:E121" si="88">IF(D101&lt;0,D101*-1,0)</f>
        <v>0</v>
      </c>
      <c r="E121" s="93">
        <f t="shared" si="88"/>
        <v>0</v>
      </c>
      <c r="F121" s="93">
        <f t="shared" ref="F121" si="89">IF(F101&lt;0,F101*-1,0)</f>
        <v>0</v>
      </c>
      <c r="G121" s="93">
        <f t="shared" si="77"/>
        <v>0</v>
      </c>
      <c r="H121" s="93">
        <f t="shared" si="77"/>
        <v>0</v>
      </c>
      <c r="I121" s="93">
        <f t="shared" ref="I121" si="90">IF(I101&lt;0,I101*-1,0)</f>
        <v>0</v>
      </c>
      <c r="J121" s="93">
        <f t="shared" si="77"/>
        <v>0</v>
      </c>
      <c r="K121" s="93">
        <f t="shared" si="77"/>
        <v>0</v>
      </c>
      <c r="L121" s="93">
        <f t="shared" si="77"/>
        <v>0</v>
      </c>
      <c r="M121" s="93">
        <f t="shared" si="77"/>
        <v>0</v>
      </c>
      <c r="N121" s="93">
        <f t="shared" si="77"/>
        <v>0</v>
      </c>
      <c r="O121" s="93">
        <f t="shared" si="77"/>
        <v>0</v>
      </c>
      <c r="P121" s="93">
        <f t="shared" si="77"/>
        <v>0</v>
      </c>
      <c r="Q121" s="93">
        <f t="shared" si="77"/>
        <v>0</v>
      </c>
      <c r="R121" s="93">
        <f t="shared" si="77"/>
        <v>0</v>
      </c>
      <c r="S121" s="93">
        <f t="shared" si="77"/>
        <v>0</v>
      </c>
      <c r="T121" s="93">
        <f t="shared" si="77"/>
        <v>0</v>
      </c>
      <c r="U121" s="93">
        <f t="shared" si="77"/>
        <v>0</v>
      </c>
      <c r="V121" s="93">
        <f t="shared" si="77"/>
        <v>0</v>
      </c>
      <c r="W121" s="93">
        <f t="shared" si="77"/>
        <v>0</v>
      </c>
      <c r="X121" s="93">
        <f t="shared" si="77"/>
        <v>0</v>
      </c>
      <c r="Y121" s="93">
        <f t="shared" si="77"/>
        <v>0</v>
      </c>
      <c r="Z121" s="93">
        <f t="shared" si="77"/>
        <v>0</v>
      </c>
      <c r="AA121" s="93">
        <f t="shared" si="77"/>
        <v>0</v>
      </c>
      <c r="AB121" s="93">
        <f t="shared" si="77"/>
        <v>0</v>
      </c>
      <c r="AC121" s="93">
        <f t="shared" si="77"/>
        <v>0</v>
      </c>
      <c r="AD121" s="93">
        <f t="shared" si="77"/>
        <v>0</v>
      </c>
      <c r="AE121" s="93">
        <f t="shared" si="77"/>
        <v>0</v>
      </c>
      <c r="AF121" s="93">
        <f t="shared" si="77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4"/>
        <v>0</v>
      </c>
      <c r="C122" s="93">
        <f t="shared" si="74"/>
        <v>0</v>
      </c>
      <c r="D122" s="93">
        <f t="shared" ref="D122:E122" si="91">IF(D102&lt;0,D102*-1,0)</f>
        <v>0</v>
      </c>
      <c r="E122" s="93">
        <f t="shared" si="91"/>
        <v>0</v>
      </c>
      <c r="F122" s="93">
        <f t="shared" ref="F122" si="92">IF(F102&lt;0,F102*-1,0)</f>
        <v>0</v>
      </c>
      <c r="G122" s="93">
        <f t="shared" si="77"/>
        <v>0</v>
      </c>
      <c r="H122" s="93">
        <f t="shared" si="77"/>
        <v>0</v>
      </c>
      <c r="I122" s="93">
        <f t="shared" ref="I122" si="93">IF(I102&lt;0,I102*-1,0)</f>
        <v>0</v>
      </c>
      <c r="J122" s="93">
        <f t="shared" si="77"/>
        <v>0</v>
      </c>
      <c r="K122" s="93">
        <f t="shared" si="77"/>
        <v>0</v>
      </c>
      <c r="L122" s="93">
        <f t="shared" si="77"/>
        <v>0</v>
      </c>
      <c r="M122" s="93">
        <f t="shared" si="77"/>
        <v>0</v>
      </c>
      <c r="N122" s="93">
        <f t="shared" si="77"/>
        <v>0</v>
      </c>
      <c r="O122" s="93">
        <f t="shared" si="77"/>
        <v>0</v>
      </c>
      <c r="P122" s="93">
        <f t="shared" si="77"/>
        <v>0</v>
      </c>
      <c r="Q122" s="93">
        <f t="shared" si="77"/>
        <v>0</v>
      </c>
      <c r="R122" s="93">
        <f t="shared" si="77"/>
        <v>0</v>
      </c>
      <c r="S122" s="93">
        <f t="shared" si="77"/>
        <v>0</v>
      </c>
      <c r="T122" s="93">
        <f t="shared" si="77"/>
        <v>0</v>
      </c>
      <c r="U122" s="93">
        <f t="shared" si="77"/>
        <v>0</v>
      </c>
      <c r="V122" s="93">
        <f t="shared" si="77"/>
        <v>0</v>
      </c>
      <c r="W122" s="93">
        <f t="shared" si="77"/>
        <v>0</v>
      </c>
      <c r="X122" s="93">
        <f t="shared" si="77"/>
        <v>0</v>
      </c>
      <c r="Y122" s="93">
        <f t="shared" si="77"/>
        <v>0</v>
      </c>
      <c r="Z122" s="93">
        <f t="shared" si="77"/>
        <v>0</v>
      </c>
      <c r="AA122" s="93">
        <f t="shared" si="77"/>
        <v>0</v>
      </c>
      <c r="AB122" s="93">
        <f t="shared" si="77"/>
        <v>0</v>
      </c>
      <c r="AC122" s="93">
        <f t="shared" si="77"/>
        <v>0</v>
      </c>
      <c r="AD122" s="93">
        <f t="shared" si="77"/>
        <v>0</v>
      </c>
      <c r="AE122" s="93">
        <f t="shared" si="77"/>
        <v>0</v>
      </c>
      <c r="AF122" s="93">
        <f t="shared" si="77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94">SUM(B117:B122)</f>
        <v>563.29999999999995</v>
      </c>
      <c r="C123" s="70">
        <f t="shared" si="94"/>
        <v>477</v>
      </c>
      <c r="D123" s="70">
        <f t="shared" ref="D123:E123" si="95">SUM(D117:D122)</f>
        <v>521</v>
      </c>
      <c r="E123" s="70">
        <f t="shared" si="95"/>
        <v>541</v>
      </c>
      <c r="F123" s="70">
        <f t="shared" ref="F123" si="96">SUM(F117:F122)</f>
        <v>563</v>
      </c>
      <c r="G123" s="70">
        <f t="shared" ref="B123:AF123" si="97">SUM(G117:G122)</f>
        <v>556.29999999999995</v>
      </c>
      <c r="H123" s="70">
        <f t="shared" si="97"/>
        <v>547.29999999999995</v>
      </c>
      <c r="I123" s="70">
        <f t="shared" ref="I123" si="98">SUM(I117:I122)</f>
        <v>530.29999999999995</v>
      </c>
      <c r="J123" s="70">
        <f t="shared" si="97"/>
        <v>498.6</v>
      </c>
      <c r="K123" s="70">
        <f t="shared" si="97"/>
        <v>483.6</v>
      </c>
      <c r="L123" s="70">
        <f t="shared" si="97"/>
        <v>470.6</v>
      </c>
      <c r="M123" s="70">
        <f t="shared" si="97"/>
        <v>0</v>
      </c>
      <c r="N123" s="70">
        <f t="shared" si="97"/>
        <v>480</v>
      </c>
      <c r="O123" s="70">
        <f t="shared" si="97"/>
        <v>525.4</v>
      </c>
      <c r="P123" s="70">
        <f t="shared" si="97"/>
        <v>525.4</v>
      </c>
      <c r="Q123" s="70">
        <f t="shared" si="97"/>
        <v>500</v>
      </c>
      <c r="R123" s="70">
        <f t="shared" si="97"/>
        <v>530</v>
      </c>
      <c r="S123" s="70">
        <f t="shared" si="97"/>
        <v>485.52</v>
      </c>
      <c r="T123" s="70">
        <f t="shared" si="97"/>
        <v>567.6</v>
      </c>
      <c r="U123" s="70">
        <f t="shared" si="97"/>
        <v>0</v>
      </c>
      <c r="V123" s="70">
        <f t="shared" si="97"/>
        <v>565.20000000000005</v>
      </c>
      <c r="W123" s="70">
        <f t="shared" si="97"/>
        <v>555.79999999999995</v>
      </c>
      <c r="X123" s="70">
        <f t="shared" si="97"/>
        <v>561.20000000000005</v>
      </c>
      <c r="Y123" s="70">
        <f t="shared" si="97"/>
        <v>561.20000000000005</v>
      </c>
      <c r="Z123" s="70">
        <f t="shared" si="97"/>
        <v>561.20000000000005</v>
      </c>
      <c r="AA123" s="70">
        <f t="shared" si="97"/>
        <v>0</v>
      </c>
      <c r="AB123" s="70">
        <f t="shared" si="97"/>
        <v>0</v>
      </c>
      <c r="AC123" s="70">
        <f t="shared" si="97"/>
        <v>0</v>
      </c>
      <c r="AD123" s="70">
        <f t="shared" si="97"/>
        <v>0</v>
      </c>
      <c r="AE123" s="70">
        <f t="shared" si="97"/>
        <v>0</v>
      </c>
      <c r="AF123" s="70">
        <f t="shared" si="97"/>
        <v>0</v>
      </c>
      <c r="AG123" s="104"/>
      <c r="AH123" s="46">
        <f t="shared" si="27"/>
        <v>567.6</v>
      </c>
      <c r="AI123" s="47">
        <f t="shared" si="28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9">B108-B123</f>
        <v>-459.9</v>
      </c>
      <c r="C124" s="70">
        <f t="shared" si="99"/>
        <v>-374.2</v>
      </c>
      <c r="D124" s="70">
        <f t="shared" ref="D124:E124" si="100">D108-D123</f>
        <v>-414.8</v>
      </c>
      <c r="E124" s="70">
        <f t="shared" si="100"/>
        <v>-446.8</v>
      </c>
      <c r="F124" s="70">
        <f t="shared" ref="F124" si="101">F108-F123</f>
        <v>-466.2</v>
      </c>
      <c r="G124" s="70">
        <f t="shared" ref="B124:AF124" si="102">G108-G123</f>
        <v>-461.19999999999993</v>
      </c>
      <c r="H124" s="70">
        <f t="shared" si="102"/>
        <v>-456.79999999999995</v>
      </c>
      <c r="I124" s="70">
        <f t="shared" ref="I124" si="103">I108-I123</f>
        <v>-446.69999999999993</v>
      </c>
      <c r="J124" s="70">
        <f t="shared" si="102"/>
        <v>-404.1</v>
      </c>
      <c r="K124" s="70">
        <f t="shared" si="102"/>
        <v>-372.5</v>
      </c>
      <c r="L124" s="70">
        <f t="shared" si="102"/>
        <v>-360.40000000000003</v>
      </c>
      <c r="M124" s="70">
        <f t="shared" si="102"/>
        <v>0</v>
      </c>
      <c r="N124" s="70">
        <f t="shared" si="102"/>
        <v>-362</v>
      </c>
      <c r="O124" s="70">
        <f t="shared" si="102"/>
        <v>-402.7</v>
      </c>
      <c r="P124" s="70">
        <f t="shared" si="102"/>
        <v>-402.7</v>
      </c>
      <c r="Q124" s="70">
        <f t="shared" si="102"/>
        <v>-377.3</v>
      </c>
      <c r="R124" s="70">
        <f t="shared" si="102"/>
        <v>-407.8</v>
      </c>
      <c r="S124" s="70">
        <f t="shared" si="102"/>
        <v>-381.91999999999996</v>
      </c>
      <c r="T124" s="70">
        <f t="shared" si="102"/>
        <v>-489</v>
      </c>
      <c r="U124" s="70">
        <f t="shared" si="102"/>
        <v>0</v>
      </c>
      <c r="V124" s="70">
        <f t="shared" si="102"/>
        <v>-492.00000000000006</v>
      </c>
      <c r="W124" s="70">
        <f t="shared" si="102"/>
        <v>-280.5</v>
      </c>
      <c r="X124" s="70">
        <f t="shared" si="102"/>
        <v>-470.40000000000003</v>
      </c>
      <c r="Y124" s="70">
        <f t="shared" si="102"/>
        <v>-470.40000000000003</v>
      </c>
      <c r="Z124" s="70">
        <f t="shared" si="102"/>
        <v>-470.40000000000003</v>
      </c>
      <c r="AA124" s="70">
        <f t="shared" si="102"/>
        <v>0</v>
      </c>
      <c r="AB124" s="70">
        <f t="shared" si="102"/>
        <v>0</v>
      </c>
      <c r="AC124" s="70">
        <f t="shared" si="102"/>
        <v>0</v>
      </c>
      <c r="AD124" s="70">
        <f t="shared" si="102"/>
        <v>0</v>
      </c>
      <c r="AE124" s="70">
        <f t="shared" si="102"/>
        <v>0</v>
      </c>
      <c r="AF124" s="70">
        <f t="shared" si="102"/>
        <v>0</v>
      </c>
      <c r="AG124" s="104"/>
      <c r="AH124" s="46">
        <f t="shared" si="27"/>
        <v>0</v>
      </c>
      <c r="AI124" s="47">
        <f t="shared" si="28"/>
        <v>-492.00000000000006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/>
      <c r="AB126" s="117"/>
      <c r="AC126" s="117"/>
      <c r="AD126" s="117"/>
      <c r="AE126" s="117"/>
      <c r="AF126" s="117"/>
      <c r="AG126" s="118"/>
      <c r="AH126" s="46">
        <f t="shared" si="27"/>
        <v>50.1</v>
      </c>
      <c r="AI126" s="47">
        <f t="shared" si="28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135</v>
      </c>
      <c r="AI127" s="47">
        <f t="shared" si="28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131.69999999999999</v>
      </c>
      <c r="AI128" s="47">
        <f t="shared" si="28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135.30000000000001</v>
      </c>
      <c r="AI130" s="47">
        <f t="shared" si="28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/>
      <c r="AB131" s="122"/>
      <c r="AC131" s="122"/>
      <c r="AD131" s="122"/>
      <c r="AE131" s="122"/>
      <c r="AF131" s="122"/>
      <c r="AG131" s="123"/>
      <c r="AH131" s="46">
        <f t="shared" si="27"/>
        <v>136</v>
      </c>
      <c r="AI131" s="47">
        <f t="shared" si="28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/>
      <c r="AB132" s="43"/>
      <c r="AC132" s="43"/>
      <c r="AD132" s="43"/>
      <c r="AE132" s="43"/>
      <c r="AF132" s="43"/>
      <c r="AG132" s="120"/>
      <c r="AH132" s="46">
        <f t="shared" si="27"/>
        <v>130</v>
      </c>
      <c r="AI132" s="47">
        <f t="shared" si="28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/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04">SUM(B26,B32,B45:B46,B82,B84:B85,B87,B89,B137:B142,B177,B183,B189,B198,B200,B212,B219,B222:B223,B230,B232,B234,B238:B240,B242:B244,B249,B255:B256,B258:B260,B161,B166)</f>
        <v>166.74000000000004</v>
      </c>
      <c r="C135" s="114">
        <f t="shared" si="104"/>
        <v>166.74000000000004</v>
      </c>
      <c r="D135" s="114">
        <f t="shared" ref="D135:E135" si="105">SUM(D26,D32,D45:D46,D82,D84:D85,D87,D89,D137:D142,D177,D183,D189,D198,D200,D212,D219,D222:D223,D230,D232,D234,D238:D240,D242:D244,D249,D255:D256,D258:D260,D161,D166)</f>
        <v>169.64000000000001</v>
      </c>
      <c r="E135" s="114">
        <f t="shared" si="105"/>
        <v>169.64000000000001</v>
      </c>
      <c r="F135" s="114">
        <f t="shared" ref="F135" si="106">SUM(F26,F32,F45:F46,F82,F84:F85,F87,F89,F137:F142,F177,F183,F189,F198,F200,F212,F219,F222:F223,F230,F232,F234,F238:F240,F242:F244,F249,F255:F256,F258:F260,F161,F166)</f>
        <v>159.24</v>
      </c>
      <c r="G135" s="114">
        <f t="shared" ref="G135:I135" si="107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8">SUM(H26,H32,H45:H46,H82,H84:H85,H87,H89,H137:H142,H177,H183,H189,H198,H200,H212,H219,H222:H223,H230,H232,H234,H238:H240,H242:H244,H249,H255:H256,H258:H260,H161,H166)</f>
        <v>296.64000000000004</v>
      </c>
      <c r="I135" s="114">
        <f t="shared" si="107"/>
        <v>296.94000000000005</v>
      </c>
      <c r="J135" s="114">
        <f t="shared" ref="J135:L135" si="109">SUM(J26,J32,J45:J46,J82,J84:J85,J87,J89,J137:J142,J177,J183,J189,J198,J200,J212,J219,J222:J223,J230,J232,J234,J238:J240,J242:J244,J249,J255:J256,J258:J260,J161,J166)</f>
        <v>296.84000000000003</v>
      </c>
      <c r="K135" s="114">
        <f t="shared" si="109"/>
        <v>298.24</v>
      </c>
      <c r="L135" s="114">
        <f t="shared" si="109"/>
        <v>300.74</v>
      </c>
      <c r="M135" s="114">
        <f t="shared" ref="C135:O135" si="110">SUM(M26,M32,M45:M46,M82,M84:M85,M87,M89,M137:M142,M177,M183,M189,M198,M200,M212,M219,M222:M223,M230,M232,M234,M238:M240,M242:M244,M249,M255:M256,M258:M260,M161,M166)</f>
        <v>300.74</v>
      </c>
      <c r="N135" s="114">
        <f t="shared" si="110"/>
        <v>341.87</v>
      </c>
      <c r="O135" s="114">
        <f t="shared" si="110"/>
        <v>356.44</v>
      </c>
      <c r="P135" s="114">
        <v>42</v>
      </c>
      <c r="Q135" s="114">
        <f t="shared" ref="Q135:X135" si="111">SUM(Q26,Q32,Q45:Q46,Q82,Q84:Q85,Q87,Q89,Q137:Q142,Q177,Q183,Q189,Q198,Q200,Q212,Q219,Q222:Q223,Q230,Q232,Q234,Q238:Q240,Q242:Q244,Q249,Q255:Q256,Q258:Q260,Q161,Q166)</f>
        <v>311.84000000000003</v>
      </c>
      <c r="R135" s="114">
        <f t="shared" si="111"/>
        <v>242.24</v>
      </c>
      <c r="S135" s="114">
        <f t="shared" si="111"/>
        <v>215.45000000000002</v>
      </c>
      <c r="T135" s="114">
        <f t="shared" ref="T135" si="112">SUM(T26,T32,T45:T46,T82,T84:T85,T87,T89,T137:T142,T177,T183,T189,T198,T200,T212,T219,T222:T223,T230,T232,T234,T238:T240,T242:T244,T249,T255:T256,T258:T260,T161,T166)</f>
        <v>215.45000000000002</v>
      </c>
      <c r="U135" s="114">
        <f t="shared" si="111"/>
        <v>0.94</v>
      </c>
      <c r="V135" s="114">
        <f t="shared" ref="V135:W135" si="113">SUM(V26,V32,V45:V46,V82,V84:V85,V87,V89,V137:V142,V177,V183,V189,V198,V200,V212,V219,V222:V223,V230,V232,V234,V238:V240,V242:V244,V249,V255:V256,V258:V260,V161,V166)</f>
        <v>132.83000000000001</v>
      </c>
      <c r="W135" s="114">
        <f t="shared" si="113"/>
        <v>132.83000000000001</v>
      </c>
      <c r="X135" s="114">
        <f t="shared" si="111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:AF135" si="11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4"/>
        <v>0.94</v>
      </c>
      <c r="AC135" s="114">
        <f t="shared" si="114"/>
        <v>0.94</v>
      </c>
      <c r="AD135" s="114">
        <f t="shared" si="114"/>
        <v>0.94</v>
      </c>
      <c r="AE135" s="114">
        <f t="shared" si="114"/>
        <v>0.94</v>
      </c>
      <c r="AF135" s="114">
        <f t="shared" si="114"/>
        <v>0.94</v>
      </c>
      <c r="AG135" s="127"/>
      <c r="AH135" s="46">
        <f t="shared" si="27"/>
        <v>356.44</v>
      </c>
      <c r="AI135" s="47">
        <f t="shared" si="28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61.4</v>
      </c>
      <c r="AI137" s="47">
        <f t="shared" si="28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28.3</v>
      </c>
      <c r="AI138" s="47">
        <f t="shared" si="28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65.5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-90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/>
      <c r="AB143" s="137"/>
      <c r="AC143" s="137"/>
      <c r="AD143" s="137"/>
      <c r="AE143" s="137"/>
      <c r="AF143" s="137"/>
      <c r="AG143" s="138"/>
      <c r="AH143" s="46">
        <f>MAX(B143:AF143)</f>
        <v>206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/>
      <c r="AB146" s="137"/>
      <c r="AC146" s="137"/>
      <c r="AD146" s="137"/>
      <c r="AE146" s="137"/>
      <c r="AF146" s="137"/>
      <c r="AG146" s="138"/>
      <c r="AH146" s="46">
        <f t="shared" ref="AH146:AH158" si="115">MAX(B146:AF146)</f>
        <v>378.6</v>
      </c>
      <c r="AI146" s="47">
        <f t="shared" ref="AI146:AI158" si="116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5"/>
        <v>52</v>
      </c>
      <c r="AI147" s="47">
        <f t="shared" si="116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/>
      <c r="AB148" s="137"/>
      <c r="AC148" s="137"/>
      <c r="AD148" s="137"/>
      <c r="AE148" s="137"/>
      <c r="AF148" s="137"/>
      <c r="AG148" s="134"/>
      <c r="AH148" s="46">
        <f t="shared" si="115"/>
        <v>11.3</v>
      </c>
      <c r="AI148" s="47">
        <f t="shared" si="116"/>
        <v>-20.6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17">83+82</f>
        <v>165</v>
      </c>
      <c r="W149" s="122">
        <f t="shared" si="117"/>
        <v>165</v>
      </c>
      <c r="X149" s="122">
        <f>83+82</f>
        <v>165</v>
      </c>
      <c r="Y149" s="122">
        <f t="shared" ref="Y149:Z149" si="118">83+82</f>
        <v>165</v>
      </c>
      <c r="Z149" s="122">
        <f t="shared" si="118"/>
        <v>165</v>
      </c>
      <c r="AA149" s="122"/>
      <c r="AB149" s="122"/>
      <c r="AC149" s="122"/>
      <c r="AD149" s="122"/>
      <c r="AE149" s="122"/>
      <c r="AF149" s="122"/>
      <c r="AG149" s="134"/>
      <c r="AH149" s="46">
        <f t="shared" si="115"/>
        <v>235</v>
      </c>
      <c r="AI149" s="47">
        <f t="shared" si="116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/>
      <c r="AB150" s="122"/>
      <c r="AC150" s="122"/>
      <c r="AD150" s="122"/>
      <c r="AE150" s="122"/>
      <c r="AF150" s="122"/>
      <c r="AG150" s="134"/>
      <c r="AH150" s="46">
        <f t="shared" si="115"/>
        <v>31.5</v>
      </c>
      <c r="AI150" s="47">
        <f t="shared" si="116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/>
      <c r="AB151" s="122"/>
      <c r="AC151" s="122"/>
      <c r="AD151" s="122"/>
      <c r="AE151" s="122"/>
      <c r="AF151" s="122"/>
      <c r="AG151" s="134"/>
      <c r="AH151" s="46">
        <f t="shared" si="115"/>
        <v>22.8</v>
      </c>
      <c r="AI151" s="47">
        <f t="shared" si="116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5"/>
        <v>0</v>
      </c>
      <c r="AI152" s="47">
        <f t="shared" si="11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5"/>
        <v>0</v>
      </c>
      <c r="AI153" s="47">
        <f t="shared" si="11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5"/>
        <v>0</v>
      </c>
      <c r="AI154" s="47">
        <f t="shared" si="11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5"/>
        <v>0</v>
      </c>
      <c r="AI155" s="47">
        <f t="shared" si="11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5"/>
        <v>0</v>
      </c>
      <c r="AI156" s="47">
        <f t="shared" si="11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5"/>
        <v>0</v>
      </c>
      <c r="AI157" s="47">
        <f t="shared" si="11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5"/>
        <v>0</v>
      </c>
      <c r="AI158" s="47">
        <f t="shared" si="11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9">B161</f>
        <v>0.3</v>
      </c>
      <c r="D161" s="159">
        <f t="shared" si="119"/>
        <v>0.3</v>
      </c>
      <c r="E161" s="159">
        <f t="shared" si="119"/>
        <v>0.3</v>
      </c>
      <c r="F161" s="159">
        <f t="shared" si="119"/>
        <v>0.3</v>
      </c>
      <c r="G161" s="159">
        <f t="shared" si="119"/>
        <v>0.3</v>
      </c>
      <c r="H161" s="159">
        <f t="shared" si="119"/>
        <v>0.3</v>
      </c>
      <c r="I161" s="159">
        <f t="shared" si="119"/>
        <v>0.3</v>
      </c>
      <c r="J161" s="159">
        <f t="shared" si="119"/>
        <v>0.3</v>
      </c>
      <c r="K161" s="159">
        <f t="shared" si="119"/>
        <v>0.3</v>
      </c>
      <c r="L161" s="159">
        <f t="shared" si="119"/>
        <v>0.3</v>
      </c>
      <c r="M161" s="159">
        <f t="shared" si="119"/>
        <v>0.3</v>
      </c>
      <c r="N161" s="159">
        <f t="shared" si="119"/>
        <v>0.3</v>
      </c>
      <c r="O161" s="159">
        <f t="shared" si="119"/>
        <v>0.3</v>
      </c>
      <c r="P161" s="159">
        <f t="shared" si="119"/>
        <v>0.3</v>
      </c>
      <c r="Q161" s="159">
        <f t="shared" si="119"/>
        <v>0.3</v>
      </c>
      <c r="R161" s="159">
        <f t="shared" si="119"/>
        <v>0.3</v>
      </c>
      <c r="S161" s="159">
        <f t="shared" ref="S161:AF166" si="120">R161</f>
        <v>0.3</v>
      </c>
      <c r="T161" s="159">
        <f t="shared" si="120"/>
        <v>0.3</v>
      </c>
      <c r="U161" s="159">
        <f t="shared" si="120"/>
        <v>0.3</v>
      </c>
      <c r="V161" s="159">
        <f t="shared" si="120"/>
        <v>0.3</v>
      </c>
      <c r="W161" s="159">
        <f t="shared" si="120"/>
        <v>0.3</v>
      </c>
      <c r="X161" s="159">
        <f t="shared" si="120"/>
        <v>0.3</v>
      </c>
      <c r="Y161" s="159">
        <f t="shared" si="120"/>
        <v>0.3</v>
      </c>
      <c r="Z161" s="159">
        <f t="shared" si="120"/>
        <v>0.3</v>
      </c>
      <c r="AA161" s="159">
        <f t="shared" si="120"/>
        <v>0.3</v>
      </c>
      <c r="AB161" s="159">
        <f t="shared" si="120"/>
        <v>0.3</v>
      </c>
      <c r="AC161" s="159">
        <f t="shared" si="120"/>
        <v>0.3</v>
      </c>
      <c r="AD161" s="159">
        <f t="shared" si="120"/>
        <v>0.3</v>
      </c>
      <c r="AE161" s="159">
        <f t="shared" si="120"/>
        <v>0.3</v>
      </c>
      <c r="AF161" s="159">
        <f t="shared" si="12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9"/>
        <v>0.4</v>
      </c>
      <c r="D162" s="161">
        <f t="shared" si="119"/>
        <v>0.4</v>
      </c>
      <c r="E162" s="161">
        <f t="shared" si="119"/>
        <v>0.4</v>
      </c>
      <c r="F162" s="161">
        <f t="shared" si="119"/>
        <v>0.4</v>
      </c>
      <c r="G162" s="161">
        <f t="shared" si="119"/>
        <v>0.4</v>
      </c>
      <c r="H162" s="161">
        <f t="shared" si="119"/>
        <v>0.4</v>
      </c>
      <c r="I162" s="161">
        <f t="shared" si="119"/>
        <v>0.4</v>
      </c>
      <c r="J162" s="161">
        <f t="shared" si="119"/>
        <v>0.4</v>
      </c>
      <c r="K162" s="161">
        <f t="shared" si="119"/>
        <v>0.4</v>
      </c>
      <c r="L162" s="161">
        <f t="shared" si="119"/>
        <v>0.4</v>
      </c>
      <c r="M162" s="161">
        <f t="shared" si="119"/>
        <v>0.4</v>
      </c>
      <c r="N162" s="161">
        <f t="shared" si="119"/>
        <v>0.4</v>
      </c>
      <c r="O162" s="161">
        <f t="shared" si="119"/>
        <v>0.4</v>
      </c>
      <c r="P162" s="161">
        <f t="shared" si="119"/>
        <v>0.4</v>
      </c>
      <c r="Q162" s="161">
        <f t="shared" si="119"/>
        <v>0.4</v>
      </c>
      <c r="R162" s="161">
        <f t="shared" si="119"/>
        <v>0.4</v>
      </c>
      <c r="S162" s="161">
        <f t="shared" si="120"/>
        <v>0.4</v>
      </c>
      <c r="T162" s="161">
        <f t="shared" si="120"/>
        <v>0.4</v>
      </c>
      <c r="U162" s="161">
        <f t="shared" si="120"/>
        <v>0.4</v>
      </c>
      <c r="V162" s="161">
        <f t="shared" si="120"/>
        <v>0.4</v>
      </c>
      <c r="W162" s="161">
        <f t="shared" si="120"/>
        <v>0.4</v>
      </c>
      <c r="X162" s="161">
        <f t="shared" si="120"/>
        <v>0.4</v>
      </c>
      <c r="Y162" s="161">
        <f t="shared" si="120"/>
        <v>0.4</v>
      </c>
      <c r="Z162" s="161">
        <f t="shared" si="120"/>
        <v>0.4</v>
      </c>
      <c r="AA162" s="161">
        <f t="shared" si="120"/>
        <v>0.4</v>
      </c>
      <c r="AB162" s="161">
        <f t="shared" si="120"/>
        <v>0.4</v>
      </c>
      <c r="AC162" s="161">
        <f t="shared" si="120"/>
        <v>0.4</v>
      </c>
      <c r="AD162" s="161">
        <f t="shared" si="120"/>
        <v>0.4</v>
      </c>
      <c r="AE162" s="161">
        <f t="shared" si="120"/>
        <v>0.4</v>
      </c>
      <c r="AF162" s="161">
        <f t="shared" si="12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9"/>
        <v>1.5</v>
      </c>
      <c r="D163" s="161">
        <f t="shared" si="119"/>
        <v>1.5</v>
      </c>
      <c r="E163" s="161">
        <f t="shared" si="119"/>
        <v>1.5</v>
      </c>
      <c r="F163" s="161">
        <f t="shared" si="119"/>
        <v>1.5</v>
      </c>
      <c r="G163" s="161">
        <f t="shared" si="119"/>
        <v>1.5</v>
      </c>
      <c r="H163" s="161">
        <f t="shared" si="119"/>
        <v>1.5</v>
      </c>
      <c r="I163" s="161">
        <f t="shared" si="119"/>
        <v>1.5</v>
      </c>
      <c r="J163" s="161">
        <f t="shared" si="119"/>
        <v>1.5</v>
      </c>
      <c r="K163" s="161">
        <f t="shared" si="119"/>
        <v>1.5</v>
      </c>
      <c r="L163" s="161">
        <f t="shared" si="119"/>
        <v>1.5</v>
      </c>
      <c r="M163" s="161">
        <f t="shared" si="119"/>
        <v>1.5</v>
      </c>
      <c r="N163" s="161">
        <f t="shared" si="119"/>
        <v>1.5</v>
      </c>
      <c r="O163" s="161">
        <f t="shared" si="119"/>
        <v>1.5</v>
      </c>
      <c r="P163" s="161">
        <f t="shared" si="119"/>
        <v>1.5</v>
      </c>
      <c r="Q163" s="161">
        <f t="shared" si="119"/>
        <v>1.5</v>
      </c>
      <c r="R163" s="161">
        <f t="shared" si="119"/>
        <v>1.5</v>
      </c>
      <c r="S163" s="161">
        <f t="shared" si="120"/>
        <v>1.5</v>
      </c>
      <c r="T163" s="161">
        <f t="shared" si="120"/>
        <v>1.5</v>
      </c>
      <c r="U163" s="161">
        <f t="shared" si="120"/>
        <v>1.5</v>
      </c>
      <c r="V163" s="161">
        <f t="shared" si="120"/>
        <v>1.5</v>
      </c>
      <c r="W163" s="161">
        <f t="shared" si="120"/>
        <v>1.5</v>
      </c>
      <c r="X163" s="161">
        <f t="shared" si="120"/>
        <v>1.5</v>
      </c>
      <c r="Y163" s="161">
        <f t="shared" si="120"/>
        <v>1.5</v>
      </c>
      <c r="Z163" s="161">
        <f t="shared" si="120"/>
        <v>1.5</v>
      </c>
      <c r="AA163" s="161">
        <f t="shared" si="120"/>
        <v>1.5</v>
      </c>
      <c r="AB163" s="161">
        <f t="shared" si="120"/>
        <v>1.5</v>
      </c>
      <c r="AC163" s="161">
        <f t="shared" si="120"/>
        <v>1.5</v>
      </c>
      <c r="AD163" s="161">
        <f t="shared" si="120"/>
        <v>1.5</v>
      </c>
      <c r="AE163" s="161">
        <f t="shared" si="120"/>
        <v>1.5</v>
      </c>
      <c r="AF163" s="161">
        <f t="shared" si="12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9"/>
        <v>0.3</v>
      </c>
      <c r="D164" s="161">
        <f t="shared" si="119"/>
        <v>0.3</v>
      </c>
      <c r="E164" s="161">
        <f t="shared" si="119"/>
        <v>0.3</v>
      </c>
      <c r="F164" s="161">
        <f t="shared" si="119"/>
        <v>0.3</v>
      </c>
      <c r="G164" s="161">
        <f t="shared" si="119"/>
        <v>0.3</v>
      </c>
      <c r="H164" s="161">
        <f t="shared" si="119"/>
        <v>0.3</v>
      </c>
      <c r="I164" s="161">
        <f t="shared" si="119"/>
        <v>0.3</v>
      </c>
      <c r="J164" s="161">
        <f t="shared" si="119"/>
        <v>0.3</v>
      </c>
      <c r="K164" s="161">
        <f t="shared" si="119"/>
        <v>0.3</v>
      </c>
      <c r="L164" s="161">
        <f t="shared" si="119"/>
        <v>0.3</v>
      </c>
      <c r="M164" s="161">
        <f t="shared" si="119"/>
        <v>0.3</v>
      </c>
      <c r="N164" s="161">
        <f t="shared" si="119"/>
        <v>0.3</v>
      </c>
      <c r="O164" s="161">
        <f t="shared" si="119"/>
        <v>0.3</v>
      </c>
      <c r="P164" s="161">
        <f t="shared" si="119"/>
        <v>0.3</v>
      </c>
      <c r="Q164" s="161">
        <f t="shared" si="119"/>
        <v>0.3</v>
      </c>
      <c r="R164" s="161">
        <f t="shared" si="119"/>
        <v>0.3</v>
      </c>
      <c r="S164" s="161">
        <f t="shared" si="120"/>
        <v>0.3</v>
      </c>
      <c r="T164" s="161">
        <f t="shared" si="120"/>
        <v>0.3</v>
      </c>
      <c r="U164" s="161">
        <f t="shared" si="120"/>
        <v>0.3</v>
      </c>
      <c r="V164" s="161">
        <f t="shared" si="120"/>
        <v>0.3</v>
      </c>
      <c r="W164" s="161">
        <f t="shared" si="120"/>
        <v>0.3</v>
      </c>
      <c r="X164" s="161">
        <f t="shared" si="120"/>
        <v>0.3</v>
      </c>
      <c r="Y164" s="161">
        <f t="shared" si="120"/>
        <v>0.3</v>
      </c>
      <c r="Z164" s="161">
        <f t="shared" si="120"/>
        <v>0.3</v>
      </c>
      <c r="AA164" s="161">
        <f t="shared" si="120"/>
        <v>0.3</v>
      </c>
      <c r="AB164" s="161">
        <f t="shared" si="120"/>
        <v>0.3</v>
      </c>
      <c r="AC164" s="161">
        <f t="shared" si="120"/>
        <v>0.3</v>
      </c>
      <c r="AD164" s="161">
        <f t="shared" si="120"/>
        <v>0.3</v>
      </c>
      <c r="AE164" s="161">
        <f t="shared" si="120"/>
        <v>0.3</v>
      </c>
      <c r="AF164" s="161">
        <f t="shared" si="12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9"/>
        <v>0.4</v>
      </c>
      <c r="D165" s="161">
        <f t="shared" si="119"/>
        <v>0.4</v>
      </c>
      <c r="E165" s="161">
        <f t="shared" si="119"/>
        <v>0.4</v>
      </c>
      <c r="F165" s="161">
        <f t="shared" si="119"/>
        <v>0.4</v>
      </c>
      <c r="G165" s="161">
        <f t="shared" si="119"/>
        <v>0.4</v>
      </c>
      <c r="H165" s="161">
        <f t="shared" si="119"/>
        <v>0.4</v>
      </c>
      <c r="I165" s="161">
        <f t="shared" si="119"/>
        <v>0.4</v>
      </c>
      <c r="J165" s="161">
        <f t="shared" si="119"/>
        <v>0.4</v>
      </c>
      <c r="K165" s="161">
        <f t="shared" si="119"/>
        <v>0.4</v>
      </c>
      <c r="L165" s="161">
        <f t="shared" si="119"/>
        <v>0.4</v>
      </c>
      <c r="M165" s="161">
        <f t="shared" si="119"/>
        <v>0.4</v>
      </c>
      <c r="N165" s="161">
        <f t="shared" si="119"/>
        <v>0.4</v>
      </c>
      <c r="O165" s="161">
        <f t="shared" si="119"/>
        <v>0.4</v>
      </c>
      <c r="P165" s="161">
        <f t="shared" si="119"/>
        <v>0.4</v>
      </c>
      <c r="Q165" s="161">
        <f t="shared" si="119"/>
        <v>0.4</v>
      </c>
      <c r="R165" s="161">
        <f t="shared" si="119"/>
        <v>0.4</v>
      </c>
      <c r="S165" s="161">
        <f t="shared" si="120"/>
        <v>0.4</v>
      </c>
      <c r="T165" s="161">
        <f t="shared" si="120"/>
        <v>0.4</v>
      </c>
      <c r="U165" s="161">
        <f t="shared" si="120"/>
        <v>0.4</v>
      </c>
      <c r="V165" s="161">
        <f t="shared" si="120"/>
        <v>0.4</v>
      </c>
      <c r="W165" s="161">
        <f t="shared" si="120"/>
        <v>0.4</v>
      </c>
      <c r="X165" s="161">
        <f t="shared" si="120"/>
        <v>0.4</v>
      </c>
      <c r="Y165" s="161">
        <f t="shared" si="120"/>
        <v>0.4</v>
      </c>
      <c r="Z165" s="161">
        <f t="shared" si="120"/>
        <v>0.4</v>
      </c>
      <c r="AA165" s="161">
        <f t="shared" si="120"/>
        <v>0.4</v>
      </c>
      <c r="AB165" s="161">
        <f t="shared" si="120"/>
        <v>0.4</v>
      </c>
      <c r="AC165" s="161">
        <f t="shared" si="120"/>
        <v>0.4</v>
      </c>
      <c r="AD165" s="161">
        <f t="shared" si="120"/>
        <v>0.4</v>
      </c>
      <c r="AE165" s="161">
        <f t="shared" si="120"/>
        <v>0.4</v>
      </c>
      <c r="AF165" s="161">
        <f t="shared" si="12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9"/>
        <v>0.64</v>
      </c>
      <c r="D166" s="164">
        <f t="shared" si="119"/>
        <v>0.64</v>
      </c>
      <c r="E166" s="164">
        <f t="shared" si="119"/>
        <v>0.64</v>
      </c>
      <c r="F166" s="164">
        <f t="shared" si="119"/>
        <v>0.64</v>
      </c>
      <c r="G166" s="164">
        <f t="shared" si="119"/>
        <v>0.64</v>
      </c>
      <c r="H166" s="164">
        <f t="shared" si="119"/>
        <v>0.64</v>
      </c>
      <c r="I166" s="164">
        <f t="shared" si="119"/>
        <v>0.64</v>
      </c>
      <c r="J166" s="164">
        <f t="shared" si="119"/>
        <v>0.64</v>
      </c>
      <c r="K166" s="164">
        <f t="shared" si="119"/>
        <v>0.64</v>
      </c>
      <c r="L166" s="164">
        <f t="shared" si="119"/>
        <v>0.64</v>
      </c>
      <c r="M166" s="164">
        <f t="shared" si="119"/>
        <v>0.64</v>
      </c>
      <c r="N166" s="164">
        <f t="shared" si="119"/>
        <v>0.64</v>
      </c>
      <c r="O166" s="164">
        <f t="shared" si="119"/>
        <v>0.64</v>
      </c>
      <c r="P166" s="164">
        <f t="shared" si="119"/>
        <v>0.64</v>
      </c>
      <c r="Q166" s="164">
        <f t="shared" si="119"/>
        <v>0.64</v>
      </c>
      <c r="R166" s="164">
        <f t="shared" si="119"/>
        <v>0.64</v>
      </c>
      <c r="S166" s="164">
        <f t="shared" si="120"/>
        <v>0.64</v>
      </c>
      <c r="T166" s="164">
        <f t="shared" si="120"/>
        <v>0.64</v>
      </c>
      <c r="U166" s="164">
        <f t="shared" si="120"/>
        <v>0.64</v>
      </c>
      <c r="V166" s="164">
        <f t="shared" si="120"/>
        <v>0.64</v>
      </c>
      <c r="W166" s="164">
        <f t="shared" si="120"/>
        <v>0.64</v>
      </c>
      <c r="X166" s="164">
        <f t="shared" si="120"/>
        <v>0.64</v>
      </c>
      <c r="Y166" s="164">
        <f t="shared" si="120"/>
        <v>0.64</v>
      </c>
      <c r="Z166" s="164">
        <f t="shared" si="120"/>
        <v>0.64</v>
      </c>
      <c r="AA166" s="164">
        <f t="shared" si="120"/>
        <v>0.64</v>
      </c>
      <c r="AB166" s="164">
        <f t="shared" si="120"/>
        <v>0.64</v>
      </c>
      <c r="AC166" s="164">
        <f t="shared" si="120"/>
        <v>0.64</v>
      </c>
      <c r="AD166" s="164">
        <f t="shared" si="120"/>
        <v>0.64</v>
      </c>
      <c r="AE166" s="164">
        <f t="shared" si="120"/>
        <v>0.64</v>
      </c>
      <c r="AF166" s="164">
        <f t="shared" si="12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1">SUM(C161:C166)</f>
        <v>3.54</v>
      </c>
      <c r="D167" s="167">
        <f t="shared" si="121"/>
        <v>3.54</v>
      </c>
      <c r="E167" s="167">
        <f t="shared" si="121"/>
        <v>3.54</v>
      </c>
      <c r="F167" s="167">
        <f t="shared" si="121"/>
        <v>3.54</v>
      </c>
      <c r="G167" s="167">
        <f t="shared" si="121"/>
        <v>3.54</v>
      </c>
      <c r="H167" s="167">
        <f t="shared" si="121"/>
        <v>3.54</v>
      </c>
      <c r="I167" s="167">
        <f t="shared" si="121"/>
        <v>3.54</v>
      </c>
      <c r="J167" s="167">
        <f t="shared" si="121"/>
        <v>3.54</v>
      </c>
      <c r="K167" s="167">
        <f t="shared" si="121"/>
        <v>3.54</v>
      </c>
      <c r="L167" s="167">
        <f t="shared" si="121"/>
        <v>3.54</v>
      </c>
      <c r="M167" s="167">
        <f t="shared" si="121"/>
        <v>3.54</v>
      </c>
      <c r="N167" s="167">
        <f t="shared" si="121"/>
        <v>3.54</v>
      </c>
      <c r="O167" s="167">
        <f t="shared" si="121"/>
        <v>3.54</v>
      </c>
      <c r="P167" s="167">
        <f t="shared" si="121"/>
        <v>3.54</v>
      </c>
      <c r="Q167" s="167">
        <f t="shared" si="121"/>
        <v>3.54</v>
      </c>
      <c r="R167" s="167">
        <f t="shared" si="121"/>
        <v>3.54</v>
      </c>
      <c r="S167" s="167">
        <f t="shared" si="121"/>
        <v>3.54</v>
      </c>
      <c r="T167" s="167">
        <f t="shared" si="121"/>
        <v>3.54</v>
      </c>
      <c r="U167" s="167">
        <f t="shared" si="121"/>
        <v>3.54</v>
      </c>
      <c r="V167" s="167">
        <f t="shared" si="121"/>
        <v>3.54</v>
      </c>
      <c r="W167" s="167">
        <f t="shared" si="121"/>
        <v>3.54</v>
      </c>
      <c r="X167" s="167">
        <f t="shared" si="121"/>
        <v>3.54</v>
      </c>
      <c r="Y167" s="167">
        <f t="shared" si="121"/>
        <v>3.54</v>
      </c>
      <c r="Z167" s="167">
        <f t="shared" si="121"/>
        <v>3.54</v>
      </c>
      <c r="AA167" s="167">
        <f t="shared" si="121"/>
        <v>3.54</v>
      </c>
      <c r="AB167" s="167">
        <f t="shared" si="121"/>
        <v>3.54</v>
      </c>
      <c r="AC167" s="167">
        <f t="shared" si="121"/>
        <v>3.54</v>
      </c>
      <c r="AD167" s="167">
        <f t="shared" si="121"/>
        <v>3.54</v>
      </c>
      <c r="AE167" s="167">
        <f t="shared" si="121"/>
        <v>3.54</v>
      </c>
      <c r="AF167" s="167">
        <f t="shared" si="121"/>
        <v>3.54</v>
      </c>
      <c r="AG167" s="168">
        <f t="shared" si="12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2">B169</f>
        <v>0</v>
      </c>
      <c r="D169" s="159">
        <f t="shared" si="122"/>
        <v>0</v>
      </c>
      <c r="E169" s="159">
        <f t="shared" si="122"/>
        <v>0</v>
      </c>
      <c r="F169" s="159">
        <f t="shared" si="122"/>
        <v>0</v>
      </c>
      <c r="G169" s="159">
        <f t="shared" si="122"/>
        <v>0</v>
      </c>
      <c r="H169" s="159">
        <f t="shared" si="122"/>
        <v>0</v>
      </c>
      <c r="I169" s="159">
        <f t="shared" si="122"/>
        <v>0</v>
      </c>
      <c r="J169" s="159">
        <f t="shared" si="122"/>
        <v>0</v>
      </c>
      <c r="K169" s="159">
        <f t="shared" si="122"/>
        <v>0</v>
      </c>
      <c r="L169" s="159">
        <f t="shared" si="122"/>
        <v>0</v>
      </c>
      <c r="M169" s="159">
        <f t="shared" si="122"/>
        <v>0</v>
      </c>
      <c r="N169" s="159">
        <f t="shared" si="122"/>
        <v>0</v>
      </c>
      <c r="O169" s="159">
        <f t="shared" si="122"/>
        <v>0</v>
      </c>
      <c r="P169" s="159">
        <f t="shared" si="122"/>
        <v>0</v>
      </c>
      <c r="Q169" s="159">
        <f t="shared" si="122"/>
        <v>0</v>
      </c>
      <c r="R169" s="159">
        <f t="shared" si="122"/>
        <v>0</v>
      </c>
      <c r="S169" s="159">
        <f t="shared" ref="S169:AF184" si="123">R169</f>
        <v>0</v>
      </c>
      <c r="T169" s="159">
        <f t="shared" si="123"/>
        <v>0</v>
      </c>
      <c r="U169" s="159">
        <f t="shared" si="123"/>
        <v>0</v>
      </c>
      <c r="V169" s="159">
        <f t="shared" si="123"/>
        <v>0</v>
      </c>
      <c r="W169" s="159">
        <f t="shared" si="123"/>
        <v>0</v>
      </c>
      <c r="X169" s="159">
        <f t="shared" si="123"/>
        <v>0</v>
      </c>
      <c r="Y169" s="159">
        <f t="shared" si="123"/>
        <v>0</v>
      </c>
      <c r="Z169" s="159">
        <f t="shared" si="123"/>
        <v>0</v>
      </c>
      <c r="AA169" s="159">
        <f t="shared" si="123"/>
        <v>0</v>
      </c>
      <c r="AB169" s="159">
        <f t="shared" si="123"/>
        <v>0</v>
      </c>
      <c r="AC169" s="159">
        <f t="shared" si="123"/>
        <v>0</v>
      </c>
      <c r="AD169" s="159">
        <f t="shared" si="123"/>
        <v>0</v>
      </c>
      <c r="AE169" s="159">
        <f t="shared" si="123"/>
        <v>0</v>
      </c>
      <c r="AF169" s="172">
        <f t="shared" si="12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2"/>
        <v>0</v>
      </c>
      <c r="D170" s="161">
        <f t="shared" si="122"/>
        <v>0</v>
      </c>
      <c r="E170" s="161">
        <f t="shared" si="122"/>
        <v>0</v>
      </c>
      <c r="F170" s="161">
        <f t="shared" si="122"/>
        <v>0</v>
      </c>
      <c r="G170" s="161">
        <f t="shared" si="122"/>
        <v>0</v>
      </c>
      <c r="H170" s="161">
        <f t="shared" si="122"/>
        <v>0</v>
      </c>
      <c r="I170" s="161">
        <f t="shared" si="122"/>
        <v>0</v>
      </c>
      <c r="J170" s="161">
        <f t="shared" si="122"/>
        <v>0</v>
      </c>
      <c r="K170" s="161">
        <f t="shared" si="122"/>
        <v>0</v>
      </c>
      <c r="L170" s="161">
        <f t="shared" si="122"/>
        <v>0</v>
      </c>
      <c r="M170" s="161">
        <f t="shared" si="122"/>
        <v>0</v>
      </c>
      <c r="N170" s="161">
        <f t="shared" si="122"/>
        <v>0</v>
      </c>
      <c r="O170" s="161">
        <f t="shared" si="122"/>
        <v>0</v>
      </c>
      <c r="P170" s="161">
        <f t="shared" si="122"/>
        <v>0</v>
      </c>
      <c r="Q170" s="161">
        <f t="shared" si="122"/>
        <v>0</v>
      </c>
      <c r="R170" s="161">
        <f t="shared" si="122"/>
        <v>0</v>
      </c>
      <c r="S170" s="161">
        <f t="shared" si="123"/>
        <v>0</v>
      </c>
      <c r="T170" s="161">
        <f t="shared" si="123"/>
        <v>0</v>
      </c>
      <c r="U170" s="161">
        <f t="shared" si="123"/>
        <v>0</v>
      </c>
      <c r="V170" s="161">
        <f t="shared" si="123"/>
        <v>0</v>
      </c>
      <c r="W170" s="161">
        <f t="shared" si="123"/>
        <v>0</v>
      </c>
      <c r="X170" s="161">
        <f t="shared" si="123"/>
        <v>0</v>
      </c>
      <c r="Y170" s="161">
        <f t="shared" si="123"/>
        <v>0</v>
      </c>
      <c r="Z170" s="161">
        <f t="shared" si="123"/>
        <v>0</v>
      </c>
      <c r="AA170" s="161">
        <f t="shared" si="123"/>
        <v>0</v>
      </c>
      <c r="AB170" s="161">
        <f t="shared" si="123"/>
        <v>0</v>
      </c>
      <c r="AC170" s="161">
        <f t="shared" si="123"/>
        <v>0</v>
      </c>
      <c r="AD170" s="161">
        <f t="shared" si="123"/>
        <v>0</v>
      </c>
      <c r="AE170" s="161">
        <f t="shared" si="123"/>
        <v>0</v>
      </c>
      <c r="AF170" s="174">
        <f t="shared" si="12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2"/>
        <v>0</v>
      </c>
      <c r="D171" s="161">
        <f t="shared" si="122"/>
        <v>0</v>
      </c>
      <c r="E171" s="161">
        <f t="shared" si="122"/>
        <v>0</v>
      </c>
      <c r="F171" s="161">
        <f t="shared" si="122"/>
        <v>0</v>
      </c>
      <c r="G171" s="161">
        <f t="shared" si="122"/>
        <v>0</v>
      </c>
      <c r="H171" s="161">
        <f t="shared" si="122"/>
        <v>0</v>
      </c>
      <c r="I171" s="161">
        <f t="shared" si="122"/>
        <v>0</v>
      </c>
      <c r="J171" s="161">
        <f t="shared" si="122"/>
        <v>0</v>
      </c>
      <c r="K171" s="161">
        <f t="shared" si="122"/>
        <v>0</v>
      </c>
      <c r="L171" s="161">
        <f t="shared" si="122"/>
        <v>0</v>
      </c>
      <c r="M171" s="161">
        <f t="shared" si="122"/>
        <v>0</v>
      </c>
      <c r="N171" s="161">
        <f t="shared" si="122"/>
        <v>0</v>
      </c>
      <c r="O171" s="161">
        <f t="shared" si="122"/>
        <v>0</v>
      </c>
      <c r="P171" s="161">
        <f t="shared" si="122"/>
        <v>0</v>
      </c>
      <c r="Q171" s="161">
        <f t="shared" si="122"/>
        <v>0</v>
      </c>
      <c r="R171" s="161">
        <f t="shared" si="122"/>
        <v>0</v>
      </c>
      <c r="S171" s="161">
        <f t="shared" si="123"/>
        <v>0</v>
      </c>
      <c r="T171" s="161">
        <f t="shared" si="123"/>
        <v>0</v>
      </c>
      <c r="U171" s="161">
        <f t="shared" si="123"/>
        <v>0</v>
      </c>
      <c r="V171" s="161">
        <f t="shared" si="123"/>
        <v>0</v>
      </c>
      <c r="W171" s="161">
        <f t="shared" si="123"/>
        <v>0</v>
      </c>
      <c r="X171" s="161">
        <f t="shared" si="123"/>
        <v>0</v>
      </c>
      <c r="Y171" s="161">
        <f t="shared" si="123"/>
        <v>0</v>
      </c>
      <c r="Z171" s="161">
        <f t="shared" si="123"/>
        <v>0</v>
      </c>
      <c r="AA171" s="161">
        <f t="shared" si="123"/>
        <v>0</v>
      </c>
      <c r="AB171" s="161">
        <f t="shared" si="123"/>
        <v>0</v>
      </c>
      <c r="AC171" s="161">
        <f t="shared" si="123"/>
        <v>0</v>
      </c>
      <c r="AD171" s="161">
        <f t="shared" si="123"/>
        <v>0</v>
      </c>
      <c r="AE171" s="161">
        <f t="shared" si="123"/>
        <v>0</v>
      </c>
      <c r="AF171" s="174">
        <f t="shared" si="12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2"/>
        <v>0</v>
      </c>
      <c r="D172" s="161">
        <f t="shared" si="122"/>
        <v>0</v>
      </c>
      <c r="E172" s="161">
        <f t="shared" si="122"/>
        <v>0</v>
      </c>
      <c r="F172" s="161">
        <f t="shared" si="122"/>
        <v>0</v>
      </c>
      <c r="G172" s="161">
        <f t="shared" si="122"/>
        <v>0</v>
      </c>
      <c r="H172" s="161">
        <f t="shared" si="122"/>
        <v>0</v>
      </c>
      <c r="I172" s="161">
        <f t="shared" si="122"/>
        <v>0</v>
      </c>
      <c r="J172" s="161">
        <f t="shared" si="122"/>
        <v>0</v>
      </c>
      <c r="K172" s="161">
        <f t="shared" si="122"/>
        <v>0</v>
      </c>
      <c r="L172" s="161">
        <f t="shared" si="122"/>
        <v>0</v>
      </c>
      <c r="M172" s="161">
        <f t="shared" si="122"/>
        <v>0</v>
      </c>
      <c r="N172" s="161">
        <f t="shared" si="122"/>
        <v>0</v>
      </c>
      <c r="O172" s="161">
        <f t="shared" si="122"/>
        <v>0</v>
      </c>
      <c r="P172" s="161">
        <f t="shared" si="122"/>
        <v>0</v>
      </c>
      <c r="Q172" s="161">
        <f t="shared" si="122"/>
        <v>0</v>
      </c>
      <c r="R172" s="161">
        <f t="shared" si="122"/>
        <v>0</v>
      </c>
      <c r="S172" s="161">
        <f t="shared" si="123"/>
        <v>0</v>
      </c>
      <c r="T172" s="161">
        <f t="shared" si="123"/>
        <v>0</v>
      </c>
      <c r="U172" s="161">
        <f t="shared" si="123"/>
        <v>0</v>
      </c>
      <c r="V172" s="161">
        <f t="shared" si="123"/>
        <v>0</v>
      </c>
      <c r="W172" s="161">
        <f t="shared" si="123"/>
        <v>0</v>
      </c>
      <c r="X172" s="161">
        <f t="shared" si="123"/>
        <v>0</v>
      </c>
      <c r="Y172" s="161">
        <f t="shared" si="123"/>
        <v>0</v>
      </c>
      <c r="Z172" s="161">
        <f t="shared" si="123"/>
        <v>0</v>
      </c>
      <c r="AA172" s="161">
        <f t="shared" si="123"/>
        <v>0</v>
      </c>
      <c r="AB172" s="161">
        <f t="shared" si="123"/>
        <v>0</v>
      </c>
      <c r="AC172" s="161">
        <f t="shared" si="123"/>
        <v>0</v>
      </c>
      <c r="AD172" s="161">
        <f t="shared" si="123"/>
        <v>0</v>
      </c>
      <c r="AE172" s="161">
        <f t="shared" si="123"/>
        <v>0</v>
      </c>
      <c r="AF172" s="174">
        <f t="shared" si="12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2"/>
        <v>0</v>
      </c>
      <c r="D173" s="161">
        <f t="shared" si="122"/>
        <v>0</v>
      </c>
      <c r="E173" s="161">
        <f t="shared" si="122"/>
        <v>0</v>
      </c>
      <c r="F173" s="161">
        <f t="shared" si="122"/>
        <v>0</v>
      </c>
      <c r="G173" s="161">
        <f t="shared" si="122"/>
        <v>0</v>
      </c>
      <c r="H173" s="161">
        <f t="shared" si="122"/>
        <v>0</v>
      </c>
      <c r="I173" s="161">
        <f t="shared" si="122"/>
        <v>0</v>
      </c>
      <c r="J173" s="161">
        <f t="shared" si="122"/>
        <v>0</v>
      </c>
      <c r="K173" s="161">
        <f t="shared" si="122"/>
        <v>0</v>
      </c>
      <c r="L173" s="161">
        <f t="shared" si="122"/>
        <v>0</v>
      </c>
      <c r="M173" s="161">
        <f t="shared" si="122"/>
        <v>0</v>
      </c>
      <c r="N173" s="161">
        <f t="shared" si="122"/>
        <v>0</v>
      </c>
      <c r="O173" s="161">
        <f t="shared" si="122"/>
        <v>0</v>
      </c>
      <c r="P173" s="161">
        <f t="shared" si="122"/>
        <v>0</v>
      </c>
      <c r="Q173" s="161">
        <f t="shared" si="122"/>
        <v>0</v>
      </c>
      <c r="R173" s="161">
        <f t="shared" si="122"/>
        <v>0</v>
      </c>
      <c r="S173" s="161">
        <f t="shared" si="123"/>
        <v>0</v>
      </c>
      <c r="T173" s="161">
        <f t="shared" si="123"/>
        <v>0</v>
      </c>
      <c r="U173" s="161">
        <f t="shared" si="123"/>
        <v>0</v>
      </c>
      <c r="V173" s="161">
        <f t="shared" si="123"/>
        <v>0</v>
      </c>
      <c r="W173" s="161">
        <f t="shared" si="123"/>
        <v>0</v>
      </c>
      <c r="X173" s="161">
        <f t="shared" si="123"/>
        <v>0</v>
      </c>
      <c r="Y173" s="161">
        <f t="shared" si="123"/>
        <v>0</v>
      </c>
      <c r="Z173" s="161">
        <f t="shared" si="123"/>
        <v>0</v>
      </c>
      <c r="AA173" s="161">
        <f t="shared" si="123"/>
        <v>0</v>
      </c>
      <c r="AB173" s="161">
        <f t="shared" si="123"/>
        <v>0</v>
      </c>
      <c r="AC173" s="161">
        <f t="shared" si="123"/>
        <v>0</v>
      </c>
      <c r="AD173" s="161">
        <f t="shared" si="123"/>
        <v>0</v>
      </c>
      <c r="AE173" s="161">
        <f t="shared" si="123"/>
        <v>0</v>
      </c>
      <c r="AF173" s="174">
        <f t="shared" si="12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2"/>
        <v>0</v>
      </c>
      <c r="D174" s="161">
        <f t="shared" si="122"/>
        <v>0</v>
      </c>
      <c r="E174" s="161">
        <f t="shared" si="122"/>
        <v>0</v>
      </c>
      <c r="F174" s="161">
        <f t="shared" si="122"/>
        <v>0</v>
      </c>
      <c r="G174" s="161">
        <f t="shared" si="122"/>
        <v>0</v>
      </c>
      <c r="H174" s="161">
        <f t="shared" si="122"/>
        <v>0</v>
      </c>
      <c r="I174" s="161">
        <f t="shared" si="122"/>
        <v>0</v>
      </c>
      <c r="J174" s="161">
        <f t="shared" si="122"/>
        <v>0</v>
      </c>
      <c r="K174" s="161">
        <f t="shared" si="122"/>
        <v>0</v>
      </c>
      <c r="L174" s="161">
        <f t="shared" si="122"/>
        <v>0</v>
      </c>
      <c r="M174" s="161">
        <f t="shared" si="122"/>
        <v>0</v>
      </c>
      <c r="N174" s="161">
        <f t="shared" si="122"/>
        <v>0</v>
      </c>
      <c r="O174" s="161">
        <f t="shared" si="122"/>
        <v>0</v>
      </c>
      <c r="P174" s="161">
        <f t="shared" si="122"/>
        <v>0</v>
      </c>
      <c r="Q174" s="161">
        <f t="shared" si="122"/>
        <v>0</v>
      </c>
      <c r="R174" s="161">
        <f t="shared" si="122"/>
        <v>0</v>
      </c>
      <c r="S174" s="161">
        <f t="shared" si="123"/>
        <v>0</v>
      </c>
      <c r="T174" s="161">
        <f t="shared" si="123"/>
        <v>0</v>
      </c>
      <c r="U174" s="161">
        <f t="shared" si="123"/>
        <v>0</v>
      </c>
      <c r="V174" s="161">
        <f t="shared" si="123"/>
        <v>0</v>
      </c>
      <c r="W174" s="161">
        <f t="shared" si="123"/>
        <v>0</v>
      </c>
      <c r="X174" s="161">
        <f t="shared" si="123"/>
        <v>0</v>
      </c>
      <c r="Y174" s="161">
        <f t="shared" si="123"/>
        <v>0</v>
      </c>
      <c r="Z174" s="161">
        <f t="shared" si="123"/>
        <v>0</v>
      </c>
      <c r="AA174" s="161">
        <f t="shared" si="123"/>
        <v>0</v>
      </c>
      <c r="AB174" s="161">
        <f t="shared" si="123"/>
        <v>0</v>
      </c>
      <c r="AC174" s="161">
        <f t="shared" si="123"/>
        <v>0</v>
      </c>
      <c r="AD174" s="161">
        <f t="shared" si="123"/>
        <v>0</v>
      </c>
      <c r="AE174" s="161">
        <f t="shared" si="123"/>
        <v>0</v>
      </c>
      <c r="AF174" s="174">
        <f t="shared" si="12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2"/>
        <v>0</v>
      </c>
      <c r="D175" s="161">
        <f t="shared" si="122"/>
        <v>0</v>
      </c>
      <c r="E175" s="161">
        <f t="shared" si="122"/>
        <v>0</v>
      </c>
      <c r="F175" s="161">
        <f t="shared" si="122"/>
        <v>0</v>
      </c>
      <c r="G175" s="161">
        <f t="shared" si="122"/>
        <v>0</v>
      </c>
      <c r="H175" s="161">
        <f t="shared" si="122"/>
        <v>0</v>
      </c>
      <c r="I175" s="161">
        <f t="shared" si="122"/>
        <v>0</v>
      </c>
      <c r="J175" s="161">
        <f t="shared" si="122"/>
        <v>0</v>
      </c>
      <c r="K175" s="161">
        <f t="shared" si="122"/>
        <v>0</v>
      </c>
      <c r="L175" s="161">
        <f t="shared" si="122"/>
        <v>0</v>
      </c>
      <c r="M175" s="161">
        <f t="shared" si="122"/>
        <v>0</v>
      </c>
      <c r="N175" s="161">
        <f t="shared" si="122"/>
        <v>0</v>
      </c>
      <c r="O175" s="161">
        <f t="shared" si="122"/>
        <v>0</v>
      </c>
      <c r="P175" s="161">
        <f t="shared" si="122"/>
        <v>0</v>
      </c>
      <c r="Q175" s="161">
        <f t="shared" si="122"/>
        <v>0</v>
      </c>
      <c r="R175" s="161">
        <f t="shared" si="122"/>
        <v>0</v>
      </c>
      <c r="S175" s="161">
        <f t="shared" si="123"/>
        <v>0</v>
      </c>
      <c r="T175" s="161">
        <f t="shared" si="123"/>
        <v>0</v>
      </c>
      <c r="U175" s="161">
        <f t="shared" si="123"/>
        <v>0</v>
      </c>
      <c r="V175" s="161">
        <f t="shared" si="123"/>
        <v>0</v>
      </c>
      <c r="W175" s="161">
        <f t="shared" si="123"/>
        <v>0</v>
      </c>
      <c r="X175" s="161">
        <f t="shared" si="123"/>
        <v>0</v>
      </c>
      <c r="Y175" s="161">
        <f t="shared" si="123"/>
        <v>0</v>
      </c>
      <c r="Z175" s="161">
        <f t="shared" si="123"/>
        <v>0</v>
      </c>
      <c r="AA175" s="161">
        <f t="shared" si="123"/>
        <v>0</v>
      </c>
      <c r="AB175" s="161">
        <f t="shared" si="123"/>
        <v>0</v>
      </c>
      <c r="AC175" s="161">
        <f t="shared" si="123"/>
        <v>0</v>
      </c>
      <c r="AD175" s="161">
        <f t="shared" si="123"/>
        <v>0</v>
      </c>
      <c r="AE175" s="161">
        <f t="shared" si="123"/>
        <v>0</v>
      </c>
      <c r="AF175" s="174">
        <f t="shared" si="12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2"/>
        <v>0</v>
      </c>
      <c r="D176" s="161">
        <f t="shared" si="122"/>
        <v>0</v>
      </c>
      <c r="E176" s="161">
        <f t="shared" si="122"/>
        <v>0</v>
      </c>
      <c r="F176" s="161">
        <f t="shared" si="122"/>
        <v>0</v>
      </c>
      <c r="G176" s="161">
        <f t="shared" si="122"/>
        <v>0</v>
      </c>
      <c r="H176" s="161">
        <f t="shared" si="122"/>
        <v>0</v>
      </c>
      <c r="I176" s="161">
        <f t="shared" si="122"/>
        <v>0</v>
      </c>
      <c r="J176" s="161">
        <f t="shared" si="122"/>
        <v>0</v>
      </c>
      <c r="K176" s="161">
        <f t="shared" si="122"/>
        <v>0</v>
      </c>
      <c r="L176" s="161">
        <f t="shared" si="122"/>
        <v>0</v>
      </c>
      <c r="M176" s="161">
        <f t="shared" si="122"/>
        <v>0</v>
      </c>
      <c r="N176" s="161">
        <f t="shared" si="122"/>
        <v>0</v>
      </c>
      <c r="O176" s="161">
        <f t="shared" si="122"/>
        <v>0</v>
      </c>
      <c r="P176" s="161">
        <f t="shared" si="122"/>
        <v>0</v>
      </c>
      <c r="Q176" s="161">
        <f t="shared" si="122"/>
        <v>0</v>
      </c>
      <c r="R176" s="161">
        <f t="shared" si="122"/>
        <v>0</v>
      </c>
      <c r="S176" s="161">
        <f t="shared" si="123"/>
        <v>0</v>
      </c>
      <c r="T176" s="161">
        <f t="shared" si="123"/>
        <v>0</v>
      </c>
      <c r="U176" s="161">
        <f t="shared" si="123"/>
        <v>0</v>
      </c>
      <c r="V176" s="161">
        <f t="shared" si="123"/>
        <v>0</v>
      </c>
      <c r="W176" s="161">
        <f t="shared" si="123"/>
        <v>0</v>
      </c>
      <c r="X176" s="161">
        <f t="shared" si="123"/>
        <v>0</v>
      </c>
      <c r="Y176" s="161">
        <f t="shared" si="123"/>
        <v>0</v>
      </c>
      <c r="Z176" s="161">
        <f t="shared" si="123"/>
        <v>0</v>
      </c>
      <c r="AA176" s="161">
        <f t="shared" si="123"/>
        <v>0</v>
      </c>
      <c r="AB176" s="161">
        <f t="shared" si="123"/>
        <v>0</v>
      </c>
      <c r="AC176" s="161">
        <f t="shared" si="123"/>
        <v>0</v>
      </c>
      <c r="AD176" s="161">
        <f t="shared" si="123"/>
        <v>0</v>
      </c>
      <c r="AE176" s="161">
        <f t="shared" si="123"/>
        <v>0</v>
      </c>
      <c r="AF176" s="174">
        <f t="shared" si="12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2"/>
        <v>0</v>
      </c>
      <c r="D177" s="161">
        <f t="shared" si="122"/>
        <v>0</v>
      </c>
      <c r="E177" s="161">
        <f t="shared" si="122"/>
        <v>0</v>
      </c>
      <c r="F177" s="161">
        <f t="shared" si="122"/>
        <v>0</v>
      </c>
      <c r="G177" s="161">
        <f t="shared" si="122"/>
        <v>0</v>
      </c>
      <c r="H177" s="161">
        <f t="shared" si="122"/>
        <v>0</v>
      </c>
      <c r="I177" s="161">
        <f t="shared" si="122"/>
        <v>0</v>
      </c>
      <c r="J177" s="161">
        <f t="shared" si="122"/>
        <v>0</v>
      </c>
      <c r="K177" s="161">
        <f t="shared" si="122"/>
        <v>0</v>
      </c>
      <c r="L177" s="161">
        <f t="shared" si="122"/>
        <v>0</v>
      </c>
      <c r="M177" s="161">
        <f t="shared" si="122"/>
        <v>0</v>
      </c>
      <c r="N177" s="161">
        <f t="shared" si="122"/>
        <v>0</v>
      </c>
      <c r="O177" s="161">
        <f t="shared" si="122"/>
        <v>0</v>
      </c>
      <c r="P177" s="161">
        <f t="shared" si="122"/>
        <v>0</v>
      </c>
      <c r="Q177" s="161">
        <f t="shared" si="122"/>
        <v>0</v>
      </c>
      <c r="R177" s="161">
        <f t="shared" si="122"/>
        <v>0</v>
      </c>
      <c r="S177" s="161">
        <f t="shared" si="123"/>
        <v>0</v>
      </c>
      <c r="T177" s="161">
        <f t="shared" si="123"/>
        <v>0</v>
      </c>
      <c r="U177" s="161">
        <f t="shared" si="123"/>
        <v>0</v>
      </c>
      <c r="V177" s="161">
        <f t="shared" si="123"/>
        <v>0</v>
      </c>
      <c r="W177" s="161">
        <f t="shared" si="123"/>
        <v>0</v>
      </c>
      <c r="X177" s="161">
        <f t="shared" si="123"/>
        <v>0</v>
      </c>
      <c r="Y177" s="161">
        <f t="shared" si="123"/>
        <v>0</v>
      </c>
      <c r="Z177" s="161">
        <f t="shared" si="123"/>
        <v>0</v>
      </c>
      <c r="AA177" s="161">
        <f t="shared" si="123"/>
        <v>0</v>
      </c>
      <c r="AB177" s="161">
        <f t="shared" si="123"/>
        <v>0</v>
      </c>
      <c r="AC177" s="161">
        <f t="shared" si="123"/>
        <v>0</v>
      </c>
      <c r="AD177" s="161">
        <f t="shared" si="123"/>
        <v>0</v>
      </c>
      <c r="AE177" s="161">
        <f t="shared" si="123"/>
        <v>0</v>
      </c>
      <c r="AF177" s="174">
        <f t="shared" si="12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2"/>
        <v>0</v>
      </c>
      <c r="D178" s="161">
        <f t="shared" si="122"/>
        <v>0</v>
      </c>
      <c r="E178" s="161">
        <f t="shared" si="122"/>
        <v>0</v>
      </c>
      <c r="F178" s="161">
        <f t="shared" si="122"/>
        <v>0</v>
      </c>
      <c r="G178" s="161">
        <f t="shared" si="122"/>
        <v>0</v>
      </c>
      <c r="H178" s="161">
        <f t="shared" si="122"/>
        <v>0</v>
      </c>
      <c r="I178" s="161">
        <f t="shared" si="122"/>
        <v>0</v>
      </c>
      <c r="J178" s="161">
        <f t="shared" si="122"/>
        <v>0</v>
      </c>
      <c r="K178" s="161">
        <f t="shared" si="122"/>
        <v>0</v>
      </c>
      <c r="L178" s="161">
        <f t="shared" si="122"/>
        <v>0</v>
      </c>
      <c r="M178" s="161">
        <f t="shared" si="122"/>
        <v>0</v>
      </c>
      <c r="N178" s="161">
        <f t="shared" si="122"/>
        <v>0</v>
      </c>
      <c r="O178" s="161">
        <f t="shared" si="122"/>
        <v>0</v>
      </c>
      <c r="P178" s="161">
        <f t="shared" si="122"/>
        <v>0</v>
      </c>
      <c r="Q178" s="161">
        <f t="shared" si="122"/>
        <v>0</v>
      </c>
      <c r="R178" s="161">
        <f t="shared" si="122"/>
        <v>0</v>
      </c>
      <c r="S178" s="161">
        <f t="shared" si="123"/>
        <v>0</v>
      </c>
      <c r="T178" s="161">
        <f t="shared" si="123"/>
        <v>0</v>
      </c>
      <c r="U178" s="161">
        <f t="shared" si="123"/>
        <v>0</v>
      </c>
      <c r="V178" s="161">
        <f t="shared" si="123"/>
        <v>0</v>
      </c>
      <c r="W178" s="161">
        <f t="shared" si="123"/>
        <v>0</v>
      </c>
      <c r="X178" s="161">
        <f t="shared" si="123"/>
        <v>0</v>
      </c>
      <c r="Y178" s="161">
        <f t="shared" si="123"/>
        <v>0</v>
      </c>
      <c r="Z178" s="161">
        <f t="shared" si="123"/>
        <v>0</v>
      </c>
      <c r="AA178" s="161">
        <f t="shared" si="123"/>
        <v>0</v>
      </c>
      <c r="AB178" s="161">
        <f t="shared" si="123"/>
        <v>0</v>
      </c>
      <c r="AC178" s="161">
        <f t="shared" si="123"/>
        <v>0</v>
      </c>
      <c r="AD178" s="161">
        <f t="shared" si="123"/>
        <v>0</v>
      </c>
      <c r="AE178" s="161">
        <f t="shared" si="123"/>
        <v>0</v>
      </c>
      <c r="AF178" s="174">
        <f t="shared" si="12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2"/>
        <v>0</v>
      </c>
      <c r="D179" s="161">
        <f t="shared" si="122"/>
        <v>0</v>
      </c>
      <c r="E179" s="161">
        <f t="shared" si="122"/>
        <v>0</v>
      </c>
      <c r="F179" s="161">
        <f t="shared" si="122"/>
        <v>0</v>
      </c>
      <c r="G179" s="161">
        <f t="shared" si="122"/>
        <v>0</v>
      </c>
      <c r="H179" s="161">
        <f t="shared" si="122"/>
        <v>0</v>
      </c>
      <c r="I179" s="161">
        <f t="shared" si="122"/>
        <v>0</v>
      </c>
      <c r="J179" s="161">
        <f t="shared" si="122"/>
        <v>0</v>
      </c>
      <c r="K179" s="161">
        <f t="shared" si="122"/>
        <v>0</v>
      </c>
      <c r="L179" s="161">
        <f t="shared" si="122"/>
        <v>0</v>
      </c>
      <c r="M179" s="161">
        <f t="shared" si="122"/>
        <v>0</v>
      </c>
      <c r="N179" s="161">
        <f t="shared" si="122"/>
        <v>0</v>
      </c>
      <c r="O179" s="161">
        <f t="shared" si="122"/>
        <v>0</v>
      </c>
      <c r="P179" s="161">
        <f t="shared" si="122"/>
        <v>0</v>
      </c>
      <c r="Q179" s="161">
        <f t="shared" si="122"/>
        <v>0</v>
      </c>
      <c r="R179" s="161">
        <f t="shared" si="122"/>
        <v>0</v>
      </c>
      <c r="S179" s="161">
        <f t="shared" si="123"/>
        <v>0</v>
      </c>
      <c r="T179" s="161">
        <f t="shared" si="123"/>
        <v>0</v>
      </c>
      <c r="U179" s="161">
        <f t="shared" si="123"/>
        <v>0</v>
      </c>
      <c r="V179" s="161">
        <f t="shared" si="123"/>
        <v>0</v>
      </c>
      <c r="W179" s="161">
        <f t="shared" si="123"/>
        <v>0</v>
      </c>
      <c r="X179" s="161">
        <f t="shared" si="123"/>
        <v>0</v>
      </c>
      <c r="Y179" s="161">
        <f t="shared" si="123"/>
        <v>0</v>
      </c>
      <c r="Z179" s="161">
        <f t="shared" si="123"/>
        <v>0</v>
      </c>
      <c r="AA179" s="161">
        <f t="shared" si="123"/>
        <v>0</v>
      </c>
      <c r="AB179" s="161">
        <f t="shared" si="123"/>
        <v>0</v>
      </c>
      <c r="AC179" s="161">
        <f t="shared" si="123"/>
        <v>0</v>
      </c>
      <c r="AD179" s="161">
        <f t="shared" si="123"/>
        <v>0</v>
      </c>
      <c r="AE179" s="161">
        <f t="shared" si="123"/>
        <v>0</v>
      </c>
      <c r="AF179" s="174">
        <f t="shared" si="12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2"/>
        <v>0</v>
      </c>
      <c r="D180" s="161">
        <f t="shared" si="122"/>
        <v>0</v>
      </c>
      <c r="E180" s="161">
        <f t="shared" si="122"/>
        <v>0</v>
      </c>
      <c r="F180" s="161">
        <f t="shared" si="122"/>
        <v>0</v>
      </c>
      <c r="G180" s="161">
        <f t="shared" si="122"/>
        <v>0</v>
      </c>
      <c r="H180" s="161">
        <f t="shared" si="122"/>
        <v>0</v>
      </c>
      <c r="I180" s="161">
        <f t="shared" si="122"/>
        <v>0</v>
      </c>
      <c r="J180" s="161">
        <f t="shared" si="122"/>
        <v>0</v>
      </c>
      <c r="K180" s="161">
        <f t="shared" si="122"/>
        <v>0</v>
      </c>
      <c r="L180" s="161">
        <f t="shared" si="122"/>
        <v>0</v>
      </c>
      <c r="M180" s="161">
        <f t="shared" si="122"/>
        <v>0</v>
      </c>
      <c r="N180" s="161">
        <f t="shared" si="122"/>
        <v>0</v>
      </c>
      <c r="O180" s="161">
        <f t="shared" si="122"/>
        <v>0</v>
      </c>
      <c r="P180" s="161">
        <f t="shared" si="122"/>
        <v>0</v>
      </c>
      <c r="Q180" s="161">
        <f t="shared" si="122"/>
        <v>0</v>
      </c>
      <c r="R180" s="161">
        <f t="shared" si="122"/>
        <v>0</v>
      </c>
      <c r="S180" s="161">
        <f t="shared" si="123"/>
        <v>0</v>
      </c>
      <c r="T180" s="161">
        <f t="shared" si="123"/>
        <v>0</v>
      </c>
      <c r="U180" s="161">
        <f t="shared" si="123"/>
        <v>0</v>
      </c>
      <c r="V180" s="161">
        <f t="shared" si="123"/>
        <v>0</v>
      </c>
      <c r="W180" s="161">
        <f t="shared" si="123"/>
        <v>0</v>
      </c>
      <c r="X180" s="161">
        <f t="shared" si="123"/>
        <v>0</v>
      </c>
      <c r="Y180" s="161">
        <f t="shared" si="123"/>
        <v>0</v>
      </c>
      <c r="Z180" s="161">
        <f t="shared" si="123"/>
        <v>0</v>
      </c>
      <c r="AA180" s="161">
        <f t="shared" si="123"/>
        <v>0</v>
      </c>
      <c r="AB180" s="161">
        <f t="shared" si="123"/>
        <v>0</v>
      </c>
      <c r="AC180" s="161">
        <f t="shared" si="123"/>
        <v>0</v>
      </c>
      <c r="AD180" s="161">
        <f t="shared" si="123"/>
        <v>0</v>
      </c>
      <c r="AE180" s="161">
        <f t="shared" si="123"/>
        <v>0</v>
      </c>
      <c r="AF180" s="174">
        <f t="shared" si="12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2"/>
        <v>0</v>
      </c>
      <c r="D181" s="161">
        <f t="shared" si="122"/>
        <v>0</v>
      </c>
      <c r="E181" s="161">
        <f t="shared" si="122"/>
        <v>0</v>
      </c>
      <c r="F181" s="161">
        <f t="shared" si="122"/>
        <v>0</v>
      </c>
      <c r="G181" s="161">
        <f t="shared" si="122"/>
        <v>0</v>
      </c>
      <c r="H181" s="161">
        <f t="shared" si="122"/>
        <v>0</v>
      </c>
      <c r="I181" s="161">
        <f t="shared" si="122"/>
        <v>0</v>
      </c>
      <c r="J181" s="161">
        <f t="shared" si="122"/>
        <v>0</v>
      </c>
      <c r="K181" s="161">
        <f t="shared" si="122"/>
        <v>0</v>
      </c>
      <c r="L181" s="161">
        <f t="shared" si="122"/>
        <v>0</v>
      </c>
      <c r="M181" s="161">
        <f t="shared" si="122"/>
        <v>0</v>
      </c>
      <c r="N181" s="161">
        <f t="shared" si="122"/>
        <v>0</v>
      </c>
      <c r="O181" s="161">
        <f t="shared" si="122"/>
        <v>0</v>
      </c>
      <c r="P181" s="161">
        <f t="shared" si="122"/>
        <v>0</v>
      </c>
      <c r="Q181" s="161">
        <f t="shared" si="122"/>
        <v>0</v>
      </c>
      <c r="R181" s="161">
        <f t="shared" si="122"/>
        <v>0</v>
      </c>
      <c r="S181" s="161">
        <f t="shared" si="123"/>
        <v>0</v>
      </c>
      <c r="T181" s="161">
        <f t="shared" si="123"/>
        <v>0</v>
      </c>
      <c r="U181" s="161">
        <f t="shared" si="123"/>
        <v>0</v>
      </c>
      <c r="V181" s="161">
        <f t="shared" si="123"/>
        <v>0</v>
      </c>
      <c r="W181" s="161">
        <f t="shared" si="123"/>
        <v>0</v>
      </c>
      <c r="X181" s="161">
        <f t="shared" si="123"/>
        <v>0</v>
      </c>
      <c r="Y181" s="161">
        <f t="shared" si="123"/>
        <v>0</v>
      </c>
      <c r="Z181" s="161">
        <f t="shared" si="123"/>
        <v>0</v>
      </c>
      <c r="AA181" s="161">
        <f t="shared" si="123"/>
        <v>0</v>
      </c>
      <c r="AB181" s="161">
        <f t="shared" si="123"/>
        <v>0</v>
      </c>
      <c r="AC181" s="161">
        <f t="shared" si="123"/>
        <v>0</v>
      </c>
      <c r="AD181" s="161">
        <f t="shared" si="123"/>
        <v>0</v>
      </c>
      <c r="AE181" s="161">
        <f t="shared" si="123"/>
        <v>0</v>
      </c>
      <c r="AF181" s="174">
        <f t="shared" si="12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2"/>
        <v>0</v>
      </c>
      <c r="D182" s="161">
        <f t="shared" si="122"/>
        <v>0</v>
      </c>
      <c r="E182" s="161">
        <f t="shared" si="122"/>
        <v>0</v>
      </c>
      <c r="F182" s="161">
        <f t="shared" si="122"/>
        <v>0</v>
      </c>
      <c r="G182" s="161">
        <f t="shared" si="122"/>
        <v>0</v>
      </c>
      <c r="H182" s="161">
        <f t="shared" si="122"/>
        <v>0</v>
      </c>
      <c r="I182" s="161">
        <f t="shared" si="122"/>
        <v>0</v>
      </c>
      <c r="J182" s="161">
        <f t="shared" si="122"/>
        <v>0</v>
      </c>
      <c r="K182" s="161">
        <f t="shared" si="122"/>
        <v>0</v>
      </c>
      <c r="L182" s="161">
        <f t="shared" si="122"/>
        <v>0</v>
      </c>
      <c r="M182" s="161">
        <f t="shared" si="122"/>
        <v>0</v>
      </c>
      <c r="N182" s="161">
        <f t="shared" si="122"/>
        <v>0</v>
      </c>
      <c r="O182" s="161">
        <f t="shared" si="122"/>
        <v>0</v>
      </c>
      <c r="P182" s="161">
        <f t="shared" si="122"/>
        <v>0</v>
      </c>
      <c r="Q182" s="161">
        <f t="shared" si="122"/>
        <v>0</v>
      </c>
      <c r="R182" s="161">
        <f t="shared" si="122"/>
        <v>0</v>
      </c>
      <c r="S182" s="161">
        <f t="shared" si="123"/>
        <v>0</v>
      </c>
      <c r="T182" s="161">
        <f t="shared" si="123"/>
        <v>0</v>
      </c>
      <c r="U182" s="161">
        <f t="shared" si="123"/>
        <v>0</v>
      </c>
      <c r="V182" s="161">
        <f t="shared" si="123"/>
        <v>0</v>
      </c>
      <c r="W182" s="161">
        <f t="shared" si="123"/>
        <v>0</v>
      </c>
      <c r="X182" s="161">
        <f t="shared" si="123"/>
        <v>0</v>
      </c>
      <c r="Y182" s="161">
        <f t="shared" si="123"/>
        <v>0</v>
      </c>
      <c r="Z182" s="161">
        <f t="shared" si="123"/>
        <v>0</v>
      </c>
      <c r="AA182" s="161">
        <f t="shared" si="123"/>
        <v>0</v>
      </c>
      <c r="AB182" s="161">
        <f t="shared" si="123"/>
        <v>0</v>
      </c>
      <c r="AC182" s="161">
        <f t="shared" si="123"/>
        <v>0</v>
      </c>
      <c r="AD182" s="161">
        <f t="shared" si="123"/>
        <v>0</v>
      </c>
      <c r="AE182" s="161">
        <f t="shared" si="123"/>
        <v>0</v>
      </c>
      <c r="AF182" s="174">
        <f t="shared" si="12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2"/>
        <v>0</v>
      </c>
      <c r="D183" s="161">
        <f t="shared" si="122"/>
        <v>0</v>
      </c>
      <c r="E183" s="161">
        <f t="shared" si="122"/>
        <v>0</v>
      </c>
      <c r="F183" s="161">
        <f t="shared" si="122"/>
        <v>0</v>
      </c>
      <c r="G183" s="161">
        <f t="shared" si="122"/>
        <v>0</v>
      </c>
      <c r="H183" s="161">
        <f t="shared" si="122"/>
        <v>0</v>
      </c>
      <c r="I183" s="161">
        <f t="shared" si="122"/>
        <v>0</v>
      </c>
      <c r="J183" s="161">
        <f t="shared" si="122"/>
        <v>0</v>
      </c>
      <c r="K183" s="161">
        <f t="shared" si="122"/>
        <v>0</v>
      </c>
      <c r="L183" s="161">
        <f t="shared" si="122"/>
        <v>0</v>
      </c>
      <c r="M183" s="161">
        <f t="shared" si="122"/>
        <v>0</v>
      </c>
      <c r="N183" s="161">
        <f t="shared" si="122"/>
        <v>0</v>
      </c>
      <c r="O183" s="161">
        <f t="shared" si="122"/>
        <v>0</v>
      </c>
      <c r="P183" s="161">
        <f t="shared" si="122"/>
        <v>0</v>
      </c>
      <c r="Q183" s="161">
        <f t="shared" si="122"/>
        <v>0</v>
      </c>
      <c r="R183" s="161">
        <f t="shared" si="122"/>
        <v>0</v>
      </c>
      <c r="S183" s="161">
        <f t="shared" si="123"/>
        <v>0</v>
      </c>
      <c r="T183" s="161">
        <f t="shared" si="123"/>
        <v>0</v>
      </c>
      <c r="U183" s="161">
        <f t="shared" si="123"/>
        <v>0</v>
      </c>
      <c r="V183" s="161">
        <f t="shared" si="123"/>
        <v>0</v>
      </c>
      <c r="W183" s="161">
        <f t="shared" si="123"/>
        <v>0</v>
      </c>
      <c r="X183" s="161">
        <f t="shared" si="123"/>
        <v>0</v>
      </c>
      <c r="Y183" s="161">
        <f t="shared" si="123"/>
        <v>0</v>
      </c>
      <c r="Z183" s="161">
        <f t="shared" si="123"/>
        <v>0</v>
      </c>
      <c r="AA183" s="161">
        <f t="shared" si="123"/>
        <v>0</v>
      </c>
      <c r="AB183" s="161">
        <f t="shared" si="123"/>
        <v>0</v>
      </c>
      <c r="AC183" s="161">
        <f t="shared" si="123"/>
        <v>0</v>
      </c>
      <c r="AD183" s="161">
        <f t="shared" si="123"/>
        <v>0</v>
      </c>
      <c r="AE183" s="161">
        <f t="shared" si="123"/>
        <v>0</v>
      </c>
      <c r="AF183" s="174">
        <f t="shared" si="12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2"/>
        <v>0</v>
      </c>
      <c r="D184" s="161">
        <f t="shared" si="122"/>
        <v>0</v>
      </c>
      <c r="E184" s="161">
        <f t="shared" si="122"/>
        <v>0</v>
      </c>
      <c r="F184" s="161">
        <f t="shared" si="122"/>
        <v>0</v>
      </c>
      <c r="G184" s="161">
        <f t="shared" si="122"/>
        <v>0</v>
      </c>
      <c r="H184" s="161">
        <f t="shared" si="122"/>
        <v>0</v>
      </c>
      <c r="I184" s="161">
        <f t="shared" si="122"/>
        <v>0</v>
      </c>
      <c r="J184" s="161">
        <f t="shared" si="122"/>
        <v>0</v>
      </c>
      <c r="K184" s="161">
        <f t="shared" si="122"/>
        <v>0</v>
      </c>
      <c r="L184" s="161">
        <f t="shared" si="122"/>
        <v>0</v>
      </c>
      <c r="M184" s="161">
        <f t="shared" si="122"/>
        <v>0</v>
      </c>
      <c r="N184" s="161">
        <f t="shared" si="122"/>
        <v>0</v>
      </c>
      <c r="O184" s="161">
        <f t="shared" si="122"/>
        <v>0</v>
      </c>
      <c r="P184" s="161">
        <f t="shared" si="122"/>
        <v>0</v>
      </c>
      <c r="Q184" s="161">
        <f t="shared" si="122"/>
        <v>0</v>
      </c>
      <c r="R184" s="161">
        <f t="shared" ref="R184:AF199" si="124">Q184</f>
        <v>0</v>
      </c>
      <c r="S184" s="161">
        <f t="shared" si="124"/>
        <v>0</v>
      </c>
      <c r="T184" s="161">
        <f t="shared" si="124"/>
        <v>0</v>
      </c>
      <c r="U184" s="161">
        <f t="shared" si="124"/>
        <v>0</v>
      </c>
      <c r="V184" s="161">
        <f t="shared" si="124"/>
        <v>0</v>
      </c>
      <c r="W184" s="161">
        <f t="shared" si="124"/>
        <v>0</v>
      </c>
      <c r="X184" s="161">
        <f t="shared" si="124"/>
        <v>0</v>
      </c>
      <c r="Y184" s="161">
        <f t="shared" si="124"/>
        <v>0</v>
      </c>
      <c r="Z184" s="161">
        <f t="shared" si="124"/>
        <v>0</v>
      </c>
      <c r="AA184" s="161">
        <f t="shared" si="124"/>
        <v>0</v>
      </c>
      <c r="AB184" s="161">
        <f t="shared" si="123"/>
        <v>0</v>
      </c>
      <c r="AC184" s="161">
        <f t="shared" si="123"/>
        <v>0</v>
      </c>
      <c r="AD184" s="161">
        <f t="shared" si="124"/>
        <v>0</v>
      </c>
      <c r="AE184" s="161">
        <f t="shared" si="124"/>
        <v>0</v>
      </c>
      <c r="AF184" s="174">
        <f t="shared" si="12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25">B185</f>
        <v>0</v>
      </c>
      <c r="D185" s="161">
        <f t="shared" si="125"/>
        <v>0</v>
      </c>
      <c r="E185" s="161">
        <f t="shared" si="125"/>
        <v>0</v>
      </c>
      <c r="F185" s="161">
        <f t="shared" si="125"/>
        <v>0</v>
      </c>
      <c r="G185" s="161">
        <f t="shared" si="125"/>
        <v>0</v>
      </c>
      <c r="H185" s="161">
        <f t="shared" si="125"/>
        <v>0</v>
      </c>
      <c r="I185" s="161">
        <f t="shared" si="125"/>
        <v>0</v>
      </c>
      <c r="J185" s="161">
        <f t="shared" si="125"/>
        <v>0</v>
      </c>
      <c r="K185" s="161">
        <f t="shared" si="125"/>
        <v>0</v>
      </c>
      <c r="L185" s="161">
        <f t="shared" si="125"/>
        <v>0</v>
      </c>
      <c r="M185" s="161">
        <f t="shared" si="125"/>
        <v>0</v>
      </c>
      <c r="N185" s="161">
        <f t="shared" si="125"/>
        <v>0</v>
      </c>
      <c r="O185" s="161">
        <f t="shared" si="125"/>
        <v>0</v>
      </c>
      <c r="P185" s="161">
        <f t="shared" si="125"/>
        <v>0</v>
      </c>
      <c r="Q185" s="161">
        <f t="shared" si="125"/>
        <v>0</v>
      </c>
      <c r="R185" s="161">
        <f t="shared" si="125"/>
        <v>0</v>
      </c>
      <c r="S185" s="161">
        <f t="shared" si="124"/>
        <v>0</v>
      </c>
      <c r="T185" s="161">
        <f t="shared" si="124"/>
        <v>0</v>
      </c>
      <c r="U185" s="161">
        <f t="shared" si="124"/>
        <v>0</v>
      </c>
      <c r="V185" s="161">
        <f t="shared" si="124"/>
        <v>0</v>
      </c>
      <c r="W185" s="161">
        <f t="shared" si="124"/>
        <v>0</v>
      </c>
      <c r="X185" s="161">
        <f t="shared" si="124"/>
        <v>0</v>
      </c>
      <c r="Y185" s="161">
        <f t="shared" si="124"/>
        <v>0</v>
      </c>
      <c r="Z185" s="161">
        <f t="shared" si="124"/>
        <v>0</v>
      </c>
      <c r="AA185" s="161">
        <f t="shared" si="124"/>
        <v>0</v>
      </c>
      <c r="AB185" s="161">
        <f t="shared" si="124"/>
        <v>0</v>
      </c>
      <c r="AC185" s="161">
        <f t="shared" si="124"/>
        <v>0</v>
      </c>
      <c r="AD185" s="161">
        <f t="shared" si="124"/>
        <v>0</v>
      </c>
      <c r="AE185" s="161">
        <f t="shared" si="124"/>
        <v>0</v>
      </c>
      <c r="AF185" s="174">
        <f t="shared" si="12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25"/>
        <v>0</v>
      </c>
      <c r="D186" s="161">
        <f t="shared" si="125"/>
        <v>0</v>
      </c>
      <c r="E186" s="161">
        <f t="shared" si="125"/>
        <v>0</v>
      </c>
      <c r="F186" s="161">
        <f t="shared" si="125"/>
        <v>0</v>
      </c>
      <c r="G186" s="161">
        <f t="shared" si="125"/>
        <v>0</v>
      </c>
      <c r="H186" s="161">
        <f t="shared" si="125"/>
        <v>0</v>
      </c>
      <c r="I186" s="161">
        <f t="shared" si="125"/>
        <v>0</v>
      </c>
      <c r="J186" s="161">
        <f t="shared" si="125"/>
        <v>0</v>
      </c>
      <c r="K186" s="161">
        <f t="shared" si="125"/>
        <v>0</v>
      </c>
      <c r="L186" s="161">
        <f t="shared" si="125"/>
        <v>0</v>
      </c>
      <c r="M186" s="161">
        <f t="shared" si="125"/>
        <v>0</v>
      </c>
      <c r="N186" s="161">
        <f t="shared" si="125"/>
        <v>0</v>
      </c>
      <c r="O186" s="161">
        <f t="shared" si="125"/>
        <v>0</v>
      </c>
      <c r="P186" s="161">
        <f t="shared" si="125"/>
        <v>0</v>
      </c>
      <c r="Q186" s="161">
        <f t="shared" si="125"/>
        <v>0</v>
      </c>
      <c r="R186" s="161">
        <f t="shared" si="125"/>
        <v>0</v>
      </c>
      <c r="S186" s="161">
        <f t="shared" si="124"/>
        <v>0</v>
      </c>
      <c r="T186" s="161">
        <f t="shared" si="124"/>
        <v>0</v>
      </c>
      <c r="U186" s="161">
        <f t="shared" si="124"/>
        <v>0</v>
      </c>
      <c r="V186" s="161">
        <f t="shared" si="124"/>
        <v>0</v>
      </c>
      <c r="W186" s="161">
        <f t="shared" si="124"/>
        <v>0</v>
      </c>
      <c r="X186" s="161">
        <f t="shared" si="124"/>
        <v>0</v>
      </c>
      <c r="Y186" s="161">
        <f t="shared" si="124"/>
        <v>0</v>
      </c>
      <c r="Z186" s="161">
        <f t="shared" si="124"/>
        <v>0</v>
      </c>
      <c r="AA186" s="161">
        <f t="shared" si="124"/>
        <v>0</v>
      </c>
      <c r="AB186" s="161">
        <f t="shared" si="124"/>
        <v>0</v>
      </c>
      <c r="AC186" s="161">
        <f t="shared" si="124"/>
        <v>0</v>
      </c>
      <c r="AD186" s="161">
        <f t="shared" si="124"/>
        <v>0</v>
      </c>
      <c r="AE186" s="161">
        <f t="shared" si="124"/>
        <v>0</v>
      </c>
      <c r="AF186" s="174">
        <f t="shared" si="12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25"/>
        <v>0</v>
      </c>
      <c r="D187" s="161">
        <f t="shared" si="125"/>
        <v>0</v>
      </c>
      <c r="E187" s="161">
        <f t="shared" si="125"/>
        <v>0</v>
      </c>
      <c r="F187" s="161">
        <f t="shared" si="125"/>
        <v>0</v>
      </c>
      <c r="G187" s="161">
        <f t="shared" si="125"/>
        <v>0</v>
      </c>
      <c r="H187" s="161">
        <f t="shared" si="125"/>
        <v>0</v>
      </c>
      <c r="I187" s="161">
        <f t="shared" si="125"/>
        <v>0</v>
      </c>
      <c r="J187" s="161">
        <f t="shared" si="125"/>
        <v>0</v>
      </c>
      <c r="K187" s="161">
        <f t="shared" si="125"/>
        <v>0</v>
      </c>
      <c r="L187" s="161">
        <f t="shared" si="125"/>
        <v>0</v>
      </c>
      <c r="M187" s="161">
        <f t="shared" si="125"/>
        <v>0</v>
      </c>
      <c r="N187" s="161">
        <f t="shared" si="125"/>
        <v>0</v>
      </c>
      <c r="O187" s="161">
        <f t="shared" si="125"/>
        <v>0</v>
      </c>
      <c r="P187" s="161">
        <f t="shared" si="125"/>
        <v>0</v>
      </c>
      <c r="Q187" s="161">
        <f t="shared" si="125"/>
        <v>0</v>
      </c>
      <c r="R187" s="161">
        <f t="shared" si="125"/>
        <v>0</v>
      </c>
      <c r="S187" s="161">
        <f t="shared" si="124"/>
        <v>0</v>
      </c>
      <c r="T187" s="161">
        <f t="shared" si="124"/>
        <v>0</v>
      </c>
      <c r="U187" s="161">
        <f t="shared" si="124"/>
        <v>0</v>
      </c>
      <c r="V187" s="161">
        <f t="shared" si="124"/>
        <v>0</v>
      </c>
      <c r="W187" s="161">
        <f t="shared" si="124"/>
        <v>0</v>
      </c>
      <c r="X187" s="161">
        <f t="shared" si="124"/>
        <v>0</v>
      </c>
      <c r="Y187" s="161">
        <f t="shared" si="124"/>
        <v>0</v>
      </c>
      <c r="Z187" s="161">
        <f t="shared" si="124"/>
        <v>0</v>
      </c>
      <c r="AA187" s="161">
        <f t="shared" si="124"/>
        <v>0</v>
      </c>
      <c r="AB187" s="161">
        <f t="shared" si="124"/>
        <v>0</v>
      </c>
      <c r="AC187" s="161">
        <f t="shared" si="124"/>
        <v>0</v>
      </c>
      <c r="AD187" s="161">
        <f t="shared" si="124"/>
        <v>0</v>
      </c>
      <c r="AE187" s="161">
        <f t="shared" si="124"/>
        <v>0</v>
      </c>
      <c r="AF187" s="174">
        <f t="shared" si="12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25"/>
        <v>0</v>
      </c>
      <c r="D188" s="161">
        <f t="shared" si="125"/>
        <v>0</v>
      </c>
      <c r="E188" s="161">
        <f t="shared" si="125"/>
        <v>0</v>
      </c>
      <c r="F188" s="161">
        <f t="shared" si="125"/>
        <v>0</v>
      </c>
      <c r="G188" s="161">
        <f t="shared" si="125"/>
        <v>0</v>
      </c>
      <c r="H188" s="161">
        <f t="shared" si="125"/>
        <v>0</v>
      </c>
      <c r="I188" s="161">
        <f t="shared" si="125"/>
        <v>0</v>
      </c>
      <c r="J188" s="161">
        <f t="shared" si="125"/>
        <v>0</v>
      </c>
      <c r="K188" s="161">
        <f t="shared" si="125"/>
        <v>0</v>
      </c>
      <c r="L188" s="161">
        <f t="shared" si="125"/>
        <v>0</v>
      </c>
      <c r="M188" s="161">
        <f t="shared" si="125"/>
        <v>0</v>
      </c>
      <c r="N188" s="161">
        <f t="shared" si="125"/>
        <v>0</v>
      </c>
      <c r="O188" s="161">
        <f t="shared" si="125"/>
        <v>0</v>
      </c>
      <c r="P188" s="161">
        <f t="shared" si="125"/>
        <v>0</v>
      </c>
      <c r="Q188" s="161">
        <f t="shared" si="125"/>
        <v>0</v>
      </c>
      <c r="R188" s="161">
        <f t="shared" si="125"/>
        <v>0</v>
      </c>
      <c r="S188" s="161">
        <f t="shared" si="124"/>
        <v>0</v>
      </c>
      <c r="T188" s="161">
        <f t="shared" si="124"/>
        <v>0</v>
      </c>
      <c r="U188" s="161">
        <f t="shared" si="124"/>
        <v>0</v>
      </c>
      <c r="V188" s="161">
        <f t="shared" si="124"/>
        <v>0</v>
      </c>
      <c r="W188" s="161">
        <f t="shared" si="124"/>
        <v>0</v>
      </c>
      <c r="X188" s="161">
        <f t="shared" si="124"/>
        <v>0</v>
      </c>
      <c r="Y188" s="161">
        <f t="shared" si="124"/>
        <v>0</v>
      </c>
      <c r="Z188" s="161">
        <f t="shared" si="124"/>
        <v>0</v>
      </c>
      <c r="AA188" s="161">
        <f t="shared" si="124"/>
        <v>0</v>
      </c>
      <c r="AB188" s="161">
        <f t="shared" si="124"/>
        <v>0</v>
      </c>
      <c r="AC188" s="161">
        <f t="shared" si="124"/>
        <v>0</v>
      </c>
      <c r="AD188" s="161">
        <f t="shared" si="124"/>
        <v>0</v>
      </c>
      <c r="AE188" s="161">
        <f t="shared" si="124"/>
        <v>0</v>
      </c>
      <c r="AF188" s="174">
        <f t="shared" si="12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25"/>
        <v>0</v>
      </c>
      <c r="D189" s="161">
        <f t="shared" si="125"/>
        <v>0</v>
      </c>
      <c r="E189" s="161">
        <f t="shared" si="125"/>
        <v>0</v>
      </c>
      <c r="F189" s="161">
        <f t="shared" si="125"/>
        <v>0</v>
      </c>
      <c r="G189" s="161">
        <f t="shared" si="125"/>
        <v>0</v>
      </c>
      <c r="H189" s="161">
        <f t="shared" si="125"/>
        <v>0</v>
      </c>
      <c r="I189" s="161">
        <f t="shared" si="125"/>
        <v>0</v>
      </c>
      <c r="J189" s="161">
        <f t="shared" si="125"/>
        <v>0</v>
      </c>
      <c r="K189" s="161">
        <f t="shared" si="125"/>
        <v>0</v>
      </c>
      <c r="L189" s="161">
        <f t="shared" si="125"/>
        <v>0</v>
      </c>
      <c r="M189" s="161">
        <f t="shared" si="125"/>
        <v>0</v>
      </c>
      <c r="N189" s="161">
        <f t="shared" si="125"/>
        <v>0</v>
      </c>
      <c r="O189" s="161">
        <f t="shared" si="125"/>
        <v>0</v>
      </c>
      <c r="P189" s="161">
        <f t="shared" si="125"/>
        <v>0</v>
      </c>
      <c r="Q189" s="161">
        <f t="shared" si="125"/>
        <v>0</v>
      </c>
      <c r="R189" s="161">
        <f t="shared" si="125"/>
        <v>0</v>
      </c>
      <c r="S189" s="161">
        <f t="shared" si="124"/>
        <v>0</v>
      </c>
      <c r="T189" s="161">
        <f t="shared" si="124"/>
        <v>0</v>
      </c>
      <c r="U189" s="161">
        <f t="shared" si="124"/>
        <v>0</v>
      </c>
      <c r="V189" s="161">
        <f t="shared" si="124"/>
        <v>0</v>
      </c>
      <c r="W189" s="161">
        <f t="shared" si="124"/>
        <v>0</v>
      </c>
      <c r="X189" s="161">
        <f t="shared" si="124"/>
        <v>0</v>
      </c>
      <c r="Y189" s="161">
        <f t="shared" si="124"/>
        <v>0</v>
      </c>
      <c r="Z189" s="161">
        <f t="shared" si="124"/>
        <v>0</v>
      </c>
      <c r="AA189" s="161">
        <f t="shared" si="124"/>
        <v>0</v>
      </c>
      <c r="AB189" s="161">
        <f t="shared" si="124"/>
        <v>0</v>
      </c>
      <c r="AC189" s="161">
        <f t="shared" si="124"/>
        <v>0</v>
      </c>
      <c r="AD189" s="161">
        <f t="shared" si="124"/>
        <v>0</v>
      </c>
      <c r="AE189" s="161">
        <f t="shared" si="124"/>
        <v>0</v>
      </c>
      <c r="AF189" s="174">
        <f t="shared" si="12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25"/>
        <v>0</v>
      </c>
      <c r="D190" s="161">
        <f t="shared" si="125"/>
        <v>0</v>
      </c>
      <c r="E190" s="161">
        <f t="shared" si="125"/>
        <v>0</v>
      </c>
      <c r="F190" s="161">
        <f t="shared" si="125"/>
        <v>0</v>
      </c>
      <c r="G190" s="161">
        <f t="shared" si="125"/>
        <v>0</v>
      </c>
      <c r="H190" s="161">
        <f t="shared" si="125"/>
        <v>0</v>
      </c>
      <c r="I190" s="161">
        <f t="shared" si="125"/>
        <v>0</v>
      </c>
      <c r="J190" s="161">
        <f t="shared" si="125"/>
        <v>0</v>
      </c>
      <c r="K190" s="161">
        <f t="shared" si="125"/>
        <v>0</v>
      </c>
      <c r="L190" s="161">
        <f t="shared" si="125"/>
        <v>0</v>
      </c>
      <c r="M190" s="161">
        <f t="shared" si="125"/>
        <v>0</v>
      </c>
      <c r="N190" s="161">
        <f t="shared" si="125"/>
        <v>0</v>
      </c>
      <c r="O190" s="161">
        <f t="shared" si="125"/>
        <v>0</v>
      </c>
      <c r="P190" s="161">
        <f t="shared" si="125"/>
        <v>0</v>
      </c>
      <c r="Q190" s="161">
        <f t="shared" si="125"/>
        <v>0</v>
      </c>
      <c r="R190" s="161">
        <f t="shared" si="125"/>
        <v>0</v>
      </c>
      <c r="S190" s="161">
        <f t="shared" si="124"/>
        <v>0</v>
      </c>
      <c r="T190" s="161">
        <f t="shared" si="124"/>
        <v>0</v>
      </c>
      <c r="U190" s="161">
        <f t="shared" si="124"/>
        <v>0</v>
      </c>
      <c r="V190" s="161">
        <f t="shared" si="124"/>
        <v>0</v>
      </c>
      <c r="W190" s="161">
        <f t="shared" si="124"/>
        <v>0</v>
      </c>
      <c r="X190" s="161">
        <f t="shared" si="124"/>
        <v>0</v>
      </c>
      <c r="Y190" s="161">
        <f t="shared" si="124"/>
        <v>0</v>
      </c>
      <c r="Z190" s="161">
        <f t="shared" si="124"/>
        <v>0</v>
      </c>
      <c r="AA190" s="161">
        <f t="shared" si="124"/>
        <v>0</v>
      </c>
      <c r="AB190" s="161">
        <f t="shared" si="124"/>
        <v>0</v>
      </c>
      <c r="AC190" s="161">
        <f t="shared" si="124"/>
        <v>0</v>
      </c>
      <c r="AD190" s="161">
        <f t="shared" si="124"/>
        <v>0</v>
      </c>
      <c r="AE190" s="161">
        <f t="shared" si="124"/>
        <v>0</v>
      </c>
      <c r="AF190" s="174">
        <f t="shared" si="12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25"/>
        <v>0</v>
      </c>
      <c r="D191" s="161">
        <f t="shared" si="125"/>
        <v>0</v>
      </c>
      <c r="E191" s="161">
        <f t="shared" si="125"/>
        <v>0</v>
      </c>
      <c r="F191" s="161">
        <f t="shared" si="125"/>
        <v>0</v>
      </c>
      <c r="G191" s="161">
        <f t="shared" si="125"/>
        <v>0</v>
      </c>
      <c r="H191" s="161">
        <f t="shared" si="125"/>
        <v>0</v>
      </c>
      <c r="I191" s="161">
        <f t="shared" si="125"/>
        <v>0</v>
      </c>
      <c r="J191" s="161">
        <f t="shared" si="125"/>
        <v>0</v>
      </c>
      <c r="K191" s="161">
        <f t="shared" si="125"/>
        <v>0</v>
      </c>
      <c r="L191" s="161">
        <f t="shared" si="125"/>
        <v>0</v>
      </c>
      <c r="M191" s="161">
        <f t="shared" si="125"/>
        <v>0</v>
      </c>
      <c r="N191" s="161">
        <f t="shared" si="125"/>
        <v>0</v>
      </c>
      <c r="O191" s="161">
        <f t="shared" si="125"/>
        <v>0</v>
      </c>
      <c r="P191" s="161">
        <f t="shared" si="125"/>
        <v>0</v>
      </c>
      <c r="Q191" s="161">
        <f t="shared" si="125"/>
        <v>0</v>
      </c>
      <c r="R191" s="161">
        <f t="shared" si="125"/>
        <v>0</v>
      </c>
      <c r="S191" s="161">
        <f t="shared" si="124"/>
        <v>0</v>
      </c>
      <c r="T191" s="161">
        <f t="shared" si="124"/>
        <v>0</v>
      </c>
      <c r="U191" s="161">
        <f t="shared" si="124"/>
        <v>0</v>
      </c>
      <c r="V191" s="161">
        <f t="shared" si="124"/>
        <v>0</v>
      </c>
      <c r="W191" s="161">
        <f t="shared" si="124"/>
        <v>0</v>
      </c>
      <c r="X191" s="161">
        <f t="shared" si="124"/>
        <v>0</v>
      </c>
      <c r="Y191" s="161">
        <f t="shared" si="124"/>
        <v>0</v>
      </c>
      <c r="Z191" s="161">
        <f t="shared" si="124"/>
        <v>0</v>
      </c>
      <c r="AA191" s="161">
        <f t="shared" si="124"/>
        <v>0</v>
      </c>
      <c r="AB191" s="161">
        <f t="shared" si="124"/>
        <v>0</v>
      </c>
      <c r="AC191" s="161">
        <f t="shared" si="124"/>
        <v>0</v>
      </c>
      <c r="AD191" s="161">
        <f t="shared" si="124"/>
        <v>0</v>
      </c>
      <c r="AE191" s="161">
        <f t="shared" si="124"/>
        <v>0</v>
      </c>
      <c r="AF191" s="174">
        <f t="shared" si="12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25"/>
        <v>0</v>
      </c>
      <c r="D192" s="161">
        <f t="shared" si="125"/>
        <v>0</v>
      </c>
      <c r="E192" s="161">
        <f t="shared" si="125"/>
        <v>0</v>
      </c>
      <c r="F192" s="161">
        <f t="shared" si="125"/>
        <v>0</v>
      </c>
      <c r="G192" s="161">
        <f t="shared" si="125"/>
        <v>0</v>
      </c>
      <c r="H192" s="161">
        <f t="shared" si="125"/>
        <v>0</v>
      </c>
      <c r="I192" s="161">
        <f t="shared" si="125"/>
        <v>0</v>
      </c>
      <c r="J192" s="161">
        <f t="shared" si="125"/>
        <v>0</v>
      </c>
      <c r="K192" s="161">
        <f t="shared" si="125"/>
        <v>0</v>
      </c>
      <c r="L192" s="161">
        <f t="shared" si="125"/>
        <v>0</v>
      </c>
      <c r="M192" s="161">
        <f t="shared" si="125"/>
        <v>0</v>
      </c>
      <c r="N192" s="161">
        <f t="shared" si="125"/>
        <v>0</v>
      </c>
      <c r="O192" s="161">
        <f t="shared" si="125"/>
        <v>0</v>
      </c>
      <c r="P192" s="161">
        <f t="shared" si="125"/>
        <v>0</v>
      </c>
      <c r="Q192" s="161">
        <f t="shared" si="125"/>
        <v>0</v>
      </c>
      <c r="R192" s="161">
        <f t="shared" si="125"/>
        <v>0</v>
      </c>
      <c r="S192" s="161">
        <f t="shared" si="124"/>
        <v>0</v>
      </c>
      <c r="T192" s="161">
        <f t="shared" si="124"/>
        <v>0</v>
      </c>
      <c r="U192" s="161">
        <f t="shared" si="124"/>
        <v>0</v>
      </c>
      <c r="V192" s="161">
        <f t="shared" si="124"/>
        <v>0</v>
      </c>
      <c r="W192" s="161">
        <f t="shared" si="124"/>
        <v>0</v>
      </c>
      <c r="X192" s="161">
        <f t="shared" si="124"/>
        <v>0</v>
      </c>
      <c r="Y192" s="161">
        <f t="shared" si="124"/>
        <v>0</v>
      </c>
      <c r="Z192" s="161">
        <f t="shared" si="124"/>
        <v>0</v>
      </c>
      <c r="AA192" s="161">
        <f t="shared" si="124"/>
        <v>0</v>
      </c>
      <c r="AB192" s="161">
        <f t="shared" si="124"/>
        <v>0</v>
      </c>
      <c r="AC192" s="161">
        <f t="shared" si="124"/>
        <v>0</v>
      </c>
      <c r="AD192" s="161">
        <f t="shared" si="124"/>
        <v>0</v>
      </c>
      <c r="AE192" s="161">
        <f t="shared" si="124"/>
        <v>0</v>
      </c>
      <c r="AF192" s="174">
        <f t="shared" si="12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25"/>
        <v>0</v>
      </c>
      <c r="D193" s="161">
        <f t="shared" si="125"/>
        <v>0</v>
      </c>
      <c r="E193" s="161">
        <f t="shared" si="125"/>
        <v>0</v>
      </c>
      <c r="F193" s="161">
        <f t="shared" si="125"/>
        <v>0</v>
      </c>
      <c r="G193" s="161">
        <f t="shared" si="125"/>
        <v>0</v>
      </c>
      <c r="H193" s="161">
        <f t="shared" si="125"/>
        <v>0</v>
      </c>
      <c r="I193" s="161">
        <f t="shared" si="125"/>
        <v>0</v>
      </c>
      <c r="J193" s="161">
        <f t="shared" si="125"/>
        <v>0</v>
      </c>
      <c r="K193" s="161">
        <f t="shared" si="125"/>
        <v>0</v>
      </c>
      <c r="L193" s="161">
        <f t="shared" si="125"/>
        <v>0</v>
      </c>
      <c r="M193" s="161">
        <f t="shared" si="125"/>
        <v>0</v>
      </c>
      <c r="N193" s="161">
        <f t="shared" si="125"/>
        <v>0</v>
      </c>
      <c r="O193" s="161">
        <f t="shared" si="125"/>
        <v>0</v>
      </c>
      <c r="P193" s="161">
        <f t="shared" si="125"/>
        <v>0</v>
      </c>
      <c r="Q193" s="161">
        <f t="shared" si="125"/>
        <v>0</v>
      </c>
      <c r="R193" s="161">
        <f t="shared" si="125"/>
        <v>0</v>
      </c>
      <c r="S193" s="161">
        <f t="shared" si="124"/>
        <v>0</v>
      </c>
      <c r="T193" s="161">
        <f t="shared" si="124"/>
        <v>0</v>
      </c>
      <c r="U193" s="161">
        <f t="shared" si="124"/>
        <v>0</v>
      </c>
      <c r="V193" s="161">
        <f t="shared" si="124"/>
        <v>0</v>
      </c>
      <c r="W193" s="161">
        <f t="shared" si="124"/>
        <v>0</v>
      </c>
      <c r="X193" s="161">
        <f t="shared" si="124"/>
        <v>0</v>
      </c>
      <c r="Y193" s="161">
        <f t="shared" si="124"/>
        <v>0</v>
      </c>
      <c r="Z193" s="161">
        <f t="shared" si="124"/>
        <v>0</v>
      </c>
      <c r="AA193" s="161">
        <f t="shared" si="124"/>
        <v>0</v>
      </c>
      <c r="AB193" s="161">
        <f t="shared" si="124"/>
        <v>0</v>
      </c>
      <c r="AC193" s="161">
        <f t="shared" si="124"/>
        <v>0</v>
      </c>
      <c r="AD193" s="161">
        <f t="shared" si="124"/>
        <v>0</v>
      </c>
      <c r="AE193" s="161">
        <f t="shared" si="124"/>
        <v>0</v>
      </c>
      <c r="AF193" s="174">
        <f t="shared" si="12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25"/>
        <v>0</v>
      </c>
      <c r="D194" s="161">
        <f t="shared" si="125"/>
        <v>0</v>
      </c>
      <c r="E194" s="161">
        <f t="shared" si="125"/>
        <v>0</v>
      </c>
      <c r="F194" s="161">
        <f t="shared" si="125"/>
        <v>0</v>
      </c>
      <c r="G194" s="161">
        <f t="shared" si="125"/>
        <v>0</v>
      </c>
      <c r="H194" s="161">
        <f t="shared" si="125"/>
        <v>0</v>
      </c>
      <c r="I194" s="161">
        <f t="shared" si="125"/>
        <v>0</v>
      </c>
      <c r="J194" s="161">
        <f t="shared" si="125"/>
        <v>0</v>
      </c>
      <c r="K194" s="161">
        <f t="shared" si="125"/>
        <v>0</v>
      </c>
      <c r="L194" s="161">
        <f t="shared" si="125"/>
        <v>0</v>
      </c>
      <c r="M194" s="161">
        <f t="shared" si="125"/>
        <v>0</v>
      </c>
      <c r="N194" s="161">
        <f t="shared" si="125"/>
        <v>0</v>
      </c>
      <c r="O194" s="161">
        <f t="shared" si="125"/>
        <v>0</v>
      </c>
      <c r="P194" s="161">
        <f t="shared" si="125"/>
        <v>0</v>
      </c>
      <c r="Q194" s="161">
        <f t="shared" si="125"/>
        <v>0</v>
      </c>
      <c r="R194" s="161">
        <f t="shared" si="125"/>
        <v>0</v>
      </c>
      <c r="S194" s="161">
        <f t="shared" si="124"/>
        <v>0</v>
      </c>
      <c r="T194" s="161">
        <f t="shared" si="124"/>
        <v>0</v>
      </c>
      <c r="U194" s="161">
        <f t="shared" si="124"/>
        <v>0</v>
      </c>
      <c r="V194" s="161">
        <f t="shared" si="124"/>
        <v>0</v>
      </c>
      <c r="W194" s="161">
        <f t="shared" si="124"/>
        <v>0</v>
      </c>
      <c r="X194" s="161">
        <f t="shared" si="124"/>
        <v>0</v>
      </c>
      <c r="Y194" s="161">
        <f t="shared" si="124"/>
        <v>0</v>
      </c>
      <c r="Z194" s="161">
        <f t="shared" si="124"/>
        <v>0</v>
      </c>
      <c r="AA194" s="161">
        <f t="shared" si="124"/>
        <v>0</v>
      </c>
      <c r="AB194" s="161">
        <f t="shared" si="124"/>
        <v>0</v>
      </c>
      <c r="AC194" s="161">
        <f t="shared" si="124"/>
        <v>0</v>
      </c>
      <c r="AD194" s="161">
        <f t="shared" si="124"/>
        <v>0</v>
      </c>
      <c r="AE194" s="161">
        <f t="shared" si="124"/>
        <v>0</v>
      </c>
      <c r="AF194" s="174">
        <f t="shared" si="12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25"/>
        <v>0</v>
      </c>
      <c r="D195" s="161">
        <f t="shared" si="125"/>
        <v>0</v>
      </c>
      <c r="E195" s="161">
        <f t="shared" si="125"/>
        <v>0</v>
      </c>
      <c r="F195" s="161">
        <f t="shared" si="125"/>
        <v>0</v>
      </c>
      <c r="G195" s="161">
        <f t="shared" si="125"/>
        <v>0</v>
      </c>
      <c r="H195" s="161">
        <f t="shared" si="125"/>
        <v>0</v>
      </c>
      <c r="I195" s="161">
        <f t="shared" si="125"/>
        <v>0</v>
      </c>
      <c r="J195" s="161">
        <f t="shared" si="125"/>
        <v>0</v>
      </c>
      <c r="K195" s="161">
        <f t="shared" si="125"/>
        <v>0</v>
      </c>
      <c r="L195" s="161">
        <f t="shared" si="125"/>
        <v>0</v>
      </c>
      <c r="M195" s="161">
        <f t="shared" si="125"/>
        <v>0</v>
      </c>
      <c r="N195" s="161">
        <f t="shared" si="125"/>
        <v>0</v>
      </c>
      <c r="O195" s="161">
        <f t="shared" si="125"/>
        <v>0</v>
      </c>
      <c r="P195" s="161">
        <f t="shared" si="125"/>
        <v>0</v>
      </c>
      <c r="Q195" s="161">
        <f t="shared" si="125"/>
        <v>0</v>
      </c>
      <c r="R195" s="161">
        <f t="shared" si="125"/>
        <v>0</v>
      </c>
      <c r="S195" s="161">
        <f t="shared" si="124"/>
        <v>0</v>
      </c>
      <c r="T195" s="161">
        <f t="shared" si="124"/>
        <v>0</v>
      </c>
      <c r="U195" s="161">
        <f t="shared" si="124"/>
        <v>0</v>
      </c>
      <c r="V195" s="161">
        <f t="shared" si="124"/>
        <v>0</v>
      </c>
      <c r="W195" s="161">
        <f t="shared" si="124"/>
        <v>0</v>
      </c>
      <c r="X195" s="161">
        <f t="shared" si="124"/>
        <v>0</v>
      </c>
      <c r="Y195" s="161">
        <f t="shared" si="124"/>
        <v>0</v>
      </c>
      <c r="Z195" s="161">
        <f t="shared" si="124"/>
        <v>0</v>
      </c>
      <c r="AA195" s="161">
        <f t="shared" si="124"/>
        <v>0</v>
      </c>
      <c r="AB195" s="161">
        <f t="shared" si="124"/>
        <v>0</v>
      </c>
      <c r="AC195" s="161">
        <f t="shared" si="124"/>
        <v>0</v>
      </c>
      <c r="AD195" s="161">
        <f t="shared" si="124"/>
        <v>0</v>
      </c>
      <c r="AE195" s="161">
        <f t="shared" si="124"/>
        <v>0</v>
      </c>
      <c r="AF195" s="174">
        <f t="shared" si="12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25"/>
        <v>0</v>
      </c>
      <c r="D196" s="161">
        <f t="shared" si="125"/>
        <v>0</v>
      </c>
      <c r="E196" s="161">
        <f t="shared" si="125"/>
        <v>0</v>
      </c>
      <c r="F196" s="161">
        <f t="shared" si="125"/>
        <v>0</v>
      </c>
      <c r="G196" s="161">
        <f t="shared" si="125"/>
        <v>0</v>
      </c>
      <c r="H196" s="161">
        <f t="shared" si="125"/>
        <v>0</v>
      </c>
      <c r="I196" s="161">
        <f t="shared" si="125"/>
        <v>0</v>
      </c>
      <c r="J196" s="161">
        <f t="shared" si="125"/>
        <v>0</v>
      </c>
      <c r="K196" s="161">
        <f t="shared" si="125"/>
        <v>0</v>
      </c>
      <c r="L196" s="161">
        <f t="shared" si="125"/>
        <v>0</v>
      </c>
      <c r="M196" s="161">
        <f t="shared" si="125"/>
        <v>0</v>
      </c>
      <c r="N196" s="161">
        <f t="shared" si="125"/>
        <v>0</v>
      </c>
      <c r="O196" s="161">
        <f t="shared" si="125"/>
        <v>0</v>
      </c>
      <c r="P196" s="161">
        <f t="shared" si="125"/>
        <v>0</v>
      </c>
      <c r="Q196" s="161">
        <f t="shared" si="125"/>
        <v>0</v>
      </c>
      <c r="R196" s="161">
        <f t="shared" si="125"/>
        <v>0</v>
      </c>
      <c r="S196" s="161">
        <f t="shared" si="124"/>
        <v>0</v>
      </c>
      <c r="T196" s="161">
        <f t="shared" si="124"/>
        <v>0</v>
      </c>
      <c r="U196" s="161">
        <f t="shared" si="124"/>
        <v>0</v>
      </c>
      <c r="V196" s="161">
        <f t="shared" si="124"/>
        <v>0</v>
      </c>
      <c r="W196" s="161">
        <f t="shared" si="124"/>
        <v>0</v>
      </c>
      <c r="X196" s="161">
        <f t="shared" si="124"/>
        <v>0</v>
      </c>
      <c r="Y196" s="161">
        <f t="shared" si="124"/>
        <v>0</v>
      </c>
      <c r="Z196" s="161">
        <f t="shared" si="124"/>
        <v>0</v>
      </c>
      <c r="AA196" s="161">
        <f t="shared" si="124"/>
        <v>0</v>
      </c>
      <c r="AB196" s="161">
        <f t="shared" si="124"/>
        <v>0</v>
      </c>
      <c r="AC196" s="161">
        <f t="shared" si="124"/>
        <v>0</v>
      </c>
      <c r="AD196" s="161">
        <f t="shared" si="124"/>
        <v>0</v>
      </c>
      <c r="AE196" s="161">
        <f t="shared" si="124"/>
        <v>0</v>
      </c>
      <c r="AF196" s="174">
        <f t="shared" si="12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25"/>
        <v>0</v>
      </c>
      <c r="D197" s="161">
        <f t="shared" si="125"/>
        <v>0</v>
      </c>
      <c r="E197" s="161">
        <f t="shared" si="125"/>
        <v>0</v>
      </c>
      <c r="F197" s="161">
        <f t="shared" si="125"/>
        <v>0</v>
      </c>
      <c r="G197" s="161">
        <f t="shared" si="125"/>
        <v>0</v>
      </c>
      <c r="H197" s="161">
        <f t="shared" si="125"/>
        <v>0</v>
      </c>
      <c r="I197" s="161">
        <f t="shared" si="125"/>
        <v>0</v>
      </c>
      <c r="J197" s="161">
        <f t="shared" si="125"/>
        <v>0</v>
      </c>
      <c r="K197" s="161">
        <f t="shared" si="125"/>
        <v>0</v>
      </c>
      <c r="L197" s="161">
        <f t="shared" si="125"/>
        <v>0</v>
      </c>
      <c r="M197" s="161">
        <f t="shared" si="125"/>
        <v>0</v>
      </c>
      <c r="N197" s="161">
        <f t="shared" si="125"/>
        <v>0</v>
      </c>
      <c r="O197" s="161">
        <f t="shared" si="125"/>
        <v>0</v>
      </c>
      <c r="P197" s="161">
        <f t="shared" si="125"/>
        <v>0</v>
      </c>
      <c r="Q197" s="161">
        <f t="shared" si="125"/>
        <v>0</v>
      </c>
      <c r="R197" s="161">
        <f t="shared" si="125"/>
        <v>0</v>
      </c>
      <c r="S197" s="161">
        <f t="shared" si="124"/>
        <v>0</v>
      </c>
      <c r="T197" s="161">
        <f t="shared" si="124"/>
        <v>0</v>
      </c>
      <c r="U197" s="161">
        <f t="shared" si="124"/>
        <v>0</v>
      </c>
      <c r="V197" s="161">
        <f t="shared" si="124"/>
        <v>0</v>
      </c>
      <c r="W197" s="161">
        <f t="shared" si="124"/>
        <v>0</v>
      </c>
      <c r="X197" s="161">
        <f t="shared" si="124"/>
        <v>0</v>
      </c>
      <c r="Y197" s="161">
        <f t="shared" si="124"/>
        <v>0</v>
      </c>
      <c r="Z197" s="161">
        <f t="shared" si="124"/>
        <v>0</v>
      </c>
      <c r="AA197" s="161">
        <f t="shared" si="124"/>
        <v>0</v>
      </c>
      <c r="AB197" s="161">
        <f t="shared" si="124"/>
        <v>0</v>
      </c>
      <c r="AC197" s="161">
        <f t="shared" si="124"/>
        <v>0</v>
      </c>
      <c r="AD197" s="161">
        <f t="shared" si="124"/>
        <v>0</v>
      </c>
      <c r="AE197" s="161">
        <f t="shared" si="124"/>
        <v>0</v>
      </c>
      <c r="AF197" s="174">
        <f t="shared" si="12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25"/>
        <v>0</v>
      </c>
      <c r="D198" s="161">
        <f t="shared" si="125"/>
        <v>0</v>
      </c>
      <c r="E198" s="161">
        <f t="shared" si="125"/>
        <v>0</v>
      </c>
      <c r="F198" s="161">
        <f t="shared" si="125"/>
        <v>0</v>
      </c>
      <c r="G198" s="161">
        <f t="shared" si="125"/>
        <v>0</v>
      </c>
      <c r="H198" s="161">
        <f t="shared" si="125"/>
        <v>0</v>
      </c>
      <c r="I198" s="161">
        <f t="shared" si="125"/>
        <v>0</v>
      </c>
      <c r="J198" s="161">
        <f t="shared" si="125"/>
        <v>0</v>
      </c>
      <c r="K198" s="161">
        <f t="shared" si="125"/>
        <v>0</v>
      </c>
      <c r="L198" s="161">
        <f t="shared" si="125"/>
        <v>0</v>
      </c>
      <c r="M198" s="161">
        <f t="shared" si="125"/>
        <v>0</v>
      </c>
      <c r="N198" s="161">
        <f t="shared" si="125"/>
        <v>0</v>
      </c>
      <c r="O198" s="161">
        <f t="shared" si="125"/>
        <v>0</v>
      </c>
      <c r="P198" s="161">
        <f t="shared" si="125"/>
        <v>0</v>
      </c>
      <c r="Q198" s="161">
        <f t="shared" si="125"/>
        <v>0</v>
      </c>
      <c r="R198" s="161">
        <f t="shared" si="125"/>
        <v>0</v>
      </c>
      <c r="S198" s="161">
        <f t="shared" si="124"/>
        <v>0</v>
      </c>
      <c r="T198" s="161">
        <f t="shared" si="124"/>
        <v>0</v>
      </c>
      <c r="U198" s="161">
        <f t="shared" si="124"/>
        <v>0</v>
      </c>
      <c r="V198" s="161">
        <f t="shared" si="124"/>
        <v>0</v>
      </c>
      <c r="W198" s="161">
        <f t="shared" si="124"/>
        <v>0</v>
      </c>
      <c r="X198" s="161">
        <f t="shared" si="124"/>
        <v>0</v>
      </c>
      <c r="Y198" s="161">
        <f t="shared" si="124"/>
        <v>0</v>
      </c>
      <c r="Z198" s="161">
        <f t="shared" si="124"/>
        <v>0</v>
      </c>
      <c r="AA198" s="161">
        <f t="shared" si="124"/>
        <v>0</v>
      </c>
      <c r="AB198" s="161">
        <f t="shared" si="124"/>
        <v>0</v>
      </c>
      <c r="AC198" s="161">
        <f t="shared" si="124"/>
        <v>0</v>
      </c>
      <c r="AD198" s="161">
        <f t="shared" si="124"/>
        <v>0</v>
      </c>
      <c r="AE198" s="161">
        <f t="shared" si="124"/>
        <v>0</v>
      </c>
      <c r="AF198" s="174">
        <f t="shared" si="12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25"/>
        <v>0</v>
      </c>
      <c r="D199" s="161">
        <f t="shared" si="125"/>
        <v>0</v>
      </c>
      <c r="E199" s="161">
        <f t="shared" si="125"/>
        <v>0</v>
      </c>
      <c r="F199" s="161">
        <f t="shared" si="125"/>
        <v>0</v>
      </c>
      <c r="G199" s="161">
        <f t="shared" si="125"/>
        <v>0</v>
      </c>
      <c r="H199" s="161">
        <f t="shared" si="125"/>
        <v>0</v>
      </c>
      <c r="I199" s="161">
        <f t="shared" si="125"/>
        <v>0</v>
      </c>
      <c r="J199" s="161">
        <f t="shared" si="125"/>
        <v>0</v>
      </c>
      <c r="K199" s="161">
        <f t="shared" si="125"/>
        <v>0</v>
      </c>
      <c r="L199" s="161">
        <f t="shared" si="125"/>
        <v>0</v>
      </c>
      <c r="M199" s="161">
        <f t="shared" si="125"/>
        <v>0</v>
      </c>
      <c r="N199" s="161">
        <f t="shared" si="125"/>
        <v>0</v>
      </c>
      <c r="O199" s="161">
        <f t="shared" si="125"/>
        <v>0</v>
      </c>
      <c r="P199" s="161">
        <f t="shared" si="125"/>
        <v>0</v>
      </c>
      <c r="Q199" s="161">
        <f t="shared" si="125"/>
        <v>0</v>
      </c>
      <c r="R199" s="161">
        <f t="shared" si="125"/>
        <v>0</v>
      </c>
      <c r="S199" s="161">
        <f t="shared" si="124"/>
        <v>0</v>
      </c>
      <c r="T199" s="161">
        <f t="shared" si="124"/>
        <v>0</v>
      </c>
      <c r="U199" s="161">
        <f t="shared" si="124"/>
        <v>0</v>
      </c>
      <c r="V199" s="161">
        <f t="shared" si="124"/>
        <v>0</v>
      </c>
      <c r="W199" s="161">
        <f t="shared" si="124"/>
        <v>0</v>
      </c>
      <c r="X199" s="161">
        <f t="shared" si="124"/>
        <v>0</v>
      </c>
      <c r="Y199" s="161">
        <f t="shared" si="124"/>
        <v>0</v>
      </c>
      <c r="Z199" s="161">
        <f t="shared" si="124"/>
        <v>0</v>
      </c>
      <c r="AA199" s="161">
        <f t="shared" si="124"/>
        <v>0</v>
      </c>
      <c r="AB199" s="161">
        <f t="shared" si="124"/>
        <v>0</v>
      </c>
      <c r="AC199" s="161">
        <f t="shared" si="124"/>
        <v>0</v>
      </c>
      <c r="AD199" s="161">
        <f t="shared" si="124"/>
        <v>0</v>
      </c>
      <c r="AE199" s="161">
        <f t="shared" si="124"/>
        <v>0</v>
      </c>
      <c r="AF199" s="174">
        <f t="shared" si="12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25"/>
        <v>0</v>
      </c>
      <c r="D200" s="161">
        <f t="shared" si="125"/>
        <v>0</v>
      </c>
      <c r="E200" s="161">
        <f t="shared" si="125"/>
        <v>0</v>
      </c>
      <c r="F200" s="161">
        <f t="shared" si="125"/>
        <v>0</v>
      </c>
      <c r="G200" s="161">
        <f t="shared" si="125"/>
        <v>0</v>
      </c>
      <c r="H200" s="161">
        <f t="shared" si="125"/>
        <v>0</v>
      </c>
      <c r="I200" s="161">
        <f t="shared" si="125"/>
        <v>0</v>
      </c>
      <c r="J200" s="161">
        <f t="shared" si="125"/>
        <v>0</v>
      </c>
      <c r="K200" s="161">
        <f t="shared" si="125"/>
        <v>0</v>
      </c>
      <c r="L200" s="161">
        <f t="shared" si="125"/>
        <v>0</v>
      </c>
      <c r="M200" s="161">
        <f t="shared" si="125"/>
        <v>0</v>
      </c>
      <c r="N200" s="161">
        <f t="shared" si="125"/>
        <v>0</v>
      </c>
      <c r="O200" s="161">
        <f t="shared" si="125"/>
        <v>0</v>
      </c>
      <c r="P200" s="161">
        <f t="shared" si="125"/>
        <v>0</v>
      </c>
      <c r="Q200" s="161">
        <f t="shared" si="125"/>
        <v>0</v>
      </c>
      <c r="R200" s="161">
        <f t="shared" ref="R200:AF215" si="126">Q200</f>
        <v>0</v>
      </c>
      <c r="S200" s="161">
        <f t="shared" si="126"/>
        <v>0</v>
      </c>
      <c r="T200" s="161">
        <f t="shared" si="126"/>
        <v>0</v>
      </c>
      <c r="U200" s="161">
        <f t="shared" si="126"/>
        <v>0</v>
      </c>
      <c r="V200" s="161">
        <f t="shared" si="126"/>
        <v>0</v>
      </c>
      <c r="W200" s="161">
        <f t="shared" si="126"/>
        <v>0</v>
      </c>
      <c r="X200" s="161">
        <f t="shared" si="126"/>
        <v>0</v>
      </c>
      <c r="Y200" s="161">
        <f t="shared" si="126"/>
        <v>0</v>
      </c>
      <c r="Z200" s="161">
        <f t="shared" si="126"/>
        <v>0</v>
      </c>
      <c r="AA200" s="161">
        <f t="shared" si="126"/>
        <v>0</v>
      </c>
      <c r="AB200" s="161">
        <f t="shared" si="126"/>
        <v>0</v>
      </c>
      <c r="AC200" s="161">
        <f t="shared" si="126"/>
        <v>0</v>
      </c>
      <c r="AD200" s="161">
        <f t="shared" si="126"/>
        <v>0</v>
      </c>
      <c r="AE200" s="161">
        <f t="shared" si="126"/>
        <v>0</v>
      </c>
      <c r="AF200" s="174">
        <f t="shared" si="12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7">B201</f>
        <v>0</v>
      </c>
      <c r="D201" s="161">
        <f t="shared" si="127"/>
        <v>0</v>
      </c>
      <c r="E201" s="161">
        <f t="shared" si="127"/>
        <v>0</v>
      </c>
      <c r="F201" s="161">
        <f t="shared" si="127"/>
        <v>0</v>
      </c>
      <c r="G201" s="161">
        <f t="shared" si="127"/>
        <v>0</v>
      </c>
      <c r="H201" s="161">
        <f t="shared" si="127"/>
        <v>0</v>
      </c>
      <c r="I201" s="161">
        <f t="shared" si="127"/>
        <v>0</v>
      </c>
      <c r="J201" s="161">
        <f t="shared" si="127"/>
        <v>0</v>
      </c>
      <c r="K201" s="161">
        <f t="shared" si="127"/>
        <v>0</v>
      </c>
      <c r="L201" s="161">
        <f t="shared" si="127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27"/>
        <v>0</v>
      </c>
      <c r="Q201" s="161">
        <f t="shared" si="127"/>
        <v>0</v>
      </c>
      <c r="R201" s="161">
        <f t="shared" si="127"/>
        <v>0</v>
      </c>
      <c r="S201" s="161">
        <f t="shared" si="126"/>
        <v>0</v>
      </c>
      <c r="T201" s="161">
        <f t="shared" si="126"/>
        <v>0</v>
      </c>
      <c r="U201" s="161">
        <f t="shared" si="126"/>
        <v>0</v>
      </c>
      <c r="V201" s="161">
        <f t="shared" si="126"/>
        <v>0</v>
      </c>
      <c r="W201" s="161">
        <f t="shared" si="126"/>
        <v>0</v>
      </c>
      <c r="X201" s="161">
        <f t="shared" si="126"/>
        <v>0</v>
      </c>
      <c r="Y201" s="161">
        <f t="shared" si="126"/>
        <v>0</v>
      </c>
      <c r="Z201" s="161">
        <f t="shared" si="126"/>
        <v>0</v>
      </c>
      <c r="AA201" s="161">
        <f t="shared" si="126"/>
        <v>0</v>
      </c>
      <c r="AB201" s="161">
        <f t="shared" si="126"/>
        <v>0</v>
      </c>
      <c r="AC201" s="161">
        <f t="shared" si="126"/>
        <v>0</v>
      </c>
      <c r="AD201" s="161">
        <f t="shared" si="126"/>
        <v>0</v>
      </c>
      <c r="AE201" s="161">
        <f t="shared" si="126"/>
        <v>0</v>
      </c>
      <c r="AF201" s="174">
        <f t="shared" si="12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7"/>
        <v>0</v>
      </c>
      <c r="D202" s="161">
        <f t="shared" si="127"/>
        <v>0</v>
      </c>
      <c r="E202" s="161">
        <f t="shared" si="127"/>
        <v>0</v>
      </c>
      <c r="F202" s="161">
        <f t="shared" si="127"/>
        <v>0</v>
      </c>
      <c r="G202" s="161">
        <f t="shared" si="127"/>
        <v>0</v>
      </c>
      <c r="H202" s="161">
        <f t="shared" si="127"/>
        <v>0</v>
      </c>
      <c r="I202" s="161">
        <f t="shared" si="127"/>
        <v>0</v>
      </c>
      <c r="J202" s="161">
        <f t="shared" si="127"/>
        <v>0</v>
      </c>
      <c r="K202" s="161">
        <f t="shared" si="127"/>
        <v>0</v>
      </c>
      <c r="L202" s="161">
        <f t="shared" si="127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27"/>
        <v>0</v>
      </c>
      <c r="Q202" s="161">
        <f t="shared" si="127"/>
        <v>0</v>
      </c>
      <c r="R202" s="161">
        <f t="shared" si="127"/>
        <v>0</v>
      </c>
      <c r="S202" s="161">
        <f t="shared" si="126"/>
        <v>0</v>
      </c>
      <c r="T202" s="161">
        <f t="shared" si="126"/>
        <v>0</v>
      </c>
      <c r="U202" s="161">
        <f t="shared" si="126"/>
        <v>0</v>
      </c>
      <c r="V202" s="161">
        <f t="shared" si="126"/>
        <v>0</v>
      </c>
      <c r="W202" s="161">
        <f t="shared" si="126"/>
        <v>0</v>
      </c>
      <c r="X202" s="161">
        <f t="shared" si="126"/>
        <v>0</v>
      </c>
      <c r="Y202" s="161">
        <f t="shared" si="126"/>
        <v>0</v>
      </c>
      <c r="Z202" s="161">
        <f t="shared" si="126"/>
        <v>0</v>
      </c>
      <c r="AA202" s="161">
        <f t="shared" si="126"/>
        <v>0</v>
      </c>
      <c r="AB202" s="161">
        <f t="shared" si="126"/>
        <v>0</v>
      </c>
      <c r="AC202" s="161">
        <f t="shared" si="126"/>
        <v>0</v>
      </c>
      <c r="AD202" s="161">
        <f t="shared" si="126"/>
        <v>0</v>
      </c>
      <c r="AE202" s="161">
        <f t="shared" si="126"/>
        <v>0</v>
      </c>
      <c r="AF202" s="174">
        <f t="shared" si="12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7"/>
        <v>0</v>
      </c>
      <c r="D203" s="161">
        <f t="shared" si="127"/>
        <v>0</v>
      </c>
      <c r="E203" s="161">
        <f t="shared" si="127"/>
        <v>0</v>
      </c>
      <c r="F203" s="161">
        <f t="shared" si="127"/>
        <v>0</v>
      </c>
      <c r="G203" s="161">
        <f t="shared" si="127"/>
        <v>0</v>
      </c>
      <c r="H203" s="161">
        <f t="shared" si="127"/>
        <v>0</v>
      </c>
      <c r="I203" s="161">
        <f t="shared" si="127"/>
        <v>0</v>
      </c>
      <c r="J203" s="161">
        <f t="shared" si="127"/>
        <v>0</v>
      </c>
      <c r="K203" s="161">
        <f t="shared" si="127"/>
        <v>0</v>
      </c>
      <c r="L203" s="161">
        <f t="shared" si="127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27"/>
        <v>0</v>
      </c>
      <c r="Q203" s="161">
        <f t="shared" si="127"/>
        <v>0</v>
      </c>
      <c r="R203" s="161">
        <f t="shared" si="127"/>
        <v>0</v>
      </c>
      <c r="S203" s="161">
        <f t="shared" si="126"/>
        <v>0</v>
      </c>
      <c r="T203" s="161">
        <f t="shared" si="126"/>
        <v>0</v>
      </c>
      <c r="U203" s="161">
        <f t="shared" si="126"/>
        <v>0</v>
      </c>
      <c r="V203" s="161">
        <f t="shared" si="126"/>
        <v>0</v>
      </c>
      <c r="W203" s="161">
        <f t="shared" si="126"/>
        <v>0</v>
      </c>
      <c r="X203" s="161">
        <f t="shared" si="126"/>
        <v>0</v>
      </c>
      <c r="Y203" s="161">
        <f t="shared" si="126"/>
        <v>0</v>
      </c>
      <c r="Z203" s="161">
        <f t="shared" si="126"/>
        <v>0</v>
      </c>
      <c r="AA203" s="161">
        <f t="shared" si="126"/>
        <v>0</v>
      </c>
      <c r="AB203" s="161">
        <f t="shared" si="126"/>
        <v>0</v>
      </c>
      <c r="AC203" s="161">
        <f t="shared" si="126"/>
        <v>0</v>
      </c>
      <c r="AD203" s="161">
        <f t="shared" si="126"/>
        <v>0</v>
      </c>
      <c r="AE203" s="161">
        <f t="shared" si="126"/>
        <v>0</v>
      </c>
      <c r="AF203" s="174">
        <f t="shared" si="12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7"/>
        <v>0</v>
      </c>
      <c r="D204" s="161">
        <f t="shared" si="127"/>
        <v>0</v>
      </c>
      <c r="E204" s="161">
        <f t="shared" si="127"/>
        <v>0</v>
      </c>
      <c r="F204" s="161">
        <f t="shared" si="127"/>
        <v>0</v>
      </c>
      <c r="G204" s="161">
        <f t="shared" si="127"/>
        <v>0</v>
      </c>
      <c r="H204" s="161">
        <f t="shared" si="127"/>
        <v>0</v>
      </c>
      <c r="I204" s="161">
        <f t="shared" si="127"/>
        <v>0</v>
      </c>
      <c r="J204" s="161">
        <f t="shared" si="127"/>
        <v>0</v>
      </c>
      <c r="K204" s="161">
        <f t="shared" si="127"/>
        <v>0</v>
      </c>
      <c r="L204" s="161">
        <f t="shared" si="127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27"/>
        <v>0</v>
      </c>
      <c r="Q204" s="161">
        <f t="shared" si="127"/>
        <v>0</v>
      </c>
      <c r="R204" s="161">
        <f t="shared" si="127"/>
        <v>0</v>
      </c>
      <c r="S204" s="161">
        <f t="shared" si="126"/>
        <v>0</v>
      </c>
      <c r="T204" s="161">
        <f t="shared" si="126"/>
        <v>0</v>
      </c>
      <c r="U204" s="161">
        <f t="shared" si="126"/>
        <v>0</v>
      </c>
      <c r="V204" s="161">
        <f t="shared" si="126"/>
        <v>0</v>
      </c>
      <c r="W204" s="161">
        <f t="shared" si="126"/>
        <v>0</v>
      </c>
      <c r="X204" s="161">
        <f t="shared" si="126"/>
        <v>0</v>
      </c>
      <c r="Y204" s="161">
        <f t="shared" si="126"/>
        <v>0</v>
      </c>
      <c r="Z204" s="161">
        <f t="shared" si="126"/>
        <v>0</v>
      </c>
      <c r="AA204" s="161">
        <f t="shared" si="126"/>
        <v>0</v>
      </c>
      <c r="AB204" s="161">
        <f t="shared" si="126"/>
        <v>0</v>
      </c>
      <c r="AC204" s="161">
        <f t="shared" si="126"/>
        <v>0</v>
      </c>
      <c r="AD204" s="161">
        <f t="shared" si="126"/>
        <v>0</v>
      </c>
      <c r="AE204" s="161">
        <f t="shared" si="126"/>
        <v>0</v>
      </c>
      <c r="AF204" s="174">
        <f t="shared" si="12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7"/>
        <v>0</v>
      </c>
      <c r="D205" s="161">
        <f t="shared" si="127"/>
        <v>0</v>
      </c>
      <c r="E205" s="161">
        <f t="shared" si="127"/>
        <v>0</v>
      </c>
      <c r="F205" s="161">
        <f t="shared" si="127"/>
        <v>0</v>
      </c>
      <c r="G205" s="161">
        <f t="shared" si="127"/>
        <v>0</v>
      </c>
      <c r="H205" s="161">
        <f t="shared" si="127"/>
        <v>0</v>
      </c>
      <c r="I205" s="161">
        <f t="shared" si="127"/>
        <v>0</v>
      </c>
      <c r="J205" s="161">
        <f t="shared" si="127"/>
        <v>0</v>
      </c>
      <c r="K205" s="161">
        <f t="shared" si="127"/>
        <v>0</v>
      </c>
      <c r="L205" s="161">
        <f t="shared" si="127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27"/>
        <v>0</v>
      </c>
      <c r="Q205" s="161">
        <f t="shared" si="127"/>
        <v>0</v>
      </c>
      <c r="R205" s="161">
        <f t="shared" si="127"/>
        <v>0</v>
      </c>
      <c r="S205" s="161">
        <f t="shared" si="126"/>
        <v>0</v>
      </c>
      <c r="T205" s="161">
        <f t="shared" si="126"/>
        <v>0</v>
      </c>
      <c r="U205" s="161">
        <f t="shared" si="126"/>
        <v>0</v>
      </c>
      <c r="V205" s="161">
        <f t="shared" si="126"/>
        <v>0</v>
      </c>
      <c r="W205" s="161">
        <f t="shared" si="126"/>
        <v>0</v>
      </c>
      <c r="X205" s="161">
        <f t="shared" si="126"/>
        <v>0</v>
      </c>
      <c r="Y205" s="161">
        <f t="shared" si="126"/>
        <v>0</v>
      </c>
      <c r="Z205" s="161">
        <f t="shared" si="126"/>
        <v>0</v>
      </c>
      <c r="AA205" s="161">
        <f t="shared" si="126"/>
        <v>0</v>
      </c>
      <c r="AB205" s="161">
        <f t="shared" si="126"/>
        <v>0</v>
      </c>
      <c r="AC205" s="161">
        <f t="shared" si="126"/>
        <v>0</v>
      </c>
      <c r="AD205" s="161">
        <f t="shared" si="126"/>
        <v>0</v>
      </c>
      <c r="AE205" s="161">
        <f t="shared" si="126"/>
        <v>0</v>
      </c>
      <c r="AF205" s="174">
        <f t="shared" si="12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7"/>
        <v>0</v>
      </c>
      <c r="D206" s="161">
        <f t="shared" si="127"/>
        <v>0</v>
      </c>
      <c r="E206" s="161">
        <f t="shared" si="127"/>
        <v>0</v>
      </c>
      <c r="F206" s="161">
        <f t="shared" si="127"/>
        <v>0</v>
      </c>
      <c r="G206" s="161">
        <f t="shared" si="127"/>
        <v>0</v>
      </c>
      <c r="H206" s="161">
        <f t="shared" si="127"/>
        <v>0</v>
      </c>
      <c r="I206" s="161">
        <f t="shared" si="127"/>
        <v>0</v>
      </c>
      <c r="J206" s="161">
        <f t="shared" si="127"/>
        <v>0</v>
      </c>
      <c r="K206" s="161">
        <f t="shared" si="127"/>
        <v>0</v>
      </c>
      <c r="L206" s="161">
        <f t="shared" si="127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27"/>
        <v>0</v>
      </c>
      <c r="Q206" s="161">
        <f t="shared" si="127"/>
        <v>0</v>
      </c>
      <c r="R206" s="161">
        <f t="shared" si="127"/>
        <v>0</v>
      </c>
      <c r="S206" s="161">
        <f t="shared" si="126"/>
        <v>0</v>
      </c>
      <c r="T206" s="161">
        <f t="shared" si="126"/>
        <v>0</v>
      </c>
      <c r="U206" s="161">
        <f t="shared" si="126"/>
        <v>0</v>
      </c>
      <c r="V206" s="161">
        <f t="shared" si="126"/>
        <v>0</v>
      </c>
      <c r="W206" s="161">
        <f t="shared" si="126"/>
        <v>0</v>
      </c>
      <c r="X206" s="161">
        <f t="shared" si="126"/>
        <v>0</v>
      </c>
      <c r="Y206" s="161">
        <f t="shared" si="126"/>
        <v>0</v>
      </c>
      <c r="Z206" s="161">
        <f t="shared" si="126"/>
        <v>0</v>
      </c>
      <c r="AA206" s="161">
        <f t="shared" si="126"/>
        <v>0</v>
      </c>
      <c r="AB206" s="161">
        <f t="shared" si="126"/>
        <v>0</v>
      </c>
      <c r="AC206" s="161">
        <f t="shared" si="126"/>
        <v>0</v>
      </c>
      <c r="AD206" s="161">
        <f t="shared" si="126"/>
        <v>0</v>
      </c>
      <c r="AE206" s="161">
        <f t="shared" si="126"/>
        <v>0</v>
      </c>
      <c r="AF206" s="174">
        <f t="shared" si="12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7"/>
        <v>0</v>
      </c>
      <c r="D207" s="161">
        <f t="shared" si="127"/>
        <v>0</v>
      </c>
      <c r="E207" s="161">
        <f t="shared" si="127"/>
        <v>0</v>
      </c>
      <c r="F207" s="161">
        <f t="shared" si="127"/>
        <v>0</v>
      </c>
      <c r="G207" s="161">
        <f t="shared" si="127"/>
        <v>0</v>
      </c>
      <c r="H207" s="161">
        <f t="shared" si="127"/>
        <v>0</v>
      </c>
      <c r="I207" s="161">
        <f t="shared" si="127"/>
        <v>0</v>
      </c>
      <c r="J207" s="161">
        <f t="shared" si="127"/>
        <v>0</v>
      </c>
      <c r="K207" s="161">
        <f t="shared" si="127"/>
        <v>0</v>
      </c>
      <c r="L207" s="161">
        <f t="shared" si="127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27"/>
        <v>0</v>
      </c>
      <c r="Q207" s="161">
        <f t="shared" si="127"/>
        <v>0</v>
      </c>
      <c r="R207" s="161">
        <f t="shared" si="127"/>
        <v>0</v>
      </c>
      <c r="S207" s="161">
        <f t="shared" si="126"/>
        <v>0</v>
      </c>
      <c r="T207" s="161">
        <f t="shared" si="126"/>
        <v>0</v>
      </c>
      <c r="U207" s="161">
        <f t="shared" si="126"/>
        <v>0</v>
      </c>
      <c r="V207" s="161">
        <f t="shared" si="126"/>
        <v>0</v>
      </c>
      <c r="W207" s="161">
        <f t="shared" si="126"/>
        <v>0</v>
      </c>
      <c r="X207" s="161">
        <f t="shared" si="126"/>
        <v>0</v>
      </c>
      <c r="Y207" s="161">
        <f t="shared" si="126"/>
        <v>0</v>
      </c>
      <c r="Z207" s="161">
        <f t="shared" si="126"/>
        <v>0</v>
      </c>
      <c r="AA207" s="161">
        <f t="shared" si="126"/>
        <v>0</v>
      </c>
      <c r="AB207" s="161">
        <f t="shared" si="126"/>
        <v>0</v>
      </c>
      <c r="AC207" s="161">
        <f t="shared" si="126"/>
        <v>0</v>
      </c>
      <c r="AD207" s="161">
        <f t="shared" si="126"/>
        <v>0</v>
      </c>
      <c r="AE207" s="161">
        <f t="shared" si="126"/>
        <v>0</v>
      </c>
      <c r="AF207" s="174">
        <f t="shared" si="12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7"/>
        <v>0</v>
      </c>
      <c r="D208" s="161">
        <f t="shared" si="127"/>
        <v>0</v>
      </c>
      <c r="E208" s="161">
        <f t="shared" si="127"/>
        <v>0</v>
      </c>
      <c r="F208" s="161">
        <f t="shared" si="127"/>
        <v>0</v>
      </c>
      <c r="G208" s="161">
        <f t="shared" si="127"/>
        <v>0</v>
      </c>
      <c r="H208" s="161">
        <f t="shared" si="127"/>
        <v>0</v>
      </c>
      <c r="I208" s="161">
        <f t="shared" si="127"/>
        <v>0</v>
      </c>
      <c r="J208" s="161">
        <f t="shared" si="127"/>
        <v>0</v>
      </c>
      <c r="K208" s="161">
        <f t="shared" si="127"/>
        <v>0</v>
      </c>
      <c r="L208" s="161">
        <f t="shared" si="127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27"/>
        <v>0</v>
      </c>
      <c r="Q208" s="161">
        <f t="shared" si="127"/>
        <v>0</v>
      </c>
      <c r="R208" s="161">
        <f t="shared" si="127"/>
        <v>0</v>
      </c>
      <c r="S208" s="161">
        <f t="shared" si="126"/>
        <v>0</v>
      </c>
      <c r="T208" s="161">
        <f t="shared" si="126"/>
        <v>0</v>
      </c>
      <c r="U208" s="161">
        <f t="shared" si="126"/>
        <v>0</v>
      </c>
      <c r="V208" s="161">
        <f t="shared" si="126"/>
        <v>0</v>
      </c>
      <c r="W208" s="161">
        <f t="shared" si="126"/>
        <v>0</v>
      </c>
      <c r="X208" s="161">
        <f t="shared" si="126"/>
        <v>0</v>
      </c>
      <c r="Y208" s="161">
        <f t="shared" si="126"/>
        <v>0</v>
      </c>
      <c r="Z208" s="161">
        <f t="shared" si="126"/>
        <v>0</v>
      </c>
      <c r="AA208" s="161">
        <f t="shared" si="126"/>
        <v>0</v>
      </c>
      <c r="AB208" s="161">
        <f t="shared" si="126"/>
        <v>0</v>
      </c>
      <c r="AC208" s="161">
        <f t="shared" si="126"/>
        <v>0</v>
      </c>
      <c r="AD208" s="161">
        <f t="shared" si="126"/>
        <v>0</v>
      </c>
      <c r="AE208" s="161">
        <f t="shared" si="126"/>
        <v>0</v>
      </c>
      <c r="AF208" s="174">
        <f t="shared" si="12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7"/>
        <v>0</v>
      </c>
      <c r="D209" s="161">
        <f t="shared" si="127"/>
        <v>0</v>
      </c>
      <c r="E209" s="161">
        <f t="shared" si="127"/>
        <v>0</v>
      </c>
      <c r="F209" s="161">
        <f t="shared" si="127"/>
        <v>0</v>
      </c>
      <c r="G209" s="161">
        <f t="shared" si="127"/>
        <v>0</v>
      </c>
      <c r="H209" s="161">
        <f t="shared" si="127"/>
        <v>0</v>
      </c>
      <c r="I209" s="161">
        <f t="shared" si="127"/>
        <v>0</v>
      </c>
      <c r="J209" s="161">
        <f t="shared" si="127"/>
        <v>0</v>
      </c>
      <c r="K209" s="161">
        <f t="shared" si="127"/>
        <v>0</v>
      </c>
      <c r="L209" s="161">
        <f t="shared" si="127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27"/>
        <v>0</v>
      </c>
      <c r="Q209" s="161">
        <f t="shared" si="127"/>
        <v>0</v>
      </c>
      <c r="R209" s="161">
        <f t="shared" si="127"/>
        <v>0</v>
      </c>
      <c r="S209" s="161">
        <f t="shared" si="126"/>
        <v>0</v>
      </c>
      <c r="T209" s="161">
        <f t="shared" si="126"/>
        <v>0</v>
      </c>
      <c r="U209" s="161">
        <f t="shared" si="126"/>
        <v>0</v>
      </c>
      <c r="V209" s="161">
        <f t="shared" si="126"/>
        <v>0</v>
      </c>
      <c r="W209" s="161">
        <f t="shared" si="126"/>
        <v>0</v>
      </c>
      <c r="X209" s="161">
        <f t="shared" si="126"/>
        <v>0</v>
      </c>
      <c r="Y209" s="161">
        <f t="shared" si="126"/>
        <v>0</v>
      </c>
      <c r="Z209" s="161">
        <f t="shared" si="126"/>
        <v>0</v>
      </c>
      <c r="AA209" s="161">
        <f t="shared" si="126"/>
        <v>0</v>
      </c>
      <c r="AB209" s="161">
        <f t="shared" si="126"/>
        <v>0</v>
      </c>
      <c r="AC209" s="161">
        <f t="shared" si="126"/>
        <v>0</v>
      </c>
      <c r="AD209" s="161">
        <f t="shared" si="126"/>
        <v>0</v>
      </c>
      <c r="AE209" s="161">
        <f t="shared" si="126"/>
        <v>0</v>
      </c>
      <c r="AF209" s="174">
        <f t="shared" si="12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7"/>
        <v>0</v>
      </c>
      <c r="D210" s="161">
        <f t="shared" si="127"/>
        <v>0</v>
      </c>
      <c r="E210" s="161">
        <f t="shared" si="127"/>
        <v>0</v>
      </c>
      <c r="F210" s="161">
        <f t="shared" si="127"/>
        <v>0</v>
      </c>
      <c r="G210" s="161">
        <f t="shared" si="127"/>
        <v>0</v>
      </c>
      <c r="H210" s="161">
        <f t="shared" si="127"/>
        <v>0</v>
      </c>
      <c r="I210" s="161">
        <f t="shared" si="127"/>
        <v>0</v>
      </c>
      <c r="J210" s="161">
        <f t="shared" si="127"/>
        <v>0</v>
      </c>
      <c r="K210" s="161">
        <f t="shared" si="127"/>
        <v>0</v>
      </c>
      <c r="L210" s="161">
        <f t="shared" si="127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27"/>
        <v>0</v>
      </c>
      <c r="Q210" s="161">
        <f t="shared" si="127"/>
        <v>0</v>
      </c>
      <c r="R210" s="161">
        <f t="shared" si="127"/>
        <v>0</v>
      </c>
      <c r="S210" s="161">
        <f t="shared" si="126"/>
        <v>0</v>
      </c>
      <c r="T210" s="161">
        <f t="shared" si="126"/>
        <v>0</v>
      </c>
      <c r="U210" s="161">
        <f t="shared" si="126"/>
        <v>0</v>
      </c>
      <c r="V210" s="161">
        <f t="shared" si="126"/>
        <v>0</v>
      </c>
      <c r="W210" s="161">
        <f t="shared" si="126"/>
        <v>0</v>
      </c>
      <c r="X210" s="161">
        <f t="shared" si="126"/>
        <v>0</v>
      </c>
      <c r="Y210" s="161">
        <f t="shared" si="126"/>
        <v>0</v>
      </c>
      <c r="Z210" s="161">
        <f t="shared" si="126"/>
        <v>0</v>
      </c>
      <c r="AA210" s="161">
        <f t="shared" si="126"/>
        <v>0</v>
      </c>
      <c r="AB210" s="161">
        <f t="shared" si="126"/>
        <v>0</v>
      </c>
      <c r="AC210" s="161">
        <f t="shared" si="126"/>
        <v>0</v>
      </c>
      <c r="AD210" s="161">
        <f t="shared" si="126"/>
        <v>0</v>
      </c>
      <c r="AE210" s="161">
        <f t="shared" si="126"/>
        <v>0</v>
      </c>
      <c r="AF210" s="174">
        <f t="shared" si="12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7"/>
        <v>0</v>
      </c>
      <c r="D211" s="161">
        <f t="shared" si="127"/>
        <v>0</v>
      </c>
      <c r="E211" s="161">
        <f t="shared" si="127"/>
        <v>0</v>
      </c>
      <c r="F211" s="161">
        <f t="shared" si="127"/>
        <v>0</v>
      </c>
      <c r="G211" s="161">
        <f t="shared" si="127"/>
        <v>0</v>
      </c>
      <c r="H211" s="161">
        <f t="shared" si="127"/>
        <v>0</v>
      </c>
      <c r="I211" s="161">
        <f t="shared" si="127"/>
        <v>0</v>
      </c>
      <c r="J211" s="161">
        <f t="shared" si="127"/>
        <v>0</v>
      </c>
      <c r="K211" s="161">
        <f t="shared" si="127"/>
        <v>0</v>
      </c>
      <c r="L211" s="161">
        <f t="shared" si="127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27"/>
        <v>0</v>
      </c>
      <c r="Q211" s="161">
        <f t="shared" si="127"/>
        <v>0</v>
      </c>
      <c r="R211" s="161">
        <f t="shared" si="127"/>
        <v>0</v>
      </c>
      <c r="S211" s="161">
        <f t="shared" si="126"/>
        <v>0</v>
      </c>
      <c r="T211" s="161">
        <f t="shared" si="126"/>
        <v>0</v>
      </c>
      <c r="U211" s="161">
        <f t="shared" si="126"/>
        <v>0</v>
      </c>
      <c r="V211" s="161">
        <f t="shared" si="126"/>
        <v>0</v>
      </c>
      <c r="W211" s="161">
        <f t="shared" si="126"/>
        <v>0</v>
      </c>
      <c r="X211" s="161">
        <f t="shared" si="126"/>
        <v>0</v>
      </c>
      <c r="Y211" s="161">
        <f t="shared" si="126"/>
        <v>0</v>
      </c>
      <c r="Z211" s="161">
        <f t="shared" si="126"/>
        <v>0</v>
      </c>
      <c r="AA211" s="161">
        <f t="shared" si="126"/>
        <v>0</v>
      </c>
      <c r="AB211" s="161">
        <f t="shared" si="126"/>
        <v>0</v>
      </c>
      <c r="AC211" s="161">
        <f t="shared" si="126"/>
        <v>0</v>
      </c>
      <c r="AD211" s="161">
        <f t="shared" si="126"/>
        <v>0</v>
      </c>
      <c r="AE211" s="161">
        <f t="shared" si="126"/>
        <v>0</v>
      </c>
      <c r="AF211" s="174">
        <f t="shared" si="12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7"/>
        <v>0</v>
      </c>
      <c r="D212" s="161">
        <f t="shared" si="127"/>
        <v>0</v>
      </c>
      <c r="E212" s="161">
        <f t="shared" si="127"/>
        <v>0</v>
      </c>
      <c r="F212" s="161">
        <f t="shared" si="127"/>
        <v>0</v>
      </c>
      <c r="G212" s="161">
        <f t="shared" si="127"/>
        <v>0</v>
      </c>
      <c r="H212" s="161">
        <f t="shared" si="127"/>
        <v>0</v>
      </c>
      <c r="I212" s="161">
        <f t="shared" si="127"/>
        <v>0</v>
      </c>
      <c r="J212" s="161">
        <f t="shared" si="127"/>
        <v>0</v>
      </c>
      <c r="K212" s="161">
        <f t="shared" si="127"/>
        <v>0</v>
      </c>
      <c r="L212" s="161">
        <f t="shared" si="127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27"/>
        <v>0</v>
      </c>
      <c r="Q212" s="161">
        <f t="shared" si="127"/>
        <v>0</v>
      </c>
      <c r="R212" s="161">
        <f t="shared" si="127"/>
        <v>0</v>
      </c>
      <c r="S212" s="161">
        <f t="shared" si="126"/>
        <v>0</v>
      </c>
      <c r="T212" s="161">
        <f t="shared" si="126"/>
        <v>0</v>
      </c>
      <c r="U212" s="161">
        <f t="shared" si="126"/>
        <v>0</v>
      </c>
      <c r="V212" s="161">
        <f t="shared" si="126"/>
        <v>0</v>
      </c>
      <c r="W212" s="161">
        <f t="shared" si="126"/>
        <v>0</v>
      </c>
      <c r="X212" s="161">
        <f t="shared" si="126"/>
        <v>0</v>
      </c>
      <c r="Y212" s="161">
        <f t="shared" si="126"/>
        <v>0</v>
      </c>
      <c r="Z212" s="161">
        <f t="shared" si="126"/>
        <v>0</v>
      </c>
      <c r="AA212" s="161">
        <f t="shared" si="126"/>
        <v>0</v>
      </c>
      <c r="AB212" s="161">
        <f t="shared" si="126"/>
        <v>0</v>
      </c>
      <c r="AC212" s="161">
        <f t="shared" si="126"/>
        <v>0</v>
      </c>
      <c r="AD212" s="161">
        <f t="shared" si="126"/>
        <v>0</v>
      </c>
      <c r="AE212" s="161">
        <f t="shared" si="126"/>
        <v>0</v>
      </c>
      <c r="AF212" s="174">
        <f t="shared" si="12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7"/>
        <v>0</v>
      </c>
      <c r="D213" s="161">
        <f t="shared" si="127"/>
        <v>0</v>
      </c>
      <c r="E213" s="161">
        <f t="shared" si="127"/>
        <v>0</v>
      </c>
      <c r="F213" s="161">
        <f t="shared" si="127"/>
        <v>0</v>
      </c>
      <c r="G213" s="161">
        <f t="shared" si="127"/>
        <v>0</v>
      </c>
      <c r="H213" s="161">
        <f t="shared" si="127"/>
        <v>0</v>
      </c>
      <c r="I213" s="161">
        <f t="shared" si="127"/>
        <v>0</v>
      </c>
      <c r="J213" s="161">
        <f t="shared" si="127"/>
        <v>0</v>
      </c>
      <c r="K213" s="161">
        <f t="shared" si="127"/>
        <v>0</v>
      </c>
      <c r="L213" s="161">
        <f t="shared" si="127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27"/>
        <v>0</v>
      </c>
      <c r="Q213" s="161">
        <f t="shared" si="127"/>
        <v>0</v>
      </c>
      <c r="R213" s="161">
        <f t="shared" si="127"/>
        <v>0</v>
      </c>
      <c r="S213" s="161">
        <f t="shared" si="126"/>
        <v>0</v>
      </c>
      <c r="T213" s="161">
        <f t="shared" si="126"/>
        <v>0</v>
      </c>
      <c r="U213" s="161">
        <f t="shared" si="126"/>
        <v>0</v>
      </c>
      <c r="V213" s="161">
        <f t="shared" si="126"/>
        <v>0</v>
      </c>
      <c r="W213" s="161">
        <f t="shared" si="126"/>
        <v>0</v>
      </c>
      <c r="X213" s="161">
        <f t="shared" si="126"/>
        <v>0</v>
      </c>
      <c r="Y213" s="161">
        <f t="shared" si="126"/>
        <v>0</v>
      </c>
      <c r="Z213" s="161">
        <f t="shared" si="126"/>
        <v>0</v>
      </c>
      <c r="AA213" s="161">
        <f t="shared" si="126"/>
        <v>0</v>
      </c>
      <c r="AB213" s="161">
        <f t="shared" si="126"/>
        <v>0</v>
      </c>
      <c r="AC213" s="161">
        <f t="shared" si="126"/>
        <v>0</v>
      </c>
      <c r="AD213" s="161">
        <f t="shared" si="126"/>
        <v>0</v>
      </c>
      <c r="AE213" s="161">
        <f t="shared" si="126"/>
        <v>0</v>
      </c>
      <c r="AF213" s="174">
        <f t="shared" si="12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7"/>
        <v>0</v>
      </c>
      <c r="D214" s="161">
        <f t="shared" si="127"/>
        <v>0</v>
      </c>
      <c r="E214" s="161">
        <f t="shared" si="127"/>
        <v>0</v>
      </c>
      <c r="F214" s="161">
        <f t="shared" si="127"/>
        <v>0</v>
      </c>
      <c r="G214" s="161">
        <f t="shared" si="127"/>
        <v>0</v>
      </c>
      <c r="H214" s="161">
        <f t="shared" si="127"/>
        <v>0</v>
      </c>
      <c r="I214" s="161">
        <f t="shared" si="127"/>
        <v>0</v>
      </c>
      <c r="J214" s="161">
        <f t="shared" si="127"/>
        <v>0</v>
      </c>
      <c r="K214" s="161">
        <f t="shared" si="127"/>
        <v>0</v>
      </c>
      <c r="L214" s="161">
        <f t="shared" si="127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27"/>
        <v>0</v>
      </c>
      <c r="Q214" s="161">
        <f t="shared" si="127"/>
        <v>0</v>
      </c>
      <c r="R214" s="161">
        <f t="shared" si="127"/>
        <v>0</v>
      </c>
      <c r="S214" s="161">
        <f t="shared" si="126"/>
        <v>0</v>
      </c>
      <c r="T214" s="161">
        <f t="shared" si="126"/>
        <v>0</v>
      </c>
      <c r="U214" s="161">
        <f t="shared" si="126"/>
        <v>0</v>
      </c>
      <c r="V214" s="161">
        <f t="shared" si="126"/>
        <v>0</v>
      </c>
      <c r="W214" s="161">
        <f t="shared" si="126"/>
        <v>0</v>
      </c>
      <c r="X214" s="161">
        <f t="shared" si="126"/>
        <v>0</v>
      </c>
      <c r="Y214" s="161">
        <f t="shared" si="126"/>
        <v>0</v>
      </c>
      <c r="Z214" s="161">
        <f t="shared" si="126"/>
        <v>0</v>
      </c>
      <c r="AA214" s="161">
        <f t="shared" si="126"/>
        <v>0</v>
      </c>
      <c r="AB214" s="161">
        <f t="shared" si="126"/>
        <v>0</v>
      </c>
      <c r="AC214" s="161">
        <f t="shared" si="126"/>
        <v>0</v>
      </c>
      <c r="AD214" s="161">
        <f t="shared" si="126"/>
        <v>0</v>
      </c>
      <c r="AE214" s="161">
        <f t="shared" si="126"/>
        <v>0</v>
      </c>
      <c r="AF214" s="174">
        <f t="shared" si="12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7"/>
        <v>0</v>
      </c>
      <c r="D215" s="161">
        <f t="shared" si="127"/>
        <v>0</v>
      </c>
      <c r="E215" s="161">
        <f t="shared" si="127"/>
        <v>0</v>
      </c>
      <c r="F215" s="161">
        <f t="shared" si="127"/>
        <v>0</v>
      </c>
      <c r="G215" s="161">
        <f t="shared" si="127"/>
        <v>0</v>
      </c>
      <c r="H215" s="161">
        <f t="shared" si="127"/>
        <v>0</v>
      </c>
      <c r="I215" s="161">
        <f t="shared" si="127"/>
        <v>0</v>
      </c>
      <c r="J215" s="161">
        <f t="shared" si="127"/>
        <v>0</v>
      </c>
      <c r="K215" s="161">
        <f t="shared" si="127"/>
        <v>0</v>
      </c>
      <c r="L215" s="161">
        <f t="shared" si="127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27"/>
        <v>0</v>
      </c>
      <c r="Q215" s="161">
        <f t="shared" si="127"/>
        <v>0</v>
      </c>
      <c r="R215" s="161">
        <f t="shared" si="127"/>
        <v>0</v>
      </c>
      <c r="S215" s="161">
        <f t="shared" si="126"/>
        <v>0</v>
      </c>
      <c r="T215" s="161">
        <f t="shared" si="126"/>
        <v>0</v>
      </c>
      <c r="U215" s="161">
        <f t="shared" si="126"/>
        <v>0</v>
      </c>
      <c r="V215" s="161">
        <f t="shared" si="126"/>
        <v>0</v>
      </c>
      <c r="W215" s="161">
        <f t="shared" si="126"/>
        <v>0</v>
      </c>
      <c r="X215" s="161">
        <f t="shared" si="126"/>
        <v>0</v>
      </c>
      <c r="Y215" s="161">
        <f t="shared" si="126"/>
        <v>0</v>
      </c>
      <c r="Z215" s="161">
        <f t="shared" si="126"/>
        <v>0</v>
      </c>
      <c r="AA215" s="161">
        <f t="shared" si="126"/>
        <v>0</v>
      </c>
      <c r="AB215" s="161">
        <f t="shared" si="126"/>
        <v>0</v>
      </c>
      <c r="AC215" s="161">
        <f t="shared" si="126"/>
        <v>0</v>
      </c>
      <c r="AD215" s="161">
        <f t="shared" si="126"/>
        <v>0</v>
      </c>
      <c r="AE215" s="161">
        <f t="shared" si="126"/>
        <v>0</v>
      </c>
      <c r="AF215" s="174">
        <f t="shared" si="12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7"/>
        <v>0</v>
      </c>
      <c r="D216" s="161">
        <f t="shared" si="127"/>
        <v>0</v>
      </c>
      <c r="E216" s="161">
        <f t="shared" si="127"/>
        <v>0</v>
      </c>
      <c r="F216" s="161">
        <f t="shared" si="127"/>
        <v>0</v>
      </c>
      <c r="G216" s="161">
        <f t="shared" si="127"/>
        <v>0</v>
      </c>
      <c r="H216" s="161">
        <f t="shared" si="127"/>
        <v>0</v>
      </c>
      <c r="I216" s="161">
        <f t="shared" si="127"/>
        <v>0</v>
      </c>
      <c r="J216" s="161">
        <f t="shared" si="127"/>
        <v>0</v>
      </c>
      <c r="K216" s="161">
        <f t="shared" si="127"/>
        <v>0</v>
      </c>
      <c r="L216" s="161">
        <f t="shared" si="127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27"/>
        <v>0</v>
      </c>
      <c r="Q216" s="161">
        <f t="shared" si="127"/>
        <v>0</v>
      </c>
      <c r="R216" s="161">
        <f t="shared" ref="R216:AF231" si="128">Q216</f>
        <v>0</v>
      </c>
      <c r="S216" s="161">
        <f t="shared" si="128"/>
        <v>0</v>
      </c>
      <c r="T216" s="161">
        <f t="shared" si="128"/>
        <v>0</v>
      </c>
      <c r="U216" s="161">
        <f t="shared" si="128"/>
        <v>0</v>
      </c>
      <c r="V216" s="161">
        <f t="shared" si="128"/>
        <v>0</v>
      </c>
      <c r="W216" s="161">
        <f t="shared" si="128"/>
        <v>0</v>
      </c>
      <c r="X216" s="161">
        <f t="shared" si="128"/>
        <v>0</v>
      </c>
      <c r="Y216" s="161">
        <f t="shared" si="128"/>
        <v>0</v>
      </c>
      <c r="Z216" s="161">
        <f t="shared" si="128"/>
        <v>0</v>
      </c>
      <c r="AA216" s="161">
        <f t="shared" si="128"/>
        <v>0</v>
      </c>
      <c r="AB216" s="161">
        <f t="shared" si="128"/>
        <v>0</v>
      </c>
      <c r="AC216" s="161">
        <f t="shared" si="128"/>
        <v>0</v>
      </c>
      <c r="AD216" s="161">
        <f t="shared" si="128"/>
        <v>0</v>
      </c>
      <c r="AE216" s="161">
        <f t="shared" si="128"/>
        <v>0</v>
      </c>
      <c r="AF216" s="174">
        <f t="shared" si="12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9">B217</f>
        <v>0</v>
      </c>
      <c r="D217" s="161">
        <f t="shared" si="129"/>
        <v>0</v>
      </c>
      <c r="E217" s="161">
        <f t="shared" si="129"/>
        <v>0</v>
      </c>
      <c r="F217" s="161">
        <f t="shared" si="129"/>
        <v>0</v>
      </c>
      <c r="G217" s="161">
        <f t="shared" si="129"/>
        <v>0</v>
      </c>
      <c r="H217" s="161">
        <f t="shared" si="129"/>
        <v>0</v>
      </c>
      <c r="I217" s="161">
        <f t="shared" si="129"/>
        <v>0</v>
      </c>
      <c r="J217" s="161">
        <f t="shared" si="129"/>
        <v>0</v>
      </c>
      <c r="K217" s="161">
        <f t="shared" si="129"/>
        <v>0</v>
      </c>
      <c r="L217" s="161">
        <f t="shared" si="129"/>
        <v>0</v>
      </c>
      <c r="M217" s="161">
        <f t="shared" si="129"/>
        <v>0</v>
      </c>
      <c r="N217" s="161">
        <f t="shared" si="129"/>
        <v>0</v>
      </c>
      <c r="O217" s="161">
        <f t="shared" si="129"/>
        <v>0</v>
      </c>
      <c r="P217" s="161">
        <f t="shared" si="129"/>
        <v>0</v>
      </c>
      <c r="Q217" s="161">
        <f t="shared" si="129"/>
        <v>0</v>
      </c>
      <c r="R217" s="161">
        <f t="shared" si="129"/>
        <v>0</v>
      </c>
      <c r="S217" s="161">
        <f t="shared" si="128"/>
        <v>0</v>
      </c>
      <c r="T217" s="161">
        <f t="shared" si="128"/>
        <v>0</v>
      </c>
      <c r="U217" s="161">
        <f t="shared" si="128"/>
        <v>0</v>
      </c>
      <c r="V217" s="161">
        <f t="shared" si="128"/>
        <v>0</v>
      </c>
      <c r="W217" s="161">
        <f t="shared" si="128"/>
        <v>0</v>
      </c>
      <c r="X217" s="161">
        <f t="shared" si="128"/>
        <v>0</v>
      </c>
      <c r="Y217" s="161">
        <f t="shared" si="128"/>
        <v>0</v>
      </c>
      <c r="Z217" s="161">
        <f t="shared" si="128"/>
        <v>0</v>
      </c>
      <c r="AA217" s="161">
        <f t="shared" si="128"/>
        <v>0</v>
      </c>
      <c r="AB217" s="161">
        <f t="shared" si="128"/>
        <v>0</v>
      </c>
      <c r="AC217" s="161">
        <f t="shared" si="128"/>
        <v>0</v>
      </c>
      <c r="AD217" s="161">
        <f t="shared" si="128"/>
        <v>0</v>
      </c>
      <c r="AE217" s="161">
        <f t="shared" si="128"/>
        <v>0</v>
      </c>
      <c r="AF217" s="174">
        <f t="shared" si="12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9"/>
        <v>0</v>
      </c>
      <c r="D218" s="161">
        <f t="shared" si="129"/>
        <v>0</v>
      </c>
      <c r="E218" s="161">
        <f t="shared" si="129"/>
        <v>0</v>
      </c>
      <c r="F218" s="161">
        <f t="shared" si="129"/>
        <v>0</v>
      </c>
      <c r="G218" s="161">
        <f t="shared" si="129"/>
        <v>0</v>
      </c>
      <c r="H218" s="161">
        <f t="shared" si="129"/>
        <v>0</v>
      </c>
      <c r="I218" s="161">
        <f t="shared" si="129"/>
        <v>0</v>
      </c>
      <c r="J218" s="161">
        <f t="shared" si="129"/>
        <v>0</v>
      </c>
      <c r="K218" s="161">
        <f t="shared" si="129"/>
        <v>0</v>
      </c>
      <c r="L218" s="161">
        <f t="shared" si="129"/>
        <v>0</v>
      </c>
      <c r="M218" s="161">
        <f t="shared" si="129"/>
        <v>0</v>
      </c>
      <c r="N218" s="161">
        <f t="shared" si="129"/>
        <v>0</v>
      </c>
      <c r="O218" s="161">
        <f t="shared" si="129"/>
        <v>0</v>
      </c>
      <c r="P218" s="161">
        <f t="shared" si="129"/>
        <v>0</v>
      </c>
      <c r="Q218" s="161">
        <f t="shared" si="129"/>
        <v>0</v>
      </c>
      <c r="R218" s="161">
        <f t="shared" si="129"/>
        <v>0</v>
      </c>
      <c r="S218" s="161">
        <f t="shared" si="128"/>
        <v>0</v>
      </c>
      <c r="T218" s="161">
        <f t="shared" si="128"/>
        <v>0</v>
      </c>
      <c r="U218" s="161">
        <f t="shared" si="128"/>
        <v>0</v>
      </c>
      <c r="V218" s="161">
        <f t="shared" si="128"/>
        <v>0</v>
      </c>
      <c r="W218" s="161">
        <f t="shared" si="128"/>
        <v>0</v>
      </c>
      <c r="X218" s="161">
        <f t="shared" si="128"/>
        <v>0</v>
      </c>
      <c r="Y218" s="161">
        <f t="shared" si="128"/>
        <v>0</v>
      </c>
      <c r="Z218" s="161">
        <f t="shared" si="128"/>
        <v>0</v>
      </c>
      <c r="AA218" s="161">
        <f t="shared" si="128"/>
        <v>0</v>
      </c>
      <c r="AB218" s="161">
        <f t="shared" si="128"/>
        <v>0</v>
      </c>
      <c r="AC218" s="161">
        <f t="shared" si="128"/>
        <v>0</v>
      </c>
      <c r="AD218" s="161">
        <f t="shared" si="128"/>
        <v>0</v>
      </c>
      <c r="AE218" s="161">
        <f t="shared" si="128"/>
        <v>0</v>
      </c>
      <c r="AF218" s="174">
        <f t="shared" si="12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9"/>
        <v>0</v>
      </c>
      <c r="D219" s="161">
        <f t="shared" si="129"/>
        <v>0</v>
      </c>
      <c r="E219" s="161">
        <f t="shared" si="129"/>
        <v>0</v>
      </c>
      <c r="F219" s="161">
        <f t="shared" si="129"/>
        <v>0</v>
      </c>
      <c r="G219" s="161">
        <f t="shared" si="129"/>
        <v>0</v>
      </c>
      <c r="H219" s="161">
        <f t="shared" si="129"/>
        <v>0</v>
      </c>
      <c r="I219" s="161">
        <f t="shared" si="129"/>
        <v>0</v>
      </c>
      <c r="J219" s="161">
        <f t="shared" si="129"/>
        <v>0</v>
      </c>
      <c r="K219" s="161">
        <f t="shared" si="129"/>
        <v>0</v>
      </c>
      <c r="L219" s="161">
        <f t="shared" si="129"/>
        <v>0</v>
      </c>
      <c r="M219" s="161">
        <f t="shared" si="129"/>
        <v>0</v>
      </c>
      <c r="N219" s="161">
        <f t="shared" si="129"/>
        <v>0</v>
      </c>
      <c r="O219" s="161">
        <f t="shared" si="129"/>
        <v>0</v>
      </c>
      <c r="P219" s="161">
        <f t="shared" si="129"/>
        <v>0</v>
      </c>
      <c r="Q219" s="161">
        <f t="shared" si="129"/>
        <v>0</v>
      </c>
      <c r="R219" s="161">
        <f t="shared" si="129"/>
        <v>0</v>
      </c>
      <c r="S219" s="161">
        <f t="shared" si="128"/>
        <v>0</v>
      </c>
      <c r="T219" s="161">
        <f t="shared" si="128"/>
        <v>0</v>
      </c>
      <c r="U219" s="161">
        <f t="shared" si="128"/>
        <v>0</v>
      </c>
      <c r="V219" s="161">
        <f t="shared" si="128"/>
        <v>0</v>
      </c>
      <c r="W219" s="161">
        <f t="shared" si="128"/>
        <v>0</v>
      </c>
      <c r="X219" s="161">
        <f t="shared" si="128"/>
        <v>0</v>
      </c>
      <c r="Y219" s="161">
        <f t="shared" si="128"/>
        <v>0</v>
      </c>
      <c r="Z219" s="161">
        <f t="shared" si="128"/>
        <v>0</v>
      </c>
      <c r="AA219" s="161">
        <f t="shared" si="128"/>
        <v>0</v>
      </c>
      <c r="AB219" s="161">
        <f t="shared" si="128"/>
        <v>0</v>
      </c>
      <c r="AC219" s="161">
        <f t="shared" si="128"/>
        <v>0</v>
      </c>
      <c r="AD219" s="161">
        <f t="shared" si="128"/>
        <v>0</v>
      </c>
      <c r="AE219" s="161">
        <f t="shared" si="128"/>
        <v>0</v>
      </c>
      <c r="AF219" s="174">
        <f t="shared" si="12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9"/>
        <v>0</v>
      </c>
      <c r="D220" s="161">
        <f t="shared" si="129"/>
        <v>0</v>
      </c>
      <c r="E220" s="161">
        <f t="shared" si="129"/>
        <v>0</v>
      </c>
      <c r="F220" s="161">
        <f t="shared" si="129"/>
        <v>0</v>
      </c>
      <c r="G220" s="161">
        <f t="shared" si="129"/>
        <v>0</v>
      </c>
      <c r="H220" s="161">
        <f t="shared" si="129"/>
        <v>0</v>
      </c>
      <c r="I220" s="161">
        <f t="shared" si="129"/>
        <v>0</v>
      </c>
      <c r="J220" s="161">
        <f t="shared" si="129"/>
        <v>0</v>
      </c>
      <c r="K220" s="161">
        <f t="shared" si="129"/>
        <v>0</v>
      </c>
      <c r="L220" s="161">
        <f t="shared" si="129"/>
        <v>0</v>
      </c>
      <c r="M220" s="161">
        <f t="shared" si="129"/>
        <v>0</v>
      </c>
      <c r="N220" s="161">
        <f t="shared" si="129"/>
        <v>0</v>
      </c>
      <c r="O220" s="161">
        <f t="shared" si="129"/>
        <v>0</v>
      </c>
      <c r="P220" s="161">
        <f t="shared" si="129"/>
        <v>0</v>
      </c>
      <c r="Q220" s="161">
        <f t="shared" si="129"/>
        <v>0</v>
      </c>
      <c r="R220" s="161">
        <f t="shared" si="129"/>
        <v>0</v>
      </c>
      <c r="S220" s="161">
        <f t="shared" si="128"/>
        <v>0</v>
      </c>
      <c r="T220" s="161">
        <f t="shared" si="128"/>
        <v>0</v>
      </c>
      <c r="U220" s="161">
        <f t="shared" si="128"/>
        <v>0</v>
      </c>
      <c r="V220" s="161">
        <f t="shared" si="128"/>
        <v>0</v>
      </c>
      <c r="W220" s="161">
        <f t="shared" si="128"/>
        <v>0</v>
      </c>
      <c r="X220" s="161">
        <f t="shared" si="128"/>
        <v>0</v>
      </c>
      <c r="Y220" s="161">
        <f t="shared" si="128"/>
        <v>0</v>
      </c>
      <c r="Z220" s="161">
        <f t="shared" si="128"/>
        <v>0</v>
      </c>
      <c r="AA220" s="161">
        <f t="shared" si="128"/>
        <v>0</v>
      </c>
      <c r="AB220" s="161">
        <f t="shared" si="128"/>
        <v>0</v>
      </c>
      <c r="AC220" s="161">
        <f t="shared" si="128"/>
        <v>0</v>
      </c>
      <c r="AD220" s="161">
        <f t="shared" si="128"/>
        <v>0</v>
      </c>
      <c r="AE220" s="161">
        <f t="shared" si="128"/>
        <v>0</v>
      </c>
      <c r="AF220" s="174">
        <f t="shared" si="12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9"/>
        <v>0</v>
      </c>
      <c r="D221" s="161">
        <f t="shared" si="129"/>
        <v>0</v>
      </c>
      <c r="E221" s="161">
        <f t="shared" si="129"/>
        <v>0</v>
      </c>
      <c r="F221" s="161">
        <f t="shared" si="129"/>
        <v>0</v>
      </c>
      <c r="G221" s="161">
        <f t="shared" si="129"/>
        <v>0</v>
      </c>
      <c r="H221" s="161">
        <f t="shared" si="129"/>
        <v>0</v>
      </c>
      <c r="I221" s="161">
        <f t="shared" si="129"/>
        <v>0</v>
      </c>
      <c r="J221" s="161">
        <f t="shared" si="129"/>
        <v>0</v>
      </c>
      <c r="K221" s="161">
        <f t="shared" si="129"/>
        <v>0</v>
      </c>
      <c r="L221" s="161">
        <f t="shared" si="129"/>
        <v>0</v>
      </c>
      <c r="M221" s="161">
        <f t="shared" si="129"/>
        <v>0</v>
      </c>
      <c r="N221" s="161">
        <f t="shared" si="129"/>
        <v>0</v>
      </c>
      <c r="O221" s="161">
        <f t="shared" si="129"/>
        <v>0</v>
      </c>
      <c r="P221" s="161">
        <f t="shared" si="129"/>
        <v>0</v>
      </c>
      <c r="Q221" s="161">
        <f t="shared" si="129"/>
        <v>0</v>
      </c>
      <c r="R221" s="161">
        <f t="shared" si="129"/>
        <v>0</v>
      </c>
      <c r="S221" s="161">
        <f t="shared" si="128"/>
        <v>0</v>
      </c>
      <c r="T221" s="161">
        <f t="shared" si="128"/>
        <v>0</v>
      </c>
      <c r="U221" s="161">
        <f t="shared" si="128"/>
        <v>0</v>
      </c>
      <c r="V221" s="161">
        <f t="shared" si="128"/>
        <v>0</v>
      </c>
      <c r="W221" s="161">
        <f t="shared" si="128"/>
        <v>0</v>
      </c>
      <c r="X221" s="161">
        <f t="shared" si="128"/>
        <v>0</v>
      </c>
      <c r="Y221" s="161">
        <f t="shared" si="128"/>
        <v>0</v>
      </c>
      <c r="Z221" s="161">
        <f t="shared" si="128"/>
        <v>0</v>
      </c>
      <c r="AA221" s="161">
        <f t="shared" si="128"/>
        <v>0</v>
      </c>
      <c r="AB221" s="161">
        <f t="shared" si="128"/>
        <v>0</v>
      </c>
      <c r="AC221" s="161">
        <f t="shared" si="128"/>
        <v>0</v>
      </c>
      <c r="AD221" s="161">
        <f t="shared" si="128"/>
        <v>0</v>
      </c>
      <c r="AE221" s="161">
        <f t="shared" si="128"/>
        <v>0</v>
      </c>
      <c r="AF221" s="174">
        <f t="shared" si="12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9"/>
        <v>0</v>
      </c>
      <c r="D222" s="161">
        <f t="shared" si="129"/>
        <v>0</v>
      </c>
      <c r="E222" s="161">
        <f t="shared" si="129"/>
        <v>0</v>
      </c>
      <c r="F222" s="161">
        <f t="shared" si="129"/>
        <v>0</v>
      </c>
      <c r="G222" s="161">
        <f t="shared" si="129"/>
        <v>0</v>
      </c>
      <c r="H222" s="161">
        <f t="shared" si="129"/>
        <v>0</v>
      </c>
      <c r="I222" s="161">
        <f t="shared" si="129"/>
        <v>0</v>
      </c>
      <c r="J222" s="161">
        <f t="shared" si="129"/>
        <v>0</v>
      </c>
      <c r="K222" s="161">
        <f t="shared" si="129"/>
        <v>0</v>
      </c>
      <c r="L222" s="161">
        <f t="shared" si="129"/>
        <v>0</v>
      </c>
      <c r="M222" s="161">
        <f t="shared" si="129"/>
        <v>0</v>
      </c>
      <c r="N222" s="161">
        <f t="shared" si="129"/>
        <v>0</v>
      </c>
      <c r="O222" s="161">
        <f t="shared" si="129"/>
        <v>0</v>
      </c>
      <c r="P222" s="161">
        <f t="shared" si="129"/>
        <v>0</v>
      </c>
      <c r="Q222" s="161">
        <f t="shared" si="129"/>
        <v>0</v>
      </c>
      <c r="R222" s="161">
        <f t="shared" si="129"/>
        <v>0</v>
      </c>
      <c r="S222" s="161">
        <f t="shared" si="128"/>
        <v>0</v>
      </c>
      <c r="T222" s="161">
        <f t="shared" si="128"/>
        <v>0</v>
      </c>
      <c r="U222" s="161">
        <f t="shared" si="128"/>
        <v>0</v>
      </c>
      <c r="V222" s="161">
        <f t="shared" si="128"/>
        <v>0</v>
      </c>
      <c r="W222" s="161">
        <f t="shared" si="128"/>
        <v>0</v>
      </c>
      <c r="X222" s="161">
        <f t="shared" si="128"/>
        <v>0</v>
      </c>
      <c r="Y222" s="161">
        <f t="shared" si="128"/>
        <v>0</v>
      </c>
      <c r="Z222" s="161">
        <f t="shared" si="128"/>
        <v>0</v>
      </c>
      <c r="AA222" s="161">
        <f t="shared" si="128"/>
        <v>0</v>
      </c>
      <c r="AB222" s="161">
        <f t="shared" si="128"/>
        <v>0</v>
      </c>
      <c r="AC222" s="161">
        <f t="shared" si="128"/>
        <v>0</v>
      </c>
      <c r="AD222" s="161">
        <f t="shared" si="128"/>
        <v>0</v>
      </c>
      <c r="AE222" s="161">
        <f t="shared" si="128"/>
        <v>0</v>
      </c>
      <c r="AF222" s="174">
        <f t="shared" si="12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9"/>
        <v>0</v>
      </c>
      <c r="D223" s="161">
        <f t="shared" si="129"/>
        <v>0</v>
      </c>
      <c r="E223" s="161">
        <f t="shared" si="129"/>
        <v>0</v>
      </c>
      <c r="F223" s="161">
        <f t="shared" si="129"/>
        <v>0</v>
      </c>
      <c r="G223" s="161">
        <f t="shared" si="129"/>
        <v>0</v>
      </c>
      <c r="H223" s="161">
        <f t="shared" si="129"/>
        <v>0</v>
      </c>
      <c r="I223" s="161">
        <f t="shared" si="129"/>
        <v>0</v>
      </c>
      <c r="J223" s="161">
        <f t="shared" si="129"/>
        <v>0</v>
      </c>
      <c r="K223" s="161">
        <f t="shared" si="129"/>
        <v>0</v>
      </c>
      <c r="L223" s="161">
        <f t="shared" si="129"/>
        <v>0</v>
      </c>
      <c r="M223" s="161">
        <f t="shared" si="129"/>
        <v>0</v>
      </c>
      <c r="N223" s="161">
        <f t="shared" si="129"/>
        <v>0</v>
      </c>
      <c r="O223" s="161">
        <f t="shared" si="129"/>
        <v>0</v>
      </c>
      <c r="P223" s="161">
        <f t="shared" si="129"/>
        <v>0</v>
      </c>
      <c r="Q223" s="161">
        <f t="shared" si="129"/>
        <v>0</v>
      </c>
      <c r="R223" s="161">
        <f t="shared" si="129"/>
        <v>0</v>
      </c>
      <c r="S223" s="161">
        <f t="shared" si="128"/>
        <v>0</v>
      </c>
      <c r="T223" s="161">
        <f t="shared" si="128"/>
        <v>0</v>
      </c>
      <c r="U223" s="161">
        <f t="shared" si="128"/>
        <v>0</v>
      </c>
      <c r="V223" s="161">
        <f t="shared" si="128"/>
        <v>0</v>
      </c>
      <c r="W223" s="161">
        <f t="shared" si="128"/>
        <v>0</v>
      </c>
      <c r="X223" s="161">
        <f t="shared" si="128"/>
        <v>0</v>
      </c>
      <c r="Y223" s="161">
        <f t="shared" si="128"/>
        <v>0</v>
      </c>
      <c r="Z223" s="161">
        <f t="shared" si="128"/>
        <v>0</v>
      </c>
      <c r="AA223" s="161">
        <f t="shared" si="128"/>
        <v>0</v>
      </c>
      <c r="AB223" s="161">
        <f t="shared" si="128"/>
        <v>0</v>
      </c>
      <c r="AC223" s="161">
        <f t="shared" si="128"/>
        <v>0</v>
      </c>
      <c r="AD223" s="161">
        <f t="shared" si="128"/>
        <v>0</v>
      </c>
      <c r="AE223" s="161">
        <f t="shared" si="128"/>
        <v>0</v>
      </c>
      <c r="AF223" s="174">
        <f t="shared" si="12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9"/>
        <v>0</v>
      </c>
      <c r="D224" s="161">
        <f t="shared" si="129"/>
        <v>0</v>
      </c>
      <c r="E224" s="161">
        <f t="shared" si="129"/>
        <v>0</v>
      </c>
      <c r="F224" s="161">
        <f t="shared" si="129"/>
        <v>0</v>
      </c>
      <c r="G224" s="161">
        <f t="shared" si="129"/>
        <v>0</v>
      </c>
      <c r="H224" s="161">
        <f t="shared" si="129"/>
        <v>0</v>
      </c>
      <c r="I224" s="161">
        <f t="shared" si="129"/>
        <v>0</v>
      </c>
      <c r="J224" s="161">
        <f t="shared" si="129"/>
        <v>0</v>
      </c>
      <c r="K224" s="161">
        <f t="shared" si="129"/>
        <v>0</v>
      </c>
      <c r="L224" s="161">
        <f t="shared" si="129"/>
        <v>0</v>
      </c>
      <c r="M224" s="161">
        <f t="shared" si="129"/>
        <v>0</v>
      </c>
      <c r="N224" s="161">
        <f t="shared" si="129"/>
        <v>0</v>
      </c>
      <c r="O224" s="161">
        <f t="shared" si="129"/>
        <v>0</v>
      </c>
      <c r="P224" s="161">
        <f t="shared" si="129"/>
        <v>0</v>
      </c>
      <c r="Q224" s="161">
        <f t="shared" si="129"/>
        <v>0</v>
      </c>
      <c r="R224" s="161">
        <f t="shared" si="129"/>
        <v>0</v>
      </c>
      <c r="S224" s="161">
        <f t="shared" si="128"/>
        <v>0</v>
      </c>
      <c r="T224" s="161">
        <f t="shared" si="128"/>
        <v>0</v>
      </c>
      <c r="U224" s="161">
        <f t="shared" si="128"/>
        <v>0</v>
      </c>
      <c r="V224" s="161">
        <f t="shared" si="128"/>
        <v>0</v>
      </c>
      <c r="W224" s="161">
        <f t="shared" si="128"/>
        <v>0</v>
      </c>
      <c r="X224" s="161">
        <f t="shared" si="128"/>
        <v>0</v>
      </c>
      <c r="Y224" s="161">
        <f t="shared" si="128"/>
        <v>0</v>
      </c>
      <c r="Z224" s="161">
        <f t="shared" si="128"/>
        <v>0</v>
      </c>
      <c r="AA224" s="161">
        <f t="shared" si="128"/>
        <v>0</v>
      </c>
      <c r="AB224" s="161">
        <f t="shared" si="128"/>
        <v>0</v>
      </c>
      <c r="AC224" s="161">
        <f t="shared" si="128"/>
        <v>0</v>
      </c>
      <c r="AD224" s="161">
        <f t="shared" si="128"/>
        <v>0</v>
      </c>
      <c r="AE224" s="161">
        <f t="shared" si="128"/>
        <v>0</v>
      </c>
      <c r="AF224" s="174">
        <f t="shared" si="12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9"/>
        <v>0</v>
      </c>
      <c r="D225" s="161">
        <f t="shared" si="129"/>
        <v>0</v>
      </c>
      <c r="E225" s="161">
        <f t="shared" si="129"/>
        <v>0</v>
      </c>
      <c r="F225" s="161">
        <f t="shared" si="129"/>
        <v>0</v>
      </c>
      <c r="G225" s="161">
        <f t="shared" si="129"/>
        <v>0</v>
      </c>
      <c r="H225" s="161">
        <f t="shared" si="129"/>
        <v>0</v>
      </c>
      <c r="I225" s="161">
        <f t="shared" si="129"/>
        <v>0</v>
      </c>
      <c r="J225" s="161">
        <f t="shared" si="129"/>
        <v>0</v>
      </c>
      <c r="K225" s="161">
        <f t="shared" si="129"/>
        <v>0</v>
      </c>
      <c r="L225" s="161">
        <f t="shared" si="129"/>
        <v>0</v>
      </c>
      <c r="M225" s="161">
        <f t="shared" si="129"/>
        <v>0</v>
      </c>
      <c r="N225" s="161">
        <f t="shared" si="129"/>
        <v>0</v>
      </c>
      <c r="O225" s="161">
        <f t="shared" si="129"/>
        <v>0</v>
      </c>
      <c r="P225" s="161">
        <f t="shared" si="129"/>
        <v>0</v>
      </c>
      <c r="Q225" s="161">
        <f t="shared" si="129"/>
        <v>0</v>
      </c>
      <c r="R225" s="161">
        <f t="shared" si="129"/>
        <v>0</v>
      </c>
      <c r="S225" s="161">
        <f t="shared" si="128"/>
        <v>0</v>
      </c>
      <c r="T225" s="161">
        <f t="shared" si="128"/>
        <v>0</v>
      </c>
      <c r="U225" s="161">
        <f t="shared" si="128"/>
        <v>0</v>
      </c>
      <c r="V225" s="161">
        <f t="shared" si="128"/>
        <v>0</v>
      </c>
      <c r="W225" s="161">
        <f t="shared" si="128"/>
        <v>0</v>
      </c>
      <c r="X225" s="161">
        <f t="shared" si="128"/>
        <v>0</v>
      </c>
      <c r="Y225" s="161">
        <f t="shared" si="128"/>
        <v>0</v>
      </c>
      <c r="Z225" s="161">
        <f t="shared" si="128"/>
        <v>0</v>
      </c>
      <c r="AA225" s="161">
        <f t="shared" si="128"/>
        <v>0</v>
      </c>
      <c r="AB225" s="161">
        <f t="shared" si="128"/>
        <v>0</v>
      </c>
      <c r="AC225" s="161">
        <f t="shared" si="128"/>
        <v>0</v>
      </c>
      <c r="AD225" s="161">
        <f t="shared" si="128"/>
        <v>0</v>
      </c>
      <c r="AE225" s="161">
        <f t="shared" si="128"/>
        <v>0</v>
      </c>
      <c r="AF225" s="174">
        <f t="shared" si="12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9"/>
        <v>0</v>
      </c>
      <c r="D226" s="161">
        <f t="shared" si="129"/>
        <v>0</v>
      </c>
      <c r="E226" s="161">
        <f t="shared" si="129"/>
        <v>0</v>
      </c>
      <c r="F226" s="161">
        <f t="shared" si="129"/>
        <v>0</v>
      </c>
      <c r="G226" s="161">
        <f t="shared" si="129"/>
        <v>0</v>
      </c>
      <c r="H226" s="161">
        <f t="shared" si="129"/>
        <v>0</v>
      </c>
      <c r="I226" s="161">
        <f t="shared" si="129"/>
        <v>0</v>
      </c>
      <c r="J226" s="161">
        <f t="shared" si="129"/>
        <v>0</v>
      </c>
      <c r="K226" s="161">
        <f t="shared" si="129"/>
        <v>0</v>
      </c>
      <c r="L226" s="161">
        <f t="shared" si="129"/>
        <v>0</v>
      </c>
      <c r="M226" s="161">
        <f t="shared" si="129"/>
        <v>0</v>
      </c>
      <c r="N226" s="161">
        <f t="shared" si="129"/>
        <v>0</v>
      </c>
      <c r="O226" s="161">
        <f t="shared" si="129"/>
        <v>0</v>
      </c>
      <c r="P226" s="161">
        <f t="shared" si="129"/>
        <v>0</v>
      </c>
      <c r="Q226" s="161">
        <f t="shared" si="129"/>
        <v>0</v>
      </c>
      <c r="R226" s="161">
        <f t="shared" si="129"/>
        <v>0</v>
      </c>
      <c r="S226" s="161">
        <f t="shared" si="128"/>
        <v>0</v>
      </c>
      <c r="T226" s="161">
        <f t="shared" si="128"/>
        <v>0</v>
      </c>
      <c r="U226" s="161">
        <f t="shared" si="128"/>
        <v>0</v>
      </c>
      <c r="V226" s="161">
        <f t="shared" si="128"/>
        <v>0</v>
      </c>
      <c r="W226" s="161">
        <f t="shared" si="128"/>
        <v>0</v>
      </c>
      <c r="X226" s="161">
        <f t="shared" si="128"/>
        <v>0</v>
      </c>
      <c r="Y226" s="161">
        <f t="shared" si="128"/>
        <v>0</v>
      </c>
      <c r="Z226" s="161">
        <f t="shared" si="128"/>
        <v>0</v>
      </c>
      <c r="AA226" s="161">
        <f t="shared" si="128"/>
        <v>0</v>
      </c>
      <c r="AB226" s="161">
        <f t="shared" si="128"/>
        <v>0</v>
      </c>
      <c r="AC226" s="161">
        <f t="shared" si="128"/>
        <v>0</v>
      </c>
      <c r="AD226" s="161">
        <f t="shared" si="128"/>
        <v>0</v>
      </c>
      <c r="AE226" s="161">
        <f t="shared" si="128"/>
        <v>0</v>
      </c>
      <c r="AF226" s="174">
        <f t="shared" si="12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9"/>
        <v>0</v>
      </c>
      <c r="D227" s="161">
        <f t="shared" si="129"/>
        <v>0</v>
      </c>
      <c r="E227" s="161">
        <f t="shared" si="129"/>
        <v>0</v>
      </c>
      <c r="F227" s="161">
        <f t="shared" si="129"/>
        <v>0</v>
      </c>
      <c r="G227" s="161">
        <f t="shared" si="129"/>
        <v>0</v>
      </c>
      <c r="H227" s="161">
        <f t="shared" si="129"/>
        <v>0</v>
      </c>
      <c r="I227" s="161">
        <f t="shared" si="129"/>
        <v>0</v>
      </c>
      <c r="J227" s="161">
        <f t="shared" si="129"/>
        <v>0</v>
      </c>
      <c r="K227" s="161">
        <f t="shared" si="129"/>
        <v>0</v>
      </c>
      <c r="L227" s="161">
        <f t="shared" si="129"/>
        <v>0</v>
      </c>
      <c r="M227" s="161">
        <f t="shared" si="129"/>
        <v>0</v>
      </c>
      <c r="N227" s="161">
        <f t="shared" si="129"/>
        <v>0</v>
      </c>
      <c r="O227" s="161">
        <f t="shared" si="129"/>
        <v>0</v>
      </c>
      <c r="P227" s="161">
        <f t="shared" si="129"/>
        <v>0</v>
      </c>
      <c r="Q227" s="161">
        <f t="shared" si="129"/>
        <v>0</v>
      </c>
      <c r="R227" s="161">
        <f t="shared" si="129"/>
        <v>0</v>
      </c>
      <c r="S227" s="161">
        <f t="shared" si="128"/>
        <v>0</v>
      </c>
      <c r="T227" s="161">
        <f t="shared" si="128"/>
        <v>0</v>
      </c>
      <c r="U227" s="161">
        <f t="shared" si="128"/>
        <v>0</v>
      </c>
      <c r="V227" s="161">
        <f t="shared" si="128"/>
        <v>0</v>
      </c>
      <c r="W227" s="161">
        <f t="shared" si="128"/>
        <v>0</v>
      </c>
      <c r="X227" s="161">
        <f t="shared" si="128"/>
        <v>0</v>
      </c>
      <c r="Y227" s="161">
        <f t="shared" si="128"/>
        <v>0</v>
      </c>
      <c r="Z227" s="161">
        <f t="shared" si="128"/>
        <v>0</v>
      </c>
      <c r="AA227" s="161">
        <f t="shared" si="128"/>
        <v>0</v>
      </c>
      <c r="AB227" s="161">
        <f t="shared" si="128"/>
        <v>0</v>
      </c>
      <c r="AC227" s="161">
        <f t="shared" si="128"/>
        <v>0</v>
      </c>
      <c r="AD227" s="161">
        <f t="shared" si="128"/>
        <v>0</v>
      </c>
      <c r="AE227" s="161">
        <f t="shared" si="128"/>
        <v>0</v>
      </c>
      <c r="AF227" s="174">
        <f t="shared" si="12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9"/>
        <v>0</v>
      </c>
      <c r="D228" s="161">
        <f t="shared" si="129"/>
        <v>0</v>
      </c>
      <c r="E228" s="161">
        <f t="shared" si="129"/>
        <v>0</v>
      </c>
      <c r="F228" s="161">
        <f t="shared" si="129"/>
        <v>0</v>
      </c>
      <c r="G228" s="161">
        <f t="shared" si="129"/>
        <v>0</v>
      </c>
      <c r="H228" s="161">
        <f t="shared" si="129"/>
        <v>0</v>
      </c>
      <c r="I228" s="161">
        <f t="shared" si="129"/>
        <v>0</v>
      </c>
      <c r="J228" s="161">
        <f t="shared" si="129"/>
        <v>0</v>
      </c>
      <c r="K228" s="161">
        <f t="shared" si="129"/>
        <v>0</v>
      </c>
      <c r="L228" s="161">
        <f t="shared" si="129"/>
        <v>0</v>
      </c>
      <c r="M228" s="161">
        <f t="shared" si="129"/>
        <v>0</v>
      </c>
      <c r="N228" s="161">
        <f t="shared" si="129"/>
        <v>0</v>
      </c>
      <c r="O228" s="161">
        <f t="shared" si="129"/>
        <v>0</v>
      </c>
      <c r="P228" s="161">
        <f t="shared" si="129"/>
        <v>0</v>
      </c>
      <c r="Q228" s="161">
        <f t="shared" si="129"/>
        <v>0</v>
      </c>
      <c r="R228" s="161">
        <f t="shared" si="129"/>
        <v>0</v>
      </c>
      <c r="S228" s="161">
        <f t="shared" si="128"/>
        <v>0</v>
      </c>
      <c r="T228" s="161">
        <f t="shared" si="128"/>
        <v>0</v>
      </c>
      <c r="U228" s="161">
        <f t="shared" si="128"/>
        <v>0</v>
      </c>
      <c r="V228" s="161">
        <f t="shared" si="128"/>
        <v>0</v>
      </c>
      <c r="W228" s="161">
        <f t="shared" si="128"/>
        <v>0</v>
      </c>
      <c r="X228" s="161">
        <f t="shared" si="128"/>
        <v>0</v>
      </c>
      <c r="Y228" s="161">
        <f t="shared" si="128"/>
        <v>0</v>
      </c>
      <c r="Z228" s="161">
        <f t="shared" si="128"/>
        <v>0</v>
      </c>
      <c r="AA228" s="161">
        <f t="shared" si="128"/>
        <v>0</v>
      </c>
      <c r="AB228" s="161">
        <f t="shared" si="128"/>
        <v>0</v>
      </c>
      <c r="AC228" s="161">
        <f t="shared" si="128"/>
        <v>0</v>
      </c>
      <c r="AD228" s="161">
        <f t="shared" si="128"/>
        <v>0</v>
      </c>
      <c r="AE228" s="161">
        <f t="shared" si="128"/>
        <v>0</v>
      </c>
      <c r="AF228" s="174">
        <f t="shared" si="12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9"/>
        <v>0</v>
      </c>
      <c r="D229" s="161">
        <f t="shared" si="129"/>
        <v>0</v>
      </c>
      <c r="E229" s="161">
        <f t="shared" si="129"/>
        <v>0</v>
      </c>
      <c r="F229" s="161">
        <f t="shared" si="129"/>
        <v>0</v>
      </c>
      <c r="G229" s="161">
        <f t="shared" si="129"/>
        <v>0</v>
      </c>
      <c r="H229" s="161">
        <f t="shared" si="129"/>
        <v>0</v>
      </c>
      <c r="I229" s="161">
        <f t="shared" si="129"/>
        <v>0</v>
      </c>
      <c r="J229" s="161">
        <f t="shared" si="129"/>
        <v>0</v>
      </c>
      <c r="K229" s="161">
        <f t="shared" si="129"/>
        <v>0</v>
      </c>
      <c r="L229" s="161">
        <f t="shared" si="129"/>
        <v>0</v>
      </c>
      <c r="M229" s="161">
        <f t="shared" si="129"/>
        <v>0</v>
      </c>
      <c r="N229" s="161">
        <f t="shared" si="129"/>
        <v>0</v>
      </c>
      <c r="O229" s="161">
        <f t="shared" si="129"/>
        <v>0</v>
      </c>
      <c r="P229" s="161">
        <f t="shared" si="129"/>
        <v>0</v>
      </c>
      <c r="Q229" s="161">
        <f t="shared" si="129"/>
        <v>0</v>
      </c>
      <c r="R229" s="161">
        <f t="shared" si="129"/>
        <v>0</v>
      </c>
      <c r="S229" s="161">
        <f t="shared" si="128"/>
        <v>0</v>
      </c>
      <c r="T229" s="161">
        <f t="shared" si="128"/>
        <v>0</v>
      </c>
      <c r="U229" s="161">
        <f t="shared" si="128"/>
        <v>0</v>
      </c>
      <c r="V229" s="161">
        <f t="shared" si="128"/>
        <v>0</v>
      </c>
      <c r="W229" s="161">
        <f t="shared" si="128"/>
        <v>0</v>
      </c>
      <c r="X229" s="161">
        <f t="shared" si="128"/>
        <v>0</v>
      </c>
      <c r="Y229" s="161">
        <f t="shared" si="128"/>
        <v>0</v>
      </c>
      <c r="Z229" s="161">
        <f t="shared" si="128"/>
        <v>0</v>
      </c>
      <c r="AA229" s="161">
        <f t="shared" si="128"/>
        <v>0</v>
      </c>
      <c r="AB229" s="161">
        <f t="shared" si="128"/>
        <v>0</v>
      </c>
      <c r="AC229" s="161">
        <f t="shared" si="128"/>
        <v>0</v>
      </c>
      <c r="AD229" s="161">
        <f t="shared" si="128"/>
        <v>0</v>
      </c>
      <c r="AE229" s="161">
        <f t="shared" si="128"/>
        <v>0</v>
      </c>
      <c r="AF229" s="174">
        <f t="shared" si="12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9"/>
        <v>0</v>
      </c>
      <c r="D230" s="161">
        <f t="shared" si="129"/>
        <v>0</v>
      </c>
      <c r="E230" s="161">
        <f t="shared" si="129"/>
        <v>0</v>
      </c>
      <c r="F230" s="161">
        <f t="shared" si="129"/>
        <v>0</v>
      </c>
      <c r="G230" s="161">
        <f t="shared" si="129"/>
        <v>0</v>
      </c>
      <c r="H230" s="161">
        <f t="shared" si="129"/>
        <v>0</v>
      </c>
      <c r="I230" s="161">
        <f t="shared" si="129"/>
        <v>0</v>
      </c>
      <c r="J230" s="161">
        <f t="shared" si="129"/>
        <v>0</v>
      </c>
      <c r="K230" s="161">
        <f t="shared" si="129"/>
        <v>0</v>
      </c>
      <c r="L230" s="161">
        <f t="shared" si="129"/>
        <v>0</v>
      </c>
      <c r="M230" s="161">
        <f t="shared" si="129"/>
        <v>0</v>
      </c>
      <c r="N230" s="161">
        <f t="shared" si="129"/>
        <v>0</v>
      </c>
      <c r="O230" s="161">
        <f t="shared" si="129"/>
        <v>0</v>
      </c>
      <c r="P230" s="161">
        <f t="shared" si="129"/>
        <v>0</v>
      </c>
      <c r="Q230" s="161">
        <f t="shared" si="129"/>
        <v>0</v>
      </c>
      <c r="R230" s="161">
        <f t="shared" si="129"/>
        <v>0</v>
      </c>
      <c r="S230" s="161">
        <f t="shared" si="128"/>
        <v>0</v>
      </c>
      <c r="T230" s="161">
        <f t="shared" si="128"/>
        <v>0</v>
      </c>
      <c r="U230" s="161">
        <f t="shared" si="128"/>
        <v>0</v>
      </c>
      <c r="V230" s="161">
        <f t="shared" si="128"/>
        <v>0</v>
      </c>
      <c r="W230" s="161">
        <f t="shared" si="128"/>
        <v>0</v>
      </c>
      <c r="X230" s="161">
        <f t="shared" si="128"/>
        <v>0</v>
      </c>
      <c r="Y230" s="161">
        <f t="shared" si="128"/>
        <v>0</v>
      </c>
      <c r="Z230" s="161">
        <f t="shared" si="128"/>
        <v>0</v>
      </c>
      <c r="AA230" s="161">
        <f t="shared" si="128"/>
        <v>0</v>
      </c>
      <c r="AB230" s="161">
        <f t="shared" si="128"/>
        <v>0</v>
      </c>
      <c r="AC230" s="161">
        <f t="shared" si="128"/>
        <v>0</v>
      </c>
      <c r="AD230" s="161">
        <f t="shared" si="128"/>
        <v>0</v>
      </c>
      <c r="AE230" s="161">
        <f t="shared" si="128"/>
        <v>0</v>
      </c>
      <c r="AF230" s="174">
        <f t="shared" si="12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9"/>
        <v>0</v>
      </c>
      <c r="D231" s="161">
        <f t="shared" si="129"/>
        <v>0</v>
      </c>
      <c r="E231" s="161">
        <f t="shared" si="129"/>
        <v>0</v>
      </c>
      <c r="F231" s="161">
        <f t="shared" si="129"/>
        <v>0</v>
      </c>
      <c r="G231" s="161">
        <f t="shared" si="129"/>
        <v>0</v>
      </c>
      <c r="H231" s="161">
        <f t="shared" si="129"/>
        <v>0</v>
      </c>
      <c r="I231" s="161">
        <f t="shared" si="129"/>
        <v>0</v>
      </c>
      <c r="J231" s="161">
        <f t="shared" si="129"/>
        <v>0</v>
      </c>
      <c r="K231" s="161">
        <f t="shared" si="129"/>
        <v>0</v>
      </c>
      <c r="L231" s="161">
        <f t="shared" si="129"/>
        <v>0</v>
      </c>
      <c r="M231" s="161">
        <f t="shared" si="129"/>
        <v>0</v>
      </c>
      <c r="N231" s="161">
        <f t="shared" si="129"/>
        <v>0</v>
      </c>
      <c r="O231" s="161">
        <f t="shared" si="129"/>
        <v>0</v>
      </c>
      <c r="P231" s="161">
        <f t="shared" si="129"/>
        <v>0</v>
      </c>
      <c r="Q231" s="161">
        <f t="shared" si="129"/>
        <v>0</v>
      </c>
      <c r="R231" s="161">
        <f t="shared" si="129"/>
        <v>0</v>
      </c>
      <c r="S231" s="161">
        <f t="shared" si="128"/>
        <v>0</v>
      </c>
      <c r="T231" s="161">
        <f t="shared" si="128"/>
        <v>0</v>
      </c>
      <c r="U231" s="161">
        <f t="shared" si="128"/>
        <v>0</v>
      </c>
      <c r="V231" s="161">
        <f t="shared" si="128"/>
        <v>0</v>
      </c>
      <c r="W231" s="161">
        <f t="shared" si="128"/>
        <v>0</v>
      </c>
      <c r="X231" s="161">
        <f t="shared" si="128"/>
        <v>0</v>
      </c>
      <c r="Y231" s="161">
        <f t="shared" si="128"/>
        <v>0</v>
      </c>
      <c r="Z231" s="161">
        <f t="shared" si="128"/>
        <v>0</v>
      </c>
      <c r="AA231" s="161">
        <f t="shared" si="128"/>
        <v>0</v>
      </c>
      <c r="AB231" s="161">
        <f t="shared" si="128"/>
        <v>0</v>
      </c>
      <c r="AC231" s="161">
        <f t="shared" si="128"/>
        <v>0</v>
      </c>
      <c r="AD231" s="161">
        <f t="shared" si="128"/>
        <v>0</v>
      </c>
      <c r="AE231" s="161">
        <f t="shared" si="128"/>
        <v>0</v>
      </c>
      <c r="AF231" s="174">
        <f t="shared" si="12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9"/>
        <v>0</v>
      </c>
      <c r="D232" s="161">
        <f t="shared" si="129"/>
        <v>0</v>
      </c>
      <c r="E232" s="161">
        <f t="shared" si="129"/>
        <v>0</v>
      </c>
      <c r="F232" s="161">
        <f t="shared" si="129"/>
        <v>0</v>
      </c>
      <c r="G232" s="161">
        <f t="shared" si="129"/>
        <v>0</v>
      </c>
      <c r="H232" s="161">
        <f t="shared" si="129"/>
        <v>0</v>
      </c>
      <c r="I232" s="161">
        <f t="shared" si="129"/>
        <v>0</v>
      </c>
      <c r="J232" s="161">
        <f t="shared" si="129"/>
        <v>0</v>
      </c>
      <c r="K232" s="161">
        <f t="shared" si="129"/>
        <v>0</v>
      </c>
      <c r="L232" s="161">
        <f t="shared" si="129"/>
        <v>0</v>
      </c>
      <c r="M232" s="161">
        <f t="shared" si="129"/>
        <v>0</v>
      </c>
      <c r="N232" s="161">
        <f t="shared" si="129"/>
        <v>0</v>
      </c>
      <c r="O232" s="161">
        <f t="shared" si="129"/>
        <v>0</v>
      </c>
      <c r="P232" s="161">
        <f t="shared" si="129"/>
        <v>0</v>
      </c>
      <c r="Q232" s="161">
        <f t="shared" si="129"/>
        <v>0</v>
      </c>
      <c r="R232" s="161">
        <f t="shared" ref="R232:AF247" si="130">Q232</f>
        <v>0</v>
      </c>
      <c r="S232" s="161">
        <f t="shared" si="130"/>
        <v>0</v>
      </c>
      <c r="T232" s="161">
        <f t="shared" si="130"/>
        <v>0</v>
      </c>
      <c r="U232" s="161">
        <f t="shared" si="130"/>
        <v>0</v>
      </c>
      <c r="V232" s="161">
        <f t="shared" si="130"/>
        <v>0</v>
      </c>
      <c r="W232" s="161">
        <f t="shared" si="130"/>
        <v>0</v>
      </c>
      <c r="X232" s="161">
        <f t="shared" si="130"/>
        <v>0</v>
      </c>
      <c r="Y232" s="161">
        <f t="shared" si="130"/>
        <v>0</v>
      </c>
      <c r="Z232" s="161">
        <f t="shared" si="130"/>
        <v>0</v>
      </c>
      <c r="AA232" s="161">
        <f t="shared" si="130"/>
        <v>0</v>
      </c>
      <c r="AB232" s="161">
        <f t="shared" si="130"/>
        <v>0</v>
      </c>
      <c r="AC232" s="161">
        <f t="shared" si="130"/>
        <v>0</v>
      </c>
      <c r="AD232" s="161">
        <f t="shared" si="130"/>
        <v>0</v>
      </c>
      <c r="AE232" s="161">
        <f t="shared" si="130"/>
        <v>0</v>
      </c>
      <c r="AF232" s="174">
        <f t="shared" si="13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1">B233</f>
        <v>0</v>
      </c>
      <c r="D233" s="161">
        <f t="shared" si="131"/>
        <v>0</v>
      </c>
      <c r="E233" s="161">
        <f t="shared" si="131"/>
        <v>0</v>
      </c>
      <c r="F233" s="161">
        <f t="shared" si="131"/>
        <v>0</v>
      </c>
      <c r="G233" s="161">
        <f t="shared" si="131"/>
        <v>0</v>
      </c>
      <c r="H233" s="161">
        <f t="shared" si="131"/>
        <v>0</v>
      </c>
      <c r="I233" s="161">
        <f t="shared" si="131"/>
        <v>0</v>
      </c>
      <c r="J233" s="161">
        <f t="shared" si="131"/>
        <v>0</v>
      </c>
      <c r="K233" s="161">
        <f t="shared" si="131"/>
        <v>0</v>
      </c>
      <c r="L233" s="161">
        <f t="shared" si="131"/>
        <v>0</v>
      </c>
      <c r="M233" s="161">
        <f t="shared" si="131"/>
        <v>0</v>
      </c>
      <c r="N233" s="161">
        <f t="shared" si="131"/>
        <v>0</v>
      </c>
      <c r="O233" s="161">
        <f t="shared" si="131"/>
        <v>0</v>
      </c>
      <c r="P233" s="161">
        <f t="shared" si="131"/>
        <v>0</v>
      </c>
      <c r="Q233" s="161">
        <f t="shared" si="131"/>
        <v>0</v>
      </c>
      <c r="R233" s="161">
        <f t="shared" si="131"/>
        <v>0</v>
      </c>
      <c r="S233" s="161">
        <f t="shared" si="130"/>
        <v>0</v>
      </c>
      <c r="T233" s="161">
        <f t="shared" si="130"/>
        <v>0</v>
      </c>
      <c r="U233" s="161">
        <f t="shared" si="130"/>
        <v>0</v>
      </c>
      <c r="V233" s="161">
        <f t="shared" si="130"/>
        <v>0</v>
      </c>
      <c r="W233" s="161">
        <f t="shared" si="130"/>
        <v>0</v>
      </c>
      <c r="X233" s="161">
        <f t="shared" si="130"/>
        <v>0</v>
      </c>
      <c r="Y233" s="161">
        <f t="shared" si="130"/>
        <v>0</v>
      </c>
      <c r="Z233" s="161">
        <f t="shared" si="130"/>
        <v>0</v>
      </c>
      <c r="AA233" s="161">
        <f t="shared" si="130"/>
        <v>0</v>
      </c>
      <c r="AB233" s="161">
        <f t="shared" si="130"/>
        <v>0</v>
      </c>
      <c r="AC233" s="161">
        <f t="shared" si="130"/>
        <v>0</v>
      </c>
      <c r="AD233" s="161">
        <f t="shared" si="130"/>
        <v>0</v>
      </c>
      <c r="AE233" s="161">
        <f t="shared" si="130"/>
        <v>0</v>
      </c>
      <c r="AF233" s="174">
        <f t="shared" si="13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1"/>
        <v>0</v>
      </c>
      <c r="D234" s="161">
        <f t="shared" si="131"/>
        <v>0</v>
      </c>
      <c r="E234" s="161">
        <f t="shared" si="131"/>
        <v>0</v>
      </c>
      <c r="F234" s="161">
        <f t="shared" si="131"/>
        <v>0</v>
      </c>
      <c r="G234" s="161">
        <f t="shared" si="131"/>
        <v>0</v>
      </c>
      <c r="H234" s="161">
        <f t="shared" si="131"/>
        <v>0</v>
      </c>
      <c r="I234" s="161">
        <f t="shared" si="131"/>
        <v>0</v>
      </c>
      <c r="J234" s="161">
        <f t="shared" si="131"/>
        <v>0</v>
      </c>
      <c r="K234" s="161">
        <f t="shared" si="131"/>
        <v>0</v>
      </c>
      <c r="L234" s="161">
        <f t="shared" si="131"/>
        <v>0</v>
      </c>
      <c r="M234" s="161">
        <f t="shared" si="131"/>
        <v>0</v>
      </c>
      <c r="N234" s="161">
        <f t="shared" si="131"/>
        <v>0</v>
      </c>
      <c r="O234" s="161">
        <f t="shared" si="131"/>
        <v>0</v>
      </c>
      <c r="P234" s="161">
        <f t="shared" si="131"/>
        <v>0</v>
      </c>
      <c r="Q234" s="161">
        <f t="shared" si="131"/>
        <v>0</v>
      </c>
      <c r="R234" s="161">
        <f t="shared" si="131"/>
        <v>0</v>
      </c>
      <c r="S234" s="161">
        <f t="shared" si="130"/>
        <v>0</v>
      </c>
      <c r="T234" s="161">
        <f t="shared" si="130"/>
        <v>0</v>
      </c>
      <c r="U234" s="161">
        <f t="shared" si="130"/>
        <v>0</v>
      </c>
      <c r="V234" s="161">
        <f t="shared" si="130"/>
        <v>0</v>
      </c>
      <c r="W234" s="161">
        <f t="shared" si="130"/>
        <v>0</v>
      </c>
      <c r="X234" s="161">
        <f t="shared" si="130"/>
        <v>0</v>
      </c>
      <c r="Y234" s="161">
        <f t="shared" si="130"/>
        <v>0</v>
      </c>
      <c r="Z234" s="161">
        <f t="shared" si="130"/>
        <v>0</v>
      </c>
      <c r="AA234" s="161">
        <f t="shared" si="130"/>
        <v>0</v>
      </c>
      <c r="AB234" s="161">
        <f t="shared" si="130"/>
        <v>0</v>
      </c>
      <c r="AC234" s="161">
        <f t="shared" si="130"/>
        <v>0</v>
      </c>
      <c r="AD234" s="161">
        <f t="shared" si="130"/>
        <v>0</v>
      </c>
      <c r="AE234" s="161">
        <f t="shared" si="130"/>
        <v>0</v>
      </c>
      <c r="AF234" s="174">
        <f t="shared" si="13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1"/>
        <v>0</v>
      </c>
      <c r="D235" s="161">
        <f t="shared" si="131"/>
        <v>0</v>
      </c>
      <c r="E235" s="161">
        <f t="shared" si="131"/>
        <v>0</v>
      </c>
      <c r="F235" s="161">
        <f t="shared" si="131"/>
        <v>0</v>
      </c>
      <c r="G235" s="161">
        <f t="shared" si="131"/>
        <v>0</v>
      </c>
      <c r="H235" s="161">
        <f t="shared" si="131"/>
        <v>0</v>
      </c>
      <c r="I235" s="161">
        <f t="shared" si="131"/>
        <v>0</v>
      </c>
      <c r="J235" s="161">
        <f t="shared" si="131"/>
        <v>0</v>
      </c>
      <c r="K235" s="161">
        <f t="shared" si="131"/>
        <v>0</v>
      </c>
      <c r="L235" s="161">
        <f t="shared" si="131"/>
        <v>0</v>
      </c>
      <c r="M235" s="161">
        <f t="shared" si="131"/>
        <v>0</v>
      </c>
      <c r="N235" s="161">
        <f t="shared" si="131"/>
        <v>0</v>
      </c>
      <c r="O235" s="161">
        <f t="shared" si="131"/>
        <v>0</v>
      </c>
      <c r="P235" s="161">
        <f t="shared" si="131"/>
        <v>0</v>
      </c>
      <c r="Q235" s="161">
        <f t="shared" si="131"/>
        <v>0</v>
      </c>
      <c r="R235" s="161">
        <f t="shared" si="131"/>
        <v>0</v>
      </c>
      <c r="S235" s="161">
        <f t="shared" si="130"/>
        <v>0</v>
      </c>
      <c r="T235" s="161">
        <f t="shared" si="130"/>
        <v>0</v>
      </c>
      <c r="U235" s="161">
        <f t="shared" si="130"/>
        <v>0</v>
      </c>
      <c r="V235" s="161">
        <f t="shared" si="130"/>
        <v>0</v>
      </c>
      <c r="W235" s="161">
        <f t="shared" si="130"/>
        <v>0</v>
      </c>
      <c r="X235" s="161">
        <f t="shared" si="130"/>
        <v>0</v>
      </c>
      <c r="Y235" s="161">
        <f t="shared" si="130"/>
        <v>0</v>
      </c>
      <c r="Z235" s="161">
        <f t="shared" si="130"/>
        <v>0</v>
      </c>
      <c r="AA235" s="161">
        <f t="shared" si="130"/>
        <v>0</v>
      </c>
      <c r="AB235" s="161">
        <f t="shared" si="130"/>
        <v>0</v>
      </c>
      <c r="AC235" s="161">
        <f t="shared" si="130"/>
        <v>0</v>
      </c>
      <c r="AD235" s="161">
        <f t="shared" si="130"/>
        <v>0</v>
      </c>
      <c r="AE235" s="161">
        <f t="shared" si="130"/>
        <v>0</v>
      </c>
      <c r="AF235" s="174">
        <f t="shared" si="13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1"/>
        <v>0</v>
      </c>
      <c r="D236" s="161">
        <f t="shared" si="131"/>
        <v>0</v>
      </c>
      <c r="E236" s="161">
        <f t="shared" si="131"/>
        <v>0</v>
      </c>
      <c r="F236" s="161">
        <f t="shared" si="131"/>
        <v>0</v>
      </c>
      <c r="G236" s="161">
        <f t="shared" si="131"/>
        <v>0</v>
      </c>
      <c r="H236" s="161">
        <f t="shared" si="131"/>
        <v>0</v>
      </c>
      <c r="I236" s="161">
        <f t="shared" si="131"/>
        <v>0</v>
      </c>
      <c r="J236" s="161">
        <f t="shared" si="131"/>
        <v>0</v>
      </c>
      <c r="K236" s="161">
        <f t="shared" si="131"/>
        <v>0</v>
      </c>
      <c r="L236" s="161">
        <f t="shared" si="131"/>
        <v>0</v>
      </c>
      <c r="M236" s="161">
        <f t="shared" si="131"/>
        <v>0</v>
      </c>
      <c r="N236" s="161">
        <f t="shared" si="131"/>
        <v>0</v>
      </c>
      <c r="O236" s="161">
        <f t="shared" si="131"/>
        <v>0</v>
      </c>
      <c r="P236" s="161">
        <f t="shared" si="131"/>
        <v>0</v>
      </c>
      <c r="Q236" s="161">
        <f t="shared" si="131"/>
        <v>0</v>
      </c>
      <c r="R236" s="161">
        <f t="shared" si="131"/>
        <v>0</v>
      </c>
      <c r="S236" s="161">
        <f t="shared" si="130"/>
        <v>0</v>
      </c>
      <c r="T236" s="161">
        <f t="shared" si="130"/>
        <v>0</v>
      </c>
      <c r="U236" s="161">
        <f t="shared" si="130"/>
        <v>0</v>
      </c>
      <c r="V236" s="161">
        <f t="shared" si="130"/>
        <v>0</v>
      </c>
      <c r="W236" s="161">
        <f t="shared" si="130"/>
        <v>0</v>
      </c>
      <c r="X236" s="161">
        <f t="shared" si="130"/>
        <v>0</v>
      </c>
      <c r="Y236" s="161">
        <f t="shared" si="130"/>
        <v>0</v>
      </c>
      <c r="Z236" s="161">
        <f t="shared" si="130"/>
        <v>0</v>
      </c>
      <c r="AA236" s="161">
        <f t="shared" si="130"/>
        <v>0</v>
      </c>
      <c r="AB236" s="161">
        <f t="shared" si="130"/>
        <v>0</v>
      </c>
      <c r="AC236" s="161">
        <f t="shared" si="130"/>
        <v>0</v>
      </c>
      <c r="AD236" s="161">
        <f t="shared" si="130"/>
        <v>0</v>
      </c>
      <c r="AE236" s="161">
        <f t="shared" si="130"/>
        <v>0</v>
      </c>
      <c r="AF236" s="174">
        <f t="shared" si="13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1"/>
        <v>0</v>
      </c>
      <c r="D237" s="161">
        <f t="shared" si="131"/>
        <v>0</v>
      </c>
      <c r="E237" s="161">
        <f t="shared" si="131"/>
        <v>0</v>
      </c>
      <c r="F237" s="161">
        <f t="shared" si="131"/>
        <v>0</v>
      </c>
      <c r="G237" s="161">
        <f t="shared" si="131"/>
        <v>0</v>
      </c>
      <c r="H237" s="161">
        <f t="shared" si="131"/>
        <v>0</v>
      </c>
      <c r="I237" s="161">
        <f t="shared" si="131"/>
        <v>0</v>
      </c>
      <c r="J237" s="161">
        <f t="shared" si="131"/>
        <v>0</v>
      </c>
      <c r="K237" s="161">
        <f t="shared" si="131"/>
        <v>0</v>
      </c>
      <c r="L237" s="161">
        <f t="shared" si="131"/>
        <v>0</v>
      </c>
      <c r="M237" s="161">
        <f t="shared" si="131"/>
        <v>0</v>
      </c>
      <c r="N237" s="161">
        <f t="shared" si="131"/>
        <v>0</v>
      </c>
      <c r="O237" s="161">
        <f t="shared" si="131"/>
        <v>0</v>
      </c>
      <c r="P237" s="161">
        <f t="shared" si="131"/>
        <v>0</v>
      </c>
      <c r="Q237" s="161">
        <f t="shared" si="131"/>
        <v>0</v>
      </c>
      <c r="R237" s="161">
        <f t="shared" si="131"/>
        <v>0</v>
      </c>
      <c r="S237" s="161">
        <f t="shared" si="130"/>
        <v>0</v>
      </c>
      <c r="T237" s="161">
        <f t="shared" si="130"/>
        <v>0</v>
      </c>
      <c r="U237" s="161">
        <f t="shared" si="130"/>
        <v>0</v>
      </c>
      <c r="V237" s="161">
        <f t="shared" si="130"/>
        <v>0</v>
      </c>
      <c r="W237" s="161">
        <f t="shared" si="130"/>
        <v>0</v>
      </c>
      <c r="X237" s="161">
        <f t="shared" si="130"/>
        <v>0</v>
      </c>
      <c r="Y237" s="161">
        <f t="shared" si="130"/>
        <v>0</v>
      </c>
      <c r="Z237" s="161">
        <f t="shared" si="130"/>
        <v>0</v>
      </c>
      <c r="AA237" s="161">
        <f t="shared" si="130"/>
        <v>0</v>
      </c>
      <c r="AB237" s="161">
        <f t="shared" si="130"/>
        <v>0</v>
      </c>
      <c r="AC237" s="161">
        <f t="shared" si="130"/>
        <v>0</v>
      </c>
      <c r="AD237" s="161">
        <f t="shared" si="130"/>
        <v>0</v>
      </c>
      <c r="AE237" s="161">
        <f t="shared" si="130"/>
        <v>0</v>
      </c>
      <c r="AF237" s="174">
        <f t="shared" si="13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1"/>
        <v>0</v>
      </c>
      <c r="D238" s="161">
        <f t="shared" si="131"/>
        <v>0</v>
      </c>
      <c r="E238" s="161">
        <f t="shared" si="131"/>
        <v>0</v>
      </c>
      <c r="F238" s="161">
        <f t="shared" si="131"/>
        <v>0</v>
      </c>
      <c r="G238" s="161">
        <f t="shared" si="131"/>
        <v>0</v>
      </c>
      <c r="H238" s="161">
        <f t="shared" si="131"/>
        <v>0</v>
      </c>
      <c r="I238" s="161">
        <f t="shared" si="131"/>
        <v>0</v>
      </c>
      <c r="J238" s="161">
        <f t="shared" si="131"/>
        <v>0</v>
      </c>
      <c r="K238" s="161">
        <f t="shared" si="131"/>
        <v>0</v>
      </c>
      <c r="L238" s="161">
        <f t="shared" si="131"/>
        <v>0</v>
      </c>
      <c r="M238" s="161">
        <f t="shared" si="131"/>
        <v>0</v>
      </c>
      <c r="N238" s="161">
        <f t="shared" si="131"/>
        <v>0</v>
      </c>
      <c r="O238" s="161">
        <f t="shared" si="131"/>
        <v>0</v>
      </c>
      <c r="P238" s="161">
        <f t="shared" si="131"/>
        <v>0</v>
      </c>
      <c r="Q238" s="161">
        <f t="shared" si="131"/>
        <v>0</v>
      </c>
      <c r="R238" s="161">
        <f t="shared" si="131"/>
        <v>0</v>
      </c>
      <c r="S238" s="161">
        <f t="shared" si="130"/>
        <v>0</v>
      </c>
      <c r="T238" s="161">
        <f t="shared" si="130"/>
        <v>0</v>
      </c>
      <c r="U238" s="161">
        <f t="shared" si="130"/>
        <v>0</v>
      </c>
      <c r="V238" s="161">
        <f t="shared" si="130"/>
        <v>0</v>
      </c>
      <c r="W238" s="161">
        <f t="shared" si="130"/>
        <v>0</v>
      </c>
      <c r="X238" s="161">
        <f t="shared" si="130"/>
        <v>0</v>
      </c>
      <c r="Y238" s="161">
        <f t="shared" si="130"/>
        <v>0</v>
      </c>
      <c r="Z238" s="161">
        <f t="shared" si="130"/>
        <v>0</v>
      </c>
      <c r="AA238" s="161">
        <f t="shared" si="130"/>
        <v>0</v>
      </c>
      <c r="AB238" s="161">
        <f t="shared" si="130"/>
        <v>0</v>
      </c>
      <c r="AC238" s="161">
        <f t="shared" si="130"/>
        <v>0</v>
      </c>
      <c r="AD238" s="161">
        <f t="shared" si="130"/>
        <v>0</v>
      </c>
      <c r="AE238" s="161">
        <f t="shared" si="130"/>
        <v>0</v>
      </c>
      <c r="AF238" s="174">
        <f t="shared" si="13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1"/>
        <v>0</v>
      </c>
      <c r="D239" s="161">
        <f t="shared" si="131"/>
        <v>0</v>
      </c>
      <c r="E239" s="161">
        <f t="shared" si="131"/>
        <v>0</v>
      </c>
      <c r="F239" s="161">
        <f t="shared" si="131"/>
        <v>0</v>
      </c>
      <c r="G239" s="161">
        <f t="shared" si="131"/>
        <v>0</v>
      </c>
      <c r="H239" s="161">
        <f t="shared" si="131"/>
        <v>0</v>
      </c>
      <c r="I239" s="161">
        <f t="shared" si="131"/>
        <v>0</v>
      </c>
      <c r="J239" s="161">
        <f t="shared" si="131"/>
        <v>0</v>
      </c>
      <c r="K239" s="161">
        <f t="shared" si="131"/>
        <v>0</v>
      </c>
      <c r="L239" s="161">
        <f t="shared" si="131"/>
        <v>0</v>
      </c>
      <c r="M239" s="161">
        <f t="shared" si="131"/>
        <v>0</v>
      </c>
      <c r="N239" s="161">
        <f t="shared" si="131"/>
        <v>0</v>
      </c>
      <c r="O239" s="161">
        <f t="shared" si="131"/>
        <v>0</v>
      </c>
      <c r="P239" s="161">
        <f t="shared" si="131"/>
        <v>0</v>
      </c>
      <c r="Q239" s="161">
        <f t="shared" si="131"/>
        <v>0</v>
      </c>
      <c r="R239" s="161">
        <f t="shared" si="131"/>
        <v>0</v>
      </c>
      <c r="S239" s="161">
        <f t="shared" si="130"/>
        <v>0</v>
      </c>
      <c r="T239" s="161">
        <f t="shared" si="130"/>
        <v>0</v>
      </c>
      <c r="U239" s="161">
        <f t="shared" si="130"/>
        <v>0</v>
      </c>
      <c r="V239" s="161">
        <f t="shared" si="130"/>
        <v>0</v>
      </c>
      <c r="W239" s="161">
        <f t="shared" si="130"/>
        <v>0</v>
      </c>
      <c r="X239" s="161">
        <f t="shared" si="130"/>
        <v>0</v>
      </c>
      <c r="Y239" s="161">
        <f t="shared" si="130"/>
        <v>0</v>
      </c>
      <c r="Z239" s="161">
        <f t="shared" si="130"/>
        <v>0</v>
      </c>
      <c r="AA239" s="161">
        <f t="shared" si="130"/>
        <v>0</v>
      </c>
      <c r="AB239" s="161">
        <f t="shared" si="130"/>
        <v>0</v>
      </c>
      <c r="AC239" s="161">
        <f t="shared" si="130"/>
        <v>0</v>
      </c>
      <c r="AD239" s="161">
        <f t="shared" si="130"/>
        <v>0</v>
      </c>
      <c r="AE239" s="161">
        <f t="shared" si="130"/>
        <v>0</v>
      </c>
      <c r="AF239" s="174">
        <f t="shared" si="13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1"/>
        <v>0</v>
      </c>
      <c r="D240" s="161">
        <f t="shared" si="131"/>
        <v>0</v>
      </c>
      <c r="E240" s="161">
        <f t="shared" si="131"/>
        <v>0</v>
      </c>
      <c r="F240" s="161">
        <f t="shared" si="131"/>
        <v>0</v>
      </c>
      <c r="G240" s="161">
        <f t="shared" si="131"/>
        <v>0</v>
      </c>
      <c r="H240" s="161">
        <f t="shared" si="131"/>
        <v>0</v>
      </c>
      <c r="I240" s="161">
        <f t="shared" si="131"/>
        <v>0</v>
      </c>
      <c r="J240" s="161">
        <f t="shared" si="131"/>
        <v>0</v>
      </c>
      <c r="K240" s="161">
        <f t="shared" si="131"/>
        <v>0</v>
      </c>
      <c r="L240" s="161">
        <f t="shared" si="131"/>
        <v>0</v>
      </c>
      <c r="M240" s="161">
        <f t="shared" si="131"/>
        <v>0</v>
      </c>
      <c r="N240" s="161">
        <f t="shared" si="131"/>
        <v>0</v>
      </c>
      <c r="O240" s="161">
        <f t="shared" si="131"/>
        <v>0</v>
      </c>
      <c r="P240" s="161">
        <f t="shared" si="131"/>
        <v>0</v>
      </c>
      <c r="Q240" s="161">
        <f t="shared" si="131"/>
        <v>0</v>
      </c>
      <c r="R240" s="161">
        <f t="shared" si="131"/>
        <v>0</v>
      </c>
      <c r="S240" s="161">
        <f t="shared" si="130"/>
        <v>0</v>
      </c>
      <c r="T240" s="161">
        <f t="shared" si="130"/>
        <v>0</v>
      </c>
      <c r="U240" s="161">
        <f t="shared" si="130"/>
        <v>0</v>
      </c>
      <c r="V240" s="161">
        <f t="shared" si="130"/>
        <v>0</v>
      </c>
      <c r="W240" s="161">
        <f t="shared" si="130"/>
        <v>0</v>
      </c>
      <c r="X240" s="161">
        <f t="shared" si="130"/>
        <v>0</v>
      </c>
      <c r="Y240" s="161">
        <f t="shared" si="130"/>
        <v>0</v>
      </c>
      <c r="Z240" s="161">
        <f t="shared" si="130"/>
        <v>0</v>
      </c>
      <c r="AA240" s="161">
        <f t="shared" si="130"/>
        <v>0</v>
      </c>
      <c r="AB240" s="161">
        <f t="shared" si="130"/>
        <v>0</v>
      </c>
      <c r="AC240" s="161">
        <f t="shared" si="130"/>
        <v>0</v>
      </c>
      <c r="AD240" s="161">
        <f t="shared" si="130"/>
        <v>0</v>
      </c>
      <c r="AE240" s="161">
        <f t="shared" si="130"/>
        <v>0</v>
      </c>
      <c r="AF240" s="174">
        <f t="shared" si="13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1"/>
        <v>0</v>
      </c>
      <c r="D241" s="161">
        <f t="shared" si="131"/>
        <v>0</v>
      </c>
      <c r="E241" s="161">
        <f t="shared" si="131"/>
        <v>0</v>
      </c>
      <c r="F241" s="161">
        <f t="shared" si="131"/>
        <v>0</v>
      </c>
      <c r="G241" s="161">
        <f t="shared" si="131"/>
        <v>0</v>
      </c>
      <c r="H241" s="161">
        <f t="shared" si="131"/>
        <v>0</v>
      </c>
      <c r="I241" s="161">
        <f t="shared" si="131"/>
        <v>0</v>
      </c>
      <c r="J241" s="161">
        <f t="shared" si="131"/>
        <v>0</v>
      </c>
      <c r="K241" s="161">
        <f t="shared" si="131"/>
        <v>0</v>
      </c>
      <c r="L241" s="161">
        <f t="shared" si="131"/>
        <v>0</v>
      </c>
      <c r="M241" s="161">
        <f t="shared" si="131"/>
        <v>0</v>
      </c>
      <c r="N241" s="161">
        <f t="shared" si="131"/>
        <v>0</v>
      </c>
      <c r="O241" s="161">
        <f t="shared" si="131"/>
        <v>0</v>
      </c>
      <c r="P241" s="161">
        <f t="shared" si="131"/>
        <v>0</v>
      </c>
      <c r="Q241" s="161">
        <f t="shared" si="131"/>
        <v>0</v>
      </c>
      <c r="R241" s="161">
        <f t="shared" si="131"/>
        <v>0</v>
      </c>
      <c r="S241" s="161">
        <f t="shared" si="130"/>
        <v>0</v>
      </c>
      <c r="T241" s="161">
        <f t="shared" si="130"/>
        <v>0</v>
      </c>
      <c r="U241" s="161">
        <f t="shared" si="130"/>
        <v>0</v>
      </c>
      <c r="V241" s="161">
        <f t="shared" si="130"/>
        <v>0</v>
      </c>
      <c r="W241" s="161">
        <f t="shared" si="130"/>
        <v>0</v>
      </c>
      <c r="X241" s="161">
        <f t="shared" si="130"/>
        <v>0</v>
      </c>
      <c r="Y241" s="161">
        <f t="shared" si="130"/>
        <v>0</v>
      </c>
      <c r="Z241" s="161">
        <f t="shared" si="130"/>
        <v>0</v>
      </c>
      <c r="AA241" s="161">
        <f t="shared" si="130"/>
        <v>0</v>
      </c>
      <c r="AB241" s="161">
        <f t="shared" si="130"/>
        <v>0</v>
      </c>
      <c r="AC241" s="161">
        <f t="shared" si="130"/>
        <v>0</v>
      </c>
      <c r="AD241" s="161">
        <f t="shared" si="130"/>
        <v>0</v>
      </c>
      <c r="AE241" s="161">
        <f t="shared" si="130"/>
        <v>0</v>
      </c>
      <c r="AF241" s="174">
        <f t="shared" si="13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1"/>
        <v>0</v>
      </c>
      <c r="D242" s="161">
        <f t="shared" si="131"/>
        <v>0</v>
      </c>
      <c r="E242" s="161">
        <f t="shared" si="131"/>
        <v>0</v>
      </c>
      <c r="F242" s="161">
        <f t="shared" si="131"/>
        <v>0</v>
      </c>
      <c r="G242" s="161">
        <f t="shared" si="131"/>
        <v>0</v>
      </c>
      <c r="H242" s="161">
        <f t="shared" si="131"/>
        <v>0</v>
      </c>
      <c r="I242" s="161">
        <f t="shared" si="131"/>
        <v>0</v>
      </c>
      <c r="J242" s="161">
        <f t="shared" si="131"/>
        <v>0</v>
      </c>
      <c r="K242" s="161">
        <f t="shared" si="131"/>
        <v>0</v>
      </c>
      <c r="L242" s="161">
        <f t="shared" si="131"/>
        <v>0</v>
      </c>
      <c r="M242" s="161">
        <f t="shared" si="131"/>
        <v>0</v>
      </c>
      <c r="N242" s="161">
        <f t="shared" si="131"/>
        <v>0</v>
      </c>
      <c r="O242" s="161">
        <f t="shared" si="131"/>
        <v>0</v>
      </c>
      <c r="P242" s="161">
        <f t="shared" si="131"/>
        <v>0</v>
      </c>
      <c r="Q242" s="161">
        <f t="shared" si="131"/>
        <v>0</v>
      </c>
      <c r="R242" s="161">
        <f t="shared" si="131"/>
        <v>0</v>
      </c>
      <c r="S242" s="161">
        <f t="shared" si="130"/>
        <v>0</v>
      </c>
      <c r="T242" s="161">
        <f t="shared" si="130"/>
        <v>0</v>
      </c>
      <c r="U242" s="161">
        <f t="shared" si="130"/>
        <v>0</v>
      </c>
      <c r="V242" s="161">
        <f t="shared" si="130"/>
        <v>0</v>
      </c>
      <c r="W242" s="161">
        <f t="shared" si="130"/>
        <v>0</v>
      </c>
      <c r="X242" s="161">
        <f t="shared" si="130"/>
        <v>0</v>
      </c>
      <c r="Y242" s="161">
        <f t="shared" si="130"/>
        <v>0</v>
      </c>
      <c r="Z242" s="161">
        <f t="shared" si="130"/>
        <v>0</v>
      </c>
      <c r="AA242" s="161">
        <f t="shared" si="130"/>
        <v>0</v>
      </c>
      <c r="AB242" s="161">
        <f t="shared" si="130"/>
        <v>0</v>
      </c>
      <c r="AC242" s="161">
        <f t="shared" si="130"/>
        <v>0</v>
      </c>
      <c r="AD242" s="161">
        <f t="shared" si="130"/>
        <v>0</v>
      </c>
      <c r="AE242" s="161">
        <f t="shared" si="130"/>
        <v>0</v>
      </c>
      <c r="AF242" s="174">
        <f t="shared" si="13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1"/>
        <v>0</v>
      </c>
      <c r="D243" s="161">
        <f t="shared" si="131"/>
        <v>0</v>
      </c>
      <c r="E243" s="161">
        <f t="shared" si="131"/>
        <v>0</v>
      </c>
      <c r="F243" s="161">
        <f t="shared" si="131"/>
        <v>0</v>
      </c>
      <c r="G243" s="161">
        <f t="shared" si="131"/>
        <v>0</v>
      </c>
      <c r="H243" s="161">
        <f t="shared" si="131"/>
        <v>0</v>
      </c>
      <c r="I243" s="161">
        <f t="shared" si="131"/>
        <v>0</v>
      </c>
      <c r="J243" s="161">
        <f t="shared" si="131"/>
        <v>0</v>
      </c>
      <c r="K243" s="161">
        <f t="shared" si="131"/>
        <v>0</v>
      </c>
      <c r="L243" s="161">
        <f t="shared" si="131"/>
        <v>0</v>
      </c>
      <c r="M243" s="161">
        <f t="shared" si="131"/>
        <v>0</v>
      </c>
      <c r="N243" s="161">
        <f t="shared" si="131"/>
        <v>0</v>
      </c>
      <c r="O243" s="161">
        <f t="shared" si="131"/>
        <v>0</v>
      </c>
      <c r="P243" s="161">
        <f t="shared" si="131"/>
        <v>0</v>
      </c>
      <c r="Q243" s="161">
        <f t="shared" si="131"/>
        <v>0</v>
      </c>
      <c r="R243" s="161">
        <f t="shared" si="131"/>
        <v>0</v>
      </c>
      <c r="S243" s="161">
        <f t="shared" si="130"/>
        <v>0</v>
      </c>
      <c r="T243" s="161">
        <f t="shared" si="130"/>
        <v>0</v>
      </c>
      <c r="U243" s="161">
        <f t="shared" si="130"/>
        <v>0</v>
      </c>
      <c r="V243" s="161">
        <f t="shared" si="130"/>
        <v>0</v>
      </c>
      <c r="W243" s="161">
        <f t="shared" si="130"/>
        <v>0</v>
      </c>
      <c r="X243" s="161">
        <f t="shared" si="130"/>
        <v>0</v>
      </c>
      <c r="Y243" s="161">
        <f t="shared" si="130"/>
        <v>0</v>
      </c>
      <c r="Z243" s="161">
        <f t="shared" si="130"/>
        <v>0</v>
      </c>
      <c r="AA243" s="161">
        <f t="shared" si="130"/>
        <v>0</v>
      </c>
      <c r="AB243" s="161">
        <f t="shared" si="130"/>
        <v>0</v>
      </c>
      <c r="AC243" s="161">
        <f t="shared" si="130"/>
        <v>0</v>
      </c>
      <c r="AD243" s="161">
        <f t="shared" si="130"/>
        <v>0</v>
      </c>
      <c r="AE243" s="161">
        <f t="shared" si="130"/>
        <v>0</v>
      </c>
      <c r="AF243" s="174">
        <f t="shared" si="13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1"/>
        <v>0</v>
      </c>
      <c r="D244" s="161">
        <f t="shared" si="131"/>
        <v>0</v>
      </c>
      <c r="E244" s="161">
        <f t="shared" si="131"/>
        <v>0</v>
      </c>
      <c r="F244" s="161">
        <f t="shared" si="131"/>
        <v>0</v>
      </c>
      <c r="G244" s="161">
        <f t="shared" si="131"/>
        <v>0</v>
      </c>
      <c r="H244" s="161">
        <f t="shared" si="131"/>
        <v>0</v>
      </c>
      <c r="I244" s="161">
        <f t="shared" si="131"/>
        <v>0</v>
      </c>
      <c r="J244" s="161">
        <f t="shared" si="131"/>
        <v>0</v>
      </c>
      <c r="K244" s="161">
        <f t="shared" si="131"/>
        <v>0</v>
      </c>
      <c r="L244" s="161">
        <f t="shared" si="131"/>
        <v>0</v>
      </c>
      <c r="M244" s="161">
        <f t="shared" si="131"/>
        <v>0</v>
      </c>
      <c r="N244" s="161">
        <f t="shared" si="131"/>
        <v>0</v>
      </c>
      <c r="O244" s="161">
        <f t="shared" si="131"/>
        <v>0</v>
      </c>
      <c r="P244" s="161">
        <f t="shared" si="131"/>
        <v>0</v>
      </c>
      <c r="Q244" s="161">
        <f t="shared" si="131"/>
        <v>0</v>
      </c>
      <c r="R244" s="161">
        <f t="shared" si="131"/>
        <v>0</v>
      </c>
      <c r="S244" s="161">
        <f t="shared" si="130"/>
        <v>0</v>
      </c>
      <c r="T244" s="161">
        <f t="shared" si="130"/>
        <v>0</v>
      </c>
      <c r="U244" s="161">
        <f t="shared" si="130"/>
        <v>0</v>
      </c>
      <c r="V244" s="161">
        <f t="shared" si="130"/>
        <v>0</v>
      </c>
      <c r="W244" s="161">
        <f t="shared" si="130"/>
        <v>0</v>
      </c>
      <c r="X244" s="161">
        <f t="shared" si="130"/>
        <v>0</v>
      </c>
      <c r="Y244" s="161">
        <f t="shared" si="130"/>
        <v>0</v>
      </c>
      <c r="Z244" s="161">
        <f t="shared" si="130"/>
        <v>0</v>
      </c>
      <c r="AA244" s="161">
        <f t="shared" si="130"/>
        <v>0</v>
      </c>
      <c r="AB244" s="161">
        <f t="shared" si="130"/>
        <v>0</v>
      </c>
      <c r="AC244" s="161">
        <f t="shared" si="130"/>
        <v>0</v>
      </c>
      <c r="AD244" s="161">
        <f t="shared" si="130"/>
        <v>0</v>
      </c>
      <c r="AE244" s="161">
        <f t="shared" si="130"/>
        <v>0</v>
      </c>
      <c r="AF244" s="174">
        <f t="shared" si="13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1"/>
        <v>0</v>
      </c>
      <c r="D245" s="161">
        <f t="shared" si="131"/>
        <v>0</v>
      </c>
      <c r="E245" s="161">
        <f t="shared" si="131"/>
        <v>0</v>
      </c>
      <c r="F245" s="161">
        <f t="shared" si="131"/>
        <v>0</v>
      </c>
      <c r="G245" s="161">
        <f t="shared" si="131"/>
        <v>0</v>
      </c>
      <c r="H245" s="161">
        <f t="shared" si="131"/>
        <v>0</v>
      </c>
      <c r="I245" s="161">
        <f t="shared" si="131"/>
        <v>0</v>
      </c>
      <c r="J245" s="161">
        <f t="shared" si="131"/>
        <v>0</v>
      </c>
      <c r="K245" s="161">
        <f t="shared" si="131"/>
        <v>0</v>
      </c>
      <c r="L245" s="161">
        <f t="shared" si="131"/>
        <v>0</v>
      </c>
      <c r="M245" s="161">
        <f t="shared" si="131"/>
        <v>0</v>
      </c>
      <c r="N245" s="161">
        <f t="shared" si="131"/>
        <v>0</v>
      </c>
      <c r="O245" s="161">
        <f t="shared" si="131"/>
        <v>0</v>
      </c>
      <c r="P245" s="161">
        <f t="shared" si="131"/>
        <v>0</v>
      </c>
      <c r="Q245" s="161">
        <f t="shared" si="131"/>
        <v>0</v>
      </c>
      <c r="R245" s="161">
        <f t="shared" si="131"/>
        <v>0</v>
      </c>
      <c r="S245" s="161">
        <f t="shared" si="130"/>
        <v>0</v>
      </c>
      <c r="T245" s="161">
        <f t="shared" si="130"/>
        <v>0</v>
      </c>
      <c r="U245" s="161">
        <f t="shared" si="130"/>
        <v>0</v>
      </c>
      <c r="V245" s="161">
        <f t="shared" si="130"/>
        <v>0</v>
      </c>
      <c r="W245" s="161">
        <f t="shared" si="130"/>
        <v>0</v>
      </c>
      <c r="X245" s="161">
        <f t="shared" si="130"/>
        <v>0</v>
      </c>
      <c r="Y245" s="161">
        <f t="shared" si="130"/>
        <v>0</v>
      </c>
      <c r="Z245" s="161">
        <f t="shared" si="130"/>
        <v>0</v>
      </c>
      <c r="AA245" s="161">
        <f t="shared" si="130"/>
        <v>0</v>
      </c>
      <c r="AB245" s="161">
        <f t="shared" si="130"/>
        <v>0</v>
      </c>
      <c r="AC245" s="161">
        <f t="shared" si="130"/>
        <v>0</v>
      </c>
      <c r="AD245" s="161">
        <f t="shared" si="130"/>
        <v>0</v>
      </c>
      <c r="AE245" s="161">
        <f t="shared" si="130"/>
        <v>0</v>
      </c>
      <c r="AF245" s="174">
        <f t="shared" si="13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1"/>
        <v>0</v>
      </c>
      <c r="D246" s="161">
        <f t="shared" si="131"/>
        <v>0</v>
      </c>
      <c r="E246" s="161">
        <f t="shared" si="131"/>
        <v>0</v>
      </c>
      <c r="F246" s="161">
        <f t="shared" si="131"/>
        <v>0</v>
      </c>
      <c r="G246" s="161">
        <f t="shared" si="131"/>
        <v>0</v>
      </c>
      <c r="H246" s="161">
        <f t="shared" si="131"/>
        <v>0</v>
      </c>
      <c r="I246" s="161">
        <f t="shared" si="131"/>
        <v>0</v>
      </c>
      <c r="J246" s="161">
        <f t="shared" si="131"/>
        <v>0</v>
      </c>
      <c r="K246" s="161">
        <f t="shared" si="131"/>
        <v>0</v>
      </c>
      <c r="L246" s="161">
        <f t="shared" si="131"/>
        <v>0</v>
      </c>
      <c r="M246" s="161">
        <f t="shared" si="131"/>
        <v>0</v>
      </c>
      <c r="N246" s="161">
        <f t="shared" si="131"/>
        <v>0</v>
      </c>
      <c r="O246" s="161">
        <f t="shared" si="131"/>
        <v>0</v>
      </c>
      <c r="P246" s="161">
        <f t="shared" si="131"/>
        <v>0</v>
      </c>
      <c r="Q246" s="161">
        <f t="shared" si="131"/>
        <v>0</v>
      </c>
      <c r="R246" s="161">
        <f t="shared" si="131"/>
        <v>0</v>
      </c>
      <c r="S246" s="161">
        <f t="shared" si="130"/>
        <v>0</v>
      </c>
      <c r="T246" s="161">
        <f t="shared" si="130"/>
        <v>0</v>
      </c>
      <c r="U246" s="161">
        <f t="shared" si="130"/>
        <v>0</v>
      </c>
      <c r="V246" s="161">
        <f t="shared" si="130"/>
        <v>0</v>
      </c>
      <c r="W246" s="161">
        <f t="shared" si="130"/>
        <v>0</v>
      </c>
      <c r="X246" s="161">
        <f t="shared" si="130"/>
        <v>0</v>
      </c>
      <c r="Y246" s="161">
        <f t="shared" si="130"/>
        <v>0</v>
      </c>
      <c r="Z246" s="161">
        <f t="shared" si="130"/>
        <v>0</v>
      </c>
      <c r="AA246" s="161">
        <f t="shared" si="130"/>
        <v>0</v>
      </c>
      <c r="AB246" s="161">
        <f t="shared" si="130"/>
        <v>0</v>
      </c>
      <c r="AC246" s="161">
        <f t="shared" si="130"/>
        <v>0</v>
      </c>
      <c r="AD246" s="161">
        <f t="shared" si="130"/>
        <v>0</v>
      </c>
      <c r="AE246" s="161">
        <f t="shared" si="130"/>
        <v>0</v>
      </c>
      <c r="AF246" s="174">
        <f t="shared" si="13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1"/>
        <v>0</v>
      </c>
      <c r="D247" s="161">
        <f t="shared" si="131"/>
        <v>0</v>
      </c>
      <c r="E247" s="161">
        <f t="shared" si="131"/>
        <v>0</v>
      </c>
      <c r="F247" s="161">
        <f t="shared" si="131"/>
        <v>0</v>
      </c>
      <c r="G247" s="161">
        <f t="shared" si="131"/>
        <v>0</v>
      </c>
      <c r="H247" s="161">
        <f t="shared" si="131"/>
        <v>0</v>
      </c>
      <c r="I247" s="161">
        <f t="shared" si="131"/>
        <v>0</v>
      </c>
      <c r="J247" s="161">
        <f t="shared" si="131"/>
        <v>0</v>
      </c>
      <c r="K247" s="161">
        <f t="shared" si="131"/>
        <v>0</v>
      </c>
      <c r="L247" s="161">
        <f t="shared" si="131"/>
        <v>0</v>
      </c>
      <c r="M247" s="161">
        <f t="shared" si="131"/>
        <v>0</v>
      </c>
      <c r="N247" s="161">
        <f t="shared" si="131"/>
        <v>0</v>
      </c>
      <c r="O247" s="161">
        <f t="shared" si="131"/>
        <v>0</v>
      </c>
      <c r="P247" s="161">
        <f t="shared" si="131"/>
        <v>0</v>
      </c>
      <c r="Q247" s="161">
        <f t="shared" si="131"/>
        <v>0</v>
      </c>
      <c r="R247" s="161">
        <f t="shared" si="131"/>
        <v>0</v>
      </c>
      <c r="S247" s="161">
        <f t="shared" si="130"/>
        <v>0</v>
      </c>
      <c r="T247" s="161">
        <f t="shared" si="130"/>
        <v>0</v>
      </c>
      <c r="U247" s="161">
        <f t="shared" si="130"/>
        <v>0</v>
      </c>
      <c r="V247" s="161">
        <f t="shared" si="130"/>
        <v>0</v>
      </c>
      <c r="W247" s="161">
        <f t="shared" si="130"/>
        <v>0</v>
      </c>
      <c r="X247" s="161">
        <f t="shared" si="130"/>
        <v>0</v>
      </c>
      <c r="Y247" s="161">
        <f t="shared" si="130"/>
        <v>0</v>
      </c>
      <c r="Z247" s="161">
        <f t="shared" si="130"/>
        <v>0</v>
      </c>
      <c r="AA247" s="161">
        <f t="shared" si="130"/>
        <v>0</v>
      </c>
      <c r="AB247" s="161">
        <f t="shared" si="130"/>
        <v>0</v>
      </c>
      <c r="AC247" s="161">
        <f t="shared" si="130"/>
        <v>0</v>
      </c>
      <c r="AD247" s="161">
        <f t="shared" si="130"/>
        <v>0</v>
      </c>
      <c r="AE247" s="161">
        <f t="shared" si="130"/>
        <v>0</v>
      </c>
      <c r="AF247" s="174">
        <f t="shared" si="13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1"/>
        <v>0</v>
      </c>
      <c r="D248" s="161">
        <f t="shared" si="131"/>
        <v>0</v>
      </c>
      <c r="E248" s="161">
        <f t="shared" si="131"/>
        <v>0</v>
      </c>
      <c r="F248" s="161">
        <f t="shared" si="131"/>
        <v>0</v>
      </c>
      <c r="G248" s="161">
        <f t="shared" si="131"/>
        <v>0</v>
      </c>
      <c r="H248" s="161">
        <f t="shared" si="131"/>
        <v>0</v>
      </c>
      <c r="I248" s="161">
        <f t="shared" si="131"/>
        <v>0</v>
      </c>
      <c r="J248" s="161">
        <f t="shared" si="131"/>
        <v>0</v>
      </c>
      <c r="K248" s="161">
        <f t="shared" si="131"/>
        <v>0</v>
      </c>
      <c r="L248" s="161">
        <f t="shared" si="131"/>
        <v>0</v>
      </c>
      <c r="M248" s="161">
        <f t="shared" si="131"/>
        <v>0</v>
      </c>
      <c r="N248" s="161">
        <f t="shared" si="131"/>
        <v>0</v>
      </c>
      <c r="O248" s="161">
        <f t="shared" si="131"/>
        <v>0</v>
      </c>
      <c r="P248" s="161">
        <f t="shared" si="131"/>
        <v>0</v>
      </c>
      <c r="Q248" s="161">
        <f t="shared" si="131"/>
        <v>0</v>
      </c>
      <c r="R248" s="161">
        <f t="shared" ref="R248:AF263" si="132">Q248</f>
        <v>0</v>
      </c>
      <c r="S248" s="161">
        <f t="shared" si="132"/>
        <v>0</v>
      </c>
      <c r="T248" s="161">
        <f t="shared" si="132"/>
        <v>0</v>
      </c>
      <c r="U248" s="161">
        <f t="shared" si="132"/>
        <v>0</v>
      </c>
      <c r="V248" s="161">
        <f t="shared" si="132"/>
        <v>0</v>
      </c>
      <c r="W248" s="161">
        <f t="shared" si="132"/>
        <v>0</v>
      </c>
      <c r="X248" s="161">
        <f t="shared" si="132"/>
        <v>0</v>
      </c>
      <c r="Y248" s="161">
        <f t="shared" si="132"/>
        <v>0</v>
      </c>
      <c r="Z248" s="161">
        <f t="shared" si="132"/>
        <v>0</v>
      </c>
      <c r="AA248" s="161">
        <f t="shared" si="132"/>
        <v>0</v>
      </c>
      <c r="AB248" s="161">
        <f t="shared" si="132"/>
        <v>0</v>
      </c>
      <c r="AC248" s="161">
        <f t="shared" si="132"/>
        <v>0</v>
      </c>
      <c r="AD248" s="161">
        <f t="shared" si="132"/>
        <v>0</v>
      </c>
      <c r="AE248" s="161">
        <f t="shared" si="132"/>
        <v>0</v>
      </c>
      <c r="AF248" s="174">
        <f t="shared" si="13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33">B249</f>
        <v>0</v>
      </c>
      <c r="D249" s="161">
        <f t="shared" si="133"/>
        <v>0</v>
      </c>
      <c r="E249" s="161">
        <f t="shared" si="133"/>
        <v>0</v>
      </c>
      <c r="F249" s="161">
        <f t="shared" si="133"/>
        <v>0</v>
      </c>
      <c r="G249" s="161">
        <f t="shared" si="133"/>
        <v>0</v>
      </c>
      <c r="H249" s="161">
        <f t="shared" si="133"/>
        <v>0</v>
      </c>
      <c r="I249" s="161">
        <f t="shared" si="133"/>
        <v>0</v>
      </c>
      <c r="J249" s="161">
        <f t="shared" si="133"/>
        <v>0</v>
      </c>
      <c r="K249" s="161">
        <f t="shared" si="133"/>
        <v>0</v>
      </c>
      <c r="L249" s="161">
        <f t="shared" si="133"/>
        <v>0</v>
      </c>
      <c r="M249" s="161">
        <f t="shared" si="133"/>
        <v>0</v>
      </c>
      <c r="N249" s="161">
        <f t="shared" si="133"/>
        <v>0</v>
      </c>
      <c r="O249" s="161">
        <f t="shared" si="133"/>
        <v>0</v>
      </c>
      <c r="P249" s="161">
        <f t="shared" si="133"/>
        <v>0</v>
      </c>
      <c r="Q249" s="161">
        <f t="shared" si="133"/>
        <v>0</v>
      </c>
      <c r="R249" s="161">
        <f t="shared" si="132"/>
        <v>0</v>
      </c>
      <c r="S249" s="161">
        <f t="shared" si="132"/>
        <v>0</v>
      </c>
      <c r="T249" s="161">
        <f t="shared" si="132"/>
        <v>0</v>
      </c>
      <c r="U249" s="161">
        <f t="shared" si="132"/>
        <v>0</v>
      </c>
      <c r="V249" s="161">
        <f t="shared" si="132"/>
        <v>0</v>
      </c>
      <c r="W249" s="161">
        <f t="shared" si="132"/>
        <v>0</v>
      </c>
      <c r="X249" s="161">
        <f t="shared" si="132"/>
        <v>0</v>
      </c>
      <c r="Y249" s="161">
        <f t="shared" si="132"/>
        <v>0</v>
      </c>
      <c r="Z249" s="161">
        <f t="shared" si="132"/>
        <v>0</v>
      </c>
      <c r="AA249" s="161">
        <f t="shared" si="132"/>
        <v>0</v>
      </c>
      <c r="AB249" s="161">
        <f t="shared" si="132"/>
        <v>0</v>
      </c>
      <c r="AC249" s="161">
        <f t="shared" si="132"/>
        <v>0</v>
      </c>
      <c r="AD249" s="161">
        <f t="shared" si="132"/>
        <v>0</v>
      </c>
      <c r="AE249" s="161">
        <f t="shared" si="132"/>
        <v>0</v>
      </c>
      <c r="AF249" s="174">
        <f t="shared" si="13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33"/>
        <v>0</v>
      </c>
      <c r="D250" s="161">
        <f t="shared" si="133"/>
        <v>0</v>
      </c>
      <c r="E250" s="161">
        <f t="shared" si="133"/>
        <v>0</v>
      </c>
      <c r="F250" s="161">
        <f t="shared" si="133"/>
        <v>0</v>
      </c>
      <c r="G250" s="161">
        <f t="shared" si="133"/>
        <v>0</v>
      </c>
      <c r="H250" s="161">
        <f t="shared" si="133"/>
        <v>0</v>
      </c>
      <c r="I250" s="161">
        <f t="shared" si="133"/>
        <v>0</v>
      </c>
      <c r="J250" s="161">
        <f t="shared" si="133"/>
        <v>0</v>
      </c>
      <c r="K250" s="161">
        <f t="shared" si="133"/>
        <v>0</v>
      </c>
      <c r="L250" s="161">
        <f t="shared" si="133"/>
        <v>0</v>
      </c>
      <c r="M250" s="161">
        <f t="shared" si="133"/>
        <v>0</v>
      </c>
      <c r="N250" s="161">
        <f t="shared" si="133"/>
        <v>0</v>
      </c>
      <c r="O250" s="161">
        <f t="shared" si="133"/>
        <v>0</v>
      </c>
      <c r="P250" s="161">
        <f t="shared" si="133"/>
        <v>0</v>
      </c>
      <c r="Q250" s="161">
        <f t="shared" si="133"/>
        <v>0</v>
      </c>
      <c r="R250" s="161">
        <f t="shared" si="133"/>
        <v>0</v>
      </c>
      <c r="S250" s="161">
        <f t="shared" si="132"/>
        <v>0</v>
      </c>
      <c r="T250" s="161">
        <f t="shared" si="132"/>
        <v>0</v>
      </c>
      <c r="U250" s="161">
        <f t="shared" si="132"/>
        <v>0</v>
      </c>
      <c r="V250" s="161">
        <f t="shared" si="132"/>
        <v>0</v>
      </c>
      <c r="W250" s="161">
        <f t="shared" si="132"/>
        <v>0</v>
      </c>
      <c r="X250" s="161">
        <f t="shared" si="132"/>
        <v>0</v>
      </c>
      <c r="Y250" s="161">
        <f t="shared" si="132"/>
        <v>0</v>
      </c>
      <c r="Z250" s="161">
        <f t="shared" si="132"/>
        <v>0</v>
      </c>
      <c r="AA250" s="161">
        <f t="shared" si="132"/>
        <v>0</v>
      </c>
      <c r="AB250" s="161">
        <f t="shared" si="132"/>
        <v>0</v>
      </c>
      <c r="AC250" s="161">
        <f t="shared" si="132"/>
        <v>0</v>
      </c>
      <c r="AD250" s="161">
        <f t="shared" si="132"/>
        <v>0</v>
      </c>
      <c r="AE250" s="161">
        <f t="shared" si="132"/>
        <v>0</v>
      </c>
      <c r="AF250" s="174">
        <f t="shared" si="13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33"/>
        <v>0</v>
      </c>
      <c r="D251" s="161">
        <f t="shared" si="133"/>
        <v>0</v>
      </c>
      <c r="E251" s="161">
        <f t="shared" si="133"/>
        <v>0</v>
      </c>
      <c r="F251" s="161">
        <f t="shared" si="133"/>
        <v>0</v>
      </c>
      <c r="G251" s="161">
        <f t="shared" si="133"/>
        <v>0</v>
      </c>
      <c r="H251" s="161">
        <f t="shared" si="133"/>
        <v>0</v>
      </c>
      <c r="I251" s="161">
        <f t="shared" si="133"/>
        <v>0</v>
      </c>
      <c r="J251" s="161">
        <f t="shared" si="133"/>
        <v>0</v>
      </c>
      <c r="K251" s="161">
        <f t="shared" si="133"/>
        <v>0</v>
      </c>
      <c r="L251" s="161">
        <f t="shared" si="133"/>
        <v>0</v>
      </c>
      <c r="M251" s="161">
        <f t="shared" si="133"/>
        <v>0</v>
      </c>
      <c r="N251" s="161">
        <f t="shared" si="133"/>
        <v>0</v>
      </c>
      <c r="O251" s="161">
        <f t="shared" si="133"/>
        <v>0</v>
      </c>
      <c r="P251" s="161">
        <f t="shared" si="133"/>
        <v>0</v>
      </c>
      <c r="Q251" s="161">
        <f t="shared" si="133"/>
        <v>0</v>
      </c>
      <c r="R251" s="161">
        <f t="shared" si="133"/>
        <v>0</v>
      </c>
      <c r="S251" s="161">
        <f t="shared" si="132"/>
        <v>0</v>
      </c>
      <c r="T251" s="161">
        <f t="shared" si="132"/>
        <v>0</v>
      </c>
      <c r="U251" s="161">
        <f t="shared" si="132"/>
        <v>0</v>
      </c>
      <c r="V251" s="161">
        <f t="shared" si="132"/>
        <v>0</v>
      </c>
      <c r="W251" s="161">
        <f t="shared" si="132"/>
        <v>0</v>
      </c>
      <c r="X251" s="161">
        <f t="shared" si="132"/>
        <v>0</v>
      </c>
      <c r="Y251" s="161">
        <f t="shared" si="132"/>
        <v>0</v>
      </c>
      <c r="Z251" s="161">
        <f t="shared" si="132"/>
        <v>0</v>
      </c>
      <c r="AA251" s="161">
        <f t="shared" si="132"/>
        <v>0</v>
      </c>
      <c r="AB251" s="161">
        <f t="shared" si="132"/>
        <v>0</v>
      </c>
      <c r="AC251" s="161">
        <f t="shared" si="132"/>
        <v>0</v>
      </c>
      <c r="AD251" s="161">
        <f t="shared" si="132"/>
        <v>0</v>
      </c>
      <c r="AE251" s="161">
        <f t="shared" si="132"/>
        <v>0</v>
      </c>
      <c r="AF251" s="174">
        <f t="shared" si="13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33"/>
        <v>0</v>
      </c>
      <c r="D252" s="161">
        <f t="shared" si="133"/>
        <v>0</v>
      </c>
      <c r="E252" s="161">
        <f t="shared" si="133"/>
        <v>0</v>
      </c>
      <c r="F252" s="161">
        <f t="shared" si="133"/>
        <v>0</v>
      </c>
      <c r="G252" s="161">
        <f t="shared" si="133"/>
        <v>0</v>
      </c>
      <c r="H252" s="161">
        <f t="shared" si="133"/>
        <v>0</v>
      </c>
      <c r="I252" s="161">
        <f t="shared" si="133"/>
        <v>0</v>
      </c>
      <c r="J252" s="161">
        <f t="shared" si="133"/>
        <v>0</v>
      </c>
      <c r="K252" s="161">
        <f t="shared" si="133"/>
        <v>0</v>
      </c>
      <c r="L252" s="161">
        <f t="shared" si="133"/>
        <v>0</v>
      </c>
      <c r="M252" s="161">
        <f t="shared" si="133"/>
        <v>0</v>
      </c>
      <c r="N252" s="161">
        <f t="shared" si="133"/>
        <v>0</v>
      </c>
      <c r="O252" s="161">
        <f t="shared" si="133"/>
        <v>0</v>
      </c>
      <c r="P252" s="161">
        <f t="shared" si="133"/>
        <v>0</v>
      </c>
      <c r="Q252" s="161">
        <f t="shared" si="133"/>
        <v>0</v>
      </c>
      <c r="R252" s="161">
        <f t="shared" si="133"/>
        <v>0</v>
      </c>
      <c r="S252" s="161">
        <f t="shared" si="132"/>
        <v>0</v>
      </c>
      <c r="T252" s="161">
        <f t="shared" si="132"/>
        <v>0</v>
      </c>
      <c r="U252" s="161">
        <f t="shared" si="132"/>
        <v>0</v>
      </c>
      <c r="V252" s="161">
        <f t="shared" si="132"/>
        <v>0</v>
      </c>
      <c r="W252" s="161">
        <f t="shared" si="132"/>
        <v>0</v>
      </c>
      <c r="X252" s="161">
        <f t="shared" si="132"/>
        <v>0</v>
      </c>
      <c r="Y252" s="161">
        <f t="shared" si="132"/>
        <v>0</v>
      </c>
      <c r="Z252" s="161">
        <f t="shared" si="132"/>
        <v>0</v>
      </c>
      <c r="AA252" s="161">
        <f t="shared" si="132"/>
        <v>0</v>
      </c>
      <c r="AB252" s="161">
        <f t="shared" si="132"/>
        <v>0</v>
      </c>
      <c r="AC252" s="161">
        <f t="shared" si="132"/>
        <v>0</v>
      </c>
      <c r="AD252" s="161">
        <f t="shared" si="132"/>
        <v>0</v>
      </c>
      <c r="AE252" s="161">
        <f t="shared" si="132"/>
        <v>0</v>
      </c>
      <c r="AF252" s="174">
        <f t="shared" si="13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33"/>
        <v>0</v>
      </c>
      <c r="D253" s="161">
        <f t="shared" si="133"/>
        <v>0</v>
      </c>
      <c r="E253" s="161">
        <f t="shared" si="133"/>
        <v>0</v>
      </c>
      <c r="F253" s="161">
        <f t="shared" si="133"/>
        <v>0</v>
      </c>
      <c r="G253" s="161">
        <f t="shared" si="133"/>
        <v>0</v>
      </c>
      <c r="H253" s="161">
        <f t="shared" si="133"/>
        <v>0</v>
      </c>
      <c r="I253" s="161">
        <f t="shared" si="133"/>
        <v>0</v>
      </c>
      <c r="J253" s="161">
        <f t="shared" si="133"/>
        <v>0</v>
      </c>
      <c r="K253" s="161">
        <f t="shared" si="133"/>
        <v>0</v>
      </c>
      <c r="L253" s="161">
        <f t="shared" si="133"/>
        <v>0</v>
      </c>
      <c r="M253" s="161">
        <f t="shared" si="133"/>
        <v>0</v>
      </c>
      <c r="N253" s="161">
        <f t="shared" si="133"/>
        <v>0</v>
      </c>
      <c r="O253" s="161">
        <f t="shared" si="133"/>
        <v>0</v>
      </c>
      <c r="P253" s="161">
        <f t="shared" si="133"/>
        <v>0</v>
      </c>
      <c r="Q253" s="161">
        <f t="shared" si="133"/>
        <v>0</v>
      </c>
      <c r="R253" s="161">
        <f t="shared" si="133"/>
        <v>0</v>
      </c>
      <c r="S253" s="161">
        <f t="shared" si="132"/>
        <v>0</v>
      </c>
      <c r="T253" s="161">
        <f t="shared" si="132"/>
        <v>0</v>
      </c>
      <c r="U253" s="161">
        <f t="shared" si="132"/>
        <v>0</v>
      </c>
      <c r="V253" s="161">
        <f t="shared" si="132"/>
        <v>0</v>
      </c>
      <c r="W253" s="161">
        <f t="shared" si="132"/>
        <v>0</v>
      </c>
      <c r="X253" s="161">
        <f t="shared" si="132"/>
        <v>0</v>
      </c>
      <c r="Y253" s="161">
        <f t="shared" si="132"/>
        <v>0</v>
      </c>
      <c r="Z253" s="161">
        <f t="shared" si="132"/>
        <v>0</v>
      </c>
      <c r="AA253" s="161">
        <f t="shared" si="132"/>
        <v>0</v>
      </c>
      <c r="AB253" s="161">
        <f t="shared" si="132"/>
        <v>0</v>
      </c>
      <c r="AC253" s="161">
        <f t="shared" si="132"/>
        <v>0</v>
      </c>
      <c r="AD253" s="161">
        <f t="shared" si="132"/>
        <v>0</v>
      </c>
      <c r="AE253" s="161">
        <f t="shared" si="132"/>
        <v>0</v>
      </c>
      <c r="AF253" s="174">
        <f t="shared" si="13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33"/>
        <v>0</v>
      </c>
      <c r="D254" s="161">
        <f t="shared" si="133"/>
        <v>0</v>
      </c>
      <c r="E254" s="161">
        <f t="shared" si="133"/>
        <v>0</v>
      </c>
      <c r="F254" s="161">
        <f t="shared" si="133"/>
        <v>0</v>
      </c>
      <c r="G254" s="161">
        <f t="shared" si="133"/>
        <v>0</v>
      </c>
      <c r="H254" s="161">
        <f t="shared" si="133"/>
        <v>0</v>
      </c>
      <c r="I254" s="161">
        <f t="shared" si="133"/>
        <v>0</v>
      </c>
      <c r="J254" s="161">
        <f t="shared" si="133"/>
        <v>0</v>
      </c>
      <c r="K254" s="161">
        <f t="shared" si="133"/>
        <v>0</v>
      </c>
      <c r="L254" s="161">
        <f t="shared" si="133"/>
        <v>0</v>
      </c>
      <c r="M254" s="161">
        <f t="shared" si="133"/>
        <v>0</v>
      </c>
      <c r="N254" s="161">
        <f t="shared" si="133"/>
        <v>0</v>
      </c>
      <c r="O254" s="161">
        <f t="shared" si="133"/>
        <v>0</v>
      </c>
      <c r="P254" s="161">
        <f t="shared" si="133"/>
        <v>0</v>
      </c>
      <c r="Q254" s="161">
        <f t="shared" si="133"/>
        <v>0</v>
      </c>
      <c r="R254" s="161">
        <f t="shared" si="133"/>
        <v>0</v>
      </c>
      <c r="S254" s="161">
        <f t="shared" si="132"/>
        <v>0</v>
      </c>
      <c r="T254" s="161">
        <f t="shared" si="132"/>
        <v>0</v>
      </c>
      <c r="U254" s="161">
        <f t="shared" si="132"/>
        <v>0</v>
      </c>
      <c r="V254" s="161">
        <f t="shared" si="132"/>
        <v>0</v>
      </c>
      <c r="W254" s="161">
        <f t="shared" si="132"/>
        <v>0</v>
      </c>
      <c r="X254" s="161">
        <f t="shared" si="132"/>
        <v>0</v>
      </c>
      <c r="Y254" s="161">
        <f t="shared" si="132"/>
        <v>0</v>
      </c>
      <c r="Z254" s="161">
        <f t="shared" si="132"/>
        <v>0</v>
      </c>
      <c r="AA254" s="161">
        <f t="shared" si="132"/>
        <v>0</v>
      </c>
      <c r="AB254" s="161">
        <f t="shared" si="132"/>
        <v>0</v>
      </c>
      <c r="AC254" s="161">
        <f t="shared" si="132"/>
        <v>0</v>
      </c>
      <c r="AD254" s="161">
        <f t="shared" si="132"/>
        <v>0</v>
      </c>
      <c r="AE254" s="161">
        <f t="shared" si="132"/>
        <v>0</v>
      </c>
      <c r="AF254" s="174">
        <f t="shared" si="13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33"/>
        <v>0</v>
      </c>
      <c r="D255" s="161">
        <f t="shared" si="133"/>
        <v>0</v>
      </c>
      <c r="E255" s="161">
        <f t="shared" si="133"/>
        <v>0</v>
      </c>
      <c r="F255" s="161">
        <f t="shared" si="133"/>
        <v>0</v>
      </c>
      <c r="G255" s="161">
        <f t="shared" si="133"/>
        <v>0</v>
      </c>
      <c r="H255" s="161">
        <f t="shared" si="133"/>
        <v>0</v>
      </c>
      <c r="I255" s="161">
        <f t="shared" si="133"/>
        <v>0</v>
      </c>
      <c r="J255" s="161">
        <f t="shared" si="133"/>
        <v>0</v>
      </c>
      <c r="K255" s="161">
        <f t="shared" si="133"/>
        <v>0</v>
      </c>
      <c r="L255" s="161">
        <f t="shared" si="133"/>
        <v>0</v>
      </c>
      <c r="M255" s="161">
        <f t="shared" si="133"/>
        <v>0</v>
      </c>
      <c r="N255" s="161">
        <f t="shared" si="133"/>
        <v>0</v>
      </c>
      <c r="O255" s="161">
        <f t="shared" si="133"/>
        <v>0</v>
      </c>
      <c r="P255" s="161">
        <f t="shared" si="133"/>
        <v>0</v>
      </c>
      <c r="Q255" s="161">
        <f t="shared" si="133"/>
        <v>0</v>
      </c>
      <c r="R255" s="161">
        <f t="shared" si="133"/>
        <v>0</v>
      </c>
      <c r="S255" s="161">
        <f t="shared" si="132"/>
        <v>0</v>
      </c>
      <c r="T255" s="161">
        <f t="shared" si="132"/>
        <v>0</v>
      </c>
      <c r="U255" s="161">
        <f t="shared" si="132"/>
        <v>0</v>
      </c>
      <c r="V255" s="161">
        <f t="shared" si="132"/>
        <v>0</v>
      </c>
      <c r="W255" s="161">
        <f t="shared" si="132"/>
        <v>0</v>
      </c>
      <c r="X255" s="161">
        <f t="shared" si="132"/>
        <v>0</v>
      </c>
      <c r="Y255" s="161">
        <f t="shared" si="132"/>
        <v>0</v>
      </c>
      <c r="Z255" s="161">
        <f t="shared" si="132"/>
        <v>0</v>
      </c>
      <c r="AA255" s="161">
        <f t="shared" si="132"/>
        <v>0</v>
      </c>
      <c r="AB255" s="161">
        <f t="shared" si="132"/>
        <v>0</v>
      </c>
      <c r="AC255" s="161">
        <f t="shared" si="132"/>
        <v>0</v>
      </c>
      <c r="AD255" s="161">
        <f t="shared" si="132"/>
        <v>0</v>
      </c>
      <c r="AE255" s="161">
        <f t="shared" si="132"/>
        <v>0</v>
      </c>
      <c r="AF255" s="174">
        <f t="shared" si="13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33"/>
        <v>0</v>
      </c>
      <c r="D256" s="161">
        <f t="shared" si="133"/>
        <v>0</v>
      </c>
      <c r="E256" s="161">
        <f t="shared" si="133"/>
        <v>0</v>
      </c>
      <c r="F256" s="161">
        <f t="shared" si="133"/>
        <v>0</v>
      </c>
      <c r="G256" s="161">
        <f t="shared" si="133"/>
        <v>0</v>
      </c>
      <c r="H256" s="161">
        <f t="shared" si="133"/>
        <v>0</v>
      </c>
      <c r="I256" s="161">
        <f t="shared" si="133"/>
        <v>0</v>
      </c>
      <c r="J256" s="161">
        <f t="shared" si="133"/>
        <v>0</v>
      </c>
      <c r="K256" s="161">
        <f t="shared" si="133"/>
        <v>0</v>
      </c>
      <c r="L256" s="161">
        <f t="shared" si="133"/>
        <v>0</v>
      </c>
      <c r="M256" s="161">
        <f t="shared" si="133"/>
        <v>0</v>
      </c>
      <c r="N256" s="161">
        <f t="shared" si="133"/>
        <v>0</v>
      </c>
      <c r="O256" s="161">
        <f t="shared" si="133"/>
        <v>0</v>
      </c>
      <c r="P256" s="161">
        <f t="shared" si="133"/>
        <v>0</v>
      </c>
      <c r="Q256" s="161">
        <f t="shared" si="133"/>
        <v>0</v>
      </c>
      <c r="R256" s="161">
        <f t="shared" si="133"/>
        <v>0</v>
      </c>
      <c r="S256" s="161">
        <f t="shared" si="132"/>
        <v>0</v>
      </c>
      <c r="T256" s="161">
        <f t="shared" si="132"/>
        <v>0</v>
      </c>
      <c r="U256" s="161">
        <f t="shared" si="132"/>
        <v>0</v>
      </c>
      <c r="V256" s="161">
        <f t="shared" si="132"/>
        <v>0</v>
      </c>
      <c r="W256" s="161">
        <f t="shared" si="132"/>
        <v>0</v>
      </c>
      <c r="X256" s="161">
        <f t="shared" si="132"/>
        <v>0</v>
      </c>
      <c r="Y256" s="161">
        <f t="shared" si="132"/>
        <v>0</v>
      </c>
      <c r="Z256" s="161">
        <f t="shared" si="132"/>
        <v>0</v>
      </c>
      <c r="AA256" s="161">
        <f t="shared" si="132"/>
        <v>0</v>
      </c>
      <c r="AB256" s="161">
        <f t="shared" si="132"/>
        <v>0</v>
      </c>
      <c r="AC256" s="161">
        <f t="shared" si="132"/>
        <v>0</v>
      </c>
      <c r="AD256" s="161">
        <f t="shared" si="132"/>
        <v>0</v>
      </c>
      <c r="AE256" s="161">
        <f t="shared" si="132"/>
        <v>0</v>
      </c>
      <c r="AF256" s="174">
        <f t="shared" si="13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33"/>
        <v>0</v>
      </c>
      <c r="D257" s="161">
        <f t="shared" si="133"/>
        <v>0</v>
      </c>
      <c r="E257" s="161">
        <f t="shared" si="133"/>
        <v>0</v>
      </c>
      <c r="F257" s="161">
        <f t="shared" si="133"/>
        <v>0</v>
      </c>
      <c r="G257" s="161">
        <f t="shared" si="133"/>
        <v>0</v>
      </c>
      <c r="H257" s="161">
        <f t="shared" si="133"/>
        <v>0</v>
      </c>
      <c r="I257" s="161">
        <f t="shared" si="133"/>
        <v>0</v>
      </c>
      <c r="J257" s="161">
        <f t="shared" si="133"/>
        <v>0</v>
      </c>
      <c r="K257" s="161">
        <f t="shared" si="133"/>
        <v>0</v>
      </c>
      <c r="L257" s="161">
        <f t="shared" si="133"/>
        <v>0</v>
      </c>
      <c r="M257" s="161">
        <f t="shared" si="133"/>
        <v>0</v>
      </c>
      <c r="N257" s="161">
        <f t="shared" si="133"/>
        <v>0</v>
      </c>
      <c r="O257" s="161">
        <f t="shared" si="133"/>
        <v>0</v>
      </c>
      <c r="P257" s="161">
        <f t="shared" si="133"/>
        <v>0</v>
      </c>
      <c r="Q257" s="161">
        <f t="shared" si="133"/>
        <v>0</v>
      </c>
      <c r="R257" s="161">
        <f t="shared" si="133"/>
        <v>0</v>
      </c>
      <c r="S257" s="161">
        <f t="shared" si="132"/>
        <v>0</v>
      </c>
      <c r="T257" s="161">
        <f t="shared" si="132"/>
        <v>0</v>
      </c>
      <c r="U257" s="161">
        <f t="shared" si="132"/>
        <v>0</v>
      </c>
      <c r="V257" s="161">
        <f t="shared" si="132"/>
        <v>0</v>
      </c>
      <c r="W257" s="161">
        <f t="shared" si="132"/>
        <v>0</v>
      </c>
      <c r="X257" s="161">
        <f t="shared" si="132"/>
        <v>0</v>
      </c>
      <c r="Y257" s="161">
        <f t="shared" si="132"/>
        <v>0</v>
      </c>
      <c r="Z257" s="161">
        <f t="shared" si="132"/>
        <v>0</v>
      </c>
      <c r="AA257" s="161">
        <f t="shared" si="132"/>
        <v>0</v>
      </c>
      <c r="AB257" s="161">
        <f t="shared" si="132"/>
        <v>0</v>
      </c>
      <c r="AC257" s="161">
        <f t="shared" si="132"/>
        <v>0</v>
      </c>
      <c r="AD257" s="161">
        <f t="shared" si="132"/>
        <v>0</v>
      </c>
      <c r="AE257" s="161">
        <f t="shared" si="132"/>
        <v>0</v>
      </c>
      <c r="AF257" s="174">
        <f t="shared" si="13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33"/>
        <v>0</v>
      </c>
      <c r="D258" s="161">
        <f t="shared" si="133"/>
        <v>0</v>
      </c>
      <c r="E258" s="161">
        <f t="shared" si="133"/>
        <v>0</v>
      </c>
      <c r="F258" s="161">
        <f t="shared" si="133"/>
        <v>0</v>
      </c>
      <c r="G258" s="161">
        <f t="shared" si="133"/>
        <v>0</v>
      </c>
      <c r="H258" s="161">
        <f t="shared" si="133"/>
        <v>0</v>
      </c>
      <c r="I258" s="161">
        <f t="shared" si="133"/>
        <v>0</v>
      </c>
      <c r="J258" s="161">
        <f t="shared" si="133"/>
        <v>0</v>
      </c>
      <c r="K258" s="161">
        <f t="shared" si="133"/>
        <v>0</v>
      </c>
      <c r="L258" s="161">
        <f t="shared" si="133"/>
        <v>0</v>
      </c>
      <c r="M258" s="161">
        <f t="shared" si="133"/>
        <v>0</v>
      </c>
      <c r="N258" s="161">
        <f t="shared" si="133"/>
        <v>0</v>
      </c>
      <c r="O258" s="161">
        <f t="shared" si="133"/>
        <v>0</v>
      </c>
      <c r="P258" s="161">
        <f t="shared" si="133"/>
        <v>0</v>
      </c>
      <c r="Q258" s="161">
        <f t="shared" si="133"/>
        <v>0</v>
      </c>
      <c r="R258" s="161">
        <f t="shared" si="133"/>
        <v>0</v>
      </c>
      <c r="S258" s="161">
        <f t="shared" si="132"/>
        <v>0</v>
      </c>
      <c r="T258" s="161">
        <f t="shared" si="132"/>
        <v>0</v>
      </c>
      <c r="U258" s="161">
        <f t="shared" si="132"/>
        <v>0</v>
      </c>
      <c r="V258" s="161">
        <f t="shared" si="132"/>
        <v>0</v>
      </c>
      <c r="W258" s="161">
        <f t="shared" si="132"/>
        <v>0</v>
      </c>
      <c r="X258" s="161">
        <f t="shared" si="132"/>
        <v>0</v>
      </c>
      <c r="Y258" s="161">
        <f t="shared" si="132"/>
        <v>0</v>
      </c>
      <c r="Z258" s="161">
        <f t="shared" si="132"/>
        <v>0</v>
      </c>
      <c r="AA258" s="161">
        <f t="shared" si="132"/>
        <v>0</v>
      </c>
      <c r="AB258" s="161">
        <f t="shared" si="132"/>
        <v>0</v>
      </c>
      <c r="AC258" s="161">
        <f t="shared" si="132"/>
        <v>0</v>
      </c>
      <c r="AD258" s="161">
        <f t="shared" si="132"/>
        <v>0</v>
      </c>
      <c r="AE258" s="161">
        <f t="shared" si="132"/>
        <v>0</v>
      </c>
      <c r="AF258" s="174">
        <f t="shared" si="13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33"/>
        <v>0</v>
      </c>
      <c r="D259" s="161">
        <f t="shared" si="133"/>
        <v>0</v>
      </c>
      <c r="E259" s="161">
        <f t="shared" si="133"/>
        <v>0</v>
      </c>
      <c r="F259" s="161">
        <f t="shared" si="133"/>
        <v>0</v>
      </c>
      <c r="G259" s="161">
        <f t="shared" si="133"/>
        <v>0</v>
      </c>
      <c r="H259" s="161">
        <f t="shared" si="133"/>
        <v>0</v>
      </c>
      <c r="I259" s="161">
        <f t="shared" si="133"/>
        <v>0</v>
      </c>
      <c r="J259" s="161">
        <f t="shared" si="133"/>
        <v>0</v>
      </c>
      <c r="K259" s="161">
        <f t="shared" si="133"/>
        <v>0</v>
      </c>
      <c r="L259" s="161">
        <f t="shared" si="133"/>
        <v>0</v>
      </c>
      <c r="M259" s="161">
        <f t="shared" si="133"/>
        <v>0</v>
      </c>
      <c r="N259" s="161">
        <f t="shared" si="133"/>
        <v>0</v>
      </c>
      <c r="O259" s="161">
        <f t="shared" si="133"/>
        <v>0</v>
      </c>
      <c r="P259" s="161">
        <f t="shared" si="133"/>
        <v>0</v>
      </c>
      <c r="Q259" s="161">
        <f t="shared" si="133"/>
        <v>0</v>
      </c>
      <c r="R259" s="161">
        <f t="shared" si="133"/>
        <v>0</v>
      </c>
      <c r="S259" s="161">
        <f t="shared" si="132"/>
        <v>0</v>
      </c>
      <c r="T259" s="161">
        <f t="shared" si="132"/>
        <v>0</v>
      </c>
      <c r="U259" s="161">
        <f t="shared" si="132"/>
        <v>0</v>
      </c>
      <c r="V259" s="161">
        <f t="shared" si="132"/>
        <v>0</v>
      </c>
      <c r="W259" s="161">
        <f t="shared" si="132"/>
        <v>0</v>
      </c>
      <c r="X259" s="161">
        <f t="shared" si="132"/>
        <v>0</v>
      </c>
      <c r="Y259" s="161">
        <f t="shared" si="132"/>
        <v>0</v>
      </c>
      <c r="Z259" s="161">
        <f t="shared" si="132"/>
        <v>0</v>
      </c>
      <c r="AA259" s="161">
        <f t="shared" si="132"/>
        <v>0</v>
      </c>
      <c r="AB259" s="161">
        <f t="shared" si="132"/>
        <v>0</v>
      </c>
      <c r="AC259" s="161">
        <f t="shared" si="132"/>
        <v>0</v>
      </c>
      <c r="AD259" s="161">
        <f t="shared" si="132"/>
        <v>0</v>
      </c>
      <c r="AE259" s="161">
        <f t="shared" si="132"/>
        <v>0</v>
      </c>
      <c r="AF259" s="174">
        <f t="shared" si="13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33"/>
        <v>0</v>
      </c>
      <c r="D260" s="161">
        <f t="shared" si="133"/>
        <v>0</v>
      </c>
      <c r="E260" s="161">
        <f t="shared" si="133"/>
        <v>0</v>
      </c>
      <c r="F260" s="161">
        <f t="shared" si="133"/>
        <v>0</v>
      </c>
      <c r="G260" s="161">
        <f t="shared" si="133"/>
        <v>0</v>
      </c>
      <c r="H260" s="161">
        <f t="shared" si="133"/>
        <v>0</v>
      </c>
      <c r="I260" s="161">
        <f t="shared" si="133"/>
        <v>0</v>
      </c>
      <c r="J260" s="161">
        <f t="shared" si="133"/>
        <v>0</v>
      </c>
      <c r="K260" s="161">
        <f t="shared" si="133"/>
        <v>0</v>
      </c>
      <c r="L260" s="161">
        <f t="shared" si="133"/>
        <v>0</v>
      </c>
      <c r="M260" s="161">
        <f t="shared" si="133"/>
        <v>0</v>
      </c>
      <c r="N260" s="161">
        <f t="shared" si="133"/>
        <v>0</v>
      </c>
      <c r="O260" s="161">
        <f t="shared" si="133"/>
        <v>0</v>
      </c>
      <c r="P260" s="161">
        <f t="shared" si="133"/>
        <v>0</v>
      </c>
      <c r="Q260" s="161">
        <f t="shared" si="133"/>
        <v>0</v>
      </c>
      <c r="R260" s="161">
        <f t="shared" si="133"/>
        <v>0</v>
      </c>
      <c r="S260" s="161">
        <f t="shared" si="132"/>
        <v>0</v>
      </c>
      <c r="T260" s="161">
        <f t="shared" si="132"/>
        <v>0</v>
      </c>
      <c r="U260" s="161">
        <f t="shared" si="132"/>
        <v>0</v>
      </c>
      <c r="V260" s="161">
        <f t="shared" si="132"/>
        <v>0</v>
      </c>
      <c r="W260" s="161">
        <f t="shared" si="132"/>
        <v>0</v>
      </c>
      <c r="X260" s="161">
        <f t="shared" si="132"/>
        <v>0</v>
      </c>
      <c r="Y260" s="161">
        <f t="shared" si="132"/>
        <v>0</v>
      </c>
      <c r="Z260" s="161">
        <f t="shared" si="132"/>
        <v>0</v>
      </c>
      <c r="AA260" s="161">
        <f t="shared" si="132"/>
        <v>0</v>
      </c>
      <c r="AB260" s="161">
        <f t="shared" si="132"/>
        <v>0</v>
      </c>
      <c r="AC260" s="161">
        <f t="shared" si="132"/>
        <v>0</v>
      </c>
      <c r="AD260" s="161">
        <f t="shared" si="132"/>
        <v>0</v>
      </c>
      <c r="AE260" s="161">
        <f t="shared" si="132"/>
        <v>0</v>
      </c>
      <c r="AF260" s="174">
        <f t="shared" si="13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33"/>
        <v>0</v>
      </c>
      <c r="D261" s="161">
        <f t="shared" si="133"/>
        <v>0</v>
      </c>
      <c r="E261" s="161">
        <f t="shared" si="133"/>
        <v>0</v>
      </c>
      <c r="F261" s="161">
        <f t="shared" si="133"/>
        <v>0</v>
      </c>
      <c r="G261" s="161">
        <f t="shared" si="133"/>
        <v>0</v>
      </c>
      <c r="H261" s="161">
        <f t="shared" si="133"/>
        <v>0</v>
      </c>
      <c r="I261" s="161">
        <f t="shared" si="133"/>
        <v>0</v>
      </c>
      <c r="J261" s="161">
        <f t="shared" si="133"/>
        <v>0</v>
      </c>
      <c r="K261" s="161">
        <f t="shared" si="133"/>
        <v>0</v>
      </c>
      <c r="L261" s="161">
        <f t="shared" si="133"/>
        <v>0</v>
      </c>
      <c r="M261" s="161">
        <f t="shared" si="133"/>
        <v>0</v>
      </c>
      <c r="N261" s="161">
        <f t="shared" si="133"/>
        <v>0</v>
      </c>
      <c r="O261" s="161">
        <f t="shared" si="133"/>
        <v>0</v>
      </c>
      <c r="P261" s="161">
        <f t="shared" si="133"/>
        <v>0</v>
      </c>
      <c r="Q261" s="161">
        <f t="shared" si="133"/>
        <v>0</v>
      </c>
      <c r="R261" s="161">
        <f t="shared" si="133"/>
        <v>0</v>
      </c>
      <c r="S261" s="161">
        <f t="shared" si="132"/>
        <v>0</v>
      </c>
      <c r="T261" s="161">
        <f t="shared" si="132"/>
        <v>0</v>
      </c>
      <c r="U261" s="161">
        <f t="shared" si="132"/>
        <v>0</v>
      </c>
      <c r="V261" s="161">
        <f t="shared" si="132"/>
        <v>0</v>
      </c>
      <c r="W261" s="161">
        <f t="shared" si="132"/>
        <v>0</v>
      </c>
      <c r="X261" s="161">
        <f t="shared" si="132"/>
        <v>0</v>
      </c>
      <c r="Y261" s="161">
        <f t="shared" si="132"/>
        <v>0</v>
      </c>
      <c r="Z261" s="161">
        <f t="shared" si="132"/>
        <v>0</v>
      </c>
      <c r="AA261" s="161">
        <f t="shared" si="132"/>
        <v>0</v>
      </c>
      <c r="AB261" s="161">
        <f t="shared" si="132"/>
        <v>0</v>
      </c>
      <c r="AC261" s="161">
        <f t="shared" si="132"/>
        <v>0</v>
      </c>
      <c r="AD261" s="161">
        <f t="shared" si="132"/>
        <v>0</v>
      </c>
      <c r="AE261" s="161">
        <f t="shared" si="132"/>
        <v>0</v>
      </c>
      <c r="AF261" s="174">
        <f t="shared" si="13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33"/>
        <v>0</v>
      </c>
      <c r="D262" s="161">
        <f t="shared" si="133"/>
        <v>0</v>
      </c>
      <c r="E262" s="161">
        <f t="shared" si="133"/>
        <v>0</v>
      </c>
      <c r="F262" s="161">
        <f t="shared" si="133"/>
        <v>0</v>
      </c>
      <c r="G262" s="161">
        <f t="shared" si="133"/>
        <v>0</v>
      </c>
      <c r="H262" s="161">
        <f t="shared" si="133"/>
        <v>0</v>
      </c>
      <c r="I262" s="161">
        <f t="shared" si="133"/>
        <v>0</v>
      </c>
      <c r="J262" s="161">
        <f t="shared" si="133"/>
        <v>0</v>
      </c>
      <c r="K262" s="161">
        <f t="shared" si="133"/>
        <v>0</v>
      </c>
      <c r="L262" s="161">
        <f t="shared" si="133"/>
        <v>0</v>
      </c>
      <c r="M262" s="161">
        <f t="shared" si="133"/>
        <v>0</v>
      </c>
      <c r="N262" s="161">
        <f t="shared" si="133"/>
        <v>0</v>
      </c>
      <c r="O262" s="161">
        <f t="shared" si="133"/>
        <v>0</v>
      </c>
      <c r="P262" s="161">
        <f t="shared" si="133"/>
        <v>0</v>
      </c>
      <c r="Q262" s="161">
        <f t="shared" si="133"/>
        <v>0</v>
      </c>
      <c r="R262" s="161">
        <f t="shared" si="133"/>
        <v>0</v>
      </c>
      <c r="S262" s="161">
        <f t="shared" si="132"/>
        <v>0</v>
      </c>
      <c r="T262" s="161">
        <f t="shared" si="132"/>
        <v>0</v>
      </c>
      <c r="U262" s="161">
        <f t="shared" si="132"/>
        <v>0</v>
      </c>
      <c r="V262" s="161">
        <f t="shared" si="132"/>
        <v>0</v>
      </c>
      <c r="W262" s="161">
        <f t="shared" si="132"/>
        <v>0</v>
      </c>
      <c r="X262" s="161">
        <f t="shared" si="132"/>
        <v>0</v>
      </c>
      <c r="Y262" s="161">
        <f t="shared" si="132"/>
        <v>0</v>
      </c>
      <c r="Z262" s="161">
        <f t="shared" si="132"/>
        <v>0</v>
      </c>
      <c r="AA262" s="161">
        <f t="shared" si="132"/>
        <v>0</v>
      </c>
      <c r="AB262" s="161">
        <f t="shared" si="132"/>
        <v>0</v>
      </c>
      <c r="AC262" s="161">
        <f t="shared" si="132"/>
        <v>0</v>
      </c>
      <c r="AD262" s="161">
        <f t="shared" si="132"/>
        <v>0</v>
      </c>
      <c r="AE262" s="161">
        <f t="shared" si="132"/>
        <v>0</v>
      </c>
      <c r="AF262" s="174">
        <f t="shared" si="13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33"/>
        <v>0</v>
      </c>
      <c r="D263" s="161">
        <f t="shared" si="133"/>
        <v>0</v>
      </c>
      <c r="E263" s="161">
        <f t="shared" si="133"/>
        <v>0</v>
      </c>
      <c r="F263" s="161">
        <f t="shared" si="133"/>
        <v>0</v>
      </c>
      <c r="G263" s="161">
        <f t="shared" si="133"/>
        <v>0</v>
      </c>
      <c r="H263" s="161">
        <f t="shared" si="133"/>
        <v>0</v>
      </c>
      <c r="I263" s="161">
        <f t="shared" si="133"/>
        <v>0</v>
      </c>
      <c r="J263" s="161">
        <f t="shared" si="133"/>
        <v>0</v>
      </c>
      <c r="K263" s="161">
        <f t="shared" si="133"/>
        <v>0</v>
      </c>
      <c r="L263" s="161">
        <f t="shared" si="133"/>
        <v>0</v>
      </c>
      <c r="M263" s="161">
        <f t="shared" si="133"/>
        <v>0</v>
      </c>
      <c r="N263" s="161">
        <f t="shared" si="133"/>
        <v>0</v>
      </c>
      <c r="O263" s="161">
        <f t="shared" si="133"/>
        <v>0</v>
      </c>
      <c r="P263" s="161">
        <f t="shared" si="133"/>
        <v>0</v>
      </c>
      <c r="Q263" s="161">
        <f t="shared" si="133"/>
        <v>0</v>
      </c>
      <c r="R263" s="161">
        <f t="shared" si="133"/>
        <v>0</v>
      </c>
      <c r="S263" s="161">
        <f t="shared" si="132"/>
        <v>0</v>
      </c>
      <c r="T263" s="161">
        <f t="shared" si="132"/>
        <v>0</v>
      </c>
      <c r="U263" s="161">
        <f t="shared" si="132"/>
        <v>0</v>
      </c>
      <c r="V263" s="161">
        <f t="shared" si="132"/>
        <v>0</v>
      </c>
      <c r="W263" s="161">
        <f t="shared" si="132"/>
        <v>0</v>
      </c>
      <c r="X263" s="161">
        <f t="shared" si="132"/>
        <v>0</v>
      </c>
      <c r="Y263" s="161">
        <f t="shared" si="132"/>
        <v>0</v>
      </c>
      <c r="Z263" s="161">
        <f t="shared" si="132"/>
        <v>0</v>
      </c>
      <c r="AA263" s="161">
        <f t="shared" si="132"/>
        <v>0</v>
      </c>
      <c r="AB263" s="161">
        <f t="shared" si="132"/>
        <v>0</v>
      </c>
      <c r="AC263" s="161">
        <f t="shared" si="132"/>
        <v>0</v>
      </c>
      <c r="AD263" s="161">
        <f t="shared" si="132"/>
        <v>0</v>
      </c>
      <c r="AE263" s="161">
        <f t="shared" si="132"/>
        <v>0</v>
      </c>
      <c r="AF263" s="174">
        <f t="shared" si="13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33"/>
        <v>0</v>
      </c>
      <c r="D264" s="161">
        <f t="shared" si="133"/>
        <v>0</v>
      </c>
      <c r="E264" s="161">
        <f t="shared" si="133"/>
        <v>0</v>
      </c>
      <c r="F264" s="161">
        <f t="shared" si="133"/>
        <v>0</v>
      </c>
      <c r="G264" s="161">
        <f t="shared" si="133"/>
        <v>0</v>
      </c>
      <c r="H264" s="161">
        <f t="shared" si="133"/>
        <v>0</v>
      </c>
      <c r="I264" s="161">
        <f t="shared" si="133"/>
        <v>0</v>
      </c>
      <c r="J264" s="161">
        <f t="shared" si="133"/>
        <v>0</v>
      </c>
      <c r="K264" s="161">
        <f t="shared" si="133"/>
        <v>0</v>
      </c>
      <c r="L264" s="161">
        <f t="shared" si="133"/>
        <v>0</v>
      </c>
      <c r="M264" s="161">
        <f t="shared" si="133"/>
        <v>0</v>
      </c>
      <c r="N264" s="161">
        <f t="shared" si="133"/>
        <v>0</v>
      </c>
      <c r="O264" s="161">
        <f t="shared" si="133"/>
        <v>0</v>
      </c>
      <c r="P264" s="161">
        <f t="shared" si="133"/>
        <v>0</v>
      </c>
      <c r="Q264" s="161">
        <f t="shared" si="133"/>
        <v>0</v>
      </c>
      <c r="R264" s="161">
        <f t="shared" si="133"/>
        <v>0</v>
      </c>
      <c r="S264" s="161">
        <f t="shared" ref="S264:AF273" si="134">R264</f>
        <v>0</v>
      </c>
      <c r="T264" s="161">
        <f t="shared" si="134"/>
        <v>0</v>
      </c>
      <c r="U264" s="161">
        <f t="shared" si="134"/>
        <v>0</v>
      </c>
      <c r="V264" s="161">
        <f t="shared" si="134"/>
        <v>0</v>
      </c>
      <c r="W264" s="161">
        <f t="shared" si="134"/>
        <v>0</v>
      </c>
      <c r="X264" s="161">
        <f t="shared" si="134"/>
        <v>0</v>
      </c>
      <c r="Y264" s="161">
        <f t="shared" si="134"/>
        <v>0</v>
      </c>
      <c r="Z264" s="161">
        <f t="shared" si="134"/>
        <v>0</v>
      </c>
      <c r="AA264" s="161">
        <f t="shared" si="134"/>
        <v>0</v>
      </c>
      <c r="AB264" s="161">
        <f t="shared" si="134"/>
        <v>0</v>
      </c>
      <c r="AC264" s="161">
        <f t="shared" si="134"/>
        <v>0</v>
      </c>
      <c r="AD264" s="161">
        <f t="shared" si="134"/>
        <v>0</v>
      </c>
      <c r="AE264" s="161">
        <f t="shared" si="134"/>
        <v>0</v>
      </c>
      <c r="AF264" s="174">
        <f t="shared" si="13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35">B265</f>
        <v>0</v>
      </c>
      <c r="D265" s="161">
        <f t="shared" si="135"/>
        <v>0</v>
      </c>
      <c r="E265" s="161">
        <f t="shared" si="135"/>
        <v>0</v>
      </c>
      <c r="F265" s="161">
        <f t="shared" si="135"/>
        <v>0</v>
      </c>
      <c r="G265" s="161">
        <f t="shared" si="135"/>
        <v>0</v>
      </c>
      <c r="H265" s="161">
        <f t="shared" si="135"/>
        <v>0</v>
      </c>
      <c r="I265" s="161">
        <f t="shared" si="135"/>
        <v>0</v>
      </c>
      <c r="J265" s="161">
        <f t="shared" si="135"/>
        <v>0</v>
      </c>
      <c r="K265" s="161">
        <f t="shared" si="135"/>
        <v>0</v>
      </c>
      <c r="L265" s="161">
        <f t="shared" si="135"/>
        <v>0</v>
      </c>
      <c r="M265" s="161">
        <f t="shared" si="135"/>
        <v>0</v>
      </c>
      <c r="N265" s="161">
        <f t="shared" si="135"/>
        <v>0</v>
      </c>
      <c r="O265" s="161">
        <f t="shared" si="135"/>
        <v>0</v>
      </c>
      <c r="P265" s="161">
        <f t="shared" si="135"/>
        <v>0</v>
      </c>
      <c r="Q265" s="161">
        <f t="shared" si="135"/>
        <v>0</v>
      </c>
      <c r="R265" s="161">
        <f t="shared" si="135"/>
        <v>0</v>
      </c>
      <c r="S265" s="161">
        <f t="shared" si="134"/>
        <v>0</v>
      </c>
      <c r="T265" s="161">
        <f t="shared" si="134"/>
        <v>0</v>
      </c>
      <c r="U265" s="161">
        <f t="shared" si="134"/>
        <v>0</v>
      </c>
      <c r="V265" s="161">
        <f t="shared" si="134"/>
        <v>0</v>
      </c>
      <c r="W265" s="161">
        <f t="shared" si="134"/>
        <v>0</v>
      </c>
      <c r="X265" s="161">
        <f t="shared" si="134"/>
        <v>0</v>
      </c>
      <c r="Y265" s="161">
        <f t="shared" si="134"/>
        <v>0</v>
      </c>
      <c r="Z265" s="161">
        <f t="shared" si="134"/>
        <v>0</v>
      </c>
      <c r="AA265" s="161">
        <f t="shared" si="134"/>
        <v>0</v>
      </c>
      <c r="AB265" s="161">
        <f t="shared" si="134"/>
        <v>0</v>
      </c>
      <c r="AC265" s="161">
        <f t="shared" si="134"/>
        <v>0</v>
      </c>
      <c r="AD265" s="161">
        <f t="shared" si="134"/>
        <v>0</v>
      </c>
      <c r="AE265" s="161">
        <f t="shared" si="134"/>
        <v>0</v>
      </c>
      <c r="AF265" s="174">
        <f t="shared" si="13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5"/>
        <v>0</v>
      </c>
      <c r="D266" s="161">
        <f t="shared" si="135"/>
        <v>0</v>
      </c>
      <c r="E266" s="161">
        <f t="shared" si="135"/>
        <v>0</v>
      </c>
      <c r="F266" s="161">
        <f t="shared" si="135"/>
        <v>0</v>
      </c>
      <c r="G266" s="161">
        <f t="shared" si="135"/>
        <v>0</v>
      </c>
      <c r="H266" s="161">
        <f t="shared" si="135"/>
        <v>0</v>
      </c>
      <c r="I266" s="161">
        <f t="shared" si="135"/>
        <v>0</v>
      </c>
      <c r="J266" s="161">
        <f t="shared" si="135"/>
        <v>0</v>
      </c>
      <c r="K266" s="161">
        <f t="shared" si="135"/>
        <v>0</v>
      </c>
      <c r="L266" s="161">
        <f t="shared" si="135"/>
        <v>0</v>
      </c>
      <c r="M266" s="161">
        <f t="shared" si="135"/>
        <v>0</v>
      </c>
      <c r="N266" s="161">
        <f t="shared" si="135"/>
        <v>0</v>
      </c>
      <c r="O266" s="161">
        <f t="shared" si="135"/>
        <v>0</v>
      </c>
      <c r="P266" s="161">
        <f t="shared" si="135"/>
        <v>0</v>
      </c>
      <c r="Q266" s="161">
        <f t="shared" si="135"/>
        <v>0</v>
      </c>
      <c r="R266" s="161">
        <f t="shared" si="135"/>
        <v>0</v>
      </c>
      <c r="S266" s="161">
        <f t="shared" si="134"/>
        <v>0</v>
      </c>
      <c r="T266" s="161">
        <f t="shared" si="134"/>
        <v>0</v>
      </c>
      <c r="U266" s="161">
        <f t="shared" si="134"/>
        <v>0</v>
      </c>
      <c r="V266" s="161">
        <f t="shared" si="134"/>
        <v>0</v>
      </c>
      <c r="W266" s="161">
        <f t="shared" si="134"/>
        <v>0</v>
      </c>
      <c r="X266" s="161">
        <f t="shared" si="134"/>
        <v>0</v>
      </c>
      <c r="Y266" s="161">
        <f t="shared" si="134"/>
        <v>0</v>
      </c>
      <c r="Z266" s="161">
        <f t="shared" si="134"/>
        <v>0</v>
      </c>
      <c r="AA266" s="161">
        <f t="shared" si="134"/>
        <v>0</v>
      </c>
      <c r="AB266" s="161">
        <f t="shared" si="134"/>
        <v>0</v>
      </c>
      <c r="AC266" s="161">
        <f t="shared" si="134"/>
        <v>0</v>
      </c>
      <c r="AD266" s="161">
        <f t="shared" si="134"/>
        <v>0</v>
      </c>
      <c r="AE266" s="161">
        <f t="shared" si="134"/>
        <v>0</v>
      </c>
      <c r="AF266" s="174">
        <f t="shared" si="13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5"/>
        <v>0</v>
      </c>
      <c r="D267" s="161">
        <f t="shared" si="135"/>
        <v>0</v>
      </c>
      <c r="E267" s="161">
        <f t="shared" si="135"/>
        <v>0</v>
      </c>
      <c r="F267" s="161">
        <f t="shared" si="135"/>
        <v>0</v>
      </c>
      <c r="G267" s="161">
        <f t="shared" si="135"/>
        <v>0</v>
      </c>
      <c r="H267" s="161">
        <f t="shared" si="135"/>
        <v>0</v>
      </c>
      <c r="I267" s="161">
        <f t="shared" si="135"/>
        <v>0</v>
      </c>
      <c r="J267" s="161">
        <f t="shared" si="135"/>
        <v>0</v>
      </c>
      <c r="K267" s="161">
        <f t="shared" si="135"/>
        <v>0</v>
      </c>
      <c r="L267" s="161">
        <f t="shared" si="135"/>
        <v>0</v>
      </c>
      <c r="M267" s="161">
        <f t="shared" si="135"/>
        <v>0</v>
      </c>
      <c r="N267" s="161">
        <f t="shared" si="135"/>
        <v>0</v>
      </c>
      <c r="O267" s="161">
        <f t="shared" si="135"/>
        <v>0</v>
      </c>
      <c r="P267" s="161">
        <f t="shared" si="135"/>
        <v>0</v>
      </c>
      <c r="Q267" s="161">
        <f t="shared" si="135"/>
        <v>0</v>
      </c>
      <c r="R267" s="161">
        <f t="shared" si="135"/>
        <v>0</v>
      </c>
      <c r="S267" s="161">
        <f t="shared" si="134"/>
        <v>0</v>
      </c>
      <c r="T267" s="161">
        <f t="shared" si="134"/>
        <v>0</v>
      </c>
      <c r="U267" s="161">
        <f t="shared" si="134"/>
        <v>0</v>
      </c>
      <c r="V267" s="161">
        <f t="shared" si="134"/>
        <v>0</v>
      </c>
      <c r="W267" s="161">
        <f t="shared" si="134"/>
        <v>0</v>
      </c>
      <c r="X267" s="161">
        <f t="shared" si="134"/>
        <v>0</v>
      </c>
      <c r="Y267" s="161">
        <f t="shared" si="134"/>
        <v>0</v>
      </c>
      <c r="Z267" s="161">
        <f t="shared" si="134"/>
        <v>0</v>
      </c>
      <c r="AA267" s="161">
        <f t="shared" si="134"/>
        <v>0</v>
      </c>
      <c r="AB267" s="161">
        <f t="shared" si="134"/>
        <v>0</v>
      </c>
      <c r="AC267" s="161">
        <f t="shared" si="134"/>
        <v>0</v>
      </c>
      <c r="AD267" s="161">
        <f t="shared" si="134"/>
        <v>0</v>
      </c>
      <c r="AE267" s="161">
        <f t="shared" si="134"/>
        <v>0</v>
      </c>
      <c r="AF267" s="174">
        <f t="shared" si="13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5"/>
        <v>0</v>
      </c>
      <c r="D268" s="161">
        <f t="shared" si="135"/>
        <v>0</v>
      </c>
      <c r="E268" s="161">
        <f t="shared" si="135"/>
        <v>0</v>
      </c>
      <c r="F268" s="161">
        <f t="shared" si="135"/>
        <v>0</v>
      </c>
      <c r="G268" s="161">
        <f t="shared" si="135"/>
        <v>0</v>
      </c>
      <c r="H268" s="161">
        <f t="shared" si="135"/>
        <v>0</v>
      </c>
      <c r="I268" s="161">
        <f t="shared" si="135"/>
        <v>0</v>
      </c>
      <c r="J268" s="161">
        <f t="shared" si="135"/>
        <v>0</v>
      </c>
      <c r="K268" s="161">
        <f t="shared" si="135"/>
        <v>0</v>
      </c>
      <c r="L268" s="161">
        <f t="shared" si="135"/>
        <v>0</v>
      </c>
      <c r="M268" s="161">
        <f t="shared" si="135"/>
        <v>0</v>
      </c>
      <c r="N268" s="161">
        <f t="shared" si="135"/>
        <v>0</v>
      </c>
      <c r="O268" s="161">
        <f t="shared" si="135"/>
        <v>0</v>
      </c>
      <c r="P268" s="161">
        <f t="shared" si="135"/>
        <v>0</v>
      </c>
      <c r="Q268" s="161">
        <f t="shared" si="135"/>
        <v>0</v>
      </c>
      <c r="R268" s="161">
        <f t="shared" si="135"/>
        <v>0</v>
      </c>
      <c r="S268" s="161">
        <f t="shared" si="134"/>
        <v>0</v>
      </c>
      <c r="T268" s="161">
        <f t="shared" si="134"/>
        <v>0</v>
      </c>
      <c r="U268" s="161">
        <f t="shared" si="134"/>
        <v>0</v>
      </c>
      <c r="V268" s="161">
        <f t="shared" si="134"/>
        <v>0</v>
      </c>
      <c r="W268" s="161">
        <f t="shared" si="134"/>
        <v>0</v>
      </c>
      <c r="X268" s="161">
        <f t="shared" si="134"/>
        <v>0</v>
      </c>
      <c r="Y268" s="161">
        <f t="shared" si="134"/>
        <v>0</v>
      </c>
      <c r="Z268" s="161">
        <f t="shared" si="134"/>
        <v>0</v>
      </c>
      <c r="AA268" s="161">
        <f t="shared" si="134"/>
        <v>0</v>
      </c>
      <c r="AB268" s="161">
        <f t="shared" si="134"/>
        <v>0</v>
      </c>
      <c r="AC268" s="161">
        <f t="shared" si="134"/>
        <v>0</v>
      </c>
      <c r="AD268" s="161">
        <f t="shared" si="134"/>
        <v>0</v>
      </c>
      <c r="AE268" s="161">
        <f t="shared" si="134"/>
        <v>0</v>
      </c>
      <c r="AF268" s="174">
        <f t="shared" si="13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5"/>
        <v>0</v>
      </c>
      <c r="D269" s="161">
        <f t="shared" si="135"/>
        <v>0</v>
      </c>
      <c r="E269" s="161">
        <f t="shared" si="135"/>
        <v>0</v>
      </c>
      <c r="F269" s="161">
        <f t="shared" si="135"/>
        <v>0</v>
      </c>
      <c r="G269" s="161">
        <f t="shared" si="135"/>
        <v>0</v>
      </c>
      <c r="H269" s="161">
        <f t="shared" si="135"/>
        <v>0</v>
      </c>
      <c r="I269" s="161">
        <f t="shared" si="135"/>
        <v>0</v>
      </c>
      <c r="J269" s="161">
        <f t="shared" si="135"/>
        <v>0</v>
      </c>
      <c r="K269" s="161">
        <f t="shared" si="135"/>
        <v>0</v>
      </c>
      <c r="L269" s="161">
        <f t="shared" si="135"/>
        <v>0</v>
      </c>
      <c r="M269" s="161">
        <f t="shared" si="135"/>
        <v>0</v>
      </c>
      <c r="N269" s="161">
        <f t="shared" si="135"/>
        <v>0</v>
      </c>
      <c r="O269" s="161">
        <f t="shared" si="135"/>
        <v>0</v>
      </c>
      <c r="P269" s="161">
        <f t="shared" si="135"/>
        <v>0</v>
      </c>
      <c r="Q269" s="161">
        <f t="shared" si="135"/>
        <v>0</v>
      </c>
      <c r="R269" s="161">
        <f t="shared" si="135"/>
        <v>0</v>
      </c>
      <c r="S269" s="161">
        <f t="shared" si="134"/>
        <v>0</v>
      </c>
      <c r="T269" s="161">
        <f t="shared" si="134"/>
        <v>0</v>
      </c>
      <c r="U269" s="161">
        <f t="shared" si="134"/>
        <v>0</v>
      </c>
      <c r="V269" s="161">
        <f t="shared" si="134"/>
        <v>0</v>
      </c>
      <c r="W269" s="161">
        <f t="shared" si="134"/>
        <v>0</v>
      </c>
      <c r="X269" s="161">
        <f t="shared" si="134"/>
        <v>0</v>
      </c>
      <c r="Y269" s="161">
        <f t="shared" si="134"/>
        <v>0</v>
      </c>
      <c r="Z269" s="161">
        <f t="shared" si="134"/>
        <v>0</v>
      </c>
      <c r="AA269" s="161">
        <f t="shared" si="134"/>
        <v>0</v>
      </c>
      <c r="AB269" s="161">
        <f t="shared" si="134"/>
        <v>0</v>
      </c>
      <c r="AC269" s="161">
        <f t="shared" si="134"/>
        <v>0</v>
      </c>
      <c r="AD269" s="161">
        <f t="shared" si="134"/>
        <v>0</v>
      </c>
      <c r="AE269" s="161">
        <f t="shared" si="134"/>
        <v>0</v>
      </c>
      <c r="AF269" s="174">
        <f t="shared" si="13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5"/>
        <v>0</v>
      </c>
      <c r="D270" s="161">
        <f t="shared" si="135"/>
        <v>0</v>
      </c>
      <c r="E270" s="161">
        <f t="shared" si="135"/>
        <v>0</v>
      </c>
      <c r="F270" s="161">
        <f t="shared" si="135"/>
        <v>0</v>
      </c>
      <c r="G270" s="161">
        <f t="shared" si="135"/>
        <v>0</v>
      </c>
      <c r="H270" s="161">
        <f t="shared" si="135"/>
        <v>0</v>
      </c>
      <c r="I270" s="161">
        <f t="shared" si="135"/>
        <v>0</v>
      </c>
      <c r="J270" s="161">
        <f t="shared" si="135"/>
        <v>0</v>
      </c>
      <c r="K270" s="161">
        <f t="shared" si="135"/>
        <v>0</v>
      </c>
      <c r="L270" s="161">
        <f t="shared" si="135"/>
        <v>0</v>
      </c>
      <c r="M270" s="161">
        <f t="shared" si="135"/>
        <v>0</v>
      </c>
      <c r="N270" s="161">
        <f t="shared" si="135"/>
        <v>0</v>
      </c>
      <c r="O270" s="161">
        <f t="shared" si="135"/>
        <v>0</v>
      </c>
      <c r="P270" s="161">
        <f t="shared" si="135"/>
        <v>0</v>
      </c>
      <c r="Q270" s="161">
        <f t="shared" si="135"/>
        <v>0</v>
      </c>
      <c r="R270" s="161">
        <f t="shared" si="135"/>
        <v>0</v>
      </c>
      <c r="S270" s="161">
        <f t="shared" si="134"/>
        <v>0</v>
      </c>
      <c r="T270" s="161">
        <f t="shared" si="134"/>
        <v>0</v>
      </c>
      <c r="U270" s="161">
        <f t="shared" si="134"/>
        <v>0</v>
      </c>
      <c r="V270" s="161">
        <f t="shared" si="134"/>
        <v>0</v>
      </c>
      <c r="W270" s="161">
        <f t="shared" si="134"/>
        <v>0</v>
      </c>
      <c r="X270" s="161">
        <f t="shared" si="134"/>
        <v>0</v>
      </c>
      <c r="Y270" s="161">
        <f t="shared" si="134"/>
        <v>0</v>
      </c>
      <c r="Z270" s="161">
        <f t="shared" si="134"/>
        <v>0</v>
      </c>
      <c r="AA270" s="161">
        <f t="shared" si="134"/>
        <v>0</v>
      </c>
      <c r="AB270" s="161">
        <f t="shared" si="134"/>
        <v>0</v>
      </c>
      <c r="AC270" s="161">
        <f t="shared" si="134"/>
        <v>0</v>
      </c>
      <c r="AD270" s="161">
        <f t="shared" si="134"/>
        <v>0</v>
      </c>
      <c r="AE270" s="161">
        <f t="shared" si="134"/>
        <v>0</v>
      </c>
      <c r="AF270" s="174">
        <f t="shared" si="13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5"/>
        <v>0</v>
      </c>
      <c r="D271" s="161">
        <f t="shared" si="135"/>
        <v>0</v>
      </c>
      <c r="E271" s="161">
        <f t="shared" si="135"/>
        <v>0</v>
      </c>
      <c r="F271" s="161">
        <f t="shared" si="135"/>
        <v>0</v>
      </c>
      <c r="G271" s="161">
        <f t="shared" si="135"/>
        <v>0</v>
      </c>
      <c r="H271" s="161">
        <f t="shared" si="135"/>
        <v>0</v>
      </c>
      <c r="I271" s="161">
        <f t="shared" si="135"/>
        <v>0</v>
      </c>
      <c r="J271" s="161">
        <f t="shared" si="135"/>
        <v>0</v>
      </c>
      <c r="K271" s="161">
        <f t="shared" si="135"/>
        <v>0</v>
      </c>
      <c r="L271" s="161">
        <f t="shared" si="135"/>
        <v>0</v>
      </c>
      <c r="M271" s="161">
        <f t="shared" si="135"/>
        <v>0</v>
      </c>
      <c r="N271" s="161">
        <f t="shared" si="135"/>
        <v>0</v>
      </c>
      <c r="O271" s="161">
        <f t="shared" si="135"/>
        <v>0</v>
      </c>
      <c r="P271" s="161">
        <f t="shared" si="135"/>
        <v>0</v>
      </c>
      <c r="Q271" s="161">
        <f t="shared" si="135"/>
        <v>0</v>
      </c>
      <c r="R271" s="161">
        <f t="shared" si="135"/>
        <v>0</v>
      </c>
      <c r="S271" s="161">
        <f t="shared" si="134"/>
        <v>0</v>
      </c>
      <c r="T271" s="161">
        <f t="shared" si="134"/>
        <v>0</v>
      </c>
      <c r="U271" s="161">
        <f t="shared" si="134"/>
        <v>0</v>
      </c>
      <c r="V271" s="161">
        <f t="shared" si="134"/>
        <v>0</v>
      </c>
      <c r="W271" s="161">
        <f t="shared" si="134"/>
        <v>0</v>
      </c>
      <c r="X271" s="161">
        <f t="shared" si="134"/>
        <v>0</v>
      </c>
      <c r="Y271" s="161">
        <f t="shared" si="134"/>
        <v>0</v>
      </c>
      <c r="Z271" s="161">
        <f t="shared" si="134"/>
        <v>0</v>
      </c>
      <c r="AA271" s="161">
        <f t="shared" si="134"/>
        <v>0</v>
      </c>
      <c r="AB271" s="161">
        <f t="shared" si="134"/>
        <v>0</v>
      </c>
      <c r="AC271" s="161">
        <f t="shared" si="134"/>
        <v>0</v>
      </c>
      <c r="AD271" s="161">
        <f t="shared" si="134"/>
        <v>0</v>
      </c>
      <c r="AE271" s="161">
        <f t="shared" si="134"/>
        <v>0</v>
      </c>
      <c r="AF271" s="174">
        <f t="shared" si="13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5"/>
        <v>0</v>
      </c>
      <c r="D272" s="161">
        <f t="shared" si="135"/>
        <v>0</v>
      </c>
      <c r="E272" s="161">
        <f t="shared" si="135"/>
        <v>0</v>
      </c>
      <c r="F272" s="161">
        <f t="shared" si="135"/>
        <v>0</v>
      </c>
      <c r="G272" s="161">
        <f t="shared" si="135"/>
        <v>0</v>
      </c>
      <c r="H272" s="161">
        <f t="shared" si="135"/>
        <v>0</v>
      </c>
      <c r="I272" s="161">
        <f t="shared" si="135"/>
        <v>0</v>
      </c>
      <c r="J272" s="161">
        <f t="shared" si="135"/>
        <v>0</v>
      </c>
      <c r="K272" s="161">
        <f t="shared" si="135"/>
        <v>0</v>
      </c>
      <c r="L272" s="161">
        <f t="shared" si="135"/>
        <v>0</v>
      </c>
      <c r="M272" s="161">
        <f t="shared" si="135"/>
        <v>0</v>
      </c>
      <c r="N272" s="161">
        <f t="shared" si="135"/>
        <v>0</v>
      </c>
      <c r="O272" s="161">
        <f t="shared" si="135"/>
        <v>0</v>
      </c>
      <c r="P272" s="161">
        <f t="shared" si="135"/>
        <v>0</v>
      </c>
      <c r="Q272" s="161">
        <f t="shared" si="135"/>
        <v>0</v>
      </c>
      <c r="R272" s="161">
        <f t="shared" si="135"/>
        <v>0</v>
      </c>
      <c r="S272" s="161">
        <f t="shared" si="134"/>
        <v>0</v>
      </c>
      <c r="T272" s="161">
        <f t="shared" si="134"/>
        <v>0</v>
      </c>
      <c r="U272" s="161">
        <f t="shared" si="134"/>
        <v>0</v>
      </c>
      <c r="V272" s="161">
        <f t="shared" si="134"/>
        <v>0</v>
      </c>
      <c r="W272" s="161">
        <f t="shared" si="134"/>
        <v>0</v>
      </c>
      <c r="X272" s="161">
        <f t="shared" si="134"/>
        <v>0</v>
      </c>
      <c r="Y272" s="161">
        <f t="shared" si="134"/>
        <v>0</v>
      </c>
      <c r="Z272" s="161">
        <f t="shared" si="134"/>
        <v>0</v>
      </c>
      <c r="AA272" s="161">
        <f t="shared" si="134"/>
        <v>0</v>
      </c>
      <c r="AB272" s="161">
        <f t="shared" si="134"/>
        <v>0</v>
      </c>
      <c r="AC272" s="161">
        <f t="shared" si="134"/>
        <v>0</v>
      </c>
      <c r="AD272" s="161">
        <f t="shared" si="134"/>
        <v>0</v>
      </c>
      <c r="AE272" s="161">
        <f t="shared" si="134"/>
        <v>0</v>
      </c>
      <c r="AF272" s="174">
        <f t="shared" si="13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5"/>
        <v>0</v>
      </c>
      <c r="D273" s="177">
        <f t="shared" si="135"/>
        <v>0</v>
      </c>
      <c r="E273" s="177">
        <f t="shared" si="135"/>
        <v>0</v>
      </c>
      <c r="F273" s="177">
        <f t="shared" si="135"/>
        <v>0</v>
      </c>
      <c r="G273" s="177">
        <f t="shared" si="135"/>
        <v>0</v>
      </c>
      <c r="H273" s="177">
        <f t="shared" si="135"/>
        <v>0</v>
      </c>
      <c r="I273" s="177">
        <f t="shared" si="135"/>
        <v>0</v>
      </c>
      <c r="J273" s="177">
        <f t="shared" si="135"/>
        <v>0</v>
      </c>
      <c r="K273" s="177">
        <f t="shared" si="135"/>
        <v>0</v>
      </c>
      <c r="L273" s="177">
        <f t="shared" si="135"/>
        <v>0</v>
      </c>
      <c r="M273" s="177">
        <f t="shared" si="135"/>
        <v>0</v>
      </c>
      <c r="N273" s="177">
        <f t="shared" si="135"/>
        <v>0</v>
      </c>
      <c r="O273" s="177">
        <f t="shared" si="135"/>
        <v>0</v>
      </c>
      <c r="P273" s="177">
        <f t="shared" si="135"/>
        <v>0</v>
      </c>
      <c r="Q273" s="177">
        <f t="shared" si="135"/>
        <v>0</v>
      </c>
      <c r="R273" s="177">
        <f t="shared" si="135"/>
        <v>0</v>
      </c>
      <c r="S273" s="177">
        <f t="shared" si="134"/>
        <v>0</v>
      </c>
      <c r="T273" s="177">
        <f t="shared" si="134"/>
        <v>0</v>
      </c>
      <c r="U273" s="177">
        <f t="shared" si="134"/>
        <v>0</v>
      </c>
      <c r="V273" s="177">
        <f t="shared" si="134"/>
        <v>0</v>
      </c>
      <c r="W273" s="177">
        <f t="shared" si="134"/>
        <v>0</v>
      </c>
      <c r="X273" s="177">
        <f t="shared" si="134"/>
        <v>0</v>
      </c>
      <c r="Y273" s="177">
        <f t="shared" si="134"/>
        <v>0</v>
      </c>
      <c r="Z273" s="177">
        <f t="shared" si="134"/>
        <v>0</v>
      </c>
      <c r="AA273" s="177">
        <f t="shared" si="134"/>
        <v>0</v>
      </c>
      <c r="AB273" s="177">
        <f t="shared" si="134"/>
        <v>0</v>
      </c>
      <c r="AC273" s="177">
        <f t="shared" si="134"/>
        <v>0</v>
      </c>
      <c r="AD273" s="177">
        <f t="shared" si="134"/>
        <v>0</v>
      </c>
      <c r="AE273" s="177">
        <f t="shared" si="134"/>
        <v>0</v>
      </c>
      <c r="AF273" s="178">
        <f t="shared" si="13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36">SUM(B169:B273)</f>
        <v>0</v>
      </c>
      <c r="C274" s="180">
        <f t="shared" si="136"/>
        <v>0</v>
      </c>
      <c r="D274" s="180">
        <f t="shared" si="136"/>
        <v>0</v>
      </c>
      <c r="E274" s="180">
        <f t="shared" si="136"/>
        <v>0</v>
      </c>
      <c r="F274" s="180">
        <f t="shared" si="136"/>
        <v>0</v>
      </c>
      <c r="G274" s="180">
        <f t="shared" si="136"/>
        <v>0</v>
      </c>
      <c r="H274" s="180">
        <f t="shared" si="136"/>
        <v>0</v>
      </c>
      <c r="I274" s="180">
        <f t="shared" si="136"/>
        <v>0</v>
      </c>
      <c r="J274" s="180">
        <f t="shared" si="136"/>
        <v>0</v>
      </c>
      <c r="K274" s="180">
        <f t="shared" si="136"/>
        <v>0</v>
      </c>
      <c r="L274" s="180">
        <f t="shared" si="136"/>
        <v>0</v>
      </c>
      <c r="M274" s="180">
        <f t="shared" si="136"/>
        <v>0</v>
      </c>
      <c r="N274" s="180">
        <f t="shared" si="136"/>
        <v>0</v>
      </c>
      <c r="O274" s="180">
        <f t="shared" si="136"/>
        <v>0</v>
      </c>
      <c r="P274" s="180">
        <f t="shared" si="136"/>
        <v>0</v>
      </c>
      <c r="Q274" s="180">
        <f t="shared" si="136"/>
        <v>0</v>
      </c>
      <c r="R274" s="180">
        <f t="shared" si="136"/>
        <v>0</v>
      </c>
      <c r="S274" s="180">
        <f t="shared" si="136"/>
        <v>0</v>
      </c>
      <c r="T274" s="180">
        <f t="shared" si="136"/>
        <v>0</v>
      </c>
      <c r="U274" s="180">
        <f t="shared" si="136"/>
        <v>0</v>
      </c>
      <c r="V274" s="180">
        <f t="shared" si="136"/>
        <v>0</v>
      </c>
      <c r="W274" s="180">
        <f t="shared" si="136"/>
        <v>0</v>
      </c>
      <c r="X274" s="180">
        <f t="shared" si="136"/>
        <v>0</v>
      </c>
      <c r="Y274" s="180">
        <f t="shared" si="136"/>
        <v>0</v>
      </c>
      <c r="Z274" s="180">
        <f t="shared" si="136"/>
        <v>0</v>
      </c>
      <c r="AA274" s="180">
        <f t="shared" si="136"/>
        <v>0</v>
      </c>
      <c r="AB274" s="180">
        <f t="shared" si="136"/>
        <v>0</v>
      </c>
      <c r="AC274" s="180">
        <f t="shared" si="136"/>
        <v>0</v>
      </c>
      <c r="AD274" s="180">
        <f t="shared" si="136"/>
        <v>0</v>
      </c>
      <c r="AE274" s="180">
        <f t="shared" si="136"/>
        <v>0</v>
      </c>
      <c r="AF274" s="181">
        <f t="shared" si="136"/>
        <v>0</v>
      </c>
      <c r="AG274" s="182">
        <f t="shared" si="13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9" priority="29">
      <formula>$AH11=0</formula>
    </cfRule>
  </conditionalFormatting>
  <conditionalFormatting sqref="A101:A102">
    <cfRule type="expression" dxfId="198" priority="197">
      <formula>$AH106=0</formula>
    </cfRule>
  </conditionalFormatting>
  <conditionalFormatting sqref="A103:A107">
    <cfRule type="expression" dxfId="197" priority="145">
      <formula>$AH102=0</formula>
    </cfRule>
  </conditionalFormatting>
  <conditionalFormatting sqref="A160:A167">
    <cfRule type="expression" dxfId="196" priority="198">
      <formula>$AH267=0</formula>
    </cfRule>
  </conditionalFormatting>
  <conditionalFormatting sqref="A168:A275">
    <cfRule type="expression" dxfId="195" priority="68">
      <formula>$AH168=0</formula>
    </cfRule>
  </conditionalFormatting>
  <conditionalFormatting sqref="B8">
    <cfRule type="expression" dxfId="194" priority="193">
      <formula>AND(C$9&gt;=14/24,C$9&lt;20/24)</formula>
    </cfRule>
    <cfRule type="expression" dxfId="193" priority="194">
      <formula>AND(C$9&gt;=8/24,C$9&lt;14/24)</formula>
    </cfRule>
    <cfRule type="expression" dxfId="192" priority="195">
      <formula>C$9&lt;8/24</formula>
    </cfRule>
    <cfRule type="expression" dxfId="191" priority="196">
      <formula>C$9&gt;=20/24</formula>
    </cfRule>
  </conditionalFormatting>
  <conditionalFormatting sqref="AB12:AF13 B9:AF10 C152:AF152 C154:AF159 B153:AF153 B76:F90 B113:F115 B108:F108 B117:F124 B93:F96 G117:AF125 G126:H134 I134:S134 I126:M127 N126:S133 G79:T90 B72:T72 U11:AA13 G76:AF77 U85:AF90 G93:AF115 T126:AF134 G137:AF151">
    <cfRule type="expression" dxfId="190" priority="110">
      <formula>B$9&gt;=20/24</formula>
    </cfRule>
  </conditionalFormatting>
  <conditionalFormatting sqref="B9:AF10 AB12:AF13 C152:AF152 C154:AF159 B153:AF153 B76:F90 B113:F115 B108:F108 B117:F124 B93:F96 G117:AF125 G126:H134 I134:S134 I126:M127 N126:S133 G79:T90 B72:T72 U11:AA13 G76:AF77 U85:AF90 G93:AF115 T126:AF134 G137:AF151">
    <cfRule type="expression" dxfId="189" priority="111">
      <formula>AND(B$9&gt;=14/24,B$9&lt;20/24)</formula>
    </cfRule>
    <cfRule type="expression" dxfId="188" priority="112">
      <formula>AND(B$9&gt;=8/24,B$9&lt;14/24)</formula>
    </cfRule>
    <cfRule type="expression" dxfId="187" priority="113">
      <formula>B$9&lt;8/24</formula>
    </cfRule>
  </conditionalFormatting>
  <conditionalFormatting sqref="B29:T53 U14:AF53">
    <cfRule type="expression" dxfId="186" priority="53">
      <formula>B14&gt;$AG14*1</formula>
    </cfRule>
    <cfRule type="expression" dxfId="185" priority="54">
      <formula>B$9&gt;=20/24</formula>
    </cfRule>
    <cfRule type="expression" dxfId="184" priority="55">
      <formula>AND(B$9&gt;=14/24,B$9&lt;20/24)</formula>
    </cfRule>
    <cfRule type="expression" dxfId="183" priority="56">
      <formula>AND(B$9&gt;=8/24,B$9&lt;14/24)</formula>
    </cfRule>
    <cfRule type="expression" dxfId="182" priority="57">
      <formula>B$9&lt;8/24</formula>
    </cfRule>
  </conditionalFormatting>
  <conditionalFormatting sqref="B54:AF68">
    <cfRule type="expression" dxfId="181" priority="46">
      <formula>B$9&lt;8/24</formula>
    </cfRule>
  </conditionalFormatting>
  <conditionalFormatting sqref="B54:AF70">
    <cfRule type="expression" dxfId="180" priority="43">
      <formula>B$9&gt;=20/24</formula>
    </cfRule>
    <cfRule type="expression" dxfId="179" priority="44">
      <formula>AND(B$9&gt;=14/24,B$9&lt;20/24)</formula>
    </cfRule>
    <cfRule type="expression" dxfId="178" priority="45">
      <formula>AND(B$9&gt;=8/24,B$9&lt;14/24)</formula>
    </cfRule>
  </conditionalFormatting>
  <conditionalFormatting sqref="B63:AF65">
    <cfRule type="expression" dxfId="177" priority="47">
      <formula>B63&gt;$AG63</formula>
    </cfRule>
  </conditionalFormatting>
  <conditionalFormatting sqref="B69:AF70">
    <cfRule type="expression" dxfId="176" priority="118">
      <formula>B$9&lt;8/24</formula>
    </cfRule>
  </conditionalFormatting>
  <conditionalFormatting sqref="B72:AF75">
    <cfRule type="expression" dxfId="175" priority="34">
      <formula>B72&gt;$AG72*1</formula>
    </cfRule>
  </conditionalFormatting>
  <conditionalFormatting sqref="B73:AF75">
    <cfRule type="expression" dxfId="174" priority="35">
      <formula>B$9&gt;=20/24</formula>
    </cfRule>
    <cfRule type="expression" dxfId="173" priority="36">
      <formula>AND(B$9&gt;=14/24,B$9&lt;20/24)</formula>
    </cfRule>
    <cfRule type="expression" dxfId="172" priority="37">
      <formula>AND(B$9&gt;=8/24,B$9&lt;14/24)</formula>
    </cfRule>
    <cfRule type="expression" dxfId="171" priority="38">
      <formula>B$9&lt;8/24</formula>
    </cfRule>
  </conditionalFormatting>
  <conditionalFormatting sqref="C161:AF167">
    <cfRule type="expression" dxfId="170" priority="69">
      <formula>C$9&gt;=20/24</formula>
    </cfRule>
    <cfRule type="expression" dxfId="169" priority="70">
      <formula>AND(C$9&gt;=14/24,C$9&lt;20/24)</formula>
    </cfRule>
    <cfRule type="expression" dxfId="168" priority="71">
      <formula>AND(C$9&gt;=8/24,C$9&lt;14/24)</formula>
    </cfRule>
    <cfRule type="expression" dxfId="167" priority="72">
      <formula>C$9&lt;8/24</formula>
    </cfRule>
  </conditionalFormatting>
  <conditionalFormatting sqref="C169:AF274">
    <cfRule type="expression" dxfId="166" priority="30">
      <formula>C$9&gt;=20/24</formula>
    </cfRule>
    <cfRule type="expression" dxfId="165" priority="31">
      <formula>AND(C$9&gt;=14/24,C$9&lt;20/24)</formula>
    </cfRule>
    <cfRule type="expression" dxfId="164" priority="32">
      <formula>AND(C$9&gt;=8/24,C$9&lt;14/24)</formula>
    </cfRule>
    <cfRule type="expression" dxfId="163" priority="33">
      <formula>C$9&lt;8/24</formula>
    </cfRule>
  </conditionalFormatting>
  <conditionalFormatting sqref="AD80:AF90 AB69:AF70 AA70 AB12:AF13 B76:I96 J79:L96 I93:L95 M79:R90 J76:R78 Y78:AG78 S76:W90 M96:AG96 M91:W95 B71:AG71 X76:X95 U11:AA13 B69:AF69 Y76:AF77 Y79:AC90 Y91:AF95">
    <cfRule type="expression" dxfId="162" priority="109">
      <formula>B11&gt;$AG11*1</formula>
    </cfRule>
  </conditionalFormatting>
  <conditionalFormatting sqref="G79:T83">
    <cfRule type="expression" dxfId="161" priority="119">
      <formula>G$9&gt;=20/24</formula>
    </cfRule>
    <cfRule type="expression" dxfId="160" priority="120">
      <formula>AND(G$9&gt;=14/24,G$9&lt;20/24)</formula>
    </cfRule>
    <cfRule type="expression" dxfId="159" priority="121">
      <formula>AND(G$9&gt;=8/24,G$9&lt;14/24)</formula>
    </cfRule>
    <cfRule type="expression" dxfId="158" priority="122">
      <formula>G$9&lt;8/24</formula>
    </cfRule>
  </conditionalFormatting>
  <conditionalFormatting sqref="G84:T84">
    <cfRule type="expression" dxfId="157" priority="114">
      <formula>G$9&gt;=20/24</formula>
    </cfRule>
    <cfRule type="expression" dxfId="156" priority="115">
      <formula>AND(G$9&gt;=14/24,G$9&lt;20/24)</formula>
    </cfRule>
    <cfRule type="expression" dxfId="155" priority="116">
      <formula>AND(G$9&gt;=8/24,G$9&lt;14/24)</formula>
    </cfRule>
    <cfRule type="expression" dxfId="154" priority="117">
      <formula>G$9&lt;8/24</formula>
    </cfRule>
  </conditionalFormatting>
  <conditionalFormatting sqref="G78:AF78 B72:AF72 U76:AF77">
    <cfRule type="expression" dxfId="153" priority="129">
      <formula>B$9&gt;=20/24</formula>
    </cfRule>
    <cfRule type="expression" dxfId="152" priority="130">
      <formula>AND(B$9&gt;=14/24,B$9&lt;20/24)</formula>
    </cfRule>
    <cfRule type="expression" dxfId="151" priority="131">
      <formula>AND(B$9&gt;=8/24,B$9&lt;14/24)</formula>
    </cfRule>
    <cfRule type="expression" dxfId="150" priority="132">
      <formula>B$9&lt;8/24</formula>
    </cfRule>
  </conditionalFormatting>
  <conditionalFormatting sqref="U73:AF75">
    <cfRule type="expression" dxfId="149" priority="39">
      <formula>U$9&gt;=20/24</formula>
    </cfRule>
    <cfRule type="expression" dxfId="148" priority="40">
      <formula>AND(U$9&gt;=14/24,U$9&lt;20/24)</formula>
    </cfRule>
    <cfRule type="expression" dxfId="147" priority="41">
      <formula>AND(U$9&gt;=8/24,U$9&lt;14/24)</formula>
    </cfRule>
    <cfRule type="expression" dxfId="146" priority="42">
      <formula>U$9&lt;8/24</formula>
    </cfRule>
  </conditionalFormatting>
  <conditionalFormatting sqref="G79:T81">
    <cfRule type="expression" dxfId="145" priority="137">
      <formula>G$9&gt;=20/24</formula>
    </cfRule>
    <cfRule type="expression" dxfId="144" priority="138">
      <formula>AND(G$9&gt;=14/24,G$9&lt;20/24)</formula>
    </cfRule>
    <cfRule type="expression" dxfId="143" priority="139">
      <formula>AND(G$9&gt;=8/24,G$9&lt;14/24)</formula>
    </cfRule>
    <cfRule type="expression" dxfId="142" priority="140">
      <formula>G$9&lt;8/24</formula>
    </cfRule>
  </conditionalFormatting>
  <conditionalFormatting sqref="M84:AF84">
    <cfRule type="expression" dxfId="141" priority="133">
      <formula>M$9&gt;=20/24</formula>
    </cfRule>
    <cfRule type="expression" dxfId="140" priority="134">
      <formula>AND(M$9&gt;=14/24,M$9&lt;20/24)</formula>
    </cfRule>
    <cfRule type="expression" dxfId="139" priority="135">
      <formula>AND(M$9&gt;=8/24,M$9&lt;14/24)</formula>
    </cfRule>
    <cfRule type="expression" dxfId="138" priority="136">
      <formula>M$9&lt;8/24</formula>
    </cfRule>
  </conditionalFormatting>
  <conditionalFormatting sqref="M8 S8 AB8">
    <cfRule type="expression" dxfId="137" priority="186">
      <formula>AND(N$9&gt;=14/24,N$9&lt;20/24)</formula>
    </cfRule>
    <cfRule type="expression" dxfId="136" priority="187">
      <formula>AND(N$9&gt;=8/24,N$9&lt;14/24)</formula>
    </cfRule>
    <cfRule type="expression" dxfId="135" priority="188">
      <formula>N$9&lt;8/24</formula>
    </cfRule>
  </conditionalFormatting>
  <conditionalFormatting sqref="Z80:AA83 M79:Z83">
    <cfRule type="expression" dxfId="134" priority="141">
      <formula>M$9&gt;=20/24</formula>
    </cfRule>
    <cfRule type="expression" dxfId="133" priority="142">
      <formula>AND(M$9&gt;=14/24,M$9&lt;20/24)</formula>
    </cfRule>
    <cfRule type="expression" dxfId="132" priority="143">
      <formula>AND(M$9&gt;=8/24,M$9&lt;14/24)</formula>
    </cfRule>
    <cfRule type="expression" dxfId="131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0" priority="185">
      <formula>N$9&gt;=20/24</formula>
    </cfRule>
  </conditionalFormatting>
  <conditionalFormatting sqref="S8">
    <cfRule type="expression" dxfId="129" priority="176">
      <formula>U$9&gt;=20/24</formula>
    </cfRule>
    <cfRule type="expression" dxfId="128" priority="177">
      <formula>AND(U$9&gt;=14/24,U$9&lt;20/24)</formula>
    </cfRule>
    <cfRule type="expression" dxfId="127" priority="178">
      <formula>AND(U$9&gt;=8/24,U$9&lt;14/24)</formula>
    </cfRule>
    <cfRule type="expression" dxfId="126" priority="179">
      <formula>U$9&lt;8/24</formula>
    </cfRule>
  </conditionalFormatting>
  <conditionalFormatting sqref="U79:AF84">
    <cfRule type="expression" dxfId="125" priority="63">
      <formula>U$9&gt;=20/24</formula>
    </cfRule>
    <cfRule type="expression" dxfId="124" priority="64">
      <formula>AND(U$9&gt;=14/24,U$9&lt;20/24)</formula>
    </cfRule>
    <cfRule type="expression" dxfId="123" priority="65">
      <formula>AND(U$9&gt;=8/24,U$9&lt;14/24)</formula>
    </cfRule>
    <cfRule type="expression" dxfId="122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21" priority="48">
      <formula>AA$9&gt;=20/24</formula>
    </cfRule>
    <cfRule type="expression" dxfId="120" priority="49">
      <formula>AND(AA$9&gt;=14/24,AA$9&lt;20/24)</formula>
    </cfRule>
    <cfRule type="expression" dxfId="119" priority="50">
      <formula>AND(AA$9&gt;=8/24,AA$9&lt;14/24)</formula>
    </cfRule>
    <cfRule type="expression" dxfId="118" priority="51">
      <formula>AA$9&lt;8/24</formula>
    </cfRule>
  </conditionalFormatting>
  <conditionalFormatting sqref="AB11:AF11 AA66:AF69 B54:AF62 B66:Z70">
    <cfRule type="expression" dxfId="116" priority="123">
      <formula>B11&gt;$AG11</formula>
    </cfRule>
  </conditionalFormatting>
  <conditionalFormatting sqref="AB8">
    <cfRule type="expression" dxfId="115" priority="172">
      <formula>AD$9&gt;=20/24</formula>
    </cfRule>
    <cfRule type="expression" dxfId="114" priority="173">
      <formula>AND(AD$9&gt;=14/24,AD$9&lt;20/24)</formula>
    </cfRule>
    <cfRule type="expression" dxfId="113" priority="174">
      <formula>AND(AD$9&gt;=8/24,AD$9&lt;14/24)</formula>
    </cfRule>
    <cfRule type="expression" dxfId="112" priority="175">
      <formula>AD$9&lt;8/24</formula>
    </cfRule>
  </conditionalFormatting>
  <conditionalFormatting sqref="AB11:AF11">
    <cfRule type="expression" dxfId="111" priority="124">
      <formula>AB$9&gt;=20/24</formula>
    </cfRule>
    <cfRule type="expression" dxfId="110" priority="125">
      <formula>AND(AB$9&gt;=14/24,AB$9&lt;20/24)</formula>
    </cfRule>
    <cfRule type="expression" dxfId="109" priority="126">
      <formula>AND(AB$9&gt;=8/24,AB$9&lt;14/24)</formula>
    </cfRule>
    <cfRule type="expression" dxfId="108" priority="127">
      <formula>AB$9&lt;8/24</formula>
    </cfRule>
  </conditionalFormatting>
  <conditionalFormatting sqref="AD79:AF79">
    <cfRule type="expression" dxfId="107" priority="199">
      <formula>AD79&gt;$AG80*1</formula>
    </cfRule>
  </conditionalFormatting>
  <conditionalFormatting sqref="AG78">
    <cfRule type="expression" dxfId="106" priority="151">
      <formula>AG$9&gt;=20/24</formula>
    </cfRule>
    <cfRule type="expression" dxfId="105" priority="152">
      <formula>AND(AG$9&gt;=14/24,AG$9&lt;20/24)</formula>
    </cfRule>
    <cfRule type="expression" dxfId="104" priority="153">
      <formula>AND(AG$9&gt;=8/24,AG$9&lt;14/24)</formula>
    </cfRule>
    <cfRule type="expression" dxfId="103" priority="154">
      <formula>AG$9&lt;8/24</formula>
    </cfRule>
  </conditionalFormatting>
  <conditionalFormatting sqref="AG91:AG92">
    <cfRule type="expression" dxfId="102" priority="146">
      <formula>AG91&gt;$AG91</formula>
    </cfRule>
  </conditionalFormatting>
  <conditionalFormatting sqref="AG96">
    <cfRule type="expression" dxfId="101" priority="147">
      <formula>AG$9&gt;=20/24</formula>
    </cfRule>
    <cfRule type="expression" dxfId="100" priority="148">
      <formula>AND(AG$9&gt;=14/24,AG$9&lt;20/24)</formula>
    </cfRule>
    <cfRule type="expression" dxfId="99" priority="149">
      <formula>AND(AG$9&gt;=8/24,AG$9&lt;14/24)</formula>
    </cfRule>
    <cfRule type="expression" dxfId="98" priority="150">
      <formula>AG$9&lt;8/24</formula>
    </cfRule>
  </conditionalFormatting>
  <conditionalFormatting sqref="AG113">
    <cfRule type="expression" dxfId="97" priority="168">
      <formula>AG$9&gt;=20/24</formula>
    </cfRule>
    <cfRule type="expression" dxfId="96" priority="169">
      <formula>AND(AG$9&gt;=14/24,AG$9&lt;20/24)</formula>
    </cfRule>
    <cfRule type="expression" dxfId="95" priority="170">
      <formula>AND(AG$9&gt;=8/24,AG$9&lt;14/24)</formula>
    </cfRule>
    <cfRule type="expression" dxfId="94" priority="171">
      <formula>AG$9&lt;8/24</formula>
    </cfRule>
  </conditionalFormatting>
  <conditionalFormatting sqref="AH8:AI10">
    <cfRule type="expression" dxfId="93" priority="59">
      <formula>AH$9&gt;=20/24</formula>
    </cfRule>
    <cfRule type="expression" dxfId="92" priority="60">
      <formula>AND(AH$9&gt;=14/24,AH$9&lt;20/24)</formula>
    </cfRule>
    <cfRule type="expression" dxfId="91" priority="61">
      <formula>AND(AH$9&gt;=8/24,AH$9&lt;14/24)</formula>
    </cfRule>
    <cfRule type="expression" dxfId="9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9" priority="189">
      <formula>AJ$9&gt;=20/24</formula>
    </cfRule>
    <cfRule type="expression" dxfId="88" priority="190">
      <formula>AND(AJ$9&gt;=14/24,AJ$9&lt;20/24)</formula>
    </cfRule>
    <cfRule type="expression" dxfId="87" priority="191">
      <formula>AND(AJ$9&gt;=8/24,AJ$9&lt;14/24)</formula>
    </cfRule>
    <cfRule type="expression" dxfId="86" priority="192">
      <formula>AJ$9&lt;8/24</formula>
    </cfRule>
  </conditionalFormatting>
  <conditionalFormatting sqref="AL99:AN99 AL105:AN105">
    <cfRule type="expression" dxfId="85" priority="161">
      <formula>AL$9&gt;=20/24</formula>
    </cfRule>
    <cfRule type="expression" dxfId="84" priority="162">
      <formula>AND(AL$9&gt;=14/24,AL$9&lt;20/24)</formula>
    </cfRule>
    <cfRule type="expression" dxfId="83" priority="163">
      <formula>AND(AL$9&gt;=8/24,AL$9&lt;14/24)</formula>
    </cfRule>
    <cfRule type="expression" dxfId="82" priority="164">
      <formula>AL$9&lt;8/24</formula>
    </cfRule>
  </conditionalFormatting>
  <conditionalFormatting sqref="AM15:AM21 AN16:AR21">
    <cfRule type="expression" dxfId="81" priority="85">
      <formula>AX$9&gt;=20/24</formula>
    </cfRule>
    <cfRule type="expression" dxfId="80" priority="86">
      <formula>AND(AX$9&gt;=14/24,AX$9&lt;20/24)</formula>
    </cfRule>
    <cfRule type="expression" dxfId="79" priority="87">
      <formula>AND(AX$9&gt;=8/24,AX$9&lt;14/24)</formula>
    </cfRule>
    <cfRule type="expression" dxfId="78" priority="88">
      <formula>AX$9&lt;8/24</formula>
    </cfRule>
  </conditionalFormatting>
  <conditionalFormatting sqref="AN100:AN103">
    <cfRule type="expression" dxfId="77" priority="157">
      <formula>AN$9&gt;=20/24</formula>
    </cfRule>
    <cfRule type="expression" dxfId="76" priority="158">
      <formula>AND(AN$9&gt;=14/24,AN$9&lt;20/24)</formula>
    </cfRule>
    <cfRule type="expression" dxfId="75" priority="159">
      <formula>AND(AN$9&gt;=8/24,AN$9&lt;14/24)</formula>
    </cfRule>
    <cfRule type="expression" dxfId="74" priority="160">
      <formula>AN$9&lt;8/24</formula>
    </cfRule>
  </conditionalFormatting>
  <conditionalFormatting sqref="AN15:AR15">
    <cfRule type="expression" dxfId="73" priority="73">
      <formula>U$9&gt;=20/24</formula>
    </cfRule>
    <cfRule type="expression" dxfId="72" priority="74">
      <formula>AND(U$9&gt;=14/24,U$9&lt;20/24)</formula>
    </cfRule>
    <cfRule type="expression" dxfId="71" priority="75">
      <formula>AND(U$9&gt;=8/24,U$9&lt;14/24)</formula>
    </cfRule>
    <cfRule type="expression" dxfId="70" priority="76">
      <formula>U$9&lt;8/24</formula>
    </cfRule>
  </conditionalFormatting>
  <conditionalFormatting sqref="AS15">
    <cfRule type="expression" dxfId="69" priority="81">
      <formula>AA$9&gt;=20/24</formula>
    </cfRule>
    <cfRule type="expression" dxfId="68" priority="82">
      <formula>AND(AA$9&gt;=14/24,AA$9&lt;20/24)</formula>
    </cfRule>
    <cfRule type="expression" dxfId="67" priority="83">
      <formula>AND(AA$9&gt;=8/24,AA$9&lt;14/24)</formula>
    </cfRule>
    <cfRule type="expression" dxfId="66" priority="84">
      <formula>AA$9&lt;8/24</formula>
    </cfRule>
  </conditionalFormatting>
  <conditionalFormatting sqref="AS16:AS21">
    <cfRule type="expression" dxfId="65" priority="89">
      <formula>BE$9&gt;=20/24</formula>
    </cfRule>
    <cfRule type="expression" dxfId="64" priority="90">
      <formula>AND(BE$9&gt;=14/24,BE$9&lt;20/24)</formula>
    </cfRule>
    <cfRule type="expression" dxfId="63" priority="91">
      <formula>AND(BE$9&gt;=8/24,BE$9&lt;14/24)</formula>
    </cfRule>
    <cfRule type="expression" dxfId="62" priority="92">
      <formula>BE$9&lt;8/24</formula>
    </cfRule>
  </conditionalFormatting>
  <conditionalFormatting sqref="AT15 AX15:BJ15">
    <cfRule type="expression" dxfId="61" priority="93">
      <formula>AC$9&gt;=20/24</formula>
    </cfRule>
    <cfRule type="expression" dxfId="60" priority="94">
      <formula>AND(AC$9&gt;=14/24,AC$9&lt;20/24)</formula>
    </cfRule>
    <cfRule type="expression" dxfId="59" priority="95">
      <formula>AND(AC$9&gt;=8/24,AC$9&lt;14/24)</formula>
    </cfRule>
    <cfRule type="expression" dxfId="58" priority="96">
      <formula>AC$9&lt;8/24</formula>
    </cfRule>
  </conditionalFormatting>
  <conditionalFormatting sqref="AT16:AT21">
    <cfRule type="expression" dxfId="57" priority="97">
      <formula>BG$9&gt;=20/24</formula>
    </cfRule>
    <cfRule type="expression" dxfId="56" priority="98">
      <formula>AND(BG$9&gt;=14/24,BG$9&lt;20/24)</formula>
    </cfRule>
    <cfRule type="expression" dxfId="55" priority="99">
      <formula>AND(BG$9&gt;=8/24,BG$9&lt;14/24)</formula>
    </cfRule>
    <cfRule type="expression" dxfId="54" priority="100">
      <formula>BG$9&lt;8/24</formula>
    </cfRule>
  </conditionalFormatting>
  <conditionalFormatting sqref="AU15:AV15">
    <cfRule type="expression" dxfId="53" priority="101">
      <formula>AE$9&gt;=20/24</formula>
    </cfRule>
    <cfRule type="expression" dxfId="52" priority="102">
      <formula>AND(AE$9&gt;=14/24,AE$9&lt;20/24)</formula>
    </cfRule>
    <cfRule type="expression" dxfId="51" priority="103">
      <formula>AND(AE$9&gt;=8/24,AE$9&lt;14/24)</formula>
    </cfRule>
    <cfRule type="expression" dxfId="50" priority="104">
      <formula>AE$9&lt;8/24</formula>
    </cfRule>
  </conditionalFormatting>
  <conditionalFormatting sqref="AU16:BJ21">
    <cfRule type="expression" dxfId="49" priority="105">
      <formula>BI$9&gt;=20/24</formula>
    </cfRule>
    <cfRule type="expression" dxfId="48" priority="106">
      <formula>AND(BI$9&gt;=14/24,BI$9&lt;20/24)</formula>
    </cfRule>
    <cfRule type="expression" dxfId="47" priority="107">
      <formula>AND(BI$9&gt;=8/24,BI$9&lt;14/24)</formula>
    </cfRule>
    <cfRule type="expression" dxfId="46" priority="108">
      <formula>BI$9&lt;8/24</formula>
    </cfRule>
  </conditionalFormatting>
  <conditionalFormatting sqref="AW15">
    <cfRule type="expression" dxfId="45" priority="77">
      <formula>B$9&gt;=20/24</formula>
    </cfRule>
    <cfRule type="expression" dxfId="44" priority="78">
      <formula>AND(B$9&gt;=14/24,B$9&lt;20/24)</formula>
    </cfRule>
    <cfRule type="expression" dxfId="43" priority="79">
      <formula>AND(B$9&gt;=8/24,B$9&lt;14/24)</formula>
    </cfRule>
    <cfRule type="expression" dxfId="42" priority="80">
      <formula>B$9&lt;8/24</formula>
    </cfRule>
  </conditionalFormatting>
  <conditionalFormatting sqref="A73">
    <cfRule type="expression" dxfId="41" priority="28">
      <formula>$AH73=0</formula>
    </cfRule>
  </conditionalFormatting>
  <conditionalFormatting sqref="B137:B152 B154:B159 B97:F107 C137:F151 B109:F112 B125:F134 B11:T13">
    <cfRule type="expression" dxfId="40" priority="24">
      <formula>B$9&gt;=20/24</formula>
    </cfRule>
  </conditionalFormatting>
  <conditionalFormatting sqref="B137:B152 B154:B159 B97:F107 C137:F151 B109:F112 B125:F134 B11:T13">
    <cfRule type="expression" dxfId="39" priority="25">
      <formula>AND(B$9&gt;=14/24,B$9&lt;20/24)</formula>
    </cfRule>
    <cfRule type="expression" dxfId="38" priority="26">
      <formula>AND(B$9&gt;=8/24,B$9&lt;14/24)</formula>
    </cfRule>
    <cfRule type="expression" dxfId="37" priority="27">
      <formula>B$9&lt;8/24</formula>
    </cfRule>
  </conditionalFormatting>
  <conditionalFormatting sqref="B14:T28">
    <cfRule type="expression" dxfId="36" priority="14">
      <formula>B14&gt;$AG14*1</formula>
    </cfRule>
    <cfRule type="expression" dxfId="35" priority="15">
      <formula>B$9&gt;=20/24</formula>
    </cfRule>
    <cfRule type="expression" dxfId="34" priority="16">
      <formula>AND(B$9&gt;=14/24,B$9&lt;20/24)</formula>
    </cfRule>
    <cfRule type="expression" dxfId="33" priority="17">
      <formula>AND(B$9&gt;=8/24,B$9&lt;14/24)</formula>
    </cfRule>
    <cfRule type="expression" dxfId="32" priority="18">
      <formula>B$9&lt;8/24</formula>
    </cfRule>
  </conditionalFormatting>
  <conditionalFormatting sqref="B161:B167">
    <cfRule type="expression" dxfId="31" priority="19">
      <formula>B$9&gt;=20/24</formula>
    </cfRule>
    <cfRule type="expression" dxfId="30" priority="20">
      <formula>AND(B$9&gt;=14/24,B$9&lt;20/24)</formula>
    </cfRule>
    <cfRule type="expression" dxfId="29" priority="21">
      <formula>AND(B$9&gt;=8/24,B$9&lt;14/24)</formula>
    </cfRule>
    <cfRule type="expression" dxfId="28" priority="22">
      <formula>B$9&lt;8/24</formula>
    </cfRule>
  </conditionalFormatting>
  <conditionalFormatting sqref="B169:B274">
    <cfRule type="expression" dxfId="27" priority="10">
      <formula>B$9&gt;=20/24</formula>
    </cfRule>
    <cfRule type="expression" dxfId="26" priority="11">
      <formula>AND(B$9&gt;=14/24,B$9&lt;20/24)</formula>
    </cfRule>
    <cfRule type="expression" dxfId="25" priority="12">
      <formula>AND(B$9&gt;=8/24,B$9&lt;14/24)</formula>
    </cfRule>
    <cfRule type="expression" dxfId="24" priority="13">
      <formula>B$9&lt;8/24</formula>
    </cfRule>
  </conditionalFormatting>
  <conditionalFormatting sqref="B11:T13">
    <cfRule type="expression" dxfId="23" priority="23">
      <formula>B11&gt;$AG11*1</formula>
    </cfRule>
  </conditionalFormatting>
  <conditionalFormatting sqref="A153">
    <cfRule type="expression" dxfId="2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" priority="5">
      <formula>AL$9&gt;=20/24</formula>
    </cfRule>
  </conditionalFormatting>
  <conditionalFormatting sqref="AL153">
    <cfRule type="expression" dxfId="20" priority="6">
      <formula>AND(AL$9&gt;=14/24,AL$9&lt;20/24)</formula>
    </cfRule>
    <cfRule type="expression" dxfId="19" priority="7">
      <formula>AND(AL$9&gt;=8/24,AL$9&lt;14/24)</formula>
    </cfRule>
    <cfRule type="expression" dxfId="18" priority="8">
      <formula>AL$9&lt;8/24</formula>
    </cfRule>
  </conditionalFormatting>
  <conditionalFormatting sqref="I128:M133">
    <cfRule type="expression" dxfId="17" priority="1">
      <formula>I$9&gt;=20/24</formula>
    </cfRule>
  </conditionalFormatting>
  <conditionalFormatting sqref="I128:M133">
    <cfRule type="expression" dxfId="16" priority="2">
      <formula>AND(I$9&gt;=14/24,I$9&lt;20/24)</formula>
    </cfRule>
    <cfRule type="expression" dxfId="15" priority="3">
      <formula>AND(I$9&gt;=8/24,I$9&lt;14/24)</formula>
    </cfRule>
    <cfRule type="expression" dxfId="14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63" priority="37">
      <formula>$AH11=0</formula>
    </cfRule>
  </conditionalFormatting>
  <conditionalFormatting sqref="A101:A102">
    <cfRule type="expression" dxfId="562" priority="205">
      <formula>$AH106=0</formula>
    </cfRule>
  </conditionalFormatting>
  <conditionalFormatting sqref="A103:A107">
    <cfRule type="expression" dxfId="561" priority="153">
      <formula>$AH102=0</formula>
    </cfRule>
  </conditionalFormatting>
  <conditionalFormatting sqref="A160:A167">
    <cfRule type="expression" dxfId="560" priority="206">
      <formula>$AH267=0</formula>
    </cfRule>
  </conditionalFormatting>
  <conditionalFormatting sqref="A168:A275">
    <cfRule type="expression" dxfId="559" priority="76">
      <formula>$AH168=0</formula>
    </cfRule>
  </conditionalFormatting>
  <conditionalFormatting sqref="B8">
    <cfRule type="expression" dxfId="558" priority="201">
      <formula>AND(C$9&gt;=14/24,C$9&lt;20/24)</formula>
    </cfRule>
    <cfRule type="expression" dxfId="557" priority="202">
      <formula>AND(C$9&gt;=8/24,C$9&lt;14/24)</formula>
    </cfRule>
    <cfRule type="expression" dxfId="556" priority="203">
      <formula>C$9&lt;8/24</formula>
    </cfRule>
    <cfRule type="expression" dxfId="5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53" priority="119">
      <formula>AND(B$9&gt;=14/24,B$9&lt;20/24)</formula>
    </cfRule>
    <cfRule type="expression" dxfId="552" priority="120">
      <formula>AND(B$9&gt;=8/24,B$9&lt;14/24)</formula>
    </cfRule>
    <cfRule type="expression" dxfId="551" priority="121">
      <formula>B$9&lt;8/24</formula>
    </cfRule>
  </conditionalFormatting>
  <conditionalFormatting sqref="C14:AF28 B29:AF53">
    <cfRule type="expression" dxfId="550" priority="61">
      <formula>B14&gt;$AG14*1</formula>
    </cfRule>
    <cfRule type="expression" dxfId="549" priority="62">
      <formula>B$9&gt;=20/24</formula>
    </cfRule>
    <cfRule type="expression" dxfId="548" priority="63">
      <formula>AND(B$9&gt;=14/24,B$9&lt;20/24)</formula>
    </cfRule>
    <cfRule type="expression" dxfId="547" priority="64">
      <formula>AND(B$9&gt;=8/24,B$9&lt;14/24)</formula>
    </cfRule>
    <cfRule type="expression" dxfId="546" priority="65">
      <formula>B$9&lt;8/24</formula>
    </cfRule>
  </conditionalFormatting>
  <conditionalFormatting sqref="B54:AF68">
    <cfRule type="expression" dxfId="545" priority="54">
      <formula>B$9&lt;8/24</formula>
    </cfRule>
  </conditionalFormatting>
  <conditionalFormatting sqref="B54:AF70">
    <cfRule type="expression" dxfId="544" priority="51">
      <formula>B$9&gt;=20/24</formula>
    </cfRule>
    <cfRule type="expression" dxfId="543" priority="52">
      <formula>AND(B$9&gt;=14/24,B$9&lt;20/24)</formula>
    </cfRule>
    <cfRule type="expression" dxfId="542" priority="53">
      <formula>AND(B$9&gt;=8/24,B$9&lt;14/24)</formula>
    </cfRule>
  </conditionalFormatting>
  <conditionalFormatting sqref="B63:AF65">
    <cfRule type="expression" dxfId="541" priority="55">
      <formula>B63&gt;$AG63</formula>
    </cfRule>
  </conditionalFormatting>
  <conditionalFormatting sqref="B69:AF70">
    <cfRule type="expression" dxfId="540" priority="126">
      <formula>B$9&lt;8/24</formula>
    </cfRule>
  </conditionalFormatting>
  <conditionalFormatting sqref="B72:AF75">
    <cfRule type="expression" dxfId="539" priority="42">
      <formula>B72&gt;$AG72*1</formula>
    </cfRule>
  </conditionalFormatting>
  <conditionalFormatting sqref="B73:AF75">
    <cfRule type="expression" dxfId="538" priority="43">
      <formula>B$9&gt;=20/24</formula>
    </cfRule>
    <cfRule type="expression" dxfId="537" priority="44">
      <formula>AND(B$9&gt;=14/24,B$9&lt;20/24)</formula>
    </cfRule>
    <cfRule type="expression" dxfId="536" priority="45">
      <formula>AND(B$9&gt;=8/24,B$9&lt;14/24)</formula>
    </cfRule>
    <cfRule type="expression" dxfId="535" priority="46">
      <formula>B$9&lt;8/24</formula>
    </cfRule>
  </conditionalFormatting>
  <conditionalFormatting sqref="C161:AF167">
    <cfRule type="expression" dxfId="534" priority="77">
      <formula>C$9&gt;=20/24</formula>
    </cfRule>
    <cfRule type="expression" dxfId="533" priority="78">
      <formula>AND(C$9&gt;=14/24,C$9&lt;20/24)</formula>
    </cfRule>
    <cfRule type="expression" dxfId="532" priority="79">
      <formula>AND(C$9&gt;=8/24,C$9&lt;14/24)</formula>
    </cfRule>
    <cfRule type="expression" dxfId="531" priority="80">
      <formula>C$9&lt;8/24</formula>
    </cfRule>
  </conditionalFormatting>
  <conditionalFormatting sqref="C169:AF274">
    <cfRule type="expression" dxfId="530" priority="38">
      <formula>C$9&gt;=20/24</formula>
    </cfRule>
    <cfRule type="expression" dxfId="529" priority="39">
      <formula>AND(C$9&gt;=14/24,C$9&lt;20/24)</formula>
    </cfRule>
    <cfRule type="expression" dxfId="528" priority="40">
      <formula>AND(C$9&gt;=8/24,C$9&lt;14/24)</formula>
    </cfRule>
    <cfRule type="expression" dxfId="5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26" priority="117">
      <formula>B11&gt;$AG11*1</formula>
    </cfRule>
  </conditionalFormatting>
  <conditionalFormatting sqref="E79:I83 J80:J83 K83:O83">
    <cfRule type="expression" dxfId="525" priority="127">
      <formula>E$9&gt;=20/24</formula>
    </cfRule>
    <cfRule type="expression" dxfId="524" priority="128">
      <formula>AND(E$9&gt;=14/24,E$9&lt;20/24)</formula>
    </cfRule>
    <cfRule type="expression" dxfId="523" priority="129">
      <formula>AND(E$9&gt;=8/24,E$9&lt;14/24)</formula>
    </cfRule>
    <cfRule type="expression" dxfId="522" priority="130">
      <formula>E$9&lt;8/24</formula>
    </cfRule>
  </conditionalFormatting>
  <conditionalFormatting sqref="E84:O84">
    <cfRule type="expression" dxfId="521" priority="122">
      <formula>E$9&gt;=20/24</formula>
    </cfRule>
    <cfRule type="expression" dxfId="520" priority="123">
      <formula>AND(E$9&gt;=14/24,E$9&lt;20/24)</formula>
    </cfRule>
    <cfRule type="expression" dxfId="519" priority="124">
      <formula>AND(E$9&gt;=8/24,E$9&lt;14/24)</formula>
    </cfRule>
    <cfRule type="expression" dxfId="518" priority="125">
      <formula>E$9&lt;8/24</formula>
    </cfRule>
  </conditionalFormatting>
  <conditionalFormatting sqref="E76:AF78 B72:AF72">
    <cfRule type="expression" dxfId="517" priority="137">
      <formula>B$9&gt;=20/24</formula>
    </cfRule>
    <cfRule type="expression" dxfId="516" priority="138">
      <formula>AND(B$9&gt;=14/24,B$9&lt;20/24)</formula>
    </cfRule>
    <cfRule type="expression" dxfId="515" priority="139">
      <formula>AND(B$9&gt;=8/24,B$9&lt;14/24)</formula>
    </cfRule>
    <cfRule type="expression" dxfId="514" priority="140">
      <formula>B$9&lt;8/24</formula>
    </cfRule>
  </conditionalFormatting>
  <conditionalFormatting sqref="E73:AF75">
    <cfRule type="expression" dxfId="513" priority="47">
      <formula>E$9&gt;=20/24</formula>
    </cfRule>
    <cfRule type="expression" dxfId="512" priority="48">
      <formula>AND(E$9&gt;=14/24,E$9&lt;20/24)</formula>
    </cfRule>
    <cfRule type="expression" dxfId="511" priority="49">
      <formula>AND(E$9&gt;=8/24,E$9&lt;14/24)</formula>
    </cfRule>
    <cfRule type="expression" dxfId="510" priority="50">
      <formula>E$9&lt;8/24</formula>
    </cfRule>
  </conditionalFormatting>
  <conditionalFormatting sqref="F79:O81">
    <cfRule type="expression" dxfId="509" priority="145">
      <formula>F$9&gt;=20/24</formula>
    </cfRule>
    <cfRule type="expression" dxfId="508" priority="146">
      <formula>AND(F$9&gt;=14/24,F$9&lt;20/24)</formula>
    </cfRule>
    <cfRule type="expression" dxfId="507" priority="147">
      <formula>AND(F$9&gt;=8/24,F$9&lt;14/24)</formula>
    </cfRule>
    <cfRule type="expression" dxfId="506" priority="148">
      <formula>F$9&lt;8/24</formula>
    </cfRule>
  </conditionalFormatting>
  <conditionalFormatting sqref="L84:AF84">
    <cfRule type="expression" dxfId="505" priority="141">
      <formula>L$9&gt;=20/24</formula>
    </cfRule>
    <cfRule type="expression" dxfId="504" priority="142">
      <formula>AND(L$9&gt;=14/24,L$9&lt;20/24)</formula>
    </cfRule>
    <cfRule type="expression" dxfId="503" priority="143">
      <formula>AND(L$9&gt;=8/24,L$9&lt;14/24)</formula>
    </cfRule>
    <cfRule type="expression" dxfId="502" priority="144">
      <formula>L$9&lt;8/24</formula>
    </cfRule>
  </conditionalFormatting>
  <conditionalFormatting sqref="M8 S8 AB8">
    <cfRule type="expression" dxfId="501" priority="194">
      <formula>AND(N$9&gt;=14/24,N$9&lt;20/24)</formula>
    </cfRule>
    <cfRule type="expression" dxfId="500" priority="195">
      <formula>AND(N$9&gt;=8/24,N$9&lt;14/24)</formula>
    </cfRule>
    <cfRule type="expression" dxfId="499" priority="196">
      <formula>N$9&lt;8/24</formula>
    </cfRule>
  </conditionalFormatting>
  <conditionalFormatting sqref="M79:Y83 Z80:AA83">
    <cfRule type="expression" dxfId="498" priority="149">
      <formula>M$9&gt;=20/24</formula>
    </cfRule>
    <cfRule type="expression" dxfId="497" priority="150">
      <formula>AND(M$9&gt;=14/24,M$9&lt;20/24)</formula>
    </cfRule>
    <cfRule type="expression" dxfId="496" priority="151">
      <formula>AND(M$9&gt;=8/24,M$9&lt;14/24)</formula>
    </cfRule>
    <cfRule type="expression" dxfId="4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94" priority="193">
      <formula>N$9&gt;=20/24</formula>
    </cfRule>
  </conditionalFormatting>
  <conditionalFormatting sqref="S8">
    <cfRule type="expression" dxfId="493" priority="184">
      <formula>U$9&gt;=20/24</formula>
    </cfRule>
    <cfRule type="expression" dxfId="492" priority="185">
      <formula>AND(U$9&gt;=14/24,U$9&lt;20/24)</formula>
    </cfRule>
    <cfRule type="expression" dxfId="491" priority="186">
      <formula>AND(U$9&gt;=8/24,U$9&lt;14/24)</formula>
    </cfRule>
    <cfRule type="expression" dxfId="490" priority="187">
      <formula>U$9&lt;8/24</formula>
    </cfRule>
  </conditionalFormatting>
  <conditionalFormatting sqref="T79:AF84">
    <cfRule type="expression" dxfId="489" priority="71">
      <formula>T$9&gt;=20/24</formula>
    </cfRule>
    <cfRule type="expression" dxfId="488" priority="72">
      <formula>AND(T$9&gt;=14/24,T$9&lt;20/24)</formula>
    </cfRule>
    <cfRule type="expression" dxfId="487" priority="73">
      <formula>AND(T$9&gt;=8/24,T$9&lt;14/24)</formula>
    </cfRule>
    <cfRule type="expression" dxfId="4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85" priority="56">
      <formula>Y$9&gt;=20/24</formula>
    </cfRule>
    <cfRule type="expression" dxfId="484" priority="57">
      <formula>AND(Y$9&gt;=14/24,Y$9&lt;20/24)</formula>
    </cfRule>
    <cfRule type="expression" dxfId="483" priority="58">
      <formula>AND(Y$9&gt;=8/24,Y$9&lt;14/24)</formula>
    </cfRule>
    <cfRule type="expression" dxfId="482" priority="59">
      <formula>Y$9&lt;8/24</formula>
    </cfRule>
  </conditionalFormatting>
  <conditionalFormatting sqref="Z69:Z70">
    <cfRule type="expression" dxfId="481" priority="136">
      <formula>Z69&gt;$AG69</formula>
    </cfRule>
  </conditionalFormatting>
  <conditionalFormatting sqref="Z66:AF69 AB11:AF11 B54:AF62 B66:Y70">
    <cfRule type="expression" dxfId="480" priority="131">
      <formula>B11&gt;$AG11</formula>
    </cfRule>
  </conditionalFormatting>
  <conditionalFormatting sqref="AB8">
    <cfRule type="expression" dxfId="479" priority="180">
      <formula>AD$9&gt;=20/24</formula>
    </cfRule>
    <cfRule type="expression" dxfId="478" priority="181">
      <formula>AND(AD$9&gt;=14/24,AD$9&lt;20/24)</formula>
    </cfRule>
    <cfRule type="expression" dxfId="477" priority="182">
      <formula>AND(AD$9&gt;=8/24,AD$9&lt;14/24)</formula>
    </cfRule>
    <cfRule type="expression" dxfId="476" priority="183">
      <formula>AD$9&lt;8/24</formula>
    </cfRule>
  </conditionalFormatting>
  <conditionalFormatting sqref="AB11:AF11">
    <cfRule type="expression" dxfId="475" priority="132">
      <formula>AB$9&gt;=20/24</formula>
    </cfRule>
    <cfRule type="expression" dxfId="474" priority="133">
      <formula>AND(AB$9&gt;=14/24,AB$9&lt;20/24)</formula>
    </cfRule>
    <cfRule type="expression" dxfId="473" priority="134">
      <formula>AND(AB$9&gt;=8/24,AB$9&lt;14/24)</formula>
    </cfRule>
    <cfRule type="expression" dxfId="472" priority="135">
      <formula>AB$9&lt;8/24</formula>
    </cfRule>
  </conditionalFormatting>
  <conditionalFormatting sqref="AD79:AF79">
    <cfRule type="expression" dxfId="471" priority="207">
      <formula>AD79&gt;$AG80*1</formula>
    </cfRule>
  </conditionalFormatting>
  <conditionalFormatting sqref="AG78">
    <cfRule type="expression" dxfId="470" priority="159">
      <formula>AG$9&gt;=20/24</formula>
    </cfRule>
    <cfRule type="expression" dxfId="469" priority="160">
      <formula>AND(AG$9&gt;=14/24,AG$9&lt;20/24)</formula>
    </cfRule>
    <cfRule type="expression" dxfId="468" priority="161">
      <formula>AND(AG$9&gt;=8/24,AG$9&lt;14/24)</formula>
    </cfRule>
    <cfRule type="expression" dxfId="467" priority="162">
      <formula>AG$9&lt;8/24</formula>
    </cfRule>
  </conditionalFormatting>
  <conditionalFormatting sqref="AG91:AG92">
    <cfRule type="expression" dxfId="466" priority="154">
      <formula>AG91&gt;$AG91</formula>
    </cfRule>
  </conditionalFormatting>
  <conditionalFormatting sqref="AG96">
    <cfRule type="expression" dxfId="465" priority="155">
      <formula>AG$9&gt;=20/24</formula>
    </cfRule>
    <cfRule type="expression" dxfId="464" priority="156">
      <formula>AND(AG$9&gt;=14/24,AG$9&lt;20/24)</formula>
    </cfRule>
    <cfRule type="expression" dxfId="463" priority="157">
      <formula>AND(AG$9&gt;=8/24,AG$9&lt;14/24)</formula>
    </cfRule>
    <cfRule type="expression" dxfId="462" priority="158">
      <formula>AG$9&lt;8/24</formula>
    </cfRule>
  </conditionalFormatting>
  <conditionalFormatting sqref="AG113">
    <cfRule type="expression" dxfId="461" priority="176">
      <formula>AG$9&gt;=20/24</formula>
    </cfRule>
    <cfRule type="expression" dxfId="460" priority="177">
      <formula>AND(AG$9&gt;=14/24,AG$9&lt;20/24)</formula>
    </cfRule>
    <cfRule type="expression" dxfId="459" priority="178">
      <formula>AND(AG$9&gt;=8/24,AG$9&lt;14/24)</formula>
    </cfRule>
    <cfRule type="expression" dxfId="458" priority="179">
      <formula>AG$9&lt;8/24</formula>
    </cfRule>
  </conditionalFormatting>
  <conditionalFormatting sqref="AH8:AI10">
    <cfRule type="expression" dxfId="457" priority="67">
      <formula>AH$9&gt;=20/24</formula>
    </cfRule>
    <cfRule type="expression" dxfId="456" priority="68">
      <formula>AND(AH$9&gt;=14/24,AH$9&lt;20/24)</formula>
    </cfRule>
    <cfRule type="expression" dxfId="455" priority="69">
      <formula>AND(AH$9&gt;=8/24,AH$9&lt;14/24)</formula>
    </cfRule>
    <cfRule type="expression" dxfId="4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3" priority="197">
      <formula>AJ$9&gt;=20/24</formula>
    </cfRule>
    <cfRule type="expression" dxfId="452" priority="198">
      <formula>AND(AJ$9&gt;=14/24,AJ$9&lt;20/24)</formula>
    </cfRule>
    <cfRule type="expression" dxfId="451" priority="199">
      <formula>AND(AJ$9&gt;=8/24,AJ$9&lt;14/24)</formula>
    </cfRule>
    <cfRule type="expression" dxfId="450" priority="200">
      <formula>AJ$9&lt;8/24</formula>
    </cfRule>
  </conditionalFormatting>
  <conditionalFormatting sqref="AL99:AN99 AL105:AN105">
    <cfRule type="expression" dxfId="449" priority="169">
      <formula>AL$9&gt;=20/24</formula>
    </cfRule>
    <cfRule type="expression" dxfId="448" priority="170">
      <formula>AND(AL$9&gt;=14/24,AL$9&lt;20/24)</formula>
    </cfRule>
    <cfRule type="expression" dxfId="447" priority="171">
      <formula>AND(AL$9&gt;=8/24,AL$9&lt;14/24)</formula>
    </cfRule>
    <cfRule type="expression" dxfId="446" priority="172">
      <formula>AL$9&lt;8/24</formula>
    </cfRule>
  </conditionalFormatting>
  <conditionalFormatting sqref="AM15:AM21 AN16:AR21">
    <cfRule type="expression" dxfId="445" priority="93">
      <formula>AX$9&gt;=20/24</formula>
    </cfRule>
    <cfRule type="expression" dxfId="444" priority="94">
      <formula>AND(AX$9&gt;=14/24,AX$9&lt;20/24)</formula>
    </cfRule>
    <cfRule type="expression" dxfId="443" priority="95">
      <formula>AND(AX$9&gt;=8/24,AX$9&lt;14/24)</formula>
    </cfRule>
    <cfRule type="expression" dxfId="442" priority="96">
      <formula>AX$9&lt;8/24</formula>
    </cfRule>
  </conditionalFormatting>
  <conditionalFormatting sqref="AN100:AN103">
    <cfRule type="expression" dxfId="441" priority="165">
      <formula>AN$9&gt;=20/24</formula>
    </cfRule>
    <cfRule type="expression" dxfId="440" priority="166">
      <formula>AND(AN$9&gt;=14/24,AN$9&lt;20/24)</formula>
    </cfRule>
    <cfRule type="expression" dxfId="439" priority="167">
      <formula>AND(AN$9&gt;=8/24,AN$9&lt;14/24)</formula>
    </cfRule>
    <cfRule type="expression" dxfId="438" priority="168">
      <formula>AN$9&lt;8/24</formula>
    </cfRule>
  </conditionalFormatting>
  <conditionalFormatting sqref="AN15:AR15">
    <cfRule type="expression" dxfId="437" priority="81">
      <formula>U$9&gt;=20/24</formula>
    </cfRule>
    <cfRule type="expression" dxfId="436" priority="82">
      <formula>AND(U$9&gt;=14/24,U$9&lt;20/24)</formula>
    </cfRule>
    <cfRule type="expression" dxfId="435" priority="83">
      <formula>AND(U$9&gt;=8/24,U$9&lt;14/24)</formula>
    </cfRule>
    <cfRule type="expression" dxfId="434" priority="84">
      <formula>U$9&lt;8/24</formula>
    </cfRule>
  </conditionalFormatting>
  <conditionalFormatting sqref="AS15">
    <cfRule type="expression" dxfId="433" priority="89">
      <formula>AA$9&gt;=20/24</formula>
    </cfRule>
    <cfRule type="expression" dxfId="432" priority="90">
      <formula>AND(AA$9&gt;=14/24,AA$9&lt;20/24)</formula>
    </cfRule>
    <cfRule type="expression" dxfId="431" priority="91">
      <formula>AND(AA$9&gt;=8/24,AA$9&lt;14/24)</formula>
    </cfRule>
    <cfRule type="expression" dxfId="430" priority="92">
      <formula>AA$9&lt;8/24</formula>
    </cfRule>
  </conditionalFormatting>
  <conditionalFormatting sqref="AS16:AS21">
    <cfRule type="expression" dxfId="429" priority="97">
      <formula>BE$9&gt;=20/24</formula>
    </cfRule>
    <cfRule type="expression" dxfId="428" priority="98">
      <formula>AND(BE$9&gt;=14/24,BE$9&lt;20/24)</formula>
    </cfRule>
    <cfRule type="expression" dxfId="427" priority="99">
      <formula>AND(BE$9&gt;=8/24,BE$9&lt;14/24)</formula>
    </cfRule>
    <cfRule type="expression" dxfId="426" priority="100">
      <formula>BE$9&lt;8/24</formula>
    </cfRule>
  </conditionalFormatting>
  <conditionalFormatting sqref="AT15 AX15:BJ15">
    <cfRule type="expression" dxfId="425" priority="101">
      <formula>AC$9&gt;=20/24</formula>
    </cfRule>
    <cfRule type="expression" dxfId="424" priority="102">
      <formula>AND(AC$9&gt;=14/24,AC$9&lt;20/24)</formula>
    </cfRule>
    <cfRule type="expression" dxfId="423" priority="103">
      <formula>AND(AC$9&gt;=8/24,AC$9&lt;14/24)</formula>
    </cfRule>
    <cfRule type="expression" dxfId="422" priority="104">
      <formula>AC$9&lt;8/24</formula>
    </cfRule>
  </conditionalFormatting>
  <conditionalFormatting sqref="AT16:AT21">
    <cfRule type="expression" dxfId="421" priority="105">
      <formula>BG$9&gt;=20/24</formula>
    </cfRule>
    <cfRule type="expression" dxfId="420" priority="106">
      <formula>AND(BG$9&gt;=14/24,BG$9&lt;20/24)</formula>
    </cfRule>
    <cfRule type="expression" dxfId="419" priority="107">
      <formula>AND(BG$9&gt;=8/24,BG$9&lt;14/24)</formula>
    </cfRule>
    <cfRule type="expression" dxfId="418" priority="108">
      <formula>BG$9&lt;8/24</formula>
    </cfRule>
  </conditionalFormatting>
  <conditionalFormatting sqref="AU15:AV15">
    <cfRule type="expression" dxfId="417" priority="109">
      <formula>AE$9&gt;=20/24</formula>
    </cfRule>
    <cfRule type="expression" dxfId="416" priority="110">
      <formula>AND(AE$9&gt;=14/24,AE$9&lt;20/24)</formula>
    </cfRule>
    <cfRule type="expression" dxfId="415" priority="111">
      <formula>AND(AE$9&gt;=8/24,AE$9&lt;14/24)</formula>
    </cfRule>
    <cfRule type="expression" dxfId="414" priority="112">
      <formula>AE$9&lt;8/24</formula>
    </cfRule>
  </conditionalFormatting>
  <conditionalFormatting sqref="AU16:BJ21">
    <cfRule type="expression" dxfId="413" priority="113">
      <formula>BI$9&gt;=20/24</formula>
    </cfRule>
    <cfRule type="expression" dxfId="412" priority="114">
      <formula>AND(BI$9&gt;=14/24,BI$9&lt;20/24)</formula>
    </cfRule>
    <cfRule type="expression" dxfId="411" priority="115">
      <formula>AND(BI$9&gt;=8/24,BI$9&lt;14/24)</formula>
    </cfRule>
    <cfRule type="expression" dxfId="410" priority="116">
      <formula>BI$9&lt;8/24</formula>
    </cfRule>
  </conditionalFormatting>
  <conditionalFormatting sqref="AW15">
    <cfRule type="expression" dxfId="409" priority="85">
      <formula>B$9&gt;=20/24</formula>
    </cfRule>
    <cfRule type="expression" dxfId="408" priority="86">
      <formula>AND(B$9&gt;=14/24,B$9&lt;20/24)</formula>
    </cfRule>
    <cfRule type="expression" dxfId="407" priority="87">
      <formula>AND(B$9&gt;=8/24,B$9&lt;14/24)</formula>
    </cfRule>
    <cfRule type="expression" dxfId="406" priority="88">
      <formula>B$9&lt;8/24</formula>
    </cfRule>
  </conditionalFormatting>
  <conditionalFormatting sqref="A73">
    <cfRule type="expression" dxfId="405" priority="36">
      <formula>$AH73=0</formula>
    </cfRule>
  </conditionalFormatting>
  <conditionalFormatting sqref="B11:B13 B97:B107 B137:B152 B109:B112 B125:B134 B154:B159">
    <cfRule type="expression" dxfId="404" priority="30">
      <formula>B$9&gt;=20/24</formula>
    </cfRule>
  </conditionalFormatting>
  <conditionalFormatting sqref="B11:B13 B97:B107 B137:B152 B109:B112 B125:B134 B154:B159">
    <cfRule type="expression" dxfId="403" priority="31">
      <formula>AND(B$9&gt;=14/24,B$9&lt;20/24)</formula>
    </cfRule>
    <cfRule type="expression" dxfId="402" priority="32">
      <formula>AND(B$9&gt;=8/24,B$9&lt;14/24)</formula>
    </cfRule>
    <cfRule type="expression" dxfId="401" priority="33">
      <formula>B$9&lt;8/24</formula>
    </cfRule>
  </conditionalFormatting>
  <conditionalFormatting sqref="B14:B28">
    <cfRule type="expression" dxfId="400" priority="20">
      <formula>B14&gt;$AG14*1</formula>
    </cfRule>
    <cfRule type="expression" dxfId="399" priority="21">
      <formula>B$9&gt;=20/24</formula>
    </cfRule>
    <cfRule type="expression" dxfId="398" priority="22">
      <formula>AND(B$9&gt;=14/24,B$9&lt;20/24)</formula>
    </cfRule>
    <cfRule type="expression" dxfId="397" priority="23">
      <formula>AND(B$9&gt;=8/24,B$9&lt;14/24)</formula>
    </cfRule>
    <cfRule type="expression" dxfId="396" priority="24">
      <formula>B$9&lt;8/24</formula>
    </cfRule>
  </conditionalFormatting>
  <conditionalFormatting sqref="B161:B167">
    <cfRule type="expression" dxfId="395" priority="25">
      <formula>B$9&gt;=20/24</formula>
    </cfRule>
    <cfRule type="expression" dxfId="394" priority="26">
      <formula>AND(B$9&gt;=14/24,B$9&lt;20/24)</formula>
    </cfRule>
    <cfRule type="expression" dxfId="393" priority="27">
      <formula>AND(B$9&gt;=8/24,B$9&lt;14/24)</formula>
    </cfRule>
    <cfRule type="expression" dxfId="392" priority="28">
      <formula>B$9&lt;8/24</formula>
    </cfRule>
  </conditionalFormatting>
  <conditionalFormatting sqref="B169:B274">
    <cfRule type="expression" dxfId="391" priority="6">
      <formula>B$9&gt;=20/24</formula>
    </cfRule>
    <cfRule type="expression" dxfId="390" priority="7">
      <formula>AND(B$9&gt;=14/24,B$9&lt;20/24)</formula>
    </cfRule>
    <cfRule type="expression" dxfId="389" priority="8">
      <formula>AND(B$9&gt;=8/24,B$9&lt;14/24)</formula>
    </cfRule>
    <cfRule type="expression" dxfId="388" priority="9">
      <formula>B$9&lt;8/24</formula>
    </cfRule>
  </conditionalFormatting>
  <conditionalFormatting sqref="B11:B13">
    <cfRule type="expression" dxfId="387" priority="29">
      <formula>B11&gt;$AG11*1</formula>
    </cfRule>
  </conditionalFormatting>
  <conditionalFormatting sqref="A153">
    <cfRule type="expression" dxfId="3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85" priority="1">
      <formula>AL$9&gt;=20/24</formula>
    </cfRule>
  </conditionalFormatting>
  <conditionalFormatting sqref="AL153">
    <cfRule type="expression" dxfId="384" priority="2">
      <formula>AND(AL$9&gt;=14/24,AL$9&lt;20/24)</formula>
    </cfRule>
    <cfRule type="expression" dxfId="383" priority="3">
      <formula>AND(AL$9&gt;=8/24,AL$9&lt;14/24)</formula>
    </cfRule>
    <cfRule type="expression" dxfId="3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2026-05-23T13:15:11Z</dcterms:modified>
</cp:coreProperties>
</file>