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5" i="81" l="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AH122" i="81" s="1"/>
  <c r="C122" i="81"/>
  <c r="AI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E123" i="81" s="1"/>
  <c r="AP23" i="81" s="1"/>
  <c r="D119" i="81"/>
  <c r="D123" i="81" s="1"/>
  <c r="AO23" i="81" s="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I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F92" i="81"/>
  <c r="AQ18" i="81" s="1"/>
  <c r="E92" i="81"/>
  <c r="D92" i="8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I89" i="81"/>
  <c r="AH89" i="81"/>
  <c r="BS88" i="81"/>
  <c r="BR88" i="81"/>
  <c r="BP88" i="81"/>
  <c r="BO88" i="81"/>
  <c r="BK88" i="81"/>
  <c r="BJ88" i="81"/>
  <c r="BH88" i="81"/>
  <c r="BG88" i="81"/>
  <c r="BC88" i="81"/>
  <c r="BB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BD87" i="81"/>
  <c r="BB87" i="81"/>
  <c r="BA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BC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B81" i="8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C80" i="81"/>
  <c r="BC87" i="81" s="1"/>
  <c r="BB80" i="81"/>
  <c r="BA80" i="8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G78" i="81"/>
  <c r="G113" i="81" s="1"/>
  <c r="G115" i="81" s="1"/>
  <c r="F78" i="81"/>
  <c r="E78" i="81"/>
  <c r="D78" i="81"/>
  <c r="C78" i="81"/>
  <c r="AI78" i="81" s="1"/>
  <c r="AH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H113" i="81" s="1"/>
  <c r="H115" i="81" s="1"/>
  <c r="G71" i="81"/>
  <c r="F71" i="81"/>
  <c r="F113" i="81" s="1"/>
  <c r="F115" i="81" s="1"/>
  <c r="E71" i="81"/>
  <c r="AP16" i="81" s="1"/>
  <c r="D71" i="81"/>
  <c r="C71" i="81"/>
  <c r="AN16" i="81" s="1"/>
  <c r="AH71" i="8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Q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O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R22" i="81" s="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E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I121" i="81" l="1"/>
  <c r="AJ108" i="81" a="1"/>
  <c r="AJ108" i="81" s="1"/>
  <c r="AI96" i="81"/>
  <c r="AQ22" i="81"/>
  <c r="AP22" i="8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AP25" i="81"/>
  <c r="BC25" i="81"/>
  <c r="AM23" i="81"/>
  <c r="BJ25" i="81"/>
  <c r="AR25" i="81"/>
  <c r="AT22" i="81"/>
  <c r="AT25" i="81" s="1"/>
  <c r="X116" i="81"/>
  <c r="X7" i="81" s="1"/>
  <c r="J124" i="81"/>
  <c r="G116" i="81"/>
  <c r="G7" i="81" s="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F124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AQ25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N25" i="81" l="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I124" i="81" s="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H124" i="81" l="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<sst xmlns="http://schemas.openxmlformats.org/spreadsheetml/2006/main" count="3168" uniqueCount="431">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</sst>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8.73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2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45" sqref="I14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1727.06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2303.16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1142.1599999999999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2303.16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1727.06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1142.1599999999999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1142.1599999999999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458.1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84.1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 t="shared" ref="D78:AG78" si="25">SUM(D72:D77)</f>
        <v>0</v>
      </c>
      <c r="E78" s="70">
        <f t="shared" si="25"/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0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68.900000000000006</v>
      </c>
      <c r="AK80" s="49"/>
      <c r="AY80" s="1" t="s">
        <v>101</v>
      </c>
      <c r="AZ80" s="82">
        <f>ROUND(C98,0)</f>
        <v>31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61.6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0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2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351.9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3">B93+B94+B95</f>
        <v>0</v>
      </c>
      <c r="C96" s="70">
        <f t="shared" ref="B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-576.1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30.8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</v>
      </c>
      <c r="AI100" s="47">
        <f t="shared" si="23"/>
        <v>20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5">SUMIF(B97:B107,"&gt;0")</f>
        <v>62.2</v>
      </c>
      <c r="C108" s="70">
        <f t="shared" ref="B108:AF108" si="36">SUMIF(C97:C107,"&gt;0")</f>
        <v>111.8</v>
      </c>
      <c r="D108" s="70">
        <f t="shared" si="36"/>
        <v>0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111.8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7">B71+B78+B96+B92+B108+B112</f>
        <v>2213.5700000000002</v>
      </c>
      <c r="C113" s="108">
        <f t="shared" ref="B113:AG113" si="38">C71+C78+C96+C92+C108+C112</f>
        <v>2263.16</v>
      </c>
      <c r="D113" s="108">
        <f t="shared" si="38"/>
        <v>152</v>
      </c>
      <c r="E113" s="108">
        <f t="shared" si="38"/>
        <v>152</v>
      </c>
      <c r="F113" s="108">
        <f t="shared" si="38"/>
        <v>152</v>
      </c>
      <c r="G113" s="108">
        <f t="shared" si="38"/>
        <v>152</v>
      </c>
      <c r="H113" s="108">
        <f t="shared" si="38"/>
        <v>152</v>
      </c>
      <c r="I113" s="108">
        <f t="shared" si="38"/>
        <v>152</v>
      </c>
      <c r="J113" s="108">
        <f t="shared" si="38"/>
        <v>152</v>
      </c>
      <c r="K113" s="108">
        <f t="shared" si="38"/>
        <v>152</v>
      </c>
      <c r="L113" s="108">
        <f t="shared" si="38"/>
        <v>152</v>
      </c>
      <c r="M113" s="108">
        <f t="shared" si="38"/>
        <v>152</v>
      </c>
      <c r="N113" s="108">
        <f t="shared" si="38"/>
        <v>152</v>
      </c>
      <c r="O113" s="108">
        <f t="shared" si="38"/>
        <v>152</v>
      </c>
      <c r="P113" s="108">
        <f t="shared" si="38"/>
        <v>152</v>
      </c>
      <c r="Q113" s="108">
        <f t="shared" si="38"/>
        <v>152</v>
      </c>
      <c r="R113" s="108">
        <f t="shared" si="38"/>
        <v>152</v>
      </c>
      <c r="S113" s="108">
        <f t="shared" si="38"/>
        <v>152</v>
      </c>
      <c r="T113" s="108">
        <f t="shared" si="38"/>
        <v>152</v>
      </c>
      <c r="U113" s="108">
        <f t="shared" si="38"/>
        <v>152</v>
      </c>
      <c r="V113" s="108">
        <f t="shared" si="38"/>
        <v>152</v>
      </c>
      <c r="W113" s="108">
        <f t="shared" si="38"/>
        <v>152</v>
      </c>
      <c r="X113" s="108">
        <f t="shared" si="38"/>
        <v>152</v>
      </c>
      <c r="Y113" s="108">
        <f t="shared" si="38"/>
        <v>152</v>
      </c>
      <c r="Z113" s="108">
        <f t="shared" si="38"/>
        <v>152</v>
      </c>
      <c r="AA113" s="108">
        <f t="shared" si="38"/>
        <v>152</v>
      </c>
      <c r="AB113" s="108">
        <f t="shared" si="38"/>
        <v>152</v>
      </c>
      <c r="AC113" s="108">
        <f t="shared" si="38"/>
        <v>152</v>
      </c>
      <c r="AD113" s="108">
        <f t="shared" si="38"/>
        <v>152</v>
      </c>
      <c r="AE113" s="108">
        <f t="shared" si="38"/>
        <v>152</v>
      </c>
      <c r="AF113" s="108">
        <f t="shared" si="38"/>
        <v>152</v>
      </c>
      <c r="AG113" s="80">
        <f t="shared" si="38"/>
        <v>3169.915</v>
      </c>
      <c r="AH113" s="46">
        <f t="shared" si="22"/>
        <v>2263.16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39">B113+B114</f>
        <v>2268.5700000000002</v>
      </c>
      <c r="C115" s="108">
        <f t="shared" ref="C115:AF115" si="40">C113+C114</f>
        <v>2303.16</v>
      </c>
      <c r="D115" s="108">
        <f t="shared" si="40"/>
        <v>152</v>
      </c>
      <c r="E115" s="108">
        <f t="shared" si="40"/>
        <v>152</v>
      </c>
      <c r="F115" s="108">
        <f t="shared" si="40"/>
        <v>152</v>
      </c>
      <c r="G115" s="108">
        <f t="shared" si="40"/>
        <v>152</v>
      </c>
      <c r="H115" s="108">
        <f t="shared" si="40"/>
        <v>152</v>
      </c>
      <c r="I115" s="108">
        <f t="shared" si="40"/>
        <v>152</v>
      </c>
      <c r="J115" s="108">
        <f t="shared" si="40"/>
        <v>152</v>
      </c>
      <c r="K115" s="108">
        <f t="shared" si="40"/>
        <v>152</v>
      </c>
      <c r="L115" s="108">
        <f t="shared" si="40"/>
        <v>152</v>
      </c>
      <c r="M115" s="108">
        <f t="shared" si="40"/>
        <v>152</v>
      </c>
      <c r="N115" s="108">
        <f t="shared" si="40"/>
        <v>152</v>
      </c>
      <c r="O115" s="108">
        <f t="shared" si="40"/>
        <v>152</v>
      </c>
      <c r="P115" s="108">
        <f t="shared" si="40"/>
        <v>152</v>
      </c>
      <c r="Q115" s="108">
        <f t="shared" si="40"/>
        <v>152</v>
      </c>
      <c r="R115" s="108">
        <f t="shared" si="40"/>
        <v>152</v>
      </c>
      <c r="S115" s="108">
        <f t="shared" si="40"/>
        <v>152</v>
      </c>
      <c r="T115" s="108">
        <f t="shared" si="40"/>
        <v>152</v>
      </c>
      <c r="U115" s="108">
        <f t="shared" si="40"/>
        <v>152</v>
      </c>
      <c r="V115" s="108">
        <f t="shared" si="40"/>
        <v>152</v>
      </c>
      <c r="W115" s="108">
        <f t="shared" si="40"/>
        <v>152</v>
      </c>
      <c r="X115" s="108">
        <f t="shared" si="40"/>
        <v>152</v>
      </c>
      <c r="Y115" s="108">
        <f t="shared" si="40"/>
        <v>152</v>
      </c>
      <c r="Z115" s="108">
        <f t="shared" si="40"/>
        <v>152</v>
      </c>
      <c r="AA115" s="108">
        <f t="shared" si="40"/>
        <v>152</v>
      </c>
      <c r="AB115" s="108">
        <f t="shared" si="40"/>
        <v>152</v>
      </c>
      <c r="AC115" s="108">
        <f t="shared" si="40"/>
        <v>152</v>
      </c>
      <c r="AD115" s="108">
        <f t="shared" si="40"/>
        <v>152</v>
      </c>
      <c r="AE115" s="108">
        <f t="shared" si="40"/>
        <v>152</v>
      </c>
      <c r="AF115" s="108">
        <f t="shared" si="40"/>
        <v>152</v>
      </c>
      <c r="AG115" s="104">
        <f>AG112+AG108+AG96+AG92+AG71+AG114</f>
        <v>2463.5149999999999</v>
      </c>
      <c r="AH115" s="46">
        <f t="shared" si="22"/>
        <v>2303.16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1">B115-(B123)</f>
        <v>1890.3700000000001</v>
      </c>
      <c r="C116" s="108">
        <f t="shared" ref="C116:AF116" si="42">C115-(C123)</f>
        <v>1727.06</v>
      </c>
      <c r="D116" s="108">
        <f t="shared" si="42"/>
        <v>152</v>
      </c>
      <c r="E116" s="108">
        <f t="shared" si="42"/>
        <v>152</v>
      </c>
      <c r="F116" s="108">
        <f t="shared" si="42"/>
        <v>152</v>
      </c>
      <c r="G116" s="108">
        <f t="shared" si="42"/>
        <v>152</v>
      </c>
      <c r="H116" s="108">
        <f t="shared" si="42"/>
        <v>152</v>
      </c>
      <c r="I116" s="108">
        <f t="shared" si="42"/>
        <v>152</v>
      </c>
      <c r="J116" s="108">
        <f t="shared" si="42"/>
        <v>152</v>
      </c>
      <c r="K116" s="108">
        <f t="shared" si="42"/>
        <v>152</v>
      </c>
      <c r="L116" s="108">
        <f t="shared" si="42"/>
        <v>152</v>
      </c>
      <c r="M116" s="108">
        <f t="shared" si="42"/>
        <v>152</v>
      </c>
      <c r="N116" s="108">
        <f t="shared" si="42"/>
        <v>152</v>
      </c>
      <c r="O116" s="108">
        <f t="shared" si="42"/>
        <v>152</v>
      </c>
      <c r="P116" s="108">
        <f t="shared" si="42"/>
        <v>152</v>
      </c>
      <c r="Q116" s="108">
        <f t="shared" si="42"/>
        <v>152</v>
      </c>
      <c r="R116" s="108">
        <f t="shared" si="42"/>
        <v>152</v>
      </c>
      <c r="S116" s="108">
        <f t="shared" si="42"/>
        <v>152</v>
      </c>
      <c r="T116" s="108">
        <f t="shared" si="42"/>
        <v>152</v>
      </c>
      <c r="U116" s="108">
        <f t="shared" si="42"/>
        <v>152</v>
      </c>
      <c r="V116" s="108">
        <f t="shared" si="42"/>
        <v>152</v>
      </c>
      <c r="W116" s="108">
        <f t="shared" si="42"/>
        <v>152</v>
      </c>
      <c r="X116" s="108">
        <f t="shared" si="42"/>
        <v>152</v>
      </c>
      <c r="Y116" s="108">
        <f t="shared" si="42"/>
        <v>152</v>
      </c>
      <c r="Z116" s="108">
        <f t="shared" si="42"/>
        <v>152</v>
      </c>
      <c r="AA116" s="108">
        <f t="shared" si="42"/>
        <v>152</v>
      </c>
      <c r="AB116" s="108">
        <f t="shared" si="42"/>
        <v>152</v>
      </c>
      <c r="AC116" s="108">
        <f t="shared" si="42"/>
        <v>152</v>
      </c>
      <c r="AD116" s="108">
        <f t="shared" si="42"/>
        <v>152</v>
      </c>
      <c r="AE116" s="108">
        <f t="shared" si="42"/>
        <v>152</v>
      </c>
      <c r="AF116" s="108">
        <f t="shared" si="42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3">IF(C97&lt;0,C97*-1,0)</f>
        <v>576.1</v>
      </c>
      <c r="D117" s="93">
        <f t="shared" si="43"/>
        <v>0</v>
      </c>
      <c r="E117" s="93">
        <f t="shared" si="43"/>
        <v>0</v>
      </c>
      <c r="F117" s="93">
        <f t="shared" si="43"/>
        <v>0</v>
      </c>
      <c r="G117" s="93">
        <f t="shared" si="43"/>
        <v>0</v>
      </c>
      <c r="H117" s="93">
        <f t="shared" si="43"/>
        <v>0</v>
      </c>
      <c r="I117" s="93">
        <f t="shared" si="43"/>
        <v>0</v>
      </c>
      <c r="J117" s="93">
        <f t="shared" si="43"/>
        <v>0</v>
      </c>
      <c r="K117" s="93">
        <f t="shared" si="43"/>
        <v>0</v>
      </c>
      <c r="L117" s="93">
        <f t="shared" si="43"/>
        <v>0</v>
      </c>
      <c r="M117" s="93">
        <f t="shared" si="43"/>
        <v>0</v>
      </c>
      <c r="N117" s="93">
        <f t="shared" si="43"/>
        <v>0</v>
      </c>
      <c r="O117" s="93">
        <f t="shared" si="43"/>
        <v>0</v>
      </c>
      <c r="P117" s="93">
        <f t="shared" si="43"/>
        <v>0</v>
      </c>
      <c r="Q117" s="93">
        <f t="shared" si="43"/>
        <v>0</v>
      </c>
      <c r="R117" s="93">
        <f t="shared" si="43"/>
        <v>0</v>
      </c>
      <c r="S117" s="93">
        <f t="shared" si="43"/>
        <v>0</v>
      </c>
      <c r="T117" s="93">
        <f t="shared" si="43"/>
        <v>0</v>
      </c>
      <c r="U117" s="93">
        <f t="shared" si="43"/>
        <v>0</v>
      </c>
      <c r="V117" s="93">
        <f t="shared" si="43"/>
        <v>0</v>
      </c>
      <c r="W117" s="93">
        <f t="shared" si="43"/>
        <v>0</v>
      </c>
      <c r="X117" s="93">
        <f t="shared" si="43"/>
        <v>0</v>
      </c>
      <c r="Y117" s="93">
        <f t="shared" si="43"/>
        <v>0</v>
      </c>
      <c r="Z117" s="93">
        <f t="shared" si="43"/>
        <v>0</v>
      </c>
      <c r="AA117" s="93">
        <f t="shared" si="43"/>
        <v>0</v>
      </c>
      <c r="AB117" s="93">
        <f t="shared" si="43"/>
        <v>0</v>
      </c>
      <c r="AC117" s="93">
        <f t="shared" si="43"/>
        <v>0</v>
      </c>
      <c r="AD117" s="93">
        <f t="shared" si="43"/>
        <v>0</v>
      </c>
      <c r="AE117" s="93">
        <f t="shared" si="43"/>
        <v>0</v>
      </c>
      <c r="AF117" s="93">
        <f t="shared" si="43"/>
        <v>0</v>
      </c>
      <c r="AG117" s="61"/>
      <c r="AH117" s="46">
        <f t="shared" si="22"/>
        <v>576.1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3"/>
        <v>0</v>
      </c>
      <c r="D118" s="93">
        <f t="shared" si="43"/>
        <v>0</v>
      </c>
      <c r="E118" s="93">
        <f t="shared" si="43"/>
        <v>0</v>
      </c>
      <c r="F118" s="93">
        <f t="shared" si="43"/>
        <v>0</v>
      </c>
      <c r="G118" s="93">
        <f t="shared" si="43"/>
        <v>0</v>
      </c>
      <c r="H118" s="93">
        <f t="shared" si="43"/>
        <v>0</v>
      </c>
      <c r="I118" s="93">
        <f t="shared" si="43"/>
        <v>0</v>
      </c>
      <c r="J118" s="93">
        <f t="shared" si="43"/>
        <v>0</v>
      </c>
      <c r="K118" s="93">
        <f t="shared" si="43"/>
        <v>0</v>
      </c>
      <c r="L118" s="93">
        <f t="shared" si="43"/>
        <v>0</v>
      </c>
      <c r="M118" s="93">
        <f t="shared" si="43"/>
        <v>0</v>
      </c>
      <c r="N118" s="93">
        <f t="shared" si="43"/>
        <v>0</v>
      </c>
      <c r="O118" s="93">
        <f t="shared" si="43"/>
        <v>0</v>
      </c>
      <c r="P118" s="93">
        <f t="shared" si="43"/>
        <v>0</v>
      </c>
      <c r="Q118" s="93">
        <f t="shared" si="43"/>
        <v>0</v>
      </c>
      <c r="R118" s="93">
        <f t="shared" si="43"/>
        <v>0</v>
      </c>
      <c r="S118" s="93">
        <f t="shared" si="43"/>
        <v>0</v>
      </c>
      <c r="T118" s="93">
        <f t="shared" si="43"/>
        <v>0</v>
      </c>
      <c r="U118" s="93">
        <f t="shared" si="43"/>
        <v>0</v>
      </c>
      <c r="V118" s="93">
        <f t="shared" si="43"/>
        <v>0</v>
      </c>
      <c r="W118" s="93">
        <f t="shared" si="43"/>
        <v>0</v>
      </c>
      <c r="X118" s="93">
        <f t="shared" si="43"/>
        <v>0</v>
      </c>
      <c r="Y118" s="93">
        <f t="shared" si="43"/>
        <v>0</v>
      </c>
      <c r="Z118" s="93">
        <f t="shared" si="43"/>
        <v>0</v>
      </c>
      <c r="AA118" s="93">
        <f t="shared" si="43"/>
        <v>0</v>
      </c>
      <c r="AB118" s="93">
        <f t="shared" si="43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3"/>
        <v>0</v>
      </c>
      <c r="D119" s="93">
        <f t="shared" si="43"/>
        <v>0</v>
      </c>
      <c r="E119" s="93">
        <f t="shared" si="43"/>
        <v>0</v>
      </c>
      <c r="F119" s="93">
        <f t="shared" si="43"/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3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3"/>
        <v>0</v>
      </c>
      <c r="R119" s="93">
        <f t="shared" si="43"/>
        <v>0</v>
      </c>
      <c r="S119" s="93">
        <f t="shared" si="43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 t="shared" si="43"/>
        <v>0</v>
      </c>
      <c r="Z119" s="93">
        <f t="shared" si="43"/>
        <v>0</v>
      </c>
      <c r="AA119" s="93">
        <f t="shared" si="43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3"/>
        <v>0</v>
      </c>
      <c r="D120" s="93">
        <f t="shared" si="43"/>
        <v>0</v>
      </c>
      <c r="E120" s="93">
        <f t="shared" si="43"/>
        <v>0</v>
      </c>
      <c r="F120" s="93">
        <f t="shared" si="43"/>
        <v>0</v>
      </c>
      <c r="G120" s="93">
        <f t="shared" si="43"/>
        <v>0</v>
      </c>
      <c r="H120" s="93">
        <f t="shared" si="43"/>
        <v>0</v>
      </c>
      <c r="I120" s="93">
        <f t="shared" si="43"/>
        <v>0</v>
      </c>
      <c r="J120" s="93">
        <f t="shared" si="43"/>
        <v>0</v>
      </c>
      <c r="K120" s="93">
        <f t="shared" si="43"/>
        <v>0</v>
      </c>
      <c r="L120" s="93">
        <f t="shared" si="43"/>
        <v>0</v>
      </c>
      <c r="M120" s="93">
        <f t="shared" si="43"/>
        <v>0</v>
      </c>
      <c r="N120" s="93">
        <f t="shared" si="43"/>
        <v>0</v>
      </c>
      <c r="O120" s="93">
        <f t="shared" si="43"/>
        <v>0</v>
      </c>
      <c r="P120" s="93">
        <f t="shared" si="43"/>
        <v>0</v>
      </c>
      <c r="Q120" s="93">
        <f t="shared" si="43"/>
        <v>0</v>
      </c>
      <c r="R120" s="93">
        <f t="shared" si="43"/>
        <v>0</v>
      </c>
      <c r="S120" s="93">
        <f t="shared" si="43"/>
        <v>0</v>
      </c>
      <c r="T120" s="93">
        <f t="shared" si="43"/>
        <v>0</v>
      </c>
      <c r="U120" s="93">
        <f t="shared" si="43"/>
        <v>0</v>
      </c>
      <c r="V120" s="93">
        <f t="shared" si="43"/>
        <v>0</v>
      </c>
      <c r="W120" s="93">
        <f t="shared" si="43"/>
        <v>0</v>
      </c>
      <c r="X120" s="93">
        <f t="shared" si="43"/>
        <v>0</v>
      </c>
      <c r="Y120" s="93">
        <f t="shared" si="43"/>
        <v>0</v>
      </c>
      <c r="Z120" s="93">
        <f t="shared" si="43"/>
        <v>0</v>
      </c>
      <c r="AA120" s="93">
        <f t="shared" si="43"/>
        <v>0</v>
      </c>
      <c r="AB120" s="93">
        <f t="shared" si="43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3"/>
        <v>0</v>
      </c>
      <c r="D121" s="93">
        <f t="shared" si="43"/>
        <v>0</v>
      </c>
      <c r="E121" s="93">
        <f t="shared" si="43"/>
        <v>0</v>
      </c>
      <c r="F121" s="93">
        <f t="shared" si="43"/>
        <v>0</v>
      </c>
      <c r="G121" s="93">
        <f t="shared" si="43"/>
        <v>0</v>
      </c>
      <c r="H121" s="93">
        <f t="shared" si="43"/>
        <v>0</v>
      </c>
      <c r="I121" s="93">
        <f t="shared" si="43"/>
        <v>0</v>
      </c>
      <c r="J121" s="93">
        <f t="shared" si="43"/>
        <v>0</v>
      </c>
      <c r="K121" s="93">
        <f t="shared" si="43"/>
        <v>0</v>
      </c>
      <c r="L121" s="93">
        <f t="shared" si="43"/>
        <v>0</v>
      </c>
      <c r="M121" s="93">
        <f t="shared" si="43"/>
        <v>0</v>
      </c>
      <c r="N121" s="93">
        <f t="shared" si="43"/>
        <v>0</v>
      </c>
      <c r="O121" s="93">
        <f t="shared" si="43"/>
        <v>0</v>
      </c>
      <c r="P121" s="93">
        <f t="shared" si="43"/>
        <v>0</v>
      </c>
      <c r="Q121" s="93">
        <f t="shared" si="43"/>
        <v>0</v>
      </c>
      <c r="R121" s="93">
        <f t="shared" si="43"/>
        <v>0</v>
      </c>
      <c r="S121" s="93">
        <f t="shared" si="43"/>
        <v>0</v>
      </c>
      <c r="T121" s="93">
        <f t="shared" si="43"/>
        <v>0</v>
      </c>
      <c r="U121" s="93">
        <f t="shared" si="43"/>
        <v>0</v>
      </c>
      <c r="V121" s="93">
        <f t="shared" si="43"/>
        <v>0</v>
      </c>
      <c r="W121" s="93">
        <f t="shared" si="43"/>
        <v>0</v>
      </c>
      <c r="X121" s="93">
        <f t="shared" si="43"/>
        <v>0</v>
      </c>
      <c r="Y121" s="93">
        <f t="shared" si="43"/>
        <v>0</v>
      </c>
      <c r="Z121" s="93">
        <f t="shared" si="43"/>
        <v>0</v>
      </c>
      <c r="AA121" s="93">
        <f t="shared" si="43"/>
        <v>0</v>
      </c>
      <c r="AB121" s="93">
        <f t="shared" si="43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3"/>
        <v>0</v>
      </c>
      <c r="D122" s="93">
        <f t="shared" si="43"/>
        <v>0</v>
      </c>
      <c r="E122" s="93">
        <f t="shared" si="43"/>
        <v>0</v>
      </c>
      <c r="F122" s="93">
        <f t="shared" si="43"/>
        <v>0</v>
      </c>
      <c r="G122" s="93">
        <f t="shared" si="43"/>
        <v>0</v>
      </c>
      <c r="H122" s="93">
        <f t="shared" si="43"/>
        <v>0</v>
      </c>
      <c r="I122" s="93">
        <f t="shared" si="43"/>
        <v>0</v>
      </c>
      <c r="J122" s="93">
        <f t="shared" si="43"/>
        <v>0</v>
      </c>
      <c r="K122" s="93">
        <f t="shared" si="43"/>
        <v>0</v>
      </c>
      <c r="L122" s="93">
        <f t="shared" si="43"/>
        <v>0</v>
      </c>
      <c r="M122" s="93">
        <f t="shared" si="43"/>
        <v>0</v>
      </c>
      <c r="N122" s="93">
        <f t="shared" si="43"/>
        <v>0</v>
      </c>
      <c r="O122" s="93">
        <f t="shared" si="43"/>
        <v>0</v>
      </c>
      <c r="P122" s="93">
        <f t="shared" si="43"/>
        <v>0</v>
      </c>
      <c r="Q122" s="93">
        <f t="shared" si="43"/>
        <v>0</v>
      </c>
      <c r="R122" s="93">
        <f t="shared" si="43"/>
        <v>0</v>
      </c>
      <c r="S122" s="93">
        <f t="shared" si="43"/>
        <v>0</v>
      </c>
      <c r="T122" s="93">
        <f t="shared" si="43"/>
        <v>0</v>
      </c>
      <c r="U122" s="93">
        <f t="shared" si="43"/>
        <v>0</v>
      </c>
      <c r="V122" s="93">
        <f t="shared" si="43"/>
        <v>0</v>
      </c>
      <c r="W122" s="93">
        <f t="shared" si="43"/>
        <v>0</v>
      </c>
      <c r="X122" s="93">
        <f t="shared" si="43"/>
        <v>0</v>
      </c>
      <c r="Y122" s="93">
        <f t="shared" si="43"/>
        <v>0</v>
      </c>
      <c r="Z122" s="93">
        <f t="shared" si="43"/>
        <v>0</v>
      </c>
      <c r="AA122" s="93">
        <f t="shared" si="43"/>
        <v>0</v>
      </c>
      <c r="AB122" s="93">
        <f t="shared" si="43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4">SUM(B117:B122)</f>
        <v>378.2</v>
      </c>
      <c r="C123" s="70">
        <f t="shared" ref="B123:AF123" si="45">SUM(C117:C122)</f>
        <v>576.1</v>
      </c>
      <c r="D123" s="70">
        <f t="shared" si="45"/>
        <v>0</v>
      </c>
      <c r="E123" s="70">
        <f t="shared" si="45"/>
        <v>0</v>
      </c>
      <c r="F123" s="70">
        <f t="shared" si="45"/>
        <v>0</v>
      </c>
      <c r="G123" s="70">
        <f t="shared" si="45"/>
        <v>0</v>
      </c>
      <c r="H123" s="70">
        <f t="shared" si="45"/>
        <v>0</v>
      </c>
      <c r="I123" s="70">
        <f t="shared" si="45"/>
        <v>0</v>
      </c>
      <c r="J123" s="70">
        <f t="shared" si="45"/>
        <v>0</v>
      </c>
      <c r="K123" s="70">
        <f t="shared" si="45"/>
        <v>0</v>
      </c>
      <c r="L123" s="70">
        <f t="shared" si="45"/>
        <v>0</v>
      </c>
      <c r="M123" s="70">
        <f t="shared" si="45"/>
        <v>0</v>
      </c>
      <c r="N123" s="70">
        <f t="shared" si="45"/>
        <v>0</v>
      </c>
      <c r="O123" s="70">
        <f t="shared" si="45"/>
        <v>0</v>
      </c>
      <c r="P123" s="70">
        <f t="shared" si="45"/>
        <v>0</v>
      </c>
      <c r="Q123" s="70">
        <f t="shared" si="45"/>
        <v>0</v>
      </c>
      <c r="R123" s="70">
        <f t="shared" si="45"/>
        <v>0</v>
      </c>
      <c r="S123" s="70">
        <f t="shared" si="45"/>
        <v>0</v>
      </c>
      <c r="T123" s="70">
        <f t="shared" si="45"/>
        <v>0</v>
      </c>
      <c r="U123" s="70">
        <f t="shared" si="45"/>
        <v>0</v>
      </c>
      <c r="V123" s="70">
        <f t="shared" si="45"/>
        <v>0</v>
      </c>
      <c r="W123" s="70">
        <f t="shared" si="45"/>
        <v>0</v>
      </c>
      <c r="X123" s="70">
        <f t="shared" si="45"/>
        <v>0</v>
      </c>
      <c r="Y123" s="70">
        <f t="shared" si="45"/>
        <v>0</v>
      </c>
      <c r="Z123" s="70">
        <f t="shared" si="45"/>
        <v>0</v>
      </c>
      <c r="AA123" s="70">
        <f t="shared" si="45"/>
        <v>0</v>
      </c>
      <c r="AB123" s="70">
        <f t="shared" si="45"/>
        <v>0</v>
      </c>
      <c r="AC123" s="70">
        <f t="shared" si="45"/>
        <v>0</v>
      </c>
      <c r="AD123" s="70">
        <f t="shared" si="45"/>
        <v>0</v>
      </c>
      <c r="AE123" s="70">
        <f t="shared" si="45"/>
        <v>0</v>
      </c>
      <c r="AF123" s="70">
        <f t="shared" si="45"/>
        <v>0</v>
      </c>
      <c r="AG123" s="104"/>
      <c r="AH123" s="46">
        <f t="shared" si="22"/>
        <v>576.1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6">B108-B123</f>
        <v>-316</v>
      </c>
      <c r="C124" s="70">
        <f t="shared" ref="B124:AF124" si="47">C108-C123</f>
        <v>-464.3</v>
      </c>
      <c r="D124" s="70">
        <f t="shared" si="47"/>
        <v>0</v>
      </c>
      <c r="E124" s="70">
        <f t="shared" si="47"/>
        <v>0</v>
      </c>
      <c r="F124" s="70">
        <f t="shared" si="47"/>
        <v>0</v>
      </c>
      <c r="G124" s="70">
        <f t="shared" si="47"/>
        <v>0</v>
      </c>
      <c r="H124" s="70">
        <f t="shared" si="47"/>
        <v>0</v>
      </c>
      <c r="I124" s="70">
        <f t="shared" si="47"/>
        <v>0</v>
      </c>
      <c r="J124" s="70">
        <f t="shared" si="47"/>
        <v>0</v>
      </c>
      <c r="K124" s="70">
        <f t="shared" si="47"/>
        <v>0</v>
      </c>
      <c r="L124" s="70">
        <f t="shared" si="47"/>
        <v>0</v>
      </c>
      <c r="M124" s="70">
        <f t="shared" si="47"/>
        <v>0</v>
      </c>
      <c r="N124" s="70">
        <f t="shared" si="47"/>
        <v>0</v>
      </c>
      <c r="O124" s="70">
        <f t="shared" si="47"/>
        <v>0</v>
      </c>
      <c r="P124" s="70">
        <f t="shared" si="47"/>
        <v>0</v>
      </c>
      <c r="Q124" s="70">
        <f t="shared" si="47"/>
        <v>0</v>
      </c>
      <c r="R124" s="70">
        <f t="shared" si="47"/>
        <v>0</v>
      </c>
      <c r="S124" s="70">
        <f t="shared" si="47"/>
        <v>0</v>
      </c>
      <c r="T124" s="70">
        <f t="shared" si="47"/>
        <v>0</v>
      </c>
      <c r="U124" s="70">
        <f t="shared" si="47"/>
        <v>0</v>
      </c>
      <c r="V124" s="70">
        <f t="shared" si="47"/>
        <v>0</v>
      </c>
      <c r="W124" s="70">
        <f t="shared" si="47"/>
        <v>0</v>
      </c>
      <c r="X124" s="70">
        <f t="shared" si="47"/>
        <v>0</v>
      </c>
      <c r="Y124" s="70">
        <f t="shared" si="47"/>
        <v>0</v>
      </c>
      <c r="Z124" s="70">
        <f t="shared" si="47"/>
        <v>0</v>
      </c>
      <c r="AA124" s="70">
        <f t="shared" si="47"/>
        <v>0</v>
      </c>
      <c r="AB124" s="70">
        <f t="shared" si="47"/>
        <v>0</v>
      </c>
      <c r="AC124" s="70">
        <f t="shared" si="47"/>
        <v>0</v>
      </c>
      <c r="AD124" s="70">
        <f t="shared" si="47"/>
        <v>0</v>
      </c>
      <c r="AE124" s="70">
        <f t="shared" si="47"/>
        <v>0</v>
      </c>
      <c r="AF124" s="70">
        <f t="shared" si="47"/>
        <v>0</v>
      </c>
      <c r="AG124" s="104"/>
      <c r="AH124" s="46">
        <f t="shared" si="22"/>
        <v>0</v>
      </c>
      <c r="AI124" s="47">
        <f t="shared" si="23"/>
        <v>-464.3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131.5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130.69999999999999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134.80000000000001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134.1</v>
      </c>
      <c r="AI131" s="47">
        <f t="shared" si="23"/>
        <v>133.80000000000001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127.1</v>
      </c>
      <c r="AI132" s="47">
        <f t="shared" si="23"/>
        <v>122.8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8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49">SUM(C26,C32,C45:C46,C82,C84:C85,C87,C89,C137:C142,C177,C183,C189,C198,C200,C212,C219,C222:C223,C230,C232,C234,C238:C240,C242:C244,C249,C255:C256,C258:C260,C161,C166)</f>
        <v>119.34</v>
      </c>
      <c r="D135" s="114">
        <f t="shared" si="49"/>
        <v>0.94</v>
      </c>
      <c r="E135" s="114">
        <f t="shared" si="49"/>
        <v>0.94</v>
      </c>
      <c r="F135" s="114">
        <f t="shared" si="49"/>
        <v>0.94</v>
      </c>
      <c r="G135" s="114">
        <f t="shared" si="49"/>
        <v>0.94</v>
      </c>
      <c r="H135" s="114">
        <f t="shared" si="49"/>
        <v>0.94</v>
      </c>
      <c r="I135" s="114">
        <f t="shared" si="49"/>
        <v>0.94</v>
      </c>
      <c r="J135" s="114">
        <f t="shared" si="49"/>
        <v>0.94</v>
      </c>
      <c r="K135" s="114">
        <f t="shared" si="49"/>
        <v>0.94</v>
      </c>
      <c r="L135" s="114">
        <f t="shared" si="49"/>
        <v>0.94</v>
      </c>
      <c r="M135" s="114">
        <f t="shared" si="49"/>
        <v>0.94</v>
      </c>
      <c r="N135" s="114">
        <f t="shared" si="49"/>
        <v>0.94</v>
      </c>
      <c r="O135" s="114">
        <f t="shared" si="49"/>
        <v>0.94</v>
      </c>
      <c r="P135" s="114">
        <v>42</v>
      </c>
      <c r="Q135" s="114">
        <f t="shared" ref="Q135:X135" si="50">SUM(Q26,Q32,Q45:Q46,Q82,Q84:Q85,Q87,Q89,Q137:Q142,Q177,Q183,Q189,Q198,Q200,Q212,Q219,Q222:Q223,Q230,Q232,Q234,Q238:Q240,Q242:Q244,Q249,Q255:Q256,Q258:Q260,Q161,Q166)</f>
        <v>0.94</v>
      </c>
      <c r="R135" s="114">
        <f t="shared" si="50"/>
        <v>0.94</v>
      </c>
      <c r="S135" s="114">
        <f t="shared" si="50"/>
        <v>0.94</v>
      </c>
      <c r="T135" s="114">
        <f t="shared" si="50"/>
        <v>0.94</v>
      </c>
      <c r="U135" s="114">
        <f t="shared" si="50"/>
        <v>0.94</v>
      </c>
      <c r="V135" s="114">
        <f t="shared" si="50"/>
        <v>0.94</v>
      </c>
      <c r="W135" s="114">
        <f t="shared" si="50"/>
        <v>0.94</v>
      </c>
      <c r="X135" s="114">
        <f t="shared" si="5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1"/>
        <v>0.94</v>
      </c>
      <c r="AC135" s="114">
        <f t="shared" si="51"/>
        <v>0.94</v>
      </c>
      <c r="AD135" s="114">
        <f t="shared" si="51"/>
        <v>0.94</v>
      </c>
      <c r="AE135" s="114">
        <f t="shared" si="51"/>
        <v>0.94</v>
      </c>
      <c r="AF135" s="114">
        <f t="shared" si="51"/>
        <v>0.94</v>
      </c>
      <c r="AG135" s="127"/>
      <c r="AH135" s="46">
        <f t="shared" si="22"/>
        <v>322.99999999999994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60.8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22.8</v>
      </c>
      <c r="AI138" s="47">
        <f t="shared" si="23"/>
        <v>15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-76.2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73.400000000000006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-2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-120</v>
      </c>
    </row>
    <row r="143" spans="1:35" x14ac:dyDescent="0.25">
      <c r="A143" s="135" t="s">
        <v>165</v>
      </c>
      <c r="B143" s="132">
        <v>0</v>
      </c>
      <c r="C143" s="132">
        <v>0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-75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13.4</v>
      </c>
      <c r="AI145" s="47">
        <f>MIN(B145:AF145)</f>
        <v>-5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2">MAX(B146:AF146)</f>
        <v>-296.39999999999998</v>
      </c>
      <c r="AI146" s="47">
        <f t="shared" ref="AI146:AI158" si="53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2"/>
        <v>73.400000000000006</v>
      </c>
      <c r="AI147" s="47">
        <f t="shared" si="53"/>
        <v>48.3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2"/>
        <v>9.8000000000000007</v>
      </c>
      <c r="AI148" s="47">
        <f t="shared" si="53"/>
        <v>-7</v>
      </c>
    </row>
    <row r="149" spans="1:38" x14ac:dyDescent="0.25">
      <c r="A149" s="135" t="s">
        <v>171</v>
      </c>
      <c r="B149" s="132">
        <f t="shared" ref="B149" si="54">137.3*2</f>
        <v>274.60000000000002</v>
      </c>
      <c r="C149" s="132">
        <f>125+125.9</f>
        <v>250.9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2"/>
        <v>274.60000000000002</v>
      </c>
      <c r="AI149" s="47">
        <f t="shared" si="53"/>
        <v>250.9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2"/>
        <v>28.9</v>
      </c>
      <c r="AI150" s="47">
        <f t="shared" si="53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2"/>
        <v>5</v>
      </c>
      <c r="AI151" s="47">
        <f t="shared" si="5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2"/>
        <v>0</v>
      </c>
      <c r="AI152" s="47">
        <f t="shared" si="5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2"/>
        <v>0</v>
      </c>
      <c r="AI153" s="47">
        <f t="shared" si="5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2"/>
        <v>0</v>
      </c>
      <c r="AI154" s="47">
        <f t="shared" si="5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2"/>
        <v>0</v>
      </c>
      <c r="AI155" s="47">
        <f t="shared" si="5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2"/>
        <v>0</v>
      </c>
      <c r="AI156" s="47">
        <f t="shared" si="5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2"/>
        <v>0</v>
      </c>
      <c r="AI157" s="47">
        <f t="shared" si="5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2"/>
        <v>0</v>
      </c>
      <c r="AI158" s="47">
        <f t="shared" si="5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D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D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D14:AF53 B29:C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D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C13">
    <cfRule type="expression" dxfId="22" priority="20">
      <formula>B$9&gt;=20/24</formula>
    </cfRule>
  </conditionalFormatting>
  <conditionalFormatting sqref="B97:B107 B137:B152 B109:B112 B125:B134 B154:B159 B11:C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C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C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2026-05-20T19:27:34Z</dcterms:modified>
</cp:coreProperties>
</file>