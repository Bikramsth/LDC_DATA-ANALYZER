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74" i="77" l="1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C174" i="77"/>
  <c r="D174" i="77" s="1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C173" i="77"/>
  <c r="D173" i="77" s="1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C164" i="77"/>
  <c r="D164" i="77" s="1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124" i="77" s="1"/>
  <c r="B96" i="77"/>
  <c r="B92" i="77"/>
  <c r="B113" i="77" s="1"/>
  <c r="B115" i="77" s="1"/>
  <c r="B116" i="77" s="1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C172" i="77"/>
  <c r="D172" i="77" s="1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C171" i="77"/>
  <c r="D171" i="77" s="1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C170" i="77"/>
  <c r="D170" i="77" s="1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C169" i="77"/>
  <c r="D169" i="77" s="1"/>
  <c r="AG167" i="77"/>
  <c r="AG91" i="77" s="1"/>
  <c r="C166" i="77"/>
  <c r="D166" i="77" s="1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C165" i="77"/>
  <c r="D165" i="77" s="1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C163" i="77"/>
  <c r="D163" i="77" s="1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C162" i="77"/>
  <c r="D162" i="77" s="1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C161" i="77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O123" i="77"/>
  <c r="AW23" i="77" s="1"/>
  <c r="G123" i="77"/>
  <c r="AR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C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C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AH120" i="77" s="1"/>
  <c r="H120" i="77"/>
  <c r="G120" i="77"/>
  <c r="F120" i="77"/>
  <c r="E120" i="77"/>
  <c r="D120" i="77"/>
  <c r="C120" i="77"/>
  <c r="AI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N123" i="77" s="1"/>
  <c r="AV23" i="77" s="1"/>
  <c r="M119" i="77"/>
  <c r="L119" i="77"/>
  <c r="K119" i="77"/>
  <c r="J119" i="77"/>
  <c r="I119" i="77"/>
  <c r="H119" i="77"/>
  <c r="G119" i="77"/>
  <c r="F119" i="77"/>
  <c r="F123" i="77" s="1"/>
  <c r="AQ23" i="77" s="1"/>
  <c r="E119" i="77"/>
  <c r="D119" i="77"/>
  <c r="C119" i="77"/>
  <c r="AH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J123" i="77" s="1"/>
  <c r="I118" i="77"/>
  <c r="H118" i="77"/>
  <c r="G118" i="77"/>
  <c r="F118" i="77"/>
  <c r="E118" i="77"/>
  <c r="D118" i="77"/>
  <c r="C118" i="77"/>
  <c r="AH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I123" i="77" s="1"/>
  <c r="AS23" i="77" s="1"/>
  <c r="H117" i="77"/>
  <c r="G117" i="77"/>
  <c r="F117" i="77"/>
  <c r="E117" i="77"/>
  <c r="E123" i="77" s="1"/>
  <c r="D117" i="77"/>
  <c r="C117" i="77"/>
  <c r="AI114" i="77"/>
  <c r="AH114" i="77"/>
  <c r="AE113" i="77"/>
  <c r="AE115" i="77" s="1"/>
  <c r="AE116" i="77" s="1"/>
  <c r="AE7" i="77" s="1"/>
  <c r="Z113" i="77"/>
  <c r="Z115" i="77" s="1"/>
  <c r="O113" i="77"/>
  <c r="O115" i="77" s="1"/>
  <c r="O116" i="77" s="1"/>
  <c r="O7" i="77" s="1"/>
  <c r="J113" i="77"/>
  <c r="J115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M108" i="77"/>
  <c r="L108" i="77"/>
  <c r="K108" i="77"/>
  <c r="J108" i="77"/>
  <c r="I108" i="77"/>
  <c r="H108" i="77"/>
  <c r="G5" i="77" s="1"/>
  <c r="G108" i="77"/>
  <c r="F108" i="77"/>
  <c r="E108" i="77"/>
  <c r="D108" i="77"/>
  <c r="AJ108" i="77" s="1" a="1"/>
  <c r="AJ108" i="77" s="1"/>
  <c r="C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O96" i="77"/>
  <c r="AW20" i="77" s="1"/>
  <c r="N96" i="77"/>
  <c r="M96" i="77"/>
  <c r="L96" i="77"/>
  <c r="K96" i="77"/>
  <c r="J96" i="77"/>
  <c r="I96" i="77"/>
  <c r="H96" i="77"/>
  <c r="G96" i="77"/>
  <c r="F96" i="77"/>
  <c r="E96" i="77"/>
  <c r="D96" i="77"/>
  <c r="D113" i="77" s="1"/>
  <c r="D115" i="77" s="1"/>
  <c r="C96" i="77"/>
  <c r="AH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O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C92" i="77"/>
  <c r="BS91" i="77"/>
  <c r="BP91" i="77"/>
  <c r="BN91" i="77"/>
  <c r="BK91" i="77"/>
  <c r="BH91" i="77"/>
  <c r="BG91" i="77"/>
  <c r="BC91" i="77"/>
  <c r="AZ91" i="77"/>
  <c r="AI91" i="77"/>
  <c r="AH91" i="77"/>
  <c r="BV90" i="77"/>
  <c r="BU90" i="77"/>
  <c r="BS90" i="77"/>
  <c r="BR90" i="77"/>
  <c r="BN90" i="77"/>
  <c r="BM90" i="77"/>
  <c r="BK90" i="77"/>
  <c r="BJ90" i="77"/>
  <c r="BI90" i="77"/>
  <c r="BF90" i="77"/>
  <c r="BE90" i="77"/>
  <c r="BC90" i="77"/>
  <c r="BB90" i="77"/>
  <c r="AI90" i="77"/>
  <c r="AH90" i="77"/>
  <c r="BU89" i="77"/>
  <c r="BT89" i="77"/>
  <c r="BP89" i="77"/>
  <c r="BO89" i="77"/>
  <c r="BM89" i="77"/>
  <c r="BL89" i="77"/>
  <c r="BK89" i="77"/>
  <c r="BH89" i="77"/>
  <c r="BG89" i="77"/>
  <c r="BE89" i="77"/>
  <c r="BD89" i="77"/>
  <c r="AZ89" i="77"/>
  <c r="AI89" i="77"/>
  <c r="AH89" i="77"/>
  <c r="BW88" i="77"/>
  <c r="BV88" i="77"/>
  <c r="BR88" i="77"/>
  <c r="BQ88" i="77"/>
  <c r="BO88" i="77"/>
  <c r="BN88" i="77"/>
  <c r="BM88" i="77"/>
  <c r="BJ88" i="77"/>
  <c r="BI88" i="77"/>
  <c r="BG88" i="77"/>
  <c r="BF88" i="77"/>
  <c r="BB88" i="77"/>
  <c r="BA88" i="77"/>
  <c r="AI88" i="77"/>
  <c r="AH88" i="77"/>
  <c r="BT87" i="77"/>
  <c r="BS87" i="77"/>
  <c r="BQ87" i="77"/>
  <c r="BP87" i="77"/>
  <c r="BL87" i="77"/>
  <c r="BK87" i="77"/>
  <c r="BI87" i="77"/>
  <c r="BH87" i="77"/>
  <c r="BG87" i="77"/>
  <c r="BD87" i="77"/>
  <c r="BC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I86" i="77"/>
  <c r="BF86" i="77"/>
  <c r="BE86" i="77"/>
  <c r="BC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H83" i="77"/>
  <c r="BH90" i="77" s="1"/>
  <c r="BG83" i="77"/>
  <c r="BG90" i="77" s="1"/>
  <c r="BF83" i="77"/>
  <c r="BE83" i="77"/>
  <c r="BD83" i="77"/>
  <c r="BD90" i="77" s="1"/>
  <c r="BC83" i="77"/>
  <c r="BB83" i="77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G82" i="77"/>
  <c r="BF82" i="77"/>
  <c r="BF89" i="77" s="1"/>
  <c r="BE82" i="77"/>
  <c r="BD82" i="77"/>
  <c r="BC82" i="77"/>
  <c r="BC89" i="77" s="1"/>
  <c r="BB82" i="77"/>
  <c r="BB89" i="77" s="1"/>
  <c r="BA82" i="77"/>
  <c r="BA89" i="77" s="1"/>
  <c r="AZ82" i="77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H81" i="77"/>
  <c r="BH88" i="77" s="1"/>
  <c r="BG81" i="77"/>
  <c r="BF81" i="77"/>
  <c r="BE81" i="77"/>
  <c r="BE88" i="77" s="1"/>
  <c r="BD81" i="77"/>
  <c r="BD88" i="77" s="1"/>
  <c r="BC81" i="77"/>
  <c r="BC88" i="77" s="1"/>
  <c r="BB81" i="77"/>
  <c r="BA81" i="77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H80" i="77"/>
  <c r="BG80" i="77"/>
  <c r="BF80" i="77"/>
  <c r="BF87" i="77" s="1"/>
  <c r="BE80" i="77"/>
  <c r="BE87" i="77" s="1"/>
  <c r="BD80" i="77"/>
  <c r="BC80" i="77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H79" i="77"/>
  <c r="BH86" i="77" s="1"/>
  <c r="BG79" i="77"/>
  <c r="BG86" i="77" s="1"/>
  <c r="BF79" i="77"/>
  <c r="BE79" i="77"/>
  <c r="BD79" i="77"/>
  <c r="BD86" i="77" s="1"/>
  <c r="BC79" i="77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N78" i="77"/>
  <c r="AV17" i="77" s="1"/>
  <c r="AV22" i="77" s="1"/>
  <c r="AV25" i="77" s="1"/>
  <c r="M78" i="77"/>
  <c r="L78" i="77"/>
  <c r="K78" i="77"/>
  <c r="J78" i="77"/>
  <c r="I78" i="77"/>
  <c r="AS17" i="77" s="1"/>
  <c r="H78" i="77"/>
  <c r="G78" i="77"/>
  <c r="G113" i="77" s="1"/>
  <c r="G115" i="77" s="1"/>
  <c r="G116" i="77" s="1"/>
  <c r="G7" i="77" s="1"/>
  <c r="F78" i="77"/>
  <c r="AQ17" i="77" s="1"/>
  <c r="E78" i="77"/>
  <c r="D78" i="77"/>
  <c r="C78" i="77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N71" i="77"/>
  <c r="M71" i="77"/>
  <c r="L71" i="77"/>
  <c r="L113" i="77" s="1"/>
  <c r="L115" i="77" s="1"/>
  <c r="K71" i="77"/>
  <c r="AT16" i="77" s="1"/>
  <c r="AT22" i="77" s="1"/>
  <c r="J71" i="77"/>
  <c r="I71" i="77"/>
  <c r="H71" i="77"/>
  <c r="H113" i="77" s="1"/>
  <c r="H115" i="77" s="1"/>
  <c r="G71" i="77"/>
  <c r="F71" i="77"/>
  <c r="E71" i="77"/>
  <c r="D71" i="77"/>
  <c r="C71" i="77"/>
  <c r="AN16" i="77" s="1"/>
  <c r="AN22" i="77" s="1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T20" i="77"/>
  <c r="AS20" i="77"/>
  <c r="AR20" i="77"/>
  <c r="AQ20" i="77"/>
  <c r="AP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V19" i="77"/>
  <c r="AU19" i="77"/>
  <c r="AT19" i="77"/>
  <c r="AQ19" i="77"/>
  <c r="AP19" i="77"/>
  <c r="AN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O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O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W16" i="77"/>
  <c r="AV16" i="77"/>
  <c r="AS16" i="77"/>
  <c r="AR16" i="77"/>
  <c r="AQ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M5" i="77"/>
  <c r="L5" i="77"/>
  <c r="J5" i="77"/>
  <c r="I5" i="77"/>
  <c r="H5" i="77"/>
  <c r="E5" i="77"/>
  <c r="D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AH121" i="77" l="1"/>
  <c r="AM19" i="77"/>
  <c r="B135" i="77"/>
  <c r="C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J116" i="77"/>
  <c r="J7" i="77" s="1"/>
  <c r="F113" i="77"/>
  <c r="F115" i="77" s="1"/>
  <c r="F116" i="77" s="1"/>
  <c r="F7" i="77" s="1"/>
  <c r="N113" i="77"/>
  <c r="N115" i="77" s="1"/>
  <c r="N116" i="77" s="1"/>
  <c r="N7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S25" i="77" s="1"/>
  <c r="I124" i="77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AP25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J124" i="77"/>
  <c r="R124" i="77"/>
  <c r="AB113" i="77"/>
  <c r="AB115" i="77" s="1"/>
  <c r="AB116" i="77" s="1"/>
  <c r="AB7" i="77" s="1"/>
  <c r="C123" i="77"/>
  <c r="AN23" i="77" s="1"/>
  <c r="AN25" i="77" s="1"/>
  <c r="K123" i="77"/>
  <c r="AA123" i="77"/>
  <c r="AA116" i="77" s="1"/>
  <c r="AA7" i="77" s="1"/>
  <c r="AI121" i="77"/>
  <c r="AI122" i="77"/>
  <c r="X124" i="77"/>
  <c r="BG95" i="77" a="1"/>
  <c r="C124" i="77"/>
  <c r="S124" i="77"/>
  <c r="AA124" i="77"/>
  <c r="D123" i="77"/>
  <c r="AO23" i="77" s="1"/>
  <c r="L123" i="77"/>
  <c r="L116" i="77" s="1"/>
  <c r="L7" i="77" s="1"/>
  <c r="T123" i="77"/>
  <c r="BB23" i="77" s="1"/>
  <c r="G124" i="77"/>
  <c r="AM18" i="77"/>
  <c r="AI92" i="77"/>
  <c r="L124" i="77"/>
  <c r="K5" i="77"/>
  <c r="AB124" i="77"/>
  <c r="AA5" i="77"/>
  <c r="R113" i="77"/>
  <c r="R115" i="77" s="1"/>
  <c r="R116" i="77" s="1"/>
  <c r="R7" i="77" s="1"/>
  <c r="Q113" i="77"/>
  <c r="Q115" i="77" s="1"/>
  <c r="AH92" i="77"/>
  <c r="D124" i="77"/>
  <c r="AO19" i="77"/>
  <c r="AO22" i="77" s="1"/>
  <c r="AO25" i="77" s="1"/>
  <c r="C5" i="77"/>
  <c r="BJ19" i="77"/>
  <c r="AH71" i="77"/>
  <c r="AI71" i="77"/>
  <c r="AI96" i="77"/>
  <c r="M124" i="77"/>
  <c r="U124" i="77"/>
  <c r="C113" i="77"/>
  <c r="C115" i="77" s="1"/>
  <c r="C116" i="77" s="1"/>
  <c r="C7" i="77" s="1"/>
  <c r="J177" i="77"/>
  <c r="O124" i="77"/>
  <c r="AQ22" i="77"/>
  <c r="AQ25" i="77" s="1"/>
  <c r="I113" i="77"/>
  <c r="I115" i="77" s="1"/>
  <c r="I116" i="77" s="1"/>
  <c r="I7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M22" i="77" s="1"/>
  <c r="AH122" i="77"/>
  <c r="AI108" i="77"/>
  <c r="Q123" i="77"/>
  <c r="Y123" i="77"/>
  <c r="Y124" i="77" s="1"/>
  <c r="AH117" i="77"/>
  <c r="F124" i="77"/>
  <c r="N124" i="77"/>
  <c r="V124" i="77"/>
  <c r="AD124" i="77"/>
  <c r="C167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AF116" i="76" l="1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T9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F161" i="77" l="1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35" i="77"/>
  <c r="O161" i="77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<sst xmlns="http://schemas.openxmlformats.org/spreadsheetml/2006/main" count="2196" uniqueCount="418">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</sst>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9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8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24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B161" sqref="B161:B274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1768.5999999999995</v>
      </c>
      <c r="AE7" s="35">
        <f t="shared" si="1"/>
        <v>1691.8999999999996</v>
      </c>
      <c r="AF7" s="35">
        <f t="shared" si="1"/>
        <v>1671.4999999999998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2187.1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2007.7999999999995</v>
      </c>
      <c r="BI22" s="60">
        <f t="shared" si="16"/>
        <v>2092.3999999999996</v>
      </c>
      <c r="BJ22" s="60">
        <f t="shared" si="16"/>
        <v>2130.6999999999998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1768.5999999999995</v>
      </c>
      <c r="BI25" s="60">
        <f t="shared" si="19"/>
        <v>1691.8999999999996</v>
      </c>
      <c r="BJ25" s="60">
        <f t="shared" si="19"/>
        <v>1671.4999999999998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2"/>
        <v>24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2007.7999999999995</v>
      </c>
      <c r="AE115" s="108">
        <f t="shared" ref="AE115:AF115" si="100">AE113+AE114</f>
        <v>2092.3999999999996</v>
      </c>
      <c r="AF115" s="108">
        <f t="shared" si="100"/>
        <v>2130.6999999999998</v>
      </c>
      <c r="AG115" s="104">
        <f>AG112+AG108+AG96+AG92+AG71+AG114</f>
        <v>2463.5149999999999</v>
      </c>
      <c r="AH115" s="46">
        <f t="shared" si="32"/>
        <v>2187.1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1768.5999999999995</v>
      </c>
      <c r="AE116" s="108">
        <f t="shared" ref="AE116:AF116" si="109">AE115-(AE123)</f>
        <v>1691.8999999999996</v>
      </c>
      <c r="AF116" s="108">
        <f t="shared" si="109"/>
        <v>1671.4999999999998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25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B161" sqref="B161:B274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92.100000000000009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1671.4999999999998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1671.5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67.7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34.299999999999997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54.8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40.6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35.799999999999997</v>
      </c>
      <c r="AK17" s="49"/>
      <c r="AL17" s="52" t="s">
        <v>29</v>
      </c>
      <c r="AM17" s="57">
        <f t="shared" ref="AM17:AR17" si="6">B78</f>
        <v>593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353.90000000000003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92.100000000000009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35.200000000000003</v>
      </c>
      <c r="AK22" s="49"/>
      <c r="AL22" s="59" t="s">
        <v>39</v>
      </c>
      <c r="AM22" s="60">
        <f t="shared" ref="AM22:BJ22" si="16">SUM(AM16:AM21)</f>
        <v>2130.6999999999998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-459.2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21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1671.4999999999998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" si="20">62+75.4</f>
        <v>137.4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137.4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1061.6999999999998</v>
      </c>
      <c r="C71" s="70">
        <f>SUM(C11:C69)</f>
        <v>150</v>
      </c>
      <c r="D71" s="70">
        <f t="shared" ref="D71:AG71" si="22">SUM(D11:D69)</f>
        <v>150</v>
      </c>
      <c r="E71" s="70">
        <f t="shared" si="22"/>
        <v>150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403.9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403.9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82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82</v>
      </c>
      <c r="AI73" s="47">
        <f t="shared" si="3"/>
        <v>82</v>
      </c>
      <c r="AK73" s="49"/>
    </row>
    <row r="74" spans="1:88" x14ac:dyDescent="0.25">
      <c r="A74" s="73" t="s">
        <v>93</v>
      </c>
      <c r="B74" s="43">
        <v>41.5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41.5</v>
      </c>
      <c r="AI74" s="47">
        <f t="shared" si="3"/>
        <v>41.5</v>
      </c>
      <c r="AK74" s="49"/>
    </row>
    <row r="75" spans="1:88" x14ac:dyDescent="0.25">
      <c r="A75" s="74" t="s">
        <v>94</v>
      </c>
      <c r="B75" s="43">
        <v>29.8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" si="25">SUM(B72:B77)</f>
        <v>593</v>
      </c>
      <c r="C78" s="70">
        <f>SUM(C72:C77)</f>
        <v>0</v>
      </c>
      <c r="D78" s="70">
        <f t="shared" ref="D78:AG78" si="26">SUM(D72:D77)</f>
        <v>0</v>
      </c>
      <c r="E78" s="70">
        <f t="shared" si="26"/>
        <v>0</v>
      </c>
      <c r="F78" s="70">
        <f t="shared" si="26"/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593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0</v>
      </c>
      <c r="BA79" s="81">
        <f t="shared" ref="BA79:BD83" si="27">D97</f>
        <v>0</v>
      </c>
      <c r="BB79" s="81">
        <f t="shared" si="27"/>
        <v>0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-459.2</v>
      </c>
    </row>
    <row r="80" spans="1:88" x14ac:dyDescent="0.25">
      <c r="A80" s="63" t="s">
        <v>100</v>
      </c>
      <c r="B80" s="43">
        <v>54.6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54.6</v>
      </c>
      <c r="AI80" s="47">
        <f t="shared" si="24"/>
        <v>54.6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69.8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69.8</v>
      </c>
      <c r="AI81" s="47">
        <f t="shared" si="24"/>
        <v>69.8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7"/>
        <v>0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51.1</v>
      </c>
    </row>
    <row r="82" spans="1:75" s="83" customFormat="1" x14ac:dyDescent="0.25">
      <c r="A82" s="63" t="s">
        <v>104</v>
      </c>
      <c r="B82" s="43">
        <v>58</v>
      </c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20.3</v>
      </c>
    </row>
    <row r="83" spans="1:75" x14ac:dyDescent="0.25">
      <c r="A83" s="63" t="s">
        <v>106</v>
      </c>
      <c r="B83" s="44">
        <v>27.3</v>
      </c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27.3</v>
      </c>
      <c r="AI83" s="47">
        <f t="shared" si="24"/>
        <v>27.3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11.6</v>
      </c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11.6</v>
      </c>
      <c r="AI85" s="47">
        <f t="shared" si="24"/>
        <v>11.6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0</v>
      </c>
      <c r="BA86" s="82">
        <f t="shared" si="31"/>
        <v>0</v>
      </c>
      <c r="BB86" s="82">
        <f t="shared" si="31"/>
        <v>0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-459.2</v>
      </c>
    </row>
    <row r="87" spans="1:75" x14ac:dyDescent="0.25">
      <c r="A87" s="63" t="s">
        <v>112</v>
      </c>
      <c r="B87" s="43">
        <v>8.6999999999999993</v>
      </c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8.6999999999999993</v>
      </c>
      <c r="AI87" s="47">
        <f t="shared" si="24"/>
        <v>8.6999999999999993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12.1</v>
      </c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12.1</v>
      </c>
      <c r="AI88" s="47">
        <f t="shared" si="24"/>
        <v>12.1</v>
      </c>
      <c r="AK88" s="49"/>
      <c r="AZ88" s="82">
        <f t="shared" si="31"/>
        <v>0</v>
      </c>
      <c r="BA88" s="82">
        <f t="shared" si="31"/>
        <v>0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51.1</v>
      </c>
    </row>
    <row r="89" spans="1:75" x14ac:dyDescent="0.25">
      <c r="A89" s="63" t="s">
        <v>114</v>
      </c>
      <c r="B89" s="43">
        <v>9.1999999999999993</v>
      </c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9.1999999999999993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20.3</v>
      </c>
    </row>
    <row r="90" spans="1:75" x14ac:dyDescent="0.25">
      <c r="A90" s="63" t="s">
        <v>115</v>
      </c>
      <c r="B90" s="43">
        <v>4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" si="32">SUM(B79:B91)</f>
        <v>353.90000000000003</v>
      </c>
      <c r="C92" s="70">
        <f t="shared" ref="B92:AG92" si="33">SUM(C79:C91)</f>
        <v>2</v>
      </c>
      <c r="D92" s="70">
        <f t="shared" si="33"/>
        <v>2</v>
      </c>
      <c r="E92" s="70">
        <f t="shared" si="33"/>
        <v>2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353.90000000000003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20</v>
      </c>
      <c r="AI93" s="47">
        <f t="shared" si="24"/>
        <v>20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7</v>
      </c>
      <c r="AI94" s="47">
        <f t="shared" si="24"/>
        <v>7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3</v>
      </c>
      <c r="AI95" s="47">
        <f t="shared" si="24"/>
        <v>3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4">B93+B94+B95</f>
        <v>30</v>
      </c>
      <c r="C96" s="70">
        <f t="shared" ref="B96:AF96" si="35">C93+C94+C95</f>
        <v>0</v>
      </c>
      <c r="D96" s="70">
        <f t="shared" si="35"/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30</v>
      </c>
      <c r="AI96" s="47">
        <f t="shared" si="24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-459.2</v>
      </c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-459.2</v>
      </c>
      <c r="AI97" s="47">
        <f t="shared" si="24"/>
        <v>-459.2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51.1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51.1</v>
      </c>
      <c r="AI99" s="47">
        <f t="shared" si="24"/>
        <v>51.1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20.3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20.3</v>
      </c>
      <c r="AI100" s="47">
        <f t="shared" si="24"/>
        <v>20.3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20.7</v>
      </c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20.7</v>
      </c>
      <c r="AI102" s="47">
        <f t="shared" si="24"/>
        <v>20.7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6">SUMIF(B97:B107,"&gt;0")</f>
        <v>92.100000000000009</v>
      </c>
      <c r="C108" s="70">
        <f t="shared" ref="B108:AF108" si="37">SUMIF(C97:C107,"&gt;0")</f>
        <v>0</v>
      </c>
      <c r="D108" s="70">
        <f t="shared" si="37"/>
        <v>0</v>
      </c>
      <c r="E108" s="70">
        <f t="shared" si="37"/>
        <v>0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92.100000000000009</v>
      </c>
      <c r="AI108" s="47">
        <f t="shared" si="24"/>
        <v>0</v>
      </c>
      <c r="AJ108" s="105">
        <f t="array" ref="AJ108">MIN(IF(B108:AF108&lt;&gt;0,B108:AF108))</f>
        <v>92.100000000000009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8">B71+B78+B96+B92+B108+B112</f>
        <v>2130.6999999999998</v>
      </c>
      <c r="C113" s="108">
        <f t="shared" ref="B113:AG113" si="39">C71+C78+C96+C92+C108+C112</f>
        <v>152</v>
      </c>
      <c r="D113" s="108">
        <f t="shared" si="39"/>
        <v>152</v>
      </c>
      <c r="E113" s="108">
        <f t="shared" si="39"/>
        <v>152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2130.6999999999998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0">B113+B114</f>
        <v>2130.6999999999998</v>
      </c>
      <c r="C115" s="108">
        <f t="shared" ref="C115:AF115" si="41">C113+C114</f>
        <v>152</v>
      </c>
      <c r="D115" s="108">
        <f t="shared" si="41"/>
        <v>152</v>
      </c>
      <c r="E115" s="108">
        <f t="shared" si="41"/>
        <v>152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2130.6999999999998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2">B115-(B123)</f>
        <v>1671.4999999999998</v>
      </c>
      <c r="C116" s="108">
        <f t="shared" ref="C116:AF116" si="43">C115-(C123)</f>
        <v>152</v>
      </c>
      <c r="D116" s="108">
        <f t="shared" si="43"/>
        <v>152</v>
      </c>
      <c r="E116" s="108">
        <f t="shared" si="43"/>
        <v>152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1671.4999999999998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4">IF(B97&lt;0,B97*-1,0)</f>
        <v>459.2</v>
      </c>
      <c r="C117" s="93">
        <f t="shared" ref="B117:AF122" si="45">IF(C97&lt;0,C97*-1,0)</f>
        <v>0</v>
      </c>
      <c r="D117" s="93">
        <f t="shared" si="45"/>
        <v>0</v>
      </c>
      <c r="E117" s="93">
        <f t="shared" si="45"/>
        <v>0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459.2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5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-459.2</v>
      </c>
      <c r="BH118" s="82">
        <v>0</v>
      </c>
      <c r="BI118" s="82">
        <v>51.1</v>
      </c>
      <c r="BJ118" s="82">
        <v>20.3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5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5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5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5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6">SUM(B117:B122)</f>
        <v>459.2</v>
      </c>
      <c r="C123" s="70">
        <f t="shared" ref="B123:AF123" si="47">SUM(C117:C122)</f>
        <v>0</v>
      </c>
      <c r="D123" s="70">
        <f t="shared" si="47"/>
        <v>0</v>
      </c>
      <c r="E123" s="70">
        <f t="shared" si="47"/>
        <v>0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459.2</v>
      </c>
      <c r="AI123" s="47">
        <f t="shared" si="24"/>
        <v>0</v>
      </c>
      <c r="AJ123" s="105">
        <f t="array" ref="AJ123">MIN(IF(B123:AF123&lt;&gt;0,B123:AF123))</f>
        <v>459.2</v>
      </c>
    </row>
    <row r="124" spans="1:64" ht="15.75" thickBot="1" x14ac:dyDescent="0.3">
      <c r="A124" s="87" t="s">
        <v>146</v>
      </c>
      <c r="B124" s="70">
        <f t="shared" ref="B124" si="48">B108-B123</f>
        <v>-367.09999999999997</v>
      </c>
      <c r="C124" s="70">
        <f t="shared" ref="B124:AF124" si="49">C108-C123</f>
        <v>0</v>
      </c>
      <c r="D124" s="70">
        <f t="shared" si="49"/>
        <v>0</v>
      </c>
      <c r="E124" s="70">
        <f t="shared" si="49"/>
        <v>0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-367.09999999999997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49.981999999999999</v>
      </c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49.981999999999999</v>
      </c>
      <c r="AI126" s="47">
        <f t="shared" si="24"/>
        <v>49.981999999999999</v>
      </c>
    </row>
    <row r="127" spans="1:64" x14ac:dyDescent="0.25">
      <c r="A127" s="119" t="s">
        <v>149</v>
      </c>
      <c r="B127" s="43">
        <v>132.5</v>
      </c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132.5</v>
      </c>
      <c r="AI127" s="47">
        <f t="shared" si="24"/>
        <v>132.5</v>
      </c>
    </row>
    <row r="128" spans="1:64" x14ac:dyDescent="0.25">
      <c r="A128" s="119" t="s">
        <v>150</v>
      </c>
      <c r="B128" s="43">
        <v>129.5</v>
      </c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129.5</v>
      </c>
      <c r="AI128" s="47">
        <f t="shared" si="24"/>
        <v>129.5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134.1</v>
      </c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134.1</v>
      </c>
      <c r="AI130" s="47">
        <f t="shared" si="24"/>
        <v>134.1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127.4</v>
      </c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127.4</v>
      </c>
      <c r="AI132" s="47">
        <f t="shared" si="24"/>
        <v>127.4</v>
      </c>
    </row>
    <row r="133" spans="1:35" ht="15.75" thickBot="1" x14ac:dyDescent="0.3">
      <c r="A133" s="119" t="s">
        <v>155</v>
      </c>
      <c r="B133" s="101">
        <v>65.8</v>
      </c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65.8</v>
      </c>
      <c r="AI133" s="47">
        <f t="shared" si="24"/>
        <v>65.8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0">SUM(B26,B32,B45:B46,B82,B84:B85,B87,B89,B137:B142,B177,B183,B189,B198,B200,B212,B219,B222:B223,B230,B232,B234,B238:B240,B242:B244,B249,B255:B256,B258:B260,B161,B166)</f>
        <v>184.73999999999998</v>
      </c>
      <c r="C135" s="114">
        <f t="shared" ref="C135:O135" si="51">SUM(C26,C32,C45:C46,C82,C84:C85,C87,C89,C137:C142,C177,C183,C189,C198,C200,C212,C219,C222:C223,C230,C232,C234,C238:C240,C242:C244,C249,C255:C256,C258:C260,C161,C166)</f>
        <v>0.94</v>
      </c>
      <c r="D135" s="114">
        <f t="shared" si="51"/>
        <v>0.94</v>
      </c>
      <c r="E135" s="114">
        <f t="shared" si="51"/>
        <v>0.94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184.73999999999998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53.5</v>
      </c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53.5</v>
      </c>
      <c r="AI137" s="47">
        <f t="shared" si="24"/>
        <v>53.5</v>
      </c>
    </row>
    <row r="138" spans="1:35" x14ac:dyDescent="0.25">
      <c r="A138" s="135" t="s">
        <v>160</v>
      </c>
      <c r="B138" s="132">
        <v>8.5</v>
      </c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8.5</v>
      </c>
      <c r="AI138" s="47">
        <f t="shared" si="24"/>
        <v>8.5</v>
      </c>
    </row>
    <row r="139" spans="1:35" x14ac:dyDescent="0.25">
      <c r="A139" s="135" t="s">
        <v>161</v>
      </c>
      <c r="B139" s="132">
        <v>-85.3</v>
      </c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-85.3</v>
      </c>
      <c r="AI139" s="47">
        <f>MIN(B139:AF139)</f>
        <v>-85.3</v>
      </c>
    </row>
    <row r="140" spans="1:35" x14ac:dyDescent="0.25">
      <c r="A140" s="135" t="s">
        <v>162</v>
      </c>
      <c r="B140" s="132">
        <v>94</v>
      </c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94</v>
      </c>
      <c r="AI140" s="47">
        <f>MIN(B140:AF140)</f>
        <v>94</v>
      </c>
    </row>
    <row r="141" spans="1:35" x14ac:dyDescent="0.25">
      <c r="A141" s="135" t="s">
        <v>163</v>
      </c>
      <c r="B141" s="132">
        <v>4.4000000000000004</v>
      </c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4.4000000000000004</v>
      </c>
      <c r="AI141" s="47">
        <f>MIN(B141:AF141)</f>
        <v>4.4000000000000004</v>
      </c>
    </row>
    <row r="142" spans="1:35" x14ac:dyDescent="0.25">
      <c r="A142" s="135" t="s">
        <v>164</v>
      </c>
      <c r="B142" s="132">
        <v>-41.5</v>
      </c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-41.5</v>
      </c>
      <c r="AI142" s="47">
        <f>MIN(B142:AF142)</f>
        <v>-41.5</v>
      </c>
    </row>
    <row r="143" spans="1:35" x14ac:dyDescent="0.25">
      <c r="A143" s="135" t="s">
        <v>165</v>
      </c>
      <c r="B143" s="132">
        <v>61.9</v>
      </c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-48.7</v>
      </c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23.4</v>
      </c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-644.70000000000005</v>
      </c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-644.70000000000005</v>
      </c>
      <c r="AI146" s="47">
        <f t="shared" ref="AI146:AI158" si="55">MIN(B146:AF146)</f>
        <v>-644.70000000000005</v>
      </c>
    </row>
    <row r="147" spans="1:38" x14ac:dyDescent="0.25">
      <c r="A147" s="135" t="s">
        <v>169</v>
      </c>
      <c r="B147" s="132">
        <v>74.900000000000006</v>
      </c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74.900000000000006</v>
      </c>
      <c r="AI147" s="47">
        <f t="shared" si="55"/>
        <v>74.900000000000006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0</v>
      </c>
      <c r="AI148" s="47">
        <f t="shared" si="55"/>
        <v>0</v>
      </c>
    </row>
    <row r="149" spans="1:38" x14ac:dyDescent="0.25">
      <c r="A149" s="135" t="s">
        <v>171</v>
      </c>
      <c r="B149" s="132">
        <v>147.69999999999999</v>
      </c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147.69999999999999</v>
      </c>
      <c r="AI149" s="47">
        <f t="shared" si="55"/>
        <v>147.69999999999999</v>
      </c>
    </row>
    <row r="150" spans="1:38" x14ac:dyDescent="0.25">
      <c r="A150" s="135" t="s">
        <v>172</v>
      </c>
      <c r="B150" s="132">
        <v>31</v>
      </c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31</v>
      </c>
      <c r="AI150" s="47">
        <f t="shared" si="55"/>
        <v>31</v>
      </c>
    </row>
    <row r="151" spans="1:38" ht="15.75" thickBot="1" x14ac:dyDescent="0.3">
      <c r="A151" s="139" t="s">
        <v>173</v>
      </c>
      <c r="B151" s="132">
        <v>5.6</v>
      </c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5.6</v>
      </c>
      <c r="AI151" s="47">
        <f t="shared" si="55"/>
        <v>5.6</v>
      </c>
    </row>
    <row r="152" spans="1:38" ht="15.75" thickBot="1" x14ac:dyDescent="0.3">
      <c r="A152" s="140" t="s">
        <v>174</v>
      </c>
      <c r="B152" s="141">
        <v>1986.59</v>
      </c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1986.59</v>
      </c>
      <c r="AI152" s="47">
        <f t="shared" si="55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0</v>
      </c>
      <c r="AI153" s="47">
        <f t="shared" si="55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</row>
    <row r="155" spans="1:38" x14ac:dyDescent="0.25">
      <c r="A155" s="135" t="s">
        <v>176</v>
      </c>
      <c r="B155" s="147">
        <v>624.88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624.88</v>
      </c>
      <c r="AI155" s="47">
        <f t="shared" si="55"/>
        <v>624.88</v>
      </c>
      <c r="AK155" s="187"/>
    </row>
    <row r="156" spans="1:38" x14ac:dyDescent="0.25">
      <c r="A156" s="135" t="s">
        <v>177</v>
      </c>
      <c r="B156" s="147">
        <v>337.14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337.14</v>
      </c>
      <c r="AI156" s="47">
        <f t="shared" si="55"/>
        <v>337.14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0</v>
      </c>
      <c r="AI157" s="47">
        <f t="shared" si="55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3">SUM(B169:B273)</f>
        <v>0</v>
      </c>
      <c r="C274" s="180">
        <f t="shared" ref="B274:AG274" si="74">SUM(C169:C273)</f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06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">
    <cfRule type="expression" dxfId="22" priority="20">
      <formula>B$9&gt;=20/24</formula>
    </cfRule>
  </conditionalFormatting>
  <conditionalFormatting sqref="B11:B13 B97:B107 B137:B152 B109:B112 B125:B134 B154:B159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2026-05-18T17:21:42Z</dcterms:modified>
</cp:coreProperties>
</file>